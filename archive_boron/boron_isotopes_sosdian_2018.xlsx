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1"/>
  <workbookPr/>
  <mc:AlternateContent xmlns:mc="http://schemas.openxmlformats.org/markup-compatibility/2006">
    <mc:Choice Requires="x15">
      <x15ac:absPath xmlns:x15ac="http://schemas.microsoft.com/office/spreadsheetml/2010/11/ac" url="/Users/Daphnia/Desktop/"/>
    </mc:Choice>
  </mc:AlternateContent>
  <xr:revisionPtr revIDLastSave="0" documentId="13_ncr:1_{A376493D-2603-6C40-B715-4A635D82D81F}" xr6:coauthVersionLast="47" xr6:coauthVersionMax="47" xr10:uidLastSave="{00000000-0000-0000-0000-000000000000}"/>
  <bookViews>
    <workbookView xWindow="0" yWindow="500" windowWidth="28800" windowHeight="16120" tabRatio="500" xr2:uid="{00000000-000D-0000-FFFF-FFFF00000000}"/>
  </bookViews>
  <sheets>
    <sheet name="boron isotopes" sheetId="2" r:id="rId1"/>
    <sheet name="Column specifications" sheetId="3" r:id="rId2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F292" i="2" l="1"/>
  <c r="CE292" i="2"/>
  <c r="BP292" i="2"/>
  <c r="E292" i="2"/>
  <c r="CF291" i="2"/>
  <c r="CE291" i="2"/>
  <c r="BP291" i="2"/>
  <c r="E291" i="2"/>
  <c r="CF290" i="2"/>
  <c r="CE290" i="2"/>
  <c r="BP290" i="2"/>
  <c r="E290" i="2"/>
  <c r="CF289" i="2"/>
  <c r="CE289" i="2"/>
  <c r="BP289" i="2"/>
  <c r="E289" i="2"/>
  <c r="CF288" i="2"/>
  <c r="CE288" i="2"/>
  <c r="BP288" i="2"/>
  <c r="E288" i="2"/>
  <c r="CF287" i="2"/>
  <c r="CE287" i="2"/>
  <c r="BP287" i="2"/>
  <c r="E287" i="2"/>
  <c r="CF286" i="2"/>
  <c r="CE286" i="2"/>
  <c r="BP286" i="2"/>
  <c r="E286" i="2"/>
  <c r="CF285" i="2"/>
  <c r="CE285" i="2"/>
  <c r="BP285" i="2"/>
  <c r="E285" i="2"/>
  <c r="CF284" i="2"/>
  <c r="CE284" i="2"/>
  <c r="BP284" i="2"/>
  <c r="E284" i="2"/>
  <c r="CF283" i="2"/>
  <c r="CE283" i="2"/>
  <c r="BP283" i="2"/>
  <c r="E283" i="2"/>
  <c r="CF282" i="2"/>
  <c r="CE282" i="2"/>
  <c r="BP282" i="2"/>
  <c r="E282" i="2"/>
  <c r="CF281" i="2"/>
  <c r="CE281" i="2"/>
  <c r="BP281" i="2"/>
  <c r="E281" i="2"/>
  <c r="CF280" i="2"/>
  <c r="CE280" i="2"/>
  <c r="BP280" i="2"/>
  <c r="E280" i="2"/>
  <c r="CF279" i="2"/>
  <c r="CE279" i="2"/>
  <c r="BP279" i="2"/>
  <c r="E279" i="2"/>
  <c r="CF278" i="2"/>
  <c r="CE278" i="2"/>
  <c r="BP278" i="2"/>
  <c r="E278" i="2"/>
  <c r="CF277" i="2"/>
  <c r="CE277" i="2"/>
  <c r="BP277" i="2"/>
  <c r="E277" i="2"/>
  <c r="CF276" i="2"/>
  <c r="CE276" i="2"/>
  <c r="BP276" i="2"/>
  <c r="E276" i="2"/>
  <c r="CF275" i="2"/>
  <c r="CE275" i="2"/>
  <c r="BP275" i="2"/>
  <c r="E275" i="2"/>
  <c r="CF274" i="2"/>
  <c r="CE274" i="2"/>
  <c r="BP274" i="2"/>
  <c r="E274" i="2"/>
  <c r="CF273" i="2"/>
  <c r="CE273" i="2"/>
  <c r="BP273" i="2"/>
  <c r="E273" i="2"/>
  <c r="CF272" i="2"/>
  <c r="CE272" i="2"/>
  <c r="BP272" i="2"/>
  <c r="E272" i="2"/>
  <c r="CF271" i="2"/>
  <c r="CE271" i="2"/>
  <c r="BP271" i="2"/>
  <c r="E271" i="2"/>
  <c r="CF270" i="2"/>
  <c r="CE270" i="2"/>
  <c r="BP270" i="2"/>
  <c r="E270" i="2"/>
  <c r="CF269" i="2"/>
  <c r="CE269" i="2"/>
  <c r="BP269" i="2"/>
  <c r="E269" i="2"/>
  <c r="CF268" i="2"/>
  <c r="CE268" i="2"/>
  <c r="BP268" i="2"/>
  <c r="E268" i="2"/>
  <c r="CF267" i="2"/>
  <c r="CE267" i="2"/>
  <c r="BP267" i="2"/>
  <c r="E267" i="2"/>
  <c r="CF266" i="2"/>
  <c r="CE266" i="2"/>
  <c r="BP266" i="2"/>
  <c r="E266" i="2"/>
  <c r="CF265" i="2"/>
  <c r="CE265" i="2"/>
  <c r="BP265" i="2"/>
  <c r="E265" i="2"/>
  <c r="CF264" i="2"/>
  <c r="CE264" i="2"/>
  <c r="BP264" i="2"/>
  <c r="E264" i="2"/>
  <c r="CF263" i="2"/>
  <c r="CE263" i="2"/>
  <c r="BP263" i="2"/>
  <c r="E263" i="2"/>
  <c r="CF262" i="2"/>
  <c r="CE262" i="2"/>
  <c r="BP262" i="2"/>
  <c r="E262" i="2"/>
  <c r="CF261" i="2"/>
  <c r="CE261" i="2"/>
  <c r="BP261" i="2"/>
  <c r="E261" i="2"/>
  <c r="CF260" i="2"/>
  <c r="CE260" i="2"/>
  <c r="BP260" i="2"/>
  <c r="E260" i="2"/>
  <c r="CF259" i="2"/>
  <c r="CE259" i="2"/>
  <c r="BP259" i="2"/>
  <c r="E259" i="2"/>
  <c r="CF258" i="2"/>
  <c r="CE258" i="2"/>
  <c r="BP258" i="2"/>
  <c r="E258" i="2"/>
  <c r="CF257" i="2"/>
  <c r="CE257" i="2"/>
  <c r="BP257" i="2"/>
  <c r="E257" i="2"/>
  <c r="CF256" i="2"/>
  <c r="CE256" i="2"/>
  <c r="BP256" i="2"/>
  <c r="E256" i="2"/>
  <c r="CF255" i="2"/>
  <c r="CE255" i="2"/>
  <c r="BP255" i="2"/>
  <c r="E255" i="2"/>
  <c r="CF254" i="2"/>
  <c r="CE254" i="2"/>
  <c r="BP254" i="2"/>
  <c r="E254" i="2"/>
  <c r="CF253" i="2"/>
  <c r="CE253" i="2"/>
  <c r="BP253" i="2"/>
  <c r="E253" i="2"/>
  <c r="CF252" i="2"/>
  <c r="CE252" i="2"/>
  <c r="BP252" i="2"/>
  <c r="E252" i="2"/>
  <c r="CF251" i="2"/>
  <c r="CE251" i="2"/>
  <c r="BP251" i="2"/>
  <c r="E251" i="2"/>
  <c r="CF250" i="2"/>
  <c r="CE250" i="2"/>
  <c r="BP250" i="2"/>
  <c r="E250" i="2"/>
  <c r="CF249" i="2"/>
  <c r="CE249" i="2"/>
  <c r="BP249" i="2"/>
  <c r="E249" i="2"/>
  <c r="CF248" i="2"/>
  <c r="CE248" i="2"/>
  <c r="BP248" i="2"/>
  <c r="E248" i="2"/>
  <c r="CF247" i="2"/>
  <c r="CE247" i="2"/>
  <c r="BP247" i="2"/>
  <c r="E247" i="2"/>
  <c r="CF246" i="2"/>
  <c r="CE246" i="2"/>
  <c r="BP246" i="2"/>
  <c r="E246" i="2"/>
  <c r="CF245" i="2"/>
  <c r="CE245" i="2"/>
  <c r="BP245" i="2"/>
  <c r="E245" i="2"/>
  <c r="CF244" i="2"/>
  <c r="CE244" i="2"/>
  <c r="BP244" i="2"/>
  <c r="E244" i="2"/>
  <c r="CF243" i="2"/>
  <c r="CE243" i="2"/>
  <c r="BP243" i="2"/>
  <c r="E243" i="2"/>
  <c r="CF242" i="2"/>
  <c r="CE242" i="2"/>
  <c r="BP242" i="2"/>
  <c r="E242" i="2"/>
  <c r="CF241" i="2"/>
  <c r="CE241" i="2"/>
  <c r="BP241" i="2"/>
  <c r="E241" i="2"/>
  <c r="CF240" i="2"/>
  <c r="CE240" i="2"/>
  <c r="BP240" i="2"/>
  <c r="E240" i="2"/>
  <c r="CF239" i="2"/>
  <c r="CE239" i="2"/>
  <c r="BP239" i="2"/>
  <c r="E239" i="2"/>
  <c r="CF238" i="2"/>
  <c r="CE238" i="2"/>
  <c r="BP238" i="2"/>
  <c r="E238" i="2"/>
  <c r="CF237" i="2"/>
  <c r="CE237" i="2"/>
  <c r="BP237" i="2"/>
  <c r="E237" i="2"/>
  <c r="CF236" i="2"/>
  <c r="CE236" i="2"/>
  <c r="BP236" i="2"/>
  <c r="E236" i="2"/>
  <c r="CF235" i="2"/>
  <c r="CE235" i="2"/>
  <c r="BP235" i="2"/>
  <c r="E235" i="2"/>
  <c r="CF234" i="2"/>
  <c r="CE234" i="2"/>
  <c r="BP234" i="2"/>
  <c r="E234" i="2"/>
  <c r="CF233" i="2"/>
  <c r="CE233" i="2"/>
  <c r="BP233" i="2"/>
  <c r="E233" i="2"/>
  <c r="CF232" i="2"/>
  <c r="CE232" i="2"/>
  <c r="BP232" i="2"/>
  <c r="E232" i="2"/>
  <c r="CF231" i="2"/>
  <c r="CE231" i="2"/>
  <c r="BP231" i="2"/>
  <c r="E231" i="2"/>
  <c r="CF230" i="2"/>
  <c r="CE230" i="2"/>
  <c r="BP230" i="2"/>
  <c r="E230" i="2"/>
  <c r="CF229" i="2"/>
  <c r="CE229" i="2"/>
  <c r="BP229" i="2"/>
  <c r="E229" i="2"/>
  <c r="CF228" i="2"/>
  <c r="CE228" i="2"/>
  <c r="BP228" i="2"/>
  <c r="E228" i="2"/>
  <c r="CF227" i="2"/>
  <c r="CE227" i="2"/>
  <c r="BP227" i="2"/>
  <c r="E227" i="2"/>
  <c r="CF226" i="2"/>
  <c r="CE226" i="2"/>
  <c r="BP226" i="2"/>
  <c r="E226" i="2"/>
  <c r="CF225" i="2"/>
  <c r="CE225" i="2"/>
  <c r="BP225" i="2"/>
  <c r="E225" i="2"/>
  <c r="CF224" i="2"/>
  <c r="CE224" i="2"/>
  <c r="BP224" i="2"/>
  <c r="E224" i="2"/>
  <c r="CF223" i="2"/>
  <c r="CE223" i="2"/>
  <c r="BP223" i="2"/>
  <c r="E223" i="2"/>
  <c r="CF222" i="2"/>
  <c r="CE222" i="2"/>
  <c r="BP222" i="2"/>
  <c r="E222" i="2"/>
  <c r="CF221" i="2"/>
  <c r="CE221" i="2"/>
  <c r="BP221" i="2"/>
  <c r="E221" i="2"/>
  <c r="CF220" i="2"/>
  <c r="CE220" i="2"/>
  <c r="BP220" i="2"/>
  <c r="E220" i="2"/>
  <c r="CF219" i="2"/>
  <c r="CE219" i="2"/>
  <c r="BP219" i="2"/>
  <c r="E219" i="2"/>
  <c r="BP218" i="2"/>
  <c r="BP217" i="2"/>
  <c r="BP216" i="2"/>
  <c r="BP215" i="2"/>
  <c r="BP214" i="2"/>
  <c r="BP213" i="2"/>
  <c r="BP212" i="2"/>
  <c r="BP211" i="2"/>
  <c r="BP210" i="2"/>
  <c r="BP209" i="2"/>
  <c r="BP208" i="2"/>
  <c r="BP207" i="2"/>
  <c r="BP206" i="2"/>
  <c r="BP205" i="2"/>
  <c r="BP204" i="2"/>
  <c r="BP203" i="2"/>
  <c r="BP202" i="2"/>
  <c r="BP201" i="2"/>
  <c r="BP200" i="2"/>
  <c r="BP199" i="2"/>
  <c r="BP198" i="2"/>
  <c r="BP197" i="2"/>
  <c r="BP196" i="2"/>
  <c r="BP195" i="2"/>
  <c r="BP194" i="2"/>
  <c r="BP193" i="2"/>
  <c r="BP192" i="2"/>
  <c r="BP191" i="2"/>
  <c r="BP190" i="2"/>
  <c r="BP189" i="2"/>
  <c r="BP188" i="2"/>
  <c r="BP187" i="2"/>
  <c r="BP186" i="2"/>
  <c r="BP185" i="2"/>
  <c r="BP184" i="2"/>
  <c r="BP183" i="2"/>
  <c r="BP182" i="2"/>
  <c r="BP181" i="2"/>
  <c r="BP180" i="2"/>
  <c r="BP179" i="2"/>
  <c r="BP178" i="2"/>
  <c r="BP177" i="2"/>
  <c r="BP176" i="2"/>
  <c r="BP175" i="2"/>
  <c r="BP174" i="2"/>
  <c r="BP173" i="2"/>
  <c r="BP172" i="2"/>
  <c r="BP171" i="2"/>
  <c r="BP170" i="2"/>
  <c r="BP169" i="2"/>
  <c r="BP168" i="2"/>
  <c r="BP167" i="2"/>
  <c r="BP166" i="2"/>
  <c r="BP165" i="2"/>
  <c r="BP164" i="2"/>
  <c r="BP163" i="2"/>
  <c r="BP162" i="2"/>
  <c r="BP161" i="2"/>
  <c r="BP160" i="2"/>
  <c r="BP159" i="2"/>
  <c r="BP158" i="2"/>
  <c r="BP157" i="2"/>
  <c r="BP156" i="2"/>
  <c r="BP155" i="2"/>
  <c r="BP154" i="2"/>
  <c r="BP153" i="2"/>
  <c r="BP152" i="2"/>
  <c r="BP151" i="2"/>
  <c r="BP150" i="2"/>
  <c r="BP149" i="2"/>
  <c r="BP148" i="2"/>
  <c r="BP147" i="2"/>
  <c r="BP146" i="2"/>
  <c r="BP145" i="2"/>
  <c r="BP144" i="2"/>
  <c r="BP143" i="2"/>
  <c r="BP142" i="2"/>
  <c r="BP141" i="2"/>
  <c r="BP140" i="2"/>
  <c r="BP139" i="2"/>
  <c r="BP138" i="2"/>
  <c r="BP137" i="2"/>
  <c r="BP136" i="2"/>
  <c r="BP135" i="2"/>
  <c r="BP134" i="2"/>
  <c r="BP133" i="2"/>
  <c r="BP132" i="2"/>
  <c r="BP131" i="2"/>
  <c r="BP130" i="2"/>
  <c r="BP129" i="2"/>
  <c r="BP128" i="2"/>
  <c r="BP127" i="2"/>
  <c r="BP126" i="2"/>
  <c r="BP125" i="2"/>
  <c r="BP124" i="2"/>
  <c r="BP123" i="2"/>
  <c r="BP122" i="2"/>
  <c r="BP121" i="2"/>
  <c r="BP120" i="2"/>
  <c r="BP119" i="2"/>
  <c r="BP118" i="2"/>
  <c r="BP117" i="2"/>
  <c r="BP116" i="2"/>
  <c r="BP115" i="2"/>
  <c r="BP114" i="2"/>
  <c r="BP113" i="2"/>
  <c r="BP112" i="2"/>
  <c r="BP111" i="2"/>
  <c r="BP110" i="2"/>
  <c r="BP109" i="2"/>
  <c r="CE218" i="2"/>
  <c r="T218" i="2"/>
  <c r="G218" i="2"/>
  <c r="F218" i="2"/>
  <c r="E218" i="2"/>
  <c r="CE217" i="2"/>
  <c r="T217" i="2"/>
  <c r="G217" i="2"/>
  <c r="F217" i="2"/>
  <c r="E217" i="2"/>
  <c r="CE216" i="2"/>
  <c r="T216" i="2"/>
  <c r="G216" i="2"/>
  <c r="F216" i="2"/>
  <c r="E216" i="2"/>
  <c r="CE215" i="2"/>
  <c r="T215" i="2"/>
  <c r="G215" i="2"/>
  <c r="F215" i="2"/>
  <c r="E215" i="2"/>
  <c r="CE214" i="2"/>
  <c r="T214" i="2"/>
  <c r="G214" i="2"/>
  <c r="F214" i="2"/>
  <c r="E214" i="2"/>
  <c r="CE213" i="2"/>
  <c r="T213" i="2"/>
  <c r="G213" i="2"/>
  <c r="F213" i="2"/>
  <c r="E213" i="2"/>
  <c r="CE212" i="2"/>
  <c r="T212" i="2"/>
  <c r="G212" i="2"/>
  <c r="F212" i="2"/>
  <c r="E212" i="2"/>
  <c r="CE211" i="2"/>
  <c r="T211" i="2"/>
  <c r="G211" i="2"/>
  <c r="F211" i="2"/>
  <c r="E211" i="2"/>
  <c r="CE210" i="2"/>
  <c r="T210" i="2"/>
  <c r="G210" i="2"/>
  <c r="F210" i="2"/>
  <c r="E210" i="2"/>
  <c r="CE209" i="2"/>
  <c r="T209" i="2"/>
  <c r="G209" i="2"/>
  <c r="F209" i="2"/>
  <c r="E209" i="2"/>
  <c r="CE208" i="2"/>
  <c r="T208" i="2"/>
  <c r="G208" i="2"/>
  <c r="F208" i="2"/>
  <c r="E208" i="2"/>
  <c r="CE207" i="2"/>
  <c r="T207" i="2"/>
  <c r="G207" i="2"/>
  <c r="F207" i="2"/>
  <c r="E207" i="2"/>
  <c r="CE206" i="2"/>
  <c r="T206" i="2"/>
  <c r="G206" i="2"/>
  <c r="F206" i="2"/>
  <c r="E206" i="2"/>
  <c r="CE205" i="2"/>
  <c r="T205" i="2"/>
  <c r="G205" i="2"/>
  <c r="F205" i="2"/>
  <c r="E205" i="2"/>
  <c r="CE204" i="2"/>
  <c r="T204" i="2"/>
  <c r="G204" i="2"/>
  <c r="F204" i="2"/>
  <c r="E204" i="2"/>
  <c r="CE203" i="2"/>
  <c r="T203" i="2"/>
  <c r="G203" i="2"/>
  <c r="F203" i="2"/>
  <c r="E203" i="2"/>
  <c r="CE202" i="2"/>
  <c r="T202" i="2"/>
  <c r="G202" i="2"/>
  <c r="F202" i="2"/>
  <c r="E202" i="2"/>
  <c r="CE201" i="2"/>
  <c r="T201" i="2"/>
  <c r="G201" i="2"/>
  <c r="F201" i="2"/>
  <c r="E201" i="2"/>
  <c r="CE200" i="2"/>
  <c r="T200" i="2"/>
  <c r="G200" i="2"/>
  <c r="F200" i="2"/>
  <c r="E200" i="2"/>
  <c r="CE199" i="2"/>
  <c r="T199" i="2"/>
  <c r="G199" i="2"/>
  <c r="F199" i="2"/>
  <c r="E199" i="2"/>
  <c r="CE198" i="2"/>
  <c r="T198" i="2"/>
  <c r="G198" i="2"/>
  <c r="F198" i="2"/>
  <c r="E198" i="2"/>
  <c r="CE197" i="2"/>
  <c r="T197" i="2"/>
  <c r="G197" i="2"/>
  <c r="F197" i="2"/>
  <c r="E197" i="2"/>
  <c r="CE196" i="2"/>
  <c r="T196" i="2"/>
  <c r="G196" i="2"/>
  <c r="F196" i="2"/>
  <c r="E196" i="2"/>
  <c r="CE195" i="2"/>
  <c r="T195" i="2"/>
  <c r="G195" i="2"/>
  <c r="F195" i="2"/>
  <c r="E195" i="2"/>
  <c r="CE194" i="2"/>
  <c r="T194" i="2"/>
  <c r="G194" i="2"/>
  <c r="F194" i="2"/>
  <c r="E194" i="2"/>
  <c r="CE193" i="2"/>
  <c r="T193" i="2"/>
  <c r="G193" i="2"/>
  <c r="F193" i="2"/>
  <c r="E193" i="2"/>
  <c r="CE192" i="2"/>
  <c r="T192" i="2"/>
  <c r="G192" i="2"/>
  <c r="F192" i="2"/>
  <c r="E192" i="2"/>
  <c r="CE191" i="2"/>
  <c r="T191" i="2"/>
  <c r="G191" i="2"/>
  <c r="F191" i="2"/>
  <c r="E191" i="2"/>
  <c r="CE190" i="2"/>
  <c r="T190" i="2"/>
  <c r="G190" i="2"/>
  <c r="F190" i="2"/>
  <c r="E190" i="2"/>
  <c r="CE189" i="2"/>
  <c r="T189" i="2"/>
  <c r="G189" i="2"/>
  <c r="F189" i="2"/>
  <c r="E189" i="2"/>
  <c r="CE188" i="2"/>
  <c r="T188" i="2"/>
  <c r="G188" i="2"/>
  <c r="F188" i="2"/>
  <c r="E188" i="2"/>
  <c r="CE187" i="2"/>
  <c r="T187" i="2"/>
  <c r="G187" i="2"/>
  <c r="F187" i="2"/>
  <c r="E187" i="2"/>
  <c r="CE186" i="2"/>
  <c r="T186" i="2"/>
  <c r="G186" i="2"/>
  <c r="F186" i="2"/>
  <c r="E186" i="2"/>
  <c r="CE185" i="2"/>
  <c r="T185" i="2"/>
  <c r="G185" i="2"/>
  <c r="F185" i="2"/>
  <c r="E185" i="2"/>
  <c r="CE184" i="2"/>
  <c r="T184" i="2"/>
  <c r="G184" i="2"/>
  <c r="F184" i="2"/>
  <c r="E184" i="2"/>
  <c r="CE183" i="2"/>
  <c r="T183" i="2"/>
  <c r="G183" i="2"/>
  <c r="F183" i="2"/>
  <c r="E183" i="2"/>
  <c r="CE182" i="2"/>
  <c r="T182" i="2"/>
  <c r="G182" i="2"/>
  <c r="F182" i="2"/>
  <c r="E182" i="2"/>
  <c r="CE181" i="2"/>
  <c r="T181" i="2"/>
  <c r="G181" i="2"/>
  <c r="F181" i="2"/>
  <c r="E181" i="2"/>
  <c r="CE180" i="2"/>
  <c r="T180" i="2"/>
  <c r="G180" i="2"/>
  <c r="F180" i="2"/>
  <c r="E180" i="2"/>
  <c r="CE179" i="2"/>
  <c r="T179" i="2"/>
  <c r="G179" i="2"/>
  <c r="F179" i="2"/>
  <c r="E179" i="2"/>
  <c r="CE178" i="2"/>
  <c r="T178" i="2"/>
  <c r="G178" i="2"/>
  <c r="F178" i="2"/>
  <c r="E178" i="2"/>
  <c r="CE177" i="2"/>
  <c r="T177" i="2"/>
  <c r="G177" i="2"/>
  <c r="F177" i="2"/>
  <c r="E177" i="2"/>
  <c r="CE176" i="2"/>
  <c r="T176" i="2"/>
  <c r="G176" i="2"/>
  <c r="F176" i="2"/>
  <c r="E176" i="2"/>
  <c r="CE175" i="2"/>
  <c r="T175" i="2"/>
  <c r="G175" i="2"/>
  <c r="F175" i="2"/>
  <c r="E175" i="2"/>
  <c r="CE174" i="2"/>
  <c r="T174" i="2"/>
  <c r="G174" i="2"/>
  <c r="F174" i="2"/>
  <c r="E174" i="2"/>
  <c r="CE173" i="2"/>
  <c r="T173" i="2"/>
  <c r="G173" i="2"/>
  <c r="F173" i="2"/>
  <c r="E173" i="2"/>
  <c r="CE172" i="2"/>
  <c r="T172" i="2"/>
  <c r="G172" i="2"/>
  <c r="F172" i="2"/>
  <c r="E172" i="2"/>
  <c r="CE171" i="2"/>
  <c r="T171" i="2"/>
  <c r="G171" i="2"/>
  <c r="F171" i="2"/>
  <c r="E171" i="2"/>
  <c r="CE170" i="2"/>
  <c r="T170" i="2"/>
  <c r="G170" i="2"/>
  <c r="F170" i="2"/>
  <c r="E170" i="2"/>
  <c r="CE169" i="2"/>
  <c r="T169" i="2"/>
  <c r="G169" i="2"/>
  <c r="F169" i="2"/>
  <c r="E169" i="2"/>
  <c r="CE168" i="2"/>
  <c r="T168" i="2"/>
  <c r="G168" i="2"/>
  <c r="F168" i="2"/>
  <c r="E168" i="2"/>
  <c r="T167" i="2"/>
  <c r="G167" i="2"/>
  <c r="F167" i="2"/>
  <c r="E167" i="2"/>
  <c r="G166" i="2"/>
  <c r="F166" i="2"/>
  <c r="E166" i="2"/>
  <c r="T165" i="2"/>
  <c r="G165" i="2"/>
  <c r="F165" i="2"/>
  <c r="E165" i="2"/>
  <c r="T164" i="2"/>
  <c r="G164" i="2"/>
  <c r="F164" i="2"/>
  <c r="E164" i="2"/>
  <c r="T163" i="2"/>
  <c r="G163" i="2"/>
  <c r="F163" i="2"/>
  <c r="E163" i="2"/>
  <c r="T162" i="2"/>
  <c r="G162" i="2"/>
  <c r="F162" i="2"/>
  <c r="E162" i="2"/>
  <c r="T161" i="2"/>
  <c r="G161" i="2"/>
  <c r="F161" i="2"/>
  <c r="E161" i="2"/>
  <c r="T160" i="2"/>
  <c r="G160" i="2"/>
  <c r="F160" i="2"/>
  <c r="E160" i="2"/>
  <c r="T159" i="2"/>
  <c r="G159" i="2"/>
  <c r="F159" i="2"/>
  <c r="E159" i="2"/>
  <c r="G158" i="2"/>
  <c r="F158" i="2"/>
  <c r="E158" i="2"/>
  <c r="T157" i="2"/>
  <c r="G157" i="2"/>
  <c r="F157" i="2"/>
  <c r="E157" i="2"/>
  <c r="T156" i="2"/>
  <c r="G156" i="2"/>
  <c r="F156" i="2"/>
  <c r="E156" i="2"/>
  <c r="T155" i="2"/>
  <c r="G155" i="2"/>
  <c r="F155" i="2"/>
  <c r="E155" i="2"/>
  <c r="T154" i="2"/>
  <c r="G154" i="2"/>
  <c r="F154" i="2"/>
  <c r="E154" i="2"/>
  <c r="T153" i="2"/>
  <c r="G153" i="2"/>
  <c r="F153" i="2"/>
  <c r="E153" i="2"/>
  <c r="T152" i="2"/>
  <c r="G152" i="2"/>
  <c r="F152" i="2"/>
  <c r="E152" i="2"/>
  <c r="T151" i="2"/>
  <c r="G151" i="2"/>
  <c r="F151" i="2"/>
  <c r="E151" i="2"/>
  <c r="T150" i="2"/>
  <c r="G150" i="2"/>
  <c r="F150" i="2"/>
  <c r="E150" i="2"/>
  <c r="T149" i="2"/>
  <c r="G149" i="2"/>
  <c r="F149" i="2"/>
  <c r="E149" i="2"/>
  <c r="T148" i="2"/>
  <c r="G148" i="2"/>
  <c r="F148" i="2"/>
  <c r="E148" i="2"/>
  <c r="T147" i="2"/>
  <c r="G147" i="2"/>
  <c r="F147" i="2"/>
  <c r="E147" i="2"/>
  <c r="T146" i="2"/>
  <c r="G146" i="2"/>
  <c r="F146" i="2"/>
  <c r="E146" i="2"/>
  <c r="T145" i="2"/>
  <c r="G145" i="2"/>
  <c r="F145" i="2"/>
  <c r="E145" i="2"/>
  <c r="G144" i="2"/>
  <c r="F144" i="2"/>
  <c r="E144" i="2"/>
  <c r="T143" i="2"/>
  <c r="G143" i="2"/>
  <c r="F143" i="2"/>
  <c r="E143" i="2"/>
  <c r="G142" i="2"/>
  <c r="F142" i="2"/>
  <c r="E142" i="2"/>
  <c r="T141" i="2"/>
  <c r="G141" i="2"/>
  <c r="F141" i="2"/>
  <c r="E141" i="2"/>
  <c r="G140" i="2"/>
  <c r="F140" i="2"/>
  <c r="E140" i="2"/>
  <c r="T139" i="2"/>
  <c r="G139" i="2"/>
  <c r="F139" i="2"/>
  <c r="E139" i="2"/>
  <c r="S138" i="2"/>
  <c r="G138" i="2"/>
  <c r="F138" i="2"/>
  <c r="E138" i="2"/>
  <c r="S137" i="2"/>
  <c r="G137" i="2"/>
  <c r="F137" i="2"/>
  <c r="E137" i="2"/>
  <c r="T136" i="2"/>
  <c r="G136" i="2"/>
  <c r="F136" i="2"/>
  <c r="E136" i="2"/>
  <c r="S135" i="2"/>
  <c r="G135" i="2"/>
  <c r="F135" i="2"/>
  <c r="E135" i="2"/>
  <c r="S134" i="2"/>
  <c r="G134" i="2"/>
  <c r="F134" i="2"/>
  <c r="E134" i="2"/>
  <c r="S133" i="2"/>
  <c r="G133" i="2"/>
  <c r="F133" i="2"/>
  <c r="E133" i="2"/>
  <c r="S132" i="2"/>
  <c r="G132" i="2"/>
  <c r="F132" i="2"/>
  <c r="E132" i="2"/>
  <c r="S131" i="2"/>
  <c r="G131" i="2"/>
  <c r="F131" i="2"/>
  <c r="E131" i="2"/>
  <c r="S130" i="2"/>
  <c r="G130" i="2"/>
  <c r="F130" i="2"/>
  <c r="E130" i="2"/>
  <c r="S129" i="2"/>
  <c r="G129" i="2"/>
  <c r="F129" i="2"/>
  <c r="E129" i="2"/>
  <c r="S128" i="2"/>
  <c r="G128" i="2"/>
  <c r="F128" i="2"/>
  <c r="E128" i="2"/>
  <c r="S127" i="2"/>
  <c r="G127" i="2"/>
  <c r="F127" i="2"/>
  <c r="E127" i="2"/>
  <c r="G126" i="2"/>
  <c r="F126" i="2"/>
  <c r="E126" i="2"/>
  <c r="G125" i="2"/>
  <c r="F125" i="2"/>
  <c r="E125" i="2"/>
  <c r="G124" i="2"/>
  <c r="F124" i="2"/>
  <c r="E124" i="2"/>
  <c r="G123" i="2"/>
  <c r="F123" i="2"/>
  <c r="E123" i="2"/>
  <c r="G122" i="2"/>
  <c r="F122" i="2"/>
  <c r="E122" i="2"/>
  <c r="G121" i="2"/>
  <c r="F121" i="2"/>
  <c r="E121" i="2"/>
  <c r="G120" i="2"/>
  <c r="F120" i="2"/>
  <c r="E120" i="2"/>
  <c r="G119" i="2"/>
  <c r="F119" i="2"/>
  <c r="E119" i="2"/>
  <c r="G118" i="2"/>
  <c r="F118" i="2"/>
  <c r="E118" i="2"/>
  <c r="G117" i="2"/>
  <c r="F117" i="2"/>
  <c r="E117" i="2"/>
  <c r="G116" i="2"/>
  <c r="F116" i="2"/>
  <c r="E116" i="2"/>
  <c r="G115" i="2"/>
  <c r="F115" i="2"/>
  <c r="E115" i="2"/>
  <c r="G114" i="2"/>
  <c r="F114" i="2"/>
  <c r="E114" i="2"/>
  <c r="G113" i="2"/>
  <c r="F113" i="2"/>
  <c r="E113" i="2"/>
  <c r="G112" i="2"/>
  <c r="F112" i="2"/>
  <c r="E112" i="2"/>
  <c r="G111" i="2"/>
  <c r="F111" i="2"/>
  <c r="E111" i="2"/>
  <c r="G110" i="2"/>
  <c r="F110" i="2"/>
  <c r="E110" i="2"/>
  <c r="G109" i="2"/>
  <c r="F109" i="2"/>
  <c r="E109" i="2"/>
  <c r="CF108" i="2"/>
  <c r="CE108" i="2"/>
  <c r="CF107" i="2"/>
  <c r="CE107" i="2"/>
  <c r="CF106" i="2"/>
  <c r="CE106" i="2"/>
  <c r="CF105" i="2"/>
  <c r="CE105" i="2"/>
  <c r="CF104" i="2"/>
  <c r="CE104" i="2"/>
  <c r="CF103" i="2"/>
  <c r="CE103" i="2"/>
  <c r="CF102" i="2"/>
  <c r="CE102" i="2"/>
  <c r="CF101" i="2"/>
  <c r="CE101" i="2"/>
  <c r="CF100" i="2"/>
  <c r="CE100" i="2"/>
  <c r="CF99" i="2"/>
  <c r="CE99" i="2"/>
  <c r="CF98" i="2"/>
  <c r="CE98" i="2"/>
  <c r="CF97" i="2"/>
  <c r="CE97" i="2"/>
  <c r="CF96" i="2"/>
  <c r="CE96" i="2"/>
  <c r="CF95" i="2"/>
  <c r="CE95" i="2"/>
  <c r="CF94" i="2"/>
  <c r="CE94" i="2"/>
  <c r="CF93" i="2"/>
  <c r="CE93" i="2"/>
  <c r="CF92" i="2"/>
  <c r="CE92" i="2"/>
  <c r="CF91" i="2"/>
  <c r="CE91" i="2"/>
  <c r="CF90" i="2"/>
  <c r="CE90" i="2"/>
  <c r="CF89" i="2"/>
  <c r="CE89" i="2"/>
  <c r="CF88" i="2"/>
  <c r="CE88" i="2"/>
  <c r="CF87" i="2"/>
  <c r="CE87" i="2"/>
  <c r="CF86" i="2"/>
  <c r="CE86" i="2"/>
  <c r="CF85" i="2"/>
  <c r="CE85" i="2"/>
  <c r="CF84" i="2"/>
  <c r="CE84" i="2"/>
  <c r="CF83" i="2"/>
  <c r="CE83" i="2"/>
  <c r="CF82" i="2"/>
  <c r="CE82" i="2"/>
  <c r="CF81" i="2"/>
  <c r="CE81" i="2"/>
  <c r="CF80" i="2"/>
  <c r="CE80" i="2"/>
  <c r="CF79" i="2"/>
  <c r="CE79" i="2"/>
  <c r="CF78" i="2"/>
  <c r="CE78" i="2"/>
  <c r="CF77" i="2"/>
  <c r="CE77" i="2"/>
  <c r="CF76" i="2"/>
  <c r="CE76" i="2"/>
  <c r="CF75" i="2"/>
  <c r="CE75" i="2"/>
  <c r="CF74" i="2"/>
  <c r="CE74" i="2"/>
  <c r="CF73" i="2"/>
  <c r="CE73" i="2"/>
  <c r="CF72" i="2"/>
  <c r="CE72" i="2"/>
  <c r="CF71" i="2"/>
  <c r="CE71" i="2"/>
  <c r="CF70" i="2"/>
  <c r="CE70" i="2"/>
  <c r="CF69" i="2"/>
  <c r="CE69" i="2"/>
  <c r="CF68" i="2"/>
  <c r="CE68" i="2"/>
  <c r="CF67" i="2"/>
  <c r="CE67" i="2"/>
  <c r="CF66" i="2"/>
  <c r="CE66" i="2"/>
  <c r="CF65" i="2"/>
  <c r="CE65" i="2"/>
  <c r="CF64" i="2"/>
  <c r="CE64" i="2"/>
  <c r="CF63" i="2"/>
  <c r="CE63" i="2"/>
  <c r="CF62" i="2"/>
  <c r="CE62" i="2"/>
  <c r="CF61" i="2"/>
  <c r="CE61" i="2"/>
  <c r="CF60" i="2"/>
  <c r="CE60" i="2"/>
  <c r="CF59" i="2"/>
  <c r="CE59" i="2"/>
  <c r="CF58" i="2"/>
  <c r="CE58" i="2"/>
  <c r="BR57" i="2"/>
  <c r="BR56" i="2"/>
  <c r="BR55" i="2"/>
  <c r="BR54" i="2"/>
  <c r="BR53" i="2"/>
  <c r="BR52" i="2"/>
  <c r="BR51" i="2"/>
  <c r="BR50" i="2"/>
  <c r="CF49" i="2"/>
  <c r="CE49" i="2"/>
  <c r="BR49" i="2"/>
  <c r="CF48" i="2"/>
  <c r="CE48" i="2"/>
  <c r="BR48" i="2"/>
  <c r="CF47" i="2"/>
  <c r="CE47" i="2"/>
  <c r="BR47" i="2"/>
  <c r="CF46" i="2"/>
  <c r="CE46" i="2"/>
  <c r="BR46" i="2"/>
  <c r="CF45" i="2"/>
  <c r="CE45" i="2"/>
  <c r="BR45" i="2"/>
  <c r="CF44" i="2"/>
  <c r="CE44" i="2"/>
  <c r="BR44" i="2"/>
  <c r="CF43" i="2"/>
  <c r="CE43" i="2"/>
  <c r="BR43" i="2"/>
  <c r="J43" i="2"/>
  <c r="I43" i="2"/>
  <c r="H43" i="2"/>
  <c r="G43" i="2"/>
  <c r="F43" i="2"/>
  <c r="CF42" i="2"/>
  <c r="CE42" i="2"/>
  <c r="BR42" i="2"/>
  <c r="J42" i="2"/>
  <c r="I42" i="2"/>
  <c r="H42" i="2"/>
  <c r="G42" i="2"/>
  <c r="F42" i="2"/>
  <c r="CF41" i="2"/>
  <c r="CE41" i="2"/>
  <c r="BR41" i="2"/>
  <c r="J41" i="2"/>
  <c r="I41" i="2"/>
  <c r="H41" i="2"/>
  <c r="G41" i="2"/>
  <c r="F41" i="2"/>
  <c r="CF40" i="2"/>
  <c r="CE40" i="2"/>
  <c r="BR40" i="2"/>
  <c r="J40" i="2"/>
  <c r="I40" i="2"/>
  <c r="H40" i="2"/>
  <c r="G40" i="2"/>
  <c r="F40" i="2"/>
  <c r="CF39" i="2"/>
  <c r="CE39" i="2"/>
  <c r="BR39" i="2"/>
  <c r="J39" i="2"/>
  <c r="I39" i="2"/>
  <c r="H39" i="2"/>
  <c r="G39" i="2"/>
  <c r="F39" i="2"/>
  <c r="CF38" i="2"/>
  <c r="CE38" i="2"/>
  <c r="BR38" i="2"/>
  <c r="J38" i="2"/>
  <c r="I38" i="2"/>
  <c r="H38" i="2"/>
  <c r="G38" i="2"/>
  <c r="F38" i="2"/>
  <c r="CF37" i="2"/>
  <c r="CE37" i="2"/>
  <c r="BR37" i="2"/>
  <c r="J37" i="2"/>
  <c r="I37" i="2"/>
  <c r="H37" i="2"/>
  <c r="G37" i="2"/>
  <c r="F37" i="2"/>
  <c r="CF36" i="2"/>
  <c r="CE36" i="2"/>
  <c r="BR36" i="2"/>
  <c r="J36" i="2"/>
  <c r="I36" i="2"/>
  <c r="H36" i="2"/>
  <c r="G36" i="2"/>
  <c r="F36" i="2"/>
  <c r="CF35" i="2"/>
  <c r="CE35" i="2"/>
  <c r="BR35" i="2"/>
  <c r="J35" i="2"/>
  <c r="I35" i="2"/>
  <c r="H35" i="2"/>
  <c r="G35" i="2"/>
  <c r="F35" i="2"/>
  <c r="CF34" i="2"/>
  <c r="CE34" i="2"/>
  <c r="BR34" i="2"/>
  <c r="J34" i="2"/>
  <c r="I34" i="2"/>
  <c r="H34" i="2"/>
  <c r="G34" i="2"/>
  <c r="F34" i="2"/>
  <c r="CF33" i="2"/>
  <c r="CE33" i="2"/>
  <c r="BR33" i="2"/>
  <c r="J33" i="2"/>
  <c r="I33" i="2"/>
  <c r="H33" i="2"/>
  <c r="G33" i="2"/>
  <c r="F33" i="2"/>
  <c r="CF32" i="2"/>
  <c r="CE32" i="2"/>
  <c r="BR32" i="2"/>
  <c r="J32" i="2"/>
  <c r="I32" i="2"/>
  <c r="H32" i="2"/>
  <c r="G32" i="2"/>
  <c r="F32" i="2"/>
  <c r="CF31" i="2"/>
  <c r="CE31" i="2"/>
  <c r="BR31" i="2"/>
  <c r="J31" i="2"/>
  <c r="I31" i="2"/>
  <c r="H31" i="2"/>
  <c r="G31" i="2"/>
  <c r="F31" i="2"/>
  <c r="CF30" i="2"/>
  <c r="CE30" i="2"/>
  <c r="BR30" i="2"/>
  <c r="J30" i="2"/>
  <c r="I30" i="2"/>
  <c r="H30" i="2"/>
  <c r="G30" i="2"/>
  <c r="F30" i="2"/>
  <c r="CF29" i="2"/>
  <c r="CE29" i="2"/>
  <c r="BR29" i="2"/>
  <c r="J29" i="2"/>
  <c r="I29" i="2"/>
  <c r="H29" i="2"/>
  <c r="G29" i="2"/>
  <c r="F29" i="2"/>
  <c r="CF28" i="2"/>
  <c r="CE28" i="2"/>
  <c r="BR28" i="2"/>
  <c r="J28" i="2"/>
  <c r="I28" i="2"/>
  <c r="H28" i="2"/>
  <c r="G28" i="2"/>
  <c r="F28" i="2"/>
  <c r="CF27" i="2"/>
  <c r="CE27" i="2"/>
  <c r="BR27" i="2"/>
  <c r="J27" i="2"/>
  <c r="I27" i="2"/>
  <c r="H27" i="2"/>
  <c r="G27" i="2"/>
  <c r="F27" i="2"/>
  <c r="CF26" i="2"/>
  <c r="CE26" i="2"/>
  <c r="BR26" i="2"/>
  <c r="J26" i="2"/>
  <c r="I26" i="2"/>
  <c r="H26" i="2"/>
  <c r="G26" i="2"/>
  <c r="F26" i="2"/>
  <c r="CF25" i="2"/>
  <c r="CE25" i="2"/>
  <c r="BR25" i="2"/>
  <c r="J25" i="2"/>
  <c r="I25" i="2"/>
  <c r="H25" i="2"/>
  <c r="G25" i="2"/>
  <c r="F25" i="2"/>
  <c r="CF24" i="2"/>
  <c r="CE24" i="2"/>
  <c r="BR24" i="2"/>
  <c r="J24" i="2"/>
  <c r="I24" i="2"/>
  <c r="H24" i="2"/>
  <c r="G24" i="2"/>
  <c r="F24" i="2"/>
  <c r="CF23" i="2"/>
  <c r="CE23" i="2"/>
  <c r="BR23" i="2"/>
  <c r="J23" i="2"/>
  <c r="I23" i="2"/>
  <c r="H23" i="2"/>
  <c r="G23" i="2"/>
  <c r="F23" i="2"/>
  <c r="CF22" i="2"/>
  <c r="CE22" i="2"/>
  <c r="BR22" i="2"/>
  <c r="J22" i="2"/>
  <c r="I22" i="2"/>
  <c r="H22" i="2"/>
  <c r="G22" i="2"/>
  <c r="F22" i="2"/>
  <c r="CF21" i="2"/>
  <c r="CE21" i="2"/>
  <c r="BR21" i="2"/>
  <c r="G21" i="2"/>
  <c r="F21" i="2"/>
  <c r="CF20" i="2"/>
  <c r="CE20" i="2"/>
  <c r="BR20" i="2"/>
  <c r="G20" i="2"/>
  <c r="F20" i="2"/>
  <c r="CF19" i="2"/>
  <c r="CE19" i="2"/>
  <c r="BR19" i="2"/>
  <c r="G19" i="2"/>
  <c r="F19" i="2"/>
  <c r="CF18" i="2"/>
  <c r="CE18" i="2"/>
  <c r="BR18" i="2"/>
  <c r="G18" i="2"/>
  <c r="F18" i="2"/>
  <c r="CF17" i="2"/>
  <c r="CE17" i="2"/>
  <c r="BR17" i="2"/>
  <c r="G17" i="2"/>
  <c r="F17" i="2"/>
  <c r="CF16" i="2"/>
  <c r="CE16" i="2"/>
  <c r="BR16" i="2"/>
  <c r="G16" i="2"/>
  <c r="F16" i="2"/>
  <c r="CF15" i="2"/>
  <c r="CE15" i="2"/>
  <c r="BR15" i="2"/>
  <c r="G15" i="2"/>
  <c r="F15" i="2"/>
  <c r="CF14" i="2"/>
  <c r="CE14" i="2"/>
  <c r="BR14" i="2"/>
  <c r="G14" i="2"/>
  <c r="F14" i="2"/>
  <c r="CF13" i="2"/>
  <c r="CE13" i="2"/>
  <c r="BR13" i="2"/>
  <c r="J13" i="2"/>
  <c r="I13" i="2"/>
  <c r="H13" i="2"/>
  <c r="G13" i="2"/>
  <c r="F13" i="2"/>
  <c r="CF12" i="2"/>
  <c r="CE12" i="2"/>
  <c r="BR12" i="2"/>
  <c r="J12" i="2"/>
  <c r="I12" i="2"/>
  <c r="H12" i="2"/>
  <c r="G12" i="2"/>
  <c r="F12" i="2"/>
  <c r="CF11" i="2"/>
  <c r="CE11" i="2"/>
  <c r="BR11" i="2"/>
  <c r="J11" i="2"/>
  <c r="I11" i="2"/>
  <c r="H11" i="2"/>
  <c r="G11" i="2"/>
  <c r="F11" i="2"/>
  <c r="CF10" i="2"/>
  <c r="CE10" i="2"/>
  <c r="BR10" i="2"/>
  <c r="J10" i="2"/>
  <c r="I10" i="2"/>
  <c r="H10" i="2"/>
  <c r="G10" i="2"/>
  <c r="F10" i="2"/>
  <c r="CF9" i="2"/>
  <c r="CE9" i="2"/>
  <c r="BR9" i="2"/>
  <c r="J9" i="2"/>
  <c r="I9" i="2"/>
  <c r="H9" i="2"/>
  <c r="G9" i="2"/>
  <c r="F9" i="2"/>
  <c r="CF8" i="2"/>
  <c r="CE8" i="2"/>
  <c r="BR8" i="2"/>
  <c r="J8" i="2"/>
  <c r="I8" i="2"/>
  <c r="H8" i="2"/>
  <c r="G8" i="2"/>
  <c r="F8" i="2"/>
  <c r="CF7" i="2"/>
  <c r="CE7" i="2"/>
  <c r="BR7" i="2"/>
  <c r="J7" i="2"/>
  <c r="I7" i="2"/>
  <c r="H7" i="2"/>
  <c r="G7" i="2"/>
  <c r="F7" i="2"/>
  <c r="CF6" i="2"/>
  <c r="CE6" i="2"/>
  <c r="BR6" i="2"/>
  <c r="J6" i="2"/>
  <c r="I6" i="2"/>
  <c r="H6" i="2"/>
  <c r="G6" i="2"/>
  <c r="F6" i="2"/>
  <c r="CF5" i="2"/>
  <c r="CE5" i="2"/>
  <c r="BR5" i="2"/>
  <c r="J5" i="2"/>
  <c r="I5" i="2"/>
  <c r="H5" i="2"/>
  <c r="G5" i="2"/>
  <c r="F5" i="2"/>
  <c r="CF4" i="2"/>
  <c r="CE4" i="2"/>
  <c r="BR4" i="2"/>
  <c r="J4" i="2"/>
  <c r="I4" i="2"/>
  <c r="H4" i="2"/>
  <c r="G4" i="2"/>
  <c r="F4" i="2"/>
</calcChain>
</file>

<file path=xl/sharedStrings.xml><?xml version="1.0" encoding="utf-8"?>
<sst xmlns="http://schemas.openxmlformats.org/spreadsheetml/2006/main" count="33688" uniqueCount="460">
  <si>
    <r>
      <rPr>
        <vertAlign val="superscript"/>
        <sz val="10"/>
        <rFont val="Verdana"/>
        <family val="2"/>
      </rPr>
      <t>a</t>
    </r>
    <r>
      <rPr>
        <sz val="12"/>
        <color theme="1"/>
        <rFont val="Calibri"/>
        <family val="2"/>
        <scheme val="minor"/>
      </rPr>
      <t>for definitions of CSF-A, CSF-B and CCSF, please see: https://www.iodp.org/policies-and-guidelines/142-iodp-depth-scales-terminology-april-2011/file</t>
    </r>
  </si>
  <si>
    <t>REFERENCE AND CONTACT INFORMATION</t>
  </si>
  <si>
    <t>SAMPLE IDENTIFICATION</t>
  </si>
  <si>
    <t>AGE CONSTRAINTS</t>
  </si>
  <si>
    <t>ANALYTICAL SPECIFICATIONS</t>
  </si>
  <si>
    <t>VITAL EFFECT</t>
    <phoneticPr fontId="0" type="noConversion"/>
  </si>
  <si>
    <r>
      <rPr>
        <b/>
        <sz val="12"/>
        <rFont val="Calibri (Body)"/>
      </rPr>
      <t>CALCULATED</t>
    </r>
    <r>
      <rPr>
        <b/>
        <sz val="12"/>
        <rFont val="Symbol"/>
        <charset val="2"/>
      </rPr>
      <t xml:space="preserve"> 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borate</t>
    </r>
  </si>
  <si>
    <t>ACCESSORY INPUTS</t>
  </si>
  <si>
    <t>METHOD OF TEMPERATURE DETERMINATION</t>
  </si>
  <si>
    <t>ALTERNATIVE METHOD OF TEMPERATURE RECONSTRUCTION</t>
  </si>
  <si>
    <t>SEAWATER COMPOSITION</t>
  </si>
  <si>
    <t>AQUEOUS BORON ISOTOPE FRACTIONATION</t>
  </si>
  <si>
    <r>
      <t>PARAMETERIZATION OF CO</t>
    </r>
    <r>
      <rPr>
        <b/>
        <vertAlign val="subscript"/>
        <sz val="12"/>
        <color indexed="8"/>
        <rFont val="Calibri"/>
        <family val="2"/>
      </rPr>
      <t>2</t>
    </r>
    <r>
      <rPr>
        <b/>
        <sz val="12"/>
        <color indexed="8"/>
        <rFont val="Calibri"/>
        <family val="2"/>
      </rPr>
      <t xml:space="preserve"> CALCULATION</t>
    </r>
  </si>
  <si>
    <t>SECOND PARAMETER OF THE CARBONATE SYSTEM</t>
  </si>
  <si>
    <t>CALCULATED PARAMETERS OF THE CARBONATE SYSTEM</t>
  </si>
  <si>
    <t>alternative Age (in case different models are available)</t>
  </si>
  <si>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(relative to SRM 951)</t>
    </r>
  </si>
  <si>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Verdana"/>
        <family val="2"/>
      </rPr>
      <t>11</t>
    </r>
    <r>
      <rPr>
        <b/>
        <sz val="12"/>
        <color indexed="8"/>
        <rFont val="Verdana"/>
        <family val="2"/>
      </rPr>
      <t>B</t>
    </r>
    <r>
      <rPr>
        <b/>
        <vertAlign val="subscript"/>
        <sz val="12"/>
        <color indexed="8"/>
        <rFont val="Verdana"/>
        <family val="2"/>
      </rPr>
      <t>c</t>
    </r>
    <r>
      <rPr>
        <b/>
        <sz val="12"/>
        <color indexed="8"/>
        <rFont val="Verdana"/>
        <family val="2"/>
      </rPr>
      <t>/</t>
    </r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Verdana"/>
        <family val="2"/>
      </rPr>
      <t>11</t>
    </r>
    <r>
      <rPr>
        <b/>
        <sz val="12"/>
        <color indexed="8"/>
        <rFont val="Verdana"/>
        <family val="2"/>
      </rPr>
      <t>B</t>
    </r>
    <r>
      <rPr>
        <b/>
        <vertAlign val="subscript"/>
        <sz val="12"/>
        <color indexed="8"/>
        <rFont val="Verdana"/>
        <family val="2"/>
      </rPr>
      <t>borate</t>
    </r>
    <r>
      <rPr>
        <b/>
        <sz val="12"/>
        <color indexed="8"/>
        <rFont val="Verdana"/>
        <family val="2"/>
      </rPr>
      <t xml:space="preserve"> calibration slope</t>
    </r>
  </si>
  <si>
    <r>
      <rPr>
        <b/>
        <sz val="12"/>
        <rFont val="Symbol"/>
        <charset val="2"/>
      </rPr>
      <t>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c</t>
    </r>
    <r>
      <rPr>
        <b/>
        <sz val="12"/>
        <rFont val="Verdana"/>
        <family val="2"/>
      </rPr>
      <t>/</t>
    </r>
    <r>
      <rPr>
        <b/>
        <sz val="12"/>
        <rFont val="Symbol"/>
        <charset val="2"/>
      </rPr>
      <t>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borate</t>
    </r>
    <r>
      <rPr>
        <b/>
        <sz val="12"/>
        <rFont val="Verdana"/>
        <family val="2"/>
      </rPr>
      <t xml:space="preserve"> calibration intercept</t>
    </r>
  </si>
  <si>
    <t>pressure (i.e. depth of foraminifer habitat)</t>
  </si>
  <si>
    <t xml:space="preserve">Temperature </t>
  </si>
  <si>
    <t xml:space="preserve"> Mg/Ca</t>
  </si>
  <si>
    <t>e.g., Alkenone UK'37, TEX 86</t>
  </si>
  <si>
    <t>Salinity</t>
  </si>
  <si>
    <t>[Ca] of seawater at S=35</t>
  </si>
  <si>
    <t>[Mg] of seawater at S=35</t>
  </si>
  <si>
    <t>[SO4] of seawater at S=35</t>
  </si>
  <si>
    <r>
      <t>[B]</t>
    </r>
    <r>
      <rPr>
        <b/>
        <vertAlign val="subscript"/>
        <sz val="12"/>
        <rFont val="Verdana"/>
        <family val="2"/>
      </rPr>
      <t>T</t>
    </r>
    <r>
      <rPr>
        <b/>
        <sz val="12"/>
        <rFont val="Verdana"/>
        <family val="2"/>
      </rPr>
      <t xml:space="preserve"> of seawater at S=35</t>
    </r>
  </si>
  <si>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Calibri"/>
        <family val="2"/>
      </rPr>
      <t>11</t>
    </r>
    <r>
      <rPr>
        <b/>
        <sz val="12"/>
        <color indexed="8"/>
        <rFont val="Calibri"/>
        <family val="2"/>
      </rPr>
      <t>B</t>
    </r>
    <r>
      <rPr>
        <b/>
        <vertAlign val="subscript"/>
        <sz val="12"/>
        <color indexed="8"/>
        <rFont val="Calibri"/>
        <family val="2"/>
      </rPr>
      <t>sw</t>
    </r>
  </si>
  <si>
    <t>pKB</t>
  </si>
  <si>
    <r>
      <rPr>
        <b/>
        <sz val="12"/>
        <rFont val="Symbol"/>
        <charset val="2"/>
      </rPr>
      <t>a</t>
    </r>
    <r>
      <rPr>
        <b/>
        <vertAlign val="subscript"/>
        <sz val="12"/>
        <rFont val="Verdana"/>
        <family val="2"/>
      </rPr>
      <t>B3-B4</t>
    </r>
    <r>
      <rPr>
        <b/>
        <sz val="12"/>
        <rFont val="Verdana"/>
        <family val="2"/>
      </rPr>
      <t xml:space="preserve"> </t>
    </r>
  </si>
  <si>
    <t>if applicable</t>
  </si>
  <si>
    <t>Name of individual entering the data</t>
  </si>
  <si>
    <t>Contact email</t>
  </si>
  <si>
    <t>Reference of the data product</t>
  </si>
  <si>
    <t>DOI link to reference</t>
  </si>
  <si>
    <t>Site (DSDP/ODP/IODP or other site number)</t>
  </si>
  <si>
    <t>Hole</t>
  </si>
  <si>
    <t>Core</t>
  </si>
  <si>
    <t>Section</t>
  </si>
  <si>
    <t>top cm</t>
  </si>
  <si>
    <t>bottom cm</t>
  </si>
  <si>
    <r>
      <t>core depth below seafloor (meters, specify CSF-A or CSF-B where applicable, original IODP record)</t>
    </r>
    <r>
      <rPr>
        <vertAlign val="superscript"/>
        <sz val="12"/>
        <rFont val="Verdana"/>
        <family val="2"/>
      </rPr>
      <t>a</t>
    </r>
  </si>
  <si>
    <r>
      <t>core composite depth below seafloor (meters, CCSF)</t>
    </r>
    <r>
      <rPr>
        <vertAlign val="superscript"/>
        <sz val="12"/>
        <rFont val="Verdana"/>
        <family val="2"/>
      </rPr>
      <t>a</t>
    </r>
  </si>
  <si>
    <t>reference for composite depth</t>
  </si>
  <si>
    <t>Location (e.g., Atlantic, Carribbean, South China Sea etc.)</t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</si>
  <si>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</si>
  <si>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</si>
  <si>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</si>
  <si>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</si>
  <si>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Modern elevation (m), below sea level negative</t>
  </si>
  <si>
    <t>Paleo elevation (m), below sea level negative</t>
  </si>
  <si>
    <t>reference and Method to determine Paleo position</t>
  </si>
  <si>
    <t>notes about any flags in the studied core section</t>
  </si>
  <si>
    <t>type of uncertainty (e.g., set value, normal distribution, +/- range)</t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</si>
  <si>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 (if +/- range is used, it should be separated with a comma, e.g. i,ii, for +i, -ii)</t>
    </r>
  </si>
  <si>
    <t>Age Scale (GTS 20XX)</t>
  </si>
  <si>
    <t>age method (nannofossil biostratigraphy, radiolaria, magnetic polarity, radiometric etc.)</t>
  </si>
  <si>
    <t>reference to age model, if different from primary reference of data set</t>
  </si>
  <si>
    <t>foraminifer species analyzed</t>
  </si>
  <si>
    <t>foraminifer size class (µm)</t>
  </si>
  <si>
    <t xml:space="preserve">number of foraminifera shells per sample </t>
  </si>
  <si>
    <t>total sample weight (mg)</t>
  </si>
  <si>
    <t>Reference for sample  cleaning procedure</t>
  </si>
  <si>
    <t>Boron separation method (e.g., column chemistry, microsublimation)</t>
  </si>
  <si>
    <t>analytical Method (e.g., MC-ICP-MS, P-TIMS, N-TIMS etc)</t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</si>
  <si>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 (‰, average of replicates)</t>
    </r>
  </si>
  <si>
    <t>type of uncertainty (e.g., set value, normal distribution, specify whether uncertainty is presented as standard deviation or standard error)</t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</si>
  <si>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 (report internal or external reproducibility, whichever is larger)</t>
    </r>
  </si>
  <si>
    <t>slope value</t>
  </si>
  <si>
    <t>type of uncertainty (e.g., set value, normal distribution)</t>
  </si>
  <si>
    <r>
      <t>2</t>
    </r>
    <r>
      <rPr>
        <sz val="12"/>
        <color theme="1"/>
        <rFont val="Symbol"/>
        <charset val="2"/>
      </rPr>
      <t xml:space="preserve">s </t>
    </r>
    <r>
      <rPr>
        <sz val="12"/>
        <color theme="1"/>
        <rFont val="Verdana"/>
        <family val="2"/>
      </rPr>
      <t>uncertainty</t>
    </r>
  </si>
  <si>
    <t>intercept value</t>
  </si>
  <si>
    <t>Reference for calibration slope</t>
  </si>
  <si>
    <t>Notes (e.g., shell size corrected?)</t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</si>
  <si>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</t>
    </r>
    <r>
      <rPr>
        <vertAlign val="subscript"/>
        <sz val="12"/>
        <color theme="1"/>
        <rFont val="Verdana"/>
        <family val="2"/>
      </rPr>
      <t xml:space="preserve">borate </t>
    </r>
    <r>
      <rPr>
        <sz val="12"/>
        <color theme="1"/>
        <rFont val="Verdana"/>
        <family val="2"/>
      </rPr>
      <t>(‰)</t>
    </r>
  </si>
  <si>
    <t>Error propagation method</t>
  </si>
  <si>
    <t>depth habitat (m)</t>
  </si>
  <si>
    <t>temperature (°C)</t>
  </si>
  <si>
    <t>Mg/Ca  (mmol/mol, average of replicates)</t>
  </si>
  <si>
    <t>temperature calibration equation</t>
  </si>
  <si>
    <t>reference for temperature calibration equation</t>
  </si>
  <si>
    <t>salinity correction (list reference if applied)</t>
  </si>
  <si>
    <t>dissolution correction (list reference if applied)</t>
  </si>
  <si>
    <t>pH correction (list reference if applied)</t>
  </si>
  <si>
    <t>average proxy value (please specify units)</t>
  </si>
  <si>
    <t xml:space="preserve">temperature calibration equation </t>
  </si>
  <si>
    <r>
      <t xml:space="preserve">used same sample material as for </t>
    </r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analyses? If not, provide details</t>
    </r>
  </si>
  <si>
    <t>Salinity (unit-less)</t>
  </si>
  <si>
    <t>method of salinity estimation (list reference if applicable)</t>
  </si>
  <si>
    <t xml:space="preserve">reference for [Ca] of seawater value </t>
  </si>
  <si>
    <t>reference for [Mg] of seawater value</t>
  </si>
  <si>
    <t>reference for [SO4] of seawater value</t>
  </si>
  <si>
    <r>
      <t>reference for [B]</t>
    </r>
    <r>
      <rPr>
        <vertAlign val="subscript"/>
        <sz val="12"/>
        <rFont val="Verdana"/>
        <family val="2"/>
      </rPr>
      <t>T</t>
    </r>
    <r>
      <rPr>
        <sz val="12"/>
        <rFont val="Verdana"/>
        <family val="2"/>
      </rPr>
      <t xml:space="preserve"> value</t>
    </r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</si>
  <si>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</t>
    </r>
    <r>
      <rPr>
        <vertAlign val="subscript"/>
        <sz val="12"/>
        <color theme="1"/>
        <rFont val="Verdana"/>
        <family val="2"/>
      </rPr>
      <t>sw</t>
    </r>
    <r>
      <rPr>
        <sz val="12"/>
        <color theme="1"/>
        <rFont val="Verdana"/>
        <family val="2"/>
      </rPr>
      <t xml:space="preserve"> (‰)</t>
    </r>
  </si>
  <si>
    <r>
      <t xml:space="preserve">reference  for </t>
    </r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</t>
    </r>
    <r>
      <rPr>
        <vertAlign val="subscript"/>
        <sz val="12"/>
        <rFont val="Verdana"/>
        <family val="2"/>
      </rPr>
      <t>sw</t>
    </r>
  </si>
  <si>
    <t>reference for pKB and for correction of major ion composition, if applied</t>
  </si>
  <si>
    <t>reference for pressure effect on pKB</t>
  </si>
  <si>
    <r>
      <t xml:space="preserve">value for </t>
    </r>
    <r>
      <rPr>
        <sz val="12"/>
        <color theme="1"/>
        <rFont val="Symbol"/>
        <charset val="2"/>
      </rPr>
      <t>a</t>
    </r>
    <r>
      <rPr>
        <vertAlign val="subscript"/>
        <sz val="12"/>
        <color theme="1"/>
        <rFont val="Verdana"/>
        <family val="2"/>
      </rPr>
      <t>B3-B4</t>
    </r>
    <r>
      <rPr>
        <sz val="12"/>
        <color theme="1"/>
        <rFont val="Verdana"/>
        <family val="2"/>
      </rPr>
      <t xml:space="preserve"> </t>
    </r>
  </si>
  <si>
    <r>
      <t xml:space="preserve">equation for temperature correction of </t>
    </r>
    <r>
      <rPr>
        <sz val="12"/>
        <rFont val="Symbol"/>
        <charset val="2"/>
      </rPr>
      <t>a</t>
    </r>
    <r>
      <rPr>
        <vertAlign val="subscript"/>
        <sz val="12"/>
        <rFont val="Verdana"/>
        <family val="2"/>
      </rPr>
      <t>B3-B4</t>
    </r>
    <r>
      <rPr>
        <sz val="12"/>
        <rFont val="Verdana"/>
        <family val="2"/>
      </rPr>
      <t xml:space="preserve"> (if applied)</t>
    </r>
  </si>
  <si>
    <r>
      <t xml:space="preserve">reference for temperature correction of </t>
    </r>
    <r>
      <rPr>
        <sz val="12"/>
        <rFont val="Symbol"/>
        <charset val="2"/>
      </rPr>
      <t>a</t>
    </r>
    <r>
      <rPr>
        <vertAlign val="subscript"/>
        <sz val="12"/>
        <rFont val="Verdana"/>
        <family val="2"/>
      </rPr>
      <t>B3-B4</t>
    </r>
    <r>
      <rPr>
        <sz val="12"/>
        <rFont val="Verdana"/>
        <family val="2"/>
      </rPr>
      <t xml:space="preserve"> (if applied)</t>
    </r>
  </si>
  <si>
    <r>
      <t>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calculation program and version, e.g. CO2SYS, seacarb, other (please specify)</t>
    </r>
  </si>
  <si>
    <t>reference for pK0 and for correction of major ion composition, if applied</t>
  </si>
  <si>
    <t>reference for pK1 and for correction of major ion composition, if applied</t>
  </si>
  <si>
    <t>reference for pK2 and for correction of major ion composition, if applied</t>
  </si>
  <si>
    <r>
      <t>reference for pKHSO</t>
    </r>
    <r>
      <rPr>
        <vertAlign val="subscript"/>
        <sz val="12"/>
        <color theme="1"/>
        <rFont val="Verdana"/>
        <family val="2"/>
      </rPr>
      <t>4</t>
    </r>
  </si>
  <si>
    <r>
      <t>reference for pKsp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and pKsp</t>
    </r>
    <r>
      <rPr>
        <vertAlign val="subscript"/>
        <sz val="12"/>
        <rFont val="Verdana"/>
        <family val="2"/>
      </rPr>
      <t xml:space="preserve">aragonite </t>
    </r>
    <r>
      <rPr>
        <sz val="12"/>
        <rFont val="Verdana"/>
        <family val="2"/>
      </rPr>
      <t>and for correction of major ion composition, if applied</t>
    </r>
  </si>
  <si>
    <r>
      <t>reference for pressure effect on pKsp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and pKsp</t>
    </r>
    <r>
      <rPr>
        <vertAlign val="subscript"/>
        <sz val="12"/>
        <rFont val="Verdana"/>
        <family val="2"/>
      </rPr>
      <t>aragonite</t>
    </r>
  </si>
  <si>
    <r>
      <t>Parameter used (e.g., alkalinity</t>
    </r>
    <r>
      <rPr>
        <sz val="12"/>
        <rFont val="Verdana"/>
        <family val="2"/>
      </rPr>
      <t>, DIC, [CO</t>
    </r>
    <r>
      <rPr>
        <vertAlign val="subscript"/>
        <sz val="12"/>
        <rFont val="Verdana"/>
        <family val="2"/>
      </rPr>
      <t>3</t>
    </r>
    <r>
      <rPr>
        <vertAlign val="superscript"/>
        <sz val="12"/>
        <rFont val="Verdana"/>
        <family val="2"/>
      </rPr>
      <t>2-</t>
    </r>
    <r>
      <rPr>
        <sz val="12"/>
        <rFont val="Verdana"/>
        <family val="2"/>
      </rPr>
      <t>]</t>
    </r>
  </si>
  <si>
    <r>
      <t xml:space="preserve">Method for deriving 2nd parameter (e.g., CCD, </t>
    </r>
    <r>
      <rPr>
        <sz val="12"/>
        <rFont val="Symbol"/>
        <charset val="2"/>
      </rPr>
      <t>W</t>
    </r>
    <r>
      <rPr>
        <sz val="12"/>
        <rFont val="Verdana"/>
        <family val="2"/>
      </rPr>
      <t>, LOSCAR, GENIE, code can be submitted as supplement)</t>
    </r>
  </si>
  <si>
    <t>Reference for second parameter (if not primary reference of data set)</t>
  </si>
  <si>
    <r>
      <rPr>
        <sz val="12"/>
        <color theme="1"/>
        <rFont val="Symbol"/>
        <charset val="2"/>
      </rPr>
      <t>W</t>
    </r>
    <r>
      <rPr>
        <vertAlign val="subscript"/>
        <sz val="12"/>
        <color theme="1"/>
        <rFont val="Verdana"/>
        <family val="2"/>
      </rPr>
      <t xml:space="preserve">calcite </t>
    </r>
    <r>
      <rPr>
        <sz val="12"/>
        <color theme="1"/>
        <rFont val="Verdana"/>
        <family val="2"/>
      </rPr>
      <t>(if used as a constraint)</t>
    </r>
  </si>
  <si>
    <t>pH</t>
  </si>
  <si>
    <r>
      <t>Aqueous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(µatm)</t>
    </r>
  </si>
  <si>
    <r>
      <t>Air-sea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disequilibrium (µatm)</t>
    </r>
  </si>
  <si>
    <t xml:space="preserve">Notes about air-sea disequilibrium: what is the estimate based on; are there assumptions on seasonality? </t>
  </si>
  <si>
    <r>
      <rPr>
        <vertAlign val="superscript"/>
        <sz val="12"/>
        <rFont val="Verdana"/>
        <family val="2"/>
      </rPr>
      <t>b</t>
    </r>
    <r>
      <rPr>
        <sz val="12"/>
        <rFont val="Verdana"/>
        <family val="2"/>
      </rPr>
      <t>Atmospheric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(i.e. after correction for any modern air-sea disequilibrium, µatm)</t>
    </r>
  </si>
  <si>
    <t>Error propagation method (code can be provided in supplement)</t>
  </si>
  <si>
    <r>
      <t>parameters included in the error propagation (e.g., calibration uncertainty,</t>
    </r>
    <r>
      <rPr>
        <sz val="12"/>
        <rFont val="Symbol"/>
        <charset val="2"/>
      </rPr>
      <t xml:space="preserve"> 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</t>
    </r>
    <r>
      <rPr>
        <vertAlign val="subscript"/>
        <sz val="12"/>
        <rFont val="Verdana"/>
        <family val="2"/>
      </rPr>
      <t>sw</t>
    </r>
    <r>
      <rPr>
        <sz val="12"/>
        <rFont val="Verdana"/>
        <family val="2"/>
      </rPr>
      <t>, T, S, second parameter of the carbonate system)</t>
    </r>
  </si>
  <si>
    <r>
      <rPr>
        <vertAlign val="superscript"/>
        <sz val="12"/>
        <rFont val="Verdana"/>
        <family val="2"/>
      </rPr>
      <t>c</t>
    </r>
    <r>
      <rPr>
        <sz val="12"/>
        <rFont val="Verdana"/>
        <family val="2"/>
      </rPr>
      <t>Alkalinity (µmol/kg, if not used as an input parameter)</t>
    </r>
  </si>
  <si>
    <t>DIC (µmol/kg, if not used as an input parameter</t>
  </si>
  <si>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calcite</t>
    </r>
    <r>
      <rPr>
        <sz val="12"/>
        <rFont val="Verdana"/>
        <family val="2"/>
      </rPr>
      <t>, if not used as an input parameter</t>
    </r>
  </si>
  <si>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aragonite</t>
    </r>
    <r>
      <rPr>
        <sz val="12"/>
        <rFont val="Verdana"/>
        <family val="2"/>
      </rPr>
      <t>, if not used as an input parameter</t>
    </r>
  </si>
  <si>
    <t>Additional Notes</t>
  </si>
  <si>
    <t>Basic Info</t>
  </si>
  <si>
    <t>proxy</t>
  </si>
  <si>
    <t>first_author_last_name</t>
  </si>
  <si>
    <t>publication_year</t>
  </si>
  <si>
    <t>doi</t>
  </si>
  <si>
    <t>age_ka</t>
  </si>
  <si>
    <t>Age_uncertainty_pos_ka</t>
  </si>
  <si>
    <t>Age_uncertainty_neg_ka</t>
  </si>
  <si>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of individual replicate measurements of the same solution; separate by commas</t>
    </r>
  </si>
  <si>
    <t>Mg/Ca of individual replicate measurements; separate replicates by commas</t>
  </si>
  <si>
    <t>proxy value of individual replicate measurements; separate replicates by commas</t>
  </si>
  <si>
    <t>central value (µmol/kg)</t>
  </si>
  <si>
    <t>Age (ka)</t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</si>
  <si>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Age uncertainty pos (ka)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</si>
  <si>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Age uncertainty neg (ka)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</si>
  <si>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temperature pos (°C)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</si>
  <si>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temperature neg (°C)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</si>
  <si>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Mg uncertainty pos (mmol/mol)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</si>
  <si>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Mg/Ca uncertainty neg (mmol/mol)</t>
    </r>
  </si>
  <si>
    <t>[Ca] (mmol/kg)</t>
  </si>
  <si>
    <t>[Mg] (mmol/kg)</t>
  </si>
  <si>
    <t>[SO4] (mmol/kg)</t>
  </si>
  <si>
    <r>
      <t>[B]</t>
    </r>
    <r>
      <rPr>
        <vertAlign val="subscript"/>
        <sz val="12"/>
        <color theme="1"/>
        <rFont val="Verdana"/>
        <family val="2"/>
      </rPr>
      <t xml:space="preserve">T </t>
    </r>
    <r>
      <rPr>
        <sz val="12"/>
        <color theme="1"/>
        <rFont val="Verdana"/>
        <family val="2"/>
      </rPr>
      <t>(µmol/kg)</t>
    </r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</si>
  <si>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</si>
  <si>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pos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</si>
  <si>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neg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</si>
  <si>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pCO2 uncertainty pos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</si>
  <si>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pCO2 uncertainty neg</t>
    </r>
  </si>
  <si>
    <t>boron isotopes</t>
  </si>
  <si>
    <t>modern reference pH scale (e.g., total scale, seawater scale)</t>
  </si>
  <si>
    <t>N number of replicates</t>
  </si>
  <si>
    <t>2se of replicates</t>
  </si>
  <si>
    <t>A</t>
  </si>
  <si>
    <t>Carribbean</t>
  </si>
  <si>
    <t>none</t>
  </si>
  <si>
    <t>set value</t>
  </si>
  <si>
    <t>NA</t>
  </si>
  <si>
    <t>300-355</t>
  </si>
  <si>
    <t>MC-ICPMS</t>
  </si>
  <si>
    <t>normal distribution</t>
  </si>
  <si>
    <t>none applied</t>
  </si>
  <si>
    <t>total scale</t>
  </si>
  <si>
    <r>
      <t xml:space="preserve">reference for </t>
    </r>
    <r>
      <rPr>
        <sz val="12"/>
        <color rgb="FF000000"/>
        <rFont val="Symbol"/>
        <charset val="2"/>
      </rPr>
      <t>a</t>
    </r>
    <r>
      <rPr>
        <vertAlign val="subscript"/>
        <sz val="12"/>
        <color rgb="FF000000"/>
        <rFont val="Verdana"/>
        <family val="2"/>
      </rPr>
      <t>B3-B4</t>
    </r>
  </si>
  <si>
    <t>2s alkalinity uncertainty pos</t>
  </si>
  <si>
    <t>2s alkalinity uncertainty neg</t>
  </si>
  <si>
    <t>2s DIC uncertainty pos</t>
  </si>
  <si>
    <t>2s DIC uncertainty neg</t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</si>
  <si>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</si>
  <si>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calcite neg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</si>
  <si>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 xml:space="preserve">aragonite </t>
    </r>
    <r>
      <rPr>
        <sz val="12"/>
        <rFont val="Verdana"/>
        <family val="2"/>
      </rPr>
      <t>pos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</si>
  <si>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pos (µmol/kg)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</si>
  <si>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neg (µmol/kg)</t>
    </r>
  </si>
  <si>
    <r>
      <rPr>
        <vertAlign val="superscript"/>
        <sz val="10"/>
        <rFont val="Verdana"/>
        <family val="2"/>
      </rPr>
      <t>b</t>
    </r>
    <r>
      <rPr>
        <sz val="12"/>
        <color theme="1"/>
        <rFont val="Calibri"/>
        <family val="2"/>
        <scheme val="minor"/>
      </rPr>
      <t>this spreadsheet is specifically designed for boron isotope records aimed at paleo-pCO</t>
    </r>
    <r>
      <rPr>
        <vertAlign val="subscript"/>
        <sz val="10"/>
        <rFont val="Verdana"/>
        <family val="2"/>
      </rPr>
      <t>2</t>
    </r>
    <r>
      <rPr>
        <sz val="12"/>
        <color theme="1"/>
        <rFont val="Calibri"/>
        <family val="2"/>
        <scheme val="minor"/>
      </rPr>
      <t xml:space="preserve"> reconstructions, but it is equally useful for other boron isotope records collected, e.g., in upwelling areas. Such studies should leave the atmospheric pCO</t>
    </r>
    <r>
      <rPr>
        <vertAlign val="subscript"/>
        <sz val="10"/>
        <rFont val="Verdana"/>
        <family val="2"/>
      </rPr>
      <t>2</t>
    </r>
    <r>
      <rPr>
        <sz val="12"/>
        <color theme="1"/>
        <rFont val="Calibri"/>
        <family val="2"/>
        <scheme val="minor"/>
      </rPr>
      <t xml:space="preserve"> column (EW) blank, but may want to report the air-sea disequilibrium in column EX</t>
    </r>
  </si>
  <si>
    <r>
      <rPr>
        <vertAlign val="superscript"/>
        <sz val="10"/>
        <rFont val="Verdana"/>
        <family val="2"/>
      </rPr>
      <t>c</t>
    </r>
    <r>
      <rPr>
        <sz val="12"/>
        <color theme="1"/>
        <rFont val="Calibri"/>
        <family val="2"/>
        <scheme val="minor"/>
      </rPr>
      <t>because minor alkalinity contributors like NH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, H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HPO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HSiO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, HS</t>
    </r>
    <r>
      <rPr>
        <vertAlign val="superscript"/>
        <sz val="10"/>
        <rFont val="Verdana"/>
        <family val="2"/>
      </rPr>
      <t xml:space="preserve">- </t>
    </r>
    <r>
      <rPr>
        <sz val="12"/>
        <color theme="1"/>
        <rFont val="Calibri"/>
        <family val="2"/>
        <scheme val="minor"/>
      </rPr>
      <t>and S</t>
    </r>
    <r>
      <rPr>
        <vertAlign val="superscript"/>
        <sz val="10"/>
        <rFont val="Verdana"/>
        <family val="2"/>
      </rPr>
      <t>2-</t>
    </r>
    <r>
      <rPr>
        <sz val="12"/>
        <color theme="1"/>
        <rFont val="Calibri"/>
        <family val="2"/>
        <scheme val="minor"/>
      </rPr>
      <t xml:space="preserve"> are not included in these calculations, the alkalinity estimate reported in column EK includes only carbon and boron alkalinity, and should therefore be considered an approximation to total alkalinity</t>
    </r>
  </si>
  <si>
    <r>
      <t>Mg/Ca</t>
    </r>
    <r>
      <rPr>
        <vertAlign val="subscript"/>
        <sz val="12"/>
        <rFont val="Verdana"/>
        <family val="2"/>
      </rPr>
      <t xml:space="preserve">sw </t>
    </r>
    <r>
      <rPr>
        <sz val="12"/>
        <rFont val="Verdana"/>
        <family val="2"/>
      </rPr>
      <t>correction</t>
    </r>
  </si>
  <si>
    <r>
      <t>Mg/Ca</t>
    </r>
    <r>
      <rPr>
        <vertAlign val="subscript"/>
        <sz val="12"/>
        <rFont val="Verdana"/>
        <family val="2"/>
      </rPr>
      <t xml:space="preserve">sw </t>
    </r>
    <r>
      <rPr>
        <sz val="12"/>
        <rFont val="Verdana"/>
        <family val="2"/>
      </rPr>
      <t xml:space="preserve">correction  reference 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</si>
  <si>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aragonite neg</t>
    </r>
  </si>
  <si>
    <t>notes about uncertainty estimate: e.g., included calibration slope and intercept</t>
  </si>
  <si>
    <t>CO2_uncertainty_pos_ppm</t>
  </si>
  <si>
    <t>Sosdian</t>
  </si>
  <si>
    <t>10.1016/j.epsl.2018.06.017</t>
  </si>
  <si>
    <t>SosdianS@cardiff.ac.uk, hoenisch@ldeo.columbia.edu</t>
  </si>
  <si>
    <t>Sosdian, S.M., Greenop, R., Hain, M.P., Foster, G.L., Pearson, P.N. and Lear, C.H. (2018) Constraining the evolution of Neogene ocean carbonate chemistry using the boron isotope pH proxy. Earth and Planetary Science Letters 498, 362-376.</t>
  </si>
  <si>
    <t>C</t>
  </si>
  <si>
    <t>western equatorial Pacific</t>
  </si>
  <si>
    <t>linear interpolation between reliable biostratigraphic datums </t>
  </si>
  <si>
    <t>Pearson, 1995</t>
  </si>
  <si>
    <t>T. trilobus</t>
  </si>
  <si>
    <t>100-150</t>
  </si>
  <si>
    <t>N/A</t>
  </si>
  <si>
    <t>Barker et al. (2003)</t>
  </si>
  <si>
    <t>column chemistry</t>
  </si>
  <si>
    <t>MC-ICP-MS</t>
  </si>
  <si>
    <t>15.16, 15.08</t>
  </si>
  <si>
    <t>0.26, 0.25</t>
  </si>
  <si>
    <t>standard deviation, normal distribution</t>
  </si>
  <si>
    <t>Sanyal et al. (2001), recalculated by MartInez-Botí et al. (2015)</t>
  </si>
  <si>
    <t>300-355 µm from core top data of Seki et al. (2010) with estimates of surface water borate from Henehan et al. (2016)</t>
  </si>
  <si>
    <t>scaled normal distribution</t>
  </si>
  <si>
    <t>T (deg. C)=ln ([Mg/Ca]foram/038*[Mg/Ca]sw.c)/0.06</t>
  </si>
  <si>
    <t xml:space="preserve">Anand et al. (2003) </t>
  </si>
  <si>
    <t>[Mg/Ca]sw.c=([Mg/Ca]sw.a/[Mg/Ca]sw.m)^0.41</t>
  </si>
  <si>
    <t>Hasiuk &amp; Lohmann (2010)</t>
  </si>
  <si>
    <t>modern value</t>
  </si>
  <si>
    <t>Horita et al. (2002)</t>
  </si>
  <si>
    <t>Brennan et al. (2013)</t>
  </si>
  <si>
    <t>salinity / 1.80655 * 0.0000219</t>
  </si>
  <si>
    <t>Greenop et al. (2017)</t>
  </si>
  <si>
    <t>Hain et al. 2015</t>
  </si>
  <si>
    <t>Lewis and Wallace, 1998</t>
  </si>
  <si>
    <t>Not applied</t>
  </si>
  <si>
    <t>Klochko et al. 2006</t>
  </si>
  <si>
    <t>custom MC code</t>
  </si>
  <si>
    <t>Dickson et al., 2007</t>
  </si>
  <si>
    <t>DIC</t>
  </si>
  <si>
    <t xml:space="preserve">CCD and bottom water pH;  DIC = 2000e-6 - AGE_IN_MYR * 20.131e-6 +/ 250.77e-6 (the +/-) is 1sigma. </t>
  </si>
  <si>
    <t>Monte Carlo</t>
  </si>
  <si>
    <t>d11Bsw, [Ca2+], [Mg2+], T, S, DIC, d11B</t>
  </si>
  <si>
    <t>15.51, 15.49</t>
  </si>
  <si>
    <t>0.24, 0.23</t>
  </si>
  <si>
    <t>16.68, 16.79</t>
  </si>
  <si>
    <t>0.23, 0.22</t>
  </si>
  <si>
    <t>17.10, 17.71</t>
  </si>
  <si>
    <t>0.54, 0.51</t>
  </si>
  <si>
    <t>evidence for reworking</t>
  </si>
  <si>
    <t>16.43, 16.53</t>
  </si>
  <si>
    <t>0.28, 0.27</t>
  </si>
  <si>
    <t>16.09, 16.12</t>
  </si>
  <si>
    <t>0.24, 0.24</t>
  </si>
  <si>
    <t>17.04, 17.03</t>
  </si>
  <si>
    <t>0.25, 0.25</t>
  </si>
  <si>
    <t>B</t>
  </si>
  <si>
    <t>northwest Australia</t>
  </si>
  <si>
    <t>CK95</t>
  </si>
  <si>
    <t>foraminifer biostratigraphy</t>
  </si>
  <si>
    <t>Holbourn et al. (2004)</t>
  </si>
  <si>
    <t>16.67, 16.72</t>
  </si>
  <si>
    <t>0.46, 0.44</t>
  </si>
  <si>
    <t>17.04, 16.78</t>
  </si>
  <si>
    <t>17.79, 17.00</t>
  </si>
  <si>
    <t>1.03, 0.99</t>
  </si>
  <si>
    <t>Ceara Rise</t>
  </si>
  <si>
    <t>polynomial fit through nannofossil and planktic foraminifer biostratigraphic datums based on the shipboard report </t>
  </si>
  <si>
    <t>Chaisson and Pearson, 1997;Pearson and Chaisson, 1997</t>
  </si>
  <si>
    <t>19.45, 19.69</t>
  </si>
  <si>
    <t>0.30, 0.29</t>
  </si>
  <si>
    <t>19.55, 19.31</t>
  </si>
  <si>
    <t>0.63, 0.58</t>
  </si>
  <si>
    <t>19.39, 19.72</t>
  </si>
  <si>
    <t>0.35, 0.35</t>
  </si>
  <si>
    <t>19.81, 19.65</t>
  </si>
  <si>
    <t>0.32, 0.30</t>
  </si>
  <si>
    <t>18.54, 18.72</t>
  </si>
  <si>
    <t>18.90, 19.12</t>
  </si>
  <si>
    <t>19.80, 19.75</t>
  </si>
  <si>
    <t>17.80, 18.27</t>
  </si>
  <si>
    <t>0.27, 0.26</t>
  </si>
  <si>
    <t>19.17, 19.16</t>
  </si>
  <si>
    <t>0.23, 0.23</t>
  </si>
  <si>
    <t>17.84, 17.57</t>
  </si>
  <si>
    <t>1.00, 0.94</t>
  </si>
  <si>
    <t>17.45, 17.64</t>
  </si>
  <si>
    <t>0.31, 0.29</t>
  </si>
  <si>
    <t>17.45, 17.43</t>
  </si>
  <si>
    <t>0.59, 0.54</t>
  </si>
  <si>
    <t>16.48, 16.25</t>
  </si>
  <si>
    <t>0.44, 0.40</t>
  </si>
  <si>
    <t>16.50, 16.56</t>
  </si>
  <si>
    <t>0.30, 0.28</t>
  </si>
  <si>
    <t>17.59, 17.50</t>
  </si>
  <si>
    <t>0.14, 0.13</t>
  </si>
  <si>
    <t>16.25, 17.46</t>
  </si>
  <si>
    <t>0.90, 0.84</t>
  </si>
  <si>
    <t>16.58, 16.64</t>
  </si>
  <si>
    <t>0.16, 0.12</t>
  </si>
  <si>
    <t>15.46, 15.32</t>
  </si>
  <si>
    <t>0.32, 0.31</t>
  </si>
  <si>
    <t>38, 46, 50</t>
  </si>
  <si>
    <t>40, 48, 52</t>
  </si>
  <si>
    <t>16.49, 16.11</t>
  </si>
  <si>
    <t>0.28, 0.28</t>
  </si>
  <si>
    <t>110, 118</t>
  </si>
  <si>
    <t>112, 120</t>
  </si>
  <si>
    <t>16.03, 15.69</t>
  </si>
  <si>
    <t>16.28, 16.30</t>
  </si>
  <si>
    <t>45, 49</t>
  </si>
  <si>
    <t>46.5, 50.5</t>
  </si>
  <si>
    <t>16.26, 15.88</t>
  </si>
  <si>
    <t>0.33, 0.32</t>
  </si>
  <si>
    <t>CC</t>
  </si>
  <si>
    <t>10.5, 18.5</t>
  </si>
  <si>
    <t>12, 20</t>
  </si>
  <si>
    <t>16.51, 16.55</t>
  </si>
  <si>
    <t>0.36, 0.34</t>
  </si>
  <si>
    <t>35X</t>
  </si>
  <si>
    <t>6W</t>
  </si>
  <si>
    <t>16.95, 17.20</t>
  </si>
  <si>
    <t>0.17, 0.18</t>
  </si>
  <si>
    <t>38X</t>
  </si>
  <si>
    <t>4W</t>
  </si>
  <si>
    <t>15.90, 15.96</t>
  </si>
  <si>
    <t>0.15, 0.17</t>
  </si>
  <si>
    <t>41X</t>
  </si>
  <si>
    <t>2W</t>
  </si>
  <si>
    <t>17.50, 17.53</t>
  </si>
  <si>
    <t>0.15, 0.14</t>
  </si>
  <si>
    <t>Caribbean</t>
  </si>
  <si>
    <t>planktic foraminifer biostratigraphy</t>
  </si>
  <si>
    <t>Site 1000 Shipboard Scientific Party, 1997a, 1997b </t>
  </si>
  <si>
    <t>Badger</t>
  </si>
  <si>
    <t>10.1002/palo.20015</t>
  </si>
  <si>
    <t>Blue Clay Formation of Malta (at Ras il-Pellegrin)</t>
  </si>
  <si>
    <t>Height in section from this same Badger paper</t>
  </si>
  <si>
    <t>Meditteranean</t>
  </si>
  <si>
    <t>terrestrial section</t>
  </si>
  <si>
    <t>-500-600</t>
  </si>
  <si>
    <r>
      <t>Palaeolatitude from paleolatitude.org. Palaeodepth from Bellanca et al</t>
    </r>
    <r>
      <rPr>
        <sz val="10"/>
        <color theme="1"/>
        <rFont val="AdvTT182ff89e"/>
      </rPr>
      <t xml:space="preserve">., </t>
    </r>
    <r>
      <rPr>
        <sz val="10"/>
        <color theme="1"/>
        <rFont val="AdvTT73b978ed.I"/>
      </rPr>
      <t>2002; Bonaduce and Barra, 2002</t>
    </r>
  </si>
  <si>
    <t>shipboard reports, published biostratigraphic datums</t>
  </si>
  <si>
    <t>250-355</t>
  </si>
  <si>
    <t>~100</t>
  </si>
  <si>
    <t>~2mg</t>
  </si>
  <si>
    <t>ion exchange chromatography</t>
  </si>
  <si>
    <t>normal, stdev, external</t>
  </si>
  <si>
    <t>?</t>
  </si>
  <si>
    <r>
      <t>Palaeolatitude from paleolatitude.org. Palaeodepth from Bellanca et al</t>
    </r>
    <r>
      <rPr>
        <sz val="10"/>
        <color theme="1"/>
        <rFont val="AdvTT182ff89e"/>
      </rPr>
      <t xml:space="preserve">., </t>
    </r>
    <r>
      <rPr>
        <sz val="10"/>
        <color theme="1"/>
        <rFont val="AdvTT73b978ed.I"/>
      </rPr>
      <t>2002; Bonaduce and Barra, 2002</t>
    </r>
    <r>
      <rPr>
        <sz val="12"/>
        <color theme="1"/>
        <rFont val="Calibri"/>
        <family val="2"/>
        <scheme val="minor"/>
      </rPr>
      <t/>
    </r>
  </si>
  <si>
    <t>Seki</t>
  </si>
  <si>
    <t>10.1016/j.epsl.2010.01.037</t>
  </si>
  <si>
    <r>
      <t xml:space="preserve">Site 999 Shipboard Scientific Party, </t>
    </r>
    <r>
      <rPr>
        <sz val="8"/>
        <color rgb="FF0081AD"/>
        <rFont val="Helvetica"/>
        <family val="2"/>
      </rPr>
      <t>1997a</t>
    </r>
  </si>
  <si>
    <t>Globigerinoides sacculifer</t>
  </si>
  <si>
    <t>1-2</t>
  </si>
  <si>
    <t>anion exchange chromatography</t>
  </si>
  <si>
    <t>19.13,19.2</t>
  </si>
  <si>
    <t xml:space="preserve">NA (Uk'37 used ) </t>
  </si>
  <si>
    <t>UK'37</t>
  </si>
  <si>
    <t>not reported</t>
  </si>
  <si>
    <t>Sonzogni et al., 1997</t>
  </si>
  <si>
    <t>yes</t>
  </si>
  <si>
    <t>19.06,18.93</t>
  </si>
  <si>
    <t>19.81,19.73</t>
  </si>
  <si>
    <t>17.79,17.85</t>
  </si>
  <si>
    <t>18.09,18.32</t>
  </si>
  <si>
    <t>18.14,17.86</t>
  </si>
  <si>
    <t>17.76,17.71</t>
  </si>
  <si>
    <t>17.99,17.84</t>
  </si>
  <si>
    <t>Greenop</t>
  </si>
  <si>
    <t>10.1002/2014PA002653</t>
  </si>
  <si>
    <r>
      <t>Holbourn, A et al. (2004): Middle Miocene isotope stratigraphy and paleoceanographic evolution of the northwest and southwest Australian margins (Wombat Plateau and Great Australian Bight). </t>
    </r>
    <r>
      <rPr>
        <i/>
        <sz val="12"/>
        <color rgb="FF000000"/>
        <rFont val="Calibri"/>
        <family val="2"/>
      </rPr>
      <t>Palaeogeography, Palaeoclimatology, Palaeoecology</t>
    </r>
    <r>
      <rPr>
        <sz val="12"/>
        <color rgb="FF000000"/>
        <rFont val="Calibri"/>
        <family val="2"/>
      </rPr>
      <t>, </t>
    </r>
    <r>
      <rPr>
        <b/>
        <sz val="12"/>
        <color rgb="FF000000"/>
        <rFont val="Calibri"/>
        <family val="2"/>
      </rPr>
      <t>208(1-2)</t>
    </r>
    <r>
      <rPr>
        <sz val="12"/>
        <color rgb="FF000000"/>
        <rFont val="Calibri"/>
        <family val="2"/>
      </rPr>
      <t>, 1-22,</t>
    </r>
  </si>
  <si>
    <t>Indian Ocean</t>
  </si>
  <si>
    <t>1-1.5</t>
  </si>
  <si>
    <t>Barker et al., 2003</t>
  </si>
  <si>
    <t>Column chemistry</t>
  </si>
  <si>
    <t>2 standard deviations normal distribution</t>
  </si>
  <si>
    <t>14.57,15.11</t>
  </si>
  <si>
    <t>14.58,14.86</t>
  </si>
  <si>
    <t>15.5,15.83</t>
  </si>
  <si>
    <t>16.08,15.98</t>
  </si>
  <si>
    <t>16.38,15.85</t>
  </si>
  <si>
    <t>15.03,14.12</t>
  </si>
  <si>
    <t>16.05,16.01</t>
  </si>
  <si>
    <t>15.86,15.65</t>
  </si>
  <si>
    <t>14.54,14.40</t>
  </si>
  <si>
    <t>14.93,14.93</t>
  </si>
  <si>
    <t>16.04,16.27</t>
  </si>
  <si>
    <t>16.6,15.51</t>
  </si>
  <si>
    <t>15.62,15.95</t>
  </si>
  <si>
    <t>14.17,14.24</t>
  </si>
  <si>
    <t>15.67,15.86</t>
  </si>
  <si>
    <t>15.97,16.01</t>
  </si>
  <si>
    <t>15.52,14.60</t>
  </si>
  <si>
    <t>15.75,15.98</t>
  </si>
  <si>
    <t>15.96,16.28</t>
  </si>
  <si>
    <t>16.77,16.35</t>
  </si>
  <si>
    <t>14.34,14.87</t>
  </si>
  <si>
    <t>16.09,16.03</t>
  </si>
  <si>
    <t>14.66,14.66</t>
  </si>
  <si>
    <t>16.11,16.38</t>
  </si>
  <si>
    <t>16.8,16.81</t>
  </si>
  <si>
    <t>14.9,13.94</t>
  </si>
  <si>
    <t>16.14,16.26</t>
  </si>
  <si>
    <t>16.61,16.66</t>
  </si>
  <si>
    <t>16.75,16.62</t>
  </si>
  <si>
    <t>15.5,15.68</t>
  </si>
  <si>
    <t>16.94,17.07</t>
  </si>
  <si>
    <t>16.33,16.39</t>
  </si>
  <si>
    <t>Foster</t>
  </si>
  <si>
    <t xml:space="preserve">10.1016/j.epsl.2012.06.007 </t>
  </si>
  <si>
    <t>Wombat plateau (Indian Ocean)</t>
  </si>
  <si>
    <t>Barker et al., 2003; Yu et al., 2007</t>
  </si>
  <si>
    <t>17.14,17.15</t>
  </si>
  <si>
    <t>normal</t>
  </si>
  <si>
    <t>16.5,16.73</t>
  </si>
  <si>
    <t>10.1016/j.epsl.2012.06.007</t>
  </si>
  <si>
    <t>16.32,16.73</t>
  </si>
  <si>
    <t>16.3,16.42</t>
  </si>
  <si>
    <t>16.42,16.43</t>
  </si>
  <si>
    <t>16.26,16.25</t>
  </si>
  <si>
    <t>16.22,15.95</t>
  </si>
  <si>
    <t>cc</t>
  </si>
  <si>
    <t>15.85,16.07</t>
  </si>
  <si>
    <t>14.91,15.18</t>
  </si>
  <si>
    <t>15.05,15.62</t>
  </si>
  <si>
    <t>15.75,15.93</t>
  </si>
  <si>
    <t>14.63,15.37</t>
  </si>
  <si>
    <t>16.47,16.81</t>
  </si>
  <si>
    <t>Ceara Rise (Atlantic)</t>
  </si>
  <si>
    <t>more micro-crystalline recrystallisation than
ODP Site 761</t>
  </si>
  <si>
    <t>Site 926 Shipboard Scientific Party, 1995</t>
  </si>
  <si>
    <t>16.02,16.16</t>
  </si>
  <si>
    <t>16.32,16.51</t>
  </si>
  <si>
    <t>15.18,15.31</t>
  </si>
  <si>
    <t>This study explored a range of options for the Mg and Ca elemental composition of seawater, depth of the CCD and d11Bsw. This report displays only one of those options: Elemental composition from fluid inclusions, CCD after Pälike et al. (2003) and d11Bsw after Greenop et al. (2017)</t>
  </si>
  <si>
    <t>Chalk</t>
  </si>
  <si>
    <t>10.1073/pnas.1702143114</t>
  </si>
  <si>
    <t>Modern value</t>
  </si>
  <si>
    <t xml:space="preserve"> This study explored a range of options for the Mg and Ca elemental composition of seawater, depth of the CCD and d11Bsw. This report displays only one of those options: Elemental composition from fluid inclusions, CCD after Pälike et al. (2003) and d11Bsw after Greenop et al. (2017)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</si>
  <si>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This study explored a range of options for the Mg and Ca elemental composition of seawater, depth of the CCD and d11Bsw. However, for the most recent Plio-Pleistocene data (0-3.5 Ma), we used an alternative scenario for the Plio-Pleistocene,  where seawater major ion, δ11Bsw, DIC can be anchored at modern values. </t>
  </si>
  <si>
    <t>ODP 999</t>
  </si>
  <si>
    <t>Caribbean Sea</t>
  </si>
  <si>
    <t>magnetic polarity/d18O stratigraphy</t>
  </si>
  <si>
    <t>Globigerinoides ruber white (sensu stricto)</t>
  </si>
  <si>
    <t>~200</t>
  </si>
  <si>
    <t>MC-ICPMS (Neptune)</t>
  </si>
  <si>
    <t>external, standard deviation</t>
  </si>
  <si>
    <t xml:space="preserve">normal distribution </t>
  </si>
  <si>
    <t>Henehan et al. 2013</t>
  </si>
  <si>
    <t>Size corrected</t>
  </si>
  <si>
    <t>normal distributions</t>
  </si>
  <si>
    <t>Delaney et al (1985), Evans and Muller (2012)</t>
  </si>
  <si>
    <t>Fantle and DePaolo (2006)</t>
  </si>
  <si>
    <t>set salinity value- uncertainty on B/Salinity relationship not included</t>
  </si>
  <si>
    <t>Lee et al 2010</t>
  </si>
  <si>
    <t>Foster 2010</t>
  </si>
  <si>
    <t>Klochko et al. (2006)</t>
  </si>
  <si>
    <t xml:space="preserve">NA </t>
  </si>
  <si>
    <t>A</t>
    <phoneticPr fontId="2" type="noConversion"/>
  </si>
  <si>
    <t>Martínez-Botí</t>
  </si>
  <si>
    <t>10.1038/nature14145</t>
  </si>
  <si>
    <t>tuned to LR04</t>
  </si>
  <si>
    <t xml:space="preserve">Globigerinoides ruber white </t>
  </si>
  <si>
    <t>90-200</t>
  </si>
  <si>
    <t>0.9-2</t>
  </si>
  <si>
    <t xml:space="preserve">NA  </t>
  </si>
  <si>
    <t>normal distribution - standard deviation</t>
  </si>
  <si>
    <t>Henehan et al. 2010</t>
  </si>
  <si>
    <t>shell size corrected</t>
  </si>
  <si>
    <t>normal distri</t>
  </si>
  <si>
    <t>linear between modern (Foster et al., 2010) and Miocene (Foster et al., 2012)</t>
  </si>
  <si>
    <t>Henehan et al. 2011</t>
  </si>
  <si>
    <t>Henehan et al. 2012</t>
  </si>
  <si>
    <t>superseded study doi</t>
  </si>
  <si>
    <t>superseded study publication_year</t>
  </si>
  <si>
    <t>superseded study first_author_last_name</t>
  </si>
  <si>
    <t>Hilgen et al., 2009</t>
  </si>
  <si>
    <t>Sindia Sosdian, Mathis Hain, Bärbel Hönisch</t>
  </si>
  <si>
    <t>CO2_ppm</t>
  </si>
  <si>
    <t>CO2_uncertainty_neg_ppm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</si>
</sst>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0"/>
      <name val="Verdana"/>
      <family val="2"/>
    </font>
    <font>
      <vertAlign val="subscript"/>
      <sz val="10"/>
      <name val="Verdana"/>
      <family val="2"/>
    </font>
    <font>
      <b/>
      <sz val="12"/>
      <name val="Calibri"/>
      <family val="2"/>
      <scheme val="minor"/>
    </font>
    <font>
      <b/>
      <sz val="12"/>
      <color indexed="8"/>
      <name val="Calibri"/>
      <family val="2"/>
    </font>
    <font>
      <sz val="12"/>
      <name val="Verdana"/>
      <family val="2"/>
    </font>
    <font>
      <b/>
      <sz val="12"/>
      <name val="Verdana"/>
      <family val="2"/>
    </font>
    <font>
      <b/>
      <sz val="12"/>
      <name val="Calibri (Body)"/>
    </font>
    <font>
      <b/>
      <sz val="12"/>
      <name val="Symbol"/>
      <charset val="2"/>
    </font>
    <font>
      <b/>
      <vertAlign val="superscript"/>
      <sz val="12"/>
      <name val="Verdana"/>
      <family val="2"/>
    </font>
    <font>
      <b/>
      <vertAlign val="subscript"/>
      <sz val="12"/>
      <name val="Verdana"/>
      <family val="2"/>
    </font>
    <font>
      <b/>
      <vertAlign val="subscript"/>
      <sz val="12"/>
      <color indexed="8"/>
      <name val="Calibri"/>
      <family val="2"/>
    </font>
    <font>
      <sz val="12"/>
      <name val="Symbol"/>
      <charset val="2"/>
    </font>
    <font>
      <vertAlign val="superscript"/>
      <sz val="12"/>
      <name val="Verdana"/>
      <family val="2"/>
    </font>
    <font>
      <b/>
      <sz val="12"/>
      <color indexed="8"/>
      <name val="Verdana"/>
      <family val="2"/>
    </font>
    <font>
      <b/>
      <sz val="12"/>
      <color indexed="8"/>
      <name val="Symbol"/>
      <charset val="2"/>
    </font>
    <font>
      <b/>
      <vertAlign val="superscript"/>
      <sz val="12"/>
      <color indexed="8"/>
      <name val="Verdana"/>
      <family val="2"/>
    </font>
    <font>
      <b/>
      <vertAlign val="subscript"/>
      <sz val="12"/>
      <color indexed="8"/>
      <name val="Verdana"/>
      <family val="2"/>
    </font>
    <font>
      <b/>
      <vertAlign val="superscript"/>
      <sz val="12"/>
      <color indexed="8"/>
      <name val="Calibri"/>
      <family val="2"/>
    </font>
    <font>
      <sz val="12"/>
      <color theme="1"/>
      <name val="Verdana"/>
      <family val="2"/>
    </font>
    <font>
      <sz val="12"/>
      <color rgb="FF000000"/>
      <name val="Verdana"/>
      <family val="2"/>
    </font>
    <font>
      <sz val="12"/>
      <color rgb="FF000000"/>
      <name val="Symbol"/>
      <charset val="2"/>
    </font>
    <font>
      <sz val="12"/>
      <color theme="1"/>
      <name val="Symbol"/>
      <charset val="2"/>
    </font>
    <font>
      <vertAlign val="superscript"/>
      <sz val="12"/>
      <color theme="1"/>
      <name val="Verdana"/>
      <family val="2"/>
    </font>
    <font>
      <vertAlign val="subscript"/>
      <sz val="12"/>
      <color theme="1"/>
      <name val="Verdana"/>
      <family val="2"/>
    </font>
    <font>
      <vertAlign val="subscript"/>
      <sz val="12"/>
      <name val="Verdana"/>
      <family val="2"/>
    </font>
    <font>
      <sz val="11"/>
      <color rgb="FF000000"/>
      <name val="Calibri"/>
      <family val="2"/>
      <charset val="1"/>
    </font>
    <font>
      <sz val="12"/>
      <name val="Verdana"/>
      <family val="2"/>
      <charset val="2"/>
    </font>
    <font>
      <sz val="12"/>
      <color theme="1"/>
      <name val="Verdana"/>
      <family val="2"/>
      <charset val="2"/>
    </font>
    <font>
      <u/>
      <sz val="12"/>
      <color theme="10"/>
      <name val="Calibri"/>
      <family val="2"/>
      <scheme val="minor"/>
    </font>
    <font>
      <sz val="9"/>
      <name val="Geneva"/>
      <family val="2"/>
    </font>
    <font>
      <sz val="12"/>
      <name val="Arial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vertAlign val="subscript"/>
      <sz val="12"/>
      <color rgb="FF000000"/>
      <name val="Verdana"/>
      <family val="2"/>
    </font>
    <font>
      <b/>
      <sz val="9"/>
      <name val="Geneva"/>
      <family val="2"/>
    </font>
    <font>
      <sz val="10"/>
      <color theme="1"/>
      <name val="Arial"/>
      <family val="2"/>
    </font>
    <font>
      <sz val="12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AdvTT182ff89e"/>
    </font>
    <font>
      <sz val="10"/>
      <color theme="1"/>
      <name val="AdvTT73b978ed.I"/>
    </font>
    <font>
      <sz val="8"/>
      <color theme="1"/>
      <name val="Helvetica"/>
      <family val="2"/>
    </font>
    <font>
      <sz val="8"/>
      <color rgb="FF0081AD"/>
      <name val="Helvetica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2"/>
      <name val="Calibri"/>
      <family val="2"/>
      <scheme val="minor"/>
    </font>
    <font>
      <sz val="10"/>
      <name val="Verdana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38EFF"/>
        <bgColor indexed="64"/>
      </patternFill>
    </fill>
    <fill>
      <patternFill patternType="solid">
        <fgColor rgb="FFCDFD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D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DFDCC"/>
        <bgColor rgb="FF000000"/>
      </patternFill>
    </fill>
    <fill>
      <patternFill patternType="solid">
        <fgColor rgb="FFA9D08D"/>
        <bgColor indexed="64"/>
      </patternFill>
    </fill>
    <fill>
      <patternFill patternType="solid">
        <fgColor rgb="FFCEFDC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9A"/>
        <bgColor indexed="64"/>
      </patternFill>
    </fill>
    <fill>
      <patternFill patternType="solid">
        <fgColor rgb="FFFFFF98"/>
        <bgColor indexed="64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27" fillId="0" borderId="0"/>
    <xf numFmtId="0" fontId="1" fillId="0" borderId="0"/>
    <xf numFmtId="0" fontId="30" fillId="0" borderId="0" applyNumberFormat="0" applyFill="0" applyBorder="0" applyAlignment="0" applyProtection="0"/>
    <xf numFmtId="0" fontId="47" fillId="0" borderId="0"/>
  </cellStyleXfs>
  <cellXfs count="220">
    <xf numFmtId="0" fontId="0" fillId="0" borderId="0" xfId="0"/>
    <xf numFmtId="0" fontId="0" fillId="0" borderId="0" xfId="0" applyAlignment="1">
      <alignment vertical="top"/>
    </xf>
    <xf numFmtId="0" fontId="4" fillId="0" borderId="1" xfId="0" applyFont="1" applyBorder="1"/>
    <xf numFmtId="0" fontId="0" fillId="0" borderId="2" xfId="0" applyBorder="1"/>
    <xf numFmtId="0" fontId="0" fillId="0" borderId="2" xfId="0" applyBorder="1" applyAlignment="1">
      <alignment vertical="top"/>
    </xf>
    <xf numFmtId="0" fontId="0" fillId="0" borderId="3" xfId="0" applyBorder="1"/>
    <xf numFmtId="0" fontId="5" fillId="2" borderId="1" xfId="0" applyFont="1" applyFill="1" applyBorder="1"/>
    <xf numFmtId="0" fontId="5" fillId="2" borderId="2" xfId="0" applyFont="1" applyFill="1" applyBorder="1"/>
    <xf numFmtId="0" fontId="0" fillId="2" borderId="2" xfId="0" applyFill="1" applyBorder="1"/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wrapText="1"/>
    </xf>
    <xf numFmtId="0" fontId="5" fillId="3" borderId="5" xfId="0" applyFont="1" applyFill="1" applyBorder="1"/>
    <xf numFmtId="0" fontId="0" fillId="3" borderId="5" xfId="0" applyFill="1" applyBorder="1"/>
    <xf numFmtId="0" fontId="6" fillId="3" borderId="4" xfId="0" applyFont="1" applyFill="1" applyBorder="1"/>
    <xf numFmtId="0" fontId="5" fillId="4" borderId="4" xfId="0" applyFont="1" applyFill="1" applyBorder="1"/>
    <xf numFmtId="0" fontId="0" fillId="4" borderId="5" xfId="0" applyFill="1" applyBorder="1"/>
    <xf numFmtId="0" fontId="0" fillId="4" borderId="1" xfId="0" applyFill="1" applyBorder="1"/>
    <xf numFmtId="0" fontId="0" fillId="4" borderId="2" xfId="0" applyFill="1" applyBorder="1"/>
    <xf numFmtId="0" fontId="5" fillId="4" borderId="2" xfId="0" applyFont="1" applyFill="1" applyBorder="1"/>
    <xf numFmtId="0" fontId="5" fillId="4" borderId="3" xfId="0" applyFont="1" applyFill="1" applyBorder="1"/>
    <xf numFmtId="0" fontId="5" fillId="5" borderId="1" xfId="0" applyFont="1" applyFill="1" applyBorder="1"/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center" vertical="center" wrapText="1"/>
    </xf>
    <xf numFmtId="0" fontId="5" fillId="6" borderId="1" xfId="0" applyFont="1" applyFill="1" applyBorder="1"/>
    <xf numFmtId="0" fontId="5" fillId="7" borderId="2" xfId="0" applyFont="1" applyFill="1" applyBorder="1"/>
    <xf numFmtId="0" fontId="5" fillId="7" borderId="3" xfId="0" applyFont="1" applyFill="1" applyBorder="1"/>
    <xf numFmtId="0" fontId="5" fillId="6" borderId="2" xfId="0" applyFont="1" applyFill="1" applyBorder="1"/>
    <xf numFmtId="0" fontId="5" fillId="6" borderId="3" xfId="0" applyFont="1" applyFill="1" applyBorder="1"/>
    <xf numFmtId="0" fontId="0" fillId="6" borderId="2" xfId="0" applyFill="1" applyBorder="1"/>
    <xf numFmtId="0" fontId="0" fillId="6" borderId="4" xfId="0" applyFill="1" applyBorder="1"/>
    <xf numFmtId="0" fontId="5" fillId="7" borderId="1" xfId="0" applyFont="1" applyFill="1" applyBorder="1"/>
    <xf numFmtId="0" fontId="5" fillId="7" borderId="5" xfId="0" applyFont="1" applyFill="1" applyBorder="1"/>
    <xf numFmtId="0" fontId="5" fillId="8" borderId="2" xfId="0" applyFont="1" applyFill="1" applyBorder="1"/>
    <xf numFmtId="0" fontId="5" fillId="9" borderId="1" xfId="0" applyFont="1" applyFill="1" applyBorder="1"/>
    <xf numFmtId="0" fontId="5" fillId="9" borderId="2" xfId="0" applyFont="1" applyFill="1" applyBorder="1"/>
    <xf numFmtId="0" fontId="0" fillId="9" borderId="2" xfId="0" applyFill="1" applyBorder="1"/>
    <xf numFmtId="0" fontId="0" fillId="0" borderId="6" xfId="0" applyBorder="1"/>
    <xf numFmtId="0" fontId="4" fillId="0" borderId="7" xfId="0" applyFont="1" applyBorder="1"/>
    <xf numFmtId="0" fontId="0" fillId="0" borderId="8" xfId="0" applyBorder="1"/>
    <xf numFmtId="0" fontId="0" fillId="0" borderId="8" xfId="0" applyBorder="1" applyAlignment="1">
      <alignment vertical="top"/>
    </xf>
    <xf numFmtId="0" fontId="0" fillId="0" borderId="9" xfId="0" applyBorder="1"/>
    <xf numFmtId="0" fontId="5" fillId="2" borderId="8" xfId="0" applyFont="1" applyFill="1" applyBorder="1"/>
    <xf numFmtId="0" fontId="0" fillId="2" borderId="8" xfId="0" applyFill="1" applyBorder="1"/>
    <xf numFmtId="0" fontId="5" fillId="3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15" fillId="5" borderId="0" xfId="0" applyFont="1" applyFill="1" applyBorder="1"/>
    <xf numFmtId="0" fontId="6" fillId="5" borderId="0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/>
    </xf>
    <xf numFmtId="0" fontId="5" fillId="7" borderId="4" xfId="0" applyFont="1" applyFill="1" applyBorder="1"/>
    <xf numFmtId="0" fontId="5" fillId="7" borderId="0" xfId="0" applyFont="1" applyFill="1" applyBorder="1"/>
    <xf numFmtId="0" fontId="5" fillId="6" borderId="0" xfId="0" applyFont="1" applyFill="1" applyBorder="1"/>
    <xf numFmtId="0" fontId="0" fillId="6" borderId="0" xfId="0" applyFill="1"/>
    <xf numFmtId="0" fontId="7" fillId="7" borderId="4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left" vertical="center"/>
    </xf>
    <xf numFmtId="0" fontId="5" fillId="7" borderId="12" xfId="0" applyFont="1" applyFill="1" applyBorder="1"/>
    <xf numFmtId="0" fontId="15" fillId="7" borderId="4" xfId="0" applyFont="1" applyFill="1" applyBorder="1"/>
    <xf numFmtId="0" fontId="7" fillId="7" borderId="0" xfId="0" applyFont="1" applyFill="1" applyBorder="1" applyAlignment="1">
      <alignment horizontal="left" vertical="center"/>
    </xf>
    <xf numFmtId="0" fontId="6" fillId="7" borderId="0" xfId="0" applyFont="1" applyFill="1" applyBorder="1" applyAlignment="1">
      <alignment horizontal="left" vertical="center"/>
    </xf>
    <xf numFmtId="0" fontId="5" fillId="6" borderId="4" xfId="0" applyFont="1" applyFill="1" applyBorder="1"/>
    <xf numFmtId="0" fontId="5" fillId="6" borderId="10" xfId="0" applyFont="1" applyFill="1" applyBorder="1"/>
    <xf numFmtId="0" fontId="7" fillId="7" borderId="11" xfId="0" applyFont="1" applyFill="1" applyBorder="1" applyAlignment="1">
      <alignment horizontal="center" vertical="center" wrapText="1"/>
    </xf>
    <xf numFmtId="0" fontId="6" fillId="7" borderId="0" xfId="0" applyFont="1" applyFill="1" applyBorder="1" applyAlignment="1">
      <alignment horizontal="center" vertical="center" wrapText="1"/>
    </xf>
    <xf numFmtId="0" fontId="5" fillId="7" borderId="11" xfId="0" applyFont="1" applyFill="1" applyBorder="1"/>
    <xf numFmtId="0" fontId="5" fillId="8" borderId="0" xfId="0" applyFont="1" applyFill="1" applyBorder="1"/>
    <xf numFmtId="0" fontId="5" fillId="8" borderId="8" xfId="0" applyFont="1" applyFill="1" applyBorder="1"/>
    <xf numFmtId="0" fontId="5" fillId="2" borderId="7" xfId="0" applyFont="1" applyFill="1" applyBorder="1"/>
    <xf numFmtId="0" fontId="0" fillId="0" borderId="13" xfId="0" applyBorder="1"/>
    <xf numFmtId="0" fontId="20" fillId="10" borderId="14" xfId="0" applyFont="1" applyFill="1" applyBorder="1" applyAlignment="1">
      <alignment horizontal="center" vertical="center" wrapText="1"/>
    </xf>
    <xf numFmtId="0" fontId="20" fillId="10" borderId="15" xfId="0" applyFont="1" applyFill="1" applyBorder="1" applyAlignment="1">
      <alignment horizontal="center" vertical="center" wrapText="1"/>
    </xf>
    <xf numFmtId="0" fontId="20" fillId="10" borderId="16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20" fillId="5" borderId="7" xfId="0" applyFont="1" applyFill="1" applyBorder="1" applyAlignment="1">
      <alignment horizontal="center" vertical="center" wrapText="1"/>
    </xf>
    <xf numFmtId="0" fontId="21" fillId="5" borderId="8" xfId="0" applyFont="1" applyFill="1" applyBorder="1" applyAlignment="1">
      <alignment horizontal="center" vertical="center" wrapText="1"/>
    </xf>
    <xf numFmtId="0" fontId="20" fillId="5" borderId="8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center" vertical="center" wrapText="1"/>
    </xf>
    <xf numFmtId="0" fontId="21" fillId="8" borderId="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5" xfId="0" applyBorder="1"/>
    <xf numFmtId="0" fontId="0" fillId="0" borderId="12" xfId="0" applyBorder="1"/>
    <xf numFmtId="0" fontId="0" fillId="0" borderId="2" xfId="0" quotePrefix="1" applyBorder="1" applyAlignment="1">
      <alignment wrapText="1"/>
    </xf>
    <xf numFmtId="0" fontId="0" fillId="0" borderId="3" xfId="0" quotePrefix="1" applyBorder="1" applyAlignment="1">
      <alignment wrapText="1"/>
    </xf>
    <xf numFmtId="0" fontId="28" fillId="4" borderId="1" xfId="0" applyFont="1" applyFill="1" applyBorder="1" applyAlignment="1">
      <alignment horizontal="center" vertical="center" wrapText="1"/>
    </xf>
    <xf numFmtId="0" fontId="0" fillId="12" borderId="2" xfId="0" quotePrefix="1" applyFill="1" applyBorder="1" applyAlignment="1">
      <alignment horizontal="center" vertical="center" wrapText="1"/>
    </xf>
    <xf numFmtId="0" fontId="0" fillId="13" borderId="2" xfId="0" quotePrefix="1" applyFill="1" applyBorder="1" applyAlignment="1">
      <alignment horizontal="center" vertical="center" wrapText="1"/>
    </xf>
    <xf numFmtId="0" fontId="7" fillId="6" borderId="0" xfId="0" applyFont="1" applyFill="1" applyBorder="1" applyAlignment="1">
      <alignment horizontal="left" vertical="center"/>
    </xf>
    <xf numFmtId="0" fontId="0" fillId="13" borderId="3" xfId="0" quotePrefix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0" fillId="14" borderId="2" xfId="0" quotePrefix="1" applyFill="1" applyBorder="1" applyAlignment="1">
      <alignment horizontal="center" vertical="center" wrapText="1"/>
    </xf>
    <xf numFmtId="0" fontId="0" fillId="14" borderId="3" xfId="0" quotePrefix="1" applyFill="1" applyBorder="1" applyAlignment="1">
      <alignment horizontal="center" vertical="center" wrapText="1"/>
    </xf>
    <xf numFmtId="0" fontId="0" fillId="15" borderId="2" xfId="0" quotePrefix="1" applyFill="1" applyBorder="1" applyAlignment="1">
      <alignment horizontal="center" vertical="center" wrapText="1"/>
    </xf>
    <xf numFmtId="0" fontId="0" fillId="0" borderId="0" xfId="0" applyFill="1" applyBorder="1"/>
    <xf numFmtId="0" fontId="6" fillId="4" borderId="2" xfId="0" applyFont="1" applyFill="1" applyBorder="1" applyAlignment="1">
      <alignment horizontal="left" vertical="center"/>
    </xf>
    <xf numFmtId="0" fontId="28" fillId="4" borderId="2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6" fillId="16" borderId="8" xfId="0" quotePrefix="1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center" vertical="center" wrapText="1"/>
    </xf>
    <xf numFmtId="0" fontId="0" fillId="0" borderId="0" xfId="0" applyFill="1"/>
    <xf numFmtId="1" fontId="32" fillId="0" borderId="0" xfId="0" applyNumberFormat="1" applyFont="1" applyFill="1" applyAlignment="1">
      <alignment horizontal="center"/>
    </xf>
    <xf numFmtId="0" fontId="30" fillId="0" borderId="0" xfId="3" applyFill="1"/>
    <xf numFmtId="0" fontId="0" fillId="0" borderId="0" xfId="0" applyFill="1" applyAlignment="1">
      <alignment vertical="center"/>
    </xf>
    <xf numFmtId="0" fontId="37" fillId="0" borderId="0" xfId="0" applyFont="1" applyFill="1" applyAlignment="1">
      <alignment horizontal="center"/>
    </xf>
    <xf numFmtId="0" fontId="37" fillId="0" borderId="0" xfId="0" applyFont="1" applyFill="1" applyBorder="1" applyAlignment="1">
      <alignment horizontal="center"/>
    </xf>
    <xf numFmtId="165" fontId="37" fillId="0" borderId="0" xfId="0" applyNumberFormat="1" applyFont="1" applyFill="1" applyBorder="1" applyAlignment="1">
      <alignment horizontal="center"/>
    </xf>
    <xf numFmtId="0" fontId="32" fillId="0" borderId="0" xfId="0" applyFont="1" applyFill="1" applyAlignment="1">
      <alignment horizontal="center"/>
    </xf>
    <xf numFmtId="2" fontId="37" fillId="0" borderId="0" xfId="0" applyNumberFormat="1" applyFont="1" applyFill="1" applyBorder="1" applyAlignment="1">
      <alignment horizontal="center"/>
    </xf>
    <xf numFmtId="0" fontId="0" fillId="0" borderId="0" xfId="0" applyFill="1" applyAlignment="1">
      <alignment wrapText="1"/>
    </xf>
    <xf numFmtId="0" fontId="0" fillId="0" borderId="0" xfId="0" applyFont="1" applyFill="1"/>
    <xf numFmtId="0" fontId="0" fillId="0" borderId="0" xfId="0" applyFill="1" applyAlignment="1"/>
    <xf numFmtId="2" fontId="0" fillId="0" borderId="0" xfId="0" applyNumberFormat="1" applyFill="1" applyAlignment="1">
      <alignment horizontal="center"/>
    </xf>
    <xf numFmtId="2" fontId="34" fillId="0" borderId="0" xfId="0" applyNumberFormat="1" applyFont="1" applyFill="1" applyAlignment="1">
      <alignment horizontal="center"/>
    </xf>
    <xf numFmtId="165" fontId="34" fillId="0" borderId="0" xfId="0" applyNumberFormat="1" applyFont="1" applyFill="1" applyAlignment="1">
      <alignment horizontal="center"/>
    </xf>
    <xf numFmtId="0" fontId="0" fillId="0" borderId="0" xfId="0" applyNumberFormat="1" applyFill="1"/>
    <xf numFmtId="165" fontId="0" fillId="0" borderId="0" xfId="0" applyNumberFormat="1" applyFill="1"/>
    <xf numFmtId="0" fontId="0" fillId="0" borderId="0" xfId="0" quotePrefix="1" applyFill="1"/>
    <xf numFmtId="0" fontId="39" fillId="0" borderId="0" xfId="0" applyFont="1" applyFill="1" applyAlignment="1">
      <alignment wrapText="1"/>
    </xf>
    <xf numFmtId="0" fontId="39" fillId="0" borderId="0" xfId="0" applyFont="1" applyFill="1"/>
    <xf numFmtId="1" fontId="0" fillId="0" borderId="0" xfId="0" applyNumberFormat="1" applyFill="1" applyAlignment="1"/>
    <xf numFmtId="1" fontId="0" fillId="0" borderId="0" xfId="0" applyNumberFormat="1" applyFill="1" applyAlignment="1">
      <alignment horizontal="center"/>
    </xf>
    <xf numFmtId="2" fontId="0" fillId="0" borderId="0" xfId="0" applyNumberFormat="1" applyFill="1"/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/>
    </xf>
    <xf numFmtId="0" fontId="0" fillId="0" borderId="2" xfId="0" quotePrefix="1" applyBorder="1" applyAlignment="1">
      <alignment horizontal="left" wrapText="1"/>
    </xf>
    <xf numFmtId="0" fontId="0" fillId="0" borderId="0" xfId="0" applyFill="1" applyBorder="1" applyAlignment="1">
      <alignment horizontal="left"/>
    </xf>
    <xf numFmtId="0" fontId="0" fillId="0" borderId="0" xfId="0" applyFill="1" applyAlignment="1">
      <alignment horizontal="left"/>
    </xf>
    <xf numFmtId="164" fontId="31" fillId="0" borderId="0" xfId="0" applyNumberFormat="1" applyFont="1" applyFill="1" applyAlignment="1">
      <alignment horizontal="left"/>
    </xf>
    <xf numFmtId="1" fontId="32" fillId="0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2" fontId="36" fillId="0" borderId="0" xfId="0" applyNumberFormat="1" applyFont="1" applyFill="1" applyAlignment="1">
      <alignment horizontal="center"/>
    </xf>
    <xf numFmtId="165" fontId="37" fillId="0" borderId="0" xfId="0" applyNumberFormat="1" applyFont="1" applyFill="1" applyAlignment="1">
      <alignment horizontal="center"/>
    </xf>
    <xf numFmtId="0" fontId="38" fillId="0" borderId="0" xfId="0" applyFont="1" applyFill="1"/>
    <xf numFmtId="2" fontId="37" fillId="0" borderId="0" xfId="0" applyNumberFormat="1" applyFont="1" applyFill="1" applyAlignment="1">
      <alignment horizontal="center"/>
    </xf>
    <xf numFmtId="1" fontId="34" fillId="0" borderId="0" xfId="0" applyNumberFormat="1" applyFont="1" applyFill="1" applyAlignment="1"/>
    <xf numFmtId="1" fontId="32" fillId="0" borderId="0" xfId="0" applyNumberFormat="1" applyFont="1" applyFill="1" applyAlignment="1"/>
    <xf numFmtId="0" fontId="6" fillId="0" borderId="0" xfId="0" applyFont="1" applyFill="1" applyAlignment="1">
      <alignment horizontal="center" vertical="center" wrapText="1"/>
    </xf>
    <xf numFmtId="2" fontId="31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1" fontId="0" fillId="0" borderId="0" xfId="0" applyNumberFormat="1" applyFill="1" applyBorder="1" applyAlignment="1">
      <alignment horizontal="left"/>
    </xf>
    <xf numFmtId="1" fontId="0" fillId="0" borderId="0" xfId="0" applyNumberFormat="1" applyFill="1" applyBorder="1" applyAlignment="1">
      <alignment horizontal="center"/>
    </xf>
    <xf numFmtId="0" fontId="40" fillId="0" borderId="0" xfId="0" applyFont="1" applyFill="1"/>
    <xf numFmtId="0" fontId="40" fillId="0" borderId="0" xfId="0" quotePrefix="1" applyFont="1" applyFill="1"/>
    <xf numFmtId="0" fontId="41" fillId="0" borderId="0" xfId="0" applyFont="1" applyFill="1"/>
    <xf numFmtId="0" fontId="42" fillId="0" borderId="0" xfId="0" applyFont="1" applyFill="1"/>
    <xf numFmtId="2" fontId="0" fillId="0" borderId="0" xfId="0" applyNumberFormat="1" applyFill="1" applyBorder="1"/>
    <xf numFmtId="165" fontId="0" fillId="0" borderId="0" xfId="0" applyNumberFormat="1" applyFill="1" applyBorder="1" applyAlignment="1">
      <alignment horizontal="center"/>
    </xf>
    <xf numFmtId="1" fontId="0" fillId="0" borderId="0" xfId="0" applyNumberFormat="1" applyFill="1" applyBorder="1"/>
    <xf numFmtId="0" fontId="0" fillId="0" borderId="0" xfId="0" applyFill="1" applyAlignment="1">
      <alignment horizontal="left" vertical="top"/>
    </xf>
    <xf numFmtId="164" fontId="0" fillId="0" borderId="0" xfId="0" applyNumberFormat="1" applyFill="1" applyAlignment="1">
      <alignment horizontal="center"/>
    </xf>
    <xf numFmtId="1" fontId="0" fillId="0" borderId="0" xfId="0" applyNumberFormat="1" applyFill="1" applyAlignment="1">
      <alignment horizontal="left"/>
    </xf>
    <xf numFmtId="1" fontId="0" fillId="0" borderId="0" xfId="0" applyNumberFormat="1" applyFill="1"/>
    <xf numFmtId="0" fontId="0" fillId="0" borderId="0" xfId="0" applyFill="1" applyAlignment="1">
      <alignment vertical="top"/>
    </xf>
    <xf numFmtId="0" fontId="0" fillId="0" borderId="0" xfId="0" quotePrefix="1" applyFill="1" applyAlignment="1">
      <alignment vertical="top"/>
    </xf>
    <xf numFmtId="0" fontId="38" fillId="0" borderId="0" xfId="0" applyFont="1" applyFill="1" applyAlignment="1">
      <alignment vertical="top"/>
    </xf>
    <xf numFmtId="165" fontId="0" fillId="0" borderId="0" xfId="0" applyNumberFormat="1" applyFill="1" applyAlignment="1">
      <alignment horizontal="center"/>
    </xf>
    <xf numFmtId="0" fontId="44" fillId="0" borderId="0" xfId="0" applyFont="1" applyFill="1"/>
    <xf numFmtId="0" fontId="33" fillId="0" borderId="0" xfId="0" applyFont="1" applyFill="1"/>
    <xf numFmtId="2" fontId="0" fillId="0" borderId="0" xfId="0" applyNumberFormat="1" applyFill="1" applyAlignment="1">
      <alignment horizontal="right"/>
    </xf>
    <xf numFmtId="0" fontId="47" fillId="0" borderId="0" xfId="4" applyFill="1"/>
    <xf numFmtId="0" fontId="48" fillId="0" borderId="0" xfId="0" applyFont="1" applyFill="1"/>
    <xf numFmtId="164" fontId="0" fillId="0" borderId="0" xfId="0" applyNumberFormat="1" applyFill="1"/>
    <xf numFmtId="0" fontId="49" fillId="0" borderId="0" xfId="0" applyFont="1" applyFill="1"/>
    <xf numFmtId="0" fontId="50" fillId="0" borderId="0" xfId="0" applyFont="1" applyFill="1"/>
    <xf numFmtId="0" fontId="50" fillId="0" borderId="0" xfId="0" applyFont="1" applyFill="1" applyAlignment="1">
      <alignment horizontal="right"/>
    </xf>
    <xf numFmtId="0" fontId="49" fillId="0" borderId="0" xfId="0" applyFont="1" applyFill="1" applyAlignment="1">
      <alignment horizontal="center"/>
    </xf>
    <xf numFmtId="1" fontId="49" fillId="0" borderId="0" xfId="0" applyNumberFormat="1" applyFont="1" applyFill="1" applyAlignment="1">
      <alignment horizontal="center"/>
    </xf>
    <xf numFmtId="2" fontId="49" fillId="0" borderId="0" xfId="0" applyNumberFormat="1" applyFont="1" applyFill="1"/>
    <xf numFmtId="1" fontId="38" fillId="0" borderId="0" xfId="0" applyNumberFormat="1" applyFont="1" applyFill="1" applyAlignment="1">
      <alignment horizontal="right"/>
    </xf>
    <xf numFmtId="1" fontId="0" fillId="0" borderId="0" xfId="0" applyNumberFormat="1" applyFill="1" applyAlignment="1">
      <alignment horizontal="right"/>
    </xf>
    <xf numFmtId="0" fontId="50" fillId="0" borderId="0" xfId="0" applyFont="1" applyFill="1" applyAlignment="1">
      <alignment horizontal="center"/>
    </xf>
    <xf numFmtId="1" fontId="50" fillId="0" borderId="0" xfId="0" applyNumberFormat="1" applyFont="1" applyFill="1" applyAlignment="1">
      <alignment horizontal="center"/>
    </xf>
    <xf numFmtId="2" fontId="50" fillId="0" borderId="0" xfId="0" applyNumberFormat="1" applyFont="1" applyFill="1"/>
    <xf numFmtId="2" fontId="0" fillId="0" borderId="0" xfId="0" applyNumberFormat="1" applyFill="1" applyAlignment="1">
      <alignment horizontal="left"/>
    </xf>
    <xf numFmtId="0" fontId="49" fillId="0" borderId="0" xfId="0" applyFont="1" applyFill="1" applyAlignment="1">
      <alignment horizontal="left"/>
    </xf>
    <xf numFmtId="0" fontId="34" fillId="0" borderId="0" xfId="0" applyFont="1" applyFill="1" applyAlignment="1">
      <alignment horizontal="center"/>
    </xf>
    <xf numFmtId="2" fontId="0" fillId="0" borderId="0" xfId="0" quotePrefix="1" applyNumberFormat="1" applyFill="1" applyBorder="1" applyAlignment="1">
      <alignment horizontal="center" vertical="center" wrapText="1"/>
    </xf>
    <xf numFmtId="0" fontId="0" fillId="17" borderId="0" xfId="0" applyFill="1"/>
    <xf numFmtId="0" fontId="37" fillId="0" borderId="0" xfId="0" applyNumberFormat="1" applyFont="1" applyFill="1" applyAlignment="1">
      <alignment horizontal="center"/>
    </xf>
    <xf numFmtId="0" fontId="52" fillId="0" borderId="0" xfId="0" applyFont="1" applyFill="1" applyAlignment="1">
      <alignment horizontal="center"/>
    </xf>
  </cellXfs>
  <cellStyles count="5">
    <cellStyle name="Hyperlink" xfId="3" builtinId="8"/>
    <cellStyle name="Normal" xfId="0" builtinId="0"/>
    <cellStyle name="Normal 2" xfId="4" xr:uid="{B40C3EA9-6EF8-B045-87D8-49A1CD939DA6}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9" defaultPivotStyle="PivotStyleMedium7"/>
  <colors>
    <mruColors>
      <color rgb="FFFFFF9A"/>
      <color rgb="FFC6E0B4"/>
      <color rgb="FFA9D08D"/>
      <color rgb="FFCEF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hoenisch@ldeo.columbia.edu" TargetMode="External"/><Relationship Id="rId299" Type="http://schemas.openxmlformats.org/officeDocument/2006/relationships/hyperlink" Target="https://doi.org/10.1073/pnas.1702143114" TargetMode="External"/><Relationship Id="rId21" Type="http://schemas.openxmlformats.org/officeDocument/2006/relationships/hyperlink" Target="mailto:hoenisch@ldeo.columbia.edu" TargetMode="External"/><Relationship Id="rId63" Type="http://schemas.openxmlformats.org/officeDocument/2006/relationships/hyperlink" Target="mailto:hoenisch@ldeo.columbia.edu" TargetMode="External"/><Relationship Id="rId159" Type="http://schemas.openxmlformats.org/officeDocument/2006/relationships/hyperlink" Target="mailto:hoenisch@ldeo.columbia.edu" TargetMode="External"/><Relationship Id="rId324" Type="http://schemas.openxmlformats.org/officeDocument/2006/relationships/hyperlink" Target="https://doi.org/10.1073/pnas.1702143114" TargetMode="External"/><Relationship Id="rId366" Type="http://schemas.openxmlformats.org/officeDocument/2006/relationships/hyperlink" Target="https://doi.org/10.1073/pnas.1702143114" TargetMode="External"/><Relationship Id="rId170" Type="http://schemas.openxmlformats.org/officeDocument/2006/relationships/hyperlink" Target="mailto:hoenisch@ldeo.columbia.edu" TargetMode="External"/><Relationship Id="rId226" Type="http://schemas.openxmlformats.org/officeDocument/2006/relationships/hyperlink" Target="mailto:hoenisch@ldeo.columbia.edu" TargetMode="External"/><Relationship Id="rId268" Type="http://schemas.openxmlformats.org/officeDocument/2006/relationships/hyperlink" Target="mailto:hoenisch@ldeo.columbia.edu" TargetMode="External"/><Relationship Id="rId32" Type="http://schemas.openxmlformats.org/officeDocument/2006/relationships/hyperlink" Target="mailto:hoenisch@ldeo.columbia.edu" TargetMode="External"/><Relationship Id="rId74" Type="http://schemas.openxmlformats.org/officeDocument/2006/relationships/hyperlink" Target="mailto:hoenisch@ldeo.columbia.edu" TargetMode="External"/><Relationship Id="rId128" Type="http://schemas.openxmlformats.org/officeDocument/2006/relationships/hyperlink" Target="mailto:hoenisch@ldeo.columbia.edu" TargetMode="External"/><Relationship Id="rId335" Type="http://schemas.openxmlformats.org/officeDocument/2006/relationships/hyperlink" Target="https://doi.org/10.1073/pnas.1702143114" TargetMode="External"/><Relationship Id="rId377" Type="http://schemas.openxmlformats.org/officeDocument/2006/relationships/hyperlink" Target="https://doi.org/10.1073/pnas.1702143114" TargetMode="External"/><Relationship Id="rId5" Type="http://schemas.openxmlformats.org/officeDocument/2006/relationships/hyperlink" Target="mailto:hoenisch@ldeo.columbia.edu" TargetMode="External"/><Relationship Id="rId181" Type="http://schemas.openxmlformats.org/officeDocument/2006/relationships/hyperlink" Target="mailto:hoenisch@ldeo.columbia.edu" TargetMode="External"/><Relationship Id="rId237" Type="http://schemas.openxmlformats.org/officeDocument/2006/relationships/hyperlink" Target="mailto:hoenisch@ldeo.columbia.edu" TargetMode="External"/><Relationship Id="rId279" Type="http://schemas.openxmlformats.org/officeDocument/2006/relationships/hyperlink" Target="mailto:hoenisch@ldeo.columbia.edu" TargetMode="External"/><Relationship Id="rId43" Type="http://schemas.openxmlformats.org/officeDocument/2006/relationships/hyperlink" Target="mailto:hoenisch@ldeo.columbia.edu" TargetMode="External"/><Relationship Id="rId139" Type="http://schemas.openxmlformats.org/officeDocument/2006/relationships/hyperlink" Target="mailto:hoenisch@ldeo.columbia.edu" TargetMode="External"/><Relationship Id="rId290" Type="http://schemas.openxmlformats.org/officeDocument/2006/relationships/hyperlink" Target="https://doi.org/10.1073/pnas.1702143114" TargetMode="External"/><Relationship Id="rId304" Type="http://schemas.openxmlformats.org/officeDocument/2006/relationships/hyperlink" Target="https://doi.org/10.1073/pnas.1702143114" TargetMode="External"/><Relationship Id="rId346" Type="http://schemas.openxmlformats.org/officeDocument/2006/relationships/hyperlink" Target="https://doi.org/10.1073/pnas.1702143114" TargetMode="External"/><Relationship Id="rId388" Type="http://schemas.openxmlformats.org/officeDocument/2006/relationships/hyperlink" Target="https://doi.org/10.1073/pnas.1702143114" TargetMode="External"/><Relationship Id="rId85" Type="http://schemas.openxmlformats.org/officeDocument/2006/relationships/hyperlink" Target="mailto:hoenisch@ldeo.columbia.edu" TargetMode="External"/><Relationship Id="rId150" Type="http://schemas.openxmlformats.org/officeDocument/2006/relationships/hyperlink" Target="mailto:hoenisch@ldeo.columbia.edu" TargetMode="External"/><Relationship Id="rId192" Type="http://schemas.openxmlformats.org/officeDocument/2006/relationships/hyperlink" Target="mailto:hoenisch@ldeo.columbia.edu" TargetMode="External"/><Relationship Id="rId206" Type="http://schemas.openxmlformats.org/officeDocument/2006/relationships/hyperlink" Target="mailto:hoenisch@ldeo.columbia.edu" TargetMode="External"/><Relationship Id="rId248" Type="http://schemas.openxmlformats.org/officeDocument/2006/relationships/hyperlink" Target="mailto:hoenisch@ldeo.columbia.edu" TargetMode="External"/><Relationship Id="rId12" Type="http://schemas.openxmlformats.org/officeDocument/2006/relationships/hyperlink" Target="mailto:hoenisch@ldeo.columbia.edu" TargetMode="External"/><Relationship Id="rId108" Type="http://schemas.openxmlformats.org/officeDocument/2006/relationships/hyperlink" Target="mailto:hoenisch@ldeo.columbia.edu" TargetMode="External"/><Relationship Id="rId315" Type="http://schemas.openxmlformats.org/officeDocument/2006/relationships/hyperlink" Target="https://doi.org/10.1073/pnas.1702143114" TargetMode="External"/><Relationship Id="rId357" Type="http://schemas.openxmlformats.org/officeDocument/2006/relationships/hyperlink" Target="https://doi.org/10.1073/pnas.1702143114" TargetMode="External"/><Relationship Id="rId54" Type="http://schemas.openxmlformats.org/officeDocument/2006/relationships/hyperlink" Target="mailto:hoenisch@ldeo.columbia.edu" TargetMode="External"/><Relationship Id="rId96" Type="http://schemas.openxmlformats.org/officeDocument/2006/relationships/hyperlink" Target="mailto:hoenisch@ldeo.columbia.edu" TargetMode="External"/><Relationship Id="rId161" Type="http://schemas.openxmlformats.org/officeDocument/2006/relationships/hyperlink" Target="mailto:hoenisch@ldeo.columbia.edu" TargetMode="External"/><Relationship Id="rId217" Type="http://schemas.openxmlformats.org/officeDocument/2006/relationships/hyperlink" Target="mailto:hoenisch@ldeo.columbia.edu" TargetMode="External"/><Relationship Id="rId399" Type="http://schemas.openxmlformats.org/officeDocument/2006/relationships/hyperlink" Target="https://doi.org/10.1073/pnas.1702143114" TargetMode="External"/><Relationship Id="rId259" Type="http://schemas.openxmlformats.org/officeDocument/2006/relationships/hyperlink" Target="mailto:hoenisch@ldeo.columbia.edu" TargetMode="External"/><Relationship Id="rId23" Type="http://schemas.openxmlformats.org/officeDocument/2006/relationships/hyperlink" Target="mailto:hoenisch@ldeo.columbia.edu" TargetMode="External"/><Relationship Id="rId119" Type="http://schemas.openxmlformats.org/officeDocument/2006/relationships/hyperlink" Target="mailto:hoenisch@ldeo.columbia.edu" TargetMode="External"/><Relationship Id="rId270" Type="http://schemas.openxmlformats.org/officeDocument/2006/relationships/hyperlink" Target="mailto:hoenisch@ldeo.columbia.edu" TargetMode="External"/><Relationship Id="rId326" Type="http://schemas.openxmlformats.org/officeDocument/2006/relationships/hyperlink" Target="https://doi.org/10.1073/pnas.1702143114" TargetMode="External"/><Relationship Id="rId65" Type="http://schemas.openxmlformats.org/officeDocument/2006/relationships/hyperlink" Target="mailto:hoenisch@ldeo.columbia.edu" TargetMode="External"/><Relationship Id="rId130" Type="http://schemas.openxmlformats.org/officeDocument/2006/relationships/hyperlink" Target="mailto:hoenisch@ldeo.columbia.edu" TargetMode="External"/><Relationship Id="rId368" Type="http://schemas.openxmlformats.org/officeDocument/2006/relationships/hyperlink" Target="https://doi.org/10.1073/pnas.1702143114" TargetMode="External"/><Relationship Id="rId172" Type="http://schemas.openxmlformats.org/officeDocument/2006/relationships/hyperlink" Target="mailto:hoenisch@ldeo.columbia.edu" TargetMode="External"/><Relationship Id="rId228" Type="http://schemas.openxmlformats.org/officeDocument/2006/relationships/hyperlink" Target="mailto:hoenisch@ldeo.columbia.edu" TargetMode="External"/><Relationship Id="rId281" Type="http://schemas.openxmlformats.org/officeDocument/2006/relationships/hyperlink" Target="mailto:hoenisch@ldeo.columbia.edu" TargetMode="External"/><Relationship Id="rId337" Type="http://schemas.openxmlformats.org/officeDocument/2006/relationships/hyperlink" Target="https://doi.org/10.1073/pnas.1702143114" TargetMode="External"/><Relationship Id="rId34" Type="http://schemas.openxmlformats.org/officeDocument/2006/relationships/hyperlink" Target="mailto:hoenisch@ldeo.columbia.edu" TargetMode="External"/><Relationship Id="rId76" Type="http://schemas.openxmlformats.org/officeDocument/2006/relationships/hyperlink" Target="mailto:hoenisch@ldeo.columbia.edu" TargetMode="External"/><Relationship Id="rId141" Type="http://schemas.openxmlformats.org/officeDocument/2006/relationships/hyperlink" Target="mailto:hoenisch@ldeo.columbia.edu" TargetMode="External"/><Relationship Id="rId379" Type="http://schemas.openxmlformats.org/officeDocument/2006/relationships/hyperlink" Target="https://doi.org/10.1073/pnas.1702143114" TargetMode="External"/><Relationship Id="rId7" Type="http://schemas.openxmlformats.org/officeDocument/2006/relationships/hyperlink" Target="mailto:hoenisch@ldeo.columbia.edu" TargetMode="External"/><Relationship Id="rId183" Type="http://schemas.openxmlformats.org/officeDocument/2006/relationships/hyperlink" Target="mailto:hoenisch@ldeo.columbia.edu" TargetMode="External"/><Relationship Id="rId239" Type="http://schemas.openxmlformats.org/officeDocument/2006/relationships/hyperlink" Target="mailto:hoenisch@ldeo.columbia.edu" TargetMode="External"/><Relationship Id="rId390" Type="http://schemas.openxmlformats.org/officeDocument/2006/relationships/hyperlink" Target="https://doi.org/10.1073/pnas.1702143114" TargetMode="External"/><Relationship Id="rId250" Type="http://schemas.openxmlformats.org/officeDocument/2006/relationships/hyperlink" Target="mailto:hoenisch@ldeo.columbia.edu" TargetMode="External"/><Relationship Id="rId292" Type="http://schemas.openxmlformats.org/officeDocument/2006/relationships/hyperlink" Target="https://doi.org/10.1073/pnas.1702143114" TargetMode="External"/><Relationship Id="rId306" Type="http://schemas.openxmlformats.org/officeDocument/2006/relationships/hyperlink" Target="https://doi.org/10.1073/pnas.1702143114" TargetMode="External"/><Relationship Id="rId45" Type="http://schemas.openxmlformats.org/officeDocument/2006/relationships/hyperlink" Target="mailto:hoenisch@ldeo.columbia.edu" TargetMode="External"/><Relationship Id="rId87" Type="http://schemas.openxmlformats.org/officeDocument/2006/relationships/hyperlink" Target="mailto:hoenisch@ldeo.columbia.edu" TargetMode="External"/><Relationship Id="rId110" Type="http://schemas.openxmlformats.org/officeDocument/2006/relationships/hyperlink" Target="mailto:hoenisch@ldeo.columbia.edu" TargetMode="External"/><Relationship Id="rId348" Type="http://schemas.openxmlformats.org/officeDocument/2006/relationships/hyperlink" Target="https://doi.org/10.1073/pnas.1702143114" TargetMode="External"/><Relationship Id="rId152" Type="http://schemas.openxmlformats.org/officeDocument/2006/relationships/hyperlink" Target="mailto:hoenisch@ldeo.columbia.edu" TargetMode="External"/><Relationship Id="rId194" Type="http://schemas.openxmlformats.org/officeDocument/2006/relationships/hyperlink" Target="mailto:hoenisch@ldeo.columbia.edu" TargetMode="External"/><Relationship Id="rId208" Type="http://schemas.openxmlformats.org/officeDocument/2006/relationships/hyperlink" Target="mailto:hoenisch@ldeo.columbia.edu" TargetMode="External"/><Relationship Id="rId261" Type="http://schemas.openxmlformats.org/officeDocument/2006/relationships/hyperlink" Target="mailto:hoenisch@ldeo.columbia.edu" TargetMode="External"/><Relationship Id="rId14" Type="http://schemas.openxmlformats.org/officeDocument/2006/relationships/hyperlink" Target="mailto:hoenisch@ldeo.columbia.edu" TargetMode="External"/><Relationship Id="rId56" Type="http://schemas.openxmlformats.org/officeDocument/2006/relationships/hyperlink" Target="mailto:hoenisch@ldeo.columbia.edu" TargetMode="External"/><Relationship Id="rId317" Type="http://schemas.openxmlformats.org/officeDocument/2006/relationships/hyperlink" Target="https://doi.org/10.1073/pnas.1702143114" TargetMode="External"/><Relationship Id="rId359" Type="http://schemas.openxmlformats.org/officeDocument/2006/relationships/hyperlink" Target="https://doi.org/10.1073/pnas.1702143114" TargetMode="External"/><Relationship Id="rId98" Type="http://schemas.openxmlformats.org/officeDocument/2006/relationships/hyperlink" Target="mailto:hoenisch@ldeo.columbia.edu" TargetMode="External"/><Relationship Id="rId121" Type="http://schemas.openxmlformats.org/officeDocument/2006/relationships/hyperlink" Target="mailto:hoenisch@ldeo.columbia.edu" TargetMode="External"/><Relationship Id="rId163" Type="http://schemas.openxmlformats.org/officeDocument/2006/relationships/hyperlink" Target="mailto:hoenisch@ldeo.columbia.edu" TargetMode="External"/><Relationship Id="rId219" Type="http://schemas.openxmlformats.org/officeDocument/2006/relationships/hyperlink" Target="mailto:hoenisch@ldeo.columbia.edu" TargetMode="External"/><Relationship Id="rId370" Type="http://schemas.openxmlformats.org/officeDocument/2006/relationships/hyperlink" Target="https://doi.org/10.1073/pnas.1702143114" TargetMode="External"/><Relationship Id="rId230" Type="http://schemas.openxmlformats.org/officeDocument/2006/relationships/hyperlink" Target="mailto:hoenisch@ldeo.columbia.edu" TargetMode="External"/><Relationship Id="rId25" Type="http://schemas.openxmlformats.org/officeDocument/2006/relationships/hyperlink" Target="mailto:hoenisch@ldeo.columbia.edu" TargetMode="External"/><Relationship Id="rId67" Type="http://schemas.openxmlformats.org/officeDocument/2006/relationships/hyperlink" Target="mailto:hoenisch@ldeo.columbia.edu" TargetMode="External"/><Relationship Id="rId272" Type="http://schemas.openxmlformats.org/officeDocument/2006/relationships/hyperlink" Target="mailto:hoenisch@ldeo.columbia.edu" TargetMode="External"/><Relationship Id="rId328" Type="http://schemas.openxmlformats.org/officeDocument/2006/relationships/hyperlink" Target="https://doi.org/10.1073/pnas.1702143114" TargetMode="External"/><Relationship Id="rId132" Type="http://schemas.openxmlformats.org/officeDocument/2006/relationships/hyperlink" Target="mailto:hoenisch@ldeo.columbia.edu" TargetMode="External"/><Relationship Id="rId174" Type="http://schemas.openxmlformats.org/officeDocument/2006/relationships/hyperlink" Target="mailto:hoenisch@ldeo.columbia.edu" TargetMode="External"/><Relationship Id="rId381" Type="http://schemas.openxmlformats.org/officeDocument/2006/relationships/hyperlink" Target="https://doi.org/10.1073/pnas.1702143114" TargetMode="External"/><Relationship Id="rId241" Type="http://schemas.openxmlformats.org/officeDocument/2006/relationships/hyperlink" Target="mailto:hoenisch@ldeo.columbia.edu" TargetMode="External"/><Relationship Id="rId36" Type="http://schemas.openxmlformats.org/officeDocument/2006/relationships/hyperlink" Target="mailto:hoenisch@ldeo.columbia.edu" TargetMode="External"/><Relationship Id="rId283" Type="http://schemas.openxmlformats.org/officeDocument/2006/relationships/hyperlink" Target="mailto:hoenisch@ldeo.columbia.edu" TargetMode="External"/><Relationship Id="rId339" Type="http://schemas.openxmlformats.org/officeDocument/2006/relationships/hyperlink" Target="https://doi.org/10.1073/pnas.1702143114" TargetMode="External"/><Relationship Id="rId78" Type="http://schemas.openxmlformats.org/officeDocument/2006/relationships/hyperlink" Target="mailto:hoenisch@ldeo.columbia.edu" TargetMode="External"/><Relationship Id="rId101" Type="http://schemas.openxmlformats.org/officeDocument/2006/relationships/hyperlink" Target="mailto:hoenisch@ldeo.columbia.edu" TargetMode="External"/><Relationship Id="rId143" Type="http://schemas.openxmlformats.org/officeDocument/2006/relationships/hyperlink" Target="mailto:hoenisch@ldeo.columbia.edu" TargetMode="External"/><Relationship Id="rId185" Type="http://schemas.openxmlformats.org/officeDocument/2006/relationships/hyperlink" Target="mailto:hoenisch@ldeo.columbia.edu" TargetMode="External"/><Relationship Id="rId350" Type="http://schemas.openxmlformats.org/officeDocument/2006/relationships/hyperlink" Target="https://doi.org/10.1073/pnas.1702143114" TargetMode="External"/><Relationship Id="rId9" Type="http://schemas.openxmlformats.org/officeDocument/2006/relationships/hyperlink" Target="mailto:hoenisch@ldeo.columbia.edu" TargetMode="External"/><Relationship Id="rId210" Type="http://schemas.openxmlformats.org/officeDocument/2006/relationships/hyperlink" Target="mailto:hoenisch@ldeo.columbia.edu" TargetMode="External"/><Relationship Id="rId392" Type="http://schemas.openxmlformats.org/officeDocument/2006/relationships/hyperlink" Target="https://doi.org/10.1073/pnas.1702143114" TargetMode="External"/><Relationship Id="rId252" Type="http://schemas.openxmlformats.org/officeDocument/2006/relationships/hyperlink" Target="mailto:hoenisch@ldeo.columbia.edu" TargetMode="External"/><Relationship Id="rId294" Type="http://schemas.openxmlformats.org/officeDocument/2006/relationships/hyperlink" Target="https://doi.org/10.1073/pnas.1702143114" TargetMode="External"/><Relationship Id="rId308" Type="http://schemas.openxmlformats.org/officeDocument/2006/relationships/hyperlink" Target="https://doi.org/10.1073/pnas.1702143114" TargetMode="External"/><Relationship Id="rId47" Type="http://schemas.openxmlformats.org/officeDocument/2006/relationships/hyperlink" Target="mailto:hoenisch@ldeo.columbia.edu" TargetMode="External"/><Relationship Id="rId89" Type="http://schemas.openxmlformats.org/officeDocument/2006/relationships/hyperlink" Target="mailto:hoenisch@ldeo.columbia.edu" TargetMode="External"/><Relationship Id="rId112" Type="http://schemas.openxmlformats.org/officeDocument/2006/relationships/hyperlink" Target="mailto:hoenisch@ldeo.columbia.edu" TargetMode="External"/><Relationship Id="rId154" Type="http://schemas.openxmlformats.org/officeDocument/2006/relationships/hyperlink" Target="mailto:hoenisch@ldeo.columbia.edu" TargetMode="External"/><Relationship Id="rId361" Type="http://schemas.openxmlformats.org/officeDocument/2006/relationships/hyperlink" Target="https://doi.org/10.1073/pnas.1702143114" TargetMode="External"/><Relationship Id="rId196" Type="http://schemas.openxmlformats.org/officeDocument/2006/relationships/hyperlink" Target="mailto:hoenisch@ldeo.columbia.edu" TargetMode="External"/><Relationship Id="rId16" Type="http://schemas.openxmlformats.org/officeDocument/2006/relationships/hyperlink" Target="mailto:hoenisch@ldeo.columbia.edu" TargetMode="External"/><Relationship Id="rId221" Type="http://schemas.openxmlformats.org/officeDocument/2006/relationships/hyperlink" Target="mailto:hoenisch@ldeo.columbia.edu" TargetMode="External"/><Relationship Id="rId263" Type="http://schemas.openxmlformats.org/officeDocument/2006/relationships/hyperlink" Target="mailto:hoenisch@ldeo.columbia.edu" TargetMode="External"/><Relationship Id="rId319" Type="http://schemas.openxmlformats.org/officeDocument/2006/relationships/hyperlink" Target="https://doi.org/10.1073/pnas.1702143114" TargetMode="External"/><Relationship Id="rId37" Type="http://schemas.openxmlformats.org/officeDocument/2006/relationships/hyperlink" Target="mailto:hoenisch@ldeo.columbia.edu" TargetMode="External"/><Relationship Id="rId58" Type="http://schemas.openxmlformats.org/officeDocument/2006/relationships/hyperlink" Target="mailto:hoenisch@ldeo.columbia.edu" TargetMode="External"/><Relationship Id="rId79" Type="http://schemas.openxmlformats.org/officeDocument/2006/relationships/hyperlink" Target="mailto:hoenisch@ldeo.columbia.edu" TargetMode="External"/><Relationship Id="rId102" Type="http://schemas.openxmlformats.org/officeDocument/2006/relationships/hyperlink" Target="mailto:hoenisch@ldeo.columbia.edu" TargetMode="External"/><Relationship Id="rId123" Type="http://schemas.openxmlformats.org/officeDocument/2006/relationships/hyperlink" Target="mailto:hoenisch@ldeo.columbia.edu" TargetMode="External"/><Relationship Id="rId144" Type="http://schemas.openxmlformats.org/officeDocument/2006/relationships/hyperlink" Target="mailto:hoenisch@ldeo.columbia.edu" TargetMode="External"/><Relationship Id="rId330" Type="http://schemas.openxmlformats.org/officeDocument/2006/relationships/hyperlink" Target="https://doi.org/10.1073/pnas.1702143114" TargetMode="External"/><Relationship Id="rId90" Type="http://schemas.openxmlformats.org/officeDocument/2006/relationships/hyperlink" Target="mailto:hoenisch@ldeo.columbia.edu" TargetMode="External"/><Relationship Id="rId165" Type="http://schemas.openxmlformats.org/officeDocument/2006/relationships/hyperlink" Target="mailto:hoenisch@ldeo.columbia.edu" TargetMode="External"/><Relationship Id="rId186" Type="http://schemas.openxmlformats.org/officeDocument/2006/relationships/hyperlink" Target="mailto:hoenisch@ldeo.columbia.edu" TargetMode="External"/><Relationship Id="rId351" Type="http://schemas.openxmlformats.org/officeDocument/2006/relationships/hyperlink" Target="https://doi.org/10.1073/pnas.1702143114" TargetMode="External"/><Relationship Id="rId372" Type="http://schemas.openxmlformats.org/officeDocument/2006/relationships/hyperlink" Target="https://doi.org/10.1073/pnas.1702143114" TargetMode="External"/><Relationship Id="rId393" Type="http://schemas.openxmlformats.org/officeDocument/2006/relationships/hyperlink" Target="https://doi.org/10.1073/pnas.1702143114" TargetMode="External"/><Relationship Id="rId211" Type="http://schemas.openxmlformats.org/officeDocument/2006/relationships/hyperlink" Target="mailto:hoenisch@ldeo.columbia.edu" TargetMode="External"/><Relationship Id="rId232" Type="http://schemas.openxmlformats.org/officeDocument/2006/relationships/hyperlink" Target="mailto:hoenisch@ldeo.columbia.edu" TargetMode="External"/><Relationship Id="rId253" Type="http://schemas.openxmlformats.org/officeDocument/2006/relationships/hyperlink" Target="mailto:hoenisch@ldeo.columbia.edu" TargetMode="External"/><Relationship Id="rId274" Type="http://schemas.openxmlformats.org/officeDocument/2006/relationships/hyperlink" Target="mailto:hoenisch@ldeo.columbia.edu" TargetMode="External"/><Relationship Id="rId295" Type="http://schemas.openxmlformats.org/officeDocument/2006/relationships/hyperlink" Target="https://doi.org/10.1073/pnas.1702143114" TargetMode="External"/><Relationship Id="rId309" Type="http://schemas.openxmlformats.org/officeDocument/2006/relationships/hyperlink" Target="https://doi.org/10.1073/pnas.1702143114" TargetMode="External"/><Relationship Id="rId27" Type="http://schemas.openxmlformats.org/officeDocument/2006/relationships/hyperlink" Target="mailto:hoenisch@ldeo.columbia.edu" TargetMode="External"/><Relationship Id="rId48" Type="http://schemas.openxmlformats.org/officeDocument/2006/relationships/hyperlink" Target="mailto:hoenisch@ldeo.columbia.edu" TargetMode="External"/><Relationship Id="rId69" Type="http://schemas.openxmlformats.org/officeDocument/2006/relationships/hyperlink" Target="mailto:hoenisch@ldeo.columbia.edu" TargetMode="External"/><Relationship Id="rId113" Type="http://schemas.openxmlformats.org/officeDocument/2006/relationships/hyperlink" Target="mailto:hoenisch@ldeo.columbia.edu" TargetMode="External"/><Relationship Id="rId134" Type="http://schemas.openxmlformats.org/officeDocument/2006/relationships/hyperlink" Target="mailto:hoenisch@ldeo.columbia.edu" TargetMode="External"/><Relationship Id="rId320" Type="http://schemas.openxmlformats.org/officeDocument/2006/relationships/hyperlink" Target="https://doi.org/10.1073/pnas.1702143114" TargetMode="External"/><Relationship Id="rId80" Type="http://schemas.openxmlformats.org/officeDocument/2006/relationships/hyperlink" Target="mailto:hoenisch@ldeo.columbia.edu" TargetMode="External"/><Relationship Id="rId155" Type="http://schemas.openxmlformats.org/officeDocument/2006/relationships/hyperlink" Target="mailto:hoenisch@ldeo.columbia.edu" TargetMode="External"/><Relationship Id="rId176" Type="http://schemas.openxmlformats.org/officeDocument/2006/relationships/hyperlink" Target="mailto:hoenisch@ldeo.columbia.edu" TargetMode="External"/><Relationship Id="rId197" Type="http://schemas.openxmlformats.org/officeDocument/2006/relationships/hyperlink" Target="mailto:hoenisch@ldeo.columbia.edu" TargetMode="External"/><Relationship Id="rId341" Type="http://schemas.openxmlformats.org/officeDocument/2006/relationships/hyperlink" Target="https://doi.org/10.1073/pnas.1702143114" TargetMode="External"/><Relationship Id="rId362" Type="http://schemas.openxmlformats.org/officeDocument/2006/relationships/hyperlink" Target="https://doi.org/10.1073/pnas.1702143114" TargetMode="External"/><Relationship Id="rId383" Type="http://schemas.openxmlformats.org/officeDocument/2006/relationships/hyperlink" Target="https://doi.org/10.1073/pnas.1702143114" TargetMode="External"/><Relationship Id="rId201" Type="http://schemas.openxmlformats.org/officeDocument/2006/relationships/hyperlink" Target="mailto:hoenisch@ldeo.columbia.edu" TargetMode="External"/><Relationship Id="rId222" Type="http://schemas.openxmlformats.org/officeDocument/2006/relationships/hyperlink" Target="mailto:hoenisch@ldeo.columbia.edu" TargetMode="External"/><Relationship Id="rId243" Type="http://schemas.openxmlformats.org/officeDocument/2006/relationships/hyperlink" Target="mailto:hoenisch@ldeo.columbia.edu" TargetMode="External"/><Relationship Id="rId264" Type="http://schemas.openxmlformats.org/officeDocument/2006/relationships/hyperlink" Target="mailto:hoenisch@ldeo.columbia.edu" TargetMode="External"/><Relationship Id="rId285" Type="http://schemas.openxmlformats.org/officeDocument/2006/relationships/hyperlink" Target="mailto:hoenisch@ldeo.columbia.edu" TargetMode="External"/><Relationship Id="rId17" Type="http://schemas.openxmlformats.org/officeDocument/2006/relationships/hyperlink" Target="mailto:hoenisch@ldeo.columbia.edu" TargetMode="External"/><Relationship Id="rId38" Type="http://schemas.openxmlformats.org/officeDocument/2006/relationships/hyperlink" Target="mailto:hoenisch@ldeo.columbia.edu" TargetMode="External"/><Relationship Id="rId59" Type="http://schemas.openxmlformats.org/officeDocument/2006/relationships/hyperlink" Target="mailto:hoenisch@ldeo.columbia.edu" TargetMode="External"/><Relationship Id="rId103" Type="http://schemas.openxmlformats.org/officeDocument/2006/relationships/hyperlink" Target="mailto:hoenisch@ldeo.columbia.edu" TargetMode="External"/><Relationship Id="rId124" Type="http://schemas.openxmlformats.org/officeDocument/2006/relationships/hyperlink" Target="mailto:hoenisch@ldeo.columbia.edu" TargetMode="External"/><Relationship Id="rId310" Type="http://schemas.openxmlformats.org/officeDocument/2006/relationships/hyperlink" Target="https://doi.org/10.1073/pnas.1702143114" TargetMode="External"/><Relationship Id="rId70" Type="http://schemas.openxmlformats.org/officeDocument/2006/relationships/hyperlink" Target="mailto:hoenisch@ldeo.columbia.edu" TargetMode="External"/><Relationship Id="rId91" Type="http://schemas.openxmlformats.org/officeDocument/2006/relationships/hyperlink" Target="mailto:hoenisch@ldeo.columbia.edu" TargetMode="External"/><Relationship Id="rId145" Type="http://schemas.openxmlformats.org/officeDocument/2006/relationships/hyperlink" Target="mailto:hoenisch@ldeo.columbia.edu" TargetMode="External"/><Relationship Id="rId166" Type="http://schemas.openxmlformats.org/officeDocument/2006/relationships/hyperlink" Target="mailto:hoenisch@ldeo.columbia.edu" TargetMode="External"/><Relationship Id="rId187" Type="http://schemas.openxmlformats.org/officeDocument/2006/relationships/hyperlink" Target="mailto:hoenisch@ldeo.columbia.edu" TargetMode="External"/><Relationship Id="rId331" Type="http://schemas.openxmlformats.org/officeDocument/2006/relationships/hyperlink" Target="https://doi.org/10.1073/pnas.1702143114" TargetMode="External"/><Relationship Id="rId352" Type="http://schemas.openxmlformats.org/officeDocument/2006/relationships/hyperlink" Target="https://doi.org/10.1073/pnas.1702143114" TargetMode="External"/><Relationship Id="rId373" Type="http://schemas.openxmlformats.org/officeDocument/2006/relationships/hyperlink" Target="https://doi.org/10.1073/pnas.1702143114" TargetMode="External"/><Relationship Id="rId394" Type="http://schemas.openxmlformats.org/officeDocument/2006/relationships/hyperlink" Target="https://doi.org/10.1073/pnas.1702143114" TargetMode="External"/><Relationship Id="rId1" Type="http://schemas.openxmlformats.org/officeDocument/2006/relationships/hyperlink" Target="mailto:hoenisch@ldeo.columbia.edu" TargetMode="External"/><Relationship Id="rId212" Type="http://schemas.openxmlformats.org/officeDocument/2006/relationships/hyperlink" Target="mailto:hoenisch@ldeo.columbia.edu" TargetMode="External"/><Relationship Id="rId233" Type="http://schemas.openxmlformats.org/officeDocument/2006/relationships/hyperlink" Target="mailto:hoenisch@ldeo.columbia.edu" TargetMode="External"/><Relationship Id="rId254" Type="http://schemas.openxmlformats.org/officeDocument/2006/relationships/hyperlink" Target="mailto:hoenisch@ldeo.columbia.edu" TargetMode="External"/><Relationship Id="rId28" Type="http://schemas.openxmlformats.org/officeDocument/2006/relationships/hyperlink" Target="mailto:hoenisch@ldeo.columbia.edu" TargetMode="External"/><Relationship Id="rId49" Type="http://schemas.openxmlformats.org/officeDocument/2006/relationships/hyperlink" Target="mailto:hoenisch@ldeo.columbia.edu" TargetMode="External"/><Relationship Id="rId114" Type="http://schemas.openxmlformats.org/officeDocument/2006/relationships/hyperlink" Target="mailto:hoenisch@ldeo.columbia.edu" TargetMode="External"/><Relationship Id="rId275" Type="http://schemas.openxmlformats.org/officeDocument/2006/relationships/hyperlink" Target="mailto:hoenisch@ldeo.columbia.edu" TargetMode="External"/><Relationship Id="rId296" Type="http://schemas.openxmlformats.org/officeDocument/2006/relationships/hyperlink" Target="https://doi.org/10.1073/pnas.1702143114" TargetMode="External"/><Relationship Id="rId300" Type="http://schemas.openxmlformats.org/officeDocument/2006/relationships/hyperlink" Target="https://doi.org/10.1073/pnas.1702143114" TargetMode="External"/><Relationship Id="rId60" Type="http://schemas.openxmlformats.org/officeDocument/2006/relationships/hyperlink" Target="mailto:hoenisch@ldeo.columbia.edu" TargetMode="External"/><Relationship Id="rId81" Type="http://schemas.openxmlformats.org/officeDocument/2006/relationships/hyperlink" Target="mailto:hoenisch@ldeo.columbia.edu" TargetMode="External"/><Relationship Id="rId135" Type="http://schemas.openxmlformats.org/officeDocument/2006/relationships/hyperlink" Target="mailto:hoenisch@ldeo.columbia.edu" TargetMode="External"/><Relationship Id="rId156" Type="http://schemas.openxmlformats.org/officeDocument/2006/relationships/hyperlink" Target="mailto:hoenisch@ldeo.columbia.edu" TargetMode="External"/><Relationship Id="rId177" Type="http://schemas.openxmlformats.org/officeDocument/2006/relationships/hyperlink" Target="mailto:hoenisch@ldeo.columbia.edu" TargetMode="External"/><Relationship Id="rId198" Type="http://schemas.openxmlformats.org/officeDocument/2006/relationships/hyperlink" Target="mailto:hoenisch@ldeo.columbia.edu" TargetMode="External"/><Relationship Id="rId321" Type="http://schemas.openxmlformats.org/officeDocument/2006/relationships/hyperlink" Target="https://doi.org/10.1073/pnas.1702143114" TargetMode="External"/><Relationship Id="rId342" Type="http://schemas.openxmlformats.org/officeDocument/2006/relationships/hyperlink" Target="https://doi.org/10.1073/pnas.1702143114" TargetMode="External"/><Relationship Id="rId363" Type="http://schemas.openxmlformats.org/officeDocument/2006/relationships/hyperlink" Target="https://doi.org/10.1073/pnas.1702143114" TargetMode="External"/><Relationship Id="rId384" Type="http://schemas.openxmlformats.org/officeDocument/2006/relationships/hyperlink" Target="https://doi.org/10.1073/pnas.1702143114" TargetMode="External"/><Relationship Id="rId202" Type="http://schemas.openxmlformats.org/officeDocument/2006/relationships/hyperlink" Target="mailto:hoenisch@ldeo.columbia.edu" TargetMode="External"/><Relationship Id="rId223" Type="http://schemas.openxmlformats.org/officeDocument/2006/relationships/hyperlink" Target="mailto:hoenisch@ldeo.columbia.edu" TargetMode="External"/><Relationship Id="rId244" Type="http://schemas.openxmlformats.org/officeDocument/2006/relationships/hyperlink" Target="mailto:hoenisch@ldeo.columbia.edu" TargetMode="External"/><Relationship Id="rId18" Type="http://schemas.openxmlformats.org/officeDocument/2006/relationships/hyperlink" Target="mailto:hoenisch@ldeo.columbia.edu" TargetMode="External"/><Relationship Id="rId39" Type="http://schemas.openxmlformats.org/officeDocument/2006/relationships/hyperlink" Target="mailto:hoenisch@ldeo.columbia.edu" TargetMode="External"/><Relationship Id="rId265" Type="http://schemas.openxmlformats.org/officeDocument/2006/relationships/hyperlink" Target="mailto:hoenisch@ldeo.columbia.edu" TargetMode="External"/><Relationship Id="rId286" Type="http://schemas.openxmlformats.org/officeDocument/2006/relationships/hyperlink" Target="mailto:hoenisch@ldeo.columbia.edu" TargetMode="External"/><Relationship Id="rId50" Type="http://schemas.openxmlformats.org/officeDocument/2006/relationships/hyperlink" Target="mailto:hoenisch@ldeo.columbia.edu" TargetMode="External"/><Relationship Id="rId104" Type="http://schemas.openxmlformats.org/officeDocument/2006/relationships/hyperlink" Target="mailto:hoenisch@ldeo.columbia.edu" TargetMode="External"/><Relationship Id="rId125" Type="http://schemas.openxmlformats.org/officeDocument/2006/relationships/hyperlink" Target="mailto:hoenisch@ldeo.columbia.edu" TargetMode="External"/><Relationship Id="rId146" Type="http://schemas.openxmlformats.org/officeDocument/2006/relationships/hyperlink" Target="mailto:hoenisch@ldeo.columbia.edu" TargetMode="External"/><Relationship Id="rId167" Type="http://schemas.openxmlformats.org/officeDocument/2006/relationships/hyperlink" Target="mailto:hoenisch@ldeo.columbia.edu" TargetMode="External"/><Relationship Id="rId188" Type="http://schemas.openxmlformats.org/officeDocument/2006/relationships/hyperlink" Target="mailto:hoenisch@ldeo.columbia.edu" TargetMode="External"/><Relationship Id="rId311" Type="http://schemas.openxmlformats.org/officeDocument/2006/relationships/hyperlink" Target="https://doi.org/10.1073/pnas.1702143114" TargetMode="External"/><Relationship Id="rId332" Type="http://schemas.openxmlformats.org/officeDocument/2006/relationships/hyperlink" Target="https://doi.org/10.1073/pnas.1702143114" TargetMode="External"/><Relationship Id="rId353" Type="http://schemas.openxmlformats.org/officeDocument/2006/relationships/hyperlink" Target="https://doi.org/10.1073/pnas.1702143114" TargetMode="External"/><Relationship Id="rId374" Type="http://schemas.openxmlformats.org/officeDocument/2006/relationships/hyperlink" Target="https://doi.org/10.1073/pnas.1702143114" TargetMode="External"/><Relationship Id="rId395" Type="http://schemas.openxmlformats.org/officeDocument/2006/relationships/hyperlink" Target="https://doi.org/10.1073/pnas.1702143114" TargetMode="External"/><Relationship Id="rId71" Type="http://schemas.openxmlformats.org/officeDocument/2006/relationships/hyperlink" Target="mailto:hoenisch@ldeo.columbia.edu" TargetMode="External"/><Relationship Id="rId92" Type="http://schemas.openxmlformats.org/officeDocument/2006/relationships/hyperlink" Target="mailto:hoenisch@ldeo.columbia.edu" TargetMode="External"/><Relationship Id="rId213" Type="http://schemas.openxmlformats.org/officeDocument/2006/relationships/hyperlink" Target="mailto:hoenisch@ldeo.columbia.edu" TargetMode="External"/><Relationship Id="rId234" Type="http://schemas.openxmlformats.org/officeDocument/2006/relationships/hyperlink" Target="mailto:hoenisch@ldeo.columbia.edu" TargetMode="External"/><Relationship Id="rId2" Type="http://schemas.openxmlformats.org/officeDocument/2006/relationships/hyperlink" Target="mailto:hoenisch@ldeo.columbia.edu" TargetMode="External"/><Relationship Id="rId29" Type="http://schemas.openxmlformats.org/officeDocument/2006/relationships/hyperlink" Target="mailto:hoenisch@ldeo.columbia.edu" TargetMode="External"/><Relationship Id="rId255" Type="http://schemas.openxmlformats.org/officeDocument/2006/relationships/hyperlink" Target="mailto:hoenisch@ldeo.columbia.edu" TargetMode="External"/><Relationship Id="rId276" Type="http://schemas.openxmlformats.org/officeDocument/2006/relationships/hyperlink" Target="mailto:hoenisch@ldeo.columbia.edu" TargetMode="External"/><Relationship Id="rId297" Type="http://schemas.openxmlformats.org/officeDocument/2006/relationships/hyperlink" Target="https://doi.org/10.1073/pnas.1702143114" TargetMode="External"/><Relationship Id="rId40" Type="http://schemas.openxmlformats.org/officeDocument/2006/relationships/hyperlink" Target="mailto:hoenisch@ldeo.columbia.edu" TargetMode="External"/><Relationship Id="rId115" Type="http://schemas.openxmlformats.org/officeDocument/2006/relationships/hyperlink" Target="mailto:hoenisch@ldeo.columbia.edu" TargetMode="External"/><Relationship Id="rId136" Type="http://schemas.openxmlformats.org/officeDocument/2006/relationships/hyperlink" Target="mailto:hoenisch@ldeo.columbia.edu" TargetMode="External"/><Relationship Id="rId157" Type="http://schemas.openxmlformats.org/officeDocument/2006/relationships/hyperlink" Target="mailto:hoenisch@ldeo.columbia.edu" TargetMode="External"/><Relationship Id="rId178" Type="http://schemas.openxmlformats.org/officeDocument/2006/relationships/hyperlink" Target="mailto:hoenisch@ldeo.columbia.edu" TargetMode="External"/><Relationship Id="rId301" Type="http://schemas.openxmlformats.org/officeDocument/2006/relationships/hyperlink" Target="https://doi.org/10.1073/pnas.1702143114" TargetMode="External"/><Relationship Id="rId322" Type="http://schemas.openxmlformats.org/officeDocument/2006/relationships/hyperlink" Target="https://doi.org/10.1073/pnas.1702143114" TargetMode="External"/><Relationship Id="rId343" Type="http://schemas.openxmlformats.org/officeDocument/2006/relationships/hyperlink" Target="https://doi.org/10.1073/pnas.1702143114" TargetMode="External"/><Relationship Id="rId364" Type="http://schemas.openxmlformats.org/officeDocument/2006/relationships/hyperlink" Target="https://doi.org/10.1073/pnas.1702143114" TargetMode="External"/><Relationship Id="rId61" Type="http://schemas.openxmlformats.org/officeDocument/2006/relationships/hyperlink" Target="mailto:hoenisch@ldeo.columbia.edu" TargetMode="External"/><Relationship Id="rId82" Type="http://schemas.openxmlformats.org/officeDocument/2006/relationships/hyperlink" Target="mailto:hoenisch@ldeo.columbia.edu" TargetMode="External"/><Relationship Id="rId199" Type="http://schemas.openxmlformats.org/officeDocument/2006/relationships/hyperlink" Target="mailto:hoenisch@ldeo.columbia.edu" TargetMode="External"/><Relationship Id="rId203" Type="http://schemas.openxmlformats.org/officeDocument/2006/relationships/hyperlink" Target="mailto:hoenisch@ldeo.columbia.edu" TargetMode="External"/><Relationship Id="rId385" Type="http://schemas.openxmlformats.org/officeDocument/2006/relationships/hyperlink" Target="https://doi.org/10.1073/pnas.1702143114" TargetMode="External"/><Relationship Id="rId19" Type="http://schemas.openxmlformats.org/officeDocument/2006/relationships/hyperlink" Target="mailto:hoenisch@ldeo.columbia.edu" TargetMode="External"/><Relationship Id="rId224" Type="http://schemas.openxmlformats.org/officeDocument/2006/relationships/hyperlink" Target="mailto:hoenisch@ldeo.columbia.edu" TargetMode="External"/><Relationship Id="rId245" Type="http://schemas.openxmlformats.org/officeDocument/2006/relationships/hyperlink" Target="mailto:hoenisch@ldeo.columbia.edu" TargetMode="External"/><Relationship Id="rId266" Type="http://schemas.openxmlformats.org/officeDocument/2006/relationships/hyperlink" Target="mailto:hoenisch@ldeo.columbia.edu" TargetMode="External"/><Relationship Id="rId287" Type="http://schemas.openxmlformats.org/officeDocument/2006/relationships/hyperlink" Target="mailto:hoenisch@ldeo.columbia.edu" TargetMode="External"/><Relationship Id="rId30" Type="http://schemas.openxmlformats.org/officeDocument/2006/relationships/hyperlink" Target="mailto:hoenisch@ldeo.columbia.edu" TargetMode="External"/><Relationship Id="rId105" Type="http://schemas.openxmlformats.org/officeDocument/2006/relationships/hyperlink" Target="mailto:hoenisch@ldeo.columbia.edu" TargetMode="External"/><Relationship Id="rId126" Type="http://schemas.openxmlformats.org/officeDocument/2006/relationships/hyperlink" Target="mailto:hoenisch@ldeo.columbia.edu" TargetMode="External"/><Relationship Id="rId147" Type="http://schemas.openxmlformats.org/officeDocument/2006/relationships/hyperlink" Target="mailto:hoenisch@ldeo.columbia.edu" TargetMode="External"/><Relationship Id="rId168" Type="http://schemas.openxmlformats.org/officeDocument/2006/relationships/hyperlink" Target="mailto:hoenisch@ldeo.columbia.edu" TargetMode="External"/><Relationship Id="rId312" Type="http://schemas.openxmlformats.org/officeDocument/2006/relationships/hyperlink" Target="https://doi.org/10.1073/pnas.1702143114" TargetMode="External"/><Relationship Id="rId333" Type="http://schemas.openxmlformats.org/officeDocument/2006/relationships/hyperlink" Target="https://doi.org/10.1073/pnas.1702143114" TargetMode="External"/><Relationship Id="rId354" Type="http://schemas.openxmlformats.org/officeDocument/2006/relationships/hyperlink" Target="https://doi.org/10.1073/pnas.1702143114" TargetMode="External"/><Relationship Id="rId51" Type="http://schemas.openxmlformats.org/officeDocument/2006/relationships/hyperlink" Target="mailto:hoenisch@ldeo.columbia.edu" TargetMode="External"/><Relationship Id="rId72" Type="http://schemas.openxmlformats.org/officeDocument/2006/relationships/hyperlink" Target="mailto:hoenisch@ldeo.columbia.edu" TargetMode="External"/><Relationship Id="rId93" Type="http://schemas.openxmlformats.org/officeDocument/2006/relationships/hyperlink" Target="mailto:hoenisch@ldeo.columbia.edu" TargetMode="External"/><Relationship Id="rId189" Type="http://schemas.openxmlformats.org/officeDocument/2006/relationships/hyperlink" Target="mailto:hoenisch@ldeo.columbia.edu" TargetMode="External"/><Relationship Id="rId375" Type="http://schemas.openxmlformats.org/officeDocument/2006/relationships/hyperlink" Target="https://doi.org/10.1073/pnas.1702143114" TargetMode="External"/><Relationship Id="rId396" Type="http://schemas.openxmlformats.org/officeDocument/2006/relationships/hyperlink" Target="https://doi.org/10.1073/pnas.1702143114" TargetMode="External"/><Relationship Id="rId3" Type="http://schemas.openxmlformats.org/officeDocument/2006/relationships/hyperlink" Target="mailto:hoenisch@ldeo.columbia.edu" TargetMode="External"/><Relationship Id="rId214" Type="http://schemas.openxmlformats.org/officeDocument/2006/relationships/hyperlink" Target="mailto:hoenisch@ldeo.columbia.edu" TargetMode="External"/><Relationship Id="rId235" Type="http://schemas.openxmlformats.org/officeDocument/2006/relationships/hyperlink" Target="mailto:hoenisch@ldeo.columbia.edu" TargetMode="External"/><Relationship Id="rId256" Type="http://schemas.openxmlformats.org/officeDocument/2006/relationships/hyperlink" Target="mailto:hoenisch@ldeo.columbia.edu" TargetMode="External"/><Relationship Id="rId277" Type="http://schemas.openxmlformats.org/officeDocument/2006/relationships/hyperlink" Target="mailto:hoenisch@ldeo.columbia.edu" TargetMode="External"/><Relationship Id="rId298" Type="http://schemas.openxmlformats.org/officeDocument/2006/relationships/hyperlink" Target="https://doi.org/10.1073/pnas.1702143114" TargetMode="External"/><Relationship Id="rId116" Type="http://schemas.openxmlformats.org/officeDocument/2006/relationships/hyperlink" Target="mailto:hoenisch@ldeo.columbia.edu" TargetMode="External"/><Relationship Id="rId137" Type="http://schemas.openxmlformats.org/officeDocument/2006/relationships/hyperlink" Target="mailto:hoenisch@ldeo.columbia.edu" TargetMode="External"/><Relationship Id="rId158" Type="http://schemas.openxmlformats.org/officeDocument/2006/relationships/hyperlink" Target="mailto:hoenisch@ldeo.columbia.edu" TargetMode="External"/><Relationship Id="rId302" Type="http://schemas.openxmlformats.org/officeDocument/2006/relationships/hyperlink" Target="https://doi.org/10.1073/pnas.1702143114" TargetMode="External"/><Relationship Id="rId323" Type="http://schemas.openxmlformats.org/officeDocument/2006/relationships/hyperlink" Target="https://doi.org/10.1073/pnas.1702143114" TargetMode="External"/><Relationship Id="rId344" Type="http://schemas.openxmlformats.org/officeDocument/2006/relationships/hyperlink" Target="https://doi.org/10.1073/pnas.1702143114" TargetMode="External"/><Relationship Id="rId20" Type="http://schemas.openxmlformats.org/officeDocument/2006/relationships/hyperlink" Target="mailto:hoenisch@ldeo.columbia.edu" TargetMode="External"/><Relationship Id="rId41" Type="http://schemas.openxmlformats.org/officeDocument/2006/relationships/hyperlink" Target="mailto:hoenisch@ldeo.columbia.edu" TargetMode="External"/><Relationship Id="rId62" Type="http://schemas.openxmlformats.org/officeDocument/2006/relationships/hyperlink" Target="mailto:hoenisch@ldeo.columbia.edu" TargetMode="External"/><Relationship Id="rId83" Type="http://schemas.openxmlformats.org/officeDocument/2006/relationships/hyperlink" Target="mailto:hoenisch@ldeo.columbia.edu" TargetMode="External"/><Relationship Id="rId179" Type="http://schemas.openxmlformats.org/officeDocument/2006/relationships/hyperlink" Target="mailto:hoenisch@ldeo.columbia.edu" TargetMode="External"/><Relationship Id="rId365" Type="http://schemas.openxmlformats.org/officeDocument/2006/relationships/hyperlink" Target="https://doi.org/10.1073/pnas.1702143114" TargetMode="External"/><Relationship Id="rId386" Type="http://schemas.openxmlformats.org/officeDocument/2006/relationships/hyperlink" Target="https://doi.org/10.1073/pnas.1702143114" TargetMode="External"/><Relationship Id="rId190" Type="http://schemas.openxmlformats.org/officeDocument/2006/relationships/hyperlink" Target="mailto:hoenisch@ldeo.columbia.edu" TargetMode="External"/><Relationship Id="rId204" Type="http://schemas.openxmlformats.org/officeDocument/2006/relationships/hyperlink" Target="mailto:hoenisch@ldeo.columbia.edu" TargetMode="External"/><Relationship Id="rId225" Type="http://schemas.openxmlformats.org/officeDocument/2006/relationships/hyperlink" Target="mailto:hoenisch@ldeo.columbia.edu" TargetMode="External"/><Relationship Id="rId246" Type="http://schemas.openxmlformats.org/officeDocument/2006/relationships/hyperlink" Target="mailto:hoenisch@ldeo.columbia.edu" TargetMode="External"/><Relationship Id="rId267" Type="http://schemas.openxmlformats.org/officeDocument/2006/relationships/hyperlink" Target="mailto:hoenisch@ldeo.columbia.edu" TargetMode="External"/><Relationship Id="rId288" Type="http://schemas.openxmlformats.org/officeDocument/2006/relationships/hyperlink" Target="mailto:hoenisch@ldeo.columbia.edu" TargetMode="External"/><Relationship Id="rId106" Type="http://schemas.openxmlformats.org/officeDocument/2006/relationships/hyperlink" Target="mailto:hoenisch@ldeo.columbia.edu" TargetMode="External"/><Relationship Id="rId127" Type="http://schemas.openxmlformats.org/officeDocument/2006/relationships/hyperlink" Target="mailto:hoenisch@ldeo.columbia.edu" TargetMode="External"/><Relationship Id="rId313" Type="http://schemas.openxmlformats.org/officeDocument/2006/relationships/hyperlink" Target="https://doi.org/10.1073/pnas.1702143114" TargetMode="External"/><Relationship Id="rId10" Type="http://schemas.openxmlformats.org/officeDocument/2006/relationships/hyperlink" Target="mailto:hoenisch@ldeo.columbia.edu" TargetMode="External"/><Relationship Id="rId31" Type="http://schemas.openxmlformats.org/officeDocument/2006/relationships/hyperlink" Target="mailto:hoenisch@ldeo.columbia.edu" TargetMode="External"/><Relationship Id="rId52" Type="http://schemas.openxmlformats.org/officeDocument/2006/relationships/hyperlink" Target="mailto:hoenisch@ldeo.columbia.edu" TargetMode="External"/><Relationship Id="rId73" Type="http://schemas.openxmlformats.org/officeDocument/2006/relationships/hyperlink" Target="mailto:hoenisch@ldeo.columbia.edu" TargetMode="External"/><Relationship Id="rId94" Type="http://schemas.openxmlformats.org/officeDocument/2006/relationships/hyperlink" Target="mailto:hoenisch@ldeo.columbia.edu" TargetMode="External"/><Relationship Id="rId148" Type="http://schemas.openxmlformats.org/officeDocument/2006/relationships/hyperlink" Target="mailto:hoenisch@ldeo.columbia.edu" TargetMode="External"/><Relationship Id="rId169" Type="http://schemas.openxmlformats.org/officeDocument/2006/relationships/hyperlink" Target="mailto:hoenisch@ldeo.columbia.edu" TargetMode="External"/><Relationship Id="rId334" Type="http://schemas.openxmlformats.org/officeDocument/2006/relationships/hyperlink" Target="https://doi.org/10.1073/pnas.1702143114" TargetMode="External"/><Relationship Id="rId355" Type="http://schemas.openxmlformats.org/officeDocument/2006/relationships/hyperlink" Target="https://doi.org/10.1073/pnas.1702143114" TargetMode="External"/><Relationship Id="rId376" Type="http://schemas.openxmlformats.org/officeDocument/2006/relationships/hyperlink" Target="https://doi.org/10.1073/pnas.1702143114" TargetMode="External"/><Relationship Id="rId397" Type="http://schemas.openxmlformats.org/officeDocument/2006/relationships/hyperlink" Target="https://doi.org/10.1073/pnas.1702143114" TargetMode="External"/><Relationship Id="rId4" Type="http://schemas.openxmlformats.org/officeDocument/2006/relationships/hyperlink" Target="mailto:hoenisch@ldeo.columbia.edu" TargetMode="External"/><Relationship Id="rId180" Type="http://schemas.openxmlformats.org/officeDocument/2006/relationships/hyperlink" Target="mailto:hoenisch@ldeo.columbia.edu" TargetMode="External"/><Relationship Id="rId215" Type="http://schemas.openxmlformats.org/officeDocument/2006/relationships/hyperlink" Target="mailto:hoenisch@ldeo.columbia.edu" TargetMode="External"/><Relationship Id="rId236" Type="http://schemas.openxmlformats.org/officeDocument/2006/relationships/hyperlink" Target="mailto:hoenisch@ldeo.columbia.edu" TargetMode="External"/><Relationship Id="rId257" Type="http://schemas.openxmlformats.org/officeDocument/2006/relationships/hyperlink" Target="mailto:hoenisch@ldeo.columbia.edu" TargetMode="External"/><Relationship Id="rId278" Type="http://schemas.openxmlformats.org/officeDocument/2006/relationships/hyperlink" Target="mailto:hoenisch@ldeo.columbia.edu" TargetMode="External"/><Relationship Id="rId303" Type="http://schemas.openxmlformats.org/officeDocument/2006/relationships/hyperlink" Target="https://doi.org/10.1073/pnas.1702143114" TargetMode="External"/><Relationship Id="rId42" Type="http://schemas.openxmlformats.org/officeDocument/2006/relationships/hyperlink" Target="mailto:hoenisch@ldeo.columbia.edu" TargetMode="External"/><Relationship Id="rId84" Type="http://schemas.openxmlformats.org/officeDocument/2006/relationships/hyperlink" Target="mailto:hoenisch@ldeo.columbia.edu" TargetMode="External"/><Relationship Id="rId138" Type="http://schemas.openxmlformats.org/officeDocument/2006/relationships/hyperlink" Target="mailto:hoenisch@ldeo.columbia.edu" TargetMode="External"/><Relationship Id="rId345" Type="http://schemas.openxmlformats.org/officeDocument/2006/relationships/hyperlink" Target="https://doi.org/10.1073/pnas.1702143114" TargetMode="External"/><Relationship Id="rId387" Type="http://schemas.openxmlformats.org/officeDocument/2006/relationships/hyperlink" Target="https://doi.org/10.1073/pnas.1702143114" TargetMode="External"/><Relationship Id="rId191" Type="http://schemas.openxmlformats.org/officeDocument/2006/relationships/hyperlink" Target="mailto:hoenisch@ldeo.columbia.edu" TargetMode="External"/><Relationship Id="rId205" Type="http://schemas.openxmlformats.org/officeDocument/2006/relationships/hyperlink" Target="mailto:hoenisch@ldeo.columbia.edu" TargetMode="External"/><Relationship Id="rId247" Type="http://schemas.openxmlformats.org/officeDocument/2006/relationships/hyperlink" Target="mailto:hoenisch@ldeo.columbia.edu" TargetMode="External"/><Relationship Id="rId107" Type="http://schemas.openxmlformats.org/officeDocument/2006/relationships/hyperlink" Target="mailto:hoenisch@ldeo.columbia.edu" TargetMode="External"/><Relationship Id="rId289" Type="http://schemas.openxmlformats.org/officeDocument/2006/relationships/hyperlink" Target="mailto:hoenisch@ldeo.columbia.edu" TargetMode="External"/><Relationship Id="rId11" Type="http://schemas.openxmlformats.org/officeDocument/2006/relationships/hyperlink" Target="mailto:hoenisch@ldeo.columbia.edu" TargetMode="External"/><Relationship Id="rId53" Type="http://schemas.openxmlformats.org/officeDocument/2006/relationships/hyperlink" Target="mailto:hoenisch@ldeo.columbia.edu" TargetMode="External"/><Relationship Id="rId149" Type="http://schemas.openxmlformats.org/officeDocument/2006/relationships/hyperlink" Target="mailto:hoenisch@ldeo.columbia.edu" TargetMode="External"/><Relationship Id="rId314" Type="http://schemas.openxmlformats.org/officeDocument/2006/relationships/hyperlink" Target="https://doi.org/10.1073/pnas.1702143114" TargetMode="External"/><Relationship Id="rId356" Type="http://schemas.openxmlformats.org/officeDocument/2006/relationships/hyperlink" Target="https://doi.org/10.1073/pnas.1702143114" TargetMode="External"/><Relationship Id="rId398" Type="http://schemas.openxmlformats.org/officeDocument/2006/relationships/hyperlink" Target="https://doi.org/10.1073/pnas.1702143114" TargetMode="External"/><Relationship Id="rId95" Type="http://schemas.openxmlformats.org/officeDocument/2006/relationships/hyperlink" Target="mailto:hoenisch@ldeo.columbia.edu" TargetMode="External"/><Relationship Id="rId160" Type="http://schemas.openxmlformats.org/officeDocument/2006/relationships/hyperlink" Target="mailto:hoenisch@ldeo.columbia.edu" TargetMode="External"/><Relationship Id="rId216" Type="http://schemas.openxmlformats.org/officeDocument/2006/relationships/hyperlink" Target="mailto:hoenisch@ldeo.columbia.edu" TargetMode="External"/><Relationship Id="rId258" Type="http://schemas.openxmlformats.org/officeDocument/2006/relationships/hyperlink" Target="mailto:hoenisch@ldeo.columbia.edu" TargetMode="External"/><Relationship Id="rId22" Type="http://schemas.openxmlformats.org/officeDocument/2006/relationships/hyperlink" Target="mailto:hoenisch@ldeo.columbia.edu" TargetMode="External"/><Relationship Id="rId64" Type="http://schemas.openxmlformats.org/officeDocument/2006/relationships/hyperlink" Target="mailto:hoenisch@ldeo.columbia.edu" TargetMode="External"/><Relationship Id="rId118" Type="http://schemas.openxmlformats.org/officeDocument/2006/relationships/hyperlink" Target="mailto:hoenisch@ldeo.columbia.edu" TargetMode="External"/><Relationship Id="rId325" Type="http://schemas.openxmlformats.org/officeDocument/2006/relationships/hyperlink" Target="https://doi.org/10.1073/pnas.1702143114" TargetMode="External"/><Relationship Id="rId367" Type="http://schemas.openxmlformats.org/officeDocument/2006/relationships/hyperlink" Target="https://doi.org/10.1073/pnas.1702143114" TargetMode="External"/><Relationship Id="rId171" Type="http://schemas.openxmlformats.org/officeDocument/2006/relationships/hyperlink" Target="mailto:hoenisch@ldeo.columbia.edu" TargetMode="External"/><Relationship Id="rId227" Type="http://schemas.openxmlformats.org/officeDocument/2006/relationships/hyperlink" Target="mailto:hoenisch@ldeo.columbia.edu" TargetMode="External"/><Relationship Id="rId269" Type="http://schemas.openxmlformats.org/officeDocument/2006/relationships/hyperlink" Target="mailto:hoenisch@ldeo.columbia.edu" TargetMode="External"/><Relationship Id="rId33" Type="http://schemas.openxmlformats.org/officeDocument/2006/relationships/hyperlink" Target="mailto:hoenisch@ldeo.columbia.edu" TargetMode="External"/><Relationship Id="rId129" Type="http://schemas.openxmlformats.org/officeDocument/2006/relationships/hyperlink" Target="mailto:hoenisch@ldeo.columbia.edu" TargetMode="External"/><Relationship Id="rId280" Type="http://schemas.openxmlformats.org/officeDocument/2006/relationships/hyperlink" Target="mailto:hoenisch@ldeo.columbia.edu" TargetMode="External"/><Relationship Id="rId336" Type="http://schemas.openxmlformats.org/officeDocument/2006/relationships/hyperlink" Target="https://doi.org/10.1073/pnas.1702143114" TargetMode="External"/><Relationship Id="rId75" Type="http://schemas.openxmlformats.org/officeDocument/2006/relationships/hyperlink" Target="mailto:hoenisch@ldeo.columbia.edu" TargetMode="External"/><Relationship Id="rId140" Type="http://schemas.openxmlformats.org/officeDocument/2006/relationships/hyperlink" Target="mailto:hoenisch@ldeo.columbia.edu" TargetMode="External"/><Relationship Id="rId182" Type="http://schemas.openxmlformats.org/officeDocument/2006/relationships/hyperlink" Target="mailto:hoenisch@ldeo.columbia.edu" TargetMode="External"/><Relationship Id="rId378" Type="http://schemas.openxmlformats.org/officeDocument/2006/relationships/hyperlink" Target="https://doi.org/10.1073/pnas.1702143114" TargetMode="External"/><Relationship Id="rId6" Type="http://schemas.openxmlformats.org/officeDocument/2006/relationships/hyperlink" Target="mailto:hoenisch@ldeo.columbia.edu" TargetMode="External"/><Relationship Id="rId238" Type="http://schemas.openxmlformats.org/officeDocument/2006/relationships/hyperlink" Target="mailto:hoenisch@ldeo.columbia.edu" TargetMode="External"/><Relationship Id="rId291" Type="http://schemas.openxmlformats.org/officeDocument/2006/relationships/hyperlink" Target="https://doi.org/10.1073/pnas.1702143114" TargetMode="External"/><Relationship Id="rId305" Type="http://schemas.openxmlformats.org/officeDocument/2006/relationships/hyperlink" Target="https://doi.org/10.1073/pnas.1702143114" TargetMode="External"/><Relationship Id="rId347" Type="http://schemas.openxmlformats.org/officeDocument/2006/relationships/hyperlink" Target="https://doi.org/10.1073/pnas.1702143114" TargetMode="External"/><Relationship Id="rId44" Type="http://schemas.openxmlformats.org/officeDocument/2006/relationships/hyperlink" Target="mailto:hoenisch@ldeo.columbia.edu" TargetMode="External"/><Relationship Id="rId86" Type="http://schemas.openxmlformats.org/officeDocument/2006/relationships/hyperlink" Target="mailto:hoenisch@ldeo.columbia.edu" TargetMode="External"/><Relationship Id="rId151" Type="http://schemas.openxmlformats.org/officeDocument/2006/relationships/hyperlink" Target="mailto:hoenisch@ldeo.columbia.edu" TargetMode="External"/><Relationship Id="rId389" Type="http://schemas.openxmlformats.org/officeDocument/2006/relationships/hyperlink" Target="https://doi.org/10.1073/pnas.1702143114" TargetMode="External"/><Relationship Id="rId193" Type="http://schemas.openxmlformats.org/officeDocument/2006/relationships/hyperlink" Target="mailto:hoenisch@ldeo.columbia.edu" TargetMode="External"/><Relationship Id="rId207" Type="http://schemas.openxmlformats.org/officeDocument/2006/relationships/hyperlink" Target="mailto:hoenisch@ldeo.columbia.edu" TargetMode="External"/><Relationship Id="rId249" Type="http://schemas.openxmlformats.org/officeDocument/2006/relationships/hyperlink" Target="mailto:hoenisch@ldeo.columbia.edu" TargetMode="External"/><Relationship Id="rId13" Type="http://schemas.openxmlformats.org/officeDocument/2006/relationships/hyperlink" Target="mailto:hoenisch@ldeo.columbia.edu" TargetMode="External"/><Relationship Id="rId109" Type="http://schemas.openxmlformats.org/officeDocument/2006/relationships/hyperlink" Target="mailto:hoenisch@ldeo.columbia.edu" TargetMode="External"/><Relationship Id="rId260" Type="http://schemas.openxmlformats.org/officeDocument/2006/relationships/hyperlink" Target="mailto:hoenisch@ldeo.columbia.edu" TargetMode="External"/><Relationship Id="rId316" Type="http://schemas.openxmlformats.org/officeDocument/2006/relationships/hyperlink" Target="https://doi.org/10.1073/pnas.1702143114" TargetMode="External"/><Relationship Id="rId55" Type="http://schemas.openxmlformats.org/officeDocument/2006/relationships/hyperlink" Target="mailto:hoenisch@ldeo.columbia.edu" TargetMode="External"/><Relationship Id="rId97" Type="http://schemas.openxmlformats.org/officeDocument/2006/relationships/hyperlink" Target="mailto:hoenisch@ldeo.columbia.edu" TargetMode="External"/><Relationship Id="rId120" Type="http://schemas.openxmlformats.org/officeDocument/2006/relationships/hyperlink" Target="mailto:hoenisch@ldeo.columbia.edu" TargetMode="External"/><Relationship Id="rId358" Type="http://schemas.openxmlformats.org/officeDocument/2006/relationships/hyperlink" Target="https://doi.org/10.1073/pnas.1702143114" TargetMode="External"/><Relationship Id="rId162" Type="http://schemas.openxmlformats.org/officeDocument/2006/relationships/hyperlink" Target="mailto:hoenisch@ldeo.columbia.edu" TargetMode="External"/><Relationship Id="rId218" Type="http://schemas.openxmlformats.org/officeDocument/2006/relationships/hyperlink" Target="mailto:hoenisch@ldeo.columbia.edu" TargetMode="External"/><Relationship Id="rId271" Type="http://schemas.openxmlformats.org/officeDocument/2006/relationships/hyperlink" Target="mailto:hoenisch@ldeo.columbia.edu" TargetMode="External"/><Relationship Id="rId24" Type="http://schemas.openxmlformats.org/officeDocument/2006/relationships/hyperlink" Target="mailto:hoenisch@ldeo.columbia.edu" TargetMode="External"/><Relationship Id="rId66" Type="http://schemas.openxmlformats.org/officeDocument/2006/relationships/hyperlink" Target="mailto:hoenisch@ldeo.columbia.edu" TargetMode="External"/><Relationship Id="rId131" Type="http://schemas.openxmlformats.org/officeDocument/2006/relationships/hyperlink" Target="mailto:hoenisch@ldeo.columbia.edu" TargetMode="External"/><Relationship Id="rId327" Type="http://schemas.openxmlformats.org/officeDocument/2006/relationships/hyperlink" Target="https://doi.org/10.1073/pnas.1702143114" TargetMode="External"/><Relationship Id="rId369" Type="http://schemas.openxmlformats.org/officeDocument/2006/relationships/hyperlink" Target="https://doi.org/10.1073/pnas.1702143114" TargetMode="External"/><Relationship Id="rId173" Type="http://schemas.openxmlformats.org/officeDocument/2006/relationships/hyperlink" Target="mailto:hoenisch@ldeo.columbia.edu" TargetMode="External"/><Relationship Id="rId229" Type="http://schemas.openxmlformats.org/officeDocument/2006/relationships/hyperlink" Target="mailto:hoenisch@ldeo.columbia.edu" TargetMode="External"/><Relationship Id="rId380" Type="http://schemas.openxmlformats.org/officeDocument/2006/relationships/hyperlink" Target="https://doi.org/10.1073/pnas.1702143114" TargetMode="External"/><Relationship Id="rId240" Type="http://schemas.openxmlformats.org/officeDocument/2006/relationships/hyperlink" Target="mailto:hoenisch@ldeo.columbia.edu" TargetMode="External"/><Relationship Id="rId35" Type="http://schemas.openxmlformats.org/officeDocument/2006/relationships/hyperlink" Target="mailto:hoenisch@ldeo.columbia.edu" TargetMode="External"/><Relationship Id="rId77" Type="http://schemas.openxmlformats.org/officeDocument/2006/relationships/hyperlink" Target="mailto:hoenisch@ldeo.columbia.edu" TargetMode="External"/><Relationship Id="rId100" Type="http://schemas.openxmlformats.org/officeDocument/2006/relationships/hyperlink" Target="mailto:hoenisch@ldeo.columbia.edu" TargetMode="External"/><Relationship Id="rId282" Type="http://schemas.openxmlformats.org/officeDocument/2006/relationships/hyperlink" Target="mailto:hoenisch@ldeo.columbia.edu" TargetMode="External"/><Relationship Id="rId338" Type="http://schemas.openxmlformats.org/officeDocument/2006/relationships/hyperlink" Target="https://doi.org/10.1073/pnas.1702143114" TargetMode="External"/><Relationship Id="rId8" Type="http://schemas.openxmlformats.org/officeDocument/2006/relationships/hyperlink" Target="mailto:hoenisch@ldeo.columbia.edu" TargetMode="External"/><Relationship Id="rId142" Type="http://schemas.openxmlformats.org/officeDocument/2006/relationships/hyperlink" Target="mailto:hoenisch@ldeo.columbia.edu" TargetMode="External"/><Relationship Id="rId184" Type="http://schemas.openxmlformats.org/officeDocument/2006/relationships/hyperlink" Target="mailto:hoenisch@ldeo.columbia.edu" TargetMode="External"/><Relationship Id="rId391" Type="http://schemas.openxmlformats.org/officeDocument/2006/relationships/hyperlink" Target="https://doi.org/10.1073/pnas.1702143114" TargetMode="External"/><Relationship Id="rId251" Type="http://schemas.openxmlformats.org/officeDocument/2006/relationships/hyperlink" Target="mailto:hoenisch@ldeo.columbia.edu" TargetMode="External"/><Relationship Id="rId46" Type="http://schemas.openxmlformats.org/officeDocument/2006/relationships/hyperlink" Target="mailto:hoenisch@ldeo.columbia.edu" TargetMode="External"/><Relationship Id="rId293" Type="http://schemas.openxmlformats.org/officeDocument/2006/relationships/hyperlink" Target="https://doi.org/10.1073/pnas.1702143114" TargetMode="External"/><Relationship Id="rId307" Type="http://schemas.openxmlformats.org/officeDocument/2006/relationships/hyperlink" Target="https://doi.org/10.1073/pnas.1702143114" TargetMode="External"/><Relationship Id="rId349" Type="http://schemas.openxmlformats.org/officeDocument/2006/relationships/hyperlink" Target="https://doi.org/10.1073/pnas.1702143114" TargetMode="External"/><Relationship Id="rId88" Type="http://schemas.openxmlformats.org/officeDocument/2006/relationships/hyperlink" Target="mailto:hoenisch@ldeo.columbia.edu" TargetMode="External"/><Relationship Id="rId111" Type="http://schemas.openxmlformats.org/officeDocument/2006/relationships/hyperlink" Target="mailto:hoenisch@ldeo.columbia.edu" TargetMode="External"/><Relationship Id="rId153" Type="http://schemas.openxmlformats.org/officeDocument/2006/relationships/hyperlink" Target="mailto:hoenisch@ldeo.columbia.edu" TargetMode="External"/><Relationship Id="rId195" Type="http://schemas.openxmlformats.org/officeDocument/2006/relationships/hyperlink" Target="mailto:hoenisch@ldeo.columbia.edu" TargetMode="External"/><Relationship Id="rId209" Type="http://schemas.openxmlformats.org/officeDocument/2006/relationships/hyperlink" Target="mailto:hoenisch@ldeo.columbia.edu" TargetMode="External"/><Relationship Id="rId360" Type="http://schemas.openxmlformats.org/officeDocument/2006/relationships/hyperlink" Target="https://doi.org/10.1073/pnas.1702143114" TargetMode="External"/><Relationship Id="rId220" Type="http://schemas.openxmlformats.org/officeDocument/2006/relationships/hyperlink" Target="mailto:hoenisch@ldeo.columbia.edu" TargetMode="External"/><Relationship Id="rId15" Type="http://schemas.openxmlformats.org/officeDocument/2006/relationships/hyperlink" Target="mailto:hoenisch@ldeo.columbia.edu" TargetMode="External"/><Relationship Id="rId57" Type="http://schemas.openxmlformats.org/officeDocument/2006/relationships/hyperlink" Target="mailto:hoenisch@ldeo.columbia.edu" TargetMode="External"/><Relationship Id="rId262" Type="http://schemas.openxmlformats.org/officeDocument/2006/relationships/hyperlink" Target="mailto:hoenisch@ldeo.columbia.edu" TargetMode="External"/><Relationship Id="rId318" Type="http://schemas.openxmlformats.org/officeDocument/2006/relationships/hyperlink" Target="https://doi.org/10.1073/pnas.1702143114" TargetMode="External"/><Relationship Id="rId99" Type="http://schemas.openxmlformats.org/officeDocument/2006/relationships/hyperlink" Target="mailto:hoenisch@ldeo.columbia.edu" TargetMode="External"/><Relationship Id="rId122" Type="http://schemas.openxmlformats.org/officeDocument/2006/relationships/hyperlink" Target="mailto:hoenisch@ldeo.columbia.edu" TargetMode="External"/><Relationship Id="rId164" Type="http://schemas.openxmlformats.org/officeDocument/2006/relationships/hyperlink" Target="mailto:hoenisch@ldeo.columbia.edu" TargetMode="External"/><Relationship Id="rId371" Type="http://schemas.openxmlformats.org/officeDocument/2006/relationships/hyperlink" Target="https://doi.org/10.1073/pnas.1702143114" TargetMode="External"/><Relationship Id="rId26" Type="http://schemas.openxmlformats.org/officeDocument/2006/relationships/hyperlink" Target="mailto:hoenisch@ldeo.columbia.edu" TargetMode="External"/><Relationship Id="rId231" Type="http://schemas.openxmlformats.org/officeDocument/2006/relationships/hyperlink" Target="mailto:hoenisch@ldeo.columbia.edu" TargetMode="External"/><Relationship Id="rId273" Type="http://schemas.openxmlformats.org/officeDocument/2006/relationships/hyperlink" Target="mailto:hoenisch@ldeo.columbia.edu" TargetMode="External"/><Relationship Id="rId329" Type="http://schemas.openxmlformats.org/officeDocument/2006/relationships/hyperlink" Target="https://doi.org/10.1073/pnas.1702143114" TargetMode="External"/><Relationship Id="rId68" Type="http://schemas.openxmlformats.org/officeDocument/2006/relationships/hyperlink" Target="mailto:hoenisch@ldeo.columbia.edu" TargetMode="External"/><Relationship Id="rId133" Type="http://schemas.openxmlformats.org/officeDocument/2006/relationships/hyperlink" Target="mailto:hoenisch@ldeo.columbia.edu" TargetMode="External"/><Relationship Id="rId175" Type="http://schemas.openxmlformats.org/officeDocument/2006/relationships/hyperlink" Target="mailto:hoenisch@ldeo.columbia.edu" TargetMode="External"/><Relationship Id="rId340" Type="http://schemas.openxmlformats.org/officeDocument/2006/relationships/hyperlink" Target="https://doi.org/10.1073/pnas.1702143114" TargetMode="External"/><Relationship Id="rId200" Type="http://schemas.openxmlformats.org/officeDocument/2006/relationships/hyperlink" Target="mailto:hoenisch@ldeo.columbia.edu" TargetMode="External"/><Relationship Id="rId382" Type="http://schemas.openxmlformats.org/officeDocument/2006/relationships/hyperlink" Target="https://doi.org/10.1073/pnas.1702143114" TargetMode="External"/><Relationship Id="rId242" Type="http://schemas.openxmlformats.org/officeDocument/2006/relationships/hyperlink" Target="mailto:hoenisch@ldeo.columbia.edu" TargetMode="External"/><Relationship Id="rId284" Type="http://schemas.openxmlformats.org/officeDocument/2006/relationships/hyperlink" Target="mailto:hoenisch@ldeo.columbi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I292"/>
  <sheetViews>
    <sheetView tabSelected="1" topLeftCell="A265" workbookViewId="0">
      <pane xSplit="5" topLeftCell="K1" activePane="topRight" state="frozen"/>
      <selection pane="topRight" activeCell="Q282" sqref="Q282"/>
    </sheetView>
  </sheetViews>
  <sheetFormatPr baseColWidth="10" defaultColWidth="11" defaultRowHeight="16"/>
  <cols>
    <col min="1" max="1" width="14.1640625" style="169" customWidth="1"/>
    <col min="2" max="4" width="11" style="169"/>
    <col min="5" max="5" width="11" style="156"/>
    <col min="6" max="6" width="14.6640625" style="169" customWidth="1"/>
    <col min="7" max="7" width="15.5" style="169" customWidth="1"/>
    <col min="8" max="8" width="11" style="169"/>
    <col min="11" max="11" width="14.1640625" customWidth="1"/>
    <col min="12" max="12" width="25.6640625" customWidth="1"/>
    <col min="13" max="13" width="16" style="1" customWidth="1"/>
    <col min="14" max="14" width="22.33203125" customWidth="1"/>
    <col min="24" max="24" width="23" customWidth="1"/>
    <col min="34" max="34" width="13.33203125" customWidth="1"/>
    <col min="35" max="36" width="14.33203125" customWidth="1"/>
    <col min="38" max="38" width="16.33203125" customWidth="1"/>
    <col min="39" max="39" width="13.5" customWidth="1"/>
    <col min="47" max="47" width="13.5" customWidth="1"/>
    <col min="48" max="48" width="13.83203125" customWidth="1"/>
    <col min="49" max="49" width="14.1640625" customWidth="1"/>
    <col min="50" max="50" width="16.6640625" customWidth="1"/>
    <col min="52" max="52" width="12.83203125" customWidth="1"/>
    <col min="54" max="54" width="16.33203125" customWidth="1"/>
    <col min="55" max="55" width="12.83203125" customWidth="1"/>
    <col min="56" max="56" width="13.33203125" customWidth="1"/>
    <col min="57" max="57" width="14.33203125" customWidth="1"/>
    <col min="58" max="58" width="14.5" customWidth="1"/>
    <col min="59" max="59" width="16.5" customWidth="1"/>
    <col min="61" max="61" width="14.5" customWidth="1"/>
    <col min="62" max="62" width="14.1640625" customWidth="1"/>
    <col min="64" max="64" width="14" customWidth="1"/>
    <col min="65" max="65" width="13.83203125" customWidth="1"/>
    <col min="66" max="66" width="13.1640625" customWidth="1"/>
    <col min="69" max="69" width="13.6640625" customWidth="1"/>
    <col min="70" max="70" width="12.83203125" customWidth="1"/>
    <col min="71" max="71" width="14.83203125" customWidth="1"/>
    <col min="72" max="72" width="13.1640625" customWidth="1"/>
    <col min="74" max="74" width="15.1640625" customWidth="1"/>
    <col min="75" max="75" width="15.83203125" customWidth="1"/>
    <col min="76" max="76" width="15.6640625" customWidth="1"/>
    <col min="77" max="77" width="16.6640625" customWidth="1"/>
    <col min="78" max="79" width="14.5" customWidth="1"/>
    <col min="81" max="81" width="15.83203125" customWidth="1"/>
    <col min="82" max="82" width="15.6640625" customWidth="1"/>
    <col min="83" max="84" width="16" customWidth="1"/>
    <col min="85" max="85" width="19" customWidth="1"/>
    <col min="86" max="86" width="14" customWidth="1"/>
    <col min="90" max="90" width="15" customWidth="1"/>
    <col min="91" max="91" width="12.6640625" customWidth="1"/>
    <col min="95" max="95" width="12.83203125" customWidth="1"/>
    <col min="102" max="102" width="13.1640625" customWidth="1"/>
    <col min="103" max="103" width="13.83203125" customWidth="1"/>
    <col min="106" max="106" width="22.6640625" customWidth="1"/>
    <col min="116" max="116" width="14.5" customWidth="1"/>
    <col min="117" max="117" width="13.83203125" customWidth="1"/>
    <col min="118" max="118" width="26.5" customWidth="1"/>
    <col min="120" max="121" width="15.33203125" customWidth="1"/>
    <col min="123" max="123" width="14.1640625" customWidth="1"/>
    <col min="126" max="126" width="14.33203125" customWidth="1"/>
    <col min="127" max="128" width="13.83203125" customWidth="1"/>
    <col min="129" max="129" width="15.1640625" customWidth="1"/>
    <col min="130" max="130" width="14.6640625" customWidth="1"/>
    <col min="131" max="131" width="15" customWidth="1"/>
    <col min="132" max="132" width="13.33203125" customWidth="1"/>
    <col min="136" max="136" width="14.83203125" customWidth="1"/>
    <col min="137" max="137" width="14.6640625" customWidth="1"/>
    <col min="138" max="138" width="13.83203125" customWidth="1"/>
    <col min="139" max="139" width="15" customWidth="1"/>
    <col min="140" max="140" width="14.33203125" customWidth="1"/>
    <col min="142" max="142" width="15.33203125" customWidth="1"/>
    <col min="143" max="144" width="15" customWidth="1"/>
    <col min="145" max="145" width="14.83203125" customWidth="1"/>
    <col min="146" max="147" width="14.6640625" customWidth="1"/>
    <col min="148" max="148" width="15.1640625" customWidth="1"/>
    <col min="151" max="151" width="14.33203125" customWidth="1"/>
    <col min="152" max="152" width="15" customWidth="1"/>
    <col min="154" max="154" width="15.5" customWidth="1"/>
    <col min="155" max="155" width="15.1640625" customWidth="1"/>
    <col min="156" max="156" width="15.33203125" customWidth="1"/>
    <col min="157" max="158" width="13.83203125" customWidth="1"/>
    <col min="159" max="159" width="14.6640625" customWidth="1"/>
    <col min="160" max="160" width="17" customWidth="1"/>
    <col min="161" max="161" width="13.1640625" customWidth="1"/>
    <col min="162" max="163" width="14" customWidth="1"/>
    <col min="164" max="164" width="13.6640625" customWidth="1"/>
    <col min="167" max="168" width="13.1640625" customWidth="1"/>
    <col min="169" max="169" width="13.83203125" customWidth="1"/>
    <col min="170" max="171" width="16" customWidth="1"/>
    <col min="172" max="172" width="15.5" customWidth="1"/>
    <col min="173" max="173" width="85" customWidth="1"/>
  </cols>
  <sheetData>
    <row r="1" spans="1:191" ht="18">
      <c r="A1" s="157" t="s">
        <v>124</v>
      </c>
      <c r="B1" s="158"/>
      <c r="C1" s="158"/>
      <c r="D1" s="158"/>
      <c r="E1" s="152"/>
      <c r="F1" s="158"/>
      <c r="G1" s="158"/>
      <c r="H1" s="158"/>
      <c r="I1" s="108"/>
      <c r="J1" s="109"/>
      <c r="K1" s="2" t="s">
        <v>1</v>
      </c>
      <c r="L1" s="3"/>
      <c r="M1" s="4"/>
      <c r="N1" s="5"/>
      <c r="O1" s="6" t="s">
        <v>2</v>
      </c>
      <c r="P1" s="7"/>
      <c r="Q1" s="7"/>
      <c r="R1" s="7"/>
      <c r="S1" s="7"/>
      <c r="T1" s="7"/>
      <c r="U1" s="8"/>
      <c r="V1" s="126"/>
      <c r="W1" s="8"/>
      <c r="X1" s="7"/>
      <c r="Y1" s="7"/>
      <c r="Z1" s="7"/>
      <c r="AA1" s="7"/>
      <c r="AB1" s="7"/>
      <c r="AC1" s="7"/>
      <c r="AD1" s="7"/>
      <c r="AE1" s="7"/>
      <c r="AF1" s="7"/>
      <c r="AG1" s="9" t="s">
        <v>3</v>
      </c>
      <c r="AH1" s="10"/>
      <c r="AI1" s="11"/>
      <c r="AJ1" s="11"/>
      <c r="AK1" s="12"/>
      <c r="AL1" s="12"/>
      <c r="AM1" s="12"/>
      <c r="AN1" s="13"/>
      <c r="AO1" s="12"/>
      <c r="AP1" s="12"/>
      <c r="AQ1" s="12"/>
      <c r="AR1" s="12"/>
      <c r="AS1" s="12"/>
      <c r="AT1" s="12"/>
      <c r="AU1" s="14" t="s">
        <v>4</v>
      </c>
      <c r="AV1" s="15"/>
      <c r="AW1" s="15"/>
      <c r="AX1" s="15"/>
      <c r="AY1" s="15"/>
      <c r="AZ1" s="15"/>
      <c r="BA1" s="15"/>
      <c r="BB1" s="16"/>
      <c r="BC1" s="17"/>
      <c r="BD1" s="17"/>
      <c r="BE1" s="17"/>
      <c r="BF1" s="18"/>
      <c r="BG1" s="19"/>
      <c r="BH1" s="20" t="s">
        <v>5</v>
      </c>
      <c r="BI1" s="21"/>
      <c r="BJ1" s="21"/>
      <c r="BK1" s="21"/>
      <c r="BL1" s="21"/>
      <c r="BM1" s="21"/>
      <c r="BN1" s="21"/>
      <c r="BO1" s="22"/>
      <c r="BP1" s="23" t="s">
        <v>6</v>
      </c>
      <c r="BQ1" s="23"/>
      <c r="BR1" s="24"/>
      <c r="BS1" s="24"/>
      <c r="BT1" s="24"/>
      <c r="BU1" s="25" t="s">
        <v>7</v>
      </c>
      <c r="BV1" s="26"/>
      <c r="BW1" s="26"/>
      <c r="BX1" s="25"/>
      <c r="BY1" s="28"/>
      <c r="BZ1" s="28"/>
      <c r="CA1" s="29"/>
      <c r="CB1" s="28" t="s">
        <v>8</v>
      </c>
      <c r="CC1" s="30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5" t="s">
        <v>9</v>
      </c>
      <c r="CO1" s="28"/>
      <c r="CP1" s="28"/>
      <c r="CQ1" s="28"/>
      <c r="CR1" s="28"/>
      <c r="CS1" s="28"/>
      <c r="CT1" s="29"/>
      <c r="CU1" s="26" t="s">
        <v>10</v>
      </c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31"/>
      <c r="DP1" s="28"/>
      <c r="DQ1" s="28"/>
      <c r="DR1" s="29"/>
      <c r="DS1" s="26"/>
      <c r="DT1" s="26"/>
      <c r="DU1" s="32" t="s">
        <v>11</v>
      </c>
      <c r="DV1" s="26"/>
      <c r="DW1" s="26"/>
      <c r="DX1" s="26"/>
      <c r="DY1" s="26"/>
      <c r="DZ1" s="27"/>
      <c r="EA1" s="32" t="s">
        <v>12</v>
      </c>
      <c r="EB1" s="26"/>
      <c r="EC1" s="26"/>
      <c r="ED1" s="26"/>
      <c r="EE1" s="26"/>
      <c r="EF1" s="33"/>
      <c r="EG1" s="61"/>
      <c r="EH1" s="34" t="s">
        <v>13</v>
      </c>
      <c r="EI1" s="34"/>
      <c r="EJ1" s="34"/>
      <c r="EK1" s="34"/>
      <c r="EL1" s="34"/>
      <c r="EM1" s="34"/>
      <c r="EN1" s="34"/>
      <c r="EO1" s="34"/>
      <c r="EP1" s="34"/>
      <c r="EQ1" s="34"/>
      <c r="ER1" s="34"/>
      <c r="ES1" s="35" t="s">
        <v>14</v>
      </c>
      <c r="ET1" s="36"/>
      <c r="EU1" s="36"/>
      <c r="EV1" s="36"/>
      <c r="EW1" s="37"/>
      <c r="EX1" s="37"/>
      <c r="EY1" s="37"/>
      <c r="EZ1" s="37"/>
      <c r="FA1" s="36"/>
      <c r="FB1" s="36"/>
      <c r="FC1" s="36"/>
      <c r="FD1" s="36"/>
      <c r="FE1" s="35"/>
      <c r="FF1" s="36"/>
      <c r="FG1" s="36"/>
      <c r="FH1" s="36"/>
      <c r="FI1" s="36"/>
      <c r="FJ1" s="36"/>
      <c r="FK1" s="7"/>
      <c r="FL1" s="7"/>
      <c r="FM1" s="7"/>
      <c r="FN1" s="7"/>
      <c r="FO1" s="7"/>
      <c r="FP1" s="7"/>
      <c r="FQ1" s="38"/>
    </row>
    <row r="2" spans="1:191" ht="20">
      <c r="A2" s="159"/>
      <c r="B2" s="160"/>
      <c r="C2" s="160"/>
      <c r="D2" s="160"/>
      <c r="E2" s="153"/>
      <c r="F2" s="160"/>
      <c r="G2" s="160"/>
      <c r="H2" s="160"/>
      <c r="I2" s="40"/>
      <c r="J2" s="42"/>
      <c r="K2" s="39"/>
      <c r="L2" s="40"/>
      <c r="M2" s="41"/>
      <c r="N2" s="42"/>
      <c r="O2" s="43"/>
      <c r="P2" s="43"/>
      <c r="Q2" s="43"/>
      <c r="R2" s="43"/>
      <c r="S2" s="43"/>
      <c r="T2" s="43"/>
      <c r="U2" s="44"/>
      <c r="V2" s="126"/>
      <c r="W2" s="44"/>
      <c r="X2" s="43"/>
      <c r="Y2" s="43"/>
      <c r="Z2" s="43"/>
      <c r="AA2" s="43"/>
      <c r="AB2" s="43"/>
      <c r="AC2" s="43"/>
      <c r="AD2" s="43"/>
      <c r="AE2" s="43"/>
      <c r="AF2" s="43"/>
      <c r="AG2" s="45"/>
      <c r="AH2" s="10"/>
      <c r="AI2" s="11"/>
      <c r="AJ2" s="11"/>
      <c r="AK2" s="12"/>
      <c r="AL2" s="12"/>
      <c r="AM2" s="12"/>
      <c r="AN2" s="13" t="s">
        <v>15</v>
      </c>
      <c r="AO2" s="12"/>
      <c r="AP2" s="12"/>
      <c r="AQ2" s="12"/>
      <c r="AR2" s="12"/>
      <c r="AS2" s="12"/>
      <c r="AT2" s="12"/>
      <c r="AU2" s="16"/>
      <c r="AV2" s="17"/>
      <c r="AW2" s="15"/>
      <c r="AX2" s="15"/>
      <c r="AY2" s="15"/>
      <c r="AZ2" s="15"/>
      <c r="BA2" s="17"/>
      <c r="BB2" s="46" t="s">
        <v>16</v>
      </c>
      <c r="BC2" s="124"/>
      <c r="BD2" s="124"/>
      <c r="BE2" s="17"/>
      <c r="BF2" s="18"/>
      <c r="BG2" s="19"/>
      <c r="BH2" s="47" t="s">
        <v>17</v>
      </c>
      <c r="BI2" s="48"/>
      <c r="BJ2" s="48"/>
      <c r="BK2" s="49" t="s">
        <v>18</v>
      </c>
      <c r="BL2" s="50"/>
      <c r="BM2" s="51"/>
      <c r="BN2" s="51"/>
      <c r="BO2" s="52"/>
      <c r="BP2" s="53"/>
      <c r="BQ2" s="53"/>
      <c r="BR2" s="21"/>
      <c r="BS2" s="21"/>
      <c r="BT2" s="21"/>
      <c r="BU2" s="54" t="s">
        <v>19</v>
      </c>
      <c r="BV2" s="55"/>
      <c r="BW2" s="55"/>
      <c r="BX2" s="25" t="s">
        <v>20</v>
      </c>
      <c r="BY2" s="28"/>
      <c r="BZ2" s="28"/>
      <c r="CA2" s="29"/>
      <c r="CB2" s="115" t="s">
        <v>21</v>
      </c>
      <c r="CC2" s="57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25" t="s">
        <v>22</v>
      </c>
      <c r="CO2" s="30"/>
      <c r="CP2" s="28"/>
      <c r="CQ2" s="28"/>
      <c r="CR2" s="28"/>
      <c r="CS2" s="28"/>
      <c r="CT2" s="29"/>
      <c r="CU2" s="55" t="s">
        <v>23</v>
      </c>
      <c r="CV2" s="55"/>
      <c r="CW2" s="55"/>
      <c r="CX2" s="55"/>
      <c r="CY2" s="58" t="s">
        <v>24</v>
      </c>
      <c r="CZ2" s="59"/>
      <c r="DA2" s="59"/>
      <c r="DB2" s="60"/>
      <c r="DC2" s="58" t="s">
        <v>25</v>
      </c>
      <c r="DD2" s="33"/>
      <c r="DE2" s="33"/>
      <c r="DF2" s="61"/>
      <c r="DG2" s="62" t="s">
        <v>26</v>
      </c>
      <c r="DH2" s="33"/>
      <c r="DI2" s="33"/>
      <c r="DJ2" s="61"/>
      <c r="DK2" s="63" t="s">
        <v>27</v>
      </c>
      <c r="DL2" s="64"/>
      <c r="DM2" s="55"/>
      <c r="DN2" s="55"/>
      <c r="DO2" s="65" t="s">
        <v>28</v>
      </c>
      <c r="DP2" s="56"/>
      <c r="DQ2" s="56"/>
      <c r="DR2" s="66"/>
      <c r="DS2" s="55" t="s">
        <v>29</v>
      </c>
      <c r="DT2" s="55"/>
      <c r="DU2" s="67" t="s">
        <v>30</v>
      </c>
      <c r="DV2" s="68"/>
      <c r="DW2" s="68"/>
      <c r="DX2" s="68"/>
      <c r="DY2" s="55"/>
      <c r="DZ2" s="55"/>
      <c r="EA2" s="69"/>
      <c r="EB2" s="55"/>
      <c r="EC2" s="55"/>
      <c r="ED2" s="55"/>
      <c r="EE2" s="33"/>
      <c r="EF2" s="54" t="s">
        <v>31</v>
      </c>
      <c r="EG2" s="27"/>
      <c r="EH2" s="34"/>
      <c r="EI2" s="34"/>
      <c r="EJ2" s="34"/>
      <c r="EK2" s="70"/>
      <c r="EL2" s="70"/>
      <c r="EM2" s="70"/>
      <c r="EN2" s="70"/>
      <c r="EO2" s="71"/>
      <c r="EP2" s="71"/>
      <c r="EQ2" s="71"/>
      <c r="ER2" s="71"/>
      <c r="ES2" s="72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6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3"/>
    </row>
    <row r="3" spans="1:191" ht="238">
      <c r="A3" s="161" t="s">
        <v>125</v>
      </c>
      <c r="B3" s="162" t="s">
        <v>126</v>
      </c>
      <c r="C3" s="162" t="s">
        <v>127</v>
      </c>
      <c r="D3" s="163" t="s">
        <v>128</v>
      </c>
      <c r="E3" s="154" t="s">
        <v>129</v>
      </c>
      <c r="F3" s="164" t="s">
        <v>130</v>
      </c>
      <c r="G3" s="164" t="s">
        <v>131</v>
      </c>
      <c r="H3" s="162" t="s">
        <v>458</v>
      </c>
      <c r="I3" s="110" t="s">
        <v>182</v>
      </c>
      <c r="J3" s="111" t="s">
        <v>459</v>
      </c>
      <c r="K3" s="74" t="s">
        <v>32</v>
      </c>
      <c r="L3" s="75" t="s">
        <v>33</v>
      </c>
      <c r="M3" s="75" t="s">
        <v>34</v>
      </c>
      <c r="N3" s="76" t="s">
        <v>35</v>
      </c>
      <c r="O3" s="77" t="s">
        <v>36</v>
      </c>
      <c r="P3" s="77" t="s">
        <v>37</v>
      </c>
      <c r="Q3" s="77" t="s">
        <v>38</v>
      </c>
      <c r="R3" s="77" t="s">
        <v>39</v>
      </c>
      <c r="S3" s="77" t="s">
        <v>40</v>
      </c>
      <c r="T3" s="77" t="s">
        <v>41</v>
      </c>
      <c r="U3" s="77" t="s">
        <v>42</v>
      </c>
      <c r="V3" s="105" t="s">
        <v>43</v>
      </c>
      <c r="W3" s="77" t="s">
        <v>44</v>
      </c>
      <c r="X3" s="77" t="s">
        <v>45</v>
      </c>
      <c r="Y3" s="77" t="s">
        <v>46</v>
      </c>
      <c r="Z3" s="77" t="s">
        <v>47</v>
      </c>
      <c r="AA3" s="77" t="s">
        <v>48</v>
      </c>
      <c r="AB3" s="77" t="s">
        <v>49</v>
      </c>
      <c r="AC3" s="77" t="s">
        <v>50</v>
      </c>
      <c r="AD3" s="77" t="s">
        <v>51</v>
      </c>
      <c r="AE3" s="77" t="s">
        <v>52</v>
      </c>
      <c r="AF3" s="77" t="s">
        <v>53</v>
      </c>
      <c r="AG3" s="78" t="s">
        <v>136</v>
      </c>
      <c r="AH3" s="79" t="s">
        <v>54</v>
      </c>
      <c r="AI3" s="113" t="s">
        <v>137</v>
      </c>
      <c r="AJ3" s="113" t="s">
        <v>138</v>
      </c>
      <c r="AK3" s="80" t="s">
        <v>56</v>
      </c>
      <c r="AL3" s="80" t="s">
        <v>57</v>
      </c>
      <c r="AM3" s="81" t="s">
        <v>58</v>
      </c>
      <c r="AN3" s="78" t="s">
        <v>136</v>
      </c>
      <c r="AO3" s="79" t="s">
        <v>54</v>
      </c>
      <c r="AP3" s="113" t="s">
        <v>137</v>
      </c>
      <c r="AQ3" s="113" t="s">
        <v>138</v>
      </c>
      <c r="AR3" s="80" t="s">
        <v>56</v>
      </c>
      <c r="AS3" s="80" t="s">
        <v>57</v>
      </c>
      <c r="AT3" s="80" t="s">
        <v>58</v>
      </c>
      <c r="AU3" s="82" t="s">
        <v>59</v>
      </c>
      <c r="AV3" s="83" t="s">
        <v>60</v>
      </c>
      <c r="AW3" s="83" t="s">
        <v>61</v>
      </c>
      <c r="AX3" s="83" t="s">
        <v>62</v>
      </c>
      <c r="AY3" s="83" t="s">
        <v>63</v>
      </c>
      <c r="AZ3" s="83" t="s">
        <v>64</v>
      </c>
      <c r="BA3" s="83" t="s">
        <v>65</v>
      </c>
      <c r="BB3" s="112" t="s">
        <v>132</v>
      </c>
      <c r="BC3" s="125" t="s">
        <v>154</v>
      </c>
      <c r="BD3" s="125" t="s">
        <v>155</v>
      </c>
      <c r="BE3" s="84" t="s">
        <v>66</v>
      </c>
      <c r="BF3" s="85" t="s">
        <v>67</v>
      </c>
      <c r="BG3" s="85" t="s">
        <v>68</v>
      </c>
      <c r="BH3" s="86" t="s">
        <v>69</v>
      </c>
      <c r="BI3" s="87" t="s">
        <v>70</v>
      </c>
      <c r="BJ3" s="88" t="s">
        <v>71</v>
      </c>
      <c r="BK3" s="89" t="s">
        <v>72</v>
      </c>
      <c r="BL3" s="90" t="s">
        <v>70</v>
      </c>
      <c r="BM3" s="91" t="s">
        <v>71</v>
      </c>
      <c r="BN3" s="51" t="s">
        <v>73</v>
      </c>
      <c r="BO3" s="52" t="s">
        <v>74</v>
      </c>
      <c r="BP3" s="91" t="s">
        <v>75</v>
      </c>
      <c r="BQ3" s="87" t="s">
        <v>70</v>
      </c>
      <c r="BR3" s="88" t="s">
        <v>71</v>
      </c>
      <c r="BS3" s="51" t="s">
        <v>181</v>
      </c>
      <c r="BT3" s="51" t="s">
        <v>76</v>
      </c>
      <c r="BU3" s="92" t="s">
        <v>77</v>
      </c>
      <c r="BV3" s="93" t="s">
        <v>54</v>
      </c>
      <c r="BW3" s="93" t="s">
        <v>55</v>
      </c>
      <c r="BX3" s="92" t="s">
        <v>78</v>
      </c>
      <c r="BY3" s="93" t="s">
        <v>54</v>
      </c>
      <c r="BZ3" s="114" t="s">
        <v>139</v>
      </c>
      <c r="CA3" s="116" t="s">
        <v>140</v>
      </c>
      <c r="CB3" s="95" t="s">
        <v>133</v>
      </c>
      <c r="CC3" s="94" t="s">
        <v>79</v>
      </c>
      <c r="CD3" s="93" t="s">
        <v>54</v>
      </c>
      <c r="CE3" s="114" t="s">
        <v>141</v>
      </c>
      <c r="CF3" s="116" t="s">
        <v>142</v>
      </c>
      <c r="CG3" s="95" t="s">
        <v>80</v>
      </c>
      <c r="CH3" s="95" t="s">
        <v>81</v>
      </c>
      <c r="CI3" s="95" t="s">
        <v>178</v>
      </c>
      <c r="CJ3" s="95" t="s">
        <v>179</v>
      </c>
      <c r="CK3" s="95" t="s">
        <v>82</v>
      </c>
      <c r="CL3" s="95" t="s">
        <v>83</v>
      </c>
      <c r="CM3" s="95" t="s">
        <v>84</v>
      </c>
      <c r="CN3" s="96" t="s">
        <v>134</v>
      </c>
      <c r="CO3" s="94" t="s">
        <v>85</v>
      </c>
      <c r="CP3" s="93" t="s">
        <v>54</v>
      </c>
      <c r="CQ3" s="93" t="s">
        <v>55</v>
      </c>
      <c r="CR3" s="95" t="s">
        <v>86</v>
      </c>
      <c r="CS3" s="95" t="s">
        <v>81</v>
      </c>
      <c r="CT3" s="95" t="s">
        <v>87</v>
      </c>
      <c r="CU3" s="92" t="s">
        <v>88</v>
      </c>
      <c r="CV3" s="93" t="s">
        <v>54</v>
      </c>
      <c r="CW3" s="93" t="s">
        <v>147</v>
      </c>
      <c r="CX3" s="97" t="s">
        <v>89</v>
      </c>
      <c r="CY3" s="94" t="s">
        <v>143</v>
      </c>
      <c r="CZ3" s="93" t="s">
        <v>54</v>
      </c>
      <c r="DA3" s="93" t="s">
        <v>147</v>
      </c>
      <c r="DB3" s="97" t="s">
        <v>90</v>
      </c>
      <c r="DC3" s="94" t="s">
        <v>144</v>
      </c>
      <c r="DD3" s="93" t="s">
        <v>54</v>
      </c>
      <c r="DE3" s="93" t="s">
        <v>147</v>
      </c>
      <c r="DF3" s="97" t="s">
        <v>91</v>
      </c>
      <c r="DG3" s="94" t="s">
        <v>145</v>
      </c>
      <c r="DH3" s="93" t="s">
        <v>54</v>
      </c>
      <c r="DI3" s="93" t="s">
        <v>147</v>
      </c>
      <c r="DJ3" s="97" t="s">
        <v>92</v>
      </c>
      <c r="DK3" s="94" t="s">
        <v>146</v>
      </c>
      <c r="DL3" s="93" t="s">
        <v>54</v>
      </c>
      <c r="DM3" s="93" t="s">
        <v>147</v>
      </c>
      <c r="DN3" s="98" t="s">
        <v>93</v>
      </c>
      <c r="DO3" s="117" t="s">
        <v>94</v>
      </c>
      <c r="DP3" s="93" t="s">
        <v>54</v>
      </c>
      <c r="DQ3" s="93" t="s">
        <v>147</v>
      </c>
      <c r="DR3" s="99" t="s">
        <v>95</v>
      </c>
      <c r="DS3" s="98" t="s">
        <v>96</v>
      </c>
      <c r="DT3" s="98" t="s">
        <v>97</v>
      </c>
      <c r="DU3" s="92" t="s">
        <v>98</v>
      </c>
      <c r="DV3" s="93" t="s">
        <v>54</v>
      </c>
      <c r="DW3" s="93" t="s">
        <v>147</v>
      </c>
      <c r="DX3" s="93" t="s">
        <v>166</v>
      </c>
      <c r="DY3" s="98" t="s">
        <v>99</v>
      </c>
      <c r="DZ3" s="97" t="s">
        <v>100</v>
      </c>
      <c r="EA3" s="95" t="s">
        <v>101</v>
      </c>
      <c r="EB3" s="98" t="s">
        <v>102</v>
      </c>
      <c r="EC3" s="98" t="s">
        <v>103</v>
      </c>
      <c r="ED3" s="98" t="s">
        <v>104</v>
      </c>
      <c r="EE3" s="100" t="s">
        <v>105</v>
      </c>
      <c r="EF3" s="101" t="s">
        <v>106</v>
      </c>
      <c r="EG3" s="97" t="s">
        <v>107</v>
      </c>
      <c r="EH3" s="118" t="s">
        <v>108</v>
      </c>
      <c r="EI3" s="119" t="s">
        <v>109</v>
      </c>
      <c r="EJ3" s="119" t="s">
        <v>110</v>
      </c>
      <c r="EK3" s="102" t="s">
        <v>135</v>
      </c>
      <c r="EL3" s="103" t="s">
        <v>54</v>
      </c>
      <c r="EM3" s="120" t="s">
        <v>174</v>
      </c>
      <c r="EN3" s="121" t="s">
        <v>175</v>
      </c>
      <c r="EO3" s="102" t="s">
        <v>111</v>
      </c>
      <c r="EP3" s="103" t="s">
        <v>54</v>
      </c>
      <c r="EQ3" s="120" t="s">
        <v>148</v>
      </c>
      <c r="ER3" s="121" t="s">
        <v>149</v>
      </c>
      <c r="ES3" s="104" t="s">
        <v>112</v>
      </c>
      <c r="ET3" s="77" t="s">
        <v>153</v>
      </c>
      <c r="EU3" s="122" t="s">
        <v>148</v>
      </c>
      <c r="EV3" s="122" t="s">
        <v>149</v>
      </c>
      <c r="EW3" s="77" t="s">
        <v>113</v>
      </c>
      <c r="EX3" s="77" t="s">
        <v>114</v>
      </c>
      <c r="EY3" s="77" t="s">
        <v>115</v>
      </c>
      <c r="EZ3" s="77" t="s">
        <v>116</v>
      </c>
      <c r="FA3" s="122" t="s">
        <v>150</v>
      </c>
      <c r="FB3" s="122" t="s">
        <v>151</v>
      </c>
      <c r="FC3" s="77" t="s">
        <v>117</v>
      </c>
      <c r="FD3" s="77" t="s">
        <v>118</v>
      </c>
      <c r="FE3" s="104" t="s">
        <v>119</v>
      </c>
      <c r="FF3" s="127" t="s">
        <v>167</v>
      </c>
      <c r="FG3" s="127" t="s">
        <v>168</v>
      </c>
      <c r="FH3" s="77" t="s">
        <v>120</v>
      </c>
      <c r="FI3" s="127" t="s">
        <v>169</v>
      </c>
      <c r="FJ3" s="127" t="s">
        <v>170</v>
      </c>
      <c r="FK3" s="105" t="s">
        <v>121</v>
      </c>
      <c r="FL3" s="105" t="s">
        <v>171</v>
      </c>
      <c r="FM3" s="105" t="s">
        <v>172</v>
      </c>
      <c r="FN3" s="105" t="s">
        <v>122</v>
      </c>
      <c r="FO3" s="128" t="s">
        <v>173</v>
      </c>
      <c r="FP3" s="128" t="s">
        <v>180</v>
      </c>
      <c r="FQ3" s="106" t="s">
        <v>123</v>
      </c>
      <c r="FR3" s="162" t="s">
        <v>455</v>
      </c>
      <c r="FS3" s="162" t="s">
        <v>454</v>
      </c>
      <c r="FT3" s="163" t="s">
        <v>453</v>
      </c>
      <c r="FU3" s="107"/>
      <c r="FV3" s="107"/>
      <c r="FW3" s="107"/>
      <c r="FX3" s="107"/>
      <c r="FY3" s="107"/>
      <c r="FZ3" s="107"/>
      <c r="GA3" s="107"/>
      <c r="GB3" s="107"/>
      <c r="GC3" s="107"/>
      <c r="GD3" s="107"/>
      <c r="GE3" s="107"/>
      <c r="GF3" s="107"/>
      <c r="GG3" s="107"/>
      <c r="GH3" s="107"/>
      <c r="GI3" s="107"/>
    </row>
    <row r="4" spans="1:191" s="129" customFormat="1" ht="17">
      <c r="A4" s="165" t="s">
        <v>152</v>
      </c>
      <c r="B4" s="166" t="s">
        <v>183</v>
      </c>
      <c r="C4" s="166">
        <v>2018</v>
      </c>
      <c r="D4" s="166" t="s">
        <v>184</v>
      </c>
      <c r="E4" s="170">
        <v>16720</v>
      </c>
      <c r="F4" s="167" t="str">
        <f t="shared" ref="F4:G19" si="0">AH4</f>
        <v>NA</v>
      </c>
      <c r="G4" s="167" t="str">
        <f t="shared" si="0"/>
        <v>NA</v>
      </c>
      <c r="H4" s="168">
        <f>EZ4</f>
        <v>570.14049999999997</v>
      </c>
      <c r="I4" s="130">
        <f t="shared" ref="I4:J13" si="1">FA4</f>
        <v>230.67380000000003</v>
      </c>
      <c r="J4" s="130">
        <f t="shared" si="1"/>
        <v>177.80749999999995</v>
      </c>
      <c r="K4" s="129" t="s">
        <v>457</v>
      </c>
      <c r="L4" s="131" t="s">
        <v>185</v>
      </c>
      <c r="M4" s="132" t="s">
        <v>186</v>
      </c>
      <c r="N4" s="129" t="s">
        <v>184</v>
      </c>
      <c r="O4" s="133">
        <v>872</v>
      </c>
      <c r="P4" s="129" t="s">
        <v>187</v>
      </c>
      <c r="Q4" s="133">
        <v>11</v>
      </c>
      <c r="R4" s="133">
        <v>1</v>
      </c>
      <c r="S4" s="133">
        <v>78</v>
      </c>
      <c r="T4" s="133">
        <v>80</v>
      </c>
      <c r="U4" s="171">
        <v>95.29</v>
      </c>
      <c r="V4" s="133" t="s">
        <v>160</v>
      </c>
      <c r="W4" s="129" t="s">
        <v>160</v>
      </c>
      <c r="X4" s="129" t="s">
        <v>188</v>
      </c>
      <c r="Y4" s="172">
        <v>10.0975</v>
      </c>
      <c r="Z4" s="172">
        <v>162.86600000000001</v>
      </c>
      <c r="AA4" s="136" t="s">
        <v>160</v>
      </c>
      <c r="AB4" s="136" t="s">
        <v>160</v>
      </c>
      <c r="AC4" s="136">
        <v>1287</v>
      </c>
      <c r="AD4" s="136" t="s">
        <v>160</v>
      </c>
      <c r="AE4" s="136" t="s">
        <v>160</v>
      </c>
      <c r="AF4" s="129" t="s">
        <v>160</v>
      </c>
      <c r="AG4" s="173">
        <v>16720</v>
      </c>
      <c r="AH4" s="138" t="s">
        <v>160</v>
      </c>
      <c r="AI4" s="129" t="s">
        <v>160</v>
      </c>
      <c r="AJ4" s="138" t="s">
        <v>160</v>
      </c>
      <c r="AK4" s="129" t="s">
        <v>160</v>
      </c>
      <c r="AL4" s="139" t="s">
        <v>189</v>
      </c>
      <c r="AM4" s="139" t="s">
        <v>190</v>
      </c>
      <c r="AN4" s="129" t="s">
        <v>160</v>
      </c>
      <c r="AO4" s="129" t="s">
        <v>160</v>
      </c>
      <c r="AP4" s="129" t="s">
        <v>160</v>
      </c>
      <c r="AQ4" s="129" t="s">
        <v>160</v>
      </c>
      <c r="AR4" s="129" t="s">
        <v>160</v>
      </c>
      <c r="AS4" s="129" t="s">
        <v>160</v>
      </c>
      <c r="AT4" s="129" t="s">
        <v>160</v>
      </c>
      <c r="AU4" s="129" t="s">
        <v>191</v>
      </c>
      <c r="AV4" s="129" t="s">
        <v>161</v>
      </c>
      <c r="AW4" s="129" t="s">
        <v>192</v>
      </c>
      <c r="AX4" s="129" t="s">
        <v>193</v>
      </c>
      <c r="AY4" s="129" t="s">
        <v>194</v>
      </c>
      <c r="AZ4" s="129" t="s">
        <v>195</v>
      </c>
      <c r="BA4" s="129" t="s">
        <v>196</v>
      </c>
      <c r="BB4" s="129" t="s">
        <v>197</v>
      </c>
      <c r="BC4" s="140">
        <v>2</v>
      </c>
      <c r="BD4" s="129" t="s">
        <v>198</v>
      </c>
      <c r="BE4" s="173">
        <v>15.119516868640215</v>
      </c>
      <c r="BF4" s="129" t="s">
        <v>199</v>
      </c>
      <c r="BG4" s="173">
        <v>0.25389402972519126</v>
      </c>
      <c r="BH4" s="129">
        <v>0.83299999999999996</v>
      </c>
      <c r="BI4" s="129" t="s">
        <v>160</v>
      </c>
      <c r="BJ4" s="138" t="s">
        <v>160</v>
      </c>
      <c r="BK4" s="129">
        <v>2.69</v>
      </c>
      <c r="BL4" s="129" t="s">
        <v>160</v>
      </c>
      <c r="BM4" s="129" t="s">
        <v>160</v>
      </c>
      <c r="BN4" s="129" t="s">
        <v>200</v>
      </c>
      <c r="BO4" s="129" t="s">
        <v>201</v>
      </c>
      <c r="BP4" s="142">
        <v>14.921388797887413</v>
      </c>
      <c r="BQ4" s="129" t="s">
        <v>202</v>
      </c>
      <c r="BR4" s="142">
        <f t="shared" ref="BR4:BR49" si="2">BG4</f>
        <v>0.25389402972519126</v>
      </c>
      <c r="BS4" s="129" t="s">
        <v>160</v>
      </c>
      <c r="BT4" s="129" t="s">
        <v>160</v>
      </c>
      <c r="BU4" s="129">
        <v>10</v>
      </c>
      <c r="BV4" s="129" t="s">
        <v>159</v>
      </c>
      <c r="BW4" s="129">
        <v>10</v>
      </c>
      <c r="BX4" s="143">
        <v>26.890746730521961</v>
      </c>
      <c r="BY4" s="129" t="s">
        <v>159</v>
      </c>
      <c r="BZ4" s="129">
        <v>1</v>
      </c>
      <c r="CA4" s="129">
        <v>1</v>
      </c>
      <c r="CB4" s="129" t="s">
        <v>160</v>
      </c>
      <c r="CC4" s="173">
        <v>5.0503061085643344</v>
      </c>
      <c r="CD4" s="129" t="s">
        <v>163</v>
      </c>
      <c r="CE4" s="144">
        <f>CC4*0.027</f>
        <v>0.13635826493123704</v>
      </c>
      <c r="CF4" s="144">
        <f>CC4*0.027</f>
        <v>0.13635826493123704</v>
      </c>
      <c r="CG4" s="145" t="s">
        <v>203</v>
      </c>
      <c r="CH4" s="129" t="s">
        <v>204</v>
      </c>
      <c r="CI4" s="129" t="s">
        <v>205</v>
      </c>
      <c r="CJ4" s="129" t="s">
        <v>206</v>
      </c>
      <c r="CK4" s="129" t="s">
        <v>158</v>
      </c>
      <c r="CL4" s="129" t="s">
        <v>158</v>
      </c>
      <c r="CM4" s="129" t="s">
        <v>158</v>
      </c>
      <c r="CN4" s="129" t="s">
        <v>160</v>
      </c>
      <c r="CO4" s="129" t="s">
        <v>160</v>
      </c>
      <c r="CP4" s="129" t="s">
        <v>160</v>
      </c>
      <c r="CQ4" s="129" t="s">
        <v>160</v>
      </c>
      <c r="CR4" s="129" t="s">
        <v>160</v>
      </c>
      <c r="CS4" s="129" t="s">
        <v>160</v>
      </c>
      <c r="CT4" s="129" t="s">
        <v>160</v>
      </c>
      <c r="CU4" s="129">
        <v>34.15</v>
      </c>
      <c r="CV4" s="129" t="s">
        <v>159</v>
      </c>
      <c r="CW4" s="146">
        <v>1</v>
      </c>
      <c r="CX4" s="129" t="s">
        <v>207</v>
      </c>
      <c r="CY4" s="129">
        <v>1.3473624154530498E-2</v>
      </c>
      <c r="CZ4" s="129" t="s">
        <v>159</v>
      </c>
      <c r="DA4" s="146">
        <v>2.5000000000000001E-3</v>
      </c>
      <c r="DB4" s="129" t="s">
        <v>208</v>
      </c>
      <c r="DC4" s="129">
        <v>4.5740544390957281E-2</v>
      </c>
      <c r="DD4" s="129" t="s">
        <v>159</v>
      </c>
      <c r="DE4" s="146">
        <v>2.5000000000000001E-3</v>
      </c>
      <c r="DF4" s="129" t="s">
        <v>209</v>
      </c>
      <c r="DG4" s="129" t="s">
        <v>160</v>
      </c>
      <c r="DH4" s="129" t="s">
        <v>160</v>
      </c>
      <c r="DI4" s="129" t="s">
        <v>160</v>
      </c>
      <c r="DJ4" s="129" t="s">
        <v>160</v>
      </c>
      <c r="DK4" s="145">
        <v>424.29</v>
      </c>
      <c r="DL4" s="129" t="s">
        <v>159</v>
      </c>
      <c r="DM4" s="145" t="s">
        <v>160</v>
      </c>
      <c r="DN4" s="129" t="s">
        <v>210</v>
      </c>
      <c r="DO4" s="129">
        <v>37.85557</v>
      </c>
      <c r="DP4" s="129" t="s">
        <v>160</v>
      </c>
      <c r="DQ4" s="129">
        <v>0.67207499999999953</v>
      </c>
      <c r="DR4" s="129" t="s">
        <v>211</v>
      </c>
      <c r="DS4" s="129" t="s">
        <v>212</v>
      </c>
      <c r="DT4" s="129" t="s">
        <v>213</v>
      </c>
      <c r="DU4" s="129">
        <v>1.0271999999999999</v>
      </c>
      <c r="DV4" s="129" t="s">
        <v>214</v>
      </c>
      <c r="DW4" s="129" t="s">
        <v>214</v>
      </c>
      <c r="DX4" s="129" t="s">
        <v>215</v>
      </c>
      <c r="DY4" s="129" t="s">
        <v>160</v>
      </c>
      <c r="DZ4" s="129" t="s">
        <v>164</v>
      </c>
      <c r="EA4" s="129" t="s">
        <v>216</v>
      </c>
      <c r="EB4" s="129" t="s">
        <v>212</v>
      </c>
      <c r="EC4" s="129" t="s">
        <v>212</v>
      </c>
      <c r="ED4" s="129" t="s">
        <v>212</v>
      </c>
      <c r="EE4" s="129" t="s">
        <v>217</v>
      </c>
      <c r="EF4" s="147" t="s">
        <v>213</v>
      </c>
      <c r="EG4" s="148" t="s">
        <v>213</v>
      </c>
      <c r="EH4" s="129" t="s">
        <v>218</v>
      </c>
      <c r="EI4" s="129" t="s">
        <v>219</v>
      </c>
      <c r="EJ4" s="129" t="s">
        <v>160</v>
      </c>
      <c r="EK4" s="174">
        <v>1687.5350000000001</v>
      </c>
      <c r="EL4" s="129" t="s">
        <v>163</v>
      </c>
      <c r="EM4" s="150">
        <v>500</v>
      </c>
      <c r="EN4" s="150">
        <v>500</v>
      </c>
      <c r="EO4" s="129" t="s">
        <v>160</v>
      </c>
      <c r="EP4" s="129" t="s">
        <v>160</v>
      </c>
      <c r="EQ4" s="129" t="s">
        <v>160</v>
      </c>
      <c r="ER4" s="129" t="s">
        <v>160</v>
      </c>
      <c r="ES4" s="151">
        <v>7.8470069999999996</v>
      </c>
      <c r="ET4" s="142" t="s">
        <v>165</v>
      </c>
      <c r="EU4" s="142">
        <v>7.9967000000000787E-2</v>
      </c>
      <c r="EV4" s="142">
        <v>9.0614999999999668E-2</v>
      </c>
      <c r="EW4" s="142" t="s">
        <v>160</v>
      </c>
      <c r="EX4" s="129" t="s">
        <v>160</v>
      </c>
      <c r="EY4" s="129" t="s">
        <v>160</v>
      </c>
      <c r="EZ4" s="175">
        <v>570.14049999999997</v>
      </c>
      <c r="FA4" s="150">
        <v>230.67380000000003</v>
      </c>
      <c r="FB4" s="150">
        <v>177.80749999999995</v>
      </c>
      <c r="FC4" s="129" t="s">
        <v>220</v>
      </c>
      <c r="FD4" s="129" t="s">
        <v>221</v>
      </c>
      <c r="FE4" s="150">
        <v>1816.1320000000001</v>
      </c>
      <c r="FF4" s="150">
        <v>490.35500000000002</v>
      </c>
      <c r="FG4" s="150">
        <v>485.8610000000001</v>
      </c>
      <c r="FH4" s="129" t="s">
        <v>160</v>
      </c>
      <c r="FI4" s="129" t="s">
        <v>160</v>
      </c>
      <c r="FJ4" s="129" t="s">
        <v>160</v>
      </c>
      <c r="FK4" s="129" t="s">
        <v>160</v>
      </c>
      <c r="FL4" s="129" t="s">
        <v>160</v>
      </c>
      <c r="FM4" s="129" t="s">
        <v>160</v>
      </c>
      <c r="FN4" s="151">
        <v>3.1269629999999999</v>
      </c>
      <c r="FO4" s="141">
        <v>1.7988520000000001</v>
      </c>
      <c r="FP4" s="141">
        <v>1.35103</v>
      </c>
      <c r="FQ4" s="129" t="s">
        <v>414</v>
      </c>
      <c r="FR4" s="176" t="s">
        <v>160</v>
      </c>
      <c r="FS4" s="176"/>
      <c r="FT4" s="176"/>
      <c r="FU4" s="176"/>
      <c r="FV4" s="176"/>
      <c r="FW4" s="176"/>
      <c r="FX4" s="176"/>
      <c r="FY4" s="176"/>
      <c r="FZ4" s="176"/>
      <c r="GA4" s="176"/>
      <c r="GB4" s="176"/>
      <c r="GC4" s="176"/>
      <c r="GD4" s="176"/>
      <c r="GE4" s="176"/>
      <c r="GF4" s="176"/>
      <c r="GG4" s="176"/>
      <c r="GH4" s="176"/>
      <c r="GI4" s="176"/>
    </row>
    <row r="5" spans="1:191" s="129" customFormat="1" ht="17">
      <c r="A5" s="165" t="s">
        <v>152</v>
      </c>
      <c r="B5" s="166" t="s">
        <v>183</v>
      </c>
      <c r="C5" s="166">
        <v>2018</v>
      </c>
      <c r="D5" s="166" t="s">
        <v>184</v>
      </c>
      <c r="E5" s="170">
        <v>17720</v>
      </c>
      <c r="F5" s="167" t="str">
        <f t="shared" si="0"/>
        <v>NA</v>
      </c>
      <c r="G5" s="167" t="str">
        <f t="shared" si="0"/>
        <v>NA</v>
      </c>
      <c r="H5" s="168">
        <f t="shared" ref="H5:J43" si="3">EZ5</f>
        <v>490.26150000000001</v>
      </c>
      <c r="I5" s="130">
        <f t="shared" si="1"/>
        <v>193.83610000000004</v>
      </c>
      <c r="J5" s="130">
        <f t="shared" si="1"/>
        <v>156.46390000000002</v>
      </c>
      <c r="K5" s="129" t="s">
        <v>457</v>
      </c>
      <c r="L5" s="131" t="s">
        <v>185</v>
      </c>
      <c r="M5" s="132" t="s">
        <v>186</v>
      </c>
      <c r="N5" s="129" t="s">
        <v>184</v>
      </c>
      <c r="O5" s="133">
        <v>872</v>
      </c>
      <c r="P5" s="129" t="s">
        <v>187</v>
      </c>
      <c r="Q5" s="133">
        <v>11</v>
      </c>
      <c r="R5" s="133">
        <v>4</v>
      </c>
      <c r="S5" s="133">
        <v>20</v>
      </c>
      <c r="T5" s="133">
        <v>22</v>
      </c>
      <c r="U5" s="171">
        <v>98.58</v>
      </c>
      <c r="V5" s="133" t="s">
        <v>160</v>
      </c>
      <c r="W5" s="129" t="s">
        <v>160</v>
      </c>
      <c r="X5" s="129" t="s">
        <v>188</v>
      </c>
      <c r="Y5" s="172">
        <v>10.0975</v>
      </c>
      <c r="Z5" s="172">
        <v>162.86600000000001</v>
      </c>
      <c r="AA5" s="136" t="s">
        <v>160</v>
      </c>
      <c r="AB5" s="136" t="s">
        <v>160</v>
      </c>
      <c r="AC5" s="136">
        <v>1287</v>
      </c>
      <c r="AD5" s="136" t="s">
        <v>160</v>
      </c>
      <c r="AE5" s="136" t="s">
        <v>160</v>
      </c>
      <c r="AF5" s="129" t="s">
        <v>160</v>
      </c>
      <c r="AG5" s="173">
        <v>17720</v>
      </c>
      <c r="AH5" s="138" t="s">
        <v>160</v>
      </c>
      <c r="AI5" s="129" t="s">
        <v>160</v>
      </c>
      <c r="AJ5" s="138" t="s">
        <v>160</v>
      </c>
      <c r="AK5" s="129" t="s">
        <v>160</v>
      </c>
      <c r="AL5" s="139" t="s">
        <v>189</v>
      </c>
      <c r="AM5" s="139" t="s">
        <v>190</v>
      </c>
      <c r="AN5" s="129" t="s">
        <v>160</v>
      </c>
      <c r="AO5" s="129" t="s">
        <v>160</v>
      </c>
      <c r="AP5" s="129" t="s">
        <v>160</v>
      </c>
      <c r="AQ5" s="129" t="s">
        <v>160</v>
      </c>
      <c r="AR5" s="129" t="s">
        <v>160</v>
      </c>
      <c r="AS5" s="129" t="s">
        <v>160</v>
      </c>
      <c r="AT5" s="129" t="s">
        <v>160</v>
      </c>
      <c r="AU5" s="129" t="s">
        <v>191</v>
      </c>
      <c r="AV5" s="129" t="s">
        <v>161</v>
      </c>
      <c r="AW5" s="129" t="s">
        <v>192</v>
      </c>
      <c r="AX5" s="129" t="s">
        <v>193</v>
      </c>
      <c r="AY5" s="129" t="s">
        <v>194</v>
      </c>
      <c r="AZ5" s="129" t="s">
        <v>195</v>
      </c>
      <c r="BA5" s="129" t="s">
        <v>196</v>
      </c>
      <c r="BB5" s="129" t="s">
        <v>222</v>
      </c>
      <c r="BC5" s="140">
        <v>2</v>
      </c>
      <c r="BD5" s="129" t="s">
        <v>223</v>
      </c>
      <c r="BE5" s="173">
        <v>15.503608774850353</v>
      </c>
      <c r="BF5" s="129" t="s">
        <v>199</v>
      </c>
      <c r="BG5" s="173">
        <v>0.23317938382342113</v>
      </c>
      <c r="BH5" s="129">
        <v>0.83299999999999996</v>
      </c>
      <c r="BI5" s="129" t="s">
        <v>160</v>
      </c>
      <c r="BJ5" s="138" t="s">
        <v>160</v>
      </c>
      <c r="BK5" s="129">
        <v>2.69</v>
      </c>
      <c r="BL5" s="129" t="s">
        <v>160</v>
      </c>
      <c r="BM5" s="129" t="s">
        <v>160</v>
      </c>
      <c r="BN5" s="129" t="s">
        <v>200</v>
      </c>
      <c r="BO5" s="129" t="s">
        <v>201</v>
      </c>
      <c r="BP5" s="141">
        <v>15.382483523229716</v>
      </c>
      <c r="BQ5" s="129" t="s">
        <v>202</v>
      </c>
      <c r="BR5" s="142">
        <f t="shared" si="2"/>
        <v>0.23317938382342113</v>
      </c>
      <c r="BS5" s="129" t="s">
        <v>160</v>
      </c>
      <c r="BT5" s="129" t="s">
        <v>160</v>
      </c>
      <c r="BU5" s="129">
        <v>10</v>
      </c>
      <c r="BV5" s="129" t="s">
        <v>159</v>
      </c>
      <c r="BW5" s="129">
        <v>10</v>
      </c>
      <c r="BX5" s="143">
        <v>26.278051252795589</v>
      </c>
      <c r="BY5" s="129" t="s">
        <v>159</v>
      </c>
      <c r="BZ5" s="129">
        <v>1</v>
      </c>
      <c r="CA5" s="129">
        <v>1</v>
      </c>
      <c r="CB5" s="129" t="s">
        <v>160</v>
      </c>
      <c r="CC5" s="173">
        <v>4.8284404461918999</v>
      </c>
      <c r="CD5" s="129" t="s">
        <v>163</v>
      </c>
      <c r="CE5" s="144">
        <f t="shared" ref="CE5:CE43" si="4">CC5*0.027</f>
        <v>0.1303678920471813</v>
      </c>
      <c r="CF5" s="144">
        <f t="shared" ref="CF5:CF43" si="5">CC5*0.027</f>
        <v>0.1303678920471813</v>
      </c>
      <c r="CG5" s="145" t="s">
        <v>203</v>
      </c>
      <c r="CH5" s="129" t="s">
        <v>204</v>
      </c>
      <c r="CI5" s="129" t="s">
        <v>205</v>
      </c>
      <c r="CJ5" s="129" t="s">
        <v>206</v>
      </c>
      <c r="CK5" s="129" t="s">
        <v>158</v>
      </c>
      <c r="CL5" s="129" t="s">
        <v>158</v>
      </c>
      <c r="CM5" s="129" t="s">
        <v>158</v>
      </c>
      <c r="CN5" s="129" t="s">
        <v>160</v>
      </c>
      <c r="CO5" s="129" t="s">
        <v>160</v>
      </c>
      <c r="CP5" s="129" t="s">
        <v>160</v>
      </c>
      <c r="CQ5" s="129" t="s">
        <v>160</v>
      </c>
      <c r="CR5" s="129" t="s">
        <v>160</v>
      </c>
      <c r="CS5" s="129" t="s">
        <v>160</v>
      </c>
      <c r="CT5" s="129" t="s">
        <v>160</v>
      </c>
      <c r="CU5" s="129">
        <v>34.15</v>
      </c>
      <c r="CV5" s="129" t="s">
        <v>159</v>
      </c>
      <c r="CW5" s="146">
        <v>1</v>
      </c>
      <c r="CX5" s="129" t="s">
        <v>207</v>
      </c>
      <c r="CY5" s="129">
        <v>1.364593266711352E-2</v>
      </c>
      <c r="CZ5" s="129" t="s">
        <v>159</v>
      </c>
      <c r="DA5" s="146">
        <v>2.5000000000000001E-3</v>
      </c>
      <c r="DB5" s="129" t="s">
        <v>208</v>
      </c>
      <c r="DC5" s="129">
        <v>4.5185328072634208E-2</v>
      </c>
      <c r="DD5" s="129" t="s">
        <v>159</v>
      </c>
      <c r="DE5" s="146">
        <v>2.5000000000000001E-3</v>
      </c>
      <c r="DF5" s="129" t="s">
        <v>209</v>
      </c>
      <c r="DG5" s="129" t="s">
        <v>160</v>
      </c>
      <c r="DH5" s="129" t="s">
        <v>160</v>
      </c>
      <c r="DI5" s="129" t="s">
        <v>160</v>
      </c>
      <c r="DJ5" s="129" t="s">
        <v>160</v>
      </c>
      <c r="DK5" s="145">
        <v>424.29</v>
      </c>
      <c r="DL5" s="129" t="s">
        <v>159</v>
      </c>
      <c r="DM5" s="145" t="s">
        <v>160</v>
      </c>
      <c r="DN5" s="129" t="s">
        <v>210</v>
      </c>
      <c r="DO5" s="129">
        <v>37.820399999999999</v>
      </c>
      <c r="DP5" s="129" t="s">
        <v>160</v>
      </c>
      <c r="DQ5" s="129">
        <v>0.73495000000000132</v>
      </c>
      <c r="DR5" s="129" t="s">
        <v>211</v>
      </c>
      <c r="DS5" s="129" t="s">
        <v>212</v>
      </c>
      <c r="DT5" s="129" t="s">
        <v>213</v>
      </c>
      <c r="DU5" s="129">
        <v>1.0271999999999999</v>
      </c>
      <c r="DV5" s="129" t="s">
        <v>214</v>
      </c>
      <c r="DW5" s="129" t="s">
        <v>214</v>
      </c>
      <c r="DX5" s="129" t="s">
        <v>215</v>
      </c>
      <c r="DY5" s="129" t="s">
        <v>160</v>
      </c>
      <c r="DZ5" s="129" t="s">
        <v>164</v>
      </c>
      <c r="EA5" s="129" t="s">
        <v>216</v>
      </c>
      <c r="EB5" s="129" t="s">
        <v>212</v>
      </c>
      <c r="EC5" s="129" t="s">
        <v>212</v>
      </c>
      <c r="ED5" s="129" t="s">
        <v>212</v>
      </c>
      <c r="EE5" s="129" t="s">
        <v>217</v>
      </c>
      <c r="EF5" s="147" t="s">
        <v>213</v>
      </c>
      <c r="EG5" s="148" t="s">
        <v>213</v>
      </c>
      <c r="EH5" s="129" t="s">
        <v>218</v>
      </c>
      <c r="EI5" s="129" t="s">
        <v>219</v>
      </c>
      <c r="EJ5" s="129" t="s">
        <v>160</v>
      </c>
      <c r="EK5" s="149">
        <v>1670.297</v>
      </c>
      <c r="EL5" s="129" t="s">
        <v>163</v>
      </c>
      <c r="EM5" s="150">
        <v>500</v>
      </c>
      <c r="EN5" s="150">
        <v>500</v>
      </c>
      <c r="EO5" s="129" t="s">
        <v>160</v>
      </c>
      <c r="EP5" s="129" t="s">
        <v>160</v>
      </c>
      <c r="EQ5" s="129" t="s">
        <v>160</v>
      </c>
      <c r="ER5" s="129" t="s">
        <v>160</v>
      </c>
      <c r="ES5" s="151">
        <v>7.9060379999999997</v>
      </c>
      <c r="ET5" s="142" t="s">
        <v>165</v>
      </c>
      <c r="EU5" s="141">
        <v>7.7831999999999901E-2</v>
      </c>
      <c r="EV5" s="141">
        <v>8.9027999999999885E-2</v>
      </c>
      <c r="EW5" s="142" t="s">
        <v>160</v>
      </c>
      <c r="EX5" s="129" t="s">
        <v>160</v>
      </c>
      <c r="EY5" s="129" t="s">
        <v>160</v>
      </c>
      <c r="EZ5" s="149">
        <v>490.26150000000001</v>
      </c>
      <c r="FA5" s="150">
        <v>193.83610000000004</v>
      </c>
      <c r="FB5" s="150">
        <v>156.46390000000002</v>
      </c>
      <c r="FC5" s="129" t="s">
        <v>220</v>
      </c>
      <c r="FD5" s="129" t="s">
        <v>221</v>
      </c>
      <c r="FE5" s="150">
        <v>1816.326</v>
      </c>
      <c r="FF5" s="150">
        <v>490.13500000000022</v>
      </c>
      <c r="FG5" s="150">
        <v>500.99199999999996</v>
      </c>
      <c r="FH5" s="129" t="s">
        <v>160</v>
      </c>
      <c r="FI5" s="129" t="s">
        <v>160</v>
      </c>
      <c r="FJ5" s="129" t="s">
        <v>160</v>
      </c>
      <c r="FK5" s="129" t="s">
        <v>160</v>
      </c>
      <c r="FL5" s="129" t="s">
        <v>160</v>
      </c>
      <c r="FM5" s="129" t="s">
        <v>160</v>
      </c>
      <c r="FN5" s="151">
        <v>3.508753</v>
      </c>
      <c r="FO5" s="141">
        <v>2.012915</v>
      </c>
      <c r="FP5" s="141">
        <v>1.5032380000000001</v>
      </c>
      <c r="FQ5" s="129" t="s">
        <v>414</v>
      </c>
      <c r="FR5" s="176" t="s">
        <v>160</v>
      </c>
    </row>
    <row r="6" spans="1:191" s="129" customFormat="1" ht="17">
      <c r="A6" s="165" t="s">
        <v>152</v>
      </c>
      <c r="B6" s="166" t="s">
        <v>183</v>
      </c>
      <c r="C6" s="166">
        <v>2018</v>
      </c>
      <c r="D6" s="166" t="s">
        <v>184</v>
      </c>
      <c r="E6" s="170">
        <v>18510</v>
      </c>
      <c r="F6" s="167" t="str">
        <f t="shared" si="0"/>
        <v>NA</v>
      </c>
      <c r="G6" s="167" t="str">
        <f t="shared" si="0"/>
        <v>NA</v>
      </c>
      <c r="H6" s="168">
        <f t="shared" si="3"/>
        <v>351.51580000000001</v>
      </c>
      <c r="I6" s="130">
        <f t="shared" si="1"/>
        <v>132.20620000000002</v>
      </c>
      <c r="J6" s="130">
        <f t="shared" si="1"/>
        <v>108.81060000000002</v>
      </c>
      <c r="K6" s="129" t="s">
        <v>457</v>
      </c>
      <c r="L6" s="131" t="s">
        <v>185</v>
      </c>
      <c r="M6" s="132" t="s">
        <v>186</v>
      </c>
      <c r="N6" s="129" t="s">
        <v>184</v>
      </c>
      <c r="O6" s="133">
        <v>872</v>
      </c>
      <c r="P6" s="129" t="s">
        <v>187</v>
      </c>
      <c r="Q6" s="133">
        <v>11</v>
      </c>
      <c r="R6" s="133">
        <v>6</v>
      </c>
      <c r="S6" s="133">
        <v>20</v>
      </c>
      <c r="T6" s="133">
        <v>22</v>
      </c>
      <c r="U6" s="171">
        <v>101.17</v>
      </c>
      <c r="V6" s="133" t="s">
        <v>160</v>
      </c>
      <c r="W6" s="129" t="s">
        <v>160</v>
      </c>
      <c r="X6" s="129" t="s">
        <v>188</v>
      </c>
      <c r="Y6" s="172">
        <v>10.0975</v>
      </c>
      <c r="Z6" s="172">
        <v>162.86600000000001</v>
      </c>
      <c r="AA6" s="136" t="s">
        <v>160</v>
      </c>
      <c r="AB6" s="136" t="s">
        <v>160</v>
      </c>
      <c r="AC6" s="136">
        <v>1287</v>
      </c>
      <c r="AD6" s="136" t="s">
        <v>160</v>
      </c>
      <c r="AE6" s="136" t="s">
        <v>160</v>
      </c>
      <c r="AF6" s="129" t="s">
        <v>160</v>
      </c>
      <c r="AG6" s="173">
        <v>18510</v>
      </c>
      <c r="AH6" s="138" t="s">
        <v>160</v>
      </c>
      <c r="AI6" s="129" t="s">
        <v>160</v>
      </c>
      <c r="AJ6" s="138" t="s">
        <v>160</v>
      </c>
      <c r="AK6" s="129" t="s">
        <v>160</v>
      </c>
      <c r="AL6" s="139" t="s">
        <v>189</v>
      </c>
      <c r="AM6" s="139" t="s">
        <v>190</v>
      </c>
      <c r="AN6" s="129" t="s">
        <v>160</v>
      </c>
      <c r="AO6" s="129" t="s">
        <v>160</v>
      </c>
      <c r="AP6" s="129" t="s">
        <v>160</v>
      </c>
      <c r="AQ6" s="129" t="s">
        <v>160</v>
      </c>
      <c r="AR6" s="129" t="s">
        <v>160</v>
      </c>
      <c r="AS6" s="129" t="s">
        <v>160</v>
      </c>
      <c r="AT6" s="129" t="s">
        <v>160</v>
      </c>
      <c r="AU6" s="129" t="s">
        <v>191</v>
      </c>
      <c r="AV6" s="129" t="s">
        <v>161</v>
      </c>
      <c r="AW6" s="129" t="s">
        <v>192</v>
      </c>
      <c r="AX6" s="129" t="s">
        <v>193</v>
      </c>
      <c r="AY6" s="129" t="s">
        <v>194</v>
      </c>
      <c r="AZ6" s="129" t="s">
        <v>195</v>
      </c>
      <c r="BA6" s="129" t="s">
        <v>196</v>
      </c>
      <c r="BB6" s="129" t="s">
        <v>224</v>
      </c>
      <c r="BC6" s="140">
        <v>2</v>
      </c>
      <c r="BD6" s="129" t="s">
        <v>225</v>
      </c>
      <c r="BE6" s="173">
        <v>16.736557770599791</v>
      </c>
      <c r="BF6" s="129" t="s">
        <v>199</v>
      </c>
      <c r="BG6" s="173">
        <v>0.22393017236640425</v>
      </c>
      <c r="BH6" s="129">
        <v>0.83299999999999996</v>
      </c>
      <c r="BI6" s="129" t="s">
        <v>160</v>
      </c>
      <c r="BJ6" s="138" t="s">
        <v>160</v>
      </c>
      <c r="BK6" s="129">
        <v>2.69</v>
      </c>
      <c r="BL6" s="129" t="s">
        <v>160</v>
      </c>
      <c r="BM6" s="129" t="s">
        <v>160</v>
      </c>
      <c r="BN6" s="129" t="s">
        <v>200</v>
      </c>
      <c r="BO6" s="129" t="s">
        <v>201</v>
      </c>
      <c r="BP6" s="141">
        <v>16.862614370467938</v>
      </c>
      <c r="BQ6" s="129" t="s">
        <v>202</v>
      </c>
      <c r="BR6" s="142">
        <f t="shared" si="2"/>
        <v>0.22393017236640425</v>
      </c>
      <c r="BS6" s="129" t="s">
        <v>160</v>
      </c>
      <c r="BT6" s="129" t="s">
        <v>160</v>
      </c>
      <c r="BU6" s="129">
        <v>10</v>
      </c>
      <c r="BV6" s="129" t="s">
        <v>159</v>
      </c>
      <c r="BW6" s="129">
        <v>10</v>
      </c>
      <c r="BX6" s="143">
        <v>26.780715218583047</v>
      </c>
      <c r="BY6" s="129" t="s">
        <v>159</v>
      </c>
      <c r="BZ6" s="129">
        <v>1</v>
      </c>
      <c r="CA6" s="129">
        <v>1</v>
      </c>
      <c r="CB6" s="129" t="s">
        <v>160</v>
      </c>
      <c r="CC6" s="173">
        <v>5.0926792209025988</v>
      </c>
      <c r="CD6" s="129" t="s">
        <v>163</v>
      </c>
      <c r="CE6" s="144">
        <f t="shared" si="4"/>
        <v>0.13750233896437017</v>
      </c>
      <c r="CF6" s="144">
        <f t="shared" si="5"/>
        <v>0.13750233896437017</v>
      </c>
      <c r="CG6" s="145" t="s">
        <v>203</v>
      </c>
      <c r="CH6" s="129" t="s">
        <v>204</v>
      </c>
      <c r="CI6" s="129" t="s">
        <v>205</v>
      </c>
      <c r="CJ6" s="129" t="s">
        <v>206</v>
      </c>
      <c r="CK6" s="129" t="s">
        <v>158</v>
      </c>
      <c r="CL6" s="129" t="s">
        <v>158</v>
      </c>
      <c r="CM6" s="129" t="s">
        <v>158</v>
      </c>
      <c r="CN6" s="129" t="s">
        <v>160</v>
      </c>
      <c r="CO6" s="129" t="s">
        <v>160</v>
      </c>
      <c r="CP6" s="129" t="s">
        <v>160</v>
      </c>
      <c r="CQ6" s="129" t="s">
        <v>160</v>
      </c>
      <c r="CR6" s="129" t="s">
        <v>160</v>
      </c>
      <c r="CS6" s="129" t="s">
        <v>160</v>
      </c>
      <c r="CT6" s="129" t="s">
        <v>160</v>
      </c>
      <c r="CU6" s="129">
        <v>34.15</v>
      </c>
      <c r="CV6" s="129" t="s">
        <v>159</v>
      </c>
      <c r="CW6" s="146">
        <v>1</v>
      </c>
      <c r="CX6" s="129" t="s">
        <v>207</v>
      </c>
      <c r="CY6" s="129">
        <v>1.3781579794040582E-2</v>
      </c>
      <c r="CZ6" s="129" t="s">
        <v>159</v>
      </c>
      <c r="DA6" s="146">
        <v>2.5000000000000001E-3</v>
      </c>
      <c r="DB6" s="129" t="s">
        <v>208</v>
      </c>
      <c r="DC6" s="129">
        <v>4.4748242885869233E-2</v>
      </c>
      <c r="DD6" s="129" t="s">
        <v>159</v>
      </c>
      <c r="DE6" s="146">
        <v>2.5000000000000001E-3</v>
      </c>
      <c r="DF6" s="129" t="s">
        <v>209</v>
      </c>
      <c r="DG6" s="129" t="s">
        <v>160</v>
      </c>
      <c r="DH6" s="129" t="s">
        <v>160</v>
      </c>
      <c r="DI6" s="129" t="s">
        <v>160</v>
      </c>
      <c r="DJ6" s="129" t="s">
        <v>160</v>
      </c>
      <c r="DK6" s="145">
        <v>424.29</v>
      </c>
      <c r="DL6" s="129" t="s">
        <v>159</v>
      </c>
      <c r="DM6" s="145" t="s">
        <v>160</v>
      </c>
      <c r="DN6" s="129" t="s">
        <v>210</v>
      </c>
      <c r="DO6" s="129">
        <v>37.806049999999999</v>
      </c>
      <c r="DP6" s="129" t="s">
        <v>160</v>
      </c>
      <c r="DQ6" s="129">
        <v>0.76890000000000214</v>
      </c>
      <c r="DR6" s="129" t="s">
        <v>211</v>
      </c>
      <c r="DS6" s="129" t="s">
        <v>212</v>
      </c>
      <c r="DT6" s="129" t="s">
        <v>213</v>
      </c>
      <c r="DU6" s="129">
        <v>1.0271999999999999</v>
      </c>
      <c r="DV6" s="129" t="s">
        <v>214</v>
      </c>
      <c r="DW6" s="129" t="s">
        <v>214</v>
      </c>
      <c r="DX6" s="129" t="s">
        <v>215</v>
      </c>
      <c r="DY6" s="129" t="s">
        <v>160</v>
      </c>
      <c r="DZ6" s="129" t="s">
        <v>164</v>
      </c>
      <c r="EA6" s="129" t="s">
        <v>216</v>
      </c>
      <c r="EB6" s="129" t="s">
        <v>212</v>
      </c>
      <c r="EC6" s="129" t="s">
        <v>212</v>
      </c>
      <c r="ED6" s="129" t="s">
        <v>212</v>
      </c>
      <c r="EE6" s="129" t="s">
        <v>217</v>
      </c>
      <c r="EF6" s="147" t="s">
        <v>213</v>
      </c>
      <c r="EG6" s="148" t="s">
        <v>213</v>
      </c>
      <c r="EH6" s="129" t="s">
        <v>218</v>
      </c>
      <c r="EI6" s="129" t="s">
        <v>219</v>
      </c>
      <c r="EJ6" s="129" t="s">
        <v>160</v>
      </c>
      <c r="EK6" s="149">
        <v>1656.404</v>
      </c>
      <c r="EL6" s="129" t="s">
        <v>163</v>
      </c>
      <c r="EM6" s="150">
        <v>500</v>
      </c>
      <c r="EN6" s="150">
        <v>500</v>
      </c>
      <c r="EO6" s="129" t="s">
        <v>160</v>
      </c>
      <c r="EP6" s="129" t="s">
        <v>160</v>
      </c>
      <c r="EQ6" s="129" t="s">
        <v>160</v>
      </c>
      <c r="ER6" s="129" t="s">
        <v>160</v>
      </c>
      <c r="ES6" s="151">
        <v>8.0402550000000002</v>
      </c>
      <c r="ET6" s="142" t="s">
        <v>165</v>
      </c>
      <c r="EU6" s="141">
        <v>7.1268999999999139E-2</v>
      </c>
      <c r="EV6" s="141">
        <v>7.4629999999999974E-2</v>
      </c>
      <c r="EW6" s="142" t="s">
        <v>160</v>
      </c>
      <c r="EX6" s="129" t="s">
        <v>160</v>
      </c>
      <c r="EY6" s="129" t="s">
        <v>160</v>
      </c>
      <c r="EZ6" s="149">
        <v>351.51580000000001</v>
      </c>
      <c r="FA6" s="150">
        <v>132.20620000000002</v>
      </c>
      <c r="FB6" s="150">
        <v>108.81060000000002</v>
      </c>
      <c r="FC6" s="129" t="s">
        <v>220</v>
      </c>
      <c r="FD6" s="129" t="s">
        <v>221</v>
      </c>
      <c r="FE6" s="150">
        <v>1860.1360000000002</v>
      </c>
      <c r="FF6" s="150">
        <v>512.85000000000014</v>
      </c>
      <c r="FG6" s="150">
        <v>504.21199999999999</v>
      </c>
      <c r="FH6" s="129" t="s">
        <v>160</v>
      </c>
      <c r="FI6" s="129" t="s">
        <v>160</v>
      </c>
      <c r="FJ6" s="129" t="s">
        <v>160</v>
      </c>
      <c r="FK6" s="129" t="s">
        <v>160</v>
      </c>
      <c r="FL6" s="129" t="s">
        <v>160</v>
      </c>
      <c r="FM6" s="129" t="s">
        <v>160</v>
      </c>
      <c r="FN6" s="151">
        <v>4.8695349999999999</v>
      </c>
      <c r="FO6" s="141">
        <v>2.704885</v>
      </c>
      <c r="FP6" s="141">
        <v>2.1283799999999999</v>
      </c>
      <c r="FQ6" s="129" t="s">
        <v>414</v>
      </c>
      <c r="FR6" s="176" t="s">
        <v>160</v>
      </c>
    </row>
    <row r="7" spans="1:191" s="129" customFormat="1" ht="17">
      <c r="A7" s="165" t="s">
        <v>152</v>
      </c>
      <c r="B7" s="166" t="s">
        <v>183</v>
      </c>
      <c r="C7" s="166">
        <v>2018</v>
      </c>
      <c r="D7" s="166" t="s">
        <v>184</v>
      </c>
      <c r="E7" s="170">
        <v>19430</v>
      </c>
      <c r="F7" s="167" t="str">
        <f t="shared" si="0"/>
        <v>NA</v>
      </c>
      <c r="G7" s="167" t="str">
        <f t="shared" si="0"/>
        <v>NA</v>
      </c>
      <c r="H7" s="168">
        <f t="shared" si="3"/>
        <v>285.56939999999997</v>
      </c>
      <c r="I7" s="130">
        <f t="shared" si="1"/>
        <v>115.35400000000004</v>
      </c>
      <c r="J7" s="130">
        <f t="shared" si="1"/>
        <v>91.990999999999985</v>
      </c>
      <c r="K7" s="129" t="s">
        <v>457</v>
      </c>
      <c r="L7" s="131" t="s">
        <v>185</v>
      </c>
      <c r="M7" s="132" t="s">
        <v>186</v>
      </c>
      <c r="N7" s="129" t="s">
        <v>184</v>
      </c>
      <c r="O7" s="133">
        <v>872</v>
      </c>
      <c r="P7" s="129" t="s">
        <v>187</v>
      </c>
      <c r="Q7" s="133">
        <v>12</v>
      </c>
      <c r="R7" s="133">
        <v>1</v>
      </c>
      <c r="S7" s="133">
        <v>20</v>
      </c>
      <c r="T7" s="133">
        <v>22</v>
      </c>
      <c r="U7" s="171">
        <v>104.21</v>
      </c>
      <c r="V7" s="133" t="s">
        <v>160</v>
      </c>
      <c r="W7" s="129" t="s">
        <v>160</v>
      </c>
      <c r="X7" s="129" t="s">
        <v>188</v>
      </c>
      <c r="Y7" s="172">
        <v>10.0975</v>
      </c>
      <c r="Z7" s="172">
        <v>162.86600000000001</v>
      </c>
      <c r="AA7" s="136" t="s">
        <v>160</v>
      </c>
      <c r="AB7" s="136" t="s">
        <v>160</v>
      </c>
      <c r="AC7" s="136">
        <v>1287</v>
      </c>
      <c r="AD7" s="136" t="s">
        <v>160</v>
      </c>
      <c r="AE7" s="136" t="s">
        <v>160</v>
      </c>
      <c r="AF7" s="129" t="s">
        <v>160</v>
      </c>
      <c r="AG7" s="173">
        <v>19430</v>
      </c>
      <c r="AH7" s="138" t="s">
        <v>160</v>
      </c>
      <c r="AI7" s="129" t="s">
        <v>160</v>
      </c>
      <c r="AJ7" s="138" t="s">
        <v>160</v>
      </c>
      <c r="AK7" s="129" t="s">
        <v>160</v>
      </c>
      <c r="AL7" s="139" t="s">
        <v>189</v>
      </c>
      <c r="AM7" s="139" t="s">
        <v>190</v>
      </c>
      <c r="AN7" s="129" t="s">
        <v>160</v>
      </c>
      <c r="AO7" s="129" t="s">
        <v>160</v>
      </c>
      <c r="AP7" s="129" t="s">
        <v>160</v>
      </c>
      <c r="AQ7" s="129" t="s">
        <v>160</v>
      </c>
      <c r="AR7" s="129" t="s">
        <v>160</v>
      </c>
      <c r="AS7" s="129" t="s">
        <v>160</v>
      </c>
      <c r="AT7" s="129" t="s">
        <v>160</v>
      </c>
      <c r="AU7" s="129" t="s">
        <v>191</v>
      </c>
      <c r="AV7" s="129" t="s">
        <v>161</v>
      </c>
      <c r="AW7" s="129" t="s">
        <v>192</v>
      </c>
      <c r="AX7" s="129" t="s">
        <v>193</v>
      </c>
      <c r="AY7" s="129" t="s">
        <v>194</v>
      </c>
      <c r="AZ7" s="129" t="s">
        <v>195</v>
      </c>
      <c r="BA7" s="129" t="s">
        <v>196</v>
      </c>
      <c r="BB7" s="129" t="s">
        <v>226</v>
      </c>
      <c r="BC7" s="140">
        <v>2</v>
      </c>
      <c r="BD7" s="129" t="s">
        <v>227</v>
      </c>
      <c r="BE7" s="173">
        <v>17.401677173172423</v>
      </c>
      <c r="BF7" s="129" t="s">
        <v>199</v>
      </c>
      <c r="BG7" s="173">
        <v>0.52463134004382905</v>
      </c>
      <c r="BH7" s="129">
        <v>0.83299999999999996</v>
      </c>
      <c r="BI7" s="129" t="s">
        <v>160</v>
      </c>
      <c r="BJ7" s="138" t="s">
        <v>160</v>
      </c>
      <c r="BK7" s="129">
        <v>2.69</v>
      </c>
      <c r="BL7" s="129" t="s">
        <v>160</v>
      </c>
      <c r="BM7" s="129" t="s">
        <v>160</v>
      </c>
      <c r="BN7" s="129" t="s">
        <v>200</v>
      </c>
      <c r="BO7" s="129" t="s">
        <v>201</v>
      </c>
      <c r="BP7" s="141">
        <v>17.661077038622359</v>
      </c>
      <c r="BQ7" s="129" t="s">
        <v>202</v>
      </c>
      <c r="BR7" s="142">
        <f t="shared" si="2"/>
        <v>0.52463134004382905</v>
      </c>
      <c r="BS7" s="129" t="s">
        <v>160</v>
      </c>
      <c r="BT7" s="129" t="s">
        <v>160</v>
      </c>
      <c r="BU7" s="129">
        <v>10</v>
      </c>
      <c r="BV7" s="129" t="s">
        <v>159</v>
      </c>
      <c r="BW7" s="129">
        <v>10</v>
      </c>
      <c r="BX7" s="143">
        <v>25.786160690335041</v>
      </c>
      <c r="BY7" s="129" t="s">
        <v>159</v>
      </c>
      <c r="BZ7" s="129">
        <v>1</v>
      </c>
      <c r="CA7" s="129">
        <v>1</v>
      </c>
      <c r="CB7" s="129" t="s">
        <v>160</v>
      </c>
      <c r="CC7" s="173">
        <v>4.7007934969130352</v>
      </c>
      <c r="CD7" s="129" t="s">
        <v>163</v>
      </c>
      <c r="CE7" s="144">
        <f t="shared" si="4"/>
        <v>0.12692142441665194</v>
      </c>
      <c r="CF7" s="144">
        <f t="shared" si="5"/>
        <v>0.12692142441665194</v>
      </c>
      <c r="CG7" s="145" t="s">
        <v>203</v>
      </c>
      <c r="CH7" s="129" t="s">
        <v>204</v>
      </c>
      <c r="CI7" s="129" t="s">
        <v>205</v>
      </c>
      <c r="CJ7" s="129" t="s">
        <v>206</v>
      </c>
      <c r="CK7" s="129" t="s">
        <v>158</v>
      </c>
      <c r="CL7" s="129" t="s">
        <v>158</v>
      </c>
      <c r="CM7" s="129" t="s">
        <v>158</v>
      </c>
      <c r="CN7" s="129" t="s">
        <v>160</v>
      </c>
      <c r="CO7" s="129" t="s">
        <v>160</v>
      </c>
      <c r="CP7" s="129" t="s">
        <v>160</v>
      </c>
      <c r="CQ7" s="129" t="s">
        <v>160</v>
      </c>
      <c r="CR7" s="129" t="s">
        <v>160</v>
      </c>
      <c r="CS7" s="129" t="s">
        <v>160</v>
      </c>
      <c r="CT7" s="129" t="s">
        <v>160</v>
      </c>
      <c r="CU7" s="129">
        <v>34.15</v>
      </c>
      <c r="CV7" s="129" t="s">
        <v>159</v>
      </c>
      <c r="CW7" s="146">
        <v>1</v>
      </c>
      <c r="CX7" s="129" t="s">
        <v>207</v>
      </c>
      <c r="CY7" s="129">
        <v>1.394079495460362E-2</v>
      </c>
      <c r="CZ7" s="129" t="s">
        <v>159</v>
      </c>
      <c r="DA7" s="146">
        <v>2.5000000000000001E-3</v>
      </c>
      <c r="DB7" s="129" t="s">
        <v>208</v>
      </c>
      <c r="DC7" s="129">
        <v>4.4235216257388341E-2</v>
      </c>
      <c r="DD7" s="129" t="s">
        <v>159</v>
      </c>
      <c r="DE7" s="146">
        <v>2.5000000000000001E-3</v>
      </c>
      <c r="DF7" s="129" t="s">
        <v>209</v>
      </c>
      <c r="DG7" s="129" t="s">
        <v>160</v>
      </c>
      <c r="DH7" s="129" t="s">
        <v>160</v>
      </c>
      <c r="DI7" s="129" t="s">
        <v>160</v>
      </c>
      <c r="DJ7" s="129" t="s">
        <v>160</v>
      </c>
      <c r="DK7" s="145">
        <v>424.29</v>
      </c>
      <c r="DL7" s="129" t="s">
        <v>159</v>
      </c>
      <c r="DM7" s="145" t="s">
        <v>160</v>
      </c>
      <c r="DN7" s="129" t="s">
        <v>210</v>
      </c>
      <c r="DO7" s="129">
        <v>37.779020000000003</v>
      </c>
      <c r="DP7" s="129" t="s">
        <v>160</v>
      </c>
      <c r="DQ7" s="129">
        <v>0.82395999999999958</v>
      </c>
      <c r="DR7" s="129" t="s">
        <v>211</v>
      </c>
      <c r="DS7" s="129" t="s">
        <v>212</v>
      </c>
      <c r="DT7" s="129" t="s">
        <v>213</v>
      </c>
      <c r="DU7" s="129">
        <v>1.0271999999999999</v>
      </c>
      <c r="DV7" s="129" t="s">
        <v>214</v>
      </c>
      <c r="DW7" s="129" t="s">
        <v>214</v>
      </c>
      <c r="DX7" s="129" t="s">
        <v>215</v>
      </c>
      <c r="DY7" s="129" t="s">
        <v>160</v>
      </c>
      <c r="DZ7" s="129" t="s">
        <v>164</v>
      </c>
      <c r="EA7" s="129" t="s">
        <v>216</v>
      </c>
      <c r="EB7" s="129" t="s">
        <v>212</v>
      </c>
      <c r="EC7" s="129" t="s">
        <v>212</v>
      </c>
      <c r="ED7" s="129" t="s">
        <v>212</v>
      </c>
      <c r="EE7" s="129" t="s">
        <v>217</v>
      </c>
      <c r="EF7" s="147" t="s">
        <v>213</v>
      </c>
      <c r="EG7" s="148" t="s">
        <v>213</v>
      </c>
      <c r="EH7" s="129" t="s">
        <v>218</v>
      </c>
      <c r="EI7" s="129" t="s">
        <v>219</v>
      </c>
      <c r="EJ7" s="129" t="s">
        <v>160</v>
      </c>
      <c r="EK7" s="149">
        <v>1633.143</v>
      </c>
      <c r="EL7" s="129" t="s">
        <v>163</v>
      </c>
      <c r="EM7" s="150">
        <v>500</v>
      </c>
      <c r="EN7" s="150">
        <v>500</v>
      </c>
      <c r="EO7" s="129" t="s">
        <v>160</v>
      </c>
      <c r="EP7" s="129" t="s">
        <v>160</v>
      </c>
      <c r="EQ7" s="129" t="s">
        <v>160</v>
      </c>
      <c r="ER7" s="129" t="s">
        <v>160</v>
      </c>
      <c r="ES7" s="151">
        <v>8.1180299999999992</v>
      </c>
      <c r="ET7" s="142" t="s">
        <v>165</v>
      </c>
      <c r="EU7" s="141">
        <v>7.8594000000000719E-2</v>
      </c>
      <c r="EV7" s="141">
        <v>8.2748999999999739E-2</v>
      </c>
      <c r="EW7" s="142" t="s">
        <v>160</v>
      </c>
      <c r="EX7" s="129" t="s">
        <v>160</v>
      </c>
      <c r="EY7" s="129" t="s">
        <v>160</v>
      </c>
      <c r="EZ7" s="149">
        <v>285.56939999999997</v>
      </c>
      <c r="FA7" s="150">
        <v>115.35400000000004</v>
      </c>
      <c r="FB7" s="150">
        <v>91.990999999999985</v>
      </c>
      <c r="FC7" s="129" t="s">
        <v>220</v>
      </c>
      <c r="FD7" s="129" t="s">
        <v>221</v>
      </c>
      <c r="FE7" s="150">
        <v>1866.643</v>
      </c>
      <c r="FF7" s="150">
        <v>517.6869999999999</v>
      </c>
      <c r="FG7" s="150">
        <v>508.44399999999996</v>
      </c>
      <c r="FH7" s="129" t="s">
        <v>160</v>
      </c>
      <c r="FI7" s="129" t="s">
        <v>160</v>
      </c>
      <c r="FJ7" s="129" t="s">
        <v>160</v>
      </c>
      <c r="FK7" s="129" t="s">
        <v>160</v>
      </c>
      <c r="FL7" s="129" t="s">
        <v>160</v>
      </c>
      <c r="FM7" s="129" t="s">
        <v>160</v>
      </c>
      <c r="FN7" s="151">
        <v>5.5302280000000001</v>
      </c>
      <c r="FO7" s="141">
        <v>3.168145</v>
      </c>
      <c r="FP7" s="141">
        <v>2.3596710000000001</v>
      </c>
      <c r="FQ7" s="129" t="s">
        <v>414</v>
      </c>
      <c r="FR7" s="176" t="s">
        <v>160</v>
      </c>
    </row>
    <row r="8" spans="1:191" s="129" customFormat="1" ht="17">
      <c r="A8" s="165" t="s">
        <v>152</v>
      </c>
      <c r="B8" s="166" t="s">
        <v>183</v>
      </c>
      <c r="C8" s="166">
        <v>2018</v>
      </c>
      <c r="D8" s="166" t="s">
        <v>184</v>
      </c>
      <c r="E8" s="170">
        <v>20020</v>
      </c>
      <c r="F8" s="167" t="str">
        <f t="shared" si="0"/>
        <v>set value</v>
      </c>
      <c r="G8" s="167">
        <f t="shared" si="0"/>
        <v>1000</v>
      </c>
      <c r="H8" s="168">
        <f t="shared" si="3"/>
        <v>356.50380000000001</v>
      </c>
      <c r="I8" s="130">
        <f t="shared" si="1"/>
        <v>144.19269999999995</v>
      </c>
      <c r="J8" s="130">
        <f t="shared" si="1"/>
        <v>116.45620000000002</v>
      </c>
      <c r="K8" s="129" t="s">
        <v>457</v>
      </c>
      <c r="L8" s="131" t="s">
        <v>185</v>
      </c>
      <c r="M8" s="132" t="s">
        <v>186</v>
      </c>
      <c r="N8" s="129" t="s">
        <v>184</v>
      </c>
      <c r="O8" s="133">
        <v>872</v>
      </c>
      <c r="P8" s="129" t="s">
        <v>187</v>
      </c>
      <c r="Q8" s="133">
        <v>12</v>
      </c>
      <c r="R8" s="133">
        <v>2</v>
      </c>
      <c r="S8" s="133">
        <v>20</v>
      </c>
      <c r="T8" s="133">
        <v>22</v>
      </c>
      <c r="U8" s="171">
        <v>105.71</v>
      </c>
      <c r="V8" s="133" t="s">
        <v>160</v>
      </c>
      <c r="W8" s="129" t="s">
        <v>160</v>
      </c>
      <c r="X8" s="129" t="s">
        <v>188</v>
      </c>
      <c r="Y8" s="172">
        <v>10.0975</v>
      </c>
      <c r="Z8" s="172">
        <v>162.86600000000001</v>
      </c>
      <c r="AA8" s="136" t="s">
        <v>160</v>
      </c>
      <c r="AB8" s="136" t="s">
        <v>160</v>
      </c>
      <c r="AC8" s="136">
        <v>1287</v>
      </c>
      <c r="AD8" s="136" t="s">
        <v>160</v>
      </c>
      <c r="AE8" s="136" t="s">
        <v>160</v>
      </c>
      <c r="AF8" s="129" t="s">
        <v>228</v>
      </c>
      <c r="AG8" s="173">
        <v>20020</v>
      </c>
      <c r="AH8" s="138" t="s">
        <v>159</v>
      </c>
      <c r="AI8" s="138">
        <v>1000</v>
      </c>
      <c r="AJ8" s="138">
        <v>1000</v>
      </c>
      <c r="AK8" s="129" t="s">
        <v>160</v>
      </c>
      <c r="AL8" s="139" t="s">
        <v>189</v>
      </c>
      <c r="AM8" s="139" t="s">
        <v>190</v>
      </c>
      <c r="AN8" s="129" t="s">
        <v>160</v>
      </c>
      <c r="AO8" s="129" t="s">
        <v>160</v>
      </c>
      <c r="AP8" s="129" t="s">
        <v>160</v>
      </c>
      <c r="AQ8" s="129" t="s">
        <v>160</v>
      </c>
      <c r="AR8" s="129" t="s">
        <v>160</v>
      </c>
      <c r="AS8" s="129" t="s">
        <v>160</v>
      </c>
      <c r="AT8" s="129" t="s">
        <v>160</v>
      </c>
      <c r="AU8" s="129" t="s">
        <v>191</v>
      </c>
      <c r="AV8" s="129" t="s">
        <v>161</v>
      </c>
      <c r="AW8" s="129" t="s">
        <v>192</v>
      </c>
      <c r="AX8" s="129" t="s">
        <v>193</v>
      </c>
      <c r="AY8" s="129" t="s">
        <v>194</v>
      </c>
      <c r="AZ8" s="129" t="s">
        <v>195</v>
      </c>
      <c r="BA8" s="129" t="s">
        <v>196</v>
      </c>
      <c r="BB8" s="129" t="s">
        <v>229</v>
      </c>
      <c r="BC8" s="140">
        <v>2</v>
      </c>
      <c r="BD8" s="129" t="s">
        <v>230</v>
      </c>
      <c r="BE8" s="173">
        <v>16.481729825933655</v>
      </c>
      <c r="BF8" s="129" t="s">
        <v>199</v>
      </c>
      <c r="BG8" s="173">
        <v>0.27136217270746132</v>
      </c>
      <c r="BH8" s="129">
        <v>0.83299999999999996</v>
      </c>
      <c r="BI8" s="129" t="s">
        <v>160</v>
      </c>
      <c r="BJ8" s="138" t="s">
        <v>160</v>
      </c>
      <c r="BK8" s="129">
        <v>2.69</v>
      </c>
      <c r="BL8" s="129" t="s">
        <v>160</v>
      </c>
      <c r="BM8" s="129" t="s">
        <v>160</v>
      </c>
      <c r="BN8" s="129" t="s">
        <v>200</v>
      </c>
      <c r="BO8" s="129" t="s">
        <v>201</v>
      </c>
      <c r="BP8" s="141">
        <v>16.556698470508593</v>
      </c>
      <c r="BQ8" s="129" t="s">
        <v>202</v>
      </c>
      <c r="BR8" s="142">
        <f t="shared" si="2"/>
        <v>0.27136217270746132</v>
      </c>
      <c r="BS8" s="129" t="s">
        <v>160</v>
      </c>
      <c r="BT8" s="129" t="s">
        <v>160</v>
      </c>
      <c r="BU8" s="129">
        <v>10</v>
      </c>
      <c r="BV8" s="129" t="s">
        <v>159</v>
      </c>
      <c r="BW8" s="129">
        <v>10</v>
      </c>
      <c r="BX8" s="143">
        <v>25.602718882582739</v>
      </c>
      <c r="BY8" s="129" t="s">
        <v>159</v>
      </c>
      <c r="BZ8" s="129">
        <v>1</v>
      </c>
      <c r="CA8" s="129">
        <v>1</v>
      </c>
      <c r="CB8" s="129" t="s">
        <v>160</v>
      </c>
      <c r="CC8" s="173">
        <v>4.6520513758145263</v>
      </c>
      <c r="CD8" s="129" t="s">
        <v>163</v>
      </c>
      <c r="CE8" s="144">
        <f t="shared" si="4"/>
        <v>0.12560538714699221</v>
      </c>
      <c r="CF8" s="144">
        <f t="shared" si="5"/>
        <v>0.12560538714699221</v>
      </c>
      <c r="CG8" s="145" t="s">
        <v>203</v>
      </c>
      <c r="CH8" s="129" t="s">
        <v>204</v>
      </c>
      <c r="CI8" s="129" t="s">
        <v>205</v>
      </c>
      <c r="CJ8" s="129" t="s">
        <v>206</v>
      </c>
      <c r="CK8" s="129" t="s">
        <v>158</v>
      </c>
      <c r="CL8" s="129" t="s">
        <v>158</v>
      </c>
      <c r="CM8" s="129" t="s">
        <v>158</v>
      </c>
      <c r="CN8" s="129" t="s">
        <v>160</v>
      </c>
      <c r="CO8" s="129" t="s">
        <v>160</v>
      </c>
      <c r="CP8" s="129" t="s">
        <v>160</v>
      </c>
      <c r="CQ8" s="129" t="s">
        <v>160</v>
      </c>
      <c r="CR8" s="129" t="s">
        <v>160</v>
      </c>
      <c r="CS8" s="129" t="s">
        <v>160</v>
      </c>
      <c r="CT8" s="129" t="s">
        <v>160</v>
      </c>
      <c r="CU8" s="129">
        <v>34.15</v>
      </c>
      <c r="CV8" s="129" t="s">
        <v>159</v>
      </c>
      <c r="CW8" s="146">
        <v>1</v>
      </c>
      <c r="CX8" s="129" t="s">
        <v>207</v>
      </c>
      <c r="CY8" s="129">
        <v>1.4043472109309955E-2</v>
      </c>
      <c r="CZ8" s="129" t="s">
        <v>159</v>
      </c>
      <c r="DA8" s="146">
        <v>2.5000000000000001E-3</v>
      </c>
      <c r="DB8" s="129" t="s">
        <v>208</v>
      </c>
      <c r="DC8" s="129">
        <v>4.3904367647779032E-2</v>
      </c>
      <c r="DD8" s="129" t="s">
        <v>159</v>
      </c>
      <c r="DE8" s="146">
        <v>2.5000000000000001E-3</v>
      </c>
      <c r="DF8" s="129" t="s">
        <v>209</v>
      </c>
      <c r="DG8" s="129" t="s">
        <v>160</v>
      </c>
      <c r="DH8" s="129" t="s">
        <v>160</v>
      </c>
      <c r="DI8" s="129" t="s">
        <v>160</v>
      </c>
      <c r="DJ8" s="129" t="s">
        <v>160</v>
      </c>
      <c r="DK8" s="145">
        <v>424.29</v>
      </c>
      <c r="DL8" s="129" t="s">
        <v>159</v>
      </c>
      <c r="DM8" s="145" t="s">
        <v>160</v>
      </c>
      <c r="DN8" s="129" t="s">
        <v>210</v>
      </c>
      <c r="DO8" s="129">
        <v>37.777760000000001</v>
      </c>
      <c r="DP8" s="129" t="s">
        <v>160</v>
      </c>
      <c r="DQ8" s="129">
        <v>0.86913999999999803</v>
      </c>
      <c r="DR8" s="129" t="s">
        <v>211</v>
      </c>
      <c r="DS8" s="129" t="s">
        <v>212</v>
      </c>
      <c r="DT8" s="129" t="s">
        <v>213</v>
      </c>
      <c r="DU8" s="129">
        <v>1.0271999999999999</v>
      </c>
      <c r="DV8" s="129" t="s">
        <v>214</v>
      </c>
      <c r="DW8" s="129" t="s">
        <v>214</v>
      </c>
      <c r="DX8" s="129" t="s">
        <v>215</v>
      </c>
      <c r="DY8" s="129" t="s">
        <v>160</v>
      </c>
      <c r="DZ8" s="129" t="s">
        <v>164</v>
      </c>
      <c r="EA8" s="129" t="s">
        <v>216</v>
      </c>
      <c r="EB8" s="129" t="s">
        <v>212</v>
      </c>
      <c r="EC8" s="129" t="s">
        <v>212</v>
      </c>
      <c r="ED8" s="129" t="s">
        <v>212</v>
      </c>
      <c r="EE8" s="129" t="s">
        <v>217</v>
      </c>
      <c r="EF8" s="147" t="s">
        <v>213</v>
      </c>
      <c r="EG8" s="148" t="s">
        <v>213</v>
      </c>
      <c r="EH8" s="129" t="s">
        <v>218</v>
      </c>
      <c r="EI8" s="129" t="s">
        <v>219</v>
      </c>
      <c r="EJ8" s="129" t="s">
        <v>160</v>
      </c>
      <c r="EK8" s="149">
        <v>1626.443</v>
      </c>
      <c r="EL8" s="129" t="s">
        <v>163</v>
      </c>
      <c r="EM8" s="150">
        <v>500</v>
      </c>
      <c r="EN8" s="150">
        <v>500</v>
      </c>
      <c r="EO8" s="129" t="s">
        <v>160</v>
      </c>
      <c r="EP8" s="129" t="s">
        <v>160</v>
      </c>
      <c r="EQ8" s="129" t="s">
        <v>160</v>
      </c>
      <c r="ER8" s="129" t="s">
        <v>160</v>
      </c>
      <c r="ES8" s="151">
        <v>8.0248910000000002</v>
      </c>
      <c r="ET8" s="142" t="s">
        <v>165</v>
      </c>
      <c r="EU8" s="141">
        <v>8.1296000000000035E-2</v>
      </c>
      <c r="EV8" s="141">
        <v>8.7776999999999994E-2</v>
      </c>
      <c r="EW8" s="142" t="s">
        <v>160</v>
      </c>
      <c r="EX8" s="129" t="s">
        <v>160</v>
      </c>
      <c r="EY8" s="129" t="s">
        <v>160</v>
      </c>
      <c r="EZ8" s="149">
        <v>356.50380000000001</v>
      </c>
      <c r="FA8" s="150">
        <v>144.19269999999995</v>
      </c>
      <c r="FB8" s="150">
        <v>116.45620000000002</v>
      </c>
      <c r="FC8" s="129" t="s">
        <v>220</v>
      </c>
      <c r="FD8" s="129" t="s">
        <v>221</v>
      </c>
      <c r="FE8" s="150">
        <v>1817.798</v>
      </c>
      <c r="FF8" s="150">
        <v>519.09800000000018</v>
      </c>
      <c r="FG8" s="150">
        <v>517.202</v>
      </c>
      <c r="FH8" s="129" t="s">
        <v>160</v>
      </c>
      <c r="FI8" s="129" t="s">
        <v>160</v>
      </c>
      <c r="FJ8" s="129" t="s">
        <v>160</v>
      </c>
      <c r="FK8" s="129" t="s">
        <v>160</v>
      </c>
      <c r="FL8" s="129" t="s">
        <v>160</v>
      </c>
      <c r="FM8" s="129" t="s">
        <v>160</v>
      </c>
      <c r="FN8" s="151">
        <v>4.5488439999999999</v>
      </c>
      <c r="FO8" s="141">
        <v>2.6327590000000001</v>
      </c>
      <c r="FP8" s="141">
        <v>1.959613</v>
      </c>
      <c r="FQ8" s="129" t="s">
        <v>414</v>
      </c>
      <c r="FR8" s="176" t="s">
        <v>160</v>
      </c>
    </row>
    <row r="9" spans="1:191" s="129" customFormat="1" ht="17">
      <c r="A9" s="165" t="s">
        <v>152</v>
      </c>
      <c r="B9" s="166" t="s">
        <v>183</v>
      </c>
      <c r="C9" s="166">
        <v>2018</v>
      </c>
      <c r="D9" s="166" t="s">
        <v>184</v>
      </c>
      <c r="E9" s="170">
        <v>20560</v>
      </c>
      <c r="F9" s="167" t="str">
        <f t="shared" si="0"/>
        <v>set value</v>
      </c>
      <c r="G9" s="167">
        <f t="shared" si="0"/>
        <v>1000</v>
      </c>
      <c r="H9" s="168">
        <f t="shared" si="3"/>
        <v>394.83820000000003</v>
      </c>
      <c r="I9" s="130">
        <f t="shared" si="1"/>
        <v>164.86749999999995</v>
      </c>
      <c r="J9" s="130">
        <f t="shared" si="1"/>
        <v>130.88140000000004</v>
      </c>
      <c r="K9" s="129" t="s">
        <v>457</v>
      </c>
      <c r="L9" s="131" t="s">
        <v>185</v>
      </c>
      <c r="M9" s="132" t="s">
        <v>186</v>
      </c>
      <c r="N9" s="129" t="s">
        <v>184</v>
      </c>
      <c r="O9" s="133">
        <v>872</v>
      </c>
      <c r="P9" s="129" t="s">
        <v>187</v>
      </c>
      <c r="Q9" s="133">
        <v>13</v>
      </c>
      <c r="R9" s="133">
        <v>1</v>
      </c>
      <c r="S9" s="133">
        <v>78</v>
      </c>
      <c r="T9" s="133">
        <v>80</v>
      </c>
      <c r="U9" s="171">
        <v>106.79</v>
      </c>
      <c r="V9" s="133" t="s">
        <v>160</v>
      </c>
      <c r="W9" s="129" t="s">
        <v>160</v>
      </c>
      <c r="X9" s="129" t="s">
        <v>188</v>
      </c>
      <c r="Y9" s="172">
        <v>10.0975</v>
      </c>
      <c r="Z9" s="172">
        <v>162.86600000000001</v>
      </c>
      <c r="AA9" s="136" t="s">
        <v>160</v>
      </c>
      <c r="AB9" s="136" t="s">
        <v>160</v>
      </c>
      <c r="AC9" s="136">
        <v>1287</v>
      </c>
      <c r="AD9" s="136" t="s">
        <v>160</v>
      </c>
      <c r="AE9" s="136" t="s">
        <v>160</v>
      </c>
      <c r="AF9" s="129" t="s">
        <v>228</v>
      </c>
      <c r="AG9" s="173">
        <v>20560</v>
      </c>
      <c r="AH9" s="138" t="s">
        <v>159</v>
      </c>
      <c r="AI9" s="138">
        <v>1000</v>
      </c>
      <c r="AJ9" s="138">
        <v>1000</v>
      </c>
      <c r="AK9" s="129" t="s">
        <v>160</v>
      </c>
      <c r="AL9" s="139" t="s">
        <v>189</v>
      </c>
      <c r="AM9" s="139" t="s">
        <v>190</v>
      </c>
      <c r="AN9" s="129" t="s">
        <v>160</v>
      </c>
      <c r="AO9" s="129" t="s">
        <v>160</v>
      </c>
      <c r="AP9" s="129" t="s">
        <v>160</v>
      </c>
      <c r="AQ9" s="129" t="s">
        <v>160</v>
      </c>
      <c r="AR9" s="129" t="s">
        <v>160</v>
      </c>
      <c r="AS9" s="129" t="s">
        <v>160</v>
      </c>
      <c r="AT9" s="129" t="s">
        <v>160</v>
      </c>
      <c r="AU9" s="129" t="s">
        <v>191</v>
      </c>
      <c r="AV9" s="129" t="s">
        <v>161</v>
      </c>
      <c r="AW9" s="129" t="s">
        <v>192</v>
      </c>
      <c r="AX9" s="129" t="s">
        <v>193</v>
      </c>
      <c r="AY9" s="129" t="s">
        <v>194</v>
      </c>
      <c r="AZ9" s="129" t="s">
        <v>195</v>
      </c>
      <c r="BA9" s="129" t="s">
        <v>196</v>
      </c>
      <c r="BB9" s="129" t="s">
        <v>231</v>
      </c>
      <c r="BC9" s="140">
        <v>2</v>
      </c>
      <c r="BD9" s="129" t="s">
        <v>232</v>
      </c>
      <c r="BE9" s="173">
        <v>16.106168157444031</v>
      </c>
      <c r="BF9" s="129" t="s">
        <v>199</v>
      </c>
      <c r="BG9" s="173">
        <v>0.23952936592716634</v>
      </c>
      <c r="BH9" s="129">
        <v>0.83299999999999996</v>
      </c>
      <c r="BI9" s="129" t="s">
        <v>160</v>
      </c>
      <c r="BJ9" s="138" t="s">
        <v>160</v>
      </c>
      <c r="BK9" s="129">
        <v>2.69</v>
      </c>
      <c r="BL9" s="129" t="s">
        <v>160</v>
      </c>
      <c r="BM9" s="129" t="s">
        <v>160</v>
      </c>
      <c r="BN9" s="129" t="s">
        <v>200</v>
      </c>
      <c r="BO9" s="129" t="s">
        <v>201</v>
      </c>
      <c r="BP9" s="141">
        <v>16.105844126583474</v>
      </c>
      <c r="BQ9" s="129" t="s">
        <v>202</v>
      </c>
      <c r="BR9" s="142">
        <f t="shared" si="2"/>
        <v>0.23952936592716634</v>
      </c>
      <c r="BS9" s="129" t="s">
        <v>160</v>
      </c>
      <c r="BT9" s="129" t="s">
        <v>160</v>
      </c>
      <c r="BU9" s="129">
        <v>10</v>
      </c>
      <c r="BV9" s="129" t="s">
        <v>159</v>
      </c>
      <c r="BW9" s="129">
        <v>10</v>
      </c>
      <c r="BX9" s="143">
        <v>25.628186476997566</v>
      </c>
      <c r="BY9" s="129" t="s">
        <v>159</v>
      </c>
      <c r="BZ9" s="129">
        <v>1</v>
      </c>
      <c r="CA9" s="129">
        <v>1</v>
      </c>
      <c r="CB9" s="129" t="s">
        <v>160</v>
      </c>
      <c r="CC9" s="173">
        <v>4.6879308563288626</v>
      </c>
      <c r="CD9" s="129" t="s">
        <v>163</v>
      </c>
      <c r="CE9" s="144">
        <f t="shared" si="4"/>
        <v>0.12657413312087928</v>
      </c>
      <c r="CF9" s="144">
        <f t="shared" si="5"/>
        <v>0.12657413312087928</v>
      </c>
      <c r="CG9" s="145" t="s">
        <v>203</v>
      </c>
      <c r="CH9" s="129" t="s">
        <v>204</v>
      </c>
      <c r="CI9" s="129" t="s">
        <v>205</v>
      </c>
      <c r="CJ9" s="129" t="s">
        <v>206</v>
      </c>
      <c r="CK9" s="129" t="s">
        <v>158</v>
      </c>
      <c r="CL9" s="129" t="s">
        <v>158</v>
      </c>
      <c r="CM9" s="129" t="s">
        <v>158</v>
      </c>
      <c r="CN9" s="129" t="s">
        <v>160</v>
      </c>
      <c r="CO9" s="129" t="s">
        <v>160</v>
      </c>
      <c r="CP9" s="129" t="s">
        <v>160</v>
      </c>
      <c r="CQ9" s="129" t="s">
        <v>160</v>
      </c>
      <c r="CR9" s="129" t="s">
        <v>160</v>
      </c>
      <c r="CS9" s="129" t="s">
        <v>160</v>
      </c>
      <c r="CT9" s="129" t="s">
        <v>160</v>
      </c>
      <c r="CU9" s="129">
        <v>34.15</v>
      </c>
      <c r="CV9" s="129" t="s">
        <v>159</v>
      </c>
      <c r="CW9" s="146">
        <v>1</v>
      </c>
      <c r="CX9" s="129" t="s">
        <v>207</v>
      </c>
      <c r="CY9" s="129">
        <v>1.4134393310152309E-2</v>
      </c>
      <c r="CZ9" s="129" t="s">
        <v>159</v>
      </c>
      <c r="DA9" s="146">
        <v>2.5000000000000001E-3</v>
      </c>
      <c r="DB9" s="129" t="s">
        <v>208</v>
      </c>
      <c r="DC9" s="129">
        <v>4.3611399333953672E-2</v>
      </c>
      <c r="DD9" s="129" t="s">
        <v>159</v>
      </c>
      <c r="DE9" s="146">
        <v>2.5000000000000001E-3</v>
      </c>
      <c r="DF9" s="129" t="s">
        <v>209</v>
      </c>
      <c r="DG9" s="129" t="s">
        <v>160</v>
      </c>
      <c r="DH9" s="129" t="s">
        <v>160</v>
      </c>
      <c r="DI9" s="129" t="s">
        <v>160</v>
      </c>
      <c r="DJ9" s="129" t="s">
        <v>160</v>
      </c>
      <c r="DK9" s="145">
        <v>424.29</v>
      </c>
      <c r="DL9" s="129" t="s">
        <v>159</v>
      </c>
      <c r="DM9" s="145" t="s">
        <v>160</v>
      </c>
      <c r="DN9" s="129" t="s">
        <v>210</v>
      </c>
      <c r="DO9" s="129">
        <v>37.781129999999997</v>
      </c>
      <c r="DP9" s="129" t="s">
        <v>160</v>
      </c>
      <c r="DQ9" s="129">
        <v>0.90206500000000034</v>
      </c>
      <c r="DR9" s="129" t="s">
        <v>211</v>
      </c>
      <c r="DS9" s="129" t="s">
        <v>212</v>
      </c>
      <c r="DT9" s="129" t="s">
        <v>213</v>
      </c>
      <c r="DU9" s="129">
        <v>1.0271999999999999</v>
      </c>
      <c r="DV9" s="129" t="s">
        <v>214</v>
      </c>
      <c r="DW9" s="129" t="s">
        <v>214</v>
      </c>
      <c r="DX9" s="129" t="s">
        <v>215</v>
      </c>
      <c r="DY9" s="129" t="s">
        <v>160</v>
      </c>
      <c r="DZ9" s="129" t="s">
        <v>164</v>
      </c>
      <c r="EA9" s="129" t="s">
        <v>216</v>
      </c>
      <c r="EB9" s="129" t="s">
        <v>212</v>
      </c>
      <c r="EC9" s="129" t="s">
        <v>212</v>
      </c>
      <c r="ED9" s="129" t="s">
        <v>212</v>
      </c>
      <c r="EE9" s="129" t="s">
        <v>217</v>
      </c>
      <c r="EF9" s="147" t="s">
        <v>213</v>
      </c>
      <c r="EG9" s="148" t="s">
        <v>213</v>
      </c>
      <c r="EH9" s="129" t="s">
        <v>218</v>
      </c>
      <c r="EI9" s="129" t="s">
        <v>219</v>
      </c>
      <c r="EJ9" s="129" t="s">
        <v>160</v>
      </c>
      <c r="EK9" s="149">
        <v>1619.6190000000001</v>
      </c>
      <c r="EL9" s="129" t="s">
        <v>163</v>
      </c>
      <c r="EM9" s="150">
        <v>500</v>
      </c>
      <c r="EN9" s="150">
        <v>500</v>
      </c>
      <c r="EO9" s="129" t="s">
        <v>160</v>
      </c>
      <c r="EP9" s="129" t="s">
        <v>160</v>
      </c>
      <c r="EQ9" s="129" t="s">
        <v>160</v>
      </c>
      <c r="ER9" s="129" t="s">
        <v>160</v>
      </c>
      <c r="ES9" s="151">
        <v>7.9813910000000003</v>
      </c>
      <c r="ET9" s="142" t="s">
        <v>165</v>
      </c>
      <c r="EU9" s="141">
        <v>8.8084999999999525E-2</v>
      </c>
      <c r="EV9" s="141">
        <v>9.5356000000000662E-2</v>
      </c>
      <c r="EW9" s="142" t="s">
        <v>160</v>
      </c>
      <c r="EX9" s="129" t="s">
        <v>160</v>
      </c>
      <c r="EY9" s="129" t="s">
        <v>160</v>
      </c>
      <c r="EZ9" s="149">
        <v>394.83820000000003</v>
      </c>
      <c r="FA9" s="150">
        <v>164.86749999999995</v>
      </c>
      <c r="FB9" s="150">
        <v>130.88140000000004</v>
      </c>
      <c r="FC9" s="129" t="s">
        <v>220</v>
      </c>
      <c r="FD9" s="129" t="s">
        <v>221</v>
      </c>
      <c r="FE9" s="150">
        <v>1793.806</v>
      </c>
      <c r="FF9" s="150">
        <v>513.43600000000015</v>
      </c>
      <c r="FG9" s="150">
        <v>507.63000000000011</v>
      </c>
      <c r="FH9" s="129" t="s">
        <v>160</v>
      </c>
      <c r="FI9" s="129" t="s">
        <v>160</v>
      </c>
      <c r="FJ9" s="129" t="s">
        <v>160</v>
      </c>
      <c r="FK9" s="129" t="s">
        <v>160</v>
      </c>
      <c r="FL9" s="129" t="s">
        <v>160</v>
      </c>
      <c r="FM9" s="129" t="s">
        <v>160</v>
      </c>
      <c r="FN9" s="151">
        <v>4.1489440000000002</v>
      </c>
      <c r="FO9" s="141">
        <v>2.5214239999999997</v>
      </c>
      <c r="FP9" s="141">
        <v>1.8326250000000002</v>
      </c>
      <c r="FQ9" s="129" t="s">
        <v>414</v>
      </c>
      <c r="FR9" s="176" t="s">
        <v>160</v>
      </c>
    </row>
    <row r="10" spans="1:191" s="129" customFormat="1" ht="17">
      <c r="A10" s="165" t="s">
        <v>152</v>
      </c>
      <c r="B10" s="166" t="s">
        <v>183</v>
      </c>
      <c r="C10" s="166">
        <v>2018</v>
      </c>
      <c r="D10" s="166" t="s">
        <v>184</v>
      </c>
      <c r="E10" s="170">
        <v>21780</v>
      </c>
      <c r="F10" s="167" t="str">
        <f t="shared" si="0"/>
        <v>NA</v>
      </c>
      <c r="G10" s="167" t="str">
        <f t="shared" si="0"/>
        <v>NA</v>
      </c>
      <c r="H10" s="168">
        <f t="shared" si="3"/>
        <v>302.25790000000001</v>
      </c>
      <c r="I10" s="130">
        <f t="shared" si="1"/>
        <v>133.16409999999996</v>
      </c>
      <c r="J10" s="130">
        <f t="shared" si="1"/>
        <v>101.42840000000001</v>
      </c>
      <c r="K10" s="129" t="s">
        <v>457</v>
      </c>
      <c r="L10" s="131" t="s">
        <v>185</v>
      </c>
      <c r="M10" s="132" t="s">
        <v>186</v>
      </c>
      <c r="N10" s="129" t="s">
        <v>184</v>
      </c>
      <c r="O10" s="133">
        <v>872</v>
      </c>
      <c r="P10" s="129" t="s">
        <v>187</v>
      </c>
      <c r="Q10" s="133">
        <v>13</v>
      </c>
      <c r="R10" s="133">
        <v>3</v>
      </c>
      <c r="S10" s="133">
        <v>78</v>
      </c>
      <c r="T10" s="133">
        <v>80</v>
      </c>
      <c r="U10" s="171">
        <v>109.27</v>
      </c>
      <c r="V10" s="133" t="s">
        <v>160</v>
      </c>
      <c r="W10" s="129" t="s">
        <v>160</v>
      </c>
      <c r="X10" s="129" t="s">
        <v>188</v>
      </c>
      <c r="Y10" s="172">
        <v>10.0975</v>
      </c>
      <c r="Z10" s="172">
        <v>162.86600000000001</v>
      </c>
      <c r="AA10" s="136" t="s">
        <v>160</v>
      </c>
      <c r="AB10" s="136" t="s">
        <v>160</v>
      </c>
      <c r="AC10" s="136">
        <v>1287</v>
      </c>
      <c r="AD10" s="136" t="s">
        <v>160</v>
      </c>
      <c r="AE10" s="136" t="s">
        <v>160</v>
      </c>
      <c r="AF10" s="129" t="s">
        <v>160</v>
      </c>
      <c r="AG10" s="173">
        <v>21780</v>
      </c>
      <c r="AH10" s="138" t="s">
        <v>160</v>
      </c>
      <c r="AI10" s="129" t="s">
        <v>160</v>
      </c>
      <c r="AJ10" s="138" t="s">
        <v>160</v>
      </c>
      <c r="AK10" s="129" t="s">
        <v>160</v>
      </c>
      <c r="AL10" s="139" t="s">
        <v>189</v>
      </c>
      <c r="AM10" s="139" t="s">
        <v>190</v>
      </c>
      <c r="AN10" s="129" t="s">
        <v>160</v>
      </c>
      <c r="AO10" s="129" t="s">
        <v>160</v>
      </c>
      <c r="AP10" s="129" t="s">
        <v>160</v>
      </c>
      <c r="AQ10" s="129" t="s">
        <v>160</v>
      </c>
      <c r="AR10" s="129" t="s">
        <v>160</v>
      </c>
      <c r="AS10" s="129" t="s">
        <v>160</v>
      </c>
      <c r="AT10" s="129" t="s">
        <v>160</v>
      </c>
      <c r="AU10" s="129" t="s">
        <v>191</v>
      </c>
      <c r="AV10" s="129" t="s">
        <v>161</v>
      </c>
      <c r="AW10" s="129" t="s">
        <v>192</v>
      </c>
      <c r="AX10" s="129" t="s">
        <v>193</v>
      </c>
      <c r="AY10" s="129" t="s">
        <v>194</v>
      </c>
      <c r="AZ10" s="129" t="s">
        <v>195</v>
      </c>
      <c r="BA10" s="129" t="s">
        <v>196</v>
      </c>
      <c r="BB10" s="129" t="s">
        <v>233</v>
      </c>
      <c r="BC10" s="140">
        <v>2</v>
      </c>
      <c r="BD10" s="129" t="s">
        <v>234</v>
      </c>
      <c r="BE10" s="173">
        <v>17.032120892340075</v>
      </c>
      <c r="BF10" s="129" t="s">
        <v>199</v>
      </c>
      <c r="BG10" s="173">
        <v>0.24964308396375817</v>
      </c>
      <c r="BH10" s="129">
        <v>0.83299999999999996</v>
      </c>
      <c r="BI10" s="129" t="s">
        <v>160</v>
      </c>
      <c r="BJ10" s="138" t="s">
        <v>160</v>
      </c>
      <c r="BK10" s="129">
        <v>2.69</v>
      </c>
      <c r="BL10" s="129" t="s">
        <v>160</v>
      </c>
      <c r="BM10" s="129" t="s">
        <v>160</v>
      </c>
      <c r="BN10" s="129" t="s">
        <v>200</v>
      </c>
      <c r="BO10" s="129" t="s">
        <v>201</v>
      </c>
      <c r="BP10" s="141">
        <v>17.217432043625543</v>
      </c>
      <c r="BQ10" s="129" t="s">
        <v>202</v>
      </c>
      <c r="BR10" s="142">
        <f t="shared" si="2"/>
        <v>0.24964308396375817</v>
      </c>
      <c r="BS10" s="129" t="s">
        <v>160</v>
      </c>
      <c r="BT10" s="129" t="s">
        <v>160</v>
      </c>
      <c r="BU10" s="129">
        <v>10</v>
      </c>
      <c r="BV10" s="129" t="s">
        <v>159</v>
      </c>
      <c r="BW10" s="129">
        <v>10</v>
      </c>
      <c r="BX10" s="143">
        <v>25.129007109249976</v>
      </c>
      <c r="BY10" s="129" t="s">
        <v>159</v>
      </c>
      <c r="BZ10" s="129">
        <v>1</v>
      </c>
      <c r="CA10" s="129">
        <v>1</v>
      </c>
      <c r="CB10" s="129" t="s">
        <v>160</v>
      </c>
      <c r="CC10" s="173">
        <v>4.5378391472181807</v>
      </c>
      <c r="CD10" s="129" t="s">
        <v>163</v>
      </c>
      <c r="CE10" s="144">
        <f t="shared" si="4"/>
        <v>0.12252165697489088</v>
      </c>
      <c r="CF10" s="144">
        <f t="shared" si="5"/>
        <v>0.12252165697489088</v>
      </c>
      <c r="CG10" s="145" t="s">
        <v>203</v>
      </c>
      <c r="CH10" s="129" t="s">
        <v>204</v>
      </c>
      <c r="CI10" s="129" t="s">
        <v>205</v>
      </c>
      <c r="CJ10" s="129" t="s">
        <v>206</v>
      </c>
      <c r="CK10" s="129" t="s">
        <v>158</v>
      </c>
      <c r="CL10" s="129" t="s">
        <v>158</v>
      </c>
      <c r="CM10" s="129" t="s">
        <v>158</v>
      </c>
      <c r="CN10" s="129" t="s">
        <v>160</v>
      </c>
      <c r="CO10" s="129" t="s">
        <v>160</v>
      </c>
      <c r="CP10" s="129" t="s">
        <v>160</v>
      </c>
      <c r="CQ10" s="129" t="s">
        <v>160</v>
      </c>
      <c r="CR10" s="129" t="s">
        <v>160</v>
      </c>
      <c r="CS10" s="129" t="s">
        <v>160</v>
      </c>
      <c r="CT10" s="129" t="s">
        <v>160</v>
      </c>
      <c r="CU10" s="129">
        <v>34.15</v>
      </c>
      <c r="CV10" s="129" t="s">
        <v>159</v>
      </c>
      <c r="CW10" s="146">
        <v>1</v>
      </c>
      <c r="CX10" s="129" t="s">
        <v>207</v>
      </c>
      <c r="CY10" s="129">
        <v>1.4343175326901415E-2</v>
      </c>
      <c r="CZ10" s="129" t="s">
        <v>159</v>
      </c>
      <c r="DA10" s="146">
        <v>2.5000000000000001E-3</v>
      </c>
      <c r="DB10" s="129" t="s">
        <v>208</v>
      </c>
      <c r="DC10" s="129">
        <v>4.2938657279984332E-2</v>
      </c>
      <c r="DD10" s="129" t="s">
        <v>159</v>
      </c>
      <c r="DE10" s="146">
        <v>2.5000000000000001E-3</v>
      </c>
      <c r="DF10" s="129" t="s">
        <v>209</v>
      </c>
      <c r="DG10" s="129" t="s">
        <v>160</v>
      </c>
      <c r="DH10" s="129" t="s">
        <v>160</v>
      </c>
      <c r="DI10" s="129" t="s">
        <v>160</v>
      </c>
      <c r="DJ10" s="129" t="s">
        <v>160</v>
      </c>
      <c r="DK10" s="145">
        <v>424.29</v>
      </c>
      <c r="DL10" s="129" t="s">
        <v>159</v>
      </c>
      <c r="DM10" s="145" t="s">
        <v>160</v>
      </c>
      <c r="DN10" s="129" t="s">
        <v>210</v>
      </c>
      <c r="DO10" s="129">
        <v>37.765009999999997</v>
      </c>
      <c r="DP10" s="129" t="s">
        <v>160</v>
      </c>
      <c r="DQ10" s="129">
        <v>1.0374000000000017</v>
      </c>
      <c r="DR10" s="129" t="s">
        <v>211</v>
      </c>
      <c r="DS10" s="129" t="s">
        <v>212</v>
      </c>
      <c r="DT10" s="129" t="s">
        <v>213</v>
      </c>
      <c r="DU10" s="129">
        <v>1.0271999999999999</v>
      </c>
      <c r="DV10" s="129" t="s">
        <v>214</v>
      </c>
      <c r="DW10" s="129" t="s">
        <v>214</v>
      </c>
      <c r="DX10" s="129" t="s">
        <v>215</v>
      </c>
      <c r="DY10" s="129" t="s">
        <v>160</v>
      </c>
      <c r="DZ10" s="129" t="s">
        <v>164</v>
      </c>
      <c r="EA10" s="129" t="s">
        <v>216</v>
      </c>
      <c r="EB10" s="129" t="s">
        <v>212</v>
      </c>
      <c r="EC10" s="129" t="s">
        <v>212</v>
      </c>
      <c r="ED10" s="129" t="s">
        <v>212</v>
      </c>
      <c r="EE10" s="129" t="s">
        <v>217</v>
      </c>
      <c r="EF10" s="147" t="s">
        <v>213</v>
      </c>
      <c r="EG10" s="148" t="s">
        <v>213</v>
      </c>
      <c r="EH10" s="129" t="s">
        <v>218</v>
      </c>
      <c r="EI10" s="129" t="s">
        <v>219</v>
      </c>
      <c r="EJ10" s="129" t="s">
        <v>160</v>
      </c>
      <c r="EK10" s="149">
        <v>1594.0939999999998</v>
      </c>
      <c r="EL10" s="129" t="s">
        <v>163</v>
      </c>
      <c r="EM10" s="150">
        <v>500</v>
      </c>
      <c r="EN10" s="150">
        <v>500</v>
      </c>
      <c r="EO10" s="129" t="s">
        <v>160</v>
      </c>
      <c r="EP10" s="129" t="s">
        <v>160</v>
      </c>
      <c r="EQ10" s="129" t="s">
        <v>160</v>
      </c>
      <c r="ER10" s="129" t="s">
        <v>160</v>
      </c>
      <c r="ES10" s="151">
        <v>8.0845830000000003</v>
      </c>
      <c r="ET10" s="142" t="s">
        <v>165</v>
      </c>
      <c r="EU10" s="141">
        <v>8.4828999999999155E-2</v>
      </c>
      <c r="EV10" s="141">
        <v>9.7560000000000535E-2</v>
      </c>
      <c r="EW10" s="142" t="s">
        <v>160</v>
      </c>
      <c r="EX10" s="129" t="s">
        <v>160</v>
      </c>
      <c r="EY10" s="129" t="s">
        <v>160</v>
      </c>
      <c r="EZ10" s="149">
        <v>302.25790000000001</v>
      </c>
      <c r="FA10" s="150">
        <v>133.16409999999996</v>
      </c>
      <c r="FB10" s="150">
        <v>101.42840000000001</v>
      </c>
      <c r="FC10" s="129" t="s">
        <v>220</v>
      </c>
      <c r="FD10" s="129" t="s">
        <v>221</v>
      </c>
      <c r="FE10" s="150">
        <v>1809.9889999999998</v>
      </c>
      <c r="FF10" s="150">
        <v>512.30500000000006</v>
      </c>
      <c r="FG10" s="150">
        <v>508.20199999999977</v>
      </c>
      <c r="FH10" s="129" t="s">
        <v>160</v>
      </c>
      <c r="FI10" s="129" t="s">
        <v>160</v>
      </c>
      <c r="FJ10" s="129" t="s">
        <v>160</v>
      </c>
      <c r="FK10" s="129" t="s">
        <v>160</v>
      </c>
      <c r="FL10" s="129" t="s">
        <v>160</v>
      </c>
      <c r="FM10" s="129" t="s">
        <v>160</v>
      </c>
      <c r="FN10" s="151">
        <v>5.1404940000000003</v>
      </c>
      <c r="FO10" s="141">
        <v>3.0030739999999998</v>
      </c>
      <c r="FP10" s="141">
        <v>2.2242640000000002</v>
      </c>
      <c r="FQ10" s="129" t="s">
        <v>414</v>
      </c>
      <c r="FR10" s="176" t="s">
        <v>160</v>
      </c>
    </row>
    <row r="11" spans="1:191" s="129" customFormat="1" ht="17">
      <c r="A11" s="165" t="s">
        <v>152</v>
      </c>
      <c r="B11" s="166" t="s">
        <v>183</v>
      </c>
      <c r="C11" s="166">
        <v>2018</v>
      </c>
      <c r="D11" s="166" t="s">
        <v>184</v>
      </c>
      <c r="E11" s="177">
        <v>11540</v>
      </c>
      <c r="F11" s="167" t="str">
        <f t="shared" si="0"/>
        <v>NA</v>
      </c>
      <c r="G11" s="167" t="str">
        <f t="shared" si="0"/>
        <v>NA</v>
      </c>
      <c r="H11" s="168">
        <f t="shared" si="3"/>
        <v>353.79200000000003</v>
      </c>
      <c r="I11" s="130">
        <f t="shared" si="1"/>
        <v>132.17349999999999</v>
      </c>
      <c r="J11" s="130">
        <f t="shared" si="1"/>
        <v>107.20690000000005</v>
      </c>
      <c r="K11" s="129" t="s">
        <v>457</v>
      </c>
      <c r="L11" s="131" t="s">
        <v>185</v>
      </c>
      <c r="M11" s="132" t="s">
        <v>186</v>
      </c>
      <c r="N11" s="129" t="s">
        <v>184</v>
      </c>
      <c r="O11" s="133">
        <v>761</v>
      </c>
      <c r="P11" s="129" t="s">
        <v>235</v>
      </c>
      <c r="Q11" s="218">
        <v>5</v>
      </c>
      <c r="R11" s="133">
        <v>2</v>
      </c>
      <c r="S11" s="133">
        <v>83</v>
      </c>
      <c r="T11" s="133">
        <v>85</v>
      </c>
      <c r="U11" s="129" t="s">
        <v>160</v>
      </c>
      <c r="V11" s="171">
        <v>35.53</v>
      </c>
      <c r="W11" s="129" t="s">
        <v>160</v>
      </c>
      <c r="X11" s="129" t="s">
        <v>236</v>
      </c>
      <c r="Y11" s="172">
        <v>-16.736999999999998</v>
      </c>
      <c r="Z11" s="172">
        <v>115.535</v>
      </c>
      <c r="AA11" s="136" t="s">
        <v>160</v>
      </c>
      <c r="AB11" s="136" t="s">
        <v>160</v>
      </c>
      <c r="AC11" s="129">
        <v>-2179</v>
      </c>
      <c r="AD11" s="136" t="s">
        <v>160</v>
      </c>
      <c r="AE11" s="136" t="s">
        <v>160</v>
      </c>
      <c r="AF11" s="129" t="s">
        <v>160</v>
      </c>
      <c r="AG11" s="173">
        <v>11540</v>
      </c>
      <c r="AH11" s="138" t="s">
        <v>160</v>
      </c>
      <c r="AI11" s="129" t="s">
        <v>160</v>
      </c>
      <c r="AJ11" s="138" t="s">
        <v>160</v>
      </c>
      <c r="AK11" s="129" t="s">
        <v>237</v>
      </c>
      <c r="AL11" s="129" t="s">
        <v>238</v>
      </c>
      <c r="AM11" s="140" t="s">
        <v>239</v>
      </c>
      <c r="AN11" s="129" t="s">
        <v>160</v>
      </c>
      <c r="AO11" s="129" t="s">
        <v>160</v>
      </c>
      <c r="AP11" s="129" t="s">
        <v>160</v>
      </c>
      <c r="AQ11" s="129" t="s">
        <v>160</v>
      </c>
      <c r="AR11" s="129" t="s">
        <v>160</v>
      </c>
      <c r="AS11" s="129" t="s">
        <v>160</v>
      </c>
      <c r="AT11" s="129" t="s">
        <v>160</v>
      </c>
      <c r="AU11" s="129" t="s">
        <v>191</v>
      </c>
      <c r="AV11" s="129" t="s">
        <v>161</v>
      </c>
      <c r="AW11" s="129" t="s">
        <v>192</v>
      </c>
      <c r="AX11" s="129" t="s">
        <v>193</v>
      </c>
      <c r="AY11" s="129" t="s">
        <v>194</v>
      </c>
      <c r="AZ11" s="129" t="s">
        <v>195</v>
      </c>
      <c r="BA11" s="129" t="s">
        <v>196</v>
      </c>
      <c r="BB11" s="129" t="s">
        <v>240</v>
      </c>
      <c r="BC11" s="140">
        <v>2</v>
      </c>
      <c r="BD11" s="129" t="s">
        <v>241</v>
      </c>
      <c r="BE11" s="173">
        <v>16.691224461114373</v>
      </c>
      <c r="BF11" s="129" t="s">
        <v>199</v>
      </c>
      <c r="BG11" s="173">
        <v>0.44789643765093345</v>
      </c>
      <c r="BH11" s="129">
        <v>0.83299999999999996</v>
      </c>
      <c r="BI11" s="129" t="s">
        <v>160</v>
      </c>
      <c r="BJ11" s="138" t="s">
        <v>160</v>
      </c>
      <c r="BK11" s="129">
        <v>2.69</v>
      </c>
      <c r="BL11" s="129" t="s">
        <v>160</v>
      </c>
      <c r="BM11" s="129" t="s">
        <v>160</v>
      </c>
      <c r="BN11" s="129" t="s">
        <v>200</v>
      </c>
      <c r="BO11" s="129" t="s">
        <v>201</v>
      </c>
      <c r="BP11" s="141">
        <v>16.808192630389406</v>
      </c>
      <c r="BQ11" s="129" t="s">
        <v>202</v>
      </c>
      <c r="BR11" s="142">
        <f t="shared" si="2"/>
        <v>0.44789643765093345</v>
      </c>
      <c r="BS11" s="129" t="s">
        <v>160</v>
      </c>
      <c r="BT11" s="129" t="s">
        <v>160</v>
      </c>
      <c r="BU11" s="129">
        <v>10</v>
      </c>
      <c r="BV11" s="129" t="s">
        <v>159</v>
      </c>
      <c r="BW11" s="129">
        <v>10</v>
      </c>
      <c r="BX11" s="143">
        <v>23.840593288710807</v>
      </c>
      <c r="BY11" s="129" t="s">
        <v>159</v>
      </c>
      <c r="BZ11" s="129">
        <v>1</v>
      </c>
      <c r="CA11" s="129">
        <v>1</v>
      </c>
      <c r="CB11" s="129" t="s">
        <v>160</v>
      </c>
      <c r="CC11" s="173">
        <v>3.64</v>
      </c>
      <c r="CD11" s="129" t="s">
        <v>163</v>
      </c>
      <c r="CE11" s="144">
        <f t="shared" si="4"/>
        <v>9.8280000000000006E-2</v>
      </c>
      <c r="CF11" s="144">
        <f t="shared" si="5"/>
        <v>9.8280000000000006E-2</v>
      </c>
      <c r="CG11" s="145" t="s">
        <v>203</v>
      </c>
      <c r="CH11" s="129" t="s">
        <v>204</v>
      </c>
      <c r="CI11" s="129" t="s">
        <v>205</v>
      </c>
      <c r="CJ11" s="129" t="s">
        <v>206</v>
      </c>
      <c r="CK11" s="129" t="s">
        <v>158</v>
      </c>
      <c r="CL11" s="129" t="s">
        <v>158</v>
      </c>
      <c r="CM11" s="129" t="s">
        <v>158</v>
      </c>
      <c r="CN11" s="129" t="s">
        <v>160</v>
      </c>
      <c r="CO11" s="129" t="s">
        <v>160</v>
      </c>
      <c r="CP11" s="129" t="s">
        <v>160</v>
      </c>
      <c r="CQ11" s="129" t="s">
        <v>160</v>
      </c>
      <c r="CR11" s="129" t="s">
        <v>160</v>
      </c>
      <c r="CS11" s="129" t="s">
        <v>160</v>
      </c>
      <c r="CT11" s="129" t="s">
        <v>160</v>
      </c>
      <c r="CU11" s="129">
        <v>34.67</v>
      </c>
      <c r="CV11" s="129" t="s">
        <v>159</v>
      </c>
      <c r="CW11" s="146">
        <v>1</v>
      </c>
      <c r="CX11" s="129" t="s">
        <v>207</v>
      </c>
      <c r="CY11" s="129">
        <v>1.2583608384301E-2</v>
      </c>
      <c r="CZ11" s="129" t="s">
        <v>159</v>
      </c>
      <c r="DA11" s="146">
        <v>2.5000000000000001E-3</v>
      </c>
      <c r="DB11" s="129" t="s">
        <v>208</v>
      </c>
      <c r="DC11" s="129">
        <v>4.8608372983918999E-2</v>
      </c>
      <c r="DD11" s="129" t="s">
        <v>159</v>
      </c>
      <c r="DE11" s="146">
        <v>2.5000000000000001E-3</v>
      </c>
      <c r="DF11" s="129" t="s">
        <v>209</v>
      </c>
      <c r="DG11" s="129" t="s">
        <v>160</v>
      </c>
      <c r="DH11" s="129" t="s">
        <v>160</v>
      </c>
      <c r="DI11" s="129" t="s">
        <v>160</v>
      </c>
      <c r="DJ11" s="129" t="s">
        <v>160</v>
      </c>
      <c r="DK11" s="145">
        <v>424.29</v>
      </c>
      <c r="DL11" s="129" t="s">
        <v>159</v>
      </c>
      <c r="DM11" s="145" t="s">
        <v>160</v>
      </c>
      <c r="DN11" s="129" t="s">
        <v>210</v>
      </c>
      <c r="DO11" s="129">
        <v>38.080719999999999</v>
      </c>
      <c r="DP11" s="129" t="s">
        <v>160</v>
      </c>
      <c r="DQ11" s="129">
        <v>0.71037499999999909</v>
      </c>
      <c r="DR11" s="129" t="s">
        <v>211</v>
      </c>
      <c r="DS11" s="129" t="s">
        <v>212</v>
      </c>
      <c r="DT11" s="129" t="s">
        <v>213</v>
      </c>
      <c r="DU11" s="129">
        <v>1.0271999999999999</v>
      </c>
      <c r="DV11" s="129" t="s">
        <v>214</v>
      </c>
      <c r="DW11" s="129" t="s">
        <v>214</v>
      </c>
      <c r="DX11" s="129" t="s">
        <v>215</v>
      </c>
      <c r="DY11" s="129" t="s">
        <v>160</v>
      </c>
      <c r="DZ11" s="129" t="s">
        <v>164</v>
      </c>
      <c r="EA11" s="129" t="s">
        <v>216</v>
      </c>
      <c r="EB11" s="129" t="s">
        <v>212</v>
      </c>
      <c r="EC11" s="129" t="s">
        <v>212</v>
      </c>
      <c r="ED11" s="129" t="s">
        <v>212</v>
      </c>
      <c r="EE11" s="129" t="s">
        <v>217</v>
      </c>
      <c r="EF11" s="147" t="s">
        <v>213</v>
      </c>
      <c r="EG11" s="148" t="s">
        <v>213</v>
      </c>
      <c r="EH11" s="129" t="s">
        <v>218</v>
      </c>
      <c r="EI11" s="129" t="s">
        <v>219</v>
      </c>
      <c r="EJ11" s="129" t="s">
        <v>160</v>
      </c>
      <c r="EK11" s="149">
        <v>1782.9770000000001</v>
      </c>
      <c r="EL11" s="129" t="s">
        <v>163</v>
      </c>
      <c r="EM11" s="150">
        <v>500</v>
      </c>
      <c r="EN11" s="150">
        <v>500</v>
      </c>
      <c r="EO11" s="129" t="s">
        <v>160</v>
      </c>
      <c r="EP11" s="129" t="s">
        <v>160</v>
      </c>
      <c r="EQ11" s="129" t="s">
        <v>160</v>
      </c>
      <c r="ER11" s="129" t="s">
        <v>160</v>
      </c>
      <c r="ES11" s="151">
        <v>8.0604040000000001</v>
      </c>
      <c r="ET11" s="142" t="s">
        <v>165</v>
      </c>
      <c r="EU11" s="141">
        <v>7.5587999999999766E-2</v>
      </c>
      <c r="EV11" s="141">
        <v>8.3123999999999754E-2</v>
      </c>
      <c r="EW11" s="142" t="s">
        <v>160</v>
      </c>
      <c r="EX11" s="129" t="s">
        <v>160</v>
      </c>
      <c r="EY11" s="129" t="s">
        <v>160</v>
      </c>
      <c r="EZ11" s="149">
        <v>353.79200000000003</v>
      </c>
      <c r="FA11" s="150">
        <v>132.17349999999999</v>
      </c>
      <c r="FB11" s="150">
        <v>107.20690000000005</v>
      </c>
      <c r="FC11" s="129" t="s">
        <v>220</v>
      </c>
      <c r="FD11" s="129" t="s">
        <v>221</v>
      </c>
      <c r="FE11" s="150">
        <v>1976.4159999999999</v>
      </c>
      <c r="FF11" s="150">
        <v>503.36899999999991</v>
      </c>
      <c r="FG11" s="150">
        <v>505.45699999999988</v>
      </c>
      <c r="FH11" s="129" t="s">
        <v>160</v>
      </c>
      <c r="FI11" s="129" t="s">
        <v>160</v>
      </c>
      <c r="FJ11" s="129" t="s">
        <v>160</v>
      </c>
      <c r="FK11" s="129" t="s">
        <v>160</v>
      </c>
      <c r="FL11" s="129" t="s">
        <v>160</v>
      </c>
      <c r="FM11" s="129" t="s">
        <v>160</v>
      </c>
      <c r="FN11" s="151">
        <v>4.222588</v>
      </c>
      <c r="FO11" s="141">
        <v>2.4499000000000004</v>
      </c>
      <c r="FP11" s="141">
        <v>1.880363</v>
      </c>
      <c r="FQ11" s="129" t="s">
        <v>414</v>
      </c>
      <c r="FR11" s="176" t="s">
        <v>160</v>
      </c>
    </row>
    <row r="12" spans="1:191" s="129" customFormat="1" ht="17">
      <c r="A12" s="165" t="s">
        <v>152</v>
      </c>
      <c r="B12" s="166" t="s">
        <v>183</v>
      </c>
      <c r="C12" s="166">
        <v>2018</v>
      </c>
      <c r="D12" s="166" t="s">
        <v>184</v>
      </c>
      <c r="E12" s="177">
        <v>12100</v>
      </c>
      <c r="F12" s="167" t="str">
        <f t="shared" si="0"/>
        <v>NA</v>
      </c>
      <c r="G12" s="167" t="str">
        <f t="shared" si="0"/>
        <v>NA</v>
      </c>
      <c r="H12" s="168">
        <f t="shared" si="3"/>
        <v>348.00709999999998</v>
      </c>
      <c r="I12" s="130">
        <f t="shared" si="1"/>
        <v>125.71570000000003</v>
      </c>
      <c r="J12" s="130">
        <f t="shared" si="1"/>
        <v>102.85109999999997</v>
      </c>
      <c r="K12" s="129" t="s">
        <v>457</v>
      </c>
      <c r="L12" s="131" t="s">
        <v>185</v>
      </c>
      <c r="M12" s="132" t="s">
        <v>186</v>
      </c>
      <c r="N12" s="129" t="s">
        <v>184</v>
      </c>
      <c r="O12" s="133">
        <v>761</v>
      </c>
      <c r="P12" s="129" t="s">
        <v>235</v>
      </c>
      <c r="Q12" s="133">
        <v>5</v>
      </c>
      <c r="R12" s="133">
        <v>3</v>
      </c>
      <c r="S12" s="133">
        <v>83</v>
      </c>
      <c r="T12" s="133">
        <v>85</v>
      </c>
      <c r="U12" s="129" t="s">
        <v>160</v>
      </c>
      <c r="V12" s="171">
        <v>37.07</v>
      </c>
      <c r="W12" s="129" t="s">
        <v>160</v>
      </c>
      <c r="X12" s="129" t="s">
        <v>236</v>
      </c>
      <c r="Y12" s="172">
        <v>-16.736999999999998</v>
      </c>
      <c r="Z12" s="172">
        <v>115.535</v>
      </c>
      <c r="AA12" s="136" t="s">
        <v>160</v>
      </c>
      <c r="AB12" s="136" t="s">
        <v>160</v>
      </c>
      <c r="AC12" s="129">
        <v>-2179</v>
      </c>
      <c r="AD12" s="136" t="s">
        <v>160</v>
      </c>
      <c r="AE12" s="136" t="s">
        <v>160</v>
      </c>
      <c r="AF12" s="129" t="s">
        <v>160</v>
      </c>
      <c r="AG12" s="173">
        <v>12100</v>
      </c>
      <c r="AH12" s="138" t="s">
        <v>160</v>
      </c>
      <c r="AI12" s="129" t="s">
        <v>160</v>
      </c>
      <c r="AJ12" s="138" t="s">
        <v>160</v>
      </c>
      <c r="AK12" s="129" t="s">
        <v>237</v>
      </c>
      <c r="AL12" s="129" t="s">
        <v>238</v>
      </c>
      <c r="AM12" s="140" t="s">
        <v>239</v>
      </c>
      <c r="AN12" s="129" t="s">
        <v>160</v>
      </c>
      <c r="AO12" s="129" t="s">
        <v>160</v>
      </c>
      <c r="AP12" s="129" t="s">
        <v>160</v>
      </c>
      <c r="AQ12" s="129" t="s">
        <v>160</v>
      </c>
      <c r="AR12" s="129" t="s">
        <v>160</v>
      </c>
      <c r="AS12" s="129" t="s">
        <v>160</v>
      </c>
      <c r="AT12" s="129" t="s">
        <v>160</v>
      </c>
      <c r="AU12" s="129" t="s">
        <v>191</v>
      </c>
      <c r="AV12" s="129" t="s">
        <v>161</v>
      </c>
      <c r="AW12" s="129" t="s">
        <v>192</v>
      </c>
      <c r="AX12" s="129" t="s">
        <v>193</v>
      </c>
      <c r="AY12" s="129" t="s">
        <v>194</v>
      </c>
      <c r="AZ12" s="129" t="s">
        <v>195</v>
      </c>
      <c r="BA12" s="129" t="s">
        <v>196</v>
      </c>
      <c r="BB12" s="129" t="s">
        <v>242</v>
      </c>
      <c r="BC12" s="140">
        <v>2</v>
      </c>
      <c r="BD12" s="129" t="s">
        <v>241</v>
      </c>
      <c r="BE12" s="173">
        <v>16.909456014034262</v>
      </c>
      <c r="BF12" s="129" t="s">
        <v>199</v>
      </c>
      <c r="BG12" s="173">
        <v>0.44847917186565023</v>
      </c>
      <c r="BH12" s="129">
        <v>0.83299999999999996</v>
      </c>
      <c r="BI12" s="129" t="s">
        <v>160</v>
      </c>
      <c r="BJ12" s="138" t="s">
        <v>160</v>
      </c>
      <c r="BK12" s="129">
        <v>2.69</v>
      </c>
      <c r="BL12" s="129" t="s">
        <v>160</v>
      </c>
      <c r="BM12" s="129" t="s">
        <v>160</v>
      </c>
      <c r="BN12" s="129" t="s">
        <v>200</v>
      </c>
      <c r="BO12" s="129" t="s">
        <v>201</v>
      </c>
      <c r="BP12" s="141">
        <v>17.070175286955898</v>
      </c>
      <c r="BQ12" s="129" t="s">
        <v>202</v>
      </c>
      <c r="BR12" s="142">
        <f t="shared" si="2"/>
        <v>0.44847917186565023</v>
      </c>
      <c r="BS12" s="129" t="s">
        <v>160</v>
      </c>
      <c r="BT12" s="129" t="s">
        <v>160</v>
      </c>
      <c r="BU12" s="129">
        <v>10</v>
      </c>
      <c r="BV12" s="129" t="s">
        <v>159</v>
      </c>
      <c r="BW12" s="129">
        <v>10</v>
      </c>
      <c r="BX12" s="143">
        <v>25.313769618053652</v>
      </c>
      <c r="BY12" s="129" t="s">
        <v>159</v>
      </c>
      <c r="BZ12" s="129">
        <v>1</v>
      </c>
      <c r="CA12" s="129">
        <v>1</v>
      </c>
      <c r="CB12" s="129" t="s">
        <v>160</v>
      </c>
      <c r="CC12" s="173">
        <v>4.18</v>
      </c>
      <c r="CD12" s="129" t="s">
        <v>163</v>
      </c>
      <c r="CE12" s="144">
        <f t="shared" si="4"/>
        <v>0.11285999999999999</v>
      </c>
      <c r="CF12" s="144">
        <f t="shared" si="5"/>
        <v>0.11285999999999999</v>
      </c>
      <c r="CG12" s="145" t="s">
        <v>203</v>
      </c>
      <c r="CH12" s="129" t="s">
        <v>204</v>
      </c>
      <c r="CI12" s="129" t="s">
        <v>205</v>
      </c>
      <c r="CJ12" s="129" t="s">
        <v>206</v>
      </c>
      <c r="CK12" s="129" t="s">
        <v>158</v>
      </c>
      <c r="CL12" s="129" t="s">
        <v>158</v>
      </c>
      <c r="CM12" s="129" t="s">
        <v>158</v>
      </c>
      <c r="CN12" s="129" t="s">
        <v>160</v>
      </c>
      <c r="CO12" s="129" t="s">
        <v>160</v>
      </c>
      <c r="CP12" s="129" t="s">
        <v>160</v>
      </c>
      <c r="CQ12" s="129" t="s">
        <v>160</v>
      </c>
      <c r="CR12" s="129" t="s">
        <v>160</v>
      </c>
      <c r="CS12" s="129" t="s">
        <v>160</v>
      </c>
      <c r="CT12" s="129" t="s">
        <v>160</v>
      </c>
      <c r="CU12" s="129">
        <v>34.67</v>
      </c>
      <c r="CV12" s="129" t="s">
        <v>159</v>
      </c>
      <c r="CW12" s="146">
        <v>1</v>
      </c>
      <c r="CX12" s="129" t="s">
        <v>207</v>
      </c>
      <c r="CY12" s="129">
        <v>1.2679745721505001E-2</v>
      </c>
      <c r="CZ12" s="129" t="s">
        <v>159</v>
      </c>
      <c r="DA12" s="146">
        <v>2.5000000000000001E-3</v>
      </c>
      <c r="DB12" s="129" t="s">
        <v>208</v>
      </c>
      <c r="DC12" s="129">
        <v>4.8298597119594999E-2</v>
      </c>
      <c r="DD12" s="129" t="s">
        <v>159</v>
      </c>
      <c r="DE12" s="146">
        <v>2.5000000000000001E-3</v>
      </c>
      <c r="DF12" s="129" t="s">
        <v>209</v>
      </c>
      <c r="DG12" s="129" t="s">
        <v>160</v>
      </c>
      <c r="DH12" s="129" t="s">
        <v>160</v>
      </c>
      <c r="DI12" s="129" t="s">
        <v>160</v>
      </c>
      <c r="DJ12" s="129" t="s">
        <v>160</v>
      </c>
      <c r="DK12" s="145">
        <v>424.29</v>
      </c>
      <c r="DL12" s="129" t="s">
        <v>159</v>
      </c>
      <c r="DM12" s="145" t="s">
        <v>160</v>
      </c>
      <c r="DN12" s="129" t="s">
        <v>210</v>
      </c>
      <c r="DO12" s="129">
        <v>38.030990000000003</v>
      </c>
      <c r="DP12" s="129" t="s">
        <v>160</v>
      </c>
      <c r="DQ12" s="129">
        <v>0.70501999999999754</v>
      </c>
      <c r="DR12" s="129" t="s">
        <v>211</v>
      </c>
      <c r="DS12" s="129" t="s">
        <v>212</v>
      </c>
      <c r="DT12" s="129" t="s">
        <v>213</v>
      </c>
      <c r="DU12" s="129">
        <v>1.0271999999999999</v>
      </c>
      <c r="DV12" s="129" t="s">
        <v>214</v>
      </c>
      <c r="DW12" s="129" t="s">
        <v>214</v>
      </c>
      <c r="DX12" s="129" t="s">
        <v>215</v>
      </c>
      <c r="DY12" s="129" t="s">
        <v>160</v>
      </c>
      <c r="DZ12" s="129" t="s">
        <v>164</v>
      </c>
      <c r="EA12" s="129" t="s">
        <v>216</v>
      </c>
      <c r="EB12" s="129" t="s">
        <v>212</v>
      </c>
      <c r="EC12" s="129" t="s">
        <v>212</v>
      </c>
      <c r="ED12" s="129" t="s">
        <v>212</v>
      </c>
      <c r="EE12" s="129" t="s">
        <v>217</v>
      </c>
      <c r="EF12" s="147" t="s">
        <v>213</v>
      </c>
      <c r="EG12" s="148" t="s">
        <v>213</v>
      </c>
      <c r="EH12" s="129" t="s">
        <v>218</v>
      </c>
      <c r="EI12" s="129" t="s">
        <v>219</v>
      </c>
      <c r="EJ12" s="129" t="s">
        <v>160</v>
      </c>
      <c r="EK12" s="149">
        <v>1774.32</v>
      </c>
      <c r="EL12" s="129" t="s">
        <v>163</v>
      </c>
      <c r="EM12" s="150">
        <v>500</v>
      </c>
      <c r="EN12" s="150">
        <v>500</v>
      </c>
      <c r="EO12" s="129" t="s">
        <v>160</v>
      </c>
      <c r="EP12" s="129" t="s">
        <v>160</v>
      </c>
      <c r="EQ12" s="129" t="s">
        <v>160</v>
      </c>
      <c r="ER12" s="129" t="s">
        <v>160</v>
      </c>
      <c r="ES12" s="151">
        <v>8.0686900000000001</v>
      </c>
      <c r="ET12" s="142" t="s">
        <v>165</v>
      </c>
      <c r="EU12" s="141">
        <v>7.2165999999999286E-2</v>
      </c>
      <c r="EV12" s="141">
        <v>8.0887999999999849E-2</v>
      </c>
      <c r="EW12" s="142" t="s">
        <v>160</v>
      </c>
      <c r="EX12" s="129" t="s">
        <v>160</v>
      </c>
      <c r="EY12" s="129" t="s">
        <v>160</v>
      </c>
      <c r="EZ12" s="149">
        <v>348.00709999999998</v>
      </c>
      <c r="FA12" s="150">
        <v>125.71570000000003</v>
      </c>
      <c r="FB12" s="150">
        <v>102.85109999999997</v>
      </c>
      <c r="FC12" s="129" t="s">
        <v>220</v>
      </c>
      <c r="FD12" s="129" t="s">
        <v>221</v>
      </c>
      <c r="FE12" s="150">
        <v>1981.731</v>
      </c>
      <c r="FF12" s="150">
        <v>516.77399999999966</v>
      </c>
      <c r="FG12" s="150">
        <v>501.41300000000001</v>
      </c>
      <c r="FH12" s="129" t="s">
        <v>160</v>
      </c>
      <c r="FI12" s="129" t="s">
        <v>160</v>
      </c>
      <c r="FJ12" s="129" t="s">
        <v>160</v>
      </c>
      <c r="FK12" s="129" t="s">
        <v>160</v>
      </c>
      <c r="FL12" s="129" t="s">
        <v>160</v>
      </c>
      <c r="FM12" s="129" t="s">
        <v>160</v>
      </c>
      <c r="FN12" s="151">
        <v>4.5730829999999996</v>
      </c>
      <c r="FO12" s="141">
        <v>2.6535320000000002</v>
      </c>
      <c r="FP12" s="141">
        <v>1.9944829999999998</v>
      </c>
      <c r="FQ12" s="129" t="s">
        <v>414</v>
      </c>
      <c r="FR12" s="176" t="s">
        <v>160</v>
      </c>
    </row>
    <row r="13" spans="1:191" s="129" customFormat="1" ht="17">
      <c r="A13" s="165" t="s">
        <v>152</v>
      </c>
      <c r="B13" s="166" t="s">
        <v>183</v>
      </c>
      <c r="C13" s="166">
        <v>2018</v>
      </c>
      <c r="D13" s="166" t="s">
        <v>184</v>
      </c>
      <c r="E13" s="177">
        <v>12520</v>
      </c>
      <c r="F13" s="167" t="str">
        <f t="shared" si="0"/>
        <v>NA</v>
      </c>
      <c r="G13" s="167" t="str">
        <f t="shared" si="0"/>
        <v>NA</v>
      </c>
      <c r="H13" s="168">
        <f t="shared" si="3"/>
        <v>298.99309999999997</v>
      </c>
      <c r="I13" s="130">
        <f t="shared" si="1"/>
        <v>132.18260000000004</v>
      </c>
      <c r="J13" s="130">
        <f t="shared" si="1"/>
        <v>98.523699999999963</v>
      </c>
      <c r="K13" s="129" t="s">
        <v>457</v>
      </c>
      <c r="L13" s="131" t="s">
        <v>185</v>
      </c>
      <c r="M13" s="132" t="s">
        <v>186</v>
      </c>
      <c r="N13" s="129" t="s">
        <v>184</v>
      </c>
      <c r="O13" s="133">
        <v>761</v>
      </c>
      <c r="P13" s="129" t="s">
        <v>235</v>
      </c>
      <c r="Q13" s="133">
        <v>5</v>
      </c>
      <c r="R13" s="133">
        <v>4</v>
      </c>
      <c r="S13" s="133">
        <v>53</v>
      </c>
      <c r="T13" s="133">
        <v>55</v>
      </c>
      <c r="U13" s="129" t="s">
        <v>160</v>
      </c>
      <c r="V13" s="171">
        <v>38.229999999999997</v>
      </c>
      <c r="W13" s="129" t="s">
        <v>160</v>
      </c>
      <c r="X13" s="129" t="s">
        <v>236</v>
      </c>
      <c r="Y13" s="172">
        <v>-16.736999999999998</v>
      </c>
      <c r="Z13" s="172">
        <v>115.535</v>
      </c>
      <c r="AA13" s="136" t="s">
        <v>160</v>
      </c>
      <c r="AB13" s="136" t="s">
        <v>160</v>
      </c>
      <c r="AC13" s="129">
        <v>-2179</v>
      </c>
      <c r="AD13" s="136" t="s">
        <v>160</v>
      </c>
      <c r="AE13" s="136" t="s">
        <v>160</v>
      </c>
      <c r="AF13" s="129" t="s">
        <v>160</v>
      </c>
      <c r="AG13" s="173">
        <v>12520</v>
      </c>
      <c r="AH13" s="138" t="s">
        <v>160</v>
      </c>
      <c r="AI13" s="129" t="s">
        <v>160</v>
      </c>
      <c r="AJ13" s="138" t="s">
        <v>160</v>
      </c>
      <c r="AK13" s="129" t="s">
        <v>237</v>
      </c>
      <c r="AL13" s="129" t="s">
        <v>238</v>
      </c>
      <c r="AM13" s="140" t="s">
        <v>239</v>
      </c>
      <c r="AN13" s="129" t="s">
        <v>160</v>
      </c>
      <c r="AO13" s="129" t="s">
        <v>160</v>
      </c>
      <c r="AP13" s="129" t="s">
        <v>160</v>
      </c>
      <c r="AQ13" s="129" t="s">
        <v>160</v>
      </c>
      <c r="AR13" s="129" t="s">
        <v>160</v>
      </c>
      <c r="AS13" s="129" t="s">
        <v>160</v>
      </c>
      <c r="AT13" s="129" t="s">
        <v>160</v>
      </c>
      <c r="AU13" s="129" t="s">
        <v>191</v>
      </c>
      <c r="AV13" s="129" t="s">
        <v>161</v>
      </c>
      <c r="AW13" s="129" t="s">
        <v>192</v>
      </c>
      <c r="AX13" s="129" t="s">
        <v>193</v>
      </c>
      <c r="AY13" s="129" t="s">
        <v>194</v>
      </c>
      <c r="AZ13" s="129" t="s">
        <v>195</v>
      </c>
      <c r="BA13" s="129" t="s">
        <v>196</v>
      </c>
      <c r="BB13" s="129" t="s">
        <v>243</v>
      </c>
      <c r="BC13" s="140">
        <v>2</v>
      </c>
      <c r="BD13" s="129" t="s">
        <v>244</v>
      </c>
      <c r="BE13" s="173">
        <v>17.391745060645782</v>
      </c>
      <c r="BF13" s="129" t="s">
        <v>199</v>
      </c>
      <c r="BG13" s="173">
        <v>1.0102224754361557</v>
      </c>
      <c r="BH13" s="129">
        <v>0.83299999999999996</v>
      </c>
      <c r="BI13" s="129" t="s">
        <v>160</v>
      </c>
      <c r="BJ13" s="138" t="s">
        <v>160</v>
      </c>
      <c r="BK13" s="129">
        <v>2.69</v>
      </c>
      <c r="BL13" s="129" t="s">
        <v>160</v>
      </c>
      <c r="BM13" s="129" t="s">
        <v>160</v>
      </c>
      <c r="BN13" s="129" t="s">
        <v>200</v>
      </c>
      <c r="BO13" s="129" t="s">
        <v>201</v>
      </c>
      <c r="BP13" s="141">
        <v>17.649153734268648</v>
      </c>
      <c r="BQ13" s="129" t="s">
        <v>202</v>
      </c>
      <c r="BR13" s="142">
        <f t="shared" si="2"/>
        <v>1.0102224754361557</v>
      </c>
      <c r="BS13" s="129" t="s">
        <v>160</v>
      </c>
      <c r="BT13" s="129" t="s">
        <v>160</v>
      </c>
      <c r="BU13" s="129">
        <v>10</v>
      </c>
      <c r="BV13" s="129" t="s">
        <v>159</v>
      </c>
      <c r="BW13" s="129">
        <v>10</v>
      </c>
      <c r="BX13" s="143">
        <v>24.523832638468349</v>
      </c>
      <c r="BY13" s="129" t="s">
        <v>159</v>
      </c>
      <c r="BZ13" s="129">
        <v>1</v>
      </c>
      <c r="CA13" s="129">
        <v>1</v>
      </c>
      <c r="CB13" s="129" t="s">
        <v>160</v>
      </c>
      <c r="CC13" s="173">
        <v>3.91</v>
      </c>
      <c r="CD13" s="129" t="s">
        <v>163</v>
      </c>
      <c r="CE13" s="144">
        <f t="shared" si="4"/>
        <v>0.10557</v>
      </c>
      <c r="CF13" s="144">
        <f t="shared" si="5"/>
        <v>0.10557</v>
      </c>
      <c r="CG13" s="145" t="s">
        <v>203</v>
      </c>
      <c r="CH13" s="129" t="s">
        <v>204</v>
      </c>
      <c r="CI13" s="129" t="s">
        <v>205</v>
      </c>
      <c r="CJ13" s="129" t="s">
        <v>206</v>
      </c>
      <c r="CK13" s="129" t="s">
        <v>158</v>
      </c>
      <c r="CL13" s="129" t="s">
        <v>158</v>
      </c>
      <c r="CM13" s="129" t="s">
        <v>158</v>
      </c>
      <c r="CN13" s="129" t="s">
        <v>160</v>
      </c>
      <c r="CO13" s="129" t="s">
        <v>160</v>
      </c>
      <c r="CP13" s="129" t="s">
        <v>160</v>
      </c>
      <c r="CQ13" s="129" t="s">
        <v>160</v>
      </c>
      <c r="CR13" s="129" t="s">
        <v>160</v>
      </c>
      <c r="CS13" s="129" t="s">
        <v>160</v>
      </c>
      <c r="CT13" s="129" t="s">
        <v>160</v>
      </c>
      <c r="CU13" s="129">
        <v>34.67</v>
      </c>
      <c r="CV13" s="129" t="s">
        <v>159</v>
      </c>
      <c r="CW13" s="146">
        <v>1</v>
      </c>
      <c r="CX13" s="129" t="s">
        <v>207</v>
      </c>
      <c r="CY13" s="129">
        <v>1.2752160858709E-2</v>
      </c>
      <c r="CZ13" s="129" t="s">
        <v>159</v>
      </c>
      <c r="DA13" s="146">
        <v>2.5000000000000001E-3</v>
      </c>
      <c r="DB13" s="129" t="s">
        <v>208</v>
      </c>
      <c r="DC13" s="129">
        <v>4.8065259455271007E-2</v>
      </c>
      <c r="DD13" s="129" t="s">
        <v>159</v>
      </c>
      <c r="DE13" s="146">
        <v>2.5000000000000001E-3</v>
      </c>
      <c r="DF13" s="129" t="s">
        <v>209</v>
      </c>
      <c r="DG13" s="129" t="s">
        <v>160</v>
      </c>
      <c r="DH13" s="129" t="s">
        <v>160</v>
      </c>
      <c r="DI13" s="129" t="s">
        <v>160</v>
      </c>
      <c r="DJ13" s="129" t="s">
        <v>160</v>
      </c>
      <c r="DK13" s="145">
        <v>424.29</v>
      </c>
      <c r="DL13" s="129" t="s">
        <v>159</v>
      </c>
      <c r="DM13" s="145" t="s">
        <v>160</v>
      </c>
      <c r="DN13" s="129" t="s">
        <v>210</v>
      </c>
      <c r="DO13" s="129">
        <v>38.017119999999998</v>
      </c>
      <c r="DP13" s="129" t="s">
        <v>160</v>
      </c>
      <c r="DQ13" s="129">
        <v>0.70819499999999991</v>
      </c>
      <c r="DR13" s="129" t="s">
        <v>211</v>
      </c>
      <c r="DS13" s="129" t="s">
        <v>212</v>
      </c>
      <c r="DT13" s="129" t="s">
        <v>213</v>
      </c>
      <c r="DU13" s="129">
        <v>1.0271999999999999</v>
      </c>
      <c r="DV13" s="129" t="s">
        <v>214</v>
      </c>
      <c r="DW13" s="129" t="s">
        <v>214</v>
      </c>
      <c r="DX13" s="129" t="s">
        <v>215</v>
      </c>
      <c r="DY13" s="129" t="s">
        <v>160</v>
      </c>
      <c r="DZ13" s="129" t="s">
        <v>164</v>
      </c>
      <c r="EA13" s="129" t="s">
        <v>216</v>
      </c>
      <c r="EB13" s="129" t="s">
        <v>212</v>
      </c>
      <c r="EC13" s="129" t="s">
        <v>212</v>
      </c>
      <c r="ED13" s="129" t="s">
        <v>212</v>
      </c>
      <c r="EE13" s="129" t="s">
        <v>217</v>
      </c>
      <c r="EF13" s="147" t="s">
        <v>213</v>
      </c>
      <c r="EG13" s="148" t="s">
        <v>213</v>
      </c>
      <c r="EH13" s="129" t="s">
        <v>218</v>
      </c>
      <c r="EI13" s="129" t="s">
        <v>219</v>
      </c>
      <c r="EJ13" s="129" t="s">
        <v>160</v>
      </c>
      <c r="EK13" s="149">
        <v>1763.3410000000001</v>
      </c>
      <c r="EL13" s="129" t="s">
        <v>163</v>
      </c>
      <c r="EM13" s="150">
        <v>500</v>
      </c>
      <c r="EN13" s="150">
        <v>500</v>
      </c>
      <c r="EO13" s="129" t="s">
        <v>160</v>
      </c>
      <c r="EP13" s="129" t="s">
        <v>160</v>
      </c>
      <c r="EQ13" s="129" t="s">
        <v>160</v>
      </c>
      <c r="ER13" s="129" t="s">
        <v>160</v>
      </c>
      <c r="ES13" s="151">
        <v>8.1262810000000005</v>
      </c>
      <c r="ET13" s="142" t="s">
        <v>165</v>
      </c>
      <c r="EU13" s="141">
        <v>0.10073599999999949</v>
      </c>
      <c r="EV13" s="141">
        <v>0.10568700000000142</v>
      </c>
      <c r="EW13" s="142" t="s">
        <v>160</v>
      </c>
      <c r="EX13" s="129" t="s">
        <v>160</v>
      </c>
      <c r="EY13" s="129" t="s">
        <v>160</v>
      </c>
      <c r="EZ13" s="149">
        <v>298.99309999999997</v>
      </c>
      <c r="FA13" s="150">
        <v>132.18260000000004</v>
      </c>
      <c r="FB13" s="150">
        <v>98.523699999999963</v>
      </c>
      <c r="FC13" s="129" t="s">
        <v>220</v>
      </c>
      <c r="FD13" s="129" t="s">
        <v>221</v>
      </c>
      <c r="FE13" s="150">
        <v>1991.2710000000002</v>
      </c>
      <c r="FF13" s="150">
        <v>515.15599999999949</v>
      </c>
      <c r="FG13" s="150">
        <v>501.41300000000024</v>
      </c>
      <c r="FH13" s="129" t="s">
        <v>160</v>
      </c>
      <c r="FI13" s="129" t="s">
        <v>160</v>
      </c>
      <c r="FJ13" s="129" t="s">
        <v>160</v>
      </c>
      <c r="FK13" s="129" t="s">
        <v>160</v>
      </c>
      <c r="FL13" s="129" t="s">
        <v>160</v>
      </c>
      <c r="FM13" s="129" t="s">
        <v>160</v>
      </c>
      <c r="FN13" s="151">
        <v>5.0541929999999997</v>
      </c>
      <c r="FO13" s="141">
        <v>3.1190100000000012</v>
      </c>
      <c r="FP13" s="141">
        <v>2.2937089999999998</v>
      </c>
      <c r="FQ13" s="129" t="s">
        <v>414</v>
      </c>
      <c r="FR13" s="176" t="s">
        <v>160</v>
      </c>
    </row>
    <row r="14" spans="1:191" s="129" customFormat="1" ht="19" customHeight="1">
      <c r="A14" s="165" t="s">
        <v>152</v>
      </c>
      <c r="B14" s="166" t="s">
        <v>183</v>
      </c>
      <c r="C14" s="166">
        <v>2018</v>
      </c>
      <c r="D14" s="166" t="s">
        <v>184</v>
      </c>
      <c r="E14" s="177">
        <v>17</v>
      </c>
      <c r="F14" s="167" t="str">
        <f t="shared" si="0"/>
        <v>NA</v>
      </c>
      <c r="G14" s="167" t="str">
        <f t="shared" si="0"/>
        <v>NA</v>
      </c>
      <c r="H14" s="168">
        <v>185.2662</v>
      </c>
      <c r="I14" s="130">
        <v>19.801600000000008</v>
      </c>
      <c r="J14" s="130">
        <v>18.918599999999998</v>
      </c>
      <c r="K14" s="129" t="s">
        <v>457</v>
      </c>
      <c r="L14" s="131" t="s">
        <v>185</v>
      </c>
      <c r="M14" s="132" t="s">
        <v>186</v>
      </c>
      <c r="N14" s="129" t="s">
        <v>184</v>
      </c>
      <c r="O14" s="133">
        <v>926</v>
      </c>
      <c r="P14" s="129" t="s">
        <v>156</v>
      </c>
      <c r="Q14" s="133">
        <v>1</v>
      </c>
      <c r="R14" s="133">
        <v>1</v>
      </c>
      <c r="S14" s="133">
        <v>50</v>
      </c>
      <c r="T14" s="133">
        <v>52</v>
      </c>
      <c r="U14" s="129" t="s">
        <v>160</v>
      </c>
      <c r="V14" s="171">
        <v>0.56999999999999995</v>
      </c>
      <c r="W14" s="129" t="s">
        <v>160</v>
      </c>
      <c r="X14" s="129" t="s">
        <v>245</v>
      </c>
      <c r="Y14" s="172">
        <v>3.7191000000000001</v>
      </c>
      <c r="Z14" s="172">
        <v>-42.9084</v>
      </c>
      <c r="AA14" s="136" t="s">
        <v>160</v>
      </c>
      <c r="AB14" s="136" t="s">
        <v>160</v>
      </c>
      <c r="AC14" s="129">
        <v>3598</v>
      </c>
      <c r="AD14" s="136" t="s">
        <v>160</v>
      </c>
      <c r="AE14" s="136" t="s">
        <v>160</v>
      </c>
      <c r="AF14" s="129" t="s">
        <v>160</v>
      </c>
      <c r="AG14" s="173">
        <v>17</v>
      </c>
      <c r="AH14" s="138" t="s">
        <v>160</v>
      </c>
      <c r="AI14" s="129" t="s">
        <v>160</v>
      </c>
      <c r="AJ14" s="138" t="s">
        <v>160</v>
      </c>
      <c r="AK14" s="129" t="s">
        <v>237</v>
      </c>
      <c r="AL14" s="139" t="s">
        <v>246</v>
      </c>
      <c r="AM14" s="139" t="s">
        <v>247</v>
      </c>
      <c r="AN14" s="129" t="s">
        <v>160</v>
      </c>
      <c r="AO14" s="129" t="s">
        <v>160</v>
      </c>
      <c r="AP14" s="129" t="s">
        <v>160</v>
      </c>
      <c r="AQ14" s="129" t="s">
        <v>160</v>
      </c>
      <c r="AR14" s="129" t="s">
        <v>160</v>
      </c>
      <c r="AS14" s="129" t="s">
        <v>160</v>
      </c>
      <c r="AT14" s="129" t="s">
        <v>160</v>
      </c>
      <c r="AU14" s="129" t="s">
        <v>191</v>
      </c>
      <c r="AV14" s="129" t="s">
        <v>161</v>
      </c>
      <c r="AW14" s="129" t="s">
        <v>192</v>
      </c>
      <c r="AX14" s="129" t="s">
        <v>193</v>
      </c>
      <c r="AY14" s="129" t="s">
        <v>194</v>
      </c>
      <c r="AZ14" s="129" t="s">
        <v>195</v>
      </c>
      <c r="BA14" s="129" t="s">
        <v>196</v>
      </c>
      <c r="BB14" s="129" t="s">
        <v>248</v>
      </c>
      <c r="BC14" s="140">
        <v>2</v>
      </c>
      <c r="BD14" s="129" t="s">
        <v>249</v>
      </c>
      <c r="BE14" s="173">
        <v>19.57075341585346</v>
      </c>
      <c r="BF14" s="129" t="s">
        <v>199</v>
      </c>
      <c r="BG14" s="173">
        <v>0.29458725907758299</v>
      </c>
      <c r="BH14" s="129">
        <v>0.83299999999999996</v>
      </c>
      <c r="BI14" s="129" t="s">
        <v>160</v>
      </c>
      <c r="BJ14" s="138" t="s">
        <v>160</v>
      </c>
      <c r="BK14" s="129">
        <v>2.69</v>
      </c>
      <c r="BL14" s="129" t="s">
        <v>160</v>
      </c>
      <c r="BM14" s="129" t="s">
        <v>160</v>
      </c>
      <c r="BN14" s="129" t="s">
        <v>200</v>
      </c>
      <c r="BO14" s="129" t="s">
        <v>201</v>
      </c>
      <c r="BP14" s="141">
        <v>20.265010103065379</v>
      </c>
      <c r="BQ14" s="129" t="s">
        <v>202</v>
      </c>
      <c r="BR14" s="142">
        <f t="shared" si="2"/>
        <v>0.29458725907758299</v>
      </c>
      <c r="BS14" s="129" t="s">
        <v>160</v>
      </c>
      <c r="BT14" s="129" t="s">
        <v>160</v>
      </c>
      <c r="BU14" s="129">
        <v>10</v>
      </c>
      <c r="BV14" s="129" t="s">
        <v>159</v>
      </c>
      <c r="BW14" s="129">
        <v>10</v>
      </c>
      <c r="BX14" s="143">
        <v>23.165451588164412</v>
      </c>
      <c r="BY14" s="129" t="s">
        <v>159</v>
      </c>
      <c r="BZ14" s="129">
        <v>1</v>
      </c>
      <c r="CA14" s="129">
        <v>1</v>
      </c>
      <c r="CB14" s="129" t="s">
        <v>160</v>
      </c>
      <c r="CC14" s="173">
        <v>3.0356391320331322</v>
      </c>
      <c r="CD14" s="129" t="s">
        <v>163</v>
      </c>
      <c r="CE14" s="144">
        <f t="shared" si="4"/>
        <v>8.1962256564894573E-2</v>
      </c>
      <c r="CF14" s="144">
        <f t="shared" si="5"/>
        <v>8.1962256564894573E-2</v>
      </c>
      <c r="CG14" s="145" t="s">
        <v>203</v>
      </c>
      <c r="CH14" s="129" t="s">
        <v>204</v>
      </c>
      <c r="CI14" s="129" t="s">
        <v>205</v>
      </c>
      <c r="CJ14" s="129" t="s">
        <v>206</v>
      </c>
      <c r="CK14" s="129" t="s">
        <v>158</v>
      </c>
      <c r="CL14" s="129" t="s">
        <v>158</v>
      </c>
      <c r="CM14" s="129" t="s">
        <v>158</v>
      </c>
      <c r="CN14" s="129" t="s">
        <v>160</v>
      </c>
      <c r="CO14" s="129" t="s">
        <v>160</v>
      </c>
      <c r="CP14" s="129" t="s">
        <v>160</v>
      </c>
      <c r="CQ14" s="129" t="s">
        <v>160</v>
      </c>
      <c r="CR14" s="129" t="s">
        <v>160</v>
      </c>
      <c r="CS14" s="129" t="s">
        <v>160</v>
      </c>
      <c r="CT14" s="129" t="s">
        <v>160</v>
      </c>
      <c r="CU14" s="129">
        <v>36.01</v>
      </c>
      <c r="CV14" s="129" t="s">
        <v>159</v>
      </c>
      <c r="CW14" s="146">
        <v>1</v>
      </c>
      <c r="CX14" s="129" t="s">
        <v>207</v>
      </c>
      <c r="CY14" s="129">
        <v>1.06E-2</v>
      </c>
      <c r="CZ14" s="129" t="s">
        <v>159</v>
      </c>
      <c r="DA14" s="146">
        <v>0</v>
      </c>
      <c r="DB14" s="129" t="s">
        <v>208</v>
      </c>
      <c r="DC14" s="129">
        <v>5.5100000000000003E-2</v>
      </c>
      <c r="DD14" s="129" t="s">
        <v>159</v>
      </c>
      <c r="DE14" s="146">
        <v>0</v>
      </c>
      <c r="DF14" s="129" t="s">
        <v>208</v>
      </c>
      <c r="DG14" s="129" t="s">
        <v>160</v>
      </c>
      <c r="DH14" s="129" t="s">
        <v>160</v>
      </c>
      <c r="DI14" s="129" t="s">
        <v>160</v>
      </c>
      <c r="DJ14" s="129" t="s">
        <v>160</v>
      </c>
      <c r="DK14" s="145">
        <v>432.56244218316402</v>
      </c>
      <c r="DL14" s="129" t="s">
        <v>159</v>
      </c>
      <c r="DM14" s="145" t="s">
        <v>160</v>
      </c>
      <c r="DN14" s="129" t="s">
        <v>434</v>
      </c>
      <c r="DO14" s="129">
        <v>39.607660000000003</v>
      </c>
      <c r="DP14" s="129" t="s">
        <v>160</v>
      </c>
      <c r="DQ14" s="129">
        <v>2.3300000000006094E-3</v>
      </c>
      <c r="DR14" s="129" t="s">
        <v>435</v>
      </c>
      <c r="DS14" s="129" t="s">
        <v>212</v>
      </c>
      <c r="DT14" s="129" t="s">
        <v>213</v>
      </c>
      <c r="DU14" s="129">
        <v>1.0271999999999999</v>
      </c>
      <c r="DV14" s="129" t="s">
        <v>214</v>
      </c>
      <c r="DW14" s="129" t="s">
        <v>214</v>
      </c>
      <c r="DX14" s="129" t="s">
        <v>215</v>
      </c>
      <c r="DY14" s="129" t="s">
        <v>160</v>
      </c>
      <c r="DZ14" s="129" t="s">
        <v>164</v>
      </c>
      <c r="EA14" s="129" t="s">
        <v>216</v>
      </c>
      <c r="EB14" s="129" t="s">
        <v>212</v>
      </c>
      <c r="EC14" s="129" t="s">
        <v>212</v>
      </c>
      <c r="ED14" s="129" t="s">
        <v>212</v>
      </c>
      <c r="EE14" s="129" t="s">
        <v>217</v>
      </c>
      <c r="EF14" s="147" t="s">
        <v>213</v>
      </c>
      <c r="EG14" s="148" t="s">
        <v>213</v>
      </c>
      <c r="EH14" s="129" t="s">
        <v>218</v>
      </c>
      <c r="EI14" s="129" t="s">
        <v>417</v>
      </c>
      <c r="EJ14" s="129" t="s">
        <v>160</v>
      </c>
      <c r="EK14" s="129">
        <v>1999.6580000000001</v>
      </c>
      <c r="EL14" s="129" t="s">
        <v>163</v>
      </c>
      <c r="EM14" s="129">
        <v>0.28099999999997916</v>
      </c>
      <c r="EN14" s="129">
        <v>0.28500000000004216</v>
      </c>
      <c r="EO14" s="129" t="s">
        <v>160</v>
      </c>
      <c r="EP14" s="129" t="s">
        <v>160</v>
      </c>
      <c r="EQ14" s="129" t="s">
        <v>160</v>
      </c>
      <c r="ER14" s="129" t="s">
        <v>160</v>
      </c>
      <c r="ES14" s="151">
        <v>8.2519229999999997</v>
      </c>
      <c r="ET14" s="142" t="s">
        <v>165</v>
      </c>
      <c r="EU14" s="141">
        <v>3.3682000000000656E-2</v>
      </c>
      <c r="EV14" s="141">
        <v>3.2852000000000103E-2</v>
      </c>
      <c r="EW14" s="142" t="s">
        <v>160</v>
      </c>
      <c r="EX14" s="129" t="s">
        <v>160</v>
      </c>
      <c r="EY14" s="129" t="s">
        <v>160</v>
      </c>
      <c r="EZ14" s="149">
        <v>185.2662</v>
      </c>
      <c r="FA14" s="150">
        <v>19.801600000000008</v>
      </c>
      <c r="FB14" s="150">
        <v>18.918599999999998</v>
      </c>
      <c r="FC14" s="129" t="s">
        <v>220</v>
      </c>
      <c r="FD14" s="129" t="s">
        <v>221</v>
      </c>
      <c r="FE14" s="150">
        <v>2384.625</v>
      </c>
      <c r="FF14" s="150">
        <v>31.635999999999967</v>
      </c>
      <c r="FG14" s="150">
        <v>32.032000000000153</v>
      </c>
      <c r="FH14" s="129" t="s">
        <v>160</v>
      </c>
      <c r="FI14" s="129" t="s">
        <v>160</v>
      </c>
      <c r="FJ14" s="129" t="s">
        <v>160</v>
      </c>
      <c r="FK14" s="129" t="s">
        <v>160</v>
      </c>
      <c r="FL14" s="129" t="s">
        <v>160</v>
      </c>
      <c r="FM14" s="129" t="s">
        <v>160</v>
      </c>
      <c r="FN14" s="151">
        <v>4.8536989999999998</v>
      </c>
      <c r="FO14" s="141">
        <v>0.24766900000000014</v>
      </c>
      <c r="FP14" s="141">
        <v>0.24089999999999989</v>
      </c>
      <c r="FQ14" s="178" t="s">
        <v>419</v>
      </c>
      <c r="FR14" s="176" t="s">
        <v>160</v>
      </c>
    </row>
    <row r="15" spans="1:191" s="129" customFormat="1" ht="17">
      <c r="A15" s="165" t="s">
        <v>152</v>
      </c>
      <c r="B15" s="166" t="s">
        <v>183</v>
      </c>
      <c r="C15" s="166">
        <v>2018</v>
      </c>
      <c r="D15" s="166" t="s">
        <v>184</v>
      </c>
      <c r="E15" s="177">
        <v>560</v>
      </c>
      <c r="F15" s="167" t="str">
        <f t="shared" si="0"/>
        <v>NA</v>
      </c>
      <c r="G15" s="167" t="str">
        <f t="shared" si="0"/>
        <v>NA</v>
      </c>
      <c r="H15" s="168">
        <v>199.53149999999999</v>
      </c>
      <c r="I15" s="130">
        <v>37.476100000000002</v>
      </c>
      <c r="J15" s="130">
        <v>31.596499999999992</v>
      </c>
      <c r="K15" s="129" t="s">
        <v>457</v>
      </c>
      <c r="L15" s="131" t="s">
        <v>185</v>
      </c>
      <c r="M15" s="132" t="s">
        <v>186</v>
      </c>
      <c r="N15" s="129" t="s">
        <v>184</v>
      </c>
      <c r="O15" s="133">
        <v>926</v>
      </c>
      <c r="P15" s="129" t="s">
        <v>156</v>
      </c>
      <c r="Q15" s="133">
        <v>3</v>
      </c>
      <c r="R15" s="133">
        <v>2</v>
      </c>
      <c r="S15" s="133">
        <v>73</v>
      </c>
      <c r="T15" s="133">
        <v>75</v>
      </c>
      <c r="U15" s="129" t="s">
        <v>160</v>
      </c>
      <c r="V15" s="171">
        <v>16.830000000000002</v>
      </c>
      <c r="W15" s="129" t="s">
        <v>160</v>
      </c>
      <c r="X15" s="129" t="s">
        <v>245</v>
      </c>
      <c r="Y15" s="172">
        <v>3.7191000000000001</v>
      </c>
      <c r="Z15" s="172">
        <v>-42.9084</v>
      </c>
      <c r="AA15" s="136" t="s">
        <v>160</v>
      </c>
      <c r="AB15" s="136" t="s">
        <v>160</v>
      </c>
      <c r="AC15" s="129">
        <v>3598</v>
      </c>
      <c r="AD15" s="136" t="s">
        <v>160</v>
      </c>
      <c r="AE15" s="136" t="s">
        <v>160</v>
      </c>
      <c r="AF15" s="129" t="s">
        <v>160</v>
      </c>
      <c r="AG15" s="173">
        <v>560</v>
      </c>
      <c r="AH15" s="138" t="s">
        <v>160</v>
      </c>
      <c r="AI15" s="129" t="s">
        <v>160</v>
      </c>
      <c r="AJ15" s="138" t="s">
        <v>160</v>
      </c>
      <c r="AK15" s="129" t="s">
        <v>237</v>
      </c>
      <c r="AL15" s="139" t="s">
        <v>246</v>
      </c>
      <c r="AM15" s="139" t="s">
        <v>247</v>
      </c>
      <c r="AN15" s="129" t="s">
        <v>160</v>
      </c>
      <c r="AO15" s="129" t="s">
        <v>160</v>
      </c>
      <c r="AP15" s="129" t="s">
        <v>160</v>
      </c>
      <c r="AQ15" s="129" t="s">
        <v>160</v>
      </c>
      <c r="AR15" s="129" t="s">
        <v>160</v>
      </c>
      <c r="AS15" s="129" t="s">
        <v>160</v>
      </c>
      <c r="AT15" s="129" t="s">
        <v>160</v>
      </c>
      <c r="AU15" s="129" t="s">
        <v>191</v>
      </c>
      <c r="AV15" s="129" t="s">
        <v>161</v>
      </c>
      <c r="AW15" s="129" t="s">
        <v>192</v>
      </c>
      <c r="AX15" s="129" t="s">
        <v>193</v>
      </c>
      <c r="AY15" s="129" t="s">
        <v>194</v>
      </c>
      <c r="AZ15" s="129" t="s">
        <v>195</v>
      </c>
      <c r="BA15" s="129" t="s">
        <v>196</v>
      </c>
      <c r="BB15" s="129" t="s">
        <v>250</v>
      </c>
      <c r="BC15" s="140">
        <v>2</v>
      </c>
      <c r="BD15" s="129" t="s">
        <v>251</v>
      </c>
      <c r="BE15" s="173">
        <v>19.428253391567729</v>
      </c>
      <c r="BF15" s="129" t="s">
        <v>199</v>
      </c>
      <c r="BG15" s="173">
        <v>0.60714754780171443</v>
      </c>
      <c r="BH15" s="129">
        <v>0.83299999999999996</v>
      </c>
      <c r="BI15" s="129" t="s">
        <v>160</v>
      </c>
      <c r="BJ15" s="138" t="s">
        <v>160</v>
      </c>
      <c r="BK15" s="129">
        <v>2.69</v>
      </c>
      <c r="BL15" s="129" t="s">
        <v>160</v>
      </c>
      <c r="BM15" s="129" t="s">
        <v>160</v>
      </c>
      <c r="BN15" s="129" t="s">
        <v>200</v>
      </c>
      <c r="BO15" s="129" t="s">
        <v>201</v>
      </c>
      <c r="BP15" s="141">
        <v>20.093941646539889</v>
      </c>
      <c r="BQ15" s="129" t="s">
        <v>202</v>
      </c>
      <c r="BR15" s="142">
        <f t="shared" si="2"/>
        <v>0.60714754780171443</v>
      </c>
      <c r="BS15" s="129" t="s">
        <v>160</v>
      </c>
      <c r="BT15" s="129" t="s">
        <v>160</v>
      </c>
      <c r="BU15" s="129">
        <v>10</v>
      </c>
      <c r="BV15" s="129" t="s">
        <v>159</v>
      </c>
      <c r="BW15" s="129">
        <v>10</v>
      </c>
      <c r="BX15" s="143">
        <v>23.961242454912941</v>
      </c>
      <c r="BY15" s="129" t="s">
        <v>159</v>
      </c>
      <c r="BZ15" s="129">
        <v>1</v>
      </c>
      <c r="CA15" s="129">
        <v>1</v>
      </c>
      <c r="CB15" s="129" t="s">
        <v>160</v>
      </c>
      <c r="CC15" s="173">
        <v>3.28</v>
      </c>
      <c r="CD15" s="129" t="s">
        <v>163</v>
      </c>
      <c r="CE15" s="144">
        <f t="shared" si="4"/>
        <v>8.856E-2</v>
      </c>
      <c r="CF15" s="144">
        <f t="shared" si="5"/>
        <v>8.856E-2</v>
      </c>
      <c r="CG15" s="145" t="s">
        <v>203</v>
      </c>
      <c r="CH15" s="129" t="s">
        <v>204</v>
      </c>
      <c r="CI15" s="129" t="s">
        <v>205</v>
      </c>
      <c r="CJ15" s="129" t="s">
        <v>206</v>
      </c>
      <c r="CK15" s="129" t="s">
        <v>158</v>
      </c>
      <c r="CL15" s="129" t="s">
        <v>158</v>
      </c>
      <c r="CM15" s="129" t="s">
        <v>158</v>
      </c>
      <c r="CN15" s="129" t="s">
        <v>160</v>
      </c>
      <c r="CO15" s="129" t="s">
        <v>160</v>
      </c>
      <c r="CP15" s="129" t="s">
        <v>160</v>
      </c>
      <c r="CQ15" s="129" t="s">
        <v>160</v>
      </c>
      <c r="CR15" s="129" t="s">
        <v>160</v>
      </c>
      <c r="CS15" s="129" t="s">
        <v>160</v>
      </c>
      <c r="CT15" s="129" t="s">
        <v>160</v>
      </c>
      <c r="CU15" s="129">
        <v>36.01</v>
      </c>
      <c r="CV15" s="129" t="s">
        <v>159</v>
      </c>
      <c r="CW15" s="146">
        <v>1</v>
      </c>
      <c r="CX15" s="129" t="s">
        <v>207</v>
      </c>
      <c r="CY15" s="129">
        <v>1.06E-2</v>
      </c>
      <c r="CZ15" s="129" t="s">
        <v>159</v>
      </c>
      <c r="DA15" s="146">
        <v>0</v>
      </c>
      <c r="DB15" s="129" t="s">
        <v>208</v>
      </c>
      <c r="DC15" s="129">
        <v>5.5100000000000003E-2</v>
      </c>
      <c r="DD15" s="129" t="s">
        <v>159</v>
      </c>
      <c r="DE15" s="146">
        <v>0</v>
      </c>
      <c r="DF15" s="129" t="s">
        <v>208</v>
      </c>
      <c r="DG15" s="129" t="s">
        <v>160</v>
      </c>
      <c r="DH15" s="129" t="s">
        <v>160</v>
      </c>
      <c r="DI15" s="129" t="s">
        <v>160</v>
      </c>
      <c r="DJ15" s="129" t="s">
        <v>160</v>
      </c>
      <c r="DK15" s="145">
        <v>432.56244218316402</v>
      </c>
      <c r="DL15" s="129" t="s">
        <v>159</v>
      </c>
      <c r="DM15" s="145" t="s">
        <v>160</v>
      </c>
      <c r="DN15" s="129" t="s">
        <v>434</v>
      </c>
      <c r="DO15" s="129">
        <v>39.635930000000002</v>
      </c>
      <c r="DP15" s="129" t="s">
        <v>160</v>
      </c>
      <c r="DQ15" s="129">
        <v>0.17481999999999687</v>
      </c>
      <c r="DR15" s="129" t="s">
        <v>435</v>
      </c>
      <c r="DS15" s="129" t="s">
        <v>212</v>
      </c>
      <c r="DT15" s="129" t="s">
        <v>213</v>
      </c>
      <c r="DU15" s="129">
        <v>1.0271999999999999</v>
      </c>
      <c r="DV15" s="129" t="s">
        <v>214</v>
      </c>
      <c r="DW15" s="129" t="s">
        <v>214</v>
      </c>
      <c r="DX15" s="129" t="s">
        <v>215</v>
      </c>
      <c r="DY15" s="129" t="s">
        <v>160</v>
      </c>
      <c r="DZ15" s="129" t="s">
        <v>164</v>
      </c>
      <c r="EA15" s="129" t="s">
        <v>216</v>
      </c>
      <c r="EB15" s="129" t="s">
        <v>212</v>
      </c>
      <c r="EC15" s="129" t="s">
        <v>212</v>
      </c>
      <c r="ED15" s="129" t="s">
        <v>212</v>
      </c>
      <c r="EE15" s="129" t="s">
        <v>217</v>
      </c>
      <c r="EF15" s="147" t="s">
        <v>213</v>
      </c>
      <c r="EG15" s="148" t="s">
        <v>213</v>
      </c>
      <c r="EH15" s="129" t="s">
        <v>218</v>
      </c>
      <c r="EI15" s="129" t="s">
        <v>417</v>
      </c>
      <c r="EJ15" s="129" t="s">
        <v>160</v>
      </c>
      <c r="EK15" s="129">
        <v>1988.6759999999999</v>
      </c>
      <c r="EL15" s="129" t="s">
        <v>163</v>
      </c>
      <c r="EM15" s="129">
        <v>9.2540000000002074</v>
      </c>
      <c r="EN15" s="129">
        <v>9.5180000000000256</v>
      </c>
      <c r="EO15" s="129" t="s">
        <v>160</v>
      </c>
      <c r="EP15" s="129" t="s">
        <v>160</v>
      </c>
      <c r="EQ15" s="129" t="s">
        <v>160</v>
      </c>
      <c r="ER15" s="129" t="s">
        <v>160</v>
      </c>
      <c r="ES15" s="151">
        <v>8.2265759999999997</v>
      </c>
      <c r="ET15" s="142" t="s">
        <v>165</v>
      </c>
      <c r="EU15" s="141">
        <v>5.4066000000000614E-2</v>
      </c>
      <c r="EV15" s="141">
        <v>5.6288000000000338E-2</v>
      </c>
      <c r="EW15" s="142" t="s">
        <v>160</v>
      </c>
      <c r="EX15" s="129" t="s">
        <v>160</v>
      </c>
      <c r="EY15" s="129" t="s">
        <v>160</v>
      </c>
      <c r="EZ15" s="149">
        <v>199.53149999999999</v>
      </c>
      <c r="FA15" s="150">
        <v>37.476100000000002</v>
      </c>
      <c r="FB15" s="150">
        <v>31.596499999999992</v>
      </c>
      <c r="FC15" s="129" t="s">
        <v>220</v>
      </c>
      <c r="FD15" s="129" t="s">
        <v>221</v>
      </c>
      <c r="FE15" s="150">
        <v>2361.4299999999998</v>
      </c>
      <c r="FF15" s="150">
        <v>48.048999999999978</v>
      </c>
      <c r="FG15" s="150">
        <v>47.9399999999996</v>
      </c>
      <c r="FH15" s="129" t="s">
        <v>160</v>
      </c>
      <c r="FI15" s="129" t="s">
        <v>160</v>
      </c>
      <c r="FJ15" s="129" t="s">
        <v>160</v>
      </c>
      <c r="FK15" s="129" t="s">
        <v>160</v>
      </c>
      <c r="FL15" s="129" t="s">
        <v>160</v>
      </c>
      <c r="FM15" s="129" t="s">
        <v>160</v>
      </c>
      <c r="FN15" s="151">
        <v>4.7837189999999996</v>
      </c>
      <c r="FO15" s="141">
        <v>0.4757100000000003</v>
      </c>
      <c r="FP15" s="141">
        <v>0.46150399999999969</v>
      </c>
      <c r="FQ15" s="178" t="s">
        <v>419</v>
      </c>
      <c r="FR15" s="176" t="s">
        <v>160</v>
      </c>
    </row>
    <row r="16" spans="1:191" s="129" customFormat="1" ht="17">
      <c r="A16" s="165" t="s">
        <v>152</v>
      </c>
      <c r="B16" s="166" t="s">
        <v>183</v>
      </c>
      <c r="C16" s="166">
        <v>2018</v>
      </c>
      <c r="D16" s="166" t="s">
        <v>184</v>
      </c>
      <c r="E16" s="177">
        <v>1530</v>
      </c>
      <c r="F16" s="167" t="str">
        <f t="shared" si="0"/>
        <v>NA</v>
      </c>
      <c r="G16" s="167" t="str">
        <f t="shared" si="0"/>
        <v>NA</v>
      </c>
      <c r="H16" s="168">
        <v>189.1087</v>
      </c>
      <c r="I16" s="130">
        <v>30.567400000000021</v>
      </c>
      <c r="J16" s="130">
        <v>25.779200000000003</v>
      </c>
      <c r="K16" s="129" t="s">
        <v>457</v>
      </c>
      <c r="L16" s="131" t="s">
        <v>185</v>
      </c>
      <c r="M16" s="132" t="s">
        <v>186</v>
      </c>
      <c r="N16" s="129" t="s">
        <v>184</v>
      </c>
      <c r="O16" s="133">
        <v>926</v>
      </c>
      <c r="P16" s="129" t="s">
        <v>156</v>
      </c>
      <c r="Q16" s="133">
        <v>6</v>
      </c>
      <c r="R16" s="133">
        <v>2</v>
      </c>
      <c r="S16" s="133">
        <v>70</v>
      </c>
      <c r="T16" s="133">
        <v>72</v>
      </c>
      <c r="U16" s="129" t="s">
        <v>160</v>
      </c>
      <c r="V16" s="171">
        <v>48.28</v>
      </c>
      <c r="W16" s="129" t="s">
        <v>160</v>
      </c>
      <c r="X16" s="129" t="s">
        <v>245</v>
      </c>
      <c r="Y16" s="172">
        <v>3.7191000000000001</v>
      </c>
      <c r="Z16" s="172">
        <v>-42.9084</v>
      </c>
      <c r="AA16" s="136" t="s">
        <v>160</v>
      </c>
      <c r="AB16" s="136" t="s">
        <v>160</v>
      </c>
      <c r="AC16" s="129">
        <v>3598</v>
      </c>
      <c r="AD16" s="136" t="s">
        <v>160</v>
      </c>
      <c r="AE16" s="136" t="s">
        <v>160</v>
      </c>
      <c r="AF16" s="129" t="s">
        <v>160</v>
      </c>
      <c r="AG16" s="173">
        <v>1530</v>
      </c>
      <c r="AH16" s="138" t="s">
        <v>160</v>
      </c>
      <c r="AI16" s="129" t="s">
        <v>160</v>
      </c>
      <c r="AJ16" s="138" t="s">
        <v>160</v>
      </c>
      <c r="AK16" s="129" t="s">
        <v>237</v>
      </c>
      <c r="AL16" s="139" t="s">
        <v>246</v>
      </c>
      <c r="AM16" s="139" t="s">
        <v>247</v>
      </c>
      <c r="AN16" s="129" t="s">
        <v>160</v>
      </c>
      <c r="AO16" s="129" t="s">
        <v>160</v>
      </c>
      <c r="AP16" s="129" t="s">
        <v>160</v>
      </c>
      <c r="AQ16" s="129" t="s">
        <v>160</v>
      </c>
      <c r="AR16" s="129" t="s">
        <v>160</v>
      </c>
      <c r="AS16" s="129" t="s">
        <v>160</v>
      </c>
      <c r="AT16" s="129" t="s">
        <v>160</v>
      </c>
      <c r="AU16" s="129" t="s">
        <v>191</v>
      </c>
      <c r="AV16" s="129" t="s">
        <v>161</v>
      </c>
      <c r="AW16" s="129" t="s">
        <v>192</v>
      </c>
      <c r="AX16" s="129" t="s">
        <v>193</v>
      </c>
      <c r="AY16" s="129" t="s">
        <v>194</v>
      </c>
      <c r="AZ16" s="129" t="s">
        <v>195</v>
      </c>
      <c r="BA16" s="129" t="s">
        <v>196</v>
      </c>
      <c r="BB16" s="129" t="s">
        <v>252</v>
      </c>
      <c r="BC16" s="140">
        <v>2</v>
      </c>
      <c r="BD16" s="129" t="s">
        <v>253</v>
      </c>
      <c r="BE16" s="173">
        <v>19.556306849210948</v>
      </c>
      <c r="BF16" s="129" t="s">
        <v>199</v>
      </c>
      <c r="BG16" s="173">
        <v>0.35161215778315813</v>
      </c>
      <c r="BH16" s="129">
        <v>0.83299999999999996</v>
      </c>
      <c r="BI16" s="129" t="s">
        <v>160</v>
      </c>
      <c r="BJ16" s="138" t="s">
        <v>160</v>
      </c>
      <c r="BK16" s="129">
        <v>2.69</v>
      </c>
      <c r="BL16" s="129" t="s">
        <v>160</v>
      </c>
      <c r="BM16" s="129" t="s">
        <v>160</v>
      </c>
      <c r="BN16" s="129" t="s">
        <v>200</v>
      </c>
      <c r="BO16" s="129" t="s">
        <v>201</v>
      </c>
      <c r="BP16" s="141">
        <v>20.247667285967523</v>
      </c>
      <c r="BQ16" s="129" t="s">
        <v>202</v>
      </c>
      <c r="BR16" s="142">
        <f t="shared" si="2"/>
        <v>0.35161215778315813</v>
      </c>
      <c r="BS16" s="129" t="s">
        <v>160</v>
      </c>
      <c r="BT16" s="129" t="s">
        <v>160</v>
      </c>
      <c r="BU16" s="129">
        <v>10</v>
      </c>
      <c r="BV16" s="129" t="s">
        <v>159</v>
      </c>
      <c r="BW16" s="129">
        <v>10</v>
      </c>
      <c r="BX16" s="143">
        <v>23.992747918878859</v>
      </c>
      <c r="BY16" s="129" t="s">
        <v>159</v>
      </c>
      <c r="BZ16" s="129">
        <v>1</v>
      </c>
      <c r="CA16" s="129">
        <v>1</v>
      </c>
      <c r="CB16" s="129" t="s">
        <v>160</v>
      </c>
      <c r="CC16" s="173">
        <v>3.3237414320828886</v>
      </c>
      <c r="CD16" s="129" t="s">
        <v>163</v>
      </c>
      <c r="CE16" s="144">
        <f t="shared" si="4"/>
        <v>8.9741018666237987E-2</v>
      </c>
      <c r="CF16" s="144">
        <f t="shared" si="5"/>
        <v>8.9741018666237987E-2</v>
      </c>
      <c r="CG16" s="145" t="s">
        <v>203</v>
      </c>
      <c r="CH16" s="129" t="s">
        <v>204</v>
      </c>
      <c r="CI16" s="129" t="s">
        <v>205</v>
      </c>
      <c r="CJ16" s="129" t="s">
        <v>206</v>
      </c>
      <c r="CK16" s="129" t="s">
        <v>158</v>
      </c>
      <c r="CL16" s="129" t="s">
        <v>158</v>
      </c>
      <c r="CM16" s="129" t="s">
        <v>158</v>
      </c>
      <c r="CN16" s="129" t="s">
        <v>160</v>
      </c>
      <c r="CO16" s="129" t="s">
        <v>160</v>
      </c>
      <c r="CP16" s="129" t="s">
        <v>160</v>
      </c>
      <c r="CQ16" s="129" t="s">
        <v>160</v>
      </c>
      <c r="CR16" s="129" t="s">
        <v>160</v>
      </c>
      <c r="CS16" s="129" t="s">
        <v>160</v>
      </c>
      <c r="CT16" s="129" t="s">
        <v>160</v>
      </c>
      <c r="CU16" s="129">
        <v>36.01</v>
      </c>
      <c r="CV16" s="129" t="s">
        <v>159</v>
      </c>
      <c r="CW16" s="146">
        <v>1</v>
      </c>
      <c r="CX16" s="129" t="s">
        <v>207</v>
      </c>
      <c r="CY16" s="129">
        <v>1.06E-2</v>
      </c>
      <c r="CZ16" s="129" t="s">
        <v>159</v>
      </c>
      <c r="DA16" s="146">
        <v>0</v>
      </c>
      <c r="DB16" s="129" t="s">
        <v>208</v>
      </c>
      <c r="DC16" s="129">
        <v>5.5100000000000003E-2</v>
      </c>
      <c r="DD16" s="129" t="s">
        <v>159</v>
      </c>
      <c r="DE16" s="146">
        <v>0</v>
      </c>
      <c r="DF16" s="129" t="s">
        <v>208</v>
      </c>
      <c r="DG16" s="129" t="s">
        <v>160</v>
      </c>
      <c r="DH16" s="129" t="s">
        <v>160</v>
      </c>
      <c r="DI16" s="129" t="s">
        <v>160</v>
      </c>
      <c r="DJ16" s="129" t="s">
        <v>160</v>
      </c>
      <c r="DK16" s="145">
        <v>432.56244218316402</v>
      </c>
      <c r="DL16" s="129" t="s">
        <v>159</v>
      </c>
      <c r="DM16" s="145" t="s">
        <v>160</v>
      </c>
      <c r="DN16" s="129" t="s">
        <v>434</v>
      </c>
      <c r="DO16" s="129">
        <v>39.577979999999997</v>
      </c>
      <c r="DP16" s="129" t="s">
        <v>160</v>
      </c>
      <c r="DQ16" s="129">
        <v>0.37881000000000142</v>
      </c>
      <c r="DR16" s="129" t="s">
        <v>435</v>
      </c>
      <c r="DS16" s="129" t="s">
        <v>212</v>
      </c>
      <c r="DT16" s="129" t="s">
        <v>213</v>
      </c>
      <c r="DU16" s="129">
        <v>1.0271999999999999</v>
      </c>
      <c r="DV16" s="129" t="s">
        <v>214</v>
      </c>
      <c r="DW16" s="129" t="s">
        <v>214</v>
      </c>
      <c r="DX16" s="129" t="s">
        <v>215</v>
      </c>
      <c r="DY16" s="129" t="s">
        <v>160</v>
      </c>
      <c r="DZ16" s="129" t="s">
        <v>164</v>
      </c>
      <c r="EA16" s="129" t="s">
        <v>216</v>
      </c>
      <c r="EB16" s="129" t="s">
        <v>212</v>
      </c>
      <c r="EC16" s="129" t="s">
        <v>212</v>
      </c>
      <c r="ED16" s="129" t="s">
        <v>212</v>
      </c>
      <c r="EE16" s="129" t="s">
        <v>217</v>
      </c>
      <c r="EF16" s="147" t="s">
        <v>213</v>
      </c>
      <c r="EG16" s="148" t="s">
        <v>213</v>
      </c>
      <c r="EH16" s="129" t="s">
        <v>218</v>
      </c>
      <c r="EI16" s="129" t="s">
        <v>417</v>
      </c>
      <c r="EJ16" s="129" t="s">
        <v>160</v>
      </c>
      <c r="EK16" s="129">
        <v>1968.922</v>
      </c>
      <c r="EL16" s="129" t="s">
        <v>163</v>
      </c>
      <c r="EM16" s="129">
        <v>25.789999999999928</v>
      </c>
      <c r="EN16" s="129">
        <v>26.33300000000013</v>
      </c>
      <c r="EO16" s="129" t="s">
        <v>160</v>
      </c>
      <c r="EP16" s="129" t="s">
        <v>160</v>
      </c>
      <c r="EQ16" s="129" t="s">
        <v>160</v>
      </c>
      <c r="ER16" s="129" t="s">
        <v>160</v>
      </c>
      <c r="ES16" s="151">
        <v>8.2398330000000009</v>
      </c>
      <c r="ET16" s="142" t="s">
        <v>165</v>
      </c>
      <c r="EU16" s="141">
        <v>4.5534999999999215E-2</v>
      </c>
      <c r="EV16" s="141">
        <v>4.8051000000000954E-2</v>
      </c>
      <c r="EW16" s="142" t="s">
        <v>160</v>
      </c>
      <c r="EX16" s="129" t="s">
        <v>160</v>
      </c>
      <c r="EY16" s="129" t="s">
        <v>160</v>
      </c>
      <c r="EZ16" s="149">
        <v>189.1087</v>
      </c>
      <c r="FA16" s="150">
        <v>30.567400000000021</v>
      </c>
      <c r="FB16" s="150">
        <v>25.779200000000003</v>
      </c>
      <c r="FC16" s="129" t="s">
        <v>220</v>
      </c>
      <c r="FD16" s="129" t="s">
        <v>221</v>
      </c>
      <c r="FE16" s="150">
        <v>2352.3820000000001</v>
      </c>
      <c r="FF16" s="150">
        <v>51.407999999999902</v>
      </c>
      <c r="FG16" s="150">
        <v>51.048999999999978</v>
      </c>
      <c r="FH16" s="129" t="s">
        <v>160</v>
      </c>
      <c r="FI16" s="129" t="s">
        <v>160</v>
      </c>
      <c r="FJ16" s="129" t="s">
        <v>160</v>
      </c>
      <c r="FK16" s="129" t="s">
        <v>160</v>
      </c>
      <c r="FL16" s="129" t="s">
        <v>160</v>
      </c>
      <c r="FM16" s="129" t="s">
        <v>160</v>
      </c>
      <c r="FN16" s="151">
        <v>4.979006</v>
      </c>
      <c r="FO16" s="141">
        <v>0.42224899999999987</v>
      </c>
      <c r="FP16" s="141">
        <v>0.38931999999999967</v>
      </c>
      <c r="FQ16" s="178" t="s">
        <v>419</v>
      </c>
      <c r="FR16" s="176" t="s">
        <v>160</v>
      </c>
    </row>
    <row r="17" spans="1:174" s="129" customFormat="1" ht="17">
      <c r="A17" s="165" t="s">
        <v>152</v>
      </c>
      <c r="B17" s="166" t="s">
        <v>183</v>
      </c>
      <c r="C17" s="166">
        <v>2018</v>
      </c>
      <c r="D17" s="166" t="s">
        <v>184</v>
      </c>
      <c r="E17" s="177">
        <v>1880</v>
      </c>
      <c r="F17" s="167" t="str">
        <f t="shared" si="0"/>
        <v>NA</v>
      </c>
      <c r="G17" s="167" t="str">
        <f t="shared" si="0"/>
        <v>NA</v>
      </c>
      <c r="H17" s="168">
        <v>177.28639999999999</v>
      </c>
      <c r="I17" s="130">
        <v>27.483000000000004</v>
      </c>
      <c r="J17" s="130">
        <v>23.968899999999991</v>
      </c>
      <c r="K17" s="129" t="s">
        <v>457</v>
      </c>
      <c r="L17" s="131" t="s">
        <v>185</v>
      </c>
      <c r="M17" s="132" t="s">
        <v>186</v>
      </c>
      <c r="N17" s="129" t="s">
        <v>184</v>
      </c>
      <c r="O17" s="133">
        <v>926</v>
      </c>
      <c r="P17" s="129" t="s">
        <v>156</v>
      </c>
      <c r="Q17" s="133">
        <v>7</v>
      </c>
      <c r="R17" s="133">
        <v>2</v>
      </c>
      <c r="S17" s="133">
        <v>72</v>
      </c>
      <c r="T17" s="133">
        <v>74</v>
      </c>
      <c r="U17" s="129" t="s">
        <v>160</v>
      </c>
      <c r="V17" s="171">
        <v>60.26</v>
      </c>
      <c r="W17" s="129" t="s">
        <v>160</v>
      </c>
      <c r="X17" s="129" t="s">
        <v>245</v>
      </c>
      <c r="Y17" s="172">
        <v>3.7191000000000001</v>
      </c>
      <c r="Z17" s="172">
        <v>-42.9084</v>
      </c>
      <c r="AA17" s="136" t="s">
        <v>160</v>
      </c>
      <c r="AB17" s="136" t="s">
        <v>160</v>
      </c>
      <c r="AC17" s="129">
        <v>3598</v>
      </c>
      <c r="AD17" s="136" t="s">
        <v>160</v>
      </c>
      <c r="AE17" s="136" t="s">
        <v>160</v>
      </c>
      <c r="AF17" s="129" t="s">
        <v>160</v>
      </c>
      <c r="AG17" s="173">
        <v>1880</v>
      </c>
      <c r="AH17" s="138" t="s">
        <v>160</v>
      </c>
      <c r="AI17" s="129" t="s">
        <v>160</v>
      </c>
      <c r="AJ17" s="138" t="s">
        <v>160</v>
      </c>
      <c r="AK17" s="129" t="s">
        <v>237</v>
      </c>
      <c r="AL17" s="139" t="s">
        <v>246</v>
      </c>
      <c r="AM17" s="139" t="s">
        <v>247</v>
      </c>
      <c r="AN17" s="129" t="s">
        <v>160</v>
      </c>
      <c r="AO17" s="129" t="s">
        <v>160</v>
      </c>
      <c r="AP17" s="129" t="s">
        <v>160</v>
      </c>
      <c r="AQ17" s="129" t="s">
        <v>160</v>
      </c>
      <c r="AR17" s="129" t="s">
        <v>160</v>
      </c>
      <c r="AS17" s="129" t="s">
        <v>160</v>
      </c>
      <c r="AT17" s="129" t="s">
        <v>160</v>
      </c>
      <c r="AU17" s="129" t="s">
        <v>191</v>
      </c>
      <c r="AV17" s="129" t="s">
        <v>161</v>
      </c>
      <c r="AW17" s="129" t="s">
        <v>192</v>
      </c>
      <c r="AX17" s="129" t="s">
        <v>193</v>
      </c>
      <c r="AY17" s="129" t="s">
        <v>194</v>
      </c>
      <c r="AZ17" s="129" t="s">
        <v>195</v>
      </c>
      <c r="BA17" s="129" t="s">
        <v>196</v>
      </c>
      <c r="BB17" s="129" t="s">
        <v>254</v>
      </c>
      <c r="BC17" s="140">
        <v>2</v>
      </c>
      <c r="BD17" s="129" t="s">
        <v>255</v>
      </c>
      <c r="BE17" s="173">
        <v>19.733325435628998</v>
      </c>
      <c r="BF17" s="129" t="s">
        <v>199</v>
      </c>
      <c r="BG17" s="173">
        <v>0.30804876294907446</v>
      </c>
      <c r="BH17" s="129">
        <v>0.83299999999999996</v>
      </c>
      <c r="BI17" s="129" t="s">
        <v>160</v>
      </c>
      <c r="BJ17" s="138" t="s">
        <v>160</v>
      </c>
      <c r="BK17" s="129">
        <v>2.69</v>
      </c>
      <c r="BL17" s="129" t="s">
        <v>160</v>
      </c>
      <c r="BM17" s="129" t="s">
        <v>160</v>
      </c>
      <c r="BN17" s="129" t="s">
        <v>200</v>
      </c>
      <c r="BO17" s="129" t="s">
        <v>201</v>
      </c>
      <c r="BP17" s="141">
        <v>20.460174592591834</v>
      </c>
      <c r="BQ17" s="129" t="s">
        <v>202</v>
      </c>
      <c r="BR17" s="142">
        <f t="shared" si="2"/>
        <v>0.30804876294907446</v>
      </c>
      <c r="BS17" s="129" t="s">
        <v>160</v>
      </c>
      <c r="BT17" s="129" t="s">
        <v>160</v>
      </c>
      <c r="BU17" s="129">
        <v>10</v>
      </c>
      <c r="BV17" s="129" t="s">
        <v>159</v>
      </c>
      <c r="BW17" s="129">
        <v>10</v>
      </c>
      <c r="BX17" s="143">
        <v>23.654459891595291</v>
      </c>
      <c r="BY17" s="129" t="s">
        <v>159</v>
      </c>
      <c r="BZ17" s="129">
        <v>1</v>
      </c>
      <c r="CA17" s="129">
        <v>1</v>
      </c>
      <c r="CB17" s="129" t="s">
        <v>160</v>
      </c>
      <c r="CC17" s="173">
        <v>3.2363155630570337</v>
      </c>
      <c r="CD17" s="129" t="s">
        <v>163</v>
      </c>
      <c r="CE17" s="144">
        <f t="shared" si="4"/>
        <v>8.7380520202539905E-2</v>
      </c>
      <c r="CF17" s="144">
        <f t="shared" si="5"/>
        <v>8.7380520202539905E-2</v>
      </c>
      <c r="CG17" s="145" t="s">
        <v>203</v>
      </c>
      <c r="CH17" s="129" t="s">
        <v>204</v>
      </c>
      <c r="CI17" s="129" t="s">
        <v>205</v>
      </c>
      <c r="CJ17" s="129" t="s">
        <v>206</v>
      </c>
      <c r="CK17" s="129" t="s">
        <v>158</v>
      </c>
      <c r="CL17" s="129" t="s">
        <v>158</v>
      </c>
      <c r="CM17" s="129" t="s">
        <v>158</v>
      </c>
      <c r="CN17" s="129" t="s">
        <v>160</v>
      </c>
      <c r="CO17" s="129" t="s">
        <v>160</v>
      </c>
      <c r="CP17" s="129" t="s">
        <v>160</v>
      </c>
      <c r="CQ17" s="129" t="s">
        <v>160</v>
      </c>
      <c r="CR17" s="129" t="s">
        <v>160</v>
      </c>
      <c r="CS17" s="129" t="s">
        <v>160</v>
      </c>
      <c r="CT17" s="129" t="s">
        <v>160</v>
      </c>
      <c r="CU17" s="129">
        <v>36.01</v>
      </c>
      <c r="CV17" s="129" t="s">
        <v>159</v>
      </c>
      <c r="CW17" s="146">
        <v>1</v>
      </c>
      <c r="CX17" s="129" t="s">
        <v>207</v>
      </c>
      <c r="CY17" s="129">
        <v>1.06E-2</v>
      </c>
      <c r="CZ17" s="129" t="s">
        <v>159</v>
      </c>
      <c r="DA17" s="146">
        <v>0</v>
      </c>
      <c r="DB17" s="129" t="s">
        <v>208</v>
      </c>
      <c r="DC17" s="129">
        <v>5.5100000000000003E-2</v>
      </c>
      <c r="DD17" s="129" t="s">
        <v>159</v>
      </c>
      <c r="DE17" s="146">
        <v>0</v>
      </c>
      <c r="DF17" s="129" t="s">
        <v>208</v>
      </c>
      <c r="DG17" s="129" t="s">
        <v>160</v>
      </c>
      <c r="DH17" s="129" t="s">
        <v>160</v>
      </c>
      <c r="DI17" s="129" t="s">
        <v>160</v>
      </c>
      <c r="DJ17" s="129" t="s">
        <v>160</v>
      </c>
      <c r="DK17" s="145">
        <v>432.56244218316402</v>
      </c>
      <c r="DL17" s="129" t="s">
        <v>159</v>
      </c>
      <c r="DM17" s="145" t="s">
        <v>160</v>
      </c>
      <c r="DN17" s="129" t="s">
        <v>434</v>
      </c>
      <c r="DO17" s="129">
        <v>39.577030000000001</v>
      </c>
      <c r="DP17" s="129" t="s">
        <v>160</v>
      </c>
      <c r="DQ17" s="129">
        <v>0.41214999999999691</v>
      </c>
      <c r="DR17" s="129" t="s">
        <v>435</v>
      </c>
      <c r="DS17" s="129" t="s">
        <v>212</v>
      </c>
      <c r="DT17" s="129" t="s">
        <v>213</v>
      </c>
      <c r="DU17" s="129">
        <v>1.0271999999999999</v>
      </c>
      <c r="DV17" s="129" t="s">
        <v>214</v>
      </c>
      <c r="DW17" s="129" t="s">
        <v>214</v>
      </c>
      <c r="DX17" s="129" t="s">
        <v>215</v>
      </c>
      <c r="DY17" s="129" t="s">
        <v>160</v>
      </c>
      <c r="DZ17" s="129" t="s">
        <v>164</v>
      </c>
      <c r="EA17" s="129" t="s">
        <v>216</v>
      </c>
      <c r="EB17" s="129" t="s">
        <v>212</v>
      </c>
      <c r="EC17" s="129" t="s">
        <v>212</v>
      </c>
      <c r="ED17" s="129" t="s">
        <v>212</v>
      </c>
      <c r="EE17" s="129" t="s">
        <v>217</v>
      </c>
      <c r="EF17" s="147" t="s">
        <v>213</v>
      </c>
      <c r="EG17" s="148" t="s">
        <v>213</v>
      </c>
      <c r="EH17" s="129" t="s">
        <v>218</v>
      </c>
      <c r="EI17" s="129" t="s">
        <v>417</v>
      </c>
      <c r="EJ17" s="129" t="s">
        <v>160</v>
      </c>
      <c r="EK17" s="129">
        <v>1961.9929999999999</v>
      </c>
      <c r="EL17" s="129" t="s">
        <v>163</v>
      </c>
      <c r="EM17" s="129">
        <v>31.184999999999981</v>
      </c>
      <c r="EN17" s="129">
        <v>32.008999999999943</v>
      </c>
      <c r="EO17" s="129" t="s">
        <v>160</v>
      </c>
      <c r="EP17" s="129" t="s">
        <v>160</v>
      </c>
      <c r="EQ17" s="129" t="s">
        <v>160</v>
      </c>
      <c r="ER17" s="129" t="s">
        <v>160</v>
      </c>
      <c r="ES17" s="151">
        <v>8.2581729999999993</v>
      </c>
      <c r="ET17" s="142" t="s">
        <v>165</v>
      </c>
      <c r="EU17" s="141">
        <v>4.4089000000001377E-2</v>
      </c>
      <c r="EV17" s="141">
        <v>4.4933999999999585E-2</v>
      </c>
      <c r="EW17" s="142" t="s">
        <v>160</v>
      </c>
      <c r="EX17" s="129" t="s">
        <v>160</v>
      </c>
      <c r="EY17" s="129" t="s">
        <v>160</v>
      </c>
      <c r="EZ17" s="149">
        <v>177.28639999999999</v>
      </c>
      <c r="FA17" s="150">
        <v>27.483000000000004</v>
      </c>
      <c r="FB17" s="150">
        <v>23.968899999999991</v>
      </c>
      <c r="FC17" s="129" t="s">
        <v>220</v>
      </c>
      <c r="FD17" s="129" t="s">
        <v>221</v>
      </c>
      <c r="FE17" s="150">
        <v>2355.9940000000001</v>
      </c>
      <c r="FF17" s="150">
        <v>56.126999999999953</v>
      </c>
      <c r="FG17" s="150">
        <v>56.369999999999891</v>
      </c>
      <c r="FH17" s="129" t="s">
        <v>160</v>
      </c>
      <c r="FI17" s="129" t="s">
        <v>160</v>
      </c>
      <c r="FJ17" s="129" t="s">
        <v>160</v>
      </c>
      <c r="FK17" s="129" t="s">
        <v>160</v>
      </c>
      <c r="FL17" s="129" t="s">
        <v>160</v>
      </c>
      <c r="FM17" s="129" t="s">
        <v>160</v>
      </c>
      <c r="FN17" s="151">
        <v>5.1307309999999999</v>
      </c>
      <c r="FO17" s="141">
        <v>0.41773500000000041</v>
      </c>
      <c r="FP17" s="141">
        <v>0.40268899999999963</v>
      </c>
      <c r="FQ17" s="178" t="s">
        <v>419</v>
      </c>
      <c r="FR17" s="176" t="s">
        <v>160</v>
      </c>
    </row>
    <row r="18" spans="1:174" s="129" customFormat="1" ht="17">
      <c r="A18" s="165" t="s">
        <v>152</v>
      </c>
      <c r="B18" s="166" t="s">
        <v>183</v>
      </c>
      <c r="C18" s="166">
        <v>2018</v>
      </c>
      <c r="D18" s="166" t="s">
        <v>184</v>
      </c>
      <c r="E18" s="177">
        <v>2210</v>
      </c>
      <c r="F18" s="167" t="str">
        <f t="shared" si="0"/>
        <v>NA</v>
      </c>
      <c r="G18" s="167" t="str">
        <f t="shared" si="0"/>
        <v>NA</v>
      </c>
      <c r="H18" s="168">
        <v>243.86340000000001</v>
      </c>
      <c r="I18" s="130">
        <v>38.48619999999994</v>
      </c>
      <c r="J18" s="130">
        <v>32.231400000000008</v>
      </c>
      <c r="K18" s="129" t="s">
        <v>457</v>
      </c>
      <c r="L18" s="131" t="s">
        <v>185</v>
      </c>
      <c r="M18" s="132" t="s">
        <v>186</v>
      </c>
      <c r="N18" s="129" t="s">
        <v>184</v>
      </c>
      <c r="O18" s="133">
        <v>926</v>
      </c>
      <c r="P18" s="129" t="s">
        <v>156</v>
      </c>
      <c r="Q18" s="133">
        <v>8</v>
      </c>
      <c r="R18" s="133">
        <v>2</v>
      </c>
      <c r="S18" s="133">
        <v>76</v>
      </c>
      <c r="T18" s="133">
        <v>78</v>
      </c>
      <c r="U18" s="129" t="s">
        <v>160</v>
      </c>
      <c r="V18" s="171">
        <v>71.36</v>
      </c>
      <c r="W18" s="129" t="s">
        <v>160</v>
      </c>
      <c r="X18" s="129" t="s">
        <v>245</v>
      </c>
      <c r="Y18" s="172">
        <v>3.7191000000000001</v>
      </c>
      <c r="Z18" s="172">
        <v>-42.9084</v>
      </c>
      <c r="AA18" s="136" t="s">
        <v>160</v>
      </c>
      <c r="AB18" s="136" t="s">
        <v>160</v>
      </c>
      <c r="AC18" s="129">
        <v>3598</v>
      </c>
      <c r="AD18" s="136" t="s">
        <v>160</v>
      </c>
      <c r="AE18" s="136" t="s">
        <v>160</v>
      </c>
      <c r="AF18" s="129" t="s">
        <v>160</v>
      </c>
      <c r="AG18" s="173">
        <v>2210</v>
      </c>
      <c r="AH18" s="138" t="s">
        <v>160</v>
      </c>
      <c r="AI18" s="129" t="s">
        <v>160</v>
      </c>
      <c r="AJ18" s="138" t="s">
        <v>160</v>
      </c>
      <c r="AK18" s="129" t="s">
        <v>237</v>
      </c>
      <c r="AL18" s="139" t="s">
        <v>246</v>
      </c>
      <c r="AM18" s="139" t="s">
        <v>247</v>
      </c>
      <c r="AN18" s="129" t="s">
        <v>160</v>
      </c>
      <c r="AO18" s="129" t="s">
        <v>160</v>
      </c>
      <c r="AP18" s="129" t="s">
        <v>160</v>
      </c>
      <c r="AQ18" s="129" t="s">
        <v>160</v>
      </c>
      <c r="AR18" s="129" t="s">
        <v>160</v>
      </c>
      <c r="AS18" s="129" t="s">
        <v>160</v>
      </c>
      <c r="AT18" s="129" t="s">
        <v>160</v>
      </c>
      <c r="AU18" s="129" t="s">
        <v>191</v>
      </c>
      <c r="AV18" s="129" t="s">
        <v>161</v>
      </c>
      <c r="AW18" s="129" t="s">
        <v>192</v>
      </c>
      <c r="AX18" s="129" t="s">
        <v>193</v>
      </c>
      <c r="AY18" s="129" t="s">
        <v>194</v>
      </c>
      <c r="AZ18" s="129" t="s">
        <v>195</v>
      </c>
      <c r="BA18" s="129" t="s">
        <v>196</v>
      </c>
      <c r="BB18" s="129" t="s">
        <v>256</v>
      </c>
      <c r="BC18" s="140">
        <v>2</v>
      </c>
      <c r="BD18" s="129" t="s">
        <v>249</v>
      </c>
      <c r="BE18" s="173">
        <v>18.630081809656417</v>
      </c>
      <c r="BF18" s="129" t="s">
        <v>199</v>
      </c>
      <c r="BG18" s="173">
        <v>0.29621718846220702</v>
      </c>
      <c r="BH18" s="129">
        <v>0.83299999999999996</v>
      </c>
      <c r="BI18" s="129" t="s">
        <v>160</v>
      </c>
      <c r="BJ18" s="138" t="s">
        <v>160</v>
      </c>
      <c r="BK18" s="129">
        <v>2.69</v>
      </c>
      <c r="BL18" s="129" t="s">
        <v>160</v>
      </c>
      <c r="BM18" s="129" t="s">
        <v>160</v>
      </c>
      <c r="BN18" s="129" t="s">
        <v>200</v>
      </c>
      <c r="BO18" s="129" t="s">
        <v>201</v>
      </c>
      <c r="BP18" s="141">
        <v>19.135752472576733</v>
      </c>
      <c r="BQ18" s="129" t="s">
        <v>202</v>
      </c>
      <c r="BR18" s="142">
        <f t="shared" si="2"/>
        <v>0.29621718846220702</v>
      </c>
      <c r="BS18" s="129" t="s">
        <v>160</v>
      </c>
      <c r="BT18" s="129" t="s">
        <v>160</v>
      </c>
      <c r="BU18" s="129">
        <v>10</v>
      </c>
      <c r="BV18" s="129" t="s">
        <v>159</v>
      </c>
      <c r="BW18" s="129">
        <v>10</v>
      </c>
      <c r="BX18" s="143">
        <v>23.148075883651639</v>
      </c>
      <c r="BY18" s="129" t="s">
        <v>159</v>
      </c>
      <c r="BZ18" s="129">
        <v>1</v>
      </c>
      <c r="CA18" s="129">
        <v>1</v>
      </c>
      <c r="CB18" s="129" t="s">
        <v>160</v>
      </c>
      <c r="CC18" s="173">
        <v>3.1030673194470815</v>
      </c>
      <c r="CD18" s="129" t="s">
        <v>163</v>
      </c>
      <c r="CE18" s="144">
        <f t="shared" si="4"/>
        <v>8.3782817625071199E-2</v>
      </c>
      <c r="CF18" s="144">
        <f t="shared" si="5"/>
        <v>8.3782817625071199E-2</v>
      </c>
      <c r="CG18" s="145" t="s">
        <v>203</v>
      </c>
      <c r="CH18" s="129" t="s">
        <v>204</v>
      </c>
      <c r="CI18" s="129" t="s">
        <v>205</v>
      </c>
      <c r="CJ18" s="129" t="s">
        <v>206</v>
      </c>
      <c r="CK18" s="129" t="s">
        <v>158</v>
      </c>
      <c r="CL18" s="129" t="s">
        <v>158</v>
      </c>
      <c r="CM18" s="129" t="s">
        <v>158</v>
      </c>
      <c r="CN18" s="129" t="s">
        <v>160</v>
      </c>
      <c r="CO18" s="129" t="s">
        <v>160</v>
      </c>
      <c r="CP18" s="129" t="s">
        <v>160</v>
      </c>
      <c r="CQ18" s="129" t="s">
        <v>160</v>
      </c>
      <c r="CR18" s="129" t="s">
        <v>160</v>
      </c>
      <c r="CS18" s="129" t="s">
        <v>160</v>
      </c>
      <c r="CT18" s="129" t="s">
        <v>160</v>
      </c>
      <c r="CU18" s="129">
        <v>36.01</v>
      </c>
      <c r="CV18" s="129" t="s">
        <v>159</v>
      </c>
      <c r="CW18" s="146">
        <v>1</v>
      </c>
      <c r="CX18" s="129" t="s">
        <v>207</v>
      </c>
      <c r="CY18" s="129">
        <v>1.06E-2</v>
      </c>
      <c r="CZ18" s="129" t="s">
        <v>159</v>
      </c>
      <c r="DA18" s="146">
        <v>0</v>
      </c>
      <c r="DB18" s="129" t="s">
        <v>208</v>
      </c>
      <c r="DC18" s="129">
        <v>5.5100000000000003E-2</v>
      </c>
      <c r="DD18" s="129" t="s">
        <v>159</v>
      </c>
      <c r="DE18" s="146">
        <v>0</v>
      </c>
      <c r="DF18" s="129" t="s">
        <v>208</v>
      </c>
      <c r="DG18" s="129" t="s">
        <v>160</v>
      </c>
      <c r="DH18" s="129" t="s">
        <v>160</v>
      </c>
      <c r="DI18" s="129" t="s">
        <v>160</v>
      </c>
      <c r="DJ18" s="129" t="s">
        <v>160</v>
      </c>
      <c r="DK18" s="145">
        <v>432.56244218316402</v>
      </c>
      <c r="DL18" s="129" t="s">
        <v>159</v>
      </c>
      <c r="DM18" s="145" t="s">
        <v>160</v>
      </c>
      <c r="DN18" s="129" t="s">
        <v>434</v>
      </c>
      <c r="DO18" s="129">
        <v>39.641779999999997</v>
      </c>
      <c r="DP18" s="129" t="s">
        <v>160</v>
      </c>
      <c r="DQ18" s="129">
        <v>0.38578000000000401</v>
      </c>
      <c r="DR18" s="129" t="s">
        <v>435</v>
      </c>
      <c r="DS18" s="129" t="s">
        <v>212</v>
      </c>
      <c r="DT18" s="129" t="s">
        <v>213</v>
      </c>
      <c r="DU18" s="129">
        <v>1.0271999999999999</v>
      </c>
      <c r="DV18" s="129" t="s">
        <v>214</v>
      </c>
      <c r="DW18" s="129" t="s">
        <v>214</v>
      </c>
      <c r="DX18" s="129" t="s">
        <v>215</v>
      </c>
      <c r="DY18" s="129" t="s">
        <v>160</v>
      </c>
      <c r="DZ18" s="129" t="s">
        <v>164</v>
      </c>
      <c r="EA18" s="129" t="s">
        <v>216</v>
      </c>
      <c r="EB18" s="129" t="s">
        <v>212</v>
      </c>
      <c r="EC18" s="129" t="s">
        <v>212</v>
      </c>
      <c r="ED18" s="129" t="s">
        <v>212</v>
      </c>
      <c r="EE18" s="129" t="s">
        <v>217</v>
      </c>
      <c r="EF18" s="147" t="s">
        <v>213</v>
      </c>
      <c r="EG18" s="148" t="s">
        <v>213</v>
      </c>
      <c r="EH18" s="129" t="s">
        <v>218</v>
      </c>
      <c r="EI18" s="129" t="s">
        <v>417</v>
      </c>
      <c r="EJ18" s="129" t="s">
        <v>160</v>
      </c>
      <c r="EK18" s="129">
        <v>1955.5380000000002</v>
      </c>
      <c r="EL18" s="129" t="s">
        <v>163</v>
      </c>
      <c r="EM18" s="129">
        <v>37.612999999999708</v>
      </c>
      <c r="EN18" s="129">
        <v>38.268000000000157</v>
      </c>
      <c r="EO18" s="129" t="s">
        <v>160</v>
      </c>
      <c r="EP18" s="129" t="s">
        <v>160</v>
      </c>
      <c r="EQ18" s="129" t="s">
        <v>160</v>
      </c>
      <c r="ER18" s="129" t="s">
        <v>160</v>
      </c>
      <c r="ES18" s="151">
        <v>8.1547879999999999</v>
      </c>
      <c r="ET18" s="142" t="s">
        <v>165</v>
      </c>
      <c r="EU18" s="141">
        <v>4.6575999999999951E-2</v>
      </c>
      <c r="EV18" s="141">
        <v>4.8766000000000531E-2</v>
      </c>
      <c r="EW18" s="142" t="s">
        <v>160</v>
      </c>
      <c r="EX18" s="129" t="s">
        <v>160</v>
      </c>
      <c r="EY18" s="129" t="s">
        <v>160</v>
      </c>
      <c r="EZ18" s="149">
        <v>243.86340000000001</v>
      </c>
      <c r="FA18" s="150">
        <v>38.48619999999994</v>
      </c>
      <c r="FB18" s="150">
        <v>32.231400000000008</v>
      </c>
      <c r="FC18" s="129" t="s">
        <v>220</v>
      </c>
      <c r="FD18" s="129" t="s">
        <v>221</v>
      </c>
      <c r="FE18" s="150">
        <v>2261.8319999999999</v>
      </c>
      <c r="FF18" s="150">
        <v>57.722000000000207</v>
      </c>
      <c r="FG18" s="150">
        <v>57.26299999999992</v>
      </c>
      <c r="FH18" s="129" t="s">
        <v>160</v>
      </c>
      <c r="FI18" s="129" t="s">
        <v>160</v>
      </c>
      <c r="FJ18" s="129" t="s">
        <v>160</v>
      </c>
      <c r="FK18" s="129" t="s">
        <v>160</v>
      </c>
      <c r="FL18" s="129" t="s">
        <v>160</v>
      </c>
      <c r="FM18" s="129" t="s">
        <v>160</v>
      </c>
      <c r="FN18" s="151">
        <v>4.1249149999999997</v>
      </c>
      <c r="FO18" s="141">
        <v>0.36419000000000068</v>
      </c>
      <c r="FP18" s="141">
        <v>0.35432699999999961</v>
      </c>
      <c r="FQ18" s="178" t="s">
        <v>419</v>
      </c>
      <c r="FR18" s="176" t="s">
        <v>160</v>
      </c>
    </row>
    <row r="19" spans="1:174" s="129" customFormat="1" ht="17">
      <c r="A19" s="165" t="s">
        <v>152</v>
      </c>
      <c r="B19" s="166" t="s">
        <v>183</v>
      </c>
      <c r="C19" s="166">
        <v>2018</v>
      </c>
      <c r="D19" s="166" t="s">
        <v>184</v>
      </c>
      <c r="E19" s="177">
        <v>2550</v>
      </c>
      <c r="F19" s="167" t="str">
        <f t="shared" si="0"/>
        <v>NA</v>
      </c>
      <c r="G19" s="167" t="str">
        <f t="shared" si="0"/>
        <v>NA</v>
      </c>
      <c r="H19" s="168">
        <v>230.77030000000002</v>
      </c>
      <c r="I19" s="130">
        <v>30.810999999999979</v>
      </c>
      <c r="J19" s="130">
        <v>28.786500000000018</v>
      </c>
      <c r="K19" s="129" t="s">
        <v>457</v>
      </c>
      <c r="L19" s="131" t="s">
        <v>185</v>
      </c>
      <c r="M19" s="132" t="s">
        <v>186</v>
      </c>
      <c r="N19" s="129" t="s">
        <v>184</v>
      </c>
      <c r="O19" s="133">
        <v>926</v>
      </c>
      <c r="P19" s="129" t="s">
        <v>156</v>
      </c>
      <c r="Q19" s="133">
        <v>9</v>
      </c>
      <c r="R19" s="133">
        <v>2</v>
      </c>
      <c r="S19" s="133">
        <v>75</v>
      </c>
      <c r="T19" s="133">
        <v>77</v>
      </c>
      <c r="U19" s="129" t="s">
        <v>160</v>
      </c>
      <c r="V19" s="171">
        <v>82.300000000000011</v>
      </c>
      <c r="W19" s="129" t="s">
        <v>160</v>
      </c>
      <c r="X19" s="129" t="s">
        <v>245</v>
      </c>
      <c r="Y19" s="172">
        <v>3.7191000000000001</v>
      </c>
      <c r="Z19" s="172">
        <v>-42.9084</v>
      </c>
      <c r="AA19" s="136" t="s">
        <v>160</v>
      </c>
      <c r="AB19" s="136" t="s">
        <v>160</v>
      </c>
      <c r="AC19" s="129">
        <v>3598</v>
      </c>
      <c r="AD19" s="136" t="s">
        <v>160</v>
      </c>
      <c r="AE19" s="136" t="s">
        <v>160</v>
      </c>
      <c r="AF19" s="129" t="s">
        <v>160</v>
      </c>
      <c r="AG19" s="173">
        <v>2550</v>
      </c>
      <c r="AH19" s="138" t="s">
        <v>160</v>
      </c>
      <c r="AI19" s="129" t="s">
        <v>160</v>
      </c>
      <c r="AJ19" s="138" t="s">
        <v>160</v>
      </c>
      <c r="AK19" s="129" t="s">
        <v>237</v>
      </c>
      <c r="AL19" s="139" t="s">
        <v>246</v>
      </c>
      <c r="AM19" s="139" t="s">
        <v>247</v>
      </c>
      <c r="AN19" s="129" t="s">
        <v>160</v>
      </c>
      <c r="AO19" s="129" t="s">
        <v>160</v>
      </c>
      <c r="AP19" s="129" t="s">
        <v>160</v>
      </c>
      <c r="AQ19" s="129" t="s">
        <v>160</v>
      </c>
      <c r="AR19" s="129" t="s">
        <v>160</v>
      </c>
      <c r="AS19" s="129" t="s">
        <v>160</v>
      </c>
      <c r="AT19" s="129" t="s">
        <v>160</v>
      </c>
      <c r="AU19" s="129" t="s">
        <v>191</v>
      </c>
      <c r="AV19" s="129" t="s">
        <v>161</v>
      </c>
      <c r="AW19" s="129" t="s">
        <v>192</v>
      </c>
      <c r="AX19" s="129" t="s">
        <v>193</v>
      </c>
      <c r="AY19" s="129" t="s">
        <v>194</v>
      </c>
      <c r="AZ19" s="129" t="s">
        <v>195</v>
      </c>
      <c r="BA19" s="129" t="s">
        <v>196</v>
      </c>
      <c r="BB19" s="129" t="s">
        <v>257</v>
      </c>
      <c r="BC19" s="140">
        <v>2</v>
      </c>
      <c r="BD19" s="129" t="s">
        <v>198</v>
      </c>
      <c r="BE19" s="173">
        <v>19.013144205585533</v>
      </c>
      <c r="BF19" s="129" t="s">
        <v>199</v>
      </c>
      <c r="BG19" s="173">
        <v>0.25390624665404421</v>
      </c>
      <c r="BH19" s="129">
        <v>0.83299999999999996</v>
      </c>
      <c r="BI19" s="129" t="s">
        <v>160</v>
      </c>
      <c r="BJ19" s="138" t="s">
        <v>160</v>
      </c>
      <c r="BK19" s="129">
        <v>2.69</v>
      </c>
      <c r="BL19" s="129" t="s">
        <v>160</v>
      </c>
      <c r="BM19" s="129" t="s">
        <v>160</v>
      </c>
      <c r="BN19" s="129" t="s">
        <v>200</v>
      </c>
      <c r="BO19" s="129" t="s">
        <v>201</v>
      </c>
      <c r="BP19" s="141">
        <v>19.595611291219125</v>
      </c>
      <c r="BQ19" s="129" t="s">
        <v>202</v>
      </c>
      <c r="BR19" s="142">
        <f t="shared" si="2"/>
        <v>0.25390624665404421</v>
      </c>
      <c r="BS19" s="129" t="s">
        <v>160</v>
      </c>
      <c r="BT19" s="129" t="s">
        <v>160</v>
      </c>
      <c r="BU19" s="129">
        <v>10</v>
      </c>
      <c r="BV19" s="129" t="s">
        <v>159</v>
      </c>
      <c r="BW19" s="129">
        <v>10</v>
      </c>
      <c r="BX19" s="143">
        <v>24.312998136946884</v>
      </c>
      <c r="BY19" s="129" t="s">
        <v>159</v>
      </c>
      <c r="BZ19" s="129">
        <v>1</v>
      </c>
      <c r="CA19" s="129">
        <v>1</v>
      </c>
      <c r="CB19" s="129" t="s">
        <v>160</v>
      </c>
      <c r="CC19" s="173">
        <v>3.4583234181062266</v>
      </c>
      <c r="CD19" s="129" t="s">
        <v>163</v>
      </c>
      <c r="CE19" s="144">
        <f t="shared" si="4"/>
        <v>9.3374732288868112E-2</v>
      </c>
      <c r="CF19" s="144">
        <f t="shared" si="5"/>
        <v>9.3374732288868112E-2</v>
      </c>
      <c r="CG19" s="145" t="s">
        <v>203</v>
      </c>
      <c r="CH19" s="129" t="s">
        <v>204</v>
      </c>
      <c r="CI19" s="129" t="s">
        <v>205</v>
      </c>
      <c r="CJ19" s="129" t="s">
        <v>206</v>
      </c>
      <c r="CK19" s="129" t="s">
        <v>158</v>
      </c>
      <c r="CL19" s="129" t="s">
        <v>158</v>
      </c>
      <c r="CM19" s="129" t="s">
        <v>158</v>
      </c>
      <c r="CN19" s="129" t="s">
        <v>160</v>
      </c>
      <c r="CO19" s="129" t="s">
        <v>160</v>
      </c>
      <c r="CP19" s="129" t="s">
        <v>160</v>
      </c>
      <c r="CQ19" s="129" t="s">
        <v>160</v>
      </c>
      <c r="CR19" s="129" t="s">
        <v>160</v>
      </c>
      <c r="CS19" s="129" t="s">
        <v>160</v>
      </c>
      <c r="CT19" s="129" t="s">
        <v>160</v>
      </c>
      <c r="CU19" s="129">
        <v>36.01</v>
      </c>
      <c r="CV19" s="129" t="s">
        <v>159</v>
      </c>
      <c r="CW19" s="146">
        <v>1</v>
      </c>
      <c r="CX19" s="129" t="s">
        <v>207</v>
      </c>
      <c r="CY19" s="129">
        <v>1.06E-2</v>
      </c>
      <c r="CZ19" s="129" t="s">
        <v>159</v>
      </c>
      <c r="DA19" s="146">
        <v>0</v>
      </c>
      <c r="DB19" s="129" t="s">
        <v>208</v>
      </c>
      <c r="DC19" s="129">
        <v>5.5100000000000003E-2</v>
      </c>
      <c r="DD19" s="129" t="s">
        <v>159</v>
      </c>
      <c r="DE19" s="146">
        <v>0</v>
      </c>
      <c r="DF19" s="129" t="s">
        <v>208</v>
      </c>
      <c r="DG19" s="129" t="s">
        <v>160</v>
      </c>
      <c r="DH19" s="129" t="s">
        <v>160</v>
      </c>
      <c r="DI19" s="129" t="s">
        <v>160</v>
      </c>
      <c r="DJ19" s="129" t="s">
        <v>160</v>
      </c>
      <c r="DK19" s="145">
        <v>432.56244218316402</v>
      </c>
      <c r="DL19" s="129" t="s">
        <v>159</v>
      </c>
      <c r="DM19" s="145" t="s">
        <v>160</v>
      </c>
      <c r="DN19" s="129" t="s">
        <v>434</v>
      </c>
      <c r="DO19" s="129">
        <v>39.703110000000002</v>
      </c>
      <c r="DP19" s="129" t="s">
        <v>160</v>
      </c>
      <c r="DQ19" s="129">
        <v>0.34147999999999712</v>
      </c>
      <c r="DR19" s="129" t="s">
        <v>435</v>
      </c>
      <c r="DS19" s="129" t="s">
        <v>212</v>
      </c>
      <c r="DT19" s="129" t="s">
        <v>213</v>
      </c>
      <c r="DU19" s="129">
        <v>1.0271999999999999</v>
      </c>
      <c r="DV19" s="129" t="s">
        <v>214</v>
      </c>
      <c r="DW19" s="129" t="s">
        <v>214</v>
      </c>
      <c r="DX19" s="129" t="s">
        <v>215</v>
      </c>
      <c r="DY19" s="129" t="s">
        <v>160</v>
      </c>
      <c r="DZ19" s="129" t="s">
        <v>164</v>
      </c>
      <c r="EA19" s="129" t="s">
        <v>216</v>
      </c>
      <c r="EB19" s="129" t="s">
        <v>212</v>
      </c>
      <c r="EC19" s="129" t="s">
        <v>212</v>
      </c>
      <c r="ED19" s="129" t="s">
        <v>212</v>
      </c>
      <c r="EE19" s="129" t="s">
        <v>217</v>
      </c>
      <c r="EF19" s="147" t="s">
        <v>213</v>
      </c>
      <c r="EG19" s="148" t="s">
        <v>213</v>
      </c>
      <c r="EH19" s="129" t="s">
        <v>218</v>
      </c>
      <c r="EI19" s="129" t="s">
        <v>417</v>
      </c>
      <c r="EJ19" s="129" t="s">
        <v>160</v>
      </c>
      <c r="EK19" s="129">
        <v>1948.1279999999999</v>
      </c>
      <c r="EL19" s="129" t="s">
        <v>163</v>
      </c>
      <c r="EM19" s="129">
        <v>43.552999999999997</v>
      </c>
      <c r="EN19" s="129">
        <v>42.468999999999838</v>
      </c>
      <c r="EO19" s="129" t="s">
        <v>160</v>
      </c>
      <c r="EP19" s="129" t="s">
        <v>160</v>
      </c>
      <c r="EQ19" s="129" t="s">
        <v>160</v>
      </c>
      <c r="ER19" s="129" t="s">
        <v>160</v>
      </c>
      <c r="ES19" s="151">
        <v>8.1724990000000002</v>
      </c>
      <c r="ET19" s="142" t="s">
        <v>165</v>
      </c>
      <c r="EU19" s="141">
        <v>4.2104000000000141E-2</v>
      </c>
      <c r="EV19" s="141">
        <v>4.1812000000000182E-2</v>
      </c>
      <c r="EW19" s="142" t="s">
        <v>160</v>
      </c>
      <c r="EX19" s="129" t="s">
        <v>160</v>
      </c>
      <c r="EY19" s="129" t="s">
        <v>160</v>
      </c>
      <c r="EZ19" s="149">
        <v>230.77030000000002</v>
      </c>
      <c r="FA19" s="150">
        <v>30.810999999999979</v>
      </c>
      <c r="FB19" s="150">
        <v>28.786500000000018</v>
      </c>
      <c r="FC19" s="129" t="s">
        <v>220</v>
      </c>
      <c r="FD19" s="129" t="s">
        <v>221</v>
      </c>
      <c r="FE19" s="150">
        <v>2281.0370000000003</v>
      </c>
      <c r="FF19" s="150">
        <v>59.934999999999945</v>
      </c>
      <c r="FG19" s="150">
        <v>61.268000000000484</v>
      </c>
      <c r="FH19" s="129" t="s">
        <v>160</v>
      </c>
      <c r="FI19" s="129" t="s">
        <v>160</v>
      </c>
      <c r="FJ19" s="129" t="s">
        <v>160</v>
      </c>
      <c r="FK19" s="129" t="s">
        <v>160</v>
      </c>
      <c r="FL19" s="129" t="s">
        <v>160</v>
      </c>
      <c r="FM19" s="129" t="s">
        <v>160</v>
      </c>
      <c r="FN19" s="151">
        <v>4.4817359999999997</v>
      </c>
      <c r="FO19" s="141">
        <v>0.34365700000000032</v>
      </c>
      <c r="FP19" s="141">
        <v>0.3397319999999997</v>
      </c>
      <c r="FQ19" s="178" t="s">
        <v>419</v>
      </c>
      <c r="FR19" s="176" t="s">
        <v>160</v>
      </c>
    </row>
    <row r="20" spans="1:174" s="129" customFormat="1" ht="17">
      <c r="A20" s="165" t="s">
        <v>152</v>
      </c>
      <c r="B20" s="166" t="s">
        <v>183</v>
      </c>
      <c r="C20" s="166">
        <v>2018</v>
      </c>
      <c r="D20" s="166" t="s">
        <v>184</v>
      </c>
      <c r="E20" s="177">
        <v>2880</v>
      </c>
      <c r="F20" s="167" t="str">
        <f t="shared" ref="F20:G43" si="6">AH20</f>
        <v>NA</v>
      </c>
      <c r="G20" s="167" t="str">
        <f t="shared" si="6"/>
        <v>NA</v>
      </c>
      <c r="H20" s="168">
        <v>190.18010000000001</v>
      </c>
      <c r="I20" s="130">
        <v>26.432899999999989</v>
      </c>
      <c r="J20" s="130">
        <v>23.088799999999992</v>
      </c>
      <c r="K20" s="129" t="s">
        <v>457</v>
      </c>
      <c r="L20" s="131" t="s">
        <v>185</v>
      </c>
      <c r="M20" s="132" t="s">
        <v>186</v>
      </c>
      <c r="N20" s="129" t="s">
        <v>184</v>
      </c>
      <c r="O20" s="133">
        <v>926</v>
      </c>
      <c r="P20" s="129" t="s">
        <v>156</v>
      </c>
      <c r="Q20" s="133">
        <v>10</v>
      </c>
      <c r="R20" s="133">
        <v>2</v>
      </c>
      <c r="S20" s="133">
        <v>83</v>
      </c>
      <c r="T20" s="133">
        <v>85</v>
      </c>
      <c r="U20" s="129" t="s">
        <v>160</v>
      </c>
      <c r="V20" s="171">
        <v>92.850000000000009</v>
      </c>
      <c r="W20" s="129" t="s">
        <v>160</v>
      </c>
      <c r="X20" s="129" t="s">
        <v>245</v>
      </c>
      <c r="Y20" s="172">
        <v>3.7191000000000001</v>
      </c>
      <c r="Z20" s="172">
        <v>-42.9084</v>
      </c>
      <c r="AA20" s="136" t="s">
        <v>160</v>
      </c>
      <c r="AB20" s="136" t="s">
        <v>160</v>
      </c>
      <c r="AC20" s="129">
        <v>3598</v>
      </c>
      <c r="AD20" s="136" t="s">
        <v>160</v>
      </c>
      <c r="AE20" s="136" t="s">
        <v>160</v>
      </c>
      <c r="AF20" s="129" t="s">
        <v>160</v>
      </c>
      <c r="AG20" s="173">
        <v>2880</v>
      </c>
      <c r="AH20" s="138" t="s">
        <v>160</v>
      </c>
      <c r="AI20" s="129" t="s">
        <v>160</v>
      </c>
      <c r="AJ20" s="138" t="s">
        <v>160</v>
      </c>
      <c r="AK20" s="129" t="s">
        <v>237</v>
      </c>
      <c r="AL20" s="139" t="s">
        <v>246</v>
      </c>
      <c r="AM20" s="139" t="s">
        <v>247</v>
      </c>
      <c r="AN20" s="129" t="s">
        <v>160</v>
      </c>
      <c r="AO20" s="129" t="s">
        <v>160</v>
      </c>
      <c r="AP20" s="129" t="s">
        <v>160</v>
      </c>
      <c r="AQ20" s="129" t="s">
        <v>160</v>
      </c>
      <c r="AR20" s="129" t="s">
        <v>160</v>
      </c>
      <c r="AS20" s="129" t="s">
        <v>160</v>
      </c>
      <c r="AT20" s="129" t="s">
        <v>160</v>
      </c>
      <c r="AU20" s="129" t="s">
        <v>191</v>
      </c>
      <c r="AV20" s="129" t="s">
        <v>161</v>
      </c>
      <c r="AW20" s="129" t="s">
        <v>192</v>
      </c>
      <c r="AX20" s="129" t="s">
        <v>193</v>
      </c>
      <c r="AY20" s="129" t="s">
        <v>194</v>
      </c>
      <c r="AZ20" s="129" t="s">
        <v>195</v>
      </c>
      <c r="BA20" s="129" t="s">
        <v>196</v>
      </c>
      <c r="BB20" s="129" t="s">
        <v>258</v>
      </c>
      <c r="BC20" s="140">
        <v>2</v>
      </c>
      <c r="BD20" s="129" t="s">
        <v>223</v>
      </c>
      <c r="BE20" s="173">
        <v>19.773793985465971</v>
      </c>
      <c r="BF20" s="129" t="s">
        <v>199</v>
      </c>
      <c r="BG20" s="173">
        <v>0.23527681360475475</v>
      </c>
      <c r="BH20" s="129">
        <v>0.83299999999999996</v>
      </c>
      <c r="BI20" s="129" t="s">
        <v>160</v>
      </c>
      <c r="BJ20" s="138" t="s">
        <v>160</v>
      </c>
      <c r="BK20" s="129">
        <v>2.69</v>
      </c>
      <c r="BL20" s="129" t="s">
        <v>160</v>
      </c>
      <c r="BM20" s="129" t="s">
        <v>160</v>
      </c>
      <c r="BN20" s="129" t="s">
        <v>200</v>
      </c>
      <c r="BO20" s="129" t="s">
        <v>201</v>
      </c>
      <c r="BP20" s="141">
        <v>20.508756285073193</v>
      </c>
      <c r="BQ20" s="129" t="s">
        <v>202</v>
      </c>
      <c r="BR20" s="142">
        <f t="shared" si="2"/>
        <v>0.23527681360475475</v>
      </c>
      <c r="BS20" s="129" t="s">
        <v>160</v>
      </c>
      <c r="BT20" s="129" t="s">
        <v>160</v>
      </c>
      <c r="BU20" s="129">
        <v>10</v>
      </c>
      <c r="BV20" s="129" t="s">
        <v>159</v>
      </c>
      <c r="BW20" s="129">
        <v>10</v>
      </c>
      <c r="BX20" s="143">
        <v>25.06940626288111</v>
      </c>
      <c r="BY20" s="129" t="s">
        <v>159</v>
      </c>
      <c r="BZ20" s="129">
        <v>1</v>
      </c>
      <c r="CA20" s="129">
        <v>1</v>
      </c>
      <c r="CB20" s="129" t="s">
        <v>160</v>
      </c>
      <c r="CC20" s="173">
        <v>3.7150552344399834</v>
      </c>
      <c r="CD20" s="129" t="s">
        <v>163</v>
      </c>
      <c r="CE20" s="144">
        <f t="shared" si="4"/>
        <v>0.10030649132987955</v>
      </c>
      <c r="CF20" s="144">
        <f t="shared" si="5"/>
        <v>0.10030649132987955</v>
      </c>
      <c r="CG20" s="145" t="s">
        <v>203</v>
      </c>
      <c r="CH20" s="129" t="s">
        <v>204</v>
      </c>
      <c r="CI20" s="129" t="s">
        <v>205</v>
      </c>
      <c r="CJ20" s="129" t="s">
        <v>206</v>
      </c>
      <c r="CK20" s="129" t="s">
        <v>158</v>
      </c>
      <c r="CL20" s="129" t="s">
        <v>158</v>
      </c>
      <c r="CM20" s="129" t="s">
        <v>158</v>
      </c>
      <c r="CN20" s="129" t="s">
        <v>160</v>
      </c>
      <c r="CO20" s="129" t="s">
        <v>160</v>
      </c>
      <c r="CP20" s="129" t="s">
        <v>160</v>
      </c>
      <c r="CQ20" s="129" t="s">
        <v>160</v>
      </c>
      <c r="CR20" s="129" t="s">
        <v>160</v>
      </c>
      <c r="CS20" s="129" t="s">
        <v>160</v>
      </c>
      <c r="CT20" s="129" t="s">
        <v>160</v>
      </c>
      <c r="CU20" s="129">
        <v>36.01</v>
      </c>
      <c r="CV20" s="129" t="s">
        <v>159</v>
      </c>
      <c r="CW20" s="146">
        <v>1</v>
      </c>
      <c r="CX20" s="129" t="s">
        <v>207</v>
      </c>
      <c r="CY20" s="129">
        <v>1.06E-2</v>
      </c>
      <c r="CZ20" s="129" t="s">
        <v>159</v>
      </c>
      <c r="DA20" s="146">
        <v>0</v>
      </c>
      <c r="DB20" s="129" t="s">
        <v>208</v>
      </c>
      <c r="DC20" s="129">
        <v>5.5100000000000003E-2</v>
      </c>
      <c r="DD20" s="129" t="s">
        <v>159</v>
      </c>
      <c r="DE20" s="146">
        <v>0</v>
      </c>
      <c r="DF20" s="129" t="s">
        <v>208</v>
      </c>
      <c r="DG20" s="129" t="s">
        <v>160</v>
      </c>
      <c r="DH20" s="129" t="s">
        <v>160</v>
      </c>
      <c r="DI20" s="129" t="s">
        <v>160</v>
      </c>
      <c r="DJ20" s="129" t="s">
        <v>160</v>
      </c>
      <c r="DK20" s="145">
        <v>432.56244218316402</v>
      </c>
      <c r="DL20" s="129" t="s">
        <v>159</v>
      </c>
      <c r="DM20" s="145" t="s">
        <v>160</v>
      </c>
      <c r="DN20" s="129" t="s">
        <v>434</v>
      </c>
      <c r="DO20" s="129">
        <v>39.715780000000002</v>
      </c>
      <c r="DP20" s="129" t="s">
        <v>160</v>
      </c>
      <c r="DQ20" s="129">
        <v>0.35402999999999452</v>
      </c>
      <c r="DR20" s="129" t="s">
        <v>435</v>
      </c>
      <c r="DS20" s="129" t="s">
        <v>212</v>
      </c>
      <c r="DT20" s="129" t="s">
        <v>213</v>
      </c>
      <c r="DU20" s="129">
        <v>1.0271999999999999</v>
      </c>
      <c r="DV20" s="129" t="s">
        <v>214</v>
      </c>
      <c r="DW20" s="129" t="s">
        <v>214</v>
      </c>
      <c r="DX20" s="129" t="s">
        <v>215</v>
      </c>
      <c r="DY20" s="129" t="s">
        <v>160</v>
      </c>
      <c r="DZ20" s="129" t="s">
        <v>164</v>
      </c>
      <c r="EA20" s="129" t="s">
        <v>216</v>
      </c>
      <c r="EB20" s="129" t="s">
        <v>212</v>
      </c>
      <c r="EC20" s="129" t="s">
        <v>212</v>
      </c>
      <c r="ED20" s="129" t="s">
        <v>212</v>
      </c>
      <c r="EE20" s="129" t="s">
        <v>217</v>
      </c>
      <c r="EF20" s="147" t="s">
        <v>213</v>
      </c>
      <c r="EG20" s="148" t="s">
        <v>213</v>
      </c>
      <c r="EH20" s="129" t="s">
        <v>218</v>
      </c>
      <c r="EI20" s="129" t="s">
        <v>417</v>
      </c>
      <c r="EJ20" s="129" t="s">
        <v>160</v>
      </c>
      <c r="EK20" s="129">
        <v>1942.4180000000001</v>
      </c>
      <c r="EL20" s="129" t="s">
        <v>163</v>
      </c>
      <c r="EM20" s="129">
        <v>47.94899999999982</v>
      </c>
      <c r="EN20" s="129">
        <v>48.059999999999945</v>
      </c>
      <c r="EO20" s="129" t="s">
        <v>160</v>
      </c>
      <c r="EP20" s="129" t="s">
        <v>160</v>
      </c>
      <c r="EQ20" s="129" t="s">
        <v>160</v>
      </c>
      <c r="ER20" s="129" t="s">
        <v>160</v>
      </c>
      <c r="ES20" s="151">
        <v>8.2326770000000007</v>
      </c>
      <c r="ET20" s="142" t="s">
        <v>165</v>
      </c>
      <c r="EU20" s="141">
        <v>3.986799999999846E-2</v>
      </c>
      <c r="EV20" s="141">
        <v>4.0822000000000358E-2</v>
      </c>
      <c r="EW20" s="142" t="s">
        <v>160</v>
      </c>
      <c r="EX20" s="129" t="s">
        <v>160</v>
      </c>
      <c r="EY20" s="129" t="s">
        <v>160</v>
      </c>
      <c r="EZ20" s="149">
        <v>190.18010000000001</v>
      </c>
      <c r="FA20" s="150">
        <v>26.432899999999989</v>
      </c>
      <c r="FB20" s="150">
        <v>23.088799999999992</v>
      </c>
      <c r="FC20" s="129" t="s">
        <v>220</v>
      </c>
      <c r="FD20" s="129" t="s">
        <v>221</v>
      </c>
      <c r="FE20" s="150">
        <v>2329.9490000000001</v>
      </c>
      <c r="FF20" s="150">
        <v>68.000999999999749</v>
      </c>
      <c r="FG20" s="150">
        <v>68.059000000000196</v>
      </c>
      <c r="FH20" s="129" t="s">
        <v>160</v>
      </c>
      <c r="FI20" s="129" t="s">
        <v>160</v>
      </c>
      <c r="FJ20" s="129" t="s">
        <v>160</v>
      </c>
      <c r="FK20" s="129" t="s">
        <v>160</v>
      </c>
      <c r="FL20" s="129" t="s">
        <v>160</v>
      </c>
      <c r="FM20" s="129" t="s">
        <v>160</v>
      </c>
      <c r="FN20" s="151">
        <v>5.2041779999999997</v>
      </c>
      <c r="FO20" s="141">
        <v>0.37863200000000052</v>
      </c>
      <c r="FP20" s="141">
        <v>0.36782700000000002</v>
      </c>
      <c r="FQ20" s="178" t="s">
        <v>419</v>
      </c>
      <c r="FR20" s="176" t="s">
        <v>160</v>
      </c>
    </row>
    <row r="21" spans="1:174" s="129" customFormat="1" ht="17">
      <c r="A21" s="165" t="s">
        <v>152</v>
      </c>
      <c r="B21" s="166" t="s">
        <v>183</v>
      </c>
      <c r="C21" s="166">
        <v>2018</v>
      </c>
      <c r="D21" s="166" t="s">
        <v>184</v>
      </c>
      <c r="E21" s="177">
        <v>3250</v>
      </c>
      <c r="F21" s="167" t="str">
        <f t="shared" si="6"/>
        <v>NA</v>
      </c>
      <c r="G21" s="167" t="str">
        <f t="shared" si="6"/>
        <v>NA</v>
      </c>
      <c r="H21" s="168">
        <v>301.63409999999999</v>
      </c>
      <c r="I21" s="130">
        <v>45.152700000000038</v>
      </c>
      <c r="J21" s="130">
        <v>39.925999999999988</v>
      </c>
      <c r="K21" s="129" t="s">
        <v>457</v>
      </c>
      <c r="L21" s="131" t="s">
        <v>185</v>
      </c>
      <c r="M21" s="132" t="s">
        <v>186</v>
      </c>
      <c r="N21" s="129" t="s">
        <v>184</v>
      </c>
      <c r="O21" s="133">
        <v>926</v>
      </c>
      <c r="P21" s="129" t="s">
        <v>156</v>
      </c>
      <c r="Q21" s="133">
        <v>11</v>
      </c>
      <c r="R21" s="133">
        <v>2</v>
      </c>
      <c r="S21" s="133">
        <v>93</v>
      </c>
      <c r="T21" s="133">
        <v>95</v>
      </c>
      <c r="U21" s="129" t="s">
        <v>160</v>
      </c>
      <c r="V21" s="171">
        <v>103.99000000000001</v>
      </c>
      <c r="W21" s="129" t="s">
        <v>160</v>
      </c>
      <c r="X21" s="129" t="s">
        <v>245</v>
      </c>
      <c r="Y21" s="172">
        <v>3.7191000000000001</v>
      </c>
      <c r="Z21" s="172">
        <v>-42.9084</v>
      </c>
      <c r="AA21" s="136" t="s">
        <v>160</v>
      </c>
      <c r="AB21" s="136" t="s">
        <v>160</v>
      </c>
      <c r="AC21" s="129">
        <v>3598</v>
      </c>
      <c r="AD21" s="136" t="s">
        <v>160</v>
      </c>
      <c r="AE21" s="136" t="s">
        <v>160</v>
      </c>
      <c r="AF21" s="129" t="s">
        <v>160</v>
      </c>
      <c r="AG21" s="173">
        <v>3250</v>
      </c>
      <c r="AH21" s="138" t="s">
        <v>160</v>
      </c>
      <c r="AI21" s="129" t="s">
        <v>160</v>
      </c>
      <c r="AJ21" s="138" t="s">
        <v>160</v>
      </c>
      <c r="AK21" s="129" t="s">
        <v>237</v>
      </c>
      <c r="AL21" s="139" t="s">
        <v>246</v>
      </c>
      <c r="AM21" s="139" t="s">
        <v>247</v>
      </c>
      <c r="AN21" s="129" t="s">
        <v>160</v>
      </c>
      <c r="AO21" s="129" t="s">
        <v>160</v>
      </c>
      <c r="AP21" s="129" t="s">
        <v>160</v>
      </c>
      <c r="AQ21" s="129" t="s">
        <v>160</v>
      </c>
      <c r="AR21" s="129" t="s">
        <v>160</v>
      </c>
      <c r="AS21" s="129" t="s">
        <v>160</v>
      </c>
      <c r="AT21" s="129" t="s">
        <v>160</v>
      </c>
      <c r="AU21" s="129" t="s">
        <v>191</v>
      </c>
      <c r="AV21" s="129" t="s">
        <v>161</v>
      </c>
      <c r="AW21" s="129" t="s">
        <v>192</v>
      </c>
      <c r="AX21" s="129" t="s">
        <v>193</v>
      </c>
      <c r="AY21" s="129" t="s">
        <v>194</v>
      </c>
      <c r="AZ21" s="129" t="s">
        <v>195</v>
      </c>
      <c r="BA21" s="129" t="s">
        <v>196</v>
      </c>
      <c r="BB21" s="129" t="s">
        <v>259</v>
      </c>
      <c r="BC21" s="140">
        <v>2</v>
      </c>
      <c r="BD21" s="129" t="s">
        <v>260</v>
      </c>
      <c r="BE21" s="173">
        <v>18.035382359782304</v>
      </c>
      <c r="BF21" s="129" t="s">
        <v>199</v>
      </c>
      <c r="BG21" s="173">
        <v>0.26825555269521395</v>
      </c>
      <c r="BH21" s="129">
        <v>0.83299999999999996</v>
      </c>
      <c r="BI21" s="129" t="s">
        <v>160</v>
      </c>
      <c r="BJ21" s="138" t="s">
        <v>160</v>
      </c>
      <c r="BK21" s="129">
        <v>2.69</v>
      </c>
      <c r="BL21" s="129" t="s">
        <v>160</v>
      </c>
      <c r="BM21" s="129" t="s">
        <v>160</v>
      </c>
      <c r="BN21" s="129" t="s">
        <v>200</v>
      </c>
      <c r="BO21" s="129" t="s">
        <v>201</v>
      </c>
      <c r="BP21" s="141">
        <v>18.421827562763873</v>
      </c>
      <c r="BQ21" s="129" t="s">
        <v>202</v>
      </c>
      <c r="BR21" s="142">
        <f t="shared" si="2"/>
        <v>0.26825555269521395</v>
      </c>
      <c r="BS21" s="129" t="s">
        <v>160</v>
      </c>
      <c r="BT21" s="129" t="s">
        <v>160</v>
      </c>
      <c r="BU21" s="129">
        <v>10</v>
      </c>
      <c r="BV21" s="129" t="s">
        <v>159</v>
      </c>
      <c r="BW21" s="129">
        <v>10</v>
      </c>
      <c r="BX21" s="143">
        <v>23.774826680959521</v>
      </c>
      <c r="BY21" s="129" t="s">
        <v>159</v>
      </c>
      <c r="BZ21" s="129">
        <v>1</v>
      </c>
      <c r="CA21" s="129">
        <v>1</v>
      </c>
      <c r="CB21" s="129" t="s">
        <v>160</v>
      </c>
      <c r="CC21" s="173">
        <v>3.3193526522765158</v>
      </c>
      <c r="CD21" s="129" t="s">
        <v>163</v>
      </c>
      <c r="CE21" s="144">
        <f t="shared" si="4"/>
        <v>8.962252161146593E-2</v>
      </c>
      <c r="CF21" s="144">
        <f t="shared" si="5"/>
        <v>8.962252161146593E-2</v>
      </c>
      <c r="CG21" s="145" t="s">
        <v>203</v>
      </c>
      <c r="CH21" s="129" t="s">
        <v>204</v>
      </c>
      <c r="CI21" s="129" t="s">
        <v>205</v>
      </c>
      <c r="CJ21" s="129" t="s">
        <v>206</v>
      </c>
      <c r="CK21" s="129" t="s">
        <v>158</v>
      </c>
      <c r="CL21" s="129" t="s">
        <v>158</v>
      </c>
      <c r="CM21" s="129" t="s">
        <v>158</v>
      </c>
      <c r="CN21" s="129" t="s">
        <v>160</v>
      </c>
      <c r="CO21" s="129" t="s">
        <v>160</v>
      </c>
      <c r="CP21" s="129" t="s">
        <v>160</v>
      </c>
      <c r="CQ21" s="129" t="s">
        <v>160</v>
      </c>
      <c r="CR21" s="129" t="s">
        <v>160</v>
      </c>
      <c r="CS21" s="129" t="s">
        <v>160</v>
      </c>
      <c r="CT21" s="129" t="s">
        <v>160</v>
      </c>
      <c r="CU21" s="129">
        <v>36.01</v>
      </c>
      <c r="CV21" s="129" t="s">
        <v>159</v>
      </c>
      <c r="CW21" s="146">
        <v>1</v>
      </c>
      <c r="CX21" s="129" t="s">
        <v>207</v>
      </c>
      <c r="CY21" s="129">
        <v>1.06E-2</v>
      </c>
      <c r="CZ21" s="129" t="s">
        <v>159</v>
      </c>
      <c r="DA21" s="146">
        <v>0</v>
      </c>
      <c r="DB21" s="129" t="s">
        <v>208</v>
      </c>
      <c r="DC21" s="129">
        <v>5.5100000000000003E-2</v>
      </c>
      <c r="DD21" s="129" t="s">
        <v>159</v>
      </c>
      <c r="DE21" s="146">
        <v>0</v>
      </c>
      <c r="DF21" s="129" t="s">
        <v>208</v>
      </c>
      <c r="DG21" s="129" t="s">
        <v>160</v>
      </c>
      <c r="DH21" s="129" t="s">
        <v>160</v>
      </c>
      <c r="DI21" s="129" t="s">
        <v>160</v>
      </c>
      <c r="DJ21" s="129" t="s">
        <v>160</v>
      </c>
      <c r="DK21" s="145">
        <v>432.56244218316402</v>
      </c>
      <c r="DL21" s="129" t="s">
        <v>159</v>
      </c>
      <c r="DM21" s="145" t="s">
        <v>160</v>
      </c>
      <c r="DN21" s="129" t="s">
        <v>434</v>
      </c>
      <c r="DO21" s="129">
        <v>39.68703</v>
      </c>
      <c r="DP21" s="129" t="s">
        <v>160</v>
      </c>
      <c r="DQ21" s="129">
        <v>0.36030999999999835</v>
      </c>
      <c r="DR21" s="129" t="s">
        <v>435</v>
      </c>
      <c r="DS21" s="129" t="s">
        <v>212</v>
      </c>
      <c r="DT21" s="129" t="s">
        <v>213</v>
      </c>
      <c r="DU21" s="129">
        <v>1.0271999999999999</v>
      </c>
      <c r="DV21" s="129" t="s">
        <v>214</v>
      </c>
      <c r="DW21" s="129" t="s">
        <v>214</v>
      </c>
      <c r="DX21" s="129" t="s">
        <v>215</v>
      </c>
      <c r="DY21" s="129" t="s">
        <v>160</v>
      </c>
      <c r="DZ21" s="129" t="s">
        <v>164</v>
      </c>
      <c r="EA21" s="129" t="s">
        <v>216</v>
      </c>
      <c r="EB21" s="129" t="s">
        <v>212</v>
      </c>
      <c r="EC21" s="129" t="s">
        <v>212</v>
      </c>
      <c r="ED21" s="129" t="s">
        <v>212</v>
      </c>
      <c r="EE21" s="129" t="s">
        <v>217</v>
      </c>
      <c r="EF21" s="147" t="s">
        <v>213</v>
      </c>
      <c r="EG21" s="148" t="s">
        <v>213</v>
      </c>
      <c r="EH21" s="129" t="s">
        <v>218</v>
      </c>
      <c r="EI21" s="129" t="s">
        <v>417</v>
      </c>
      <c r="EJ21" s="129" t="s">
        <v>160</v>
      </c>
      <c r="EK21" s="129">
        <v>1934.502</v>
      </c>
      <c r="EL21" s="129" t="s">
        <v>163</v>
      </c>
      <c r="EM21" s="129">
        <v>56.018999999999821</v>
      </c>
      <c r="EN21" s="129">
        <v>55.169000000000096</v>
      </c>
      <c r="EO21" s="129" t="s">
        <v>160</v>
      </c>
      <c r="EP21" s="129" t="s">
        <v>160</v>
      </c>
      <c r="EQ21" s="129" t="s">
        <v>160</v>
      </c>
      <c r="ER21" s="129" t="s">
        <v>160</v>
      </c>
      <c r="ES21" s="151">
        <v>8.0791710000000005</v>
      </c>
      <c r="ET21" s="142" t="s">
        <v>165</v>
      </c>
      <c r="EU21" s="141">
        <v>4.7010000000000218E-2</v>
      </c>
      <c r="EV21" s="141">
        <v>4.7636999999999929E-2</v>
      </c>
      <c r="EW21" s="142" t="s">
        <v>160</v>
      </c>
      <c r="EX21" s="129" t="s">
        <v>160</v>
      </c>
      <c r="EY21" s="129" t="s">
        <v>160</v>
      </c>
      <c r="EZ21" s="149">
        <v>301.63409999999999</v>
      </c>
      <c r="FA21" s="150">
        <v>45.152700000000038</v>
      </c>
      <c r="FB21" s="150">
        <v>39.925999999999988</v>
      </c>
      <c r="FC21" s="129" t="s">
        <v>220</v>
      </c>
      <c r="FD21" s="129" t="s">
        <v>221</v>
      </c>
      <c r="FE21" s="150">
        <v>2194.6990000000001</v>
      </c>
      <c r="FF21" s="150">
        <v>70.961999999999989</v>
      </c>
      <c r="FG21" s="150">
        <v>70.806999999999789</v>
      </c>
      <c r="FH21" s="129" t="s">
        <v>160</v>
      </c>
      <c r="FI21" s="129" t="s">
        <v>160</v>
      </c>
      <c r="FJ21" s="129" t="s">
        <v>160</v>
      </c>
      <c r="FK21" s="129" t="s">
        <v>160</v>
      </c>
      <c r="FL21" s="129" t="s">
        <v>160</v>
      </c>
      <c r="FM21" s="129" t="s">
        <v>160</v>
      </c>
      <c r="FN21" s="151">
        <v>3.6760489999999999</v>
      </c>
      <c r="FO21" s="141">
        <v>0.33925599999999978</v>
      </c>
      <c r="FP21" s="141">
        <v>0.32677999999999985</v>
      </c>
      <c r="FQ21" s="178" t="s">
        <v>419</v>
      </c>
      <c r="FR21" s="176" t="s">
        <v>160</v>
      </c>
    </row>
    <row r="22" spans="1:174" s="129" customFormat="1" ht="17">
      <c r="A22" s="165" t="s">
        <v>152</v>
      </c>
      <c r="B22" s="166" t="s">
        <v>183</v>
      </c>
      <c r="C22" s="166">
        <v>2018</v>
      </c>
      <c r="D22" s="166" t="s">
        <v>184</v>
      </c>
      <c r="E22" s="177">
        <v>4420</v>
      </c>
      <c r="F22" s="167" t="str">
        <f t="shared" si="6"/>
        <v>NA</v>
      </c>
      <c r="G22" s="167" t="str">
        <f t="shared" si="6"/>
        <v>NA</v>
      </c>
      <c r="H22" s="168">
        <f t="shared" si="3"/>
        <v>300.02440000000001</v>
      </c>
      <c r="I22" s="130">
        <f t="shared" si="3"/>
        <v>90.375099999999975</v>
      </c>
      <c r="J22" s="130">
        <f t="shared" si="3"/>
        <v>79.236400000000003</v>
      </c>
      <c r="K22" s="129" t="s">
        <v>457</v>
      </c>
      <c r="L22" s="131" t="s">
        <v>185</v>
      </c>
      <c r="M22" s="132" t="s">
        <v>186</v>
      </c>
      <c r="N22" s="129" t="s">
        <v>184</v>
      </c>
      <c r="O22" s="133">
        <v>926</v>
      </c>
      <c r="P22" s="129" t="s">
        <v>156</v>
      </c>
      <c r="Q22" s="133">
        <v>14</v>
      </c>
      <c r="R22" s="133">
        <v>2</v>
      </c>
      <c r="S22" s="133">
        <v>72</v>
      </c>
      <c r="T22" s="133">
        <v>74</v>
      </c>
      <c r="U22" s="129" t="s">
        <v>160</v>
      </c>
      <c r="V22" s="171">
        <v>136.04</v>
      </c>
      <c r="W22" s="129" t="s">
        <v>160</v>
      </c>
      <c r="X22" s="129" t="s">
        <v>245</v>
      </c>
      <c r="Y22" s="172">
        <v>3.7191000000000001</v>
      </c>
      <c r="Z22" s="172">
        <v>-42.9084</v>
      </c>
      <c r="AA22" s="136" t="s">
        <v>160</v>
      </c>
      <c r="AB22" s="136" t="s">
        <v>160</v>
      </c>
      <c r="AC22" s="129">
        <v>3598</v>
      </c>
      <c r="AD22" s="136" t="s">
        <v>160</v>
      </c>
      <c r="AE22" s="136" t="s">
        <v>160</v>
      </c>
      <c r="AF22" s="129" t="s">
        <v>160</v>
      </c>
      <c r="AG22" s="173">
        <v>4420</v>
      </c>
      <c r="AH22" s="138" t="s">
        <v>160</v>
      </c>
      <c r="AI22" s="129" t="s">
        <v>160</v>
      </c>
      <c r="AJ22" s="138" t="s">
        <v>160</v>
      </c>
      <c r="AK22" s="129" t="s">
        <v>237</v>
      </c>
      <c r="AL22" s="139" t="s">
        <v>246</v>
      </c>
      <c r="AM22" s="139" t="s">
        <v>247</v>
      </c>
      <c r="AN22" s="129" t="s">
        <v>160</v>
      </c>
      <c r="AO22" s="129" t="s">
        <v>160</v>
      </c>
      <c r="AP22" s="129" t="s">
        <v>160</v>
      </c>
      <c r="AQ22" s="129" t="s">
        <v>160</v>
      </c>
      <c r="AR22" s="129" t="s">
        <v>160</v>
      </c>
      <c r="AS22" s="129" t="s">
        <v>160</v>
      </c>
      <c r="AT22" s="129" t="s">
        <v>160</v>
      </c>
      <c r="AU22" s="129" t="s">
        <v>191</v>
      </c>
      <c r="AV22" s="129" t="s">
        <v>161</v>
      </c>
      <c r="AW22" s="129" t="s">
        <v>192</v>
      </c>
      <c r="AX22" s="129" t="s">
        <v>193</v>
      </c>
      <c r="AY22" s="129" t="s">
        <v>194</v>
      </c>
      <c r="AZ22" s="129" t="s">
        <v>195</v>
      </c>
      <c r="BA22" s="129" t="s">
        <v>196</v>
      </c>
      <c r="BB22" s="129" t="s">
        <v>261</v>
      </c>
      <c r="BC22" s="140">
        <v>2</v>
      </c>
      <c r="BD22" s="129" t="s">
        <v>262</v>
      </c>
      <c r="BE22" s="173">
        <v>19.168581162471</v>
      </c>
      <c r="BF22" s="129" t="s">
        <v>199</v>
      </c>
      <c r="BG22" s="173">
        <v>0.23251523450914044</v>
      </c>
      <c r="BH22" s="129">
        <v>0.83299999999999996</v>
      </c>
      <c r="BI22" s="129" t="s">
        <v>160</v>
      </c>
      <c r="BJ22" s="138" t="s">
        <v>160</v>
      </c>
      <c r="BK22" s="129">
        <v>2.69</v>
      </c>
      <c r="BL22" s="129" t="s">
        <v>160</v>
      </c>
      <c r="BM22" s="129" t="s">
        <v>160</v>
      </c>
      <c r="BN22" s="129" t="s">
        <v>200</v>
      </c>
      <c r="BO22" s="129" t="s">
        <v>201</v>
      </c>
      <c r="BP22" s="141">
        <v>19.782210279076828</v>
      </c>
      <c r="BQ22" s="129" t="s">
        <v>202</v>
      </c>
      <c r="BR22" s="142">
        <f t="shared" si="2"/>
        <v>0.23251523450914044</v>
      </c>
      <c r="BS22" s="129" t="s">
        <v>160</v>
      </c>
      <c r="BT22" s="129" t="s">
        <v>160</v>
      </c>
      <c r="BU22" s="129">
        <v>10</v>
      </c>
      <c r="BV22" s="129" t="s">
        <v>159</v>
      </c>
      <c r="BW22" s="129">
        <v>10</v>
      </c>
      <c r="BX22" s="143">
        <v>24.452131064776719</v>
      </c>
      <c r="BY22" s="129" t="s">
        <v>159</v>
      </c>
      <c r="BZ22" s="129">
        <v>1</v>
      </c>
      <c r="CA22" s="129">
        <v>1</v>
      </c>
      <c r="CB22" s="129" t="s">
        <v>160</v>
      </c>
      <c r="CC22" s="173">
        <v>3.5720382546040326</v>
      </c>
      <c r="CD22" s="129" t="s">
        <v>163</v>
      </c>
      <c r="CE22" s="144">
        <f t="shared" si="4"/>
        <v>9.6445032874308875E-2</v>
      </c>
      <c r="CF22" s="144">
        <f t="shared" si="5"/>
        <v>9.6445032874308875E-2</v>
      </c>
      <c r="CG22" s="145" t="s">
        <v>203</v>
      </c>
      <c r="CH22" s="129" t="s">
        <v>204</v>
      </c>
      <c r="CI22" s="129" t="s">
        <v>205</v>
      </c>
      <c r="CJ22" s="129" t="s">
        <v>206</v>
      </c>
      <c r="CK22" s="129" t="s">
        <v>158</v>
      </c>
      <c r="CL22" s="129" t="s">
        <v>158</v>
      </c>
      <c r="CM22" s="129" t="s">
        <v>158</v>
      </c>
      <c r="CN22" s="129" t="s">
        <v>160</v>
      </c>
      <c r="CO22" s="129" t="s">
        <v>160</v>
      </c>
      <c r="CP22" s="129" t="s">
        <v>160</v>
      </c>
      <c r="CQ22" s="129" t="s">
        <v>160</v>
      </c>
      <c r="CR22" s="129" t="s">
        <v>160</v>
      </c>
      <c r="CS22" s="129" t="s">
        <v>160</v>
      </c>
      <c r="CT22" s="129" t="s">
        <v>160</v>
      </c>
      <c r="CU22" s="129">
        <v>36.01</v>
      </c>
      <c r="CV22" s="129" t="s">
        <v>159</v>
      </c>
      <c r="CW22" s="146">
        <v>1</v>
      </c>
      <c r="CX22" s="129" t="s">
        <v>207</v>
      </c>
      <c r="CY22" s="129">
        <v>1.1360522467395467E-2</v>
      </c>
      <c r="CZ22" s="129" t="s">
        <v>159</v>
      </c>
      <c r="DA22" s="146">
        <v>2.5000000000000001E-3</v>
      </c>
      <c r="DB22" s="129" t="s">
        <v>208</v>
      </c>
      <c r="DC22" s="129">
        <v>5.2549427605059054E-2</v>
      </c>
      <c r="DD22" s="129" t="s">
        <v>159</v>
      </c>
      <c r="DE22" s="146">
        <v>2.5000000000000001E-3</v>
      </c>
      <c r="DF22" s="129" t="s">
        <v>209</v>
      </c>
      <c r="DG22" s="129" t="s">
        <v>160</v>
      </c>
      <c r="DH22" s="129" t="s">
        <v>160</v>
      </c>
      <c r="DI22" s="129" t="s">
        <v>160</v>
      </c>
      <c r="DJ22" s="129" t="s">
        <v>160</v>
      </c>
      <c r="DK22" s="145">
        <v>424.29</v>
      </c>
      <c r="DL22" s="129" t="s">
        <v>159</v>
      </c>
      <c r="DM22" s="145" t="s">
        <v>160</v>
      </c>
      <c r="DN22" s="129" t="s">
        <v>210</v>
      </c>
      <c r="DO22" s="129">
        <v>40.017290000000003</v>
      </c>
      <c r="DP22" s="129" t="s">
        <v>160</v>
      </c>
      <c r="DQ22" s="129">
        <v>0.52102000000000004</v>
      </c>
      <c r="DR22" s="129" t="s">
        <v>211</v>
      </c>
      <c r="DS22" s="129" t="s">
        <v>212</v>
      </c>
      <c r="DT22" s="129" t="s">
        <v>213</v>
      </c>
      <c r="DU22" s="129">
        <v>1.0271999999999999</v>
      </c>
      <c r="DV22" s="129" t="s">
        <v>214</v>
      </c>
      <c r="DW22" s="129" t="s">
        <v>214</v>
      </c>
      <c r="DX22" s="129" t="s">
        <v>215</v>
      </c>
      <c r="DY22" s="129" t="s">
        <v>160</v>
      </c>
      <c r="DZ22" s="129" t="s">
        <v>164</v>
      </c>
      <c r="EA22" s="129" t="s">
        <v>216</v>
      </c>
      <c r="EB22" s="129" t="s">
        <v>212</v>
      </c>
      <c r="EC22" s="129" t="s">
        <v>212</v>
      </c>
      <c r="ED22" s="129" t="s">
        <v>212</v>
      </c>
      <c r="EE22" s="129" t="s">
        <v>217</v>
      </c>
      <c r="EF22" s="147" t="s">
        <v>213</v>
      </c>
      <c r="EG22" s="148" t="s">
        <v>213</v>
      </c>
      <c r="EH22" s="129" t="s">
        <v>218</v>
      </c>
      <c r="EI22" s="129" t="s">
        <v>219</v>
      </c>
      <c r="EJ22" s="129" t="s">
        <v>160</v>
      </c>
      <c r="EK22" s="149">
        <v>1917.894</v>
      </c>
      <c r="EL22" s="129" t="s">
        <v>163</v>
      </c>
      <c r="EM22" s="150">
        <v>500</v>
      </c>
      <c r="EN22" s="150">
        <v>500</v>
      </c>
      <c r="EO22" s="129" t="s">
        <v>160</v>
      </c>
      <c r="EP22" s="129" t="s">
        <v>160</v>
      </c>
      <c r="EQ22" s="129" t="s">
        <v>160</v>
      </c>
      <c r="ER22" s="129" t="s">
        <v>160</v>
      </c>
      <c r="ES22" s="151">
        <v>8.1563470000000002</v>
      </c>
      <c r="ET22" s="142" t="s">
        <v>165</v>
      </c>
      <c r="EU22" s="141">
        <v>5.0682000000000116E-2</v>
      </c>
      <c r="EV22" s="141">
        <v>5.3423000000000442E-2</v>
      </c>
      <c r="EW22" s="142" t="s">
        <v>160</v>
      </c>
      <c r="EX22" s="129" t="s">
        <v>160</v>
      </c>
      <c r="EY22" s="129" t="s">
        <v>160</v>
      </c>
      <c r="EZ22" s="149">
        <v>300.02440000000001</v>
      </c>
      <c r="FA22" s="150">
        <v>90.375099999999975</v>
      </c>
      <c r="FB22" s="150">
        <v>79.236400000000003</v>
      </c>
      <c r="FC22" s="129" t="s">
        <v>220</v>
      </c>
      <c r="FD22" s="129" t="s">
        <v>221</v>
      </c>
      <c r="FE22" s="150">
        <v>2164.355</v>
      </c>
      <c r="FF22" s="150">
        <v>511.67899999999963</v>
      </c>
      <c r="FG22" s="150">
        <v>501.99499999999989</v>
      </c>
      <c r="FH22" s="129" t="s">
        <v>160</v>
      </c>
      <c r="FI22" s="129" t="s">
        <v>160</v>
      </c>
      <c r="FJ22" s="129" t="s">
        <v>160</v>
      </c>
      <c r="FK22" s="129" t="s">
        <v>160</v>
      </c>
      <c r="FL22" s="129" t="s">
        <v>160</v>
      </c>
      <c r="FM22" s="129" t="s">
        <v>160</v>
      </c>
      <c r="FN22" s="151">
        <v>4.9866890000000001</v>
      </c>
      <c r="FO22" s="141">
        <v>2.8534459999999999</v>
      </c>
      <c r="FP22" s="141">
        <v>2.3223850000000001</v>
      </c>
      <c r="FQ22" s="129" t="s">
        <v>414</v>
      </c>
      <c r="FR22" s="176" t="s">
        <v>160</v>
      </c>
    </row>
    <row r="23" spans="1:174" s="129" customFormat="1" ht="17">
      <c r="A23" s="165" t="s">
        <v>152</v>
      </c>
      <c r="B23" s="166" t="s">
        <v>183</v>
      </c>
      <c r="C23" s="166">
        <v>2018</v>
      </c>
      <c r="D23" s="166" t="s">
        <v>184</v>
      </c>
      <c r="E23" s="177">
        <v>4860</v>
      </c>
      <c r="F23" s="167" t="str">
        <f t="shared" si="6"/>
        <v>NA</v>
      </c>
      <c r="G23" s="167" t="str">
        <f t="shared" si="6"/>
        <v>NA</v>
      </c>
      <c r="H23" s="168">
        <f t="shared" si="3"/>
        <v>429.87029999999999</v>
      </c>
      <c r="I23" s="130">
        <f t="shared" si="3"/>
        <v>187.26609999999999</v>
      </c>
      <c r="J23" s="130">
        <f t="shared" si="3"/>
        <v>136.20490000000001</v>
      </c>
      <c r="K23" s="129" t="s">
        <v>457</v>
      </c>
      <c r="L23" s="131" t="s">
        <v>185</v>
      </c>
      <c r="M23" s="132" t="s">
        <v>186</v>
      </c>
      <c r="N23" s="129" t="s">
        <v>184</v>
      </c>
      <c r="O23" s="133">
        <v>926</v>
      </c>
      <c r="P23" s="129" t="s">
        <v>156</v>
      </c>
      <c r="Q23" s="133">
        <v>15</v>
      </c>
      <c r="R23" s="133">
        <v>2</v>
      </c>
      <c r="S23" s="133">
        <v>82</v>
      </c>
      <c r="T23" s="133">
        <v>84</v>
      </c>
      <c r="U23" s="129" t="s">
        <v>160</v>
      </c>
      <c r="V23" s="171">
        <v>146.63999999999999</v>
      </c>
      <c r="W23" s="129" t="s">
        <v>160</v>
      </c>
      <c r="X23" s="129" t="s">
        <v>245</v>
      </c>
      <c r="Y23" s="172">
        <v>3.7191000000000001</v>
      </c>
      <c r="Z23" s="172">
        <v>-42.9084</v>
      </c>
      <c r="AA23" s="136" t="s">
        <v>160</v>
      </c>
      <c r="AB23" s="136" t="s">
        <v>160</v>
      </c>
      <c r="AC23" s="129">
        <v>3598</v>
      </c>
      <c r="AD23" s="136" t="s">
        <v>160</v>
      </c>
      <c r="AE23" s="136" t="s">
        <v>160</v>
      </c>
      <c r="AF23" s="129" t="s">
        <v>160</v>
      </c>
      <c r="AG23" s="173">
        <v>4860</v>
      </c>
      <c r="AH23" s="138" t="s">
        <v>160</v>
      </c>
      <c r="AI23" s="129" t="s">
        <v>160</v>
      </c>
      <c r="AJ23" s="138" t="s">
        <v>160</v>
      </c>
      <c r="AK23" s="129" t="s">
        <v>237</v>
      </c>
      <c r="AL23" s="139" t="s">
        <v>246</v>
      </c>
      <c r="AM23" s="139" t="s">
        <v>247</v>
      </c>
      <c r="AN23" s="129" t="s">
        <v>160</v>
      </c>
      <c r="AO23" s="129" t="s">
        <v>160</v>
      </c>
      <c r="AP23" s="129" t="s">
        <v>160</v>
      </c>
      <c r="AQ23" s="129" t="s">
        <v>160</v>
      </c>
      <c r="AR23" s="129" t="s">
        <v>160</v>
      </c>
      <c r="AS23" s="129" t="s">
        <v>160</v>
      </c>
      <c r="AT23" s="129" t="s">
        <v>160</v>
      </c>
      <c r="AU23" s="129" t="s">
        <v>191</v>
      </c>
      <c r="AV23" s="129" t="s">
        <v>161</v>
      </c>
      <c r="AW23" s="129" t="s">
        <v>192</v>
      </c>
      <c r="AX23" s="129" t="s">
        <v>193</v>
      </c>
      <c r="AY23" s="129" t="s">
        <v>194</v>
      </c>
      <c r="AZ23" s="129" t="s">
        <v>195</v>
      </c>
      <c r="BA23" s="129" t="s">
        <v>196</v>
      </c>
      <c r="BB23" s="129" t="s">
        <v>263</v>
      </c>
      <c r="BC23" s="140">
        <v>2</v>
      </c>
      <c r="BD23" s="129" t="s">
        <v>264</v>
      </c>
      <c r="BE23" s="173">
        <v>17.706265614885087</v>
      </c>
      <c r="BF23" s="129" t="s">
        <v>199</v>
      </c>
      <c r="BG23" s="173">
        <v>0.9668547802581724</v>
      </c>
      <c r="BH23" s="129">
        <v>0.83299999999999996</v>
      </c>
      <c r="BI23" s="129" t="s">
        <v>160</v>
      </c>
      <c r="BJ23" s="138" t="s">
        <v>160</v>
      </c>
      <c r="BK23" s="129">
        <v>2.69</v>
      </c>
      <c r="BL23" s="129" t="s">
        <v>160</v>
      </c>
      <c r="BM23" s="129" t="s">
        <v>160</v>
      </c>
      <c r="BN23" s="129" t="s">
        <v>200</v>
      </c>
      <c r="BO23" s="129" t="s">
        <v>201</v>
      </c>
      <c r="BP23" s="141">
        <v>18.02672942963396</v>
      </c>
      <c r="BQ23" s="129" t="s">
        <v>202</v>
      </c>
      <c r="BR23" s="142">
        <f t="shared" si="2"/>
        <v>0.9668547802581724</v>
      </c>
      <c r="BS23" s="129" t="s">
        <v>160</v>
      </c>
      <c r="BT23" s="129" t="s">
        <v>160</v>
      </c>
      <c r="BU23" s="129">
        <v>10</v>
      </c>
      <c r="BV23" s="129" t="s">
        <v>159</v>
      </c>
      <c r="BW23" s="129">
        <v>10</v>
      </c>
      <c r="BX23" s="143">
        <v>24.206180304093017</v>
      </c>
      <c r="BY23" s="129" t="s">
        <v>159</v>
      </c>
      <c r="BZ23" s="129">
        <v>1</v>
      </c>
      <c r="CA23" s="129">
        <v>1</v>
      </c>
      <c r="CB23" s="129" t="s">
        <v>160</v>
      </c>
      <c r="CC23" s="173">
        <v>3.5098922590180393</v>
      </c>
      <c r="CD23" s="129" t="s">
        <v>163</v>
      </c>
      <c r="CE23" s="144">
        <f t="shared" si="4"/>
        <v>9.4767090993487055E-2</v>
      </c>
      <c r="CF23" s="144">
        <f t="shared" si="5"/>
        <v>9.4767090993487055E-2</v>
      </c>
      <c r="CG23" s="145" t="s">
        <v>203</v>
      </c>
      <c r="CH23" s="129" t="s">
        <v>204</v>
      </c>
      <c r="CI23" s="129" t="s">
        <v>205</v>
      </c>
      <c r="CJ23" s="129" t="s">
        <v>206</v>
      </c>
      <c r="CK23" s="129" t="s">
        <v>158</v>
      </c>
      <c r="CL23" s="129" t="s">
        <v>158</v>
      </c>
      <c r="CM23" s="129" t="s">
        <v>158</v>
      </c>
      <c r="CN23" s="129" t="s">
        <v>160</v>
      </c>
      <c r="CO23" s="129" t="s">
        <v>160</v>
      </c>
      <c r="CP23" s="129" t="s">
        <v>160</v>
      </c>
      <c r="CQ23" s="129" t="s">
        <v>160</v>
      </c>
      <c r="CR23" s="129" t="s">
        <v>160</v>
      </c>
      <c r="CS23" s="129" t="s">
        <v>160</v>
      </c>
      <c r="CT23" s="129" t="s">
        <v>160</v>
      </c>
      <c r="CU23" s="129">
        <v>36.01</v>
      </c>
      <c r="CV23" s="129" t="s">
        <v>159</v>
      </c>
      <c r="CW23" s="146">
        <v>1</v>
      </c>
      <c r="CX23" s="129" t="s">
        <v>207</v>
      </c>
      <c r="CY23" s="129">
        <v>1.1435470364253391E-2</v>
      </c>
      <c r="CZ23" s="129" t="s">
        <v>159</v>
      </c>
      <c r="DA23" s="146">
        <v>2.5000000000000001E-3</v>
      </c>
      <c r="DB23" s="129" t="s">
        <v>208</v>
      </c>
      <c r="DC23" s="129">
        <v>5.2307928826294627E-2</v>
      </c>
      <c r="DD23" s="129" t="s">
        <v>159</v>
      </c>
      <c r="DE23" s="146">
        <v>2.5000000000000001E-3</v>
      </c>
      <c r="DF23" s="129" t="s">
        <v>209</v>
      </c>
      <c r="DG23" s="129" t="s">
        <v>160</v>
      </c>
      <c r="DH23" s="129" t="s">
        <v>160</v>
      </c>
      <c r="DI23" s="129" t="s">
        <v>160</v>
      </c>
      <c r="DJ23" s="129" t="s">
        <v>160</v>
      </c>
      <c r="DK23" s="145">
        <v>424.29</v>
      </c>
      <c r="DL23" s="129" t="s">
        <v>159</v>
      </c>
      <c r="DM23" s="145" t="s">
        <v>160</v>
      </c>
      <c r="DN23" s="129" t="s">
        <v>210</v>
      </c>
      <c r="DO23" s="129">
        <v>39.995759999999997</v>
      </c>
      <c r="DP23" s="129" t="s">
        <v>160</v>
      </c>
      <c r="DQ23" s="129">
        <v>0.55267500000000069</v>
      </c>
      <c r="DR23" s="129" t="s">
        <v>211</v>
      </c>
      <c r="DS23" s="129" t="s">
        <v>212</v>
      </c>
      <c r="DT23" s="129" t="s">
        <v>213</v>
      </c>
      <c r="DU23" s="129">
        <v>1.0271999999999999</v>
      </c>
      <c r="DV23" s="129" t="s">
        <v>214</v>
      </c>
      <c r="DW23" s="129" t="s">
        <v>214</v>
      </c>
      <c r="DX23" s="129" t="s">
        <v>215</v>
      </c>
      <c r="DY23" s="129" t="s">
        <v>160</v>
      </c>
      <c r="DZ23" s="129" t="s">
        <v>164</v>
      </c>
      <c r="EA23" s="129" t="s">
        <v>216</v>
      </c>
      <c r="EB23" s="129" t="s">
        <v>212</v>
      </c>
      <c r="EC23" s="129" t="s">
        <v>212</v>
      </c>
      <c r="ED23" s="129" t="s">
        <v>212</v>
      </c>
      <c r="EE23" s="129" t="s">
        <v>217</v>
      </c>
      <c r="EF23" s="147" t="s">
        <v>213</v>
      </c>
      <c r="EG23" s="148" t="s">
        <v>213</v>
      </c>
      <c r="EH23" s="129" t="s">
        <v>218</v>
      </c>
      <c r="EI23" s="129" t="s">
        <v>219</v>
      </c>
      <c r="EJ23" s="129" t="s">
        <v>160</v>
      </c>
      <c r="EK23" s="149">
        <v>1903.8489999999999</v>
      </c>
      <c r="EL23" s="129" t="s">
        <v>163</v>
      </c>
      <c r="EM23" s="150">
        <v>500</v>
      </c>
      <c r="EN23" s="150">
        <v>500</v>
      </c>
      <c r="EO23" s="129" t="s">
        <v>160</v>
      </c>
      <c r="EP23" s="129" t="s">
        <v>160</v>
      </c>
      <c r="EQ23" s="129" t="s">
        <v>160</v>
      </c>
      <c r="ER23" s="129" t="s">
        <v>160</v>
      </c>
      <c r="ES23" s="151">
        <v>8.0051810000000003</v>
      </c>
      <c r="ET23" s="142" t="s">
        <v>165</v>
      </c>
      <c r="EU23" s="141">
        <v>0.10321399999999947</v>
      </c>
      <c r="EV23" s="141">
        <v>0.11928400000000039</v>
      </c>
      <c r="EW23" s="142" t="s">
        <v>160</v>
      </c>
      <c r="EX23" s="129" t="s">
        <v>160</v>
      </c>
      <c r="EY23" s="129" t="s">
        <v>160</v>
      </c>
      <c r="EZ23" s="149">
        <v>429.87029999999999</v>
      </c>
      <c r="FA23" s="150">
        <v>187.26609999999999</v>
      </c>
      <c r="FB23" s="150">
        <v>136.20490000000001</v>
      </c>
      <c r="FC23" s="129" t="s">
        <v>220</v>
      </c>
      <c r="FD23" s="129" t="s">
        <v>221</v>
      </c>
      <c r="FE23" s="150">
        <v>2080.741</v>
      </c>
      <c r="FF23" s="150">
        <v>514.37300000000005</v>
      </c>
      <c r="FG23" s="150">
        <v>494.46499999999992</v>
      </c>
      <c r="FH23" s="129" t="s">
        <v>160</v>
      </c>
      <c r="FI23" s="129" t="s">
        <v>160</v>
      </c>
      <c r="FJ23" s="129" t="s">
        <v>160</v>
      </c>
      <c r="FK23" s="129" t="s">
        <v>160</v>
      </c>
      <c r="FL23" s="129" t="s">
        <v>160</v>
      </c>
      <c r="FM23" s="129" t="s">
        <v>160</v>
      </c>
      <c r="FN23" s="151">
        <v>3.5387040000000001</v>
      </c>
      <c r="FO23" s="141">
        <v>2.3494250000000001</v>
      </c>
      <c r="FP23" s="141">
        <v>1.7070500000000002</v>
      </c>
      <c r="FQ23" s="129" t="s">
        <v>414</v>
      </c>
      <c r="FR23" s="176" t="s">
        <v>160</v>
      </c>
    </row>
    <row r="24" spans="1:174" s="129" customFormat="1" ht="17">
      <c r="A24" s="165" t="s">
        <v>152</v>
      </c>
      <c r="B24" s="166" t="s">
        <v>183</v>
      </c>
      <c r="C24" s="166">
        <v>2018</v>
      </c>
      <c r="D24" s="166" t="s">
        <v>184</v>
      </c>
      <c r="E24" s="177">
        <v>5330</v>
      </c>
      <c r="F24" s="167" t="str">
        <f t="shared" si="6"/>
        <v>NA</v>
      </c>
      <c r="G24" s="167" t="str">
        <f t="shared" si="6"/>
        <v>NA</v>
      </c>
      <c r="H24" s="168">
        <f t="shared" si="3"/>
        <v>449.15629999999999</v>
      </c>
      <c r="I24" s="130">
        <f t="shared" si="3"/>
        <v>150.49720000000002</v>
      </c>
      <c r="J24" s="130">
        <f t="shared" si="3"/>
        <v>128.01659999999998</v>
      </c>
      <c r="K24" s="129" t="s">
        <v>457</v>
      </c>
      <c r="L24" s="131" t="s">
        <v>185</v>
      </c>
      <c r="M24" s="132" t="s">
        <v>186</v>
      </c>
      <c r="N24" s="129" t="s">
        <v>184</v>
      </c>
      <c r="O24" s="133">
        <v>926</v>
      </c>
      <c r="P24" s="129" t="s">
        <v>156</v>
      </c>
      <c r="Q24" s="133">
        <v>16</v>
      </c>
      <c r="R24" s="133">
        <v>2</v>
      </c>
      <c r="S24" s="133">
        <v>100</v>
      </c>
      <c r="T24" s="133">
        <v>102</v>
      </c>
      <c r="U24" s="129" t="s">
        <v>160</v>
      </c>
      <c r="V24" s="171">
        <v>157.47</v>
      </c>
      <c r="W24" s="129" t="s">
        <v>160</v>
      </c>
      <c r="X24" s="129" t="s">
        <v>245</v>
      </c>
      <c r="Y24" s="172">
        <v>3.7191000000000001</v>
      </c>
      <c r="Z24" s="172">
        <v>-42.9084</v>
      </c>
      <c r="AA24" s="136" t="s">
        <v>160</v>
      </c>
      <c r="AB24" s="136" t="s">
        <v>160</v>
      </c>
      <c r="AC24" s="129">
        <v>3598</v>
      </c>
      <c r="AD24" s="136" t="s">
        <v>160</v>
      </c>
      <c r="AE24" s="136" t="s">
        <v>160</v>
      </c>
      <c r="AF24" s="129" t="s">
        <v>160</v>
      </c>
      <c r="AG24" s="173">
        <v>5330</v>
      </c>
      <c r="AH24" s="138" t="s">
        <v>160</v>
      </c>
      <c r="AI24" s="129" t="s">
        <v>160</v>
      </c>
      <c r="AJ24" s="138" t="s">
        <v>160</v>
      </c>
      <c r="AK24" s="129" t="s">
        <v>237</v>
      </c>
      <c r="AL24" s="139" t="s">
        <v>246</v>
      </c>
      <c r="AM24" s="139" t="s">
        <v>247</v>
      </c>
      <c r="AN24" s="129" t="s">
        <v>160</v>
      </c>
      <c r="AO24" s="129" t="s">
        <v>160</v>
      </c>
      <c r="AP24" s="129" t="s">
        <v>160</v>
      </c>
      <c r="AQ24" s="129" t="s">
        <v>160</v>
      </c>
      <c r="AR24" s="129" t="s">
        <v>160</v>
      </c>
      <c r="AS24" s="129" t="s">
        <v>160</v>
      </c>
      <c r="AT24" s="129" t="s">
        <v>160</v>
      </c>
      <c r="AU24" s="129" t="s">
        <v>191</v>
      </c>
      <c r="AV24" s="129" t="s">
        <v>161</v>
      </c>
      <c r="AW24" s="129" t="s">
        <v>192</v>
      </c>
      <c r="AX24" s="129" t="s">
        <v>193</v>
      </c>
      <c r="AY24" s="129" t="s">
        <v>194</v>
      </c>
      <c r="AZ24" s="129" t="s">
        <v>195</v>
      </c>
      <c r="BA24" s="129" t="s">
        <v>196</v>
      </c>
      <c r="BB24" s="129" t="s">
        <v>265</v>
      </c>
      <c r="BC24" s="140">
        <v>2</v>
      </c>
      <c r="BD24" s="129" t="s">
        <v>266</v>
      </c>
      <c r="BE24" s="173">
        <v>17.547808061113003</v>
      </c>
      <c r="BF24" s="129" t="s">
        <v>199</v>
      </c>
      <c r="BG24" s="173">
        <v>0.30387941595158474</v>
      </c>
      <c r="BH24" s="129">
        <v>0.83299999999999996</v>
      </c>
      <c r="BI24" s="129" t="s">
        <v>160</v>
      </c>
      <c r="BJ24" s="138" t="s">
        <v>160</v>
      </c>
      <c r="BK24" s="129">
        <v>2.69</v>
      </c>
      <c r="BL24" s="129" t="s">
        <v>160</v>
      </c>
      <c r="BM24" s="129" t="s">
        <v>160</v>
      </c>
      <c r="BN24" s="129" t="s">
        <v>200</v>
      </c>
      <c r="BO24" s="129" t="s">
        <v>201</v>
      </c>
      <c r="BP24" s="141">
        <v>17.836504275045623</v>
      </c>
      <c r="BQ24" s="129" t="s">
        <v>202</v>
      </c>
      <c r="BR24" s="142">
        <f t="shared" si="2"/>
        <v>0.30387941595158474</v>
      </c>
      <c r="BS24" s="129" t="s">
        <v>160</v>
      </c>
      <c r="BT24" s="129" t="s">
        <v>160</v>
      </c>
      <c r="BU24" s="129">
        <v>10</v>
      </c>
      <c r="BV24" s="129" t="s">
        <v>159</v>
      </c>
      <c r="BW24" s="129">
        <v>10</v>
      </c>
      <c r="BX24" s="143">
        <v>24.251696501964215</v>
      </c>
      <c r="BY24" s="129" t="s">
        <v>159</v>
      </c>
      <c r="BZ24" s="129">
        <v>1</v>
      </c>
      <c r="CA24" s="129">
        <v>1</v>
      </c>
      <c r="CB24" s="129" t="s">
        <v>160</v>
      </c>
      <c r="CC24" s="173">
        <v>3.5418261832511932</v>
      </c>
      <c r="CD24" s="129" t="s">
        <v>163</v>
      </c>
      <c r="CE24" s="144">
        <f t="shared" si="4"/>
        <v>9.5629306947782211E-2</v>
      </c>
      <c r="CF24" s="144">
        <f t="shared" si="5"/>
        <v>9.5629306947782211E-2</v>
      </c>
      <c r="CG24" s="145" t="s">
        <v>203</v>
      </c>
      <c r="CH24" s="129" t="s">
        <v>204</v>
      </c>
      <c r="CI24" s="129" t="s">
        <v>205</v>
      </c>
      <c r="CJ24" s="129" t="s">
        <v>206</v>
      </c>
      <c r="CK24" s="129" t="s">
        <v>158</v>
      </c>
      <c r="CL24" s="129" t="s">
        <v>158</v>
      </c>
      <c r="CM24" s="129" t="s">
        <v>158</v>
      </c>
      <c r="CN24" s="129" t="s">
        <v>160</v>
      </c>
      <c r="CO24" s="129" t="s">
        <v>160</v>
      </c>
      <c r="CP24" s="129" t="s">
        <v>160</v>
      </c>
      <c r="CQ24" s="129" t="s">
        <v>160</v>
      </c>
      <c r="CR24" s="129" t="s">
        <v>160</v>
      </c>
      <c r="CS24" s="129" t="s">
        <v>160</v>
      </c>
      <c r="CT24" s="129" t="s">
        <v>160</v>
      </c>
      <c r="CU24" s="129">
        <v>36.01</v>
      </c>
      <c r="CV24" s="129" t="s">
        <v>159</v>
      </c>
      <c r="CW24" s="146">
        <v>1</v>
      </c>
      <c r="CX24" s="129" t="s">
        <v>207</v>
      </c>
      <c r="CY24" s="129">
        <v>1.1516730919293536E-2</v>
      </c>
      <c r="CZ24" s="129" t="s">
        <v>159</v>
      </c>
      <c r="DA24" s="146">
        <v>2.5000000000000001E-3</v>
      </c>
      <c r="DB24" s="129" t="s">
        <v>208</v>
      </c>
      <c r="DC24" s="129">
        <v>5.2046089260054162E-2</v>
      </c>
      <c r="DD24" s="129" t="s">
        <v>159</v>
      </c>
      <c r="DE24" s="146">
        <v>2.5000000000000001E-3</v>
      </c>
      <c r="DF24" s="129" t="s">
        <v>209</v>
      </c>
      <c r="DG24" s="129" t="s">
        <v>160</v>
      </c>
      <c r="DH24" s="129" t="s">
        <v>160</v>
      </c>
      <c r="DI24" s="129" t="s">
        <v>160</v>
      </c>
      <c r="DJ24" s="129" t="s">
        <v>160</v>
      </c>
      <c r="DK24" s="145">
        <v>424.29</v>
      </c>
      <c r="DL24" s="129" t="s">
        <v>159</v>
      </c>
      <c r="DM24" s="145" t="s">
        <v>160</v>
      </c>
      <c r="DN24" s="129" t="s">
        <v>210</v>
      </c>
      <c r="DO24" s="129">
        <v>39.968490000000003</v>
      </c>
      <c r="DP24" s="129" t="s">
        <v>160</v>
      </c>
      <c r="DQ24" s="129">
        <v>0.58544499999999999</v>
      </c>
      <c r="DR24" s="129" t="s">
        <v>211</v>
      </c>
      <c r="DS24" s="129" t="s">
        <v>212</v>
      </c>
      <c r="DT24" s="129" t="s">
        <v>213</v>
      </c>
      <c r="DU24" s="129">
        <v>1.0271999999999999</v>
      </c>
      <c r="DV24" s="129" t="s">
        <v>214</v>
      </c>
      <c r="DW24" s="129" t="s">
        <v>214</v>
      </c>
      <c r="DX24" s="129" t="s">
        <v>215</v>
      </c>
      <c r="DY24" s="129" t="s">
        <v>160</v>
      </c>
      <c r="DZ24" s="129" t="s">
        <v>164</v>
      </c>
      <c r="EA24" s="129" t="s">
        <v>216</v>
      </c>
      <c r="EB24" s="129" t="s">
        <v>212</v>
      </c>
      <c r="EC24" s="129" t="s">
        <v>212</v>
      </c>
      <c r="ED24" s="129" t="s">
        <v>212</v>
      </c>
      <c r="EE24" s="129" t="s">
        <v>217</v>
      </c>
      <c r="EF24" s="147" t="s">
        <v>213</v>
      </c>
      <c r="EG24" s="148" t="s">
        <v>213</v>
      </c>
      <c r="EH24" s="129" t="s">
        <v>218</v>
      </c>
      <c r="EI24" s="129" t="s">
        <v>219</v>
      </c>
      <c r="EJ24" s="129" t="s">
        <v>160</v>
      </c>
      <c r="EK24" s="149">
        <v>1903.077</v>
      </c>
      <c r="EL24" s="129" t="s">
        <v>163</v>
      </c>
      <c r="EM24" s="150">
        <v>500</v>
      </c>
      <c r="EN24" s="150">
        <v>500</v>
      </c>
      <c r="EO24" s="129" t="s">
        <v>160</v>
      </c>
      <c r="EP24" s="129" t="s">
        <v>160</v>
      </c>
      <c r="EQ24" s="129" t="s">
        <v>160</v>
      </c>
      <c r="ER24" s="129" t="s">
        <v>160</v>
      </c>
      <c r="ES24" s="151">
        <v>7.9863479999999996</v>
      </c>
      <c r="ET24" s="142" t="s">
        <v>165</v>
      </c>
      <c r="EU24" s="141">
        <v>6.5884999999999749E-2</v>
      </c>
      <c r="EV24" s="141">
        <v>7.2212999999999639E-2</v>
      </c>
      <c r="EW24" s="142" t="s">
        <v>160</v>
      </c>
      <c r="EX24" s="129" t="s">
        <v>160</v>
      </c>
      <c r="EY24" s="129" t="s">
        <v>160</v>
      </c>
      <c r="EZ24" s="149">
        <v>449.15629999999999</v>
      </c>
      <c r="FA24" s="150">
        <v>150.49720000000002</v>
      </c>
      <c r="FB24" s="150">
        <v>128.01659999999998</v>
      </c>
      <c r="FC24" s="129" t="s">
        <v>220</v>
      </c>
      <c r="FD24" s="129" t="s">
        <v>221</v>
      </c>
      <c r="FE24" s="150">
        <v>2073.79</v>
      </c>
      <c r="FF24" s="150">
        <v>507.5590000000002</v>
      </c>
      <c r="FG24" s="150">
        <v>513.14899999999989</v>
      </c>
      <c r="FH24" s="129" t="s">
        <v>160</v>
      </c>
      <c r="FI24" s="129" t="s">
        <v>160</v>
      </c>
      <c r="FJ24" s="129" t="s">
        <v>160</v>
      </c>
      <c r="FK24" s="129" t="s">
        <v>160</v>
      </c>
      <c r="FL24" s="129" t="s">
        <v>160</v>
      </c>
      <c r="FM24" s="129" t="s">
        <v>160</v>
      </c>
      <c r="FN24" s="151">
        <v>3.4329619999999998</v>
      </c>
      <c r="FO24" s="141">
        <v>2.069604</v>
      </c>
      <c r="FP24" s="141">
        <v>1.5761209999999999</v>
      </c>
      <c r="FQ24" s="129" t="s">
        <v>418</v>
      </c>
      <c r="FR24" s="176" t="s">
        <v>160</v>
      </c>
    </row>
    <row r="25" spans="1:174" s="129" customFormat="1" ht="17">
      <c r="A25" s="165" t="s">
        <v>152</v>
      </c>
      <c r="B25" s="166" t="s">
        <v>183</v>
      </c>
      <c r="C25" s="166">
        <v>2018</v>
      </c>
      <c r="D25" s="166" t="s">
        <v>184</v>
      </c>
      <c r="E25" s="177">
        <v>5800</v>
      </c>
      <c r="F25" s="167" t="str">
        <f t="shared" si="6"/>
        <v>NA</v>
      </c>
      <c r="G25" s="167" t="str">
        <f t="shared" si="6"/>
        <v>NA</v>
      </c>
      <c r="H25" s="168">
        <f t="shared" si="3"/>
        <v>430.17759999999998</v>
      </c>
      <c r="I25" s="130">
        <f t="shared" si="3"/>
        <v>161.54269999999997</v>
      </c>
      <c r="J25" s="130">
        <f t="shared" si="3"/>
        <v>125.29649999999998</v>
      </c>
      <c r="K25" s="129" t="s">
        <v>457</v>
      </c>
      <c r="L25" s="131" t="s">
        <v>185</v>
      </c>
      <c r="M25" s="132" t="s">
        <v>186</v>
      </c>
      <c r="N25" s="129" t="s">
        <v>184</v>
      </c>
      <c r="O25" s="133">
        <v>926</v>
      </c>
      <c r="P25" s="129" t="s">
        <v>156</v>
      </c>
      <c r="Q25" s="133">
        <v>17</v>
      </c>
      <c r="R25" s="133">
        <v>2</v>
      </c>
      <c r="S25" s="133">
        <v>62</v>
      </c>
      <c r="T25" s="133">
        <v>64</v>
      </c>
      <c r="U25" s="129" t="s">
        <v>160</v>
      </c>
      <c r="V25" s="171">
        <v>167.60999999999999</v>
      </c>
      <c r="W25" s="129" t="s">
        <v>160</v>
      </c>
      <c r="X25" s="129" t="s">
        <v>245</v>
      </c>
      <c r="Y25" s="172">
        <v>3.7191000000000001</v>
      </c>
      <c r="Z25" s="172">
        <v>-42.9084</v>
      </c>
      <c r="AA25" s="136" t="s">
        <v>160</v>
      </c>
      <c r="AB25" s="136" t="s">
        <v>160</v>
      </c>
      <c r="AC25" s="129">
        <v>3598</v>
      </c>
      <c r="AD25" s="136" t="s">
        <v>160</v>
      </c>
      <c r="AE25" s="136" t="s">
        <v>160</v>
      </c>
      <c r="AF25" s="129" t="s">
        <v>160</v>
      </c>
      <c r="AG25" s="173">
        <v>5800</v>
      </c>
      <c r="AH25" s="138" t="s">
        <v>160</v>
      </c>
      <c r="AI25" s="129" t="s">
        <v>160</v>
      </c>
      <c r="AJ25" s="138" t="s">
        <v>160</v>
      </c>
      <c r="AK25" s="129" t="s">
        <v>237</v>
      </c>
      <c r="AL25" s="139" t="s">
        <v>246</v>
      </c>
      <c r="AM25" s="139" t="s">
        <v>247</v>
      </c>
      <c r="AN25" s="129" t="s">
        <v>160</v>
      </c>
      <c r="AO25" s="129" t="s">
        <v>160</v>
      </c>
      <c r="AP25" s="129" t="s">
        <v>160</v>
      </c>
      <c r="AQ25" s="129" t="s">
        <v>160</v>
      </c>
      <c r="AR25" s="129" t="s">
        <v>160</v>
      </c>
      <c r="AS25" s="129" t="s">
        <v>160</v>
      </c>
      <c r="AT25" s="129" t="s">
        <v>160</v>
      </c>
      <c r="AU25" s="129" t="s">
        <v>191</v>
      </c>
      <c r="AV25" s="129" t="s">
        <v>161</v>
      </c>
      <c r="AW25" s="129" t="s">
        <v>192</v>
      </c>
      <c r="AX25" s="129" t="s">
        <v>193</v>
      </c>
      <c r="AY25" s="129" t="s">
        <v>194</v>
      </c>
      <c r="AZ25" s="129" t="s">
        <v>195</v>
      </c>
      <c r="BA25" s="129" t="s">
        <v>196</v>
      </c>
      <c r="BB25" s="129" t="s">
        <v>267</v>
      </c>
      <c r="BC25" s="140">
        <v>2</v>
      </c>
      <c r="BD25" s="129" t="s">
        <v>268</v>
      </c>
      <c r="BE25" s="173">
        <v>17.438318550307418</v>
      </c>
      <c r="BF25" s="129" t="s">
        <v>199</v>
      </c>
      <c r="BG25" s="173">
        <v>0.56416755656388307</v>
      </c>
      <c r="BH25" s="129">
        <v>0.83299999999999996</v>
      </c>
      <c r="BI25" s="129" t="s">
        <v>160</v>
      </c>
      <c r="BJ25" s="138" t="s">
        <v>160</v>
      </c>
      <c r="BK25" s="129">
        <v>2.69</v>
      </c>
      <c r="BL25" s="129" t="s">
        <v>160</v>
      </c>
      <c r="BM25" s="129" t="s">
        <v>160</v>
      </c>
      <c r="BN25" s="129" t="s">
        <v>200</v>
      </c>
      <c r="BO25" s="129" t="s">
        <v>201</v>
      </c>
      <c r="BP25" s="141">
        <v>17.705064286083335</v>
      </c>
      <c r="BQ25" s="129" t="s">
        <v>202</v>
      </c>
      <c r="BR25" s="142">
        <f t="shared" si="2"/>
        <v>0.56416755656388307</v>
      </c>
      <c r="BS25" s="129" t="s">
        <v>160</v>
      </c>
      <c r="BT25" s="129" t="s">
        <v>160</v>
      </c>
      <c r="BU25" s="129">
        <v>10</v>
      </c>
      <c r="BV25" s="129" t="s">
        <v>159</v>
      </c>
      <c r="BW25" s="129">
        <v>10</v>
      </c>
      <c r="BX25" s="143">
        <v>23.212788851483076</v>
      </c>
      <c r="BY25" s="129" t="s">
        <v>159</v>
      </c>
      <c r="BZ25" s="129">
        <v>1</v>
      </c>
      <c r="CA25" s="129">
        <v>1</v>
      </c>
      <c r="CB25" s="129" t="s">
        <v>160</v>
      </c>
      <c r="CC25" s="173">
        <v>3.2415418503950932</v>
      </c>
      <c r="CD25" s="129" t="s">
        <v>163</v>
      </c>
      <c r="CE25" s="144">
        <f t="shared" si="4"/>
        <v>8.7521629960667521E-2</v>
      </c>
      <c r="CF25" s="144">
        <f t="shared" si="5"/>
        <v>8.7521629960667521E-2</v>
      </c>
      <c r="CG25" s="145" t="s">
        <v>203</v>
      </c>
      <c r="CH25" s="129" t="s">
        <v>204</v>
      </c>
      <c r="CI25" s="129" t="s">
        <v>205</v>
      </c>
      <c r="CJ25" s="129" t="s">
        <v>206</v>
      </c>
      <c r="CK25" s="129" t="s">
        <v>158</v>
      </c>
      <c r="CL25" s="129" t="s">
        <v>158</v>
      </c>
      <c r="CM25" s="129" t="s">
        <v>158</v>
      </c>
      <c r="CN25" s="129" t="s">
        <v>160</v>
      </c>
      <c r="CO25" s="129" t="s">
        <v>160</v>
      </c>
      <c r="CP25" s="129" t="s">
        <v>160</v>
      </c>
      <c r="CQ25" s="129" t="s">
        <v>160</v>
      </c>
      <c r="CR25" s="129" t="s">
        <v>160</v>
      </c>
      <c r="CS25" s="129" t="s">
        <v>160</v>
      </c>
      <c r="CT25" s="129" t="s">
        <v>160</v>
      </c>
      <c r="CU25" s="129">
        <v>36.01</v>
      </c>
      <c r="CV25" s="129" t="s">
        <v>159</v>
      </c>
      <c r="CW25" s="146">
        <v>1</v>
      </c>
      <c r="CX25" s="129" t="s">
        <v>207</v>
      </c>
      <c r="CY25" s="129">
        <v>1.1597296297810126E-2</v>
      </c>
      <c r="CZ25" s="129" t="s">
        <v>159</v>
      </c>
      <c r="DA25" s="146">
        <v>2.5000000000000001E-3</v>
      </c>
      <c r="DB25" s="129" t="s">
        <v>208</v>
      </c>
      <c r="DC25" s="129">
        <v>5.1786489707056259E-2</v>
      </c>
      <c r="DD25" s="129" t="s">
        <v>159</v>
      </c>
      <c r="DE25" s="146">
        <v>2.5000000000000001E-3</v>
      </c>
      <c r="DF25" s="129" t="s">
        <v>209</v>
      </c>
      <c r="DG25" s="129" t="s">
        <v>160</v>
      </c>
      <c r="DH25" s="129" t="s">
        <v>160</v>
      </c>
      <c r="DI25" s="129" t="s">
        <v>160</v>
      </c>
      <c r="DJ25" s="129" t="s">
        <v>160</v>
      </c>
      <c r="DK25" s="145">
        <v>424.29</v>
      </c>
      <c r="DL25" s="129" t="s">
        <v>159</v>
      </c>
      <c r="DM25" s="145" t="s">
        <v>160</v>
      </c>
      <c r="DN25" s="129" t="s">
        <v>210</v>
      </c>
      <c r="DO25" s="129">
        <v>39.827010000000001</v>
      </c>
      <c r="DP25" s="129" t="s">
        <v>160</v>
      </c>
      <c r="DQ25" s="129">
        <v>0.60560999999999865</v>
      </c>
      <c r="DR25" s="129" t="s">
        <v>211</v>
      </c>
      <c r="DS25" s="129" t="s">
        <v>212</v>
      </c>
      <c r="DT25" s="129" t="s">
        <v>213</v>
      </c>
      <c r="DU25" s="129">
        <v>1.0271999999999999</v>
      </c>
      <c r="DV25" s="129" t="s">
        <v>214</v>
      </c>
      <c r="DW25" s="129" t="s">
        <v>214</v>
      </c>
      <c r="DX25" s="129" t="s">
        <v>215</v>
      </c>
      <c r="DY25" s="129" t="s">
        <v>160</v>
      </c>
      <c r="DZ25" s="129" t="s">
        <v>164</v>
      </c>
      <c r="EA25" s="129" t="s">
        <v>216</v>
      </c>
      <c r="EB25" s="129" t="s">
        <v>212</v>
      </c>
      <c r="EC25" s="129" t="s">
        <v>212</v>
      </c>
      <c r="ED25" s="129" t="s">
        <v>212</v>
      </c>
      <c r="EE25" s="129" t="s">
        <v>217</v>
      </c>
      <c r="EF25" s="147" t="s">
        <v>213</v>
      </c>
      <c r="EG25" s="148" t="s">
        <v>213</v>
      </c>
      <c r="EH25" s="129" t="s">
        <v>218</v>
      </c>
      <c r="EI25" s="129" t="s">
        <v>219</v>
      </c>
      <c r="EJ25" s="129" t="s">
        <v>160</v>
      </c>
      <c r="EK25" s="149">
        <v>1888.066</v>
      </c>
      <c r="EL25" s="129" t="s">
        <v>163</v>
      </c>
      <c r="EM25" s="150">
        <v>500</v>
      </c>
      <c r="EN25" s="150">
        <v>500</v>
      </c>
      <c r="EO25" s="129" t="s">
        <v>160</v>
      </c>
      <c r="EP25" s="129" t="s">
        <v>160</v>
      </c>
      <c r="EQ25" s="129" t="s">
        <v>160</v>
      </c>
      <c r="ER25" s="129" t="s">
        <v>160</v>
      </c>
      <c r="ES25" s="151">
        <v>7.9986860000000002</v>
      </c>
      <c r="ET25" s="142" t="s">
        <v>165</v>
      </c>
      <c r="EU25" s="141">
        <v>7.7300999999999398E-2</v>
      </c>
      <c r="EV25" s="141">
        <v>9.0643000000000029E-2</v>
      </c>
      <c r="EW25" s="142" t="s">
        <v>160</v>
      </c>
      <c r="EX25" s="129" t="s">
        <v>160</v>
      </c>
      <c r="EY25" s="129" t="s">
        <v>160</v>
      </c>
      <c r="EZ25" s="149">
        <v>430.17759999999998</v>
      </c>
      <c r="FA25" s="150">
        <v>161.54269999999997</v>
      </c>
      <c r="FB25" s="150">
        <v>125.29649999999998</v>
      </c>
      <c r="FC25" s="129" t="s">
        <v>220</v>
      </c>
      <c r="FD25" s="129" t="s">
        <v>221</v>
      </c>
      <c r="FE25" s="150">
        <v>2058.4319999999998</v>
      </c>
      <c r="FF25" s="150">
        <v>511.86400000000049</v>
      </c>
      <c r="FG25" s="150">
        <v>501.33999999999992</v>
      </c>
      <c r="FH25" s="129" t="s">
        <v>160</v>
      </c>
      <c r="FI25" s="129" t="s">
        <v>160</v>
      </c>
      <c r="FJ25" s="129" t="s">
        <v>160</v>
      </c>
      <c r="FK25" s="129" t="s">
        <v>160</v>
      </c>
      <c r="FL25" s="129" t="s">
        <v>160</v>
      </c>
      <c r="FM25" s="129" t="s">
        <v>160</v>
      </c>
      <c r="FN25" s="151">
        <v>3.4001960000000002</v>
      </c>
      <c r="FO25" s="141">
        <v>2.0838890000000001</v>
      </c>
      <c r="FP25" s="141">
        <v>1.5853300000000001</v>
      </c>
      <c r="FQ25" s="129" t="s">
        <v>414</v>
      </c>
      <c r="FR25" s="176" t="s">
        <v>160</v>
      </c>
    </row>
    <row r="26" spans="1:174" s="129" customFormat="1" ht="17">
      <c r="A26" s="165" t="s">
        <v>152</v>
      </c>
      <c r="B26" s="166" t="s">
        <v>183</v>
      </c>
      <c r="C26" s="166">
        <v>2018</v>
      </c>
      <c r="D26" s="166" t="s">
        <v>184</v>
      </c>
      <c r="E26" s="177">
        <v>8560</v>
      </c>
      <c r="F26" s="167" t="str">
        <f t="shared" si="6"/>
        <v>NA</v>
      </c>
      <c r="G26" s="167" t="str">
        <f t="shared" si="6"/>
        <v>NA</v>
      </c>
      <c r="H26" s="168">
        <f t="shared" si="3"/>
        <v>489.25559999999996</v>
      </c>
      <c r="I26" s="130">
        <f t="shared" si="3"/>
        <v>177.69579999999996</v>
      </c>
      <c r="J26" s="130">
        <f t="shared" si="3"/>
        <v>145.00179999999995</v>
      </c>
      <c r="K26" s="129" t="s">
        <v>457</v>
      </c>
      <c r="L26" s="131" t="s">
        <v>185</v>
      </c>
      <c r="M26" s="132" t="s">
        <v>186</v>
      </c>
      <c r="N26" s="129" t="s">
        <v>184</v>
      </c>
      <c r="O26" s="133">
        <v>926</v>
      </c>
      <c r="P26" s="129" t="s">
        <v>156</v>
      </c>
      <c r="Q26" s="133">
        <v>22</v>
      </c>
      <c r="R26" s="133">
        <v>2</v>
      </c>
      <c r="S26" s="133">
        <v>50</v>
      </c>
      <c r="T26" s="133">
        <v>52</v>
      </c>
      <c r="U26" s="129" t="s">
        <v>160</v>
      </c>
      <c r="V26" s="171">
        <v>218.73</v>
      </c>
      <c r="W26" s="129" t="s">
        <v>160</v>
      </c>
      <c r="X26" s="129" t="s">
        <v>245</v>
      </c>
      <c r="Y26" s="172">
        <v>3.7191000000000001</v>
      </c>
      <c r="Z26" s="172">
        <v>-42.9084</v>
      </c>
      <c r="AA26" s="136" t="s">
        <v>160</v>
      </c>
      <c r="AB26" s="136" t="s">
        <v>160</v>
      </c>
      <c r="AC26" s="129">
        <v>3598</v>
      </c>
      <c r="AD26" s="136" t="s">
        <v>160</v>
      </c>
      <c r="AE26" s="136" t="s">
        <v>160</v>
      </c>
      <c r="AF26" s="129" t="s">
        <v>160</v>
      </c>
      <c r="AG26" s="173">
        <v>8560</v>
      </c>
      <c r="AH26" s="138" t="s">
        <v>160</v>
      </c>
      <c r="AI26" s="129" t="s">
        <v>160</v>
      </c>
      <c r="AJ26" s="138" t="s">
        <v>160</v>
      </c>
      <c r="AK26" s="129" t="s">
        <v>237</v>
      </c>
      <c r="AL26" s="139" t="s">
        <v>246</v>
      </c>
      <c r="AM26" s="139" t="s">
        <v>247</v>
      </c>
      <c r="AN26" s="129" t="s">
        <v>160</v>
      </c>
      <c r="AO26" s="129" t="s">
        <v>160</v>
      </c>
      <c r="AP26" s="129" t="s">
        <v>160</v>
      </c>
      <c r="AQ26" s="129" t="s">
        <v>160</v>
      </c>
      <c r="AR26" s="129" t="s">
        <v>160</v>
      </c>
      <c r="AS26" s="129" t="s">
        <v>160</v>
      </c>
      <c r="AT26" s="129" t="s">
        <v>160</v>
      </c>
      <c r="AU26" s="129" t="s">
        <v>191</v>
      </c>
      <c r="AV26" s="129" t="s">
        <v>161</v>
      </c>
      <c r="AW26" s="129" t="s">
        <v>192</v>
      </c>
      <c r="AX26" s="129" t="s">
        <v>193</v>
      </c>
      <c r="AY26" s="129" t="s">
        <v>194</v>
      </c>
      <c r="AZ26" s="129" t="s">
        <v>195</v>
      </c>
      <c r="BA26" s="129" t="s">
        <v>196</v>
      </c>
      <c r="BB26" s="129" t="s">
        <v>269</v>
      </c>
      <c r="BC26" s="140">
        <v>2</v>
      </c>
      <c r="BD26" s="129" t="s">
        <v>270</v>
      </c>
      <c r="BE26" s="173">
        <v>16.366683350531485</v>
      </c>
      <c r="BF26" s="129" t="s">
        <v>199</v>
      </c>
      <c r="BG26" s="173">
        <v>0.42021968819205691</v>
      </c>
      <c r="BH26" s="129">
        <v>0.83299999999999996</v>
      </c>
      <c r="BI26" s="129" t="s">
        <v>160</v>
      </c>
      <c r="BJ26" s="138" t="s">
        <v>160</v>
      </c>
      <c r="BK26" s="129">
        <v>2.69</v>
      </c>
      <c r="BL26" s="129" t="s">
        <v>160</v>
      </c>
      <c r="BM26" s="129" t="s">
        <v>160</v>
      </c>
      <c r="BN26" s="129" t="s">
        <v>200</v>
      </c>
      <c r="BO26" s="129" t="s">
        <v>201</v>
      </c>
      <c r="BP26" s="141">
        <v>16.418587455620031</v>
      </c>
      <c r="BQ26" s="129" t="s">
        <v>202</v>
      </c>
      <c r="BR26" s="142">
        <f t="shared" si="2"/>
        <v>0.42021968819205691</v>
      </c>
      <c r="BS26" s="129" t="s">
        <v>160</v>
      </c>
      <c r="BT26" s="129" t="s">
        <v>160</v>
      </c>
      <c r="BU26" s="129">
        <v>10</v>
      </c>
      <c r="BV26" s="129" t="s">
        <v>159</v>
      </c>
      <c r="BW26" s="129">
        <v>10</v>
      </c>
      <c r="BX26" s="143">
        <v>24.576128131438065</v>
      </c>
      <c r="BY26" s="129" t="s">
        <v>159</v>
      </c>
      <c r="BZ26" s="129">
        <v>1</v>
      </c>
      <c r="CA26" s="129">
        <v>1</v>
      </c>
      <c r="CB26" s="129" t="s">
        <v>160</v>
      </c>
      <c r="CC26" s="173">
        <v>3.7714806723777858</v>
      </c>
      <c r="CD26" s="129" t="s">
        <v>163</v>
      </c>
      <c r="CE26" s="144">
        <f t="shared" si="4"/>
        <v>0.10182997815420021</v>
      </c>
      <c r="CF26" s="144">
        <f t="shared" si="5"/>
        <v>0.10182997815420021</v>
      </c>
      <c r="CG26" s="145" t="s">
        <v>203</v>
      </c>
      <c r="CH26" s="129" t="s">
        <v>204</v>
      </c>
      <c r="CI26" s="129" t="s">
        <v>205</v>
      </c>
      <c r="CJ26" s="129" t="s">
        <v>206</v>
      </c>
      <c r="CK26" s="129" t="s">
        <v>158</v>
      </c>
      <c r="CL26" s="129" t="s">
        <v>158</v>
      </c>
      <c r="CM26" s="129" t="s">
        <v>158</v>
      </c>
      <c r="CN26" s="129" t="s">
        <v>160</v>
      </c>
      <c r="CO26" s="129" t="s">
        <v>160</v>
      </c>
      <c r="CP26" s="129" t="s">
        <v>160</v>
      </c>
      <c r="CQ26" s="129" t="s">
        <v>160</v>
      </c>
      <c r="CR26" s="129" t="s">
        <v>160</v>
      </c>
      <c r="CS26" s="129" t="s">
        <v>160</v>
      </c>
      <c r="CT26" s="129" t="s">
        <v>160</v>
      </c>
      <c r="CU26" s="129">
        <v>36.01</v>
      </c>
      <c r="CV26" s="129" t="s">
        <v>159</v>
      </c>
      <c r="CW26" s="146">
        <v>1</v>
      </c>
      <c r="CX26" s="129" t="s">
        <v>207</v>
      </c>
      <c r="CY26" s="129">
        <v>1.2071629897570118E-2</v>
      </c>
      <c r="CZ26" s="129" t="s">
        <v>159</v>
      </c>
      <c r="DA26" s="146">
        <v>2.5000000000000001E-3</v>
      </c>
      <c r="DB26" s="129" t="s">
        <v>208</v>
      </c>
      <c r="DC26" s="129">
        <v>5.0258081441162956E-2</v>
      </c>
      <c r="DD26" s="129" t="s">
        <v>159</v>
      </c>
      <c r="DE26" s="146">
        <v>2.5000000000000001E-3</v>
      </c>
      <c r="DF26" s="129" t="s">
        <v>209</v>
      </c>
      <c r="DG26" s="129" t="s">
        <v>160</v>
      </c>
      <c r="DH26" s="129" t="s">
        <v>160</v>
      </c>
      <c r="DI26" s="129" t="s">
        <v>160</v>
      </c>
      <c r="DJ26" s="129" t="s">
        <v>160</v>
      </c>
      <c r="DK26" s="145">
        <v>424.29</v>
      </c>
      <c r="DL26" s="129" t="s">
        <v>159</v>
      </c>
      <c r="DM26" s="145" t="s">
        <v>160</v>
      </c>
      <c r="DN26" s="129" t="s">
        <v>210</v>
      </c>
      <c r="DO26" s="129">
        <v>38.873609999999999</v>
      </c>
      <c r="DP26" s="129" t="s">
        <v>160</v>
      </c>
      <c r="DQ26" s="129">
        <v>0.62658499999999862</v>
      </c>
      <c r="DR26" s="129" t="s">
        <v>211</v>
      </c>
      <c r="DS26" s="129" t="s">
        <v>212</v>
      </c>
      <c r="DT26" s="129" t="s">
        <v>213</v>
      </c>
      <c r="DU26" s="129">
        <v>1.0271999999999999</v>
      </c>
      <c r="DV26" s="129" t="s">
        <v>214</v>
      </c>
      <c r="DW26" s="129" t="s">
        <v>214</v>
      </c>
      <c r="DX26" s="129" t="s">
        <v>215</v>
      </c>
      <c r="DY26" s="129" t="s">
        <v>160</v>
      </c>
      <c r="DZ26" s="129" t="s">
        <v>164</v>
      </c>
      <c r="EA26" s="129" t="s">
        <v>216</v>
      </c>
      <c r="EB26" s="129" t="s">
        <v>212</v>
      </c>
      <c r="EC26" s="129" t="s">
        <v>212</v>
      </c>
      <c r="ED26" s="129" t="s">
        <v>212</v>
      </c>
      <c r="EE26" s="129" t="s">
        <v>217</v>
      </c>
      <c r="EF26" s="147" t="s">
        <v>213</v>
      </c>
      <c r="EG26" s="148" t="s">
        <v>213</v>
      </c>
      <c r="EH26" s="129" t="s">
        <v>218</v>
      </c>
      <c r="EI26" s="129" t="s">
        <v>219</v>
      </c>
      <c r="EJ26" s="129" t="s">
        <v>160</v>
      </c>
      <c r="EK26" s="149">
        <v>1838.07</v>
      </c>
      <c r="EL26" s="129" t="s">
        <v>163</v>
      </c>
      <c r="EM26" s="150">
        <v>500</v>
      </c>
      <c r="EN26" s="150">
        <v>500</v>
      </c>
      <c r="EO26" s="129" t="s">
        <v>160</v>
      </c>
      <c r="EP26" s="129" t="s">
        <v>160</v>
      </c>
      <c r="EQ26" s="129" t="s">
        <v>160</v>
      </c>
      <c r="ER26" s="129" t="s">
        <v>160</v>
      </c>
      <c r="ES26" s="151">
        <v>7.9374950000000002</v>
      </c>
      <c r="ET26" s="142" t="s">
        <v>165</v>
      </c>
      <c r="EU26" s="141">
        <v>7.9572000000000642E-2</v>
      </c>
      <c r="EV26" s="141">
        <v>8.631499999999992E-2</v>
      </c>
      <c r="EW26" s="142" t="s">
        <v>160</v>
      </c>
      <c r="EX26" s="129" t="s">
        <v>160</v>
      </c>
      <c r="EY26" s="129" t="s">
        <v>160</v>
      </c>
      <c r="EZ26" s="149">
        <v>489.25559999999996</v>
      </c>
      <c r="FA26" s="150">
        <v>177.69579999999996</v>
      </c>
      <c r="FB26" s="150">
        <v>145.00179999999995</v>
      </c>
      <c r="FC26" s="129" t="s">
        <v>220</v>
      </c>
      <c r="FD26" s="129" t="s">
        <v>221</v>
      </c>
      <c r="FE26" s="150">
        <v>1993.5719999999999</v>
      </c>
      <c r="FF26" s="150">
        <v>495.42899999999986</v>
      </c>
      <c r="FG26" s="150">
        <v>496.50299999999993</v>
      </c>
      <c r="FH26" s="129" t="s">
        <v>160</v>
      </c>
      <c r="FI26" s="129" t="s">
        <v>160</v>
      </c>
      <c r="FJ26" s="129" t="s">
        <v>160</v>
      </c>
      <c r="FK26" s="129" t="s">
        <v>160</v>
      </c>
      <c r="FL26" s="129" t="s">
        <v>160</v>
      </c>
      <c r="FM26" s="129" t="s">
        <v>160</v>
      </c>
      <c r="FN26" s="151">
        <v>3.2528130000000002</v>
      </c>
      <c r="FO26" s="141">
        <v>1.9551449999999995</v>
      </c>
      <c r="FP26" s="141">
        <v>1.4776550000000002</v>
      </c>
      <c r="FQ26" s="129" t="s">
        <v>414</v>
      </c>
      <c r="FR26" s="176" t="s">
        <v>160</v>
      </c>
    </row>
    <row r="27" spans="1:174" s="129" customFormat="1" ht="17">
      <c r="A27" s="165" t="s">
        <v>152</v>
      </c>
      <c r="B27" s="166" t="s">
        <v>183</v>
      </c>
      <c r="C27" s="166">
        <v>2018</v>
      </c>
      <c r="D27" s="166" t="s">
        <v>184</v>
      </c>
      <c r="E27" s="177">
        <v>9240</v>
      </c>
      <c r="F27" s="167" t="str">
        <f t="shared" si="6"/>
        <v>NA</v>
      </c>
      <c r="G27" s="167" t="str">
        <f t="shared" si="6"/>
        <v>NA</v>
      </c>
      <c r="H27" s="168">
        <f t="shared" si="3"/>
        <v>441.19470000000001</v>
      </c>
      <c r="I27" s="130">
        <f t="shared" si="3"/>
        <v>158.28300000000002</v>
      </c>
      <c r="J27" s="130">
        <f t="shared" si="3"/>
        <v>131.21120000000002</v>
      </c>
      <c r="K27" s="129" t="s">
        <v>457</v>
      </c>
      <c r="L27" s="131" t="s">
        <v>185</v>
      </c>
      <c r="M27" s="132" t="s">
        <v>186</v>
      </c>
      <c r="N27" s="129" t="s">
        <v>184</v>
      </c>
      <c r="O27" s="133">
        <v>926</v>
      </c>
      <c r="P27" s="129" t="s">
        <v>156</v>
      </c>
      <c r="Q27" s="133">
        <v>23</v>
      </c>
      <c r="R27" s="133">
        <v>2</v>
      </c>
      <c r="S27" s="133">
        <v>75</v>
      </c>
      <c r="T27" s="133">
        <v>77</v>
      </c>
      <c r="U27" s="129" t="s">
        <v>160</v>
      </c>
      <c r="V27" s="171">
        <v>229.82</v>
      </c>
      <c r="W27" s="129" t="s">
        <v>160</v>
      </c>
      <c r="X27" s="129" t="s">
        <v>245</v>
      </c>
      <c r="Y27" s="172">
        <v>3.7191000000000001</v>
      </c>
      <c r="Z27" s="172">
        <v>-42.9084</v>
      </c>
      <c r="AA27" s="136" t="s">
        <v>160</v>
      </c>
      <c r="AB27" s="136" t="s">
        <v>160</v>
      </c>
      <c r="AC27" s="129">
        <v>3598</v>
      </c>
      <c r="AD27" s="136" t="s">
        <v>160</v>
      </c>
      <c r="AE27" s="136" t="s">
        <v>160</v>
      </c>
      <c r="AF27" s="129" t="s">
        <v>160</v>
      </c>
      <c r="AG27" s="173">
        <v>9240</v>
      </c>
      <c r="AH27" s="138" t="s">
        <v>160</v>
      </c>
      <c r="AI27" s="129" t="s">
        <v>160</v>
      </c>
      <c r="AJ27" s="138" t="s">
        <v>160</v>
      </c>
      <c r="AK27" s="129" t="s">
        <v>237</v>
      </c>
      <c r="AL27" s="139" t="s">
        <v>246</v>
      </c>
      <c r="AM27" s="139" t="s">
        <v>247</v>
      </c>
      <c r="AN27" s="129" t="s">
        <v>160</v>
      </c>
      <c r="AO27" s="129" t="s">
        <v>160</v>
      </c>
      <c r="AP27" s="129" t="s">
        <v>160</v>
      </c>
      <c r="AQ27" s="129" t="s">
        <v>160</v>
      </c>
      <c r="AR27" s="129" t="s">
        <v>160</v>
      </c>
      <c r="AS27" s="129" t="s">
        <v>160</v>
      </c>
      <c r="AT27" s="129" t="s">
        <v>160</v>
      </c>
      <c r="AU27" s="129" t="s">
        <v>191</v>
      </c>
      <c r="AV27" s="129" t="s">
        <v>161</v>
      </c>
      <c r="AW27" s="129" t="s">
        <v>192</v>
      </c>
      <c r="AX27" s="129" t="s">
        <v>193</v>
      </c>
      <c r="AY27" s="129" t="s">
        <v>194</v>
      </c>
      <c r="AZ27" s="129" t="s">
        <v>195</v>
      </c>
      <c r="BA27" s="129" t="s">
        <v>196</v>
      </c>
      <c r="BB27" s="129" t="s">
        <v>271</v>
      </c>
      <c r="BC27" s="140">
        <v>2</v>
      </c>
      <c r="BD27" s="129" t="s">
        <v>272</v>
      </c>
      <c r="BE27" s="173">
        <v>16.529456929940455</v>
      </c>
      <c r="BF27" s="129" t="s">
        <v>199</v>
      </c>
      <c r="BG27" s="173">
        <v>0.29079818272908375</v>
      </c>
      <c r="BH27" s="129">
        <v>0.83299999999999996</v>
      </c>
      <c r="BI27" s="129" t="s">
        <v>160</v>
      </c>
      <c r="BJ27" s="138" t="s">
        <v>160</v>
      </c>
      <c r="BK27" s="129">
        <v>2.69</v>
      </c>
      <c r="BL27" s="129" t="s">
        <v>160</v>
      </c>
      <c r="BM27" s="129" t="s">
        <v>160</v>
      </c>
      <c r="BN27" s="129" t="s">
        <v>200</v>
      </c>
      <c r="BO27" s="129" t="s">
        <v>201</v>
      </c>
      <c r="BP27" s="141">
        <v>16.613993913493946</v>
      </c>
      <c r="BQ27" s="129" t="s">
        <v>202</v>
      </c>
      <c r="BR27" s="142">
        <f t="shared" si="2"/>
        <v>0.29079818272908375</v>
      </c>
      <c r="BS27" s="129" t="s">
        <v>160</v>
      </c>
      <c r="BT27" s="129" t="s">
        <v>160</v>
      </c>
      <c r="BU27" s="129">
        <v>10</v>
      </c>
      <c r="BV27" s="129" t="s">
        <v>159</v>
      </c>
      <c r="BW27" s="129">
        <v>10</v>
      </c>
      <c r="BX27" s="143">
        <v>24.662994456553353</v>
      </c>
      <c r="BY27" s="129" t="s">
        <v>159</v>
      </c>
      <c r="BZ27" s="129">
        <v>1</v>
      </c>
      <c r="CA27" s="129">
        <v>1</v>
      </c>
      <c r="CB27" s="129" t="s">
        <v>160</v>
      </c>
      <c r="CC27" s="173">
        <v>3.8280501849875104</v>
      </c>
      <c r="CD27" s="129" t="s">
        <v>163</v>
      </c>
      <c r="CE27" s="144">
        <f t="shared" si="4"/>
        <v>0.10335735499466278</v>
      </c>
      <c r="CF27" s="144">
        <f t="shared" si="5"/>
        <v>0.10335735499466278</v>
      </c>
      <c r="CG27" s="145" t="s">
        <v>203</v>
      </c>
      <c r="CH27" s="129" t="s">
        <v>204</v>
      </c>
      <c r="CI27" s="129" t="s">
        <v>205</v>
      </c>
      <c r="CJ27" s="129" t="s">
        <v>206</v>
      </c>
      <c r="CK27" s="129" t="s">
        <v>158</v>
      </c>
      <c r="CL27" s="129" t="s">
        <v>158</v>
      </c>
      <c r="CM27" s="129" t="s">
        <v>158</v>
      </c>
      <c r="CN27" s="129" t="s">
        <v>160</v>
      </c>
      <c r="CO27" s="129" t="s">
        <v>160</v>
      </c>
      <c r="CP27" s="129" t="s">
        <v>160</v>
      </c>
      <c r="CQ27" s="129" t="s">
        <v>160</v>
      </c>
      <c r="CR27" s="129" t="s">
        <v>160</v>
      </c>
      <c r="CS27" s="129" t="s">
        <v>160</v>
      </c>
      <c r="CT27" s="129" t="s">
        <v>160</v>
      </c>
      <c r="CU27" s="129">
        <v>36.01</v>
      </c>
      <c r="CV27" s="129" t="s">
        <v>159</v>
      </c>
      <c r="CW27" s="146">
        <v>1</v>
      </c>
      <c r="CX27" s="129" t="s">
        <v>207</v>
      </c>
      <c r="CY27" s="129">
        <v>1.218909850302023E-2</v>
      </c>
      <c r="CZ27" s="129" t="s">
        <v>159</v>
      </c>
      <c r="DA27" s="146">
        <v>2.5000000000000001E-3</v>
      </c>
      <c r="DB27" s="129" t="s">
        <v>208</v>
      </c>
      <c r="DC27" s="129">
        <v>4.987957149026815E-2</v>
      </c>
      <c r="DD27" s="129" t="s">
        <v>159</v>
      </c>
      <c r="DE27" s="146">
        <v>2.5000000000000001E-3</v>
      </c>
      <c r="DF27" s="129" t="s">
        <v>209</v>
      </c>
      <c r="DG27" s="129" t="s">
        <v>160</v>
      </c>
      <c r="DH27" s="129" t="s">
        <v>160</v>
      </c>
      <c r="DI27" s="129" t="s">
        <v>160</v>
      </c>
      <c r="DJ27" s="129" t="s">
        <v>160</v>
      </c>
      <c r="DK27" s="145">
        <v>424.29</v>
      </c>
      <c r="DL27" s="129" t="s">
        <v>159</v>
      </c>
      <c r="DM27" s="145" t="s">
        <v>160</v>
      </c>
      <c r="DN27" s="129" t="s">
        <v>210</v>
      </c>
      <c r="DO27" s="129">
        <v>38.643300000000004</v>
      </c>
      <c r="DP27" s="129" t="s">
        <v>160</v>
      </c>
      <c r="DQ27" s="129">
        <v>0.67476500000000073</v>
      </c>
      <c r="DR27" s="129" t="s">
        <v>211</v>
      </c>
      <c r="DS27" s="129" t="s">
        <v>212</v>
      </c>
      <c r="DT27" s="129" t="s">
        <v>213</v>
      </c>
      <c r="DU27" s="129">
        <v>1.0271999999999999</v>
      </c>
      <c r="DV27" s="129" t="s">
        <v>214</v>
      </c>
      <c r="DW27" s="129" t="s">
        <v>214</v>
      </c>
      <c r="DX27" s="129" t="s">
        <v>215</v>
      </c>
      <c r="DY27" s="129" t="s">
        <v>160</v>
      </c>
      <c r="DZ27" s="129" t="s">
        <v>164</v>
      </c>
      <c r="EA27" s="129" t="s">
        <v>216</v>
      </c>
      <c r="EB27" s="129" t="s">
        <v>212</v>
      </c>
      <c r="EC27" s="129" t="s">
        <v>212</v>
      </c>
      <c r="ED27" s="129" t="s">
        <v>212</v>
      </c>
      <c r="EE27" s="129" t="s">
        <v>217</v>
      </c>
      <c r="EF27" s="147" t="s">
        <v>213</v>
      </c>
      <c r="EG27" s="148" t="s">
        <v>213</v>
      </c>
      <c r="EH27" s="129" t="s">
        <v>218</v>
      </c>
      <c r="EI27" s="129" t="s">
        <v>219</v>
      </c>
      <c r="EJ27" s="129" t="s">
        <v>160</v>
      </c>
      <c r="EK27" s="149">
        <v>1825.3720000000001</v>
      </c>
      <c r="EL27" s="129" t="s">
        <v>163</v>
      </c>
      <c r="EM27" s="150">
        <v>500</v>
      </c>
      <c r="EN27" s="150">
        <v>500</v>
      </c>
      <c r="EO27" s="129" t="s">
        <v>160</v>
      </c>
      <c r="EP27" s="129" t="s">
        <v>160</v>
      </c>
      <c r="EQ27" s="129" t="s">
        <v>160</v>
      </c>
      <c r="ER27" s="129" t="s">
        <v>160</v>
      </c>
      <c r="ES27" s="151">
        <v>7.9785190000000004</v>
      </c>
      <c r="ET27" s="142" t="s">
        <v>165</v>
      </c>
      <c r="EU27" s="141">
        <v>7.1419999999999817E-2</v>
      </c>
      <c r="EV27" s="141">
        <v>7.7344000000000079E-2</v>
      </c>
      <c r="EW27" s="142" t="s">
        <v>160</v>
      </c>
      <c r="EX27" s="129" t="s">
        <v>160</v>
      </c>
      <c r="EY27" s="129" t="s">
        <v>160</v>
      </c>
      <c r="EZ27" s="149">
        <v>441.19470000000001</v>
      </c>
      <c r="FA27" s="150">
        <v>158.28300000000002</v>
      </c>
      <c r="FB27" s="150">
        <v>131.21120000000002</v>
      </c>
      <c r="FC27" s="129" t="s">
        <v>220</v>
      </c>
      <c r="FD27" s="129" t="s">
        <v>221</v>
      </c>
      <c r="FE27" s="150">
        <v>1996.1330000000003</v>
      </c>
      <c r="FF27" s="150">
        <v>503.70699999999988</v>
      </c>
      <c r="FG27" s="150">
        <v>499.14300000000026</v>
      </c>
      <c r="FH27" s="129" t="s">
        <v>160</v>
      </c>
      <c r="FI27" s="129" t="s">
        <v>160</v>
      </c>
      <c r="FJ27" s="129" t="s">
        <v>160</v>
      </c>
      <c r="FK27" s="129" t="s">
        <v>160</v>
      </c>
      <c r="FL27" s="129" t="s">
        <v>160</v>
      </c>
      <c r="FM27" s="129" t="s">
        <v>160</v>
      </c>
      <c r="FN27" s="151">
        <v>3.6131389999999999</v>
      </c>
      <c r="FO27" s="141">
        <v>2.1087000000000002</v>
      </c>
      <c r="FP27" s="141">
        <v>1.592841</v>
      </c>
      <c r="FQ27" s="129" t="s">
        <v>414</v>
      </c>
      <c r="FR27" s="176" t="s">
        <v>160</v>
      </c>
    </row>
    <row r="28" spans="1:174" s="129" customFormat="1" ht="17">
      <c r="A28" s="165" t="s">
        <v>152</v>
      </c>
      <c r="B28" s="166" t="s">
        <v>183</v>
      </c>
      <c r="C28" s="166">
        <v>2018</v>
      </c>
      <c r="D28" s="166" t="s">
        <v>184</v>
      </c>
      <c r="E28" s="177">
        <v>9870</v>
      </c>
      <c r="F28" s="167" t="str">
        <f t="shared" si="6"/>
        <v>NA</v>
      </c>
      <c r="G28" s="167" t="str">
        <f t="shared" si="6"/>
        <v>NA</v>
      </c>
      <c r="H28" s="168">
        <f t="shared" si="3"/>
        <v>313.3621</v>
      </c>
      <c r="I28" s="130">
        <f t="shared" si="3"/>
        <v>105.28579999999999</v>
      </c>
      <c r="J28" s="130">
        <f t="shared" si="3"/>
        <v>91.190600000000018</v>
      </c>
      <c r="K28" s="129" t="s">
        <v>457</v>
      </c>
      <c r="L28" s="131" t="s">
        <v>185</v>
      </c>
      <c r="M28" s="132" t="s">
        <v>186</v>
      </c>
      <c r="N28" s="129" t="s">
        <v>184</v>
      </c>
      <c r="O28" s="133">
        <v>926</v>
      </c>
      <c r="P28" s="129" t="s">
        <v>156</v>
      </c>
      <c r="Q28" s="133">
        <v>24</v>
      </c>
      <c r="R28" s="133">
        <v>2</v>
      </c>
      <c r="S28" s="133">
        <v>56</v>
      </c>
      <c r="T28" s="133">
        <v>57.5</v>
      </c>
      <c r="U28" s="129" t="s">
        <v>160</v>
      </c>
      <c r="V28" s="171">
        <v>239.667</v>
      </c>
      <c r="W28" s="129" t="s">
        <v>160</v>
      </c>
      <c r="X28" s="129" t="s">
        <v>245</v>
      </c>
      <c r="Y28" s="172">
        <v>3.7191000000000001</v>
      </c>
      <c r="Z28" s="172">
        <v>-42.9084</v>
      </c>
      <c r="AA28" s="136" t="s">
        <v>160</v>
      </c>
      <c r="AB28" s="136" t="s">
        <v>160</v>
      </c>
      <c r="AC28" s="129">
        <v>3598</v>
      </c>
      <c r="AD28" s="136" t="s">
        <v>160</v>
      </c>
      <c r="AE28" s="136" t="s">
        <v>160</v>
      </c>
      <c r="AF28" s="129" t="s">
        <v>160</v>
      </c>
      <c r="AG28" s="173">
        <v>9870</v>
      </c>
      <c r="AH28" s="138" t="s">
        <v>160</v>
      </c>
      <c r="AI28" s="129" t="s">
        <v>160</v>
      </c>
      <c r="AJ28" s="138" t="s">
        <v>160</v>
      </c>
      <c r="AK28" s="129" t="s">
        <v>237</v>
      </c>
      <c r="AL28" s="139" t="s">
        <v>246</v>
      </c>
      <c r="AM28" s="139" t="s">
        <v>247</v>
      </c>
      <c r="AN28" s="129" t="s">
        <v>160</v>
      </c>
      <c r="AO28" s="129" t="s">
        <v>160</v>
      </c>
      <c r="AP28" s="129" t="s">
        <v>160</v>
      </c>
      <c r="AQ28" s="129" t="s">
        <v>160</v>
      </c>
      <c r="AR28" s="129" t="s">
        <v>160</v>
      </c>
      <c r="AS28" s="129" t="s">
        <v>160</v>
      </c>
      <c r="AT28" s="129" t="s">
        <v>160</v>
      </c>
      <c r="AU28" s="129" t="s">
        <v>191</v>
      </c>
      <c r="AV28" s="129" t="s">
        <v>161</v>
      </c>
      <c r="AW28" s="129" t="s">
        <v>192</v>
      </c>
      <c r="AX28" s="129" t="s">
        <v>193</v>
      </c>
      <c r="AY28" s="129" t="s">
        <v>194</v>
      </c>
      <c r="AZ28" s="129" t="s">
        <v>195</v>
      </c>
      <c r="BA28" s="129" t="s">
        <v>196</v>
      </c>
      <c r="BB28" s="129" t="s">
        <v>273</v>
      </c>
      <c r="BC28" s="140">
        <v>2</v>
      </c>
      <c r="BD28" s="129" t="s">
        <v>274</v>
      </c>
      <c r="BE28" s="173">
        <v>17.542421102915881</v>
      </c>
      <c r="BF28" s="129" t="s">
        <v>199</v>
      </c>
      <c r="BG28" s="173">
        <v>0.19567217538781265</v>
      </c>
      <c r="BH28" s="129">
        <v>0.83299999999999996</v>
      </c>
      <c r="BI28" s="129" t="s">
        <v>160</v>
      </c>
      <c r="BJ28" s="138" t="s">
        <v>160</v>
      </c>
      <c r="BK28" s="129">
        <v>2.69</v>
      </c>
      <c r="BL28" s="129" t="s">
        <v>160</v>
      </c>
      <c r="BM28" s="129" t="s">
        <v>160</v>
      </c>
      <c r="BN28" s="129" t="s">
        <v>200</v>
      </c>
      <c r="BO28" s="129" t="s">
        <v>201</v>
      </c>
      <c r="BP28" s="141">
        <v>17.830037338434433</v>
      </c>
      <c r="BQ28" s="129" t="s">
        <v>202</v>
      </c>
      <c r="BR28" s="142">
        <f t="shared" si="2"/>
        <v>0.19567217538781265</v>
      </c>
      <c r="BS28" s="129" t="s">
        <v>160</v>
      </c>
      <c r="BT28" s="129" t="s">
        <v>160</v>
      </c>
      <c r="BU28" s="129">
        <v>10</v>
      </c>
      <c r="BV28" s="129" t="s">
        <v>159</v>
      </c>
      <c r="BW28" s="129">
        <v>10</v>
      </c>
      <c r="BX28" s="143">
        <v>23.834401561601691</v>
      </c>
      <c r="BY28" s="129" t="s">
        <v>159</v>
      </c>
      <c r="BZ28" s="129">
        <v>1</v>
      </c>
      <c r="CA28" s="129">
        <v>1</v>
      </c>
      <c r="CB28" s="129" t="s">
        <v>160</v>
      </c>
      <c r="CC28" s="173">
        <v>3.5761412354194237</v>
      </c>
      <c r="CD28" s="129" t="s">
        <v>163</v>
      </c>
      <c r="CE28" s="144">
        <f t="shared" si="4"/>
        <v>9.6555813356324446E-2</v>
      </c>
      <c r="CF28" s="144">
        <f t="shared" si="5"/>
        <v>9.6555813356324446E-2</v>
      </c>
      <c r="CG28" s="145" t="s">
        <v>203</v>
      </c>
      <c r="CH28" s="129" t="s">
        <v>204</v>
      </c>
      <c r="CI28" s="129" t="s">
        <v>205</v>
      </c>
      <c r="CJ28" s="129" t="s">
        <v>206</v>
      </c>
      <c r="CK28" s="129" t="s">
        <v>158</v>
      </c>
      <c r="CL28" s="129" t="s">
        <v>158</v>
      </c>
      <c r="CM28" s="129" t="s">
        <v>158</v>
      </c>
      <c r="CN28" s="129" t="s">
        <v>160</v>
      </c>
      <c r="CO28" s="129" t="s">
        <v>160</v>
      </c>
      <c r="CP28" s="129" t="s">
        <v>160</v>
      </c>
      <c r="CQ28" s="129" t="s">
        <v>160</v>
      </c>
      <c r="CR28" s="129" t="s">
        <v>160</v>
      </c>
      <c r="CS28" s="129" t="s">
        <v>160</v>
      </c>
      <c r="CT28" s="129" t="s">
        <v>160</v>
      </c>
      <c r="CU28" s="129">
        <v>36.01</v>
      </c>
      <c r="CV28" s="129" t="s">
        <v>159</v>
      </c>
      <c r="CW28" s="146">
        <v>1</v>
      </c>
      <c r="CX28" s="129" t="s">
        <v>207</v>
      </c>
      <c r="CY28" s="129">
        <v>1.2297346100680437E-2</v>
      </c>
      <c r="CZ28" s="129" t="s">
        <v>159</v>
      </c>
      <c r="DA28" s="146">
        <v>2.5000000000000001E-3</v>
      </c>
      <c r="DB28" s="129" t="s">
        <v>208</v>
      </c>
      <c r="DC28" s="129">
        <v>4.9530773675585255E-2</v>
      </c>
      <c r="DD28" s="129" t="s">
        <v>159</v>
      </c>
      <c r="DE28" s="146">
        <v>2.5000000000000001E-3</v>
      </c>
      <c r="DF28" s="129" t="s">
        <v>209</v>
      </c>
      <c r="DG28" s="129" t="s">
        <v>160</v>
      </c>
      <c r="DH28" s="129" t="s">
        <v>160</v>
      </c>
      <c r="DI28" s="129" t="s">
        <v>160</v>
      </c>
      <c r="DJ28" s="129" t="s">
        <v>160</v>
      </c>
      <c r="DK28" s="145">
        <v>424.29</v>
      </c>
      <c r="DL28" s="129" t="s">
        <v>159</v>
      </c>
      <c r="DM28" s="145" t="s">
        <v>160</v>
      </c>
      <c r="DN28" s="129" t="s">
        <v>210</v>
      </c>
      <c r="DO28" s="129">
        <v>38.438740000000003</v>
      </c>
      <c r="DP28" s="129" t="s">
        <v>160</v>
      </c>
      <c r="DQ28" s="129">
        <v>0.66895500000000041</v>
      </c>
      <c r="DR28" s="129" t="s">
        <v>211</v>
      </c>
      <c r="DS28" s="129" t="s">
        <v>212</v>
      </c>
      <c r="DT28" s="129" t="s">
        <v>213</v>
      </c>
      <c r="DU28" s="129">
        <v>1.0271999999999999</v>
      </c>
      <c r="DV28" s="129" t="s">
        <v>214</v>
      </c>
      <c r="DW28" s="129" t="s">
        <v>214</v>
      </c>
      <c r="DX28" s="129" t="s">
        <v>215</v>
      </c>
      <c r="DY28" s="129" t="s">
        <v>160</v>
      </c>
      <c r="DZ28" s="129" t="s">
        <v>164</v>
      </c>
      <c r="EA28" s="129" t="s">
        <v>216</v>
      </c>
      <c r="EB28" s="129" t="s">
        <v>212</v>
      </c>
      <c r="EC28" s="129" t="s">
        <v>212</v>
      </c>
      <c r="ED28" s="129" t="s">
        <v>212</v>
      </c>
      <c r="EE28" s="129" t="s">
        <v>217</v>
      </c>
      <c r="EF28" s="147" t="s">
        <v>213</v>
      </c>
      <c r="EG28" s="148" t="s">
        <v>213</v>
      </c>
      <c r="EH28" s="129" t="s">
        <v>218</v>
      </c>
      <c r="EI28" s="129" t="s">
        <v>219</v>
      </c>
      <c r="EJ28" s="129" t="s">
        <v>160</v>
      </c>
      <c r="EK28" s="149">
        <v>1811.6499999999999</v>
      </c>
      <c r="EL28" s="129" t="s">
        <v>163</v>
      </c>
      <c r="EM28" s="150">
        <v>500</v>
      </c>
      <c r="EN28" s="150">
        <v>500</v>
      </c>
      <c r="EO28" s="129" t="s">
        <v>160</v>
      </c>
      <c r="EP28" s="129" t="s">
        <v>160</v>
      </c>
      <c r="EQ28" s="129" t="s">
        <v>160</v>
      </c>
      <c r="ER28" s="129" t="s">
        <v>160</v>
      </c>
      <c r="ES28" s="151">
        <v>8.1151129999999991</v>
      </c>
      <c r="ET28" s="142" t="s">
        <v>165</v>
      </c>
      <c r="EU28" s="141">
        <v>6.1061000000000476E-2</v>
      </c>
      <c r="EV28" s="141">
        <v>6.5726999999998981E-2</v>
      </c>
      <c r="EW28" s="142" t="s">
        <v>160</v>
      </c>
      <c r="EX28" s="129" t="s">
        <v>160</v>
      </c>
      <c r="EY28" s="129" t="s">
        <v>160</v>
      </c>
      <c r="EZ28" s="149">
        <v>313.3621</v>
      </c>
      <c r="FA28" s="150">
        <v>105.28579999999999</v>
      </c>
      <c r="FB28" s="150">
        <v>91.190600000000018</v>
      </c>
      <c r="FC28" s="129" t="s">
        <v>220</v>
      </c>
      <c r="FD28" s="129" t="s">
        <v>221</v>
      </c>
      <c r="FE28" s="150">
        <v>2039.7829999999999</v>
      </c>
      <c r="FF28" s="150">
        <v>512.32699999999977</v>
      </c>
      <c r="FG28" s="150">
        <v>517.65999999999985</v>
      </c>
      <c r="FH28" s="129" t="s">
        <v>160</v>
      </c>
      <c r="FI28" s="129" t="s">
        <v>160</v>
      </c>
      <c r="FJ28" s="129" t="s">
        <v>160</v>
      </c>
      <c r="FK28" s="129" t="s">
        <v>160</v>
      </c>
      <c r="FL28" s="129" t="s">
        <v>160</v>
      </c>
      <c r="FM28" s="129" t="s">
        <v>160</v>
      </c>
      <c r="FN28" s="151">
        <v>4.7716219999999998</v>
      </c>
      <c r="FO28" s="141">
        <v>2.6851280000000006</v>
      </c>
      <c r="FP28" s="141">
        <v>2.1296469999999998</v>
      </c>
      <c r="FQ28" s="129" t="s">
        <v>414</v>
      </c>
      <c r="FR28" s="176" t="s">
        <v>160</v>
      </c>
    </row>
    <row r="29" spans="1:174" s="129" customFormat="1" ht="17">
      <c r="A29" s="165" t="s">
        <v>152</v>
      </c>
      <c r="B29" s="166" t="s">
        <v>183</v>
      </c>
      <c r="C29" s="166">
        <v>2018</v>
      </c>
      <c r="D29" s="166" t="s">
        <v>184</v>
      </c>
      <c r="E29" s="177">
        <v>10600</v>
      </c>
      <c r="F29" s="167" t="str">
        <f t="shared" si="6"/>
        <v>NA</v>
      </c>
      <c r="G29" s="167" t="str">
        <f t="shared" si="6"/>
        <v>NA</v>
      </c>
      <c r="H29" s="168">
        <f t="shared" si="3"/>
        <v>359.51549999999997</v>
      </c>
      <c r="I29" s="130">
        <f t="shared" si="3"/>
        <v>152.94410000000005</v>
      </c>
      <c r="J29" s="130">
        <f t="shared" si="3"/>
        <v>114.68489999999997</v>
      </c>
      <c r="K29" s="129" t="s">
        <v>457</v>
      </c>
      <c r="L29" s="131" t="s">
        <v>185</v>
      </c>
      <c r="M29" s="132" t="s">
        <v>186</v>
      </c>
      <c r="N29" s="129" t="s">
        <v>184</v>
      </c>
      <c r="O29" s="133">
        <v>926</v>
      </c>
      <c r="P29" s="129" t="s">
        <v>156</v>
      </c>
      <c r="Q29" s="133">
        <v>25</v>
      </c>
      <c r="R29" s="133">
        <v>2</v>
      </c>
      <c r="S29" s="133">
        <v>85</v>
      </c>
      <c r="T29" s="133">
        <v>87</v>
      </c>
      <c r="U29" s="129" t="s">
        <v>160</v>
      </c>
      <c r="V29" s="171">
        <v>250.70999999999998</v>
      </c>
      <c r="W29" s="129" t="s">
        <v>160</v>
      </c>
      <c r="X29" s="129" t="s">
        <v>245</v>
      </c>
      <c r="Y29" s="172">
        <v>3.7191000000000001</v>
      </c>
      <c r="Z29" s="172">
        <v>-42.9084</v>
      </c>
      <c r="AA29" s="136" t="s">
        <v>160</v>
      </c>
      <c r="AB29" s="136" t="s">
        <v>160</v>
      </c>
      <c r="AC29" s="129">
        <v>3598</v>
      </c>
      <c r="AD29" s="136" t="s">
        <v>160</v>
      </c>
      <c r="AE29" s="136" t="s">
        <v>160</v>
      </c>
      <c r="AF29" s="129" t="s">
        <v>160</v>
      </c>
      <c r="AG29" s="173">
        <v>10600</v>
      </c>
      <c r="AH29" s="138" t="s">
        <v>160</v>
      </c>
      <c r="AI29" s="129" t="s">
        <v>160</v>
      </c>
      <c r="AJ29" s="138" t="s">
        <v>160</v>
      </c>
      <c r="AK29" s="129" t="s">
        <v>237</v>
      </c>
      <c r="AL29" s="139" t="s">
        <v>246</v>
      </c>
      <c r="AM29" s="139" t="s">
        <v>247</v>
      </c>
      <c r="AN29" s="129" t="s">
        <v>160</v>
      </c>
      <c r="AO29" s="129" t="s">
        <v>160</v>
      </c>
      <c r="AP29" s="129" t="s">
        <v>160</v>
      </c>
      <c r="AQ29" s="129" t="s">
        <v>160</v>
      </c>
      <c r="AR29" s="129" t="s">
        <v>160</v>
      </c>
      <c r="AS29" s="129" t="s">
        <v>160</v>
      </c>
      <c r="AT29" s="129" t="s">
        <v>160</v>
      </c>
      <c r="AU29" s="129" t="s">
        <v>191</v>
      </c>
      <c r="AV29" s="129" t="s">
        <v>161</v>
      </c>
      <c r="AW29" s="129" t="s">
        <v>192</v>
      </c>
      <c r="AX29" s="129" t="s">
        <v>193</v>
      </c>
      <c r="AY29" s="129" t="s">
        <v>194</v>
      </c>
      <c r="AZ29" s="129" t="s">
        <v>195</v>
      </c>
      <c r="BA29" s="129" t="s">
        <v>196</v>
      </c>
      <c r="BB29" s="129" t="s">
        <v>275</v>
      </c>
      <c r="BC29" s="140">
        <v>2</v>
      </c>
      <c r="BD29" s="129" t="s">
        <v>276</v>
      </c>
      <c r="BE29" s="173">
        <v>16.855073125161436</v>
      </c>
      <c r="BF29" s="129" t="s">
        <v>199</v>
      </c>
      <c r="BG29" s="173">
        <v>0.87198270356627716</v>
      </c>
      <c r="BH29" s="129">
        <v>0.83299999999999996</v>
      </c>
      <c r="BI29" s="129" t="s">
        <v>160</v>
      </c>
      <c r="BJ29" s="138" t="s">
        <v>160</v>
      </c>
      <c r="BK29" s="129">
        <v>2.69</v>
      </c>
      <c r="BL29" s="129" t="s">
        <v>160</v>
      </c>
      <c r="BM29" s="129" t="s">
        <v>160</v>
      </c>
      <c r="BN29" s="129" t="s">
        <v>200</v>
      </c>
      <c r="BO29" s="129" t="s">
        <v>201</v>
      </c>
      <c r="BP29" s="141">
        <v>17.004889706076156</v>
      </c>
      <c r="BQ29" s="129" t="s">
        <v>202</v>
      </c>
      <c r="BR29" s="142">
        <f t="shared" si="2"/>
        <v>0.87198270356627716</v>
      </c>
      <c r="BS29" s="129" t="s">
        <v>160</v>
      </c>
      <c r="BT29" s="129" t="s">
        <v>160</v>
      </c>
      <c r="BU29" s="129">
        <v>10</v>
      </c>
      <c r="BV29" s="129" t="s">
        <v>159</v>
      </c>
      <c r="BW29" s="129">
        <v>10</v>
      </c>
      <c r="BX29" s="143">
        <v>23.896263466581956</v>
      </c>
      <c r="BY29" s="129" t="s">
        <v>159</v>
      </c>
      <c r="BZ29" s="129">
        <v>1</v>
      </c>
      <c r="CA29" s="129">
        <v>1</v>
      </c>
      <c r="CB29" s="129" t="s">
        <v>160</v>
      </c>
      <c r="CC29" s="173">
        <v>3.6232604500037313</v>
      </c>
      <c r="CD29" s="129" t="s">
        <v>163</v>
      </c>
      <c r="CE29" s="144">
        <f t="shared" si="4"/>
        <v>9.7828032150100747E-2</v>
      </c>
      <c r="CF29" s="144">
        <f t="shared" si="5"/>
        <v>9.7828032150100747E-2</v>
      </c>
      <c r="CG29" s="145" t="s">
        <v>203</v>
      </c>
      <c r="CH29" s="129" t="s">
        <v>204</v>
      </c>
      <c r="CI29" s="129" t="s">
        <v>205</v>
      </c>
      <c r="CJ29" s="129" t="s">
        <v>206</v>
      </c>
      <c r="CK29" s="129" t="s">
        <v>158</v>
      </c>
      <c r="CL29" s="129" t="s">
        <v>158</v>
      </c>
      <c r="CM29" s="129" t="s">
        <v>158</v>
      </c>
      <c r="CN29" s="129" t="s">
        <v>160</v>
      </c>
      <c r="CO29" s="129" t="s">
        <v>160</v>
      </c>
      <c r="CP29" s="129" t="s">
        <v>160</v>
      </c>
      <c r="CQ29" s="129" t="s">
        <v>160</v>
      </c>
      <c r="CR29" s="129" t="s">
        <v>160</v>
      </c>
      <c r="CS29" s="129" t="s">
        <v>160</v>
      </c>
      <c r="CT29" s="129" t="s">
        <v>160</v>
      </c>
      <c r="CU29" s="129">
        <v>36.01</v>
      </c>
      <c r="CV29" s="129" t="s">
        <v>159</v>
      </c>
      <c r="CW29" s="146">
        <v>1</v>
      </c>
      <c r="CX29" s="129" t="s">
        <v>207</v>
      </c>
      <c r="CY29" s="129">
        <v>1.2422816087935679E-2</v>
      </c>
      <c r="CZ29" s="129" t="s">
        <v>159</v>
      </c>
      <c r="DA29" s="146">
        <v>2.5000000000000001E-3</v>
      </c>
      <c r="DB29" s="129" t="s">
        <v>208</v>
      </c>
      <c r="DC29" s="129">
        <v>4.9126481494429476E-2</v>
      </c>
      <c r="DD29" s="129" t="s">
        <v>159</v>
      </c>
      <c r="DE29" s="146">
        <v>2.5000000000000001E-3</v>
      </c>
      <c r="DF29" s="129" t="s">
        <v>209</v>
      </c>
      <c r="DG29" s="129" t="s">
        <v>160</v>
      </c>
      <c r="DH29" s="129" t="s">
        <v>160</v>
      </c>
      <c r="DI29" s="129" t="s">
        <v>160</v>
      </c>
      <c r="DJ29" s="129" t="s">
        <v>160</v>
      </c>
      <c r="DK29" s="145">
        <v>424.29</v>
      </c>
      <c r="DL29" s="129" t="s">
        <v>159</v>
      </c>
      <c r="DM29" s="145" t="s">
        <v>160</v>
      </c>
      <c r="DN29" s="129" t="s">
        <v>210</v>
      </c>
      <c r="DO29" s="129">
        <v>38.264879999999998</v>
      </c>
      <c r="DP29" s="129" t="s">
        <v>160</v>
      </c>
      <c r="DQ29" s="129">
        <v>0.69189499999999882</v>
      </c>
      <c r="DR29" s="129" t="s">
        <v>211</v>
      </c>
      <c r="DS29" s="129" t="s">
        <v>212</v>
      </c>
      <c r="DT29" s="129" t="s">
        <v>213</v>
      </c>
      <c r="DU29" s="129">
        <v>1.0271999999999999</v>
      </c>
      <c r="DV29" s="129" t="s">
        <v>214</v>
      </c>
      <c r="DW29" s="129" t="s">
        <v>214</v>
      </c>
      <c r="DX29" s="129" t="s">
        <v>215</v>
      </c>
      <c r="DY29" s="129" t="s">
        <v>160</v>
      </c>
      <c r="DZ29" s="129" t="s">
        <v>164</v>
      </c>
      <c r="EA29" s="129" t="s">
        <v>216</v>
      </c>
      <c r="EB29" s="129" t="s">
        <v>212</v>
      </c>
      <c r="EC29" s="129" t="s">
        <v>212</v>
      </c>
      <c r="ED29" s="129" t="s">
        <v>212</v>
      </c>
      <c r="EE29" s="129" t="s">
        <v>217</v>
      </c>
      <c r="EF29" s="147" t="s">
        <v>213</v>
      </c>
      <c r="EG29" s="148" t="s">
        <v>213</v>
      </c>
      <c r="EH29" s="129" t="s">
        <v>218</v>
      </c>
      <c r="EI29" s="129" t="s">
        <v>219</v>
      </c>
      <c r="EJ29" s="129" t="s">
        <v>160</v>
      </c>
      <c r="EK29" s="149">
        <v>1799.2660000000001</v>
      </c>
      <c r="EL29" s="129" t="s">
        <v>163</v>
      </c>
      <c r="EM29" s="150">
        <v>500</v>
      </c>
      <c r="EN29" s="150">
        <v>500</v>
      </c>
      <c r="EO29" s="129" t="s">
        <v>160</v>
      </c>
      <c r="EP29" s="129" t="s">
        <v>160</v>
      </c>
      <c r="EQ29" s="129" t="s">
        <v>160</v>
      </c>
      <c r="ER29" s="129" t="s">
        <v>160</v>
      </c>
      <c r="ES29" s="151">
        <v>8.0562129999999996</v>
      </c>
      <c r="ET29" s="142" t="s">
        <v>165</v>
      </c>
      <c r="EU29" s="141">
        <v>9.6182000000000656E-2</v>
      </c>
      <c r="EV29" s="141">
        <v>0.1075709999999992</v>
      </c>
      <c r="EW29" s="142" t="s">
        <v>160</v>
      </c>
      <c r="EX29" s="129" t="s">
        <v>160</v>
      </c>
      <c r="EY29" s="129" t="s">
        <v>160</v>
      </c>
      <c r="EZ29" s="149">
        <v>359.51549999999997</v>
      </c>
      <c r="FA29" s="150">
        <v>152.94410000000005</v>
      </c>
      <c r="FB29" s="150">
        <v>114.68489999999997</v>
      </c>
      <c r="FC29" s="129" t="s">
        <v>220</v>
      </c>
      <c r="FD29" s="129" t="s">
        <v>221</v>
      </c>
      <c r="FE29" s="150">
        <v>2000.2459999999999</v>
      </c>
      <c r="FF29" s="150">
        <v>503.52500000000032</v>
      </c>
      <c r="FG29" s="150">
        <v>497.53099999999995</v>
      </c>
      <c r="FH29" s="129" t="s">
        <v>160</v>
      </c>
      <c r="FI29" s="129" t="s">
        <v>160</v>
      </c>
      <c r="FJ29" s="129" t="s">
        <v>160</v>
      </c>
      <c r="FK29" s="129" t="s">
        <v>160</v>
      </c>
      <c r="FL29" s="129" t="s">
        <v>160</v>
      </c>
      <c r="FM29" s="129" t="s">
        <v>160</v>
      </c>
      <c r="FN29" s="151">
        <v>4.1907860000000001</v>
      </c>
      <c r="FO29" s="141">
        <v>2.5850460000000002</v>
      </c>
      <c r="FP29" s="141">
        <v>1.8702780000000003</v>
      </c>
      <c r="FQ29" s="129" t="s">
        <v>414</v>
      </c>
      <c r="FR29" s="176" t="s">
        <v>160</v>
      </c>
    </row>
    <row r="30" spans="1:174" s="129" customFormat="1" ht="17">
      <c r="A30" s="165" t="s">
        <v>152</v>
      </c>
      <c r="B30" s="166" t="s">
        <v>183</v>
      </c>
      <c r="C30" s="166">
        <v>2018</v>
      </c>
      <c r="D30" s="166" t="s">
        <v>184</v>
      </c>
      <c r="E30" s="177">
        <v>16379.999999999998</v>
      </c>
      <c r="F30" s="167" t="str">
        <f t="shared" si="6"/>
        <v>NA</v>
      </c>
      <c r="G30" s="167" t="str">
        <f t="shared" si="6"/>
        <v>NA</v>
      </c>
      <c r="H30" s="168">
        <f t="shared" si="3"/>
        <v>344.71680000000003</v>
      </c>
      <c r="I30" s="130">
        <f t="shared" si="3"/>
        <v>120.00779999999997</v>
      </c>
      <c r="J30" s="130">
        <f t="shared" si="3"/>
        <v>103.70880000000005</v>
      </c>
      <c r="K30" s="129" t="s">
        <v>457</v>
      </c>
      <c r="L30" s="131" t="s">
        <v>185</v>
      </c>
      <c r="M30" s="132" t="s">
        <v>186</v>
      </c>
      <c r="N30" s="129" t="s">
        <v>184</v>
      </c>
      <c r="O30" s="133">
        <v>926</v>
      </c>
      <c r="P30" s="129" t="s">
        <v>156</v>
      </c>
      <c r="Q30" s="133">
        <v>33</v>
      </c>
      <c r="R30" s="133">
        <v>3</v>
      </c>
      <c r="S30" s="133">
        <v>67</v>
      </c>
      <c r="T30" s="133">
        <v>68.5</v>
      </c>
      <c r="U30" s="129" t="s">
        <v>160</v>
      </c>
      <c r="V30" s="171">
        <v>331.27699999999999</v>
      </c>
      <c r="W30" s="129" t="s">
        <v>160</v>
      </c>
      <c r="X30" s="129" t="s">
        <v>245</v>
      </c>
      <c r="Y30" s="172">
        <v>3.7191000000000001</v>
      </c>
      <c r="Z30" s="172">
        <v>-42.9084</v>
      </c>
      <c r="AA30" s="136" t="s">
        <v>160</v>
      </c>
      <c r="AB30" s="136" t="s">
        <v>160</v>
      </c>
      <c r="AC30" s="129">
        <v>3598</v>
      </c>
      <c r="AD30" s="136" t="s">
        <v>160</v>
      </c>
      <c r="AE30" s="136" t="s">
        <v>160</v>
      </c>
      <c r="AF30" s="129" t="s">
        <v>160</v>
      </c>
      <c r="AG30" s="173">
        <v>16379.999999999998</v>
      </c>
      <c r="AH30" s="138" t="s">
        <v>160</v>
      </c>
      <c r="AI30" s="129" t="s">
        <v>160</v>
      </c>
      <c r="AJ30" s="138" t="s">
        <v>160</v>
      </c>
      <c r="AK30" s="129" t="s">
        <v>237</v>
      </c>
      <c r="AL30" s="139" t="s">
        <v>246</v>
      </c>
      <c r="AM30" s="139" t="s">
        <v>247</v>
      </c>
      <c r="AN30" s="129" t="s">
        <v>160</v>
      </c>
      <c r="AO30" s="129" t="s">
        <v>160</v>
      </c>
      <c r="AP30" s="129" t="s">
        <v>160</v>
      </c>
      <c r="AQ30" s="129" t="s">
        <v>160</v>
      </c>
      <c r="AR30" s="129" t="s">
        <v>160</v>
      </c>
      <c r="AS30" s="129" t="s">
        <v>160</v>
      </c>
      <c r="AT30" s="129" t="s">
        <v>160</v>
      </c>
      <c r="AU30" s="129" t="s">
        <v>191</v>
      </c>
      <c r="AV30" s="129" t="s">
        <v>161</v>
      </c>
      <c r="AW30" s="129" t="s">
        <v>192</v>
      </c>
      <c r="AX30" s="129" t="s">
        <v>193</v>
      </c>
      <c r="AY30" s="129" t="s">
        <v>194</v>
      </c>
      <c r="AZ30" s="129" t="s">
        <v>195</v>
      </c>
      <c r="BA30" s="129" t="s">
        <v>196</v>
      </c>
      <c r="BB30" s="129" t="s">
        <v>277</v>
      </c>
      <c r="BC30" s="140">
        <v>2</v>
      </c>
      <c r="BD30" s="129" t="s">
        <v>278</v>
      </c>
      <c r="BE30" s="173">
        <v>16.607901697941742</v>
      </c>
      <c r="BF30" s="129" t="s">
        <v>199</v>
      </c>
      <c r="BG30" s="173">
        <v>0.20929736937589491</v>
      </c>
      <c r="BH30" s="129">
        <v>0.83299999999999996</v>
      </c>
      <c r="BI30" s="129" t="s">
        <v>160</v>
      </c>
      <c r="BJ30" s="138" t="s">
        <v>160</v>
      </c>
      <c r="BK30" s="129">
        <v>2.69</v>
      </c>
      <c r="BL30" s="129" t="s">
        <v>160</v>
      </c>
      <c r="BM30" s="129" t="s">
        <v>160</v>
      </c>
      <c r="BN30" s="129" t="s">
        <v>200</v>
      </c>
      <c r="BO30" s="129" t="s">
        <v>201</v>
      </c>
      <c r="BP30" s="141">
        <v>16.708165303651551</v>
      </c>
      <c r="BQ30" s="129" t="s">
        <v>202</v>
      </c>
      <c r="BR30" s="142">
        <f t="shared" si="2"/>
        <v>0.20929736937589491</v>
      </c>
      <c r="BS30" s="129" t="s">
        <v>160</v>
      </c>
      <c r="BT30" s="129" t="s">
        <v>160</v>
      </c>
      <c r="BU30" s="129">
        <v>10</v>
      </c>
      <c r="BV30" s="129" t="s">
        <v>159</v>
      </c>
      <c r="BW30" s="129">
        <v>10</v>
      </c>
      <c r="BX30" s="143">
        <v>23.801454086630919</v>
      </c>
      <c r="BY30" s="129" t="s">
        <v>159</v>
      </c>
      <c r="BZ30" s="129">
        <v>1</v>
      </c>
      <c r="CA30" s="129">
        <v>1</v>
      </c>
      <c r="CB30" s="129" t="s">
        <v>160</v>
      </c>
      <c r="CC30" s="173">
        <v>3.8112218339628328</v>
      </c>
      <c r="CD30" s="129" t="s">
        <v>163</v>
      </c>
      <c r="CE30" s="144">
        <f t="shared" si="4"/>
        <v>0.10290298951699649</v>
      </c>
      <c r="CF30" s="144">
        <f t="shared" si="5"/>
        <v>0.10290298951699649</v>
      </c>
      <c r="CG30" s="145" t="s">
        <v>203</v>
      </c>
      <c r="CH30" s="129" t="s">
        <v>204</v>
      </c>
      <c r="CI30" s="129" t="s">
        <v>205</v>
      </c>
      <c r="CJ30" s="129" t="s">
        <v>206</v>
      </c>
      <c r="CK30" s="129" t="s">
        <v>158</v>
      </c>
      <c r="CL30" s="129" t="s">
        <v>158</v>
      </c>
      <c r="CM30" s="129" t="s">
        <v>158</v>
      </c>
      <c r="CN30" s="129" t="s">
        <v>160</v>
      </c>
      <c r="CO30" s="129" t="s">
        <v>160</v>
      </c>
      <c r="CP30" s="129" t="s">
        <v>160</v>
      </c>
      <c r="CQ30" s="129" t="s">
        <v>160</v>
      </c>
      <c r="CR30" s="129" t="s">
        <v>160</v>
      </c>
      <c r="CS30" s="129" t="s">
        <v>160</v>
      </c>
      <c r="CT30" s="129" t="s">
        <v>160</v>
      </c>
      <c r="CU30" s="129">
        <v>36.01</v>
      </c>
      <c r="CV30" s="129" t="s">
        <v>159</v>
      </c>
      <c r="CW30" s="146">
        <v>1</v>
      </c>
      <c r="CX30" s="129" t="s">
        <v>207</v>
      </c>
      <c r="CY30" s="129">
        <v>1.3415250526234341E-2</v>
      </c>
      <c r="CZ30" s="129" t="s">
        <v>159</v>
      </c>
      <c r="DA30" s="146">
        <v>2.5000000000000001E-3</v>
      </c>
      <c r="DB30" s="129" t="s">
        <v>208</v>
      </c>
      <c r="DC30" s="129">
        <v>4.5928637193244894E-2</v>
      </c>
      <c r="DD30" s="129" t="s">
        <v>159</v>
      </c>
      <c r="DE30" s="146">
        <v>2.5000000000000001E-3</v>
      </c>
      <c r="DF30" s="129" t="s">
        <v>209</v>
      </c>
      <c r="DG30" s="129" t="s">
        <v>160</v>
      </c>
      <c r="DH30" s="129" t="s">
        <v>160</v>
      </c>
      <c r="DI30" s="129" t="s">
        <v>160</v>
      </c>
      <c r="DJ30" s="129" t="s">
        <v>160</v>
      </c>
      <c r="DK30" s="145">
        <v>424.29</v>
      </c>
      <c r="DL30" s="129" t="s">
        <v>159</v>
      </c>
      <c r="DM30" s="145" t="s">
        <v>160</v>
      </c>
      <c r="DN30" s="129" t="s">
        <v>210</v>
      </c>
      <c r="DO30" s="129">
        <v>37.866840000000003</v>
      </c>
      <c r="DP30" s="129" t="s">
        <v>160</v>
      </c>
      <c r="DQ30" s="129">
        <v>0.6724049999999977</v>
      </c>
      <c r="DR30" s="129" t="s">
        <v>211</v>
      </c>
      <c r="DS30" s="129" t="s">
        <v>212</v>
      </c>
      <c r="DT30" s="129" t="s">
        <v>213</v>
      </c>
      <c r="DU30" s="129">
        <v>1.0271999999999999</v>
      </c>
      <c r="DV30" s="129" t="s">
        <v>214</v>
      </c>
      <c r="DW30" s="129" t="s">
        <v>214</v>
      </c>
      <c r="DX30" s="129" t="s">
        <v>215</v>
      </c>
      <c r="DY30" s="129" t="s">
        <v>160</v>
      </c>
      <c r="DZ30" s="129" t="s">
        <v>164</v>
      </c>
      <c r="EA30" s="129" t="s">
        <v>216</v>
      </c>
      <c r="EB30" s="129" t="s">
        <v>212</v>
      </c>
      <c r="EC30" s="129" t="s">
        <v>212</v>
      </c>
      <c r="ED30" s="129" t="s">
        <v>212</v>
      </c>
      <c r="EE30" s="129" t="s">
        <v>217</v>
      </c>
      <c r="EF30" s="147" t="s">
        <v>213</v>
      </c>
      <c r="EG30" s="148" t="s">
        <v>213</v>
      </c>
      <c r="EH30" s="129" t="s">
        <v>218</v>
      </c>
      <c r="EI30" s="129" t="s">
        <v>219</v>
      </c>
      <c r="EJ30" s="129" t="s">
        <v>160</v>
      </c>
      <c r="EK30" s="149">
        <v>1696.394</v>
      </c>
      <c r="EL30" s="129" t="s">
        <v>163</v>
      </c>
      <c r="EM30" s="150">
        <v>500</v>
      </c>
      <c r="EN30" s="150">
        <v>500</v>
      </c>
      <c r="EO30" s="129" t="s">
        <v>160</v>
      </c>
      <c r="EP30" s="129" t="s">
        <v>160</v>
      </c>
      <c r="EQ30" s="129" t="s">
        <v>160</v>
      </c>
      <c r="ER30" s="129" t="s">
        <v>160</v>
      </c>
      <c r="ES30" s="151">
        <v>8.0504650000000009</v>
      </c>
      <c r="ET30" s="142" t="s">
        <v>165</v>
      </c>
      <c r="EU30" s="141">
        <v>6.4106999999999914E-2</v>
      </c>
      <c r="EV30" s="141">
        <v>6.8474000000001034E-2</v>
      </c>
      <c r="EW30" s="142" t="s">
        <v>160</v>
      </c>
      <c r="EX30" s="129" t="s">
        <v>160</v>
      </c>
      <c r="EY30" s="129" t="s">
        <v>160</v>
      </c>
      <c r="EZ30" s="149">
        <v>344.71680000000003</v>
      </c>
      <c r="FA30" s="150">
        <v>120.00779999999997</v>
      </c>
      <c r="FB30" s="150">
        <v>103.70880000000005</v>
      </c>
      <c r="FC30" s="129" t="s">
        <v>220</v>
      </c>
      <c r="FD30" s="129" t="s">
        <v>221</v>
      </c>
      <c r="FE30" s="150">
        <v>1897.7860000000001</v>
      </c>
      <c r="FF30" s="150">
        <v>498.96099999999979</v>
      </c>
      <c r="FG30" s="150">
        <v>499.19799999999987</v>
      </c>
      <c r="FH30" s="129" t="s">
        <v>160</v>
      </c>
      <c r="FI30" s="129" t="s">
        <v>160</v>
      </c>
      <c r="FJ30" s="129" t="s">
        <v>160</v>
      </c>
      <c r="FK30" s="129" t="s">
        <v>160</v>
      </c>
      <c r="FL30" s="129" t="s">
        <v>160</v>
      </c>
      <c r="FM30" s="129" t="s">
        <v>160</v>
      </c>
      <c r="FN30" s="151">
        <v>4.4625329999999996</v>
      </c>
      <c r="FO30" s="141">
        <v>2.4675670000000007</v>
      </c>
      <c r="FP30" s="141">
        <v>1.9142369999999995</v>
      </c>
      <c r="FQ30" s="129" t="s">
        <v>414</v>
      </c>
      <c r="FR30" s="176" t="s">
        <v>160</v>
      </c>
    </row>
    <row r="31" spans="1:174" s="129" customFormat="1" ht="17">
      <c r="A31" s="165" t="s">
        <v>152</v>
      </c>
      <c r="B31" s="166" t="s">
        <v>183</v>
      </c>
      <c r="C31" s="166">
        <v>2018</v>
      </c>
      <c r="D31" s="166" t="s">
        <v>184</v>
      </c>
      <c r="E31" s="177">
        <v>16010.000000000002</v>
      </c>
      <c r="F31" s="167" t="str">
        <f t="shared" si="6"/>
        <v>NA</v>
      </c>
      <c r="G31" s="167" t="str">
        <f t="shared" si="6"/>
        <v>NA</v>
      </c>
      <c r="H31" s="168">
        <f t="shared" si="3"/>
        <v>519.01130000000001</v>
      </c>
      <c r="I31" s="130">
        <f t="shared" si="3"/>
        <v>198.42049999999995</v>
      </c>
      <c r="J31" s="130">
        <f t="shared" si="3"/>
        <v>163.22229999999996</v>
      </c>
      <c r="K31" s="129" t="s">
        <v>457</v>
      </c>
      <c r="L31" s="131" t="s">
        <v>185</v>
      </c>
      <c r="M31" s="132" t="s">
        <v>186</v>
      </c>
      <c r="N31" s="129" t="s">
        <v>184</v>
      </c>
      <c r="O31" s="133">
        <v>926</v>
      </c>
      <c r="P31" s="129" t="s">
        <v>235</v>
      </c>
      <c r="Q31" s="133">
        <v>32</v>
      </c>
      <c r="R31" s="133">
        <v>6</v>
      </c>
      <c r="S31" s="133">
        <v>30</v>
      </c>
      <c r="T31" s="133">
        <v>32</v>
      </c>
      <c r="U31" s="129" t="s">
        <v>160</v>
      </c>
      <c r="V31" s="171">
        <v>325.62</v>
      </c>
      <c r="W31" s="129" t="s">
        <v>160</v>
      </c>
      <c r="X31" s="129" t="s">
        <v>245</v>
      </c>
      <c r="Y31" s="172">
        <v>3.7191000000000001</v>
      </c>
      <c r="Z31" s="172">
        <v>-42.9084</v>
      </c>
      <c r="AA31" s="136" t="s">
        <v>160</v>
      </c>
      <c r="AB31" s="136" t="s">
        <v>160</v>
      </c>
      <c r="AC31" s="129">
        <v>3598</v>
      </c>
      <c r="AD31" s="136" t="s">
        <v>160</v>
      </c>
      <c r="AE31" s="136" t="s">
        <v>160</v>
      </c>
      <c r="AF31" s="129" t="s">
        <v>160</v>
      </c>
      <c r="AG31" s="173">
        <v>16010.000000000002</v>
      </c>
      <c r="AH31" s="138" t="s">
        <v>160</v>
      </c>
      <c r="AI31" s="129" t="s">
        <v>160</v>
      </c>
      <c r="AJ31" s="138" t="s">
        <v>160</v>
      </c>
      <c r="AK31" s="129" t="s">
        <v>237</v>
      </c>
      <c r="AL31" s="139" t="s">
        <v>246</v>
      </c>
      <c r="AM31" s="139" t="s">
        <v>247</v>
      </c>
      <c r="AN31" s="129" t="s">
        <v>160</v>
      </c>
      <c r="AO31" s="129" t="s">
        <v>160</v>
      </c>
      <c r="AP31" s="129" t="s">
        <v>160</v>
      </c>
      <c r="AQ31" s="129" t="s">
        <v>160</v>
      </c>
      <c r="AR31" s="129" t="s">
        <v>160</v>
      </c>
      <c r="AS31" s="129" t="s">
        <v>160</v>
      </c>
      <c r="AT31" s="129" t="s">
        <v>160</v>
      </c>
      <c r="AU31" s="129" t="s">
        <v>191</v>
      </c>
      <c r="AV31" s="129" t="s">
        <v>161</v>
      </c>
      <c r="AW31" s="129" t="s">
        <v>192</v>
      </c>
      <c r="AX31" s="129" t="s">
        <v>193</v>
      </c>
      <c r="AY31" s="129" t="s">
        <v>194</v>
      </c>
      <c r="AZ31" s="129" t="s">
        <v>195</v>
      </c>
      <c r="BA31" s="129" t="s">
        <v>196</v>
      </c>
      <c r="BB31" s="129" t="s">
        <v>279</v>
      </c>
      <c r="BC31" s="140">
        <v>2</v>
      </c>
      <c r="BD31" s="129" t="s">
        <v>280</v>
      </c>
      <c r="BE31" s="173">
        <v>15.387964614583026</v>
      </c>
      <c r="BF31" s="129" t="s">
        <v>199</v>
      </c>
      <c r="BG31" s="173">
        <v>0.31437151485041648</v>
      </c>
      <c r="BH31" s="129">
        <v>0.83299999999999996</v>
      </c>
      <c r="BI31" s="129" t="s">
        <v>160</v>
      </c>
      <c r="BJ31" s="138" t="s">
        <v>160</v>
      </c>
      <c r="BK31" s="129">
        <v>2.69</v>
      </c>
      <c r="BL31" s="129" t="s">
        <v>160</v>
      </c>
      <c r="BM31" s="129" t="s">
        <v>160</v>
      </c>
      <c r="BN31" s="129" t="s">
        <v>200</v>
      </c>
      <c r="BO31" s="129" t="s">
        <v>201</v>
      </c>
      <c r="BP31" s="141">
        <v>15.243654999499432</v>
      </c>
      <c r="BQ31" s="129" t="s">
        <v>202</v>
      </c>
      <c r="BR31" s="142">
        <f t="shared" si="2"/>
        <v>0.31437151485041648</v>
      </c>
      <c r="BS31" s="129" t="s">
        <v>160</v>
      </c>
      <c r="BT31" s="129" t="s">
        <v>160</v>
      </c>
      <c r="BU31" s="129">
        <v>10</v>
      </c>
      <c r="BV31" s="129" t="s">
        <v>159</v>
      </c>
      <c r="BW31" s="129">
        <v>10</v>
      </c>
      <c r="BX31" s="143">
        <v>25.542943048107279</v>
      </c>
      <c r="BY31" s="129" t="s">
        <v>159</v>
      </c>
      <c r="BZ31" s="129">
        <v>1</v>
      </c>
      <c r="CA31" s="129">
        <v>1</v>
      </c>
      <c r="CB31" s="129" t="s">
        <v>160</v>
      </c>
      <c r="CC31" s="173">
        <v>4.4414294883289367</v>
      </c>
      <c r="CD31" s="129" t="s">
        <v>163</v>
      </c>
      <c r="CE31" s="144">
        <f t="shared" si="4"/>
        <v>0.11991859618488129</v>
      </c>
      <c r="CF31" s="144">
        <f t="shared" si="5"/>
        <v>0.11991859618488129</v>
      </c>
      <c r="CG31" s="145" t="s">
        <v>203</v>
      </c>
      <c r="CH31" s="129" t="s">
        <v>204</v>
      </c>
      <c r="CI31" s="129" t="s">
        <v>205</v>
      </c>
      <c r="CJ31" s="129" t="s">
        <v>206</v>
      </c>
      <c r="CK31" s="129" t="s">
        <v>158</v>
      </c>
      <c r="CL31" s="129" t="s">
        <v>158</v>
      </c>
      <c r="CM31" s="129" t="s">
        <v>158</v>
      </c>
      <c r="CN31" s="129" t="s">
        <v>160</v>
      </c>
      <c r="CO31" s="129" t="s">
        <v>160</v>
      </c>
      <c r="CP31" s="129" t="s">
        <v>160</v>
      </c>
      <c r="CQ31" s="129" t="s">
        <v>160</v>
      </c>
      <c r="CR31" s="129" t="s">
        <v>160</v>
      </c>
      <c r="CS31" s="129" t="s">
        <v>160</v>
      </c>
      <c r="CT31" s="129" t="s">
        <v>160</v>
      </c>
      <c r="CU31" s="129">
        <v>36.01</v>
      </c>
      <c r="CV31" s="129" t="s">
        <v>159</v>
      </c>
      <c r="CW31" s="146">
        <v>1</v>
      </c>
      <c r="CX31" s="129" t="s">
        <v>207</v>
      </c>
      <c r="CY31" s="129">
        <v>1.3352765620291472E-2</v>
      </c>
      <c r="CZ31" s="129" t="s">
        <v>159</v>
      </c>
      <c r="DA31" s="146">
        <v>2.5000000000000001E-3</v>
      </c>
      <c r="DB31" s="129" t="s">
        <v>208</v>
      </c>
      <c r="DC31" s="129">
        <v>4.6129977445727478E-2</v>
      </c>
      <c r="DD31" s="129" t="s">
        <v>159</v>
      </c>
      <c r="DE31" s="146">
        <v>2.5000000000000001E-3</v>
      </c>
      <c r="DF31" s="129" t="s">
        <v>209</v>
      </c>
      <c r="DG31" s="129" t="s">
        <v>160</v>
      </c>
      <c r="DH31" s="129" t="s">
        <v>160</v>
      </c>
      <c r="DI31" s="129" t="s">
        <v>160</v>
      </c>
      <c r="DJ31" s="129" t="s">
        <v>160</v>
      </c>
      <c r="DK31" s="145">
        <v>424.29</v>
      </c>
      <c r="DL31" s="129" t="s">
        <v>159</v>
      </c>
      <c r="DM31" s="145" t="s">
        <v>160</v>
      </c>
      <c r="DN31" s="129" t="s">
        <v>210</v>
      </c>
      <c r="DO31" s="129">
        <v>37.880290000000002</v>
      </c>
      <c r="DP31" s="129" t="s">
        <v>160</v>
      </c>
      <c r="DQ31" s="129">
        <v>0.66805000000000092</v>
      </c>
      <c r="DR31" s="129" t="s">
        <v>211</v>
      </c>
      <c r="DS31" s="129" t="s">
        <v>212</v>
      </c>
      <c r="DT31" s="129" t="s">
        <v>213</v>
      </c>
      <c r="DU31" s="129">
        <v>1.0271999999999999</v>
      </c>
      <c r="DV31" s="129" t="s">
        <v>214</v>
      </c>
      <c r="DW31" s="129" t="s">
        <v>214</v>
      </c>
      <c r="DX31" s="129" t="s">
        <v>215</v>
      </c>
      <c r="DY31" s="129" t="s">
        <v>160</v>
      </c>
      <c r="DZ31" s="129" t="s">
        <v>164</v>
      </c>
      <c r="EA31" s="129" t="s">
        <v>216</v>
      </c>
      <c r="EB31" s="129" t="s">
        <v>212</v>
      </c>
      <c r="EC31" s="129" t="s">
        <v>212</v>
      </c>
      <c r="ED31" s="129" t="s">
        <v>212</v>
      </c>
      <c r="EE31" s="129" t="s">
        <v>217</v>
      </c>
      <c r="EF31" s="147" t="s">
        <v>213</v>
      </c>
      <c r="EG31" s="148" t="s">
        <v>213</v>
      </c>
      <c r="EH31" s="129" t="s">
        <v>218</v>
      </c>
      <c r="EI31" s="129" t="s">
        <v>219</v>
      </c>
      <c r="EJ31" s="129" t="s">
        <v>160</v>
      </c>
      <c r="EK31" s="149">
        <v>1699.633</v>
      </c>
      <c r="EL31" s="129" t="s">
        <v>163</v>
      </c>
      <c r="EM31" s="150">
        <v>500</v>
      </c>
      <c r="EN31" s="150">
        <v>500</v>
      </c>
      <c r="EO31" s="129" t="s">
        <v>160</v>
      </c>
      <c r="EP31" s="129" t="s">
        <v>160</v>
      </c>
      <c r="EQ31" s="129" t="s">
        <v>160</v>
      </c>
      <c r="ER31" s="129" t="s">
        <v>160</v>
      </c>
      <c r="ES31" s="151">
        <v>7.8857390000000001</v>
      </c>
      <c r="ET31" s="142" t="s">
        <v>165</v>
      </c>
      <c r="EU31" s="141">
        <v>7.8304000000000151E-2</v>
      </c>
      <c r="EV31" s="141">
        <v>8.7482999999999755E-2</v>
      </c>
      <c r="EW31" s="142" t="s">
        <v>160</v>
      </c>
      <c r="EX31" s="129" t="s">
        <v>160</v>
      </c>
      <c r="EY31" s="129" t="s">
        <v>160</v>
      </c>
      <c r="EZ31" s="149">
        <v>519.01130000000001</v>
      </c>
      <c r="FA31" s="150">
        <v>198.42049999999995</v>
      </c>
      <c r="FB31" s="150">
        <v>163.22229999999996</v>
      </c>
      <c r="FC31" s="129" t="s">
        <v>220</v>
      </c>
      <c r="FD31" s="129" t="s">
        <v>221</v>
      </c>
      <c r="FE31" s="150">
        <v>1846.413</v>
      </c>
      <c r="FF31" s="150">
        <v>491.81700000000001</v>
      </c>
      <c r="FG31" s="150">
        <v>493.73599999999988</v>
      </c>
      <c r="FH31" s="129" t="s">
        <v>160</v>
      </c>
      <c r="FI31" s="129" t="s">
        <v>160</v>
      </c>
      <c r="FJ31" s="129" t="s">
        <v>160</v>
      </c>
      <c r="FK31" s="129" t="s">
        <v>160</v>
      </c>
      <c r="FL31" s="129" t="s">
        <v>160</v>
      </c>
      <c r="FM31" s="129" t="s">
        <v>160</v>
      </c>
      <c r="FN31" s="151">
        <v>3.3104719999999999</v>
      </c>
      <c r="FO31" s="141">
        <v>1.894393</v>
      </c>
      <c r="FP31" s="141">
        <v>1.4478759999999999</v>
      </c>
      <c r="FQ31" s="129" t="s">
        <v>414</v>
      </c>
      <c r="FR31" s="176" t="s">
        <v>160</v>
      </c>
    </row>
    <row r="32" spans="1:174" s="129" customFormat="1" ht="17">
      <c r="A32" s="165" t="s">
        <v>152</v>
      </c>
      <c r="B32" s="166" t="s">
        <v>183</v>
      </c>
      <c r="C32" s="166">
        <v>2018</v>
      </c>
      <c r="D32" s="166" t="s">
        <v>184</v>
      </c>
      <c r="E32" s="177">
        <v>16020</v>
      </c>
      <c r="F32" s="167" t="str">
        <f t="shared" si="6"/>
        <v>NA</v>
      </c>
      <c r="G32" s="167" t="str">
        <f t="shared" si="6"/>
        <v>NA</v>
      </c>
      <c r="H32" s="168">
        <f t="shared" si="3"/>
        <v>379.51429999999999</v>
      </c>
      <c r="I32" s="130">
        <f t="shared" si="3"/>
        <v>136.06059999999997</v>
      </c>
      <c r="J32" s="130">
        <f t="shared" si="3"/>
        <v>116.16840000000002</v>
      </c>
      <c r="K32" s="129" t="s">
        <v>457</v>
      </c>
      <c r="L32" s="131" t="s">
        <v>185</v>
      </c>
      <c r="M32" s="132" t="s">
        <v>186</v>
      </c>
      <c r="N32" s="129" t="s">
        <v>184</v>
      </c>
      <c r="O32" s="133">
        <v>926</v>
      </c>
      <c r="P32" s="129" t="s">
        <v>235</v>
      </c>
      <c r="Q32" s="133">
        <v>32</v>
      </c>
      <c r="R32" s="133">
        <v>6</v>
      </c>
      <c r="S32" s="133" t="s">
        <v>281</v>
      </c>
      <c r="T32" s="133" t="s">
        <v>282</v>
      </c>
      <c r="U32" s="129" t="s">
        <v>160</v>
      </c>
      <c r="V32" s="171">
        <v>325.77</v>
      </c>
      <c r="W32" s="129" t="s">
        <v>160</v>
      </c>
      <c r="X32" s="129" t="s">
        <v>245</v>
      </c>
      <c r="Y32" s="172">
        <v>3.7191000000000001</v>
      </c>
      <c r="Z32" s="172">
        <v>-42.9084</v>
      </c>
      <c r="AA32" s="136" t="s">
        <v>160</v>
      </c>
      <c r="AB32" s="136" t="s">
        <v>160</v>
      </c>
      <c r="AC32" s="129">
        <v>3598</v>
      </c>
      <c r="AD32" s="136" t="s">
        <v>160</v>
      </c>
      <c r="AE32" s="136" t="s">
        <v>160</v>
      </c>
      <c r="AF32" s="129" t="s">
        <v>160</v>
      </c>
      <c r="AG32" s="173">
        <v>16020</v>
      </c>
      <c r="AH32" s="138" t="s">
        <v>160</v>
      </c>
      <c r="AI32" s="129" t="s">
        <v>160</v>
      </c>
      <c r="AJ32" s="138" t="s">
        <v>160</v>
      </c>
      <c r="AK32" s="129" t="s">
        <v>237</v>
      </c>
      <c r="AL32" s="139" t="s">
        <v>246</v>
      </c>
      <c r="AM32" s="139" t="s">
        <v>247</v>
      </c>
      <c r="AN32" s="129" t="s">
        <v>160</v>
      </c>
      <c r="AO32" s="129" t="s">
        <v>160</v>
      </c>
      <c r="AP32" s="129" t="s">
        <v>160</v>
      </c>
      <c r="AQ32" s="129" t="s">
        <v>160</v>
      </c>
      <c r="AR32" s="129" t="s">
        <v>160</v>
      </c>
      <c r="AS32" s="129" t="s">
        <v>160</v>
      </c>
      <c r="AT32" s="129" t="s">
        <v>160</v>
      </c>
      <c r="AU32" s="129" t="s">
        <v>191</v>
      </c>
      <c r="AV32" s="129" t="s">
        <v>161</v>
      </c>
      <c r="AW32" s="129" t="s">
        <v>192</v>
      </c>
      <c r="AX32" s="129" t="s">
        <v>193</v>
      </c>
      <c r="AY32" s="129" t="s">
        <v>194</v>
      </c>
      <c r="AZ32" s="129" t="s">
        <v>195</v>
      </c>
      <c r="BA32" s="129" t="s">
        <v>196</v>
      </c>
      <c r="BB32" s="129" t="s">
        <v>283</v>
      </c>
      <c r="BC32" s="140">
        <v>2</v>
      </c>
      <c r="BD32" s="129" t="s">
        <v>284</v>
      </c>
      <c r="BE32" s="173">
        <v>16.300467358600468</v>
      </c>
      <c r="BF32" s="129" t="s">
        <v>199</v>
      </c>
      <c r="BG32" s="173">
        <v>0.27846950102060242</v>
      </c>
      <c r="BH32" s="129">
        <v>0.83299999999999996</v>
      </c>
      <c r="BI32" s="129" t="s">
        <v>160</v>
      </c>
      <c r="BJ32" s="138" t="s">
        <v>160</v>
      </c>
      <c r="BK32" s="129">
        <v>2.69</v>
      </c>
      <c r="BL32" s="129" t="s">
        <v>160</v>
      </c>
      <c r="BM32" s="129" t="s">
        <v>160</v>
      </c>
      <c r="BN32" s="129" t="s">
        <v>200</v>
      </c>
      <c r="BO32" s="129" t="s">
        <v>201</v>
      </c>
      <c r="BP32" s="141">
        <v>16.339096468908124</v>
      </c>
      <c r="BQ32" s="129" t="s">
        <v>202</v>
      </c>
      <c r="BR32" s="142">
        <f t="shared" si="2"/>
        <v>0.27846950102060242</v>
      </c>
      <c r="BS32" s="129" t="s">
        <v>160</v>
      </c>
      <c r="BT32" s="129" t="s">
        <v>160</v>
      </c>
      <c r="BU32" s="129">
        <v>10</v>
      </c>
      <c r="BV32" s="129" t="s">
        <v>159</v>
      </c>
      <c r="BW32" s="129">
        <v>10</v>
      </c>
      <c r="BX32" s="143">
        <v>24.107902938604838</v>
      </c>
      <c r="BY32" s="129" t="s">
        <v>159</v>
      </c>
      <c r="BZ32" s="129">
        <v>1</v>
      </c>
      <c r="CA32" s="129">
        <v>1</v>
      </c>
      <c r="CB32" s="129" t="s">
        <v>160</v>
      </c>
      <c r="CC32" s="173">
        <v>3.9037116718314544</v>
      </c>
      <c r="CD32" s="129" t="s">
        <v>163</v>
      </c>
      <c r="CE32" s="144">
        <f t="shared" si="4"/>
        <v>0.10540021513944926</v>
      </c>
      <c r="CF32" s="144">
        <f t="shared" si="5"/>
        <v>0.10540021513944926</v>
      </c>
      <c r="CG32" s="145" t="s">
        <v>203</v>
      </c>
      <c r="CH32" s="129" t="s">
        <v>204</v>
      </c>
      <c r="CI32" s="129" t="s">
        <v>205</v>
      </c>
      <c r="CJ32" s="129" t="s">
        <v>206</v>
      </c>
      <c r="CK32" s="129" t="s">
        <v>158</v>
      </c>
      <c r="CL32" s="129" t="s">
        <v>158</v>
      </c>
      <c r="CM32" s="129" t="s">
        <v>158</v>
      </c>
      <c r="CN32" s="129" t="s">
        <v>160</v>
      </c>
      <c r="CO32" s="129" t="s">
        <v>160</v>
      </c>
      <c r="CP32" s="129" t="s">
        <v>160</v>
      </c>
      <c r="CQ32" s="129" t="s">
        <v>160</v>
      </c>
      <c r="CR32" s="129" t="s">
        <v>160</v>
      </c>
      <c r="CS32" s="129" t="s">
        <v>160</v>
      </c>
      <c r="CT32" s="129" t="s">
        <v>160</v>
      </c>
      <c r="CU32" s="129">
        <v>36.01</v>
      </c>
      <c r="CV32" s="129" t="s">
        <v>159</v>
      </c>
      <c r="CW32" s="146">
        <v>1</v>
      </c>
      <c r="CX32" s="129" t="s">
        <v>207</v>
      </c>
      <c r="CY32" s="129">
        <v>1.3354537322572229E-2</v>
      </c>
      <c r="CZ32" s="129" t="s">
        <v>159</v>
      </c>
      <c r="DA32" s="146">
        <v>2.5000000000000001E-3</v>
      </c>
      <c r="DB32" s="129" t="s">
        <v>208</v>
      </c>
      <c r="DC32" s="129">
        <v>4.6124268627267262E-2</v>
      </c>
      <c r="DD32" s="129" t="s">
        <v>159</v>
      </c>
      <c r="DE32" s="146">
        <v>2.5000000000000001E-3</v>
      </c>
      <c r="DF32" s="129" t="s">
        <v>209</v>
      </c>
      <c r="DG32" s="129" t="s">
        <v>160</v>
      </c>
      <c r="DH32" s="129" t="s">
        <v>160</v>
      </c>
      <c r="DI32" s="129" t="s">
        <v>160</v>
      </c>
      <c r="DJ32" s="129" t="s">
        <v>160</v>
      </c>
      <c r="DK32" s="145">
        <v>424.29</v>
      </c>
      <c r="DL32" s="129" t="s">
        <v>159</v>
      </c>
      <c r="DM32" s="145" t="s">
        <v>160</v>
      </c>
      <c r="DN32" s="129" t="s">
        <v>210</v>
      </c>
      <c r="DO32" s="129">
        <v>37.883830000000003</v>
      </c>
      <c r="DP32" s="129" t="s">
        <v>160</v>
      </c>
      <c r="DQ32" s="129">
        <v>0.66662000000000177</v>
      </c>
      <c r="DR32" s="129" t="s">
        <v>211</v>
      </c>
      <c r="DS32" s="129" t="s">
        <v>212</v>
      </c>
      <c r="DT32" s="129" t="s">
        <v>213</v>
      </c>
      <c r="DU32" s="129">
        <v>1.0271999999999999</v>
      </c>
      <c r="DV32" s="129" t="s">
        <v>214</v>
      </c>
      <c r="DW32" s="129" t="s">
        <v>214</v>
      </c>
      <c r="DX32" s="129" t="s">
        <v>215</v>
      </c>
      <c r="DY32" s="129" t="s">
        <v>160</v>
      </c>
      <c r="DZ32" s="129" t="s">
        <v>164</v>
      </c>
      <c r="EA32" s="129" t="s">
        <v>216</v>
      </c>
      <c r="EB32" s="129" t="s">
        <v>212</v>
      </c>
      <c r="EC32" s="129" t="s">
        <v>212</v>
      </c>
      <c r="ED32" s="129" t="s">
        <v>212</v>
      </c>
      <c r="EE32" s="129" t="s">
        <v>217</v>
      </c>
      <c r="EF32" s="147" t="s">
        <v>213</v>
      </c>
      <c r="EG32" s="148" t="s">
        <v>213</v>
      </c>
      <c r="EH32" s="129" t="s">
        <v>218</v>
      </c>
      <c r="EI32" s="129" t="s">
        <v>219</v>
      </c>
      <c r="EJ32" s="129" t="s">
        <v>160</v>
      </c>
      <c r="EK32" s="149">
        <v>1699.8119999999999</v>
      </c>
      <c r="EL32" s="129" t="s">
        <v>163</v>
      </c>
      <c r="EM32" s="150">
        <v>500</v>
      </c>
      <c r="EN32" s="150">
        <v>500</v>
      </c>
      <c r="EO32" s="129" t="s">
        <v>160</v>
      </c>
      <c r="EP32" s="129" t="s">
        <v>160</v>
      </c>
      <c r="EQ32" s="129" t="s">
        <v>160</v>
      </c>
      <c r="ER32" s="129" t="s">
        <v>160</v>
      </c>
      <c r="ES32" s="151">
        <v>8.0118519999999993</v>
      </c>
      <c r="ET32" s="142" t="s">
        <v>165</v>
      </c>
      <c r="EU32" s="141">
        <v>6.9528000000000034E-2</v>
      </c>
      <c r="EV32" s="141">
        <v>7.2499999999998899E-2</v>
      </c>
      <c r="EW32" s="142" t="s">
        <v>160</v>
      </c>
      <c r="EX32" s="129" t="s">
        <v>160</v>
      </c>
      <c r="EY32" s="129" t="s">
        <v>160</v>
      </c>
      <c r="EZ32" s="149">
        <v>379.51429999999999</v>
      </c>
      <c r="FA32" s="150">
        <v>136.06059999999997</v>
      </c>
      <c r="FB32" s="150">
        <v>116.16840000000002</v>
      </c>
      <c r="FC32" s="129" t="s">
        <v>220</v>
      </c>
      <c r="FD32" s="129" t="s">
        <v>221</v>
      </c>
      <c r="FE32" s="150">
        <v>1885.3819999999998</v>
      </c>
      <c r="FF32" s="150">
        <v>508.34500000000003</v>
      </c>
      <c r="FG32" s="150">
        <v>502.99099999999999</v>
      </c>
      <c r="FH32" s="129" t="s">
        <v>160</v>
      </c>
      <c r="FI32" s="129" t="s">
        <v>160</v>
      </c>
      <c r="FJ32" s="129" t="s">
        <v>160</v>
      </c>
      <c r="FK32" s="129" t="s">
        <v>160</v>
      </c>
      <c r="FL32" s="129" t="s">
        <v>160</v>
      </c>
      <c r="FM32" s="129" t="s">
        <v>160</v>
      </c>
      <c r="FN32" s="151">
        <v>4.1163090000000002</v>
      </c>
      <c r="FO32" s="141">
        <v>2.3364399999999996</v>
      </c>
      <c r="FP32" s="141">
        <v>1.7690030000000001</v>
      </c>
      <c r="FQ32" s="129" t="s">
        <v>414</v>
      </c>
      <c r="FR32" s="176" t="s">
        <v>160</v>
      </c>
    </row>
    <row r="33" spans="1:176" s="129" customFormat="1" ht="17">
      <c r="A33" s="165" t="s">
        <v>152</v>
      </c>
      <c r="B33" s="166" t="s">
        <v>183</v>
      </c>
      <c r="C33" s="166">
        <v>2018</v>
      </c>
      <c r="D33" s="166" t="s">
        <v>184</v>
      </c>
      <c r="E33" s="177">
        <v>16070</v>
      </c>
      <c r="F33" s="167" t="str">
        <f t="shared" si="6"/>
        <v>NA</v>
      </c>
      <c r="G33" s="167" t="str">
        <f t="shared" si="6"/>
        <v>NA</v>
      </c>
      <c r="H33" s="168">
        <f t="shared" si="3"/>
        <v>424.16800000000001</v>
      </c>
      <c r="I33" s="130">
        <f t="shared" si="3"/>
        <v>157.82089999999994</v>
      </c>
      <c r="J33" s="130">
        <f t="shared" si="3"/>
        <v>130.69639999999998</v>
      </c>
      <c r="K33" s="129" t="s">
        <v>457</v>
      </c>
      <c r="L33" s="131" t="s">
        <v>185</v>
      </c>
      <c r="M33" s="132" t="s">
        <v>186</v>
      </c>
      <c r="N33" s="129" t="s">
        <v>184</v>
      </c>
      <c r="O33" s="133">
        <v>926</v>
      </c>
      <c r="P33" s="129" t="s">
        <v>235</v>
      </c>
      <c r="Q33" s="133">
        <v>32</v>
      </c>
      <c r="R33" s="133">
        <v>6</v>
      </c>
      <c r="S33" s="133" t="s">
        <v>285</v>
      </c>
      <c r="T33" s="133" t="s">
        <v>286</v>
      </c>
      <c r="U33" s="129" t="s">
        <v>160</v>
      </c>
      <c r="V33" s="171">
        <v>326.45999999999998</v>
      </c>
      <c r="W33" s="129" t="s">
        <v>160</v>
      </c>
      <c r="X33" s="129" t="s">
        <v>245</v>
      </c>
      <c r="Y33" s="172">
        <v>3.7191000000000001</v>
      </c>
      <c r="Z33" s="172">
        <v>-42.9084</v>
      </c>
      <c r="AA33" s="136" t="s">
        <v>160</v>
      </c>
      <c r="AB33" s="136" t="s">
        <v>160</v>
      </c>
      <c r="AC33" s="129">
        <v>3598</v>
      </c>
      <c r="AD33" s="136" t="s">
        <v>160</v>
      </c>
      <c r="AE33" s="136" t="s">
        <v>160</v>
      </c>
      <c r="AF33" s="129" t="s">
        <v>160</v>
      </c>
      <c r="AG33" s="173">
        <v>16070</v>
      </c>
      <c r="AH33" s="138" t="s">
        <v>160</v>
      </c>
      <c r="AI33" s="129" t="s">
        <v>160</v>
      </c>
      <c r="AJ33" s="138" t="s">
        <v>160</v>
      </c>
      <c r="AK33" s="129" t="s">
        <v>237</v>
      </c>
      <c r="AL33" s="139" t="s">
        <v>246</v>
      </c>
      <c r="AM33" s="139" t="s">
        <v>247</v>
      </c>
      <c r="AN33" s="129" t="s">
        <v>160</v>
      </c>
      <c r="AO33" s="129" t="s">
        <v>160</v>
      </c>
      <c r="AP33" s="129" t="s">
        <v>160</v>
      </c>
      <c r="AQ33" s="129" t="s">
        <v>160</v>
      </c>
      <c r="AR33" s="129" t="s">
        <v>160</v>
      </c>
      <c r="AS33" s="129" t="s">
        <v>160</v>
      </c>
      <c r="AT33" s="129" t="s">
        <v>160</v>
      </c>
      <c r="AU33" s="129" t="s">
        <v>191</v>
      </c>
      <c r="AV33" s="129" t="s">
        <v>161</v>
      </c>
      <c r="AW33" s="129" t="s">
        <v>192</v>
      </c>
      <c r="AX33" s="129" t="s">
        <v>193</v>
      </c>
      <c r="AY33" s="129" t="s">
        <v>194</v>
      </c>
      <c r="AZ33" s="129" t="s">
        <v>195</v>
      </c>
      <c r="BA33" s="129" t="s">
        <v>196</v>
      </c>
      <c r="BB33" s="129" t="s">
        <v>287</v>
      </c>
      <c r="BC33" s="140">
        <v>2</v>
      </c>
      <c r="BD33" s="129" t="s">
        <v>260</v>
      </c>
      <c r="BE33" s="173">
        <v>15.860983867583055</v>
      </c>
      <c r="BF33" s="129" t="s">
        <v>199</v>
      </c>
      <c r="BG33" s="173">
        <v>0.26325591701502588</v>
      </c>
      <c r="BH33" s="129">
        <v>0.83299999999999996</v>
      </c>
      <c r="BI33" s="129" t="s">
        <v>160</v>
      </c>
      <c r="BJ33" s="138" t="s">
        <v>160</v>
      </c>
      <c r="BK33" s="129">
        <v>2.69</v>
      </c>
      <c r="BL33" s="129" t="s">
        <v>160</v>
      </c>
      <c r="BM33" s="129" t="s">
        <v>160</v>
      </c>
      <c r="BN33" s="129" t="s">
        <v>200</v>
      </c>
      <c r="BO33" s="129" t="s">
        <v>201</v>
      </c>
      <c r="BP33" s="141">
        <v>15.811505243196946</v>
      </c>
      <c r="BQ33" s="129" t="s">
        <v>202</v>
      </c>
      <c r="BR33" s="142">
        <f t="shared" si="2"/>
        <v>0.26325591701502588</v>
      </c>
      <c r="BS33" s="129" t="s">
        <v>160</v>
      </c>
      <c r="BT33" s="129" t="s">
        <v>160</v>
      </c>
      <c r="BU33" s="129">
        <v>10</v>
      </c>
      <c r="BV33" s="129" t="s">
        <v>159</v>
      </c>
      <c r="BW33" s="129">
        <v>10</v>
      </c>
      <c r="BX33" s="143">
        <v>23.898652790200597</v>
      </c>
      <c r="BY33" s="129" t="s">
        <v>159</v>
      </c>
      <c r="BZ33" s="129">
        <v>1</v>
      </c>
      <c r="CA33" s="129">
        <v>1</v>
      </c>
      <c r="CB33" s="129" t="s">
        <v>160</v>
      </c>
      <c r="CC33" s="173">
        <v>3.8327313467978614</v>
      </c>
      <c r="CD33" s="129" t="s">
        <v>163</v>
      </c>
      <c r="CE33" s="144">
        <f t="shared" si="4"/>
        <v>0.10348374636354225</v>
      </c>
      <c r="CF33" s="144">
        <f t="shared" si="5"/>
        <v>0.10348374636354225</v>
      </c>
      <c r="CG33" s="145" t="s">
        <v>203</v>
      </c>
      <c r="CH33" s="129" t="s">
        <v>204</v>
      </c>
      <c r="CI33" s="129" t="s">
        <v>205</v>
      </c>
      <c r="CJ33" s="129" t="s">
        <v>206</v>
      </c>
      <c r="CK33" s="129" t="s">
        <v>158</v>
      </c>
      <c r="CL33" s="129" t="s">
        <v>158</v>
      </c>
      <c r="CM33" s="129" t="s">
        <v>158</v>
      </c>
      <c r="CN33" s="129" t="s">
        <v>160</v>
      </c>
      <c r="CO33" s="129" t="s">
        <v>160</v>
      </c>
      <c r="CP33" s="129" t="s">
        <v>160</v>
      </c>
      <c r="CQ33" s="129" t="s">
        <v>160</v>
      </c>
      <c r="CR33" s="129" t="s">
        <v>160</v>
      </c>
      <c r="CS33" s="129" t="s">
        <v>160</v>
      </c>
      <c r="CT33" s="129" t="s">
        <v>160</v>
      </c>
      <c r="CU33" s="129">
        <v>36.01</v>
      </c>
      <c r="CV33" s="129" t="s">
        <v>159</v>
      </c>
      <c r="CW33" s="146">
        <v>1</v>
      </c>
      <c r="CX33" s="129" t="s">
        <v>207</v>
      </c>
      <c r="CY33" s="129">
        <v>1.3362666358108125E-2</v>
      </c>
      <c r="CZ33" s="129" t="s">
        <v>159</v>
      </c>
      <c r="DA33" s="146">
        <v>2.5000000000000001E-3</v>
      </c>
      <c r="DB33" s="129" t="s">
        <v>208</v>
      </c>
      <c r="DC33" s="129">
        <v>4.6098075068318263E-2</v>
      </c>
      <c r="DD33" s="129" t="s">
        <v>159</v>
      </c>
      <c r="DE33" s="146">
        <v>2.5000000000000001E-3</v>
      </c>
      <c r="DF33" s="129" t="s">
        <v>209</v>
      </c>
      <c r="DG33" s="129" t="s">
        <v>160</v>
      </c>
      <c r="DH33" s="129" t="s">
        <v>160</v>
      </c>
      <c r="DI33" s="129" t="s">
        <v>160</v>
      </c>
      <c r="DJ33" s="129" t="s">
        <v>160</v>
      </c>
      <c r="DK33" s="145">
        <v>424.29</v>
      </c>
      <c r="DL33" s="129" t="s">
        <v>159</v>
      </c>
      <c r="DM33" s="145" t="s">
        <v>160</v>
      </c>
      <c r="DN33" s="129" t="s">
        <v>210</v>
      </c>
      <c r="DO33" s="129">
        <v>37.878259999999997</v>
      </c>
      <c r="DP33" s="129" t="s">
        <v>160</v>
      </c>
      <c r="DQ33" s="129">
        <v>0.66823000000000121</v>
      </c>
      <c r="DR33" s="129" t="s">
        <v>211</v>
      </c>
      <c r="DS33" s="129" t="s">
        <v>212</v>
      </c>
      <c r="DT33" s="129" t="s">
        <v>213</v>
      </c>
      <c r="DU33" s="129">
        <v>1.0271999999999999</v>
      </c>
      <c r="DV33" s="129" t="s">
        <v>214</v>
      </c>
      <c r="DW33" s="129" t="s">
        <v>214</v>
      </c>
      <c r="DX33" s="129" t="s">
        <v>215</v>
      </c>
      <c r="DY33" s="129" t="s">
        <v>160</v>
      </c>
      <c r="DZ33" s="129" t="s">
        <v>164</v>
      </c>
      <c r="EA33" s="129" t="s">
        <v>216</v>
      </c>
      <c r="EB33" s="129" t="s">
        <v>212</v>
      </c>
      <c r="EC33" s="129" t="s">
        <v>212</v>
      </c>
      <c r="ED33" s="129" t="s">
        <v>212</v>
      </c>
      <c r="EE33" s="129" t="s">
        <v>217</v>
      </c>
      <c r="EF33" s="147" t="s">
        <v>213</v>
      </c>
      <c r="EG33" s="148" t="s">
        <v>213</v>
      </c>
      <c r="EH33" s="129" t="s">
        <v>218</v>
      </c>
      <c r="EI33" s="129" t="s">
        <v>219</v>
      </c>
      <c r="EJ33" s="129" t="s">
        <v>160</v>
      </c>
      <c r="EK33" s="149">
        <v>1697.1320000000001</v>
      </c>
      <c r="EL33" s="129" t="s">
        <v>163</v>
      </c>
      <c r="EM33" s="150">
        <v>500</v>
      </c>
      <c r="EN33" s="150">
        <v>500</v>
      </c>
      <c r="EO33" s="129" t="s">
        <v>160</v>
      </c>
      <c r="EP33" s="129" t="s">
        <v>160</v>
      </c>
      <c r="EQ33" s="129" t="s">
        <v>160</v>
      </c>
      <c r="ER33" s="129" t="s">
        <v>160</v>
      </c>
      <c r="ES33" s="151">
        <v>7.9637770000000003</v>
      </c>
      <c r="ET33" s="142" t="s">
        <v>165</v>
      </c>
      <c r="EU33" s="141">
        <v>7.33119999999996E-2</v>
      </c>
      <c r="EV33" s="141">
        <v>7.751600000000014E-2</v>
      </c>
      <c r="EW33" s="142" t="s">
        <v>160</v>
      </c>
      <c r="EX33" s="129" t="s">
        <v>160</v>
      </c>
      <c r="EY33" s="129" t="s">
        <v>160</v>
      </c>
      <c r="EZ33" s="149">
        <v>424.16800000000001</v>
      </c>
      <c r="FA33" s="150">
        <v>157.82089999999994</v>
      </c>
      <c r="FB33" s="150">
        <v>130.69639999999998</v>
      </c>
      <c r="FC33" s="129" t="s">
        <v>220</v>
      </c>
      <c r="FD33" s="129" t="s">
        <v>221</v>
      </c>
      <c r="FE33" s="150">
        <v>1861.7810000000002</v>
      </c>
      <c r="FF33" s="150">
        <v>510.27800000000002</v>
      </c>
      <c r="FG33" s="150">
        <v>503.46500000000015</v>
      </c>
      <c r="FH33" s="129" t="s">
        <v>160</v>
      </c>
      <c r="FI33" s="129" t="s">
        <v>160</v>
      </c>
      <c r="FJ33" s="129" t="s">
        <v>160</v>
      </c>
      <c r="FK33" s="129" t="s">
        <v>160</v>
      </c>
      <c r="FL33" s="129" t="s">
        <v>160</v>
      </c>
      <c r="FM33" s="129" t="s">
        <v>160</v>
      </c>
      <c r="FN33" s="151">
        <v>3.666226</v>
      </c>
      <c r="FO33" s="141">
        <v>2.0996550000000003</v>
      </c>
      <c r="FP33" s="141">
        <v>1.57613</v>
      </c>
      <c r="FQ33" s="129" t="s">
        <v>414</v>
      </c>
      <c r="FR33" s="176" t="s">
        <v>160</v>
      </c>
    </row>
    <row r="34" spans="1:176" s="129" customFormat="1" ht="17">
      <c r="A34" s="165" t="s">
        <v>152</v>
      </c>
      <c r="B34" s="166" t="s">
        <v>183</v>
      </c>
      <c r="C34" s="166">
        <v>2018</v>
      </c>
      <c r="D34" s="166" t="s">
        <v>184</v>
      </c>
      <c r="E34" s="177">
        <v>16860</v>
      </c>
      <c r="F34" s="167" t="str">
        <f t="shared" si="6"/>
        <v>NA</v>
      </c>
      <c r="G34" s="167" t="str">
        <f t="shared" si="6"/>
        <v>NA</v>
      </c>
      <c r="H34" s="168">
        <f t="shared" si="3"/>
        <v>371.07159999999999</v>
      </c>
      <c r="I34" s="130">
        <f t="shared" si="3"/>
        <v>138.21520000000004</v>
      </c>
      <c r="J34" s="130">
        <f t="shared" si="3"/>
        <v>116.2081</v>
      </c>
      <c r="K34" s="129" t="s">
        <v>457</v>
      </c>
      <c r="L34" s="131" t="s">
        <v>185</v>
      </c>
      <c r="M34" s="132" t="s">
        <v>186</v>
      </c>
      <c r="N34" s="129" t="s">
        <v>184</v>
      </c>
      <c r="O34" s="133">
        <v>926</v>
      </c>
      <c r="P34" s="129" t="s">
        <v>235</v>
      </c>
      <c r="Q34" s="133">
        <v>34</v>
      </c>
      <c r="R34" s="133">
        <v>1</v>
      </c>
      <c r="S34" s="133">
        <v>139</v>
      </c>
      <c r="T34" s="133">
        <v>140.5</v>
      </c>
      <c r="U34" s="129" t="s">
        <v>160</v>
      </c>
      <c r="V34" s="171">
        <v>338.50799999999998</v>
      </c>
      <c r="W34" s="129" t="s">
        <v>160</v>
      </c>
      <c r="X34" s="129" t="s">
        <v>245</v>
      </c>
      <c r="Y34" s="172">
        <v>3.7191000000000001</v>
      </c>
      <c r="Z34" s="172">
        <v>-42.9084</v>
      </c>
      <c r="AA34" s="136" t="s">
        <v>160</v>
      </c>
      <c r="AB34" s="136" t="s">
        <v>160</v>
      </c>
      <c r="AC34" s="129">
        <v>3598</v>
      </c>
      <c r="AD34" s="136" t="s">
        <v>160</v>
      </c>
      <c r="AE34" s="136" t="s">
        <v>160</v>
      </c>
      <c r="AF34" s="129" t="s">
        <v>160</v>
      </c>
      <c r="AG34" s="173">
        <v>16860</v>
      </c>
      <c r="AH34" s="138" t="s">
        <v>160</v>
      </c>
      <c r="AI34" s="129" t="s">
        <v>160</v>
      </c>
      <c r="AJ34" s="138" t="s">
        <v>160</v>
      </c>
      <c r="AK34" s="129" t="s">
        <v>237</v>
      </c>
      <c r="AL34" s="139" t="s">
        <v>246</v>
      </c>
      <c r="AM34" s="139" t="s">
        <v>247</v>
      </c>
      <c r="AN34" s="129" t="s">
        <v>160</v>
      </c>
      <c r="AO34" s="129" t="s">
        <v>160</v>
      </c>
      <c r="AP34" s="129" t="s">
        <v>160</v>
      </c>
      <c r="AQ34" s="129" t="s">
        <v>160</v>
      </c>
      <c r="AR34" s="129" t="s">
        <v>160</v>
      </c>
      <c r="AS34" s="129" t="s">
        <v>160</v>
      </c>
      <c r="AT34" s="129" t="s">
        <v>160</v>
      </c>
      <c r="AU34" s="129" t="s">
        <v>191</v>
      </c>
      <c r="AV34" s="129" t="s">
        <v>161</v>
      </c>
      <c r="AW34" s="129" t="s">
        <v>192</v>
      </c>
      <c r="AX34" s="129" t="s">
        <v>193</v>
      </c>
      <c r="AY34" s="129" t="s">
        <v>194</v>
      </c>
      <c r="AZ34" s="129" t="s">
        <v>195</v>
      </c>
      <c r="BA34" s="129" t="s">
        <v>196</v>
      </c>
      <c r="BB34" s="129" t="s">
        <v>288</v>
      </c>
      <c r="BC34" s="140">
        <v>2</v>
      </c>
      <c r="BD34" s="129" t="s">
        <v>249</v>
      </c>
      <c r="BE34" s="173">
        <v>16.288589143932164</v>
      </c>
      <c r="BF34" s="129" t="s">
        <v>199</v>
      </c>
      <c r="BG34" s="173">
        <v>0.29484418704659188</v>
      </c>
      <c r="BH34" s="129">
        <v>0.83299999999999996</v>
      </c>
      <c r="BI34" s="129" t="s">
        <v>160</v>
      </c>
      <c r="BJ34" s="138" t="s">
        <v>160</v>
      </c>
      <c r="BK34" s="129">
        <v>2.69</v>
      </c>
      <c r="BL34" s="129" t="s">
        <v>160</v>
      </c>
      <c r="BM34" s="129" t="s">
        <v>160</v>
      </c>
      <c r="BN34" s="129" t="s">
        <v>200</v>
      </c>
      <c r="BO34" s="129" t="s">
        <v>201</v>
      </c>
      <c r="BP34" s="141">
        <v>16.32483690748159</v>
      </c>
      <c r="BQ34" s="129" t="s">
        <v>202</v>
      </c>
      <c r="BR34" s="142">
        <f t="shared" si="2"/>
        <v>0.29484418704659188</v>
      </c>
      <c r="BS34" s="129" t="s">
        <v>160</v>
      </c>
      <c r="BT34" s="129" t="s">
        <v>160</v>
      </c>
      <c r="BU34" s="129">
        <v>10</v>
      </c>
      <c r="BV34" s="129" t="s">
        <v>159</v>
      </c>
      <c r="BW34" s="129">
        <v>10</v>
      </c>
      <c r="BX34" s="143">
        <v>23.611991907556082</v>
      </c>
      <c r="BY34" s="129" t="s">
        <v>159</v>
      </c>
      <c r="BZ34" s="129">
        <v>1</v>
      </c>
      <c r="CA34" s="129">
        <v>1</v>
      </c>
      <c r="CB34" s="129" t="s">
        <v>160</v>
      </c>
      <c r="CC34" s="173">
        <v>3.765313955785099</v>
      </c>
      <c r="CD34" s="129" t="s">
        <v>163</v>
      </c>
      <c r="CE34" s="144">
        <f t="shared" si="4"/>
        <v>0.10166347680619767</v>
      </c>
      <c r="CF34" s="144">
        <f t="shared" si="5"/>
        <v>0.10166347680619767</v>
      </c>
      <c r="CG34" s="145" t="s">
        <v>203</v>
      </c>
      <c r="CH34" s="129" t="s">
        <v>204</v>
      </c>
      <c r="CI34" s="129" t="s">
        <v>205</v>
      </c>
      <c r="CJ34" s="129" t="s">
        <v>206</v>
      </c>
      <c r="CK34" s="129" t="s">
        <v>158</v>
      </c>
      <c r="CL34" s="129" t="s">
        <v>158</v>
      </c>
      <c r="CM34" s="129" t="s">
        <v>158</v>
      </c>
      <c r="CN34" s="129" t="s">
        <v>160</v>
      </c>
      <c r="CO34" s="129" t="s">
        <v>160</v>
      </c>
      <c r="CP34" s="129" t="s">
        <v>160</v>
      </c>
      <c r="CQ34" s="129" t="s">
        <v>160</v>
      </c>
      <c r="CR34" s="129" t="s">
        <v>160</v>
      </c>
      <c r="CS34" s="129" t="s">
        <v>160</v>
      </c>
      <c r="CT34" s="129" t="s">
        <v>160</v>
      </c>
      <c r="CU34" s="129">
        <v>36.01</v>
      </c>
      <c r="CV34" s="129" t="s">
        <v>159</v>
      </c>
      <c r="CW34" s="146">
        <v>1</v>
      </c>
      <c r="CX34" s="129" t="s">
        <v>207</v>
      </c>
      <c r="CY34" s="129">
        <v>1.3498414697389778E-2</v>
      </c>
      <c r="CZ34" s="129" t="s">
        <v>159</v>
      </c>
      <c r="DA34" s="146">
        <v>2.5000000000000001E-3</v>
      </c>
      <c r="DB34" s="129" t="s">
        <v>208</v>
      </c>
      <c r="DC34" s="129">
        <v>4.5660663752855157E-2</v>
      </c>
      <c r="DD34" s="129" t="s">
        <v>159</v>
      </c>
      <c r="DE34" s="146">
        <v>2.5000000000000001E-3</v>
      </c>
      <c r="DF34" s="129" t="s">
        <v>209</v>
      </c>
      <c r="DG34" s="129" t="s">
        <v>160</v>
      </c>
      <c r="DH34" s="129" t="s">
        <v>160</v>
      </c>
      <c r="DI34" s="129" t="s">
        <v>160</v>
      </c>
      <c r="DJ34" s="129" t="s">
        <v>160</v>
      </c>
      <c r="DK34" s="145">
        <v>424.29</v>
      </c>
      <c r="DL34" s="129" t="s">
        <v>159</v>
      </c>
      <c r="DM34" s="145" t="s">
        <v>160</v>
      </c>
      <c r="DN34" s="129" t="s">
        <v>210</v>
      </c>
      <c r="DO34" s="129">
        <v>37.848179999999999</v>
      </c>
      <c r="DP34" s="129" t="s">
        <v>160</v>
      </c>
      <c r="DQ34" s="129">
        <v>0.68538999999999817</v>
      </c>
      <c r="DR34" s="129" t="s">
        <v>211</v>
      </c>
      <c r="DS34" s="129" t="s">
        <v>212</v>
      </c>
      <c r="DT34" s="129" t="s">
        <v>213</v>
      </c>
      <c r="DU34" s="129">
        <v>1.0271999999999999</v>
      </c>
      <c r="DV34" s="129" t="s">
        <v>214</v>
      </c>
      <c r="DW34" s="129" t="s">
        <v>214</v>
      </c>
      <c r="DX34" s="129" t="s">
        <v>215</v>
      </c>
      <c r="DY34" s="129" t="s">
        <v>160</v>
      </c>
      <c r="DZ34" s="129" t="s">
        <v>164</v>
      </c>
      <c r="EA34" s="129" t="s">
        <v>216</v>
      </c>
      <c r="EB34" s="129" t="s">
        <v>212</v>
      </c>
      <c r="EC34" s="129" t="s">
        <v>212</v>
      </c>
      <c r="ED34" s="129" t="s">
        <v>212</v>
      </c>
      <c r="EE34" s="129" t="s">
        <v>217</v>
      </c>
      <c r="EF34" s="147" t="s">
        <v>213</v>
      </c>
      <c r="EG34" s="148" t="s">
        <v>213</v>
      </c>
      <c r="EH34" s="129" t="s">
        <v>218</v>
      </c>
      <c r="EI34" s="129" t="s">
        <v>219</v>
      </c>
      <c r="EJ34" s="129" t="s">
        <v>160</v>
      </c>
      <c r="EK34" s="149">
        <v>1685.4179999999999</v>
      </c>
      <c r="EL34" s="129" t="s">
        <v>163</v>
      </c>
      <c r="EM34" s="150">
        <v>500</v>
      </c>
      <c r="EN34" s="150">
        <v>500</v>
      </c>
      <c r="EO34" s="129" t="s">
        <v>160</v>
      </c>
      <c r="EP34" s="129" t="s">
        <v>160</v>
      </c>
      <c r="EQ34" s="129" t="s">
        <v>160</v>
      </c>
      <c r="ER34" s="129" t="s">
        <v>160</v>
      </c>
      <c r="ES34" s="151">
        <v>8.0174880000000002</v>
      </c>
      <c r="ET34" s="142" t="s">
        <v>165</v>
      </c>
      <c r="EU34" s="141">
        <v>6.9850000000000634E-2</v>
      </c>
      <c r="EV34" s="141">
        <v>7.5491000000000419E-2</v>
      </c>
      <c r="EW34" s="142" t="s">
        <v>160</v>
      </c>
      <c r="EX34" s="129" t="s">
        <v>160</v>
      </c>
      <c r="EY34" s="129" t="s">
        <v>160</v>
      </c>
      <c r="EZ34" s="149">
        <v>371.07159999999999</v>
      </c>
      <c r="FA34" s="150">
        <v>138.21520000000004</v>
      </c>
      <c r="FB34" s="150">
        <v>116.2081</v>
      </c>
      <c r="FC34" s="129" t="s">
        <v>220</v>
      </c>
      <c r="FD34" s="129" t="s">
        <v>221</v>
      </c>
      <c r="FE34" s="150">
        <v>1871.7650000000001</v>
      </c>
      <c r="FF34" s="150">
        <v>515.50700000000029</v>
      </c>
      <c r="FG34" s="150">
        <v>512.65599999999995</v>
      </c>
      <c r="FH34" s="129" t="s">
        <v>160</v>
      </c>
      <c r="FI34" s="129" t="s">
        <v>160</v>
      </c>
      <c r="FJ34" s="129" t="s">
        <v>160</v>
      </c>
      <c r="FK34" s="129" t="s">
        <v>160</v>
      </c>
      <c r="FL34" s="129" t="s">
        <v>160</v>
      </c>
      <c r="FM34" s="129" t="s">
        <v>160</v>
      </c>
      <c r="FN34" s="151">
        <v>4.1161019999999997</v>
      </c>
      <c r="FO34" s="141">
        <v>2.3708350000000005</v>
      </c>
      <c r="FP34" s="141">
        <v>1.7869119999999996</v>
      </c>
      <c r="FQ34" s="129" t="s">
        <v>414</v>
      </c>
      <c r="FR34" s="176" t="s">
        <v>160</v>
      </c>
    </row>
    <row r="35" spans="1:176" s="129" customFormat="1" ht="17">
      <c r="A35" s="165" t="s">
        <v>152</v>
      </c>
      <c r="B35" s="166" t="s">
        <v>183</v>
      </c>
      <c r="C35" s="166">
        <v>2018</v>
      </c>
      <c r="D35" s="166" t="s">
        <v>184</v>
      </c>
      <c r="E35" s="177">
        <v>16900</v>
      </c>
      <c r="F35" s="167" t="str">
        <f t="shared" si="6"/>
        <v>NA</v>
      </c>
      <c r="G35" s="167" t="str">
        <f t="shared" si="6"/>
        <v>NA</v>
      </c>
      <c r="H35" s="168">
        <f t="shared" si="3"/>
        <v>389.42520000000002</v>
      </c>
      <c r="I35" s="130">
        <f t="shared" si="3"/>
        <v>147.59450000000004</v>
      </c>
      <c r="J35" s="130">
        <f t="shared" si="3"/>
        <v>124.02700000000004</v>
      </c>
      <c r="K35" s="129" t="s">
        <v>457</v>
      </c>
      <c r="L35" s="131" t="s">
        <v>185</v>
      </c>
      <c r="M35" s="132" t="s">
        <v>186</v>
      </c>
      <c r="N35" s="129" t="s">
        <v>184</v>
      </c>
      <c r="O35" s="133">
        <v>926</v>
      </c>
      <c r="P35" s="129" t="s">
        <v>235</v>
      </c>
      <c r="Q35" s="133">
        <v>34</v>
      </c>
      <c r="R35" s="133">
        <v>2</v>
      </c>
      <c r="S35" s="133" t="s">
        <v>289</v>
      </c>
      <c r="T35" s="133" t="s">
        <v>290</v>
      </c>
      <c r="U35" s="129" t="s">
        <v>160</v>
      </c>
      <c r="V35" s="171">
        <v>339.08800000000002</v>
      </c>
      <c r="W35" s="129" t="s">
        <v>160</v>
      </c>
      <c r="X35" s="129" t="s">
        <v>245</v>
      </c>
      <c r="Y35" s="172">
        <v>3.7191000000000001</v>
      </c>
      <c r="Z35" s="172">
        <v>-42.9084</v>
      </c>
      <c r="AA35" s="136" t="s">
        <v>160</v>
      </c>
      <c r="AB35" s="136" t="s">
        <v>160</v>
      </c>
      <c r="AC35" s="129">
        <v>3598</v>
      </c>
      <c r="AD35" s="136" t="s">
        <v>160</v>
      </c>
      <c r="AE35" s="136" t="s">
        <v>160</v>
      </c>
      <c r="AF35" s="129" t="s">
        <v>160</v>
      </c>
      <c r="AG35" s="173">
        <v>16900</v>
      </c>
      <c r="AH35" s="138" t="s">
        <v>160</v>
      </c>
      <c r="AI35" s="129" t="s">
        <v>160</v>
      </c>
      <c r="AJ35" s="138" t="s">
        <v>160</v>
      </c>
      <c r="AK35" s="129" t="s">
        <v>237</v>
      </c>
      <c r="AL35" s="139" t="s">
        <v>246</v>
      </c>
      <c r="AM35" s="139" t="s">
        <v>247</v>
      </c>
      <c r="AN35" s="129" t="s">
        <v>160</v>
      </c>
      <c r="AO35" s="129" t="s">
        <v>160</v>
      </c>
      <c r="AP35" s="129" t="s">
        <v>160</v>
      </c>
      <c r="AQ35" s="129" t="s">
        <v>160</v>
      </c>
      <c r="AR35" s="129" t="s">
        <v>160</v>
      </c>
      <c r="AS35" s="129" t="s">
        <v>160</v>
      </c>
      <c r="AT35" s="129" t="s">
        <v>160</v>
      </c>
      <c r="AU35" s="129" t="s">
        <v>191</v>
      </c>
      <c r="AV35" s="129" t="s">
        <v>161</v>
      </c>
      <c r="AW35" s="129" t="s">
        <v>192</v>
      </c>
      <c r="AX35" s="129" t="s">
        <v>193</v>
      </c>
      <c r="AY35" s="129" t="s">
        <v>194</v>
      </c>
      <c r="AZ35" s="129" t="s">
        <v>195</v>
      </c>
      <c r="BA35" s="129" t="s">
        <v>196</v>
      </c>
      <c r="BB35" s="129" t="s">
        <v>291</v>
      </c>
      <c r="BC35" s="140">
        <v>2</v>
      </c>
      <c r="BD35" s="129" t="s">
        <v>292</v>
      </c>
      <c r="BE35" s="173">
        <v>16.07</v>
      </c>
      <c r="BF35" s="129" t="s">
        <v>199</v>
      </c>
      <c r="BG35" s="173">
        <v>0.32504426131901148</v>
      </c>
      <c r="BH35" s="129">
        <v>0.83299999999999996</v>
      </c>
      <c r="BI35" s="129" t="s">
        <v>160</v>
      </c>
      <c r="BJ35" s="138" t="s">
        <v>160</v>
      </c>
      <c r="BK35" s="129">
        <v>2.69</v>
      </c>
      <c r="BL35" s="129" t="s">
        <v>160</v>
      </c>
      <c r="BM35" s="129" t="s">
        <v>160</v>
      </c>
      <c r="BN35" s="129" t="s">
        <v>200</v>
      </c>
      <c r="BO35" s="129" t="s">
        <v>201</v>
      </c>
      <c r="BP35" s="141">
        <v>16.062424969987998</v>
      </c>
      <c r="BQ35" s="129" t="s">
        <v>202</v>
      </c>
      <c r="BR35" s="142">
        <f t="shared" si="2"/>
        <v>0.32504426131901148</v>
      </c>
      <c r="BS35" s="129" t="s">
        <v>160</v>
      </c>
      <c r="BT35" s="129" t="s">
        <v>160</v>
      </c>
      <c r="BU35" s="129">
        <v>10</v>
      </c>
      <c r="BV35" s="129" t="s">
        <v>159</v>
      </c>
      <c r="BW35" s="129">
        <v>10</v>
      </c>
      <c r="BX35" s="143">
        <v>23.252046867395315</v>
      </c>
      <c r="BY35" s="129" t="s">
        <v>159</v>
      </c>
      <c r="BZ35" s="129">
        <v>1</v>
      </c>
      <c r="CA35" s="129">
        <v>1</v>
      </c>
      <c r="CB35" s="129" t="s">
        <v>160</v>
      </c>
      <c r="CC35" s="173">
        <v>3.6466326475227673</v>
      </c>
      <c r="CD35" s="129" t="s">
        <v>163</v>
      </c>
      <c r="CE35" s="144">
        <f t="shared" si="4"/>
        <v>9.8459081483114719E-2</v>
      </c>
      <c r="CF35" s="144">
        <f t="shared" si="5"/>
        <v>9.8459081483114719E-2</v>
      </c>
      <c r="CG35" s="145" t="s">
        <v>203</v>
      </c>
      <c r="CH35" s="129" t="s">
        <v>204</v>
      </c>
      <c r="CI35" s="129" t="s">
        <v>205</v>
      </c>
      <c r="CJ35" s="129" t="s">
        <v>206</v>
      </c>
      <c r="CK35" s="129" t="s">
        <v>158</v>
      </c>
      <c r="CL35" s="129" t="s">
        <v>158</v>
      </c>
      <c r="CM35" s="129" t="s">
        <v>158</v>
      </c>
      <c r="CN35" s="129" t="s">
        <v>160</v>
      </c>
      <c r="CO35" s="129" t="s">
        <v>160</v>
      </c>
      <c r="CP35" s="129" t="s">
        <v>160</v>
      </c>
      <c r="CQ35" s="129" t="s">
        <v>160</v>
      </c>
      <c r="CR35" s="129" t="s">
        <v>160</v>
      </c>
      <c r="CS35" s="129" t="s">
        <v>160</v>
      </c>
      <c r="CT35" s="129" t="s">
        <v>160</v>
      </c>
      <c r="CU35" s="129">
        <v>36.01</v>
      </c>
      <c r="CV35" s="129" t="s">
        <v>159</v>
      </c>
      <c r="CW35" s="146">
        <v>1</v>
      </c>
      <c r="CX35" s="129" t="s">
        <v>207</v>
      </c>
      <c r="CY35" s="129">
        <v>1.3504619532611926E-2</v>
      </c>
      <c r="CZ35" s="129" t="s">
        <v>159</v>
      </c>
      <c r="DA35" s="146">
        <v>2.5000000000000001E-3</v>
      </c>
      <c r="DB35" s="129" t="s">
        <v>208</v>
      </c>
      <c r="DC35" s="129">
        <v>4.5640670394917121E-2</v>
      </c>
      <c r="DD35" s="129" t="s">
        <v>159</v>
      </c>
      <c r="DE35" s="146">
        <v>2.5000000000000001E-3</v>
      </c>
      <c r="DF35" s="129" t="s">
        <v>209</v>
      </c>
      <c r="DG35" s="129" t="s">
        <v>160</v>
      </c>
      <c r="DH35" s="129" t="s">
        <v>160</v>
      </c>
      <c r="DI35" s="129" t="s">
        <v>160</v>
      </c>
      <c r="DJ35" s="129" t="s">
        <v>160</v>
      </c>
      <c r="DK35" s="145">
        <v>424.29</v>
      </c>
      <c r="DL35" s="129" t="s">
        <v>159</v>
      </c>
      <c r="DM35" s="145" t="s">
        <v>160</v>
      </c>
      <c r="DN35" s="129" t="s">
        <v>210</v>
      </c>
      <c r="DO35" s="129">
        <v>37.850119999999997</v>
      </c>
      <c r="DP35" s="129" t="s">
        <v>160</v>
      </c>
      <c r="DQ35" s="129">
        <v>0.68900499999999809</v>
      </c>
      <c r="DR35" s="129" t="s">
        <v>211</v>
      </c>
      <c r="DS35" s="129" t="s">
        <v>212</v>
      </c>
      <c r="DT35" s="129" t="s">
        <v>213</v>
      </c>
      <c r="DU35" s="129">
        <v>1.0271999999999999</v>
      </c>
      <c r="DV35" s="129" t="s">
        <v>214</v>
      </c>
      <c r="DW35" s="129" t="s">
        <v>214</v>
      </c>
      <c r="DX35" s="129" t="s">
        <v>215</v>
      </c>
      <c r="DY35" s="129" t="s">
        <v>160</v>
      </c>
      <c r="DZ35" s="129" t="s">
        <v>164</v>
      </c>
      <c r="EA35" s="129" t="s">
        <v>216</v>
      </c>
      <c r="EB35" s="129" t="s">
        <v>212</v>
      </c>
      <c r="EC35" s="129" t="s">
        <v>212</v>
      </c>
      <c r="ED35" s="129" t="s">
        <v>212</v>
      </c>
      <c r="EE35" s="129" t="s">
        <v>217</v>
      </c>
      <c r="EF35" s="147" t="s">
        <v>213</v>
      </c>
      <c r="EG35" s="148" t="s">
        <v>213</v>
      </c>
      <c r="EH35" s="129" t="s">
        <v>218</v>
      </c>
      <c r="EI35" s="129" t="s">
        <v>219</v>
      </c>
      <c r="EJ35" s="129" t="s">
        <v>160</v>
      </c>
      <c r="EK35" s="149">
        <v>1685.1209999999999</v>
      </c>
      <c r="EL35" s="129" t="s">
        <v>163</v>
      </c>
      <c r="EM35" s="150">
        <v>500</v>
      </c>
      <c r="EN35" s="150">
        <v>500</v>
      </c>
      <c r="EO35" s="129" t="s">
        <v>160</v>
      </c>
      <c r="EP35" s="129" t="s">
        <v>160</v>
      </c>
      <c r="EQ35" s="129" t="s">
        <v>160</v>
      </c>
      <c r="ER35" s="129" t="s">
        <v>160</v>
      </c>
      <c r="ES35" s="151">
        <v>7.9964230000000001</v>
      </c>
      <c r="ET35" s="142" t="s">
        <v>165</v>
      </c>
      <c r="EU35" s="141">
        <v>7.4980999999999298E-2</v>
      </c>
      <c r="EV35" s="141">
        <v>7.8913000000000011E-2</v>
      </c>
      <c r="EW35" s="142" t="s">
        <v>160</v>
      </c>
      <c r="EX35" s="129" t="s">
        <v>160</v>
      </c>
      <c r="EY35" s="129" t="s">
        <v>160</v>
      </c>
      <c r="EZ35" s="149">
        <v>389.42520000000002</v>
      </c>
      <c r="FA35" s="150">
        <v>147.59450000000004</v>
      </c>
      <c r="FB35" s="150">
        <v>124.02700000000004</v>
      </c>
      <c r="FC35" s="129" t="s">
        <v>220</v>
      </c>
      <c r="FD35" s="129" t="s">
        <v>221</v>
      </c>
      <c r="FE35" s="150">
        <v>1861.6399999999999</v>
      </c>
      <c r="FF35" s="150">
        <v>501.76200000000017</v>
      </c>
      <c r="FG35" s="150">
        <v>504.24399999999969</v>
      </c>
      <c r="FH35" s="129" t="s">
        <v>160</v>
      </c>
      <c r="FI35" s="129" t="s">
        <v>160</v>
      </c>
      <c r="FJ35" s="129" t="s">
        <v>160</v>
      </c>
      <c r="FK35" s="129" t="s">
        <v>160</v>
      </c>
      <c r="FL35" s="129" t="s">
        <v>160</v>
      </c>
      <c r="FM35" s="129" t="s">
        <v>160</v>
      </c>
      <c r="FN35" s="151">
        <v>3.916801</v>
      </c>
      <c r="FO35" s="141">
        <v>2.206045</v>
      </c>
      <c r="FP35" s="141">
        <v>1.6730839999999998</v>
      </c>
      <c r="FQ35" s="129" t="s">
        <v>414</v>
      </c>
      <c r="FR35" s="176" t="s">
        <v>160</v>
      </c>
    </row>
    <row r="36" spans="1:176" s="129" customFormat="1" ht="17">
      <c r="A36" s="165" t="s">
        <v>152</v>
      </c>
      <c r="B36" s="166" t="s">
        <v>183</v>
      </c>
      <c r="C36" s="166">
        <v>2018</v>
      </c>
      <c r="D36" s="166" t="s">
        <v>184</v>
      </c>
      <c r="E36" s="177">
        <v>17080</v>
      </c>
      <c r="F36" s="167" t="str">
        <f t="shared" si="6"/>
        <v>NA</v>
      </c>
      <c r="G36" s="167" t="str">
        <f t="shared" si="6"/>
        <v>NA</v>
      </c>
      <c r="H36" s="168">
        <f t="shared" si="3"/>
        <v>342.40370000000001</v>
      </c>
      <c r="I36" s="130">
        <f t="shared" si="3"/>
        <v>128.56669999999997</v>
      </c>
      <c r="J36" s="130">
        <f t="shared" si="3"/>
        <v>105.88800000000003</v>
      </c>
      <c r="K36" s="129" t="s">
        <v>457</v>
      </c>
      <c r="L36" s="131" t="s">
        <v>185</v>
      </c>
      <c r="M36" s="132" t="s">
        <v>186</v>
      </c>
      <c r="N36" s="129" t="s">
        <v>184</v>
      </c>
      <c r="O36" s="133">
        <v>926</v>
      </c>
      <c r="P36" s="129" t="s">
        <v>235</v>
      </c>
      <c r="Q36" s="133">
        <v>34</v>
      </c>
      <c r="R36" s="133" t="s">
        <v>293</v>
      </c>
      <c r="S36" s="133" t="s">
        <v>294</v>
      </c>
      <c r="T36" s="133" t="s">
        <v>295</v>
      </c>
      <c r="U36" s="129" t="s">
        <v>160</v>
      </c>
      <c r="V36" s="171">
        <v>342.10199999999998</v>
      </c>
      <c r="W36" s="129" t="s">
        <v>160</v>
      </c>
      <c r="X36" s="129" t="s">
        <v>245</v>
      </c>
      <c r="Y36" s="172">
        <v>3.7191000000000001</v>
      </c>
      <c r="Z36" s="172">
        <v>-42.9084</v>
      </c>
      <c r="AA36" s="136" t="s">
        <v>160</v>
      </c>
      <c r="AB36" s="136" t="s">
        <v>160</v>
      </c>
      <c r="AC36" s="129">
        <v>3598</v>
      </c>
      <c r="AD36" s="136" t="s">
        <v>160</v>
      </c>
      <c r="AE36" s="136" t="s">
        <v>160</v>
      </c>
      <c r="AF36" s="129" t="s">
        <v>160</v>
      </c>
      <c r="AG36" s="173">
        <v>17080</v>
      </c>
      <c r="AH36" s="138" t="s">
        <v>160</v>
      </c>
      <c r="AI36" s="129" t="s">
        <v>160</v>
      </c>
      <c r="AJ36" s="138" t="s">
        <v>160</v>
      </c>
      <c r="AK36" s="129" t="s">
        <v>237</v>
      </c>
      <c r="AL36" s="139" t="s">
        <v>246</v>
      </c>
      <c r="AM36" s="139" t="s">
        <v>247</v>
      </c>
      <c r="AN36" s="129" t="s">
        <v>160</v>
      </c>
      <c r="AO36" s="129" t="s">
        <v>160</v>
      </c>
      <c r="AP36" s="129" t="s">
        <v>160</v>
      </c>
      <c r="AQ36" s="129" t="s">
        <v>160</v>
      </c>
      <c r="AR36" s="129" t="s">
        <v>160</v>
      </c>
      <c r="AS36" s="129" t="s">
        <v>160</v>
      </c>
      <c r="AT36" s="129" t="s">
        <v>160</v>
      </c>
      <c r="AU36" s="129" t="s">
        <v>191</v>
      </c>
      <c r="AV36" s="129" t="s">
        <v>161</v>
      </c>
      <c r="AW36" s="129" t="s">
        <v>192</v>
      </c>
      <c r="AX36" s="129" t="s">
        <v>193</v>
      </c>
      <c r="AY36" s="129" t="s">
        <v>194</v>
      </c>
      <c r="AZ36" s="129" t="s">
        <v>195</v>
      </c>
      <c r="BA36" s="129" t="s">
        <v>196</v>
      </c>
      <c r="BB36" s="129" t="s">
        <v>296</v>
      </c>
      <c r="BC36" s="140">
        <v>2</v>
      </c>
      <c r="BD36" s="129" t="s">
        <v>297</v>
      </c>
      <c r="BE36" s="173">
        <v>16.529236724914465</v>
      </c>
      <c r="BF36" s="129" t="s">
        <v>199</v>
      </c>
      <c r="BG36" s="173">
        <v>0.35140953516941376</v>
      </c>
      <c r="BH36" s="129">
        <v>0.83299999999999996</v>
      </c>
      <c r="BI36" s="129" t="s">
        <v>160</v>
      </c>
      <c r="BJ36" s="138" t="s">
        <v>160</v>
      </c>
      <c r="BK36" s="129">
        <v>2.69</v>
      </c>
      <c r="BL36" s="129" t="s">
        <v>160</v>
      </c>
      <c r="BM36" s="129" t="s">
        <v>160</v>
      </c>
      <c r="BN36" s="129" t="s">
        <v>200</v>
      </c>
      <c r="BO36" s="129" t="s">
        <v>201</v>
      </c>
      <c r="BP36" s="141">
        <v>16.61372956172205</v>
      </c>
      <c r="BQ36" s="129" t="s">
        <v>202</v>
      </c>
      <c r="BR36" s="142">
        <f t="shared" si="2"/>
        <v>0.35140953516941376</v>
      </c>
      <c r="BS36" s="129" t="s">
        <v>160</v>
      </c>
      <c r="BT36" s="129" t="s">
        <v>160</v>
      </c>
      <c r="BU36" s="129">
        <v>10</v>
      </c>
      <c r="BV36" s="129" t="s">
        <v>159</v>
      </c>
      <c r="BW36" s="129">
        <v>10</v>
      </c>
      <c r="BX36" s="143">
        <v>23.241418982166387</v>
      </c>
      <c r="BY36" s="129" t="s">
        <v>159</v>
      </c>
      <c r="BZ36" s="129">
        <v>1</v>
      </c>
      <c r="CA36" s="129">
        <v>1</v>
      </c>
      <c r="CB36" s="129" t="s">
        <v>160</v>
      </c>
      <c r="CC36" s="173">
        <v>3.65</v>
      </c>
      <c r="CD36" s="129" t="s">
        <v>163</v>
      </c>
      <c r="CE36" s="144">
        <f t="shared" si="4"/>
        <v>9.8549999999999999E-2</v>
      </c>
      <c r="CF36" s="144">
        <f t="shared" si="5"/>
        <v>9.8549999999999999E-2</v>
      </c>
      <c r="CG36" s="145" t="s">
        <v>203</v>
      </c>
      <c r="CH36" s="129" t="s">
        <v>204</v>
      </c>
      <c r="CI36" s="129" t="s">
        <v>205</v>
      </c>
      <c r="CJ36" s="129" t="s">
        <v>206</v>
      </c>
      <c r="CK36" s="129" t="s">
        <v>158</v>
      </c>
      <c r="CL36" s="129" t="s">
        <v>158</v>
      </c>
      <c r="CM36" s="129" t="s">
        <v>158</v>
      </c>
      <c r="CN36" s="129" t="s">
        <v>160</v>
      </c>
      <c r="CO36" s="129" t="s">
        <v>160</v>
      </c>
      <c r="CP36" s="129" t="s">
        <v>160</v>
      </c>
      <c r="CQ36" s="129" t="s">
        <v>160</v>
      </c>
      <c r="CR36" s="129" t="s">
        <v>160</v>
      </c>
      <c r="CS36" s="129" t="s">
        <v>160</v>
      </c>
      <c r="CT36" s="129" t="s">
        <v>160</v>
      </c>
      <c r="CU36" s="129">
        <v>36.01</v>
      </c>
      <c r="CV36" s="129" t="s">
        <v>159</v>
      </c>
      <c r="CW36" s="146">
        <v>1</v>
      </c>
      <c r="CX36" s="129" t="s">
        <v>207</v>
      </c>
      <c r="CY36" s="129">
        <v>1.3536312791702105E-2</v>
      </c>
      <c r="CZ36" s="129" t="s">
        <v>159</v>
      </c>
      <c r="DA36" s="146">
        <v>2.5000000000000001E-3</v>
      </c>
      <c r="DB36" s="129" t="s">
        <v>208</v>
      </c>
      <c r="DC36" s="129">
        <v>4.5538547671182102E-2</v>
      </c>
      <c r="DD36" s="129" t="s">
        <v>159</v>
      </c>
      <c r="DE36" s="146">
        <v>2.5000000000000001E-3</v>
      </c>
      <c r="DF36" s="129" t="s">
        <v>209</v>
      </c>
      <c r="DG36" s="129" t="s">
        <v>160</v>
      </c>
      <c r="DH36" s="129" t="s">
        <v>160</v>
      </c>
      <c r="DI36" s="129" t="s">
        <v>160</v>
      </c>
      <c r="DJ36" s="129" t="s">
        <v>160</v>
      </c>
      <c r="DK36" s="145">
        <v>424.29</v>
      </c>
      <c r="DL36" s="129" t="s">
        <v>159</v>
      </c>
      <c r="DM36" s="145" t="s">
        <v>160</v>
      </c>
      <c r="DN36" s="129" t="s">
        <v>210</v>
      </c>
      <c r="DO36" s="129">
        <v>37.841160000000002</v>
      </c>
      <c r="DP36" s="129" t="s">
        <v>160</v>
      </c>
      <c r="DQ36" s="129">
        <v>0.68610499999999774</v>
      </c>
      <c r="DR36" s="129" t="s">
        <v>211</v>
      </c>
      <c r="DS36" s="129" t="s">
        <v>212</v>
      </c>
      <c r="DT36" s="129" t="s">
        <v>213</v>
      </c>
      <c r="DU36" s="129">
        <v>1.0271999999999999</v>
      </c>
      <c r="DV36" s="129" t="s">
        <v>214</v>
      </c>
      <c r="DW36" s="129" t="s">
        <v>214</v>
      </c>
      <c r="DX36" s="129" t="s">
        <v>215</v>
      </c>
      <c r="DY36" s="129" t="s">
        <v>160</v>
      </c>
      <c r="DZ36" s="129" t="s">
        <v>164</v>
      </c>
      <c r="EA36" s="129" t="s">
        <v>216</v>
      </c>
      <c r="EB36" s="129" t="s">
        <v>212</v>
      </c>
      <c r="EC36" s="129" t="s">
        <v>212</v>
      </c>
      <c r="ED36" s="129" t="s">
        <v>212</v>
      </c>
      <c r="EE36" s="129" t="s">
        <v>217</v>
      </c>
      <c r="EF36" s="147" t="s">
        <v>213</v>
      </c>
      <c r="EG36" s="148" t="s">
        <v>213</v>
      </c>
      <c r="EH36" s="129" t="s">
        <v>218</v>
      </c>
      <c r="EI36" s="129" t="s">
        <v>219</v>
      </c>
      <c r="EJ36" s="129" t="s">
        <v>160</v>
      </c>
      <c r="EK36" s="149">
        <v>1682.2860000000001</v>
      </c>
      <c r="EL36" s="129" t="s">
        <v>163</v>
      </c>
      <c r="EM36" s="150">
        <v>500</v>
      </c>
      <c r="EN36" s="150">
        <v>500</v>
      </c>
      <c r="EO36" s="129" t="s">
        <v>160</v>
      </c>
      <c r="EP36" s="129" t="s">
        <v>160</v>
      </c>
      <c r="EQ36" s="129" t="s">
        <v>160</v>
      </c>
      <c r="ER36" s="129" t="s">
        <v>160</v>
      </c>
      <c r="ES36" s="151">
        <v>8.0481979999999993</v>
      </c>
      <c r="ET36" s="142" t="s">
        <v>165</v>
      </c>
      <c r="EU36" s="141">
        <v>7.0263000000000631E-2</v>
      </c>
      <c r="EV36" s="141">
        <v>7.5434999999999697E-2</v>
      </c>
      <c r="EW36" s="142" t="s">
        <v>160</v>
      </c>
      <c r="EX36" s="129" t="s">
        <v>160</v>
      </c>
      <c r="EY36" s="129" t="s">
        <v>160</v>
      </c>
      <c r="EZ36" s="149">
        <v>342.40370000000001</v>
      </c>
      <c r="FA36" s="150">
        <v>128.56669999999997</v>
      </c>
      <c r="FB36" s="150">
        <v>105.88800000000003</v>
      </c>
      <c r="FC36" s="129" t="s">
        <v>220</v>
      </c>
      <c r="FD36" s="129" t="s">
        <v>221</v>
      </c>
      <c r="FE36" s="150">
        <v>1882.7990000000002</v>
      </c>
      <c r="FF36" s="150">
        <v>519.76599999999985</v>
      </c>
      <c r="FG36" s="150">
        <v>514.94800000000009</v>
      </c>
      <c r="FH36" s="129" t="s">
        <v>160</v>
      </c>
      <c r="FI36" s="129" t="s">
        <v>160</v>
      </c>
      <c r="FJ36" s="129" t="s">
        <v>160</v>
      </c>
      <c r="FK36" s="129" t="s">
        <v>160</v>
      </c>
      <c r="FL36" s="129" t="s">
        <v>160</v>
      </c>
      <c r="FM36" s="129" t="s">
        <v>160</v>
      </c>
      <c r="FN36" s="151">
        <v>4.3578169999999998</v>
      </c>
      <c r="FO36" s="141">
        <v>2.5197789999999998</v>
      </c>
      <c r="FP36" s="141">
        <v>1.8729399999999998</v>
      </c>
      <c r="FQ36" s="129" t="s">
        <v>414</v>
      </c>
      <c r="FR36" s="176" t="s">
        <v>160</v>
      </c>
    </row>
    <row r="37" spans="1:176" s="129" customFormat="1" ht="17">
      <c r="A37" s="165" t="s">
        <v>152</v>
      </c>
      <c r="B37" s="166" t="s">
        <v>183</v>
      </c>
      <c r="C37" s="166">
        <v>2018</v>
      </c>
      <c r="D37" s="166" t="s">
        <v>184</v>
      </c>
      <c r="E37" s="177">
        <v>18250</v>
      </c>
      <c r="F37" s="167" t="str">
        <f t="shared" si="6"/>
        <v>NA</v>
      </c>
      <c r="G37" s="167" t="str">
        <f t="shared" si="6"/>
        <v>NA</v>
      </c>
      <c r="H37" s="168">
        <f t="shared" si="3"/>
        <v>311.52960000000002</v>
      </c>
      <c r="I37" s="130">
        <f t="shared" si="3"/>
        <v>115.72120000000001</v>
      </c>
      <c r="J37" s="130">
        <f t="shared" si="3"/>
        <v>96.073700000000002</v>
      </c>
      <c r="K37" s="129" t="s">
        <v>457</v>
      </c>
      <c r="L37" s="131" t="s">
        <v>185</v>
      </c>
      <c r="M37" s="132" t="s">
        <v>186</v>
      </c>
      <c r="N37" s="129" t="s">
        <v>184</v>
      </c>
      <c r="O37" s="133">
        <v>926</v>
      </c>
      <c r="P37" s="129" t="s">
        <v>235</v>
      </c>
      <c r="Q37" s="133" t="s">
        <v>298</v>
      </c>
      <c r="R37" s="133" t="s">
        <v>299</v>
      </c>
      <c r="S37" s="133">
        <v>54</v>
      </c>
      <c r="T37" s="133">
        <v>56.5</v>
      </c>
      <c r="U37" s="129" t="s">
        <v>160</v>
      </c>
      <c r="V37" s="171">
        <v>354.76299999999998</v>
      </c>
      <c r="W37" s="129" t="s">
        <v>160</v>
      </c>
      <c r="X37" s="129" t="s">
        <v>245</v>
      </c>
      <c r="Y37" s="172">
        <v>3.7191000000000001</v>
      </c>
      <c r="Z37" s="172">
        <v>-42.9084</v>
      </c>
      <c r="AA37" s="136" t="s">
        <v>160</v>
      </c>
      <c r="AB37" s="136" t="s">
        <v>160</v>
      </c>
      <c r="AC37" s="129">
        <v>3598</v>
      </c>
      <c r="AD37" s="136" t="s">
        <v>160</v>
      </c>
      <c r="AE37" s="136" t="s">
        <v>160</v>
      </c>
      <c r="AF37" s="129" t="s">
        <v>160</v>
      </c>
      <c r="AG37" s="173">
        <v>18250</v>
      </c>
      <c r="AH37" s="138" t="s">
        <v>160</v>
      </c>
      <c r="AI37" s="129" t="s">
        <v>160</v>
      </c>
      <c r="AJ37" s="138" t="s">
        <v>160</v>
      </c>
      <c r="AK37" s="129" t="s">
        <v>237</v>
      </c>
      <c r="AL37" s="139" t="s">
        <v>246</v>
      </c>
      <c r="AM37" s="139" t="s">
        <v>247</v>
      </c>
      <c r="AN37" s="129" t="s">
        <v>160</v>
      </c>
      <c r="AO37" s="129" t="s">
        <v>160</v>
      </c>
      <c r="AP37" s="129" t="s">
        <v>160</v>
      </c>
      <c r="AQ37" s="129" t="s">
        <v>160</v>
      </c>
      <c r="AR37" s="129" t="s">
        <v>160</v>
      </c>
      <c r="AS37" s="129" t="s">
        <v>160</v>
      </c>
      <c r="AT37" s="129" t="s">
        <v>160</v>
      </c>
      <c r="AU37" s="129" t="s">
        <v>191</v>
      </c>
      <c r="AV37" s="129" t="s">
        <v>161</v>
      </c>
      <c r="AW37" s="129" t="s">
        <v>192</v>
      </c>
      <c r="AX37" s="129" t="s">
        <v>193</v>
      </c>
      <c r="AY37" s="129" t="s">
        <v>194</v>
      </c>
      <c r="AZ37" s="129" t="s">
        <v>195</v>
      </c>
      <c r="BA37" s="129" t="s">
        <v>196</v>
      </c>
      <c r="BB37" s="129" t="s">
        <v>300</v>
      </c>
      <c r="BC37" s="140">
        <v>2</v>
      </c>
      <c r="BD37" s="129" t="s">
        <v>301</v>
      </c>
      <c r="BE37" s="173">
        <v>17.076103495886496</v>
      </c>
      <c r="BF37" s="129" t="s">
        <v>199</v>
      </c>
      <c r="BG37" s="173">
        <v>0.2419954283966429</v>
      </c>
      <c r="BH37" s="129">
        <v>0.83299999999999996</v>
      </c>
      <c r="BI37" s="129" t="s">
        <v>160</v>
      </c>
      <c r="BJ37" s="138" t="s">
        <v>160</v>
      </c>
      <c r="BK37" s="129">
        <v>2.69</v>
      </c>
      <c r="BL37" s="129" t="s">
        <v>160</v>
      </c>
      <c r="BM37" s="129" t="s">
        <v>160</v>
      </c>
      <c r="BN37" s="129" t="s">
        <v>200</v>
      </c>
      <c r="BO37" s="129" t="s">
        <v>201</v>
      </c>
      <c r="BP37" s="141">
        <v>17.270232287978988</v>
      </c>
      <c r="BQ37" s="129" t="s">
        <v>202</v>
      </c>
      <c r="BR37" s="142">
        <f t="shared" si="2"/>
        <v>0.2419954283966429</v>
      </c>
      <c r="BS37" s="129" t="s">
        <v>160</v>
      </c>
      <c r="BT37" s="129" t="s">
        <v>160</v>
      </c>
      <c r="BU37" s="129">
        <v>10</v>
      </c>
      <c r="BV37" s="129" t="s">
        <v>159</v>
      </c>
      <c r="BW37" s="129">
        <v>10</v>
      </c>
      <c r="BX37" s="143">
        <v>25.000336915326312</v>
      </c>
      <c r="BY37" s="129" t="s">
        <v>159</v>
      </c>
      <c r="BZ37" s="129">
        <v>1</v>
      </c>
      <c r="CA37" s="129">
        <v>1</v>
      </c>
      <c r="CB37" s="129" t="s">
        <v>160</v>
      </c>
      <c r="CC37" s="173">
        <v>4.3271425162248107</v>
      </c>
      <c r="CD37" s="129" t="s">
        <v>163</v>
      </c>
      <c r="CE37" s="144">
        <f t="shared" si="4"/>
        <v>0.11683284793806989</v>
      </c>
      <c r="CF37" s="144">
        <f t="shared" si="5"/>
        <v>0.11683284793806989</v>
      </c>
      <c r="CG37" s="145" t="s">
        <v>203</v>
      </c>
      <c r="CH37" s="129" t="s">
        <v>204</v>
      </c>
      <c r="CI37" s="129" t="s">
        <v>205</v>
      </c>
      <c r="CJ37" s="129" t="s">
        <v>206</v>
      </c>
      <c r="CK37" s="129" t="s">
        <v>158</v>
      </c>
      <c r="CL37" s="129" t="s">
        <v>158</v>
      </c>
      <c r="CM37" s="129" t="s">
        <v>158</v>
      </c>
      <c r="CN37" s="129" t="s">
        <v>160</v>
      </c>
      <c r="CO37" s="129" t="s">
        <v>160</v>
      </c>
      <c r="CP37" s="129" t="s">
        <v>160</v>
      </c>
      <c r="CQ37" s="129" t="s">
        <v>160</v>
      </c>
      <c r="CR37" s="129" t="s">
        <v>160</v>
      </c>
      <c r="CS37" s="129" t="s">
        <v>160</v>
      </c>
      <c r="CT37" s="129" t="s">
        <v>160</v>
      </c>
      <c r="CU37" s="129">
        <v>36.01</v>
      </c>
      <c r="CV37" s="129" t="s">
        <v>159</v>
      </c>
      <c r="CW37" s="146">
        <v>1</v>
      </c>
      <c r="CX37" s="129" t="s">
        <v>207</v>
      </c>
      <c r="CY37" s="129">
        <v>1.3736659299999999E-2</v>
      </c>
      <c r="CZ37" s="129" t="s">
        <v>159</v>
      </c>
      <c r="DA37" s="146">
        <v>2.5000000000000001E-3</v>
      </c>
      <c r="DB37" s="129" t="s">
        <v>208</v>
      </c>
      <c r="DC37" s="129">
        <v>4.4892986699999998E-2</v>
      </c>
      <c r="DD37" s="129" t="s">
        <v>159</v>
      </c>
      <c r="DE37" s="146">
        <v>2.5000000000000001E-3</v>
      </c>
      <c r="DF37" s="129" t="s">
        <v>209</v>
      </c>
      <c r="DG37" s="129" t="s">
        <v>160</v>
      </c>
      <c r="DH37" s="129" t="s">
        <v>160</v>
      </c>
      <c r="DI37" s="129" t="s">
        <v>160</v>
      </c>
      <c r="DJ37" s="129" t="s">
        <v>160</v>
      </c>
      <c r="DK37" s="145">
        <v>424.29</v>
      </c>
      <c r="DL37" s="129" t="s">
        <v>159</v>
      </c>
      <c r="DM37" s="145" t="s">
        <v>160</v>
      </c>
      <c r="DN37" s="129" t="s">
        <v>210</v>
      </c>
      <c r="DO37" s="129">
        <v>37.808129999999998</v>
      </c>
      <c r="DP37" s="129" t="s">
        <v>160</v>
      </c>
      <c r="DQ37" s="129">
        <v>0.74737500000000168</v>
      </c>
      <c r="DR37" s="129" t="s">
        <v>211</v>
      </c>
      <c r="DS37" s="129" t="s">
        <v>212</v>
      </c>
      <c r="DT37" s="129" t="s">
        <v>213</v>
      </c>
      <c r="DU37" s="129">
        <v>1.0271999999999999</v>
      </c>
      <c r="DV37" s="129" t="s">
        <v>214</v>
      </c>
      <c r="DW37" s="129" t="s">
        <v>214</v>
      </c>
      <c r="DX37" s="129" t="s">
        <v>215</v>
      </c>
      <c r="DY37" s="129" t="s">
        <v>160</v>
      </c>
      <c r="DZ37" s="129" t="s">
        <v>164</v>
      </c>
      <c r="EA37" s="129" t="s">
        <v>216</v>
      </c>
      <c r="EB37" s="129" t="s">
        <v>212</v>
      </c>
      <c r="EC37" s="129" t="s">
        <v>212</v>
      </c>
      <c r="ED37" s="129" t="s">
        <v>212</v>
      </c>
      <c r="EE37" s="129" t="s">
        <v>217</v>
      </c>
      <c r="EF37" s="147" t="s">
        <v>213</v>
      </c>
      <c r="EG37" s="148" t="s">
        <v>213</v>
      </c>
      <c r="EH37" s="129" t="s">
        <v>218</v>
      </c>
      <c r="EI37" s="129" t="s">
        <v>219</v>
      </c>
      <c r="EJ37" s="129" t="s">
        <v>160</v>
      </c>
      <c r="EK37" s="149">
        <v>1659.7329999999999</v>
      </c>
      <c r="EL37" s="129" t="s">
        <v>163</v>
      </c>
      <c r="EM37" s="150">
        <v>500</v>
      </c>
      <c r="EN37" s="150">
        <v>500</v>
      </c>
      <c r="EO37" s="129" t="s">
        <v>160</v>
      </c>
      <c r="EP37" s="129" t="s">
        <v>160</v>
      </c>
      <c r="EQ37" s="129" t="s">
        <v>160</v>
      </c>
      <c r="ER37" s="129" t="s">
        <v>160</v>
      </c>
      <c r="ES37" s="151">
        <v>8.0846929999999997</v>
      </c>
      <c r="ET37" s="142" t="s">
        <v>165</v>
      </c>
      <c r="EU37" s="141">
        <v>6.6950999999999539E-2</v>
      </c>
      <c r="EV37" s="141">
        <v>7.2293999999999414E-2</v>
      </c>
      <c r="EW37" s="142" t="s">
        <v>160</v>
      </c>
      <c r="EX37" s="129" t="s">
        <v>160</v>
      </c>
      <c r="EY37" s="129" t="s">
        <v>160</v>
      </c>
      <c r="EZ37" s="149">
        <v>311.52960000000002</v>
      </c>
      <c r="FA37" s="150">
        <v>115.72120000000001</v>
      </c>
      <c r="FB37" s="150">
        <v>96.073700000000002</v>
      </c>
      <c r="FC37" s="129" t="s">
        <v>220</v>
      </c>
      <c r="FD37" s="129" t="s">
        <v>221</v>
      </c>
      <c r="FE37" s="150">
        <v>1885.87</v>
      </c>
      <c r="FF37" s="150">
        <v>502.76699999999983</v>
      </c>
      <c r="FG37" s="150">
        <v>515.68199999999979</v>
      </c>
      <c r="FH37" s="129" t="s">
        <v>160</v>
      </c>
      <c r="FI37" s="129" t="s">
        <v>160</v>
      </c>
      <c r="FJ37" s="129" t="s">
        <v>160</v>
      </c>
      <c r="FK37" s="129" t="s">
        <v>160</v>
      </c>
      <c r="FL37" s="129" t="s">
        <v>160</v>
      </c>
      <c r="FM37" s="129" t="s">
        <v>160</v>
      </c>
      <c r="FN37" s="151">
        <v>5.108981</v>
      </c>
      <c r="FO37" s="141">
        <v>2.8346239999999998</v>
      </c>
      <c r="FP37" s="141">
        <v>2.161292</v>
      </c>
      <c r="FQ37" s="129" t="s">
        <v>414</v>
      </c>
      <c r="FR37" s="176" t="s">
        <v>160</v>
      </c>
    </row>
    <row r="38" spans="1:176" s="129" customFormat="1" ht="17">
      <c r="A38" s="165" t="s">
        <v>152</v>
      </c>
      <c r="B38" s="166" t="s">
        <v>183</v>
      </c>
      <c r="C38" s="166">
        <v>2018</v>
      </c>
      <c r="D38" s="166" t="s">
        <v>184</v>
      </c>
      <c r="E38" s="177">
        <v>19140</v>
      </c>
      <c r="F38" s="167" t="str">
        <f t="shared" si="6"/>
        <v>NA</v>
      </c>
      <c r="G38" s="167" t="str">
        <f t="shared" si="6"/>
        <v>NA</v>
      </c>
      <c r="H38" s="168">
        <f t="shared" si="3"/>
        <v>385.41320000000002</v>
      </c>
      <c r="I38" s="130">
        <f t="shared" si="3"/>
        <v>153.94439999999992</v>
      </c>
      <c r="J38" s="130">
        <f t="shared" si="3"/>
        <v>121.4932</v>
      </c>
      <c r="K38" s="129" t="s">
        <v>457</v>
      </c>
      <c r="L38" s="131" t="s">
        <v>185</v>
      </c>
      <c r="M38" s="132" t="s">
        <v>186</v>
      </c>
      <c r="N38" s="129" t="s">
        <v>184</v>
      </c>
      <c r="O38" s="133">
        <v>926</v>
      </c>
      <c r="P38" s="129" t="s">
        <v>235</v>
      </c>
      <c r="Q38" s="133" t="s">
        <v>302</v>
      </c>
      <c r="R38" s="133" t="s">
        <v>303</v>
      </c>
      <c r="S38" s="133">
        <v>100</v>
      </c>
      <c r="T38" s="133">
        <v>103</v>
      </c>
      <c r="U38" s="129" t="s">
        <v>160</v>
      </c>
      <c r="V38" s="171">
        <v>381.125</v>
      </c>
      <c r="W38" s="129" t="s">
        <v>160</v>
      </c>
      <c r="X38" s="129" t="s">
        <v>245</v>
      </c>
      <c r="Y38" s="172">
        <v>3.7191000000000001</v>
      </c>
      <c r="Z38" s="172">
        <v>-42.9084</v>
      </c>
      <c r="AA38" s="136" t="s">
        <v>160</v>
      </c>
      <c r="AB38" s="136" t="s">
        <v>160</v>
      </c>
      <c r="AC38" s="129">
        <v>3598</v>
      </c>
      <c r="AD38" s="136" t="s">
        <v>160</v>
      </c>
      <c r="AE38" s="136" t="s">
        <v>160</v>
      </c>
      <c r="AF38" s="129" t="s">
        <v>160</v>
      </c>
      <c r="AG38" s="173">
        <v>19140</v>
      </c>
      <c r="AH38" s="138" t="s">
        <v>160</v>
      </c>
      <c r="AI38" s="129" t="s">
        <v>160</v>
      </c>
      <c r="AJ38" s="138" t="s">
        <v>160</v>
      </c>
      <c r="AK38" s="129" t="s">
        <v>237</v>
      </c>
      <c r="AL38" s="139" t="s">
        <v>246</v>
      </c>
      <c r="AM38" s="139" t="s">
        <v>247</v>
      </c>
      <c r="AN38" s="129" t="s">
        <v>160</v>
      </c>
      <c r="AO38" s="129" t="s">
        <v>160</v>
      </c>
      <c r="AP38" s="129" t="s">
        <v>160</v>
      </c>
      <c r="AQ38" s="129" t="s">
        <v>160</v>
      </c>
      <c r="AR38" s="129" t="s">
        <v>160</v>
      </c>
      <c r="AS38" s="129" t="s">
        <v>160</v>
      </c>
      <c r="AT38" s="129" t="s">
        <v>160</v>
      </c>
      <c r="AU38" s="129" t="s">
        <v>191</v>
      </c>
      <c r="AV38" s="129" t="s">
        <v>161</v>
      </c>
      <c r="AW38" s="129" t="s">
        <v>192</v>
      </c>
      <c r="AX38" s="129" t="s">
        <v>193</v>
      </c>
      <c r="AY38" s="129" t="s">
        <v>194</v>
      </c>
      <c r="AZ38" s="129" t="s">
        <v>195</v>
      </c>
      <c r="BA38" s="129" t="s">
        <v>196</v>
      </c>
      <c r="BB38" s="129" t="s">
        <v>304</v>
      </c>
      <c r="BC38" s="140">
        <v>2</v>
      </c>
      <c r="BD38" s="129" t="s">
        <v>305</v>
      </c>
      <c r="BE38" s="173">
        <v>15.93097889065</v>
      </c>
      <c r="BF38" s="129" t="s">
        <v>199</v>
      </c>
      <c r="BG38" s="173">
        <v>0.24067309559065592</v>
      </c>
      <c r="BH38" s="129">
        <v>0.83299999999999996</v>
      </c>
      <c r="BI38" s="129" t="s">
        <v>160</v>
      </c>
      <c r="BJ38" s="138" t="s">
        <v>160</v>
      </c>
      <c r="BK38" s="129">
        <v>2.69</v>
      </c>
      <c r="BL38" s="129" t="s">
        <v>160</v>
      </c>
      <c r="BM38" s="129" t="s">
        <v>160</v>
      </c>
      <c r="BN38" s="129" t="s">
        <v>200</v>
      </c>
      <c r="BO38" s="129" t="s">
        <v>201</v>
      </c>
      <c r="BP38" s="141">
        <v>15.895532881932773</v>
      </c>
      <c r="BQ38" s="129" t="s">
        <v>202</v>
      </c>
      <c r="BR38" s="142">
        <f t="shared" si="2"/>
        <v>0.24067309559065592</v>
      </c>
      <c r="BS38" s="129" t="s">
        <v>160</v>
      </c>
      <c r="BT38" s="129" t="s">
        <v>160</v>
      </c>
      <c r="BU38" s="129">
        <v>10</v>
      </c>
      <c r="BV38" s="129" t="s">
        <v>159</v>
      </c>
      <c r="BW38" s="129">
        <v>10</v>
      </c>
      <c r="BX38" s="143">
        <v>22.392436408921551</v>
      </c>
      <c r="BY38" s="129" t="s">
        <v>159</v>
      </c>
      <c r="BZ38" s="129">
        <v>1</v>
      </c>
      <c r="CA38" s="129">
        <v>1</v>
      </c>
      <c r="CB38" s="129" t="s">
        <v>160</v>
      </c>
      <c r="CC38" s="173">
        <v>3.4530101686710815</v>
      </c>
      <c r="CD38" s="129" t="s">
        <v>163</v>
      </c>
      <c r="CE38" s="144">
        <f t="shared" si="4"/>
        <v>9.3231274554119198E-2</v>
      </c>
      <c r="CF38" s="144">
        <f t="shared" si="5"/>
        <v>9.3231274554119198E-2</v>
      </c>
      <c r="CG38" s="145" t="s">
        <v>203</v>
      </c>
      <c r="CH38" s="129" t="s">
        <v>204</v>
      </c>
      <c r="CI38" s="129" t="s">
        <v>205</v>
      </c>
      <c r="CJ38" s="129" t="s">
        <v>206</v>
      </c>
      <c r="CK38" s="129" t="s">
        <v>158</v>
      </c>
      <c r="CL38" s="129" t="s">
        <v>158</v>
      </c>
      <c r="CM38" s="129" t="s">
        <v>158</v>
      </c>
      <c r="CN38" s="129" t="s">
        <v>160</v>
      </c>
      <c r="CO38" s="129" t="s">
        <v>160</v>
      </c>
      <c r="CP38" s="129" t="s">
        <v>160</v>
      </c>
      <c r="CQ38" s="129" t="s">
        <v>160</v>
      </c>
      <c r="CR38" s="129" t="s">
        <v>160</v>
      </c>
      <c r="CS38" s="129" t="s">
        <v>160</v>
      </c>
      <c r="CT38" s="129" t="s">
        <v>160</v>
      </c>
      <c r="CU38" s="129">
        <v>36.01</v>
      </c>
      <c r="CV38" s="129" t="s">
        <v>159</v>
      </c>
      <c r="CW38" s="146">
        <v>1</v>
      </c>
      <c r="CX38" s="129" t="s">
        <v>207</v>
      </c>
      <c r="CY38" s="129">
        <v>1.3889343028749999E-2</v>
      </c>
      <c r="CZ38" s="129" t="s">
        <v>159</v>
      </c>
      <c r="DA38" s="146">
        <v>2.5000000000000001E-3</v>
      </c>
      <c r="DB38" s="129" t="s">
        <v>208</v>
      </c>
      <c r="DC38" s="129">
        <v>4.4401005796250004E-2</v>
      </c>
      <c r="DD38" s="129" t="s">
        <v>159</v>
      </c>
      <c r="DE38" s="146">
        <v>2.5000000000000001E-3</v>
      </c>
      <c r="DF38" s="129" t="s">
        <v>209</v>
      </c>
      <c r="DG38" s="129" t="s">
        <v>160</v>
      </c>
      <c r="DH38" s="129" t="s">
        <v>160</v>
      </c>
      <c r="DI38" s="129" t="s">
        <v>160</v>
      </c>
      <c r="DJ38" s="129" t="s">
        <v>160</v>
      </c>
      <c r="DK38" s="145">
        <v>424.29</v>
      </c>
      <c r="DL38" s="129" t="s">
        <v>159</v>
      </c>
      <c r="DM38" s="145" t="s">
        <v>160</v>
      </c>
      <c r="DN38" s="129" t="s">
        <v>210</v>
      </c>
      <c r="DO38" s="129">
        <v>37.794469999999997</v>
      </c>
      <c r="DP38" s="129" t="s">
        <v>160</v>
      </c>
      <c r="DQ38" s="129">
        <v>0.78914500000000132</v>
      </c>
      <c r="DR38" s="129" t="s">
        <v>211</v>
      </c>
      <c r="DS38" s="129" t="s">
        <v>212</v>
      </c>
      <c r="DT38" s="129" t="s">
        <v>213</v>
      </c>
      <c r="DU38" s="129">
        <v>1.0271999999999999</v>
      </c>
      <c r="DV38" s="129" t="s">
        <v>214</v>
      </c>
      <c r="DW38" s="129" t="s">
        <v>214</v>
      </c>
      <c r="DX38" s="129" t="s">
        <v>215</v>
      </c>
      <c r="DY38" s="129" t="s">
        <v>160</v>
      </c>
      <c r="DZ38" s="129" t="s">
        <v>164</v>
      </c>
      <c r="EA38" s="129" t="s">
        <v>216</v>
      </c>
      <c r="EB38" s="129" t="s">
        <v>212</v>
      </c>
      <c r="EC38" s="129" t="s">
        <v>212</v>
      </c>
      <c r="ED38" s="129" t="s">
        <v>212</v>
      </c>
      <c r="EE38" s="129" t="s">
        <v>217</v>
      </c>
      <c r="EF38" s="147" t="s">
        <v>213</v>
      </c>
      <c r="EG38" s="148" t="s">
        <v>213</v>
      </c>
      <c r="EH38" s="129" t="s">
        <v>218</v>
      </c>
      <c r="EI38" s="129" t="s">
        <v>219</v>
      </c>
      <c r="EJ38" s="129" t="s">
        <v>160</v>
      </c>
      <c r="EK38" s="149">
        <v>1638.0240000000001</v>
      </c>
      <c r="EL38" s="129" t="s">
        <v>163</v>
      </c>
      <c r="EM38" s="150">
        <v>500</v>
      </c>
      <c r="EN38" s="150">
        <v>500</v>
      </c>
      <c r="EO38" s="129" t="s">
        <v>160</v>
      </c>
      <c r="EP38" s="129" t="s">
        <v>160</v>
      </c>
      <c r="EQ38" s="129" t="s">
        <v>160</v>
      </c>
      <c r="ER38" s="129" t="s">
        <v>160</v>
      </c>
      <c r="ES38" s="151">
        <v>7.9888750000000002</v>
      </c>
      <c r="ET38" s="142" t="s">
        <v>165</v>
      </c>
      <c r="EU38" s="141">
        <v>8.0228999999999218E-2</v>
      </c>
      <c r="EV38" s="141">
        <v>8.3884000000000292E-2</v>
      </c>
      <c r="EW38" s="142" t="s">
        <v>160</v>
      </c>
      <c r="EX38" s="129" t="s">
        <v>160</v>
      </c>
      <c r="EY38" s="129" t="s">
        <v>160</v>
      </c>
      <c r="EZ38" s="149">
        <v>385.41320000000002</v>
      </c>
      <c r="FA38" s="150">
        <v>153.94439999999992</v>
      </c>
      <c r="FB38" s="150">
        <v>121.4932</v>
      </c>
      <c r="FC38" s="129" t="s">
        <v>220</v>
      </c>
      <c r="FD38" s="129" t="s">
        <v>221</v>
      </c>
      <c r="FE38" s="150">
        <v>1811.5309999999999</v>
      </c>
      <c r="FF38" s="150">
        <v>496.15599999999995</v>
      </c>
      <c r="FG38" s="150">
        <v>498.17599999999993</v>
      </c>
      <c r="FH38" s="129" t="s">
        <v>160</v>
      </c>
      <c r="FI38" s="129" t="s">
        <v>160</v>
      </c>
      <c r="FJ38" s="129" t="s">
        <v>160</v>
      </c>
      <c r="FK38" s="129" t="s">
        <v>160</v>
      </c>
      <c r="FL38" s="129" t="s">
        <v>160</v>
      </c>
      <c r="FM38" s="129" t="s">
        <v>160</v>
      </c>
      <c r="FN38" s="151">
        <v>3.7703549999999999</v>
      </c>
      <c r="FO38" s="141">
        <v>2.1574230000000001</v>
      </c>
      <c r="FP38" s="141">
        <v>1.6007799999999999</v>
      </c>
      <c r="FQ38" s="129" t="s">
        <v>414</v>
      </c>
      <c r="FR38" s="176" t="s">
        <v>160</v>
      </c>
    </row>
    <row r="39" spans="1:176" s="129" customFormat="1" ht="17">
      <c r="A39" s="165" t="s">
        <v>152</v>
      </c>
      <c r="B39" s="166" t="s">
        <v>183</v>
      </c>
      <c r="C39" s="166">
        <v>2018</v>
      </c>
      <c r="D39" s="166" t="s">
        <v>184</v>
      </c>
      <c r="E39" s="177">
        <v>20090</v>
      </c>
      <c r="F39" s="167" t="str">
        <f t="shared" si="6"/>
        <v>NA</v>
      </c>
      <c r="G39" s="167" t="str">
        <f t="shared" si="6"/>
        <v>NA</v>
      </c>
      <c r="H39" s="168">
        <f t="shared" si="3"/>
        <v>255.52119999999999</v>
      </c>
      <c r="I39" s="130">
        <f t="shared" si="3"/>
        <v>98.583099999999973</v>
      </c>
      <c r="J39" s="130">
        <f t="shared" si="3"/>
        <v>80.992099999999994</v>
      </c>
      <c r="K39" s="129" t="s">
        <v>457</v>
      </c>
      <c r="L39" s="131" t="s">
        <v>185</v>
      </c>
      <c r="M39" s="132" t="s">
        <v>186</v>
      </c>
      <c r="N39" s="129" t="s">
        <v>184</v>
      </c>
      <c r="O39" s="133">
        <v>926</v>
      </c>
      <c r="P39" s="129" t="s">
        <v>235</v>
      </c>
      <c r="Q39" s="133" t="s">
        <v>306</v>
      </c>
      <c r="R39" s="133" t="s">
        <v>307</v>
      </c>
      <c r="S39" s="133">
        <v>65</v>
      </c>
      <c r="T39" s="133">
        <v>68</v>
      </c>
      <c r="U39" s="129" t="s">
        <v>160</v>
      </c>
      <c r="V39" s="171">
        <v>405.83499999999998</v>
      </c>
      <c r="W39" s="129" t="s">
        <v>160</v>
      </c>
      <c r="X39" s="129" t="s">
        <v>245</v>
      </c>
      <c r="Y39" s="172">
        <v>3.7191000000000001</v>
      </c>
      <c r="Z39" s="172">
        <v>-42.9084</v>
      </c>
      <c r="AA39" s="136" t="s">
        <v>160</v>
      </c>
      <c r="AB39" s="136" t="s">
        <v>160</v>
      </c>
      <c r="AC39" s="129">
        <v>3598</v>
      </c>
      <c r="AD39" s="136" t="s">
        <v>160</v>
      </c>
      <c r="AE39" s="136" t="s">
        <v>160</v>
      </c>
      <c r="AF39" s="129" t="s">
        <v>160</v>
      </c>
      <c r="AG39" s="173">
        <v>20090</v>
      </c>
      <c r="AH39" s="138" t="s">
        <v>160</v>
      </c>
      <c r="AI39" s="129" t="s">
        <v>160</v>
      </c>
      <c r="AJ39" s="138" t="s">
        <v>160</v>
      </c>
      <c r="AK39" s="129" t="s">
        <v>237</v>
      </c>
      <c r="AL39" s="139" t="s">
        <v>246</v>
      </c>
      <c r="AM39" s="139" t="s">
        <v>247</v>
      </c>
      <c r="AN39" s="129" t="s">
        <v>160</v>
      </c>
      <c r="AO39" s="129" t="s">
        <v>160</v>
      </c>
      <c r="AP39" s="129" t="s">
        <v>160</v>
      </c>
      <c r="AQ39" s="129" t="s">
        <v>160</v>
      </c>
      <c r="AR39" s="129" t="s">
        <v>160</v>
      </c>
      <c r="AS39" s="129" t="s">
        <v>160</v>
      </c>
      <c r="AT39" s="129" t="s">
        <v>160</v>
      </c>
      <c r="AU39" s="129" t="s">
        <v>191</v>
      </c>
      <c r="AV39" s="129" t="s">
        <v>161</v>
      </c>
      <c r="AW39" s="129" t="s">
        <v>192</v>
      </c>
      <c r="AX39" s="129" t="s">
        <v>193</v>
      </c>
      <c r="AY39" s="129" t="s">
        <v>194</v>
      </c>
      <c r="AZ39" s="129" t="s">
        <v>195</v>
      </c>
      <c r="BA39" s="129" t="s">
        <v>196</v>
      </c>
      <c r="BB39" s="129" t="s">
        <v>308</v>
      </c>
      <c r="BC39" s="140">
        <v>2</v>
      </c>
      <c r="BD39" s="129" t="s">
        <v>309</v>
      </c>
      <c r="BE39" s="173">
        <v>17.513703143098674</v>
      </c>
      <c r="BF39" s="129" t="s">
        <v>199</v>
      </c>
      <c r="BG39" s="173">
        <v>0.2223562181802306</v>
      </c>
      <c r="BH39" s="129">
        <v>0.83299999999999996</v>
      </c>
      <c r="BI39" s="129" t="s">
        <v>160</v>
      </c>
      <c r="BJ39" s="138" t="s">
        <v>160</v>
      </c>
      <c r="BK39" s="129">
        <v>2.69</v>
      </c>
      <c r="BL39" s="129" t="s">
        <v>160</v>
      </c>
      <c r="BM39" s="129" t="s">
        <v>160</v>
      </c>
      <c r="BN39" s="129" t="s">
        <v>200</v>
      </c>
      <c r="BO39" s="129" t="s">
        <v>201</v>
      </c>
      <c r="BP39" s="141">
        <v>17.795561996517016</v>
      </c>
      <c r="BQ39" s="129" t="s">
        <v>202</v>
      </c>
      <c r="BR39" s="142">
        <f t="shared" si="2"/>
        <v>0.2223562181802306</v>
      </c>
      <c r="BS39" s="129" t="s">
        <v>160</v>
      </c>
      <c r="BT39" s="129" t="s">
        <v>160</v>
      </c>
      <c r="BU39" s="129">
        <v>10</v>
      </c>
      <c r="BV39" s="129" t="s">
        <v>159</v>
      </c>
      <c r="BW39" s="129">
        <v>10</v>
      </c>
      <c r="BX39" s="143">
        <v>22.594129401307466</v>
      </c>
      <c r="BY39" s="129" t="s">
        <v>159</v>
      </c>
      <c r="BZ39" s="129">
        <v>1</v>
      </c>
      <c r="CA39" s="129">
        <v>1</v>
      </c>
      <c r="CB39" s="129" t="s">
        <v>160</v>
      </c>
      <c r="CC39" s="173">
        <v>3.5505335825824682</v>
      </c>
      <c r="CD39" s="129" t="s">
        <v>163</v>
      </c>
      <c r="CE39" s="144">
        <f t="shared" si="4"/>
        <v>9.5864406729726639E-2</v>
      </c>
      <c r="CF39" s="144">
        <f t="shared" si="5"/>
        <v>9.5864406729726639E-2</v>
      </c>
      <c r="CG39" s="145" t="s">
        <v>203</v>
      </c>
      <c r="CH39" s="129" t="s">
        <v>204</v>
      </c>
      <c r="CI39" s="129" t="s">
        <v>205</v>
      </c>
      <c r="CJ39" s="129" t="s">
        <v>206</v>
      </c>
      <c r="CK39" s="129" t="s">
        <v>158</v>
      </c>
      <c r="CL39" s="129" t="s">
        <v>158</v>
      </c>
      <c r="CM39" s="129" t="s">
        <v>158</v>
      </c>
      <c r="CN39" s="129" t="s">
        <v>160</v>
      </c>
      <c r="CO39" s="129" t="s">
        <v>160</v>
      </c>
      <c r="CP39" s="129" t="s">
        <v>160</v>
      </c>
      <c r="CQ39" s="129" t="s">
        <v>160</v>
      </c>
      <c r="CR39" s="129" t="s">
        <v>160</v>
      </c>
      <c r="CS39" s="129" t="s">
        <v>160</v>
      </c>
      <c r="CT39" s="129" t="s">
        <v>160</v>
      </c>
      <c r="CU39" s="129">
        <v>36.01</v>
      </c>
      <c r="CV39" s="129" t="s">
        <v>159</v>
      </c>
      <c r="CW39" s="146">
        <v>1</v>
      </c>
      <c r="CX39" s="129" t="s">
        <v>207</v>
      </c>
      <c r="CY39" s="129">
        <v>1.4052962863599999E-2</v>
      </c>
      <c r="CZ39" s="129" t="s">
        <v>159</v>
      </c>
      <c r="DA39" s="146">
        <v>2.5000000000000001E-3</v>
      </c>
      <c r="DB39" s="129" t="s">
        <v>208</v>
      </c>
      <c r="DC39" s="129">
        <v>4.38737863284E-2</v>
      </c>
      <c r="DD39" s="129" t="s">
        <v>159</v>
      </c>
      <c r="DE39" s="146">
        <v>2.5000000000000001E-3</v>
      </c>
      <c r="DF39" s="129" t="s">
        <v>209</v>
      </c>
      <c r="DG39" s="129" t="s">
        <v>160</v>
      </c>
      <c r="DH39" s="129" t="s">
        <v>160</v>
      </c>
      <c r="DI39" s="129" t="s">
        <v>160</v>
      </c>
      <c r="DJ39" s="129" t="s">
        <v>160</v>
      </c>
      <c r="DK39" s="145">
        <v>424.29</v>
      </c>
      <c r="DL39" s="129" t="s">
        <v>159</v>
      </c>
      <c r="DM39" s="145" t="s">
        <v>160</v>
      </c>
      <c r="DN39" s="129" t="s">
        <v>210</v>
      </c>
      <c r="DO39" s="129">
        <v>37.78058</v>
      </c>
      <c r="DP39" s="129" t="s">
        <v>160</v>
      </c>
      <c r="DQ39" s="129">
        <v>0.86668999999999841</v>
      </c>
      <c r="DR39" s="129" t="s">
        <v>211</v>
      </c>
      <c r="DS39" s="129" t="s">
        <v>212</v>
      </c>
      <c r="DT39" s="129" t="s">
        <v>213</v>
      </c>
      <c r="DU39" s="129">
        <v>1.0271999999999999</v>
      </c>
      <c r="DV39" s="129" t="s">
        <v>214</v>
      </c>
      <c r="DW39" s="129" t="s">
        <v>214</v>
      </c>
      <c r="DX39" s="129" t="s">
        <v>215</v>
      </c>
      <c r="DY39" s="129" t="s">
        <v>160</v>
      </c>
      <c r="DZ39" s="129" t="s">
        <v>164</v>
      </c>
      <c r="EA39" s="129" t="s">
        <v>216</v>
      </c>
      <c r="EB39" s="129" t="s">
        <v>212</v>
      </c>
      <c r="EC39" s="129" t="s">
        <v>212</v>
      </c>
      <c r="ED39" s="129" t="s">
        <v>212</v>
      </c>
      <c r="EE39" s="129" t="s">
        <v>217</v>
      </c>
      <c r="EF39" s="147" t="s">
        <v>213</v>
      </c>
      <c r="EG39" s="148" t="s">
        <v>213</v>
      </c>
      <c r="EH39" s="129" t="s">
        <v>218</v>
      </c>
      <c r="EI39" s="129" t="s">
        <v>219</v>
      </c>
      <c r="EJ39" s="129" t="s">
        <v>160</v>
      </c>
      <c r="EK39" s="149">
        <v>1621.9739999999999</v>
      </c>
      <c r="EL39" s="129" t="s">
        <v>163</v>
      </c>
      <c r="EM39" s="150">
        <v>500</v>
      </c>
      <c r="EN39" s="150">
        <v>500</v>
      </c>
      <c r="EO39" s="129" t="s">
        <v>160</v>
      </c>
      <c r="EP39" s="129" t="s">
        <v>160</v>
      </c>
      <c r="EQ39" s="129" t="s">
        <v>160</v>
      </c>
      <c r="ER39" s="129" t="s">
        <v>160</v>
      </c>
      <c r="ES39" s="151">
        <v>8.1525680000000005</v>
      </c>
      <c r="ET39" s="142" t="s">
        <v>165</v>
      </c>
      <c r="EU39" s="141">
        <v>7.3430999999999358E-2</v>
      </c>
      <c r="EV39" s="141">
        <v>7.5978000000000989E-2</v>
      </c>
      <c r="EW39" s="142" t="s">
        <v>160</v>
      </c>
      <c r="EX39" s="129" t="s">
        <v>160</v>
      </c>
      <c r="EY39" s="129" t="s">
        <v>160</v>
      </c>
      <c r="EZ39" s="149">
        <v>255.52119999999999</v>
      </c>
      <c r="FA39" s="150">
        <v>98.583099999999973</v>
      </c>
      <c r="FB39" s="150">
        <v>80.992099999999994</v>
      </c>
      <c r="FC39" s="129" t="s">
        <v>220</v>
      </c>
      <c r="FD39" s="129" t="s">
        <v>221</v>
      </c>
      <c r="FE39" s="150">
        <v>1866.7289999999998</v>
      </c>
      <c r="FF39" s="150">
        <v>516.24300000000039</v>
      </c>
      <c r="FG39" s="150">
        <v>505.72199999999975</v>
      </c>
      <c r="FH39" s="129" t="s">
        <v>160</v>
      </c>
      <c r="FI39" s="129" t="s">
        <v>160</v>
      </c>
      <c r="FJ39" s="129" t="s">
        <v>160</v>
      </c>
      <c r="FK39" s="129" t="s">
        <v>160</v>
      </c>
      <c r="FL39" s="129" t="s">
        <v>160</v>
      </c>
      <c r="FM39" s="129" t="s">
        <v>160</v>
      </c>
      <c r="FN39" s="151">
        <v>5.4675739999999999</v>
      </c>
      <c r="FO39" s="141">
        <v>3.061744</v>
      </c>
      <c r="FP39" s="141">
        <v>2.3023159999999998</v>
      </c>
      <c r="FQ39" s="129" t="s">
        <v>414</v>
      </c>
      <c r="FR39" s="176" t="s">
        <v>160</v>
      </c>
    </row>
    <row r="40" spans="1:176" s="129" customFormat="1" ht="17">
      <c r="A40" s="165" t="s">
        <v>152</v>
      </c>
      <c r="B40" s="166" t="s">
        <v>183</v>
      </c>
      <c r="C40" s="166">
        <v>2018</v>
      </c>
      <c r="D40" s="166" t="s">
        <v>184</v>
      </c>
      <c r="E40" s="177">
        <v>5810</v>
      </c>
      <c r="F40" s="167" t="str">
        <f t="shared" si="6"/>
        <v>NA</v>
      </c>
      <c r="G40" s="167" t="str">
        <f t="shared" si="6"/>
        <v>NA</v>
      </c>
      <c r="H40" s="168">
        <f t="shared" si="3"/>
        <v>312.2629</v>
      </c>
      <c r="I40" s="130">
        <f t="shared" si="3"/>
        <v>99.252900000000011</v>
      </c>
      <c r="J40" s="130">
        <f t="shared" si="3"/>
        <v>85.887900000000002</v>
      </c>
      <c r="K40" s="129" t="s">
        <v>457</v>
      </c>
      <c r="L40" s="131" t="s">
        <v>185</v>
      </c>
      <c r="M40" s="132" t="s">
        <v>186</v>
      </c>
      <c r="N40" s="129" t="s">
        <v>184</v>
      </c>
      <c r="O40" s="133">
        <v>1000</v>
      </c>
      <c r="P40" s="129" t="s">
        <v>156</v>
      </c>
      <c r="Q40" s="133">
        <v>21</v>
      </c>
      <c r="R40" s="133">
        <v>2</v>
      </c>
      <c r="S40" s="133">
        <v>49</v>
      </c>
      <c r="T40" s="133">
        <v>51</v>
      </c>
      <c r="U40" s="129" t="s">
        <v>160</v>
      </c>
      <c r="V40" s="171">
        <v>185.79</v>
      </c>
      <c r="W40" s="129" t="s">
        <v>160</v>
      </c>
      <c r="X40" s="129" t="s">
        <v>310</v>
      </c>
      <c r="Y40" s="129">
        <v>16.553000000000001</v>
      </c>
      <c r="Z40" s="129">
        <v>-79.867000000000004</v>
      </c>
      <c r="AA40" s="136" t="s">
        <v>160</v>
      </c>
      <c r="AB40" s="136" t="s">
        <v>160</v>
      </c>
      <c r="AC40" s="129">
        <v>927</v>
      </c>
      <c r="AD40" s="136" t="s">
        <v>160</v>
      </c>
      <c r="AE40" s="136" t="s">
        <v>160</v>
      </c>
      <c r="AF40" s="129" t="s">
        <v>160</v>
      </c>
      <c r="AG40" s="173">
        <v>5810</v>
      </c>
      <c r="AH40" s="138" t="s">
        <v>160</v>
      </c>
      <c r="AI40" s="129" t="s">
        <v>160</v>
      </c>
      <c r="AJ40" s="138" t="s">
        <v>160</v>
      </c>
      <c r="AK40" s="129" t="s">
        <v>237</v>
      </c>
      <c r="AL40" s="129" t="s">
        <v>311</v>
      </c>
      <c r="AM40" s="139" t="s">
        <v>312</v>
      </c>
      <c r="AN40" s="129" t="s">
        <v>160</v>
      </c>
      <c r="AO40" s="129" t="s">
        <v>160</v>
      </c>
      <c r="AP40" s="129" t="s">
        <v>160</v>
      </c>
      <c r="AQ40" s="129" t="s">
        <v>160</v>
      </c>
      <c r="AR40" s="129" t="s">
        <v>160</v>
      </c>
      <c r="AS40" s="129" t="s">
        <v>160</v>
      </c>
      <c r="AT40" s="129" t="s">
        <v>160</v>
      </c>
      <c r="AU40" s="129" t="s">
        <v>191</v>
      </c>
      <c r="AV40" s="129" t="s">
        <v>161</v>
      </c>
      <c r="AW40" s="129" t="s">
        <v>192</v>
      </c>
      <c r="AX40" s="129" t="s">
        <v>193</v>
      </c>
      <c r="AY40" s="129" t="s">
        <v>194</v>
      </c>
      <c r="AZ40" s="129" t="s">
        <v>195</v>
      </c>
      <c r="BA40" s="129" t="s">
        <v>196</v>
      </c>
      <c r="BB40" s="129" t="s">
        <v>160</v>
      </c>
      <c r="BC40" s="140">
        <v>2</v>
      </c>
      <c r="BD40" s="129" t="s">
        <v>160</v>
      </c>
      <c r="BE40" s="173">
        <v>18.885239346558503</v>
      </c>
      <c r="BF40" s="129" t="s">
        <v>199</v>
      </c>
      <c r="BG40" s="173">
        <v>2.5000000000000001E-2</v>
      </c>
      <c r="BH40" s="129">
        <v>0.83299999999999996</v>
      </c>
      <c r="BI40" s="129" t="s">
        <v>160</v>
      </c>
      <c r="BJ40" s="138" t="s">
        <v>160</v>
      </c>
      <c r="BK40" s="129">
        <v>2.69</v>
      </c>
      <c r="BL40" s="129" t="s">
        <v>160</v>
      </c>
      <c r="BM40" s="129" t="s">
        <v>160</v>
      </c>
      <c r="BN40" s="129" t="s">
        <v>200</v>
      </c>
      <c r="BO40" s="129" t="s">
        <v>201</v>
      </c>
      <c r="BP40" s="141">
        <v>19.442064041486798</v>
      </c>
      <c r="BQ40" s="129" t="s">
        <v>202</v>
      </c>
      <c r="BR40" s="142">
        <f t="shared" si="2"/>
        <v>2.5000000000000001E-2</v>
      </c>
      <c r="BS40" s="129" t="s">
        <v>160</v>
      </c>
      <c r="BT40" s="129" t="s">
        <v>160</v>
      </c>
      <c r="BU40" s="129">
        <v>10</v>
      </c>
      <c r="BV40" s="129" t="s">
        <v>159</v>
      </c>
      <c r="BW40" s="129">
        <v>10</v>
      </c>
      <c r="BX40" s="143">
        <v>24.793983088790835</v>
      </c>
      <c r="BY40" s="129" t="s">
        <v>159</v>
      </c>
      <c r="BZ40" s="129">
        <v>1</v>
      </c>
      <c r="CA40" s="129">
        <v>1</v>
      </c>
      <c r="CB40" s="129" t="s">
        <v>160</v>
      </c>
      <c r="CC40" s="173">
        <v>3.7374577824545367</v>
      </c>
      <c r="CD40" s="129" t="s">
        <v>163</v>
      </c>
      <c r="CE40" s="144">
        <f t="shared" si="4"/>
        <v>0.1009113601262725</v>
      </c>
      <c r="CF40" s="144">
        <f t="shared" si="5"/>
        <v>0.1009113601262725</v>
      </c>
      <c r="CG40" s="145" t="s">
        <v>203</v>
      </c>
      <c r="CH40" s="129" t="s">
        <v>204</v>
      </c>
      <c r="CI40" s="129" t="s">
        <v>205</v>
      </c>
      <c r="CJ40" s="129" t="s">
        <v>206</v>
      </c>
      <c r="CK40" s="129" t="s">
        <v>158</v>
      </c>
      <c r="CL40" s="129" t="s">
        <v>158</v>
      </c>
      <c r="CM40" s="129" t="s">
        <v>158</v>
      </c>
      <c r="CN40" s="129" t="s">
        <v>160</v>
      </c>
      <c r="CO40" s="129" t="s">
        <v>160</v>
      </c>
      <c r="CP40" s="129" t="s">
        <v>160</v>
      </c>
      <c r="CQ40" s="129" t="s">
        <v>160</v>
      </c>
      <c r="CR40" s="129" t="s">
        <v>160</v>
      </c>
      <c r="CS40" s="129" t="s">
        <v>160</v>
      </c>
      <c r="CT40" s="129" t="s">
        <v>160</v>
      </c>
      <c r="CU40" s="129">
        <v>36.83</v>
      </c>
      <c r="CV40" s="129" t="s">
        <v>159</v>
      </c>
      <c r="CW40" s="146">
        <v>1</v>
      </c>
      <c r="CX40" s="129" t="s">
        <v>207</v>
      </c>
      <c r="CY40" s="129">
        <v>1.1598102454299999E-2</v>
      </c>
      <c r="CZ40" s="129" t="s">
        <v>159</v>
      </c>
      <c r="DA40" s="146">
        <v>2.5000000000000001E-3</v>
      </c>
      <c r="DB40" s="129" t="s">
        <v>208</v>
      </c>
      <c r="DC40" s="129">
        <v>5.17838920917E-2</v>
      </c>
      <c r="DD40" s="129" t="s">
        <v>159</v>
      </c>
      <c r="DE40" s="146">
        <v>2.5000000000000001E-3</v>
      </c>
      <c r="DF40" s="129" t="s">
        <v>209</v>
      </c>
      <c r="DG40" s="129" t="s">
        <v>160</v>
      </c>
      <c r="DH40" s="129" t="s">
        <v>160</v>
      </c>
      <c r="DI40" s="129" t="s">
        <v>160</v>
      </c>
      <c r="DJ40" s="129" t="s">
        <v>160</v>
      </c>
      <c r="DK40" s="145">
        <v>424.29</v>
      </c>
      <c r="DL40" s="129" t="s">
        <v>159</v>
      </c>
      <c r="DM40" s="145" t="s">
        <v>160</v>
      </c>
      <c r="DN40" s="129" t="s">
        <v>210</v>
      </c>
      <c r="DO40" s="129">
        <v>39.822890000000001</v>
      </c>
      <c r="DP40" s="129" t="s">
        <v>160</v>
      </c>
      <c r="DQ40" s="129">
        <v>0.58899999999999864</v>
      </c>
      <c r="DR40" s="129" t="s">
        <v>211</v>
      </c>
      <c r="DS40" s="129" t="s">
        <v>212</v>
      </c>
      <c r="DT40" s="129" t="s">
        <v>213</v>
      </c>
      <c r="DU40" s="129">
        <v>1.0271999999999999</v>
      </c>
      <c r="DV40" s="129" t="s">
        <v>214</v>
      </c>
      <c r="DW40" s="129" t="s">
        <v>214</v>
      </c>
      <c r="DX40" s="129" t="s">
        <v>215</v>
      </c>
      <c r="DY40" s="129" t="s">
        <v>160</v>
      </c>
      <c r="DZ40" s="129" t="s">
        <v>164</v>
      </c>
      <c r="EA40" s="129" t="s">
        <v>216</v>
      </c>
      <c r="EB40" s="129" t="s">
        <v>212</v>
      </c>
      <c r="EC40" s="129" t="s">
        <v>212</v>
      </c>
      <c r="ED40" s="129" t="s">
        <v>212</v>
      </c>
      <c r="EE40" s="129" t="s">
        <v>217</v>
      </c>
      <c r="EF40" s="147" t="s">
        <v>213</v>
      </c>
      <c r="EG40" s="148" t="s">
        <v>213</v>
      </c>
      <c r="EH40" s="129" t="s">
        <v>218</v>
      </c>
      <c r="EI40" s="129" t="s">
        <v>219</v>
      </c>
      <c r="EJ40" s="129" t="s">
        <v>160</v>
      </c>
      <c r="EK40" s="149">
        <v>1889.4259999999999</v>
      </c>
      <c r="EL40" s="129" t="s">
        <v>163</v>
      </c>
      <c r="EM40" s="150">
        <v>500</v>
      </c>
      <c r="EN40" s="150">
        <v>500</v>
      </c>
      <c r="EO40" s="129" t="s">
        <v>160</v>
      </c>
      <c r="EP40" s="129" t="s">
        <v>160</v>
      </c>
      <c r="EQ40" s="129" t="s">
        <v>160</v>
      </c>
      <c r="ER40" s="129" t="s">
        <v>160</v>
      </c>
      <c r="ES40" s="151">
        <v>8.1344740000000009</v>
      </c>
      <c r="ET40" s="142" t="s">
        <v>165</v>
      </c>
      <c r="EU40" s="141">
        <v>5.7153999999998817E-2</v>
      </c>
      <c r="EV40" s="141">
        <v>5.7669000000000636E-2</v>
      </c>
      <c r="EW40" s="142" t="s">
        <v>160</v>
      </c>
      <c r="EX40" s="129" t="s">
        <v>160</v>
      </c>
      <c r="EY40" s="129" t="s">
        <v>160</v>
      </c>
      <c r="EZ40" s="149">
        <v>312.2629</v>
      </c>
      <c r="FA40" s="150">
        <v>99.252900000000011</v>
      </c>
      <c r="FB40" s="150">
        <v>85.887900000000002</v>
      </c>
      <c r="FC40" s="129" t="s">
        <v>220</v>
      </c>
      <c r="FD40" s="129" t="s">
        <v>221</v>
      </c>
      <c r="FE40" s="150">
        <v>2131.6419999999998</v>
      </c>
      <c r="FF40" s="150">
        <v>508.92500000000018</v>
      </c>
      <c r="FG40" s="150">
        <v>504.5809999999999</v>
      </c>
      <c r="FH40" s="129" t="s">
        <v>160</v>
      </c>
      <c r="FI40" s="129" t="s">
        <v>160</v>
      </c>
      <c r="FJ40" s="129" t="s">
        <v>160</v>
      </c>
      <c r="FK40" s="129" t="s">
        <v>160</v>
      </c>
      <c r="FL40" s="129" t="s">
        <v>160</v>
      </c>
      <c r="FM40" s="129" t="s">
        <v>160</v>
      </c>
      <c r="FN40" s="151">
        <v>4.904458</v>
      </c>
      <c r="FO40" s="141">
        <v>2.8183280000000002</v>
      </c>
      <c r="FP40" s="141">
        <v>2.1793990000000001</v>
      </c>
      <c r="FQ40" s="129" t="s">
        <v>414</v>
      </c>
      <c r="FR40" s="176" t="s">
        <v>160</v>
      </c>
    </row>
    <row r="41" spans="1:176" s="129" customFormat="1" ht="17">
      <c r="A41" s="165" t="s">
        <v>152</v>
      </c>
      <c r="B41" s="166" t="s">
        <v>183</v>
      </c>
      <c r="C41" s="166">
        <v>2018</v>
      </c>
      <c r="D41" s="166" t="s">
        <v>184</v>
      </c>
      <c r="E41" s="177">
        <v>6540</v>
      </c>
      <c r="F41" s="167" t="str">
        <f t="shared" si="6"/>
        <v>NA</v>
      </c>
      <c r="G41" s="167" t="str">
        <f t="shared" si="6"/>
        <v>NA</v>
      </c>
      <c r="H41" s="168">
        <f t="shared" si="3"/>
        <v>382.20799999999997</v>
      </c>
      <c r="I41" s="130">
        <f t="shared" si="3"/>
        <v>122.51999999999998</v>
      </c>
      <c r="J41" s="130">
        <f t="shared" si="3"/>
        <v>108.32869999999997</v>
      </c>
      <c r="K41" s="129" t="s">
        <v>457</v>
      </c>
      <c r="L41" s="131" t="s">
        <v>185</v>
      </c>
      <c r="M41" s="132" t="s">
        <v>186</v>
      </c>
      <c r="N41" s="129" t="s">
        <v>184</v>
      </c>
      <c r="O41" s="133">
        <v>1000</v>
      </c>
      <c r="P41" s="129" t="s">
        <v>156</v>
      </c>
      <c r="Q41" s="133">
        <v>24</v>
      </c>
      <c r="R41" s="133">
        <v>3</v>
      </c>
      <c r="S41" s="133">
        <v>26</v>
      </c>
      <c r="T41" s="133">
        <v>3</v>
      </c>
      <c r="U41" s="129" t="s">
        <v>160</v>
      </c>
      <c r="V41" s="171">
        <v>215.79</v>
      </c>
      <c r="W41" s="129" t="s">
        <v>160</v>
      </c>
      <c r="X41" s="129" t="s">
        <v>310</v>
      </c>
      <c r="Y41" s="129">
        <v>16.553000000000001</v>
      </c>
      <c r="Z41" s="129">
        <v>-79.867000000000004</v>
      </c>
      <c r="AA41" s="136" t="s">
        <v>160</v>
      </c>
      <c r="AB41" s="136" t="s">
        <v>160</v>
      </c>
      <c r="AC41" s="129">
        <v>927</v>
      </c>
      <c r="AD41" s="136" t="s">
        <v>160</v>
      </c>
      <c r="AE41" s="136" t="s">
        <v>160</v>
      </c>
      <c r="AF41" s="129" t="s">
        <v>160</v>
      </c>
      <c r="AG41" s="173">
        <v>6540</v>
      </c>
      <c r="AH41" s="138" t="s">
        <v>160</v>
      </c>
      <c r="AI41" s="129" t="s">
        <v>160</v>
      </c>
      <c r="AJ41" s="138" t="s">
        <v>160</v>
      </c>
      <c r="AK41" s="129" t="s">
        <v>237</v>
      </c>
      <c r="AL41" s="129" t="s">
        <v>311</v>
      </c>
      <c r="AM41" s="139" t="s">
        <v>312</v>
      </c>
      <c r="AN41" s="129" t="s">
        <v>160</v>
      </c>
      <c r="AO41" s="129" t="s">
        <v>160</v>
      </c>
      <c r="AP41" s="129" t="s">
        <v>160</v>
      </c>
      <c r="AQ41" s="129" t="s">
        <v>160</v>
      </c>
      <c r="AR41" s="129" t="s">
        <v>160</v>
      </c>
      <c r="AS41" s="129" t="s">
        <v>160</v>
      </c>
      <c r="AT41" s="129" t="s">
        <v>160</v>
      </c>
      <c r="AU41" s="129" t="s">
        <v>191</v>
      </c>
      <c r="AV41" s="129" t="s">
        <v>161</v>
      </c>
      <c r="AW41" s="129" t="s">
        <v>192</v>
      </c>
      <c r="AX41" s="129" t="s">
        <v>193</v>
      </c>
      <c r="AY41" s="129" t="s">
        <v>194</v>
      </c>
      <c r="AZ41" s="129" t="s">
        <v>195</v>
      </c>
      <c r="BA41" s="129" t="s">
        <v>196</v>
      </c>
      <c r="BB41" s="129" t="s">
        <v>160</v>
      </c>
      <c r="BC41" s="140">
        <v>2</v>
      </c>
      <c r="BD41" s="129" t="s">
        <v>160</v>
      </c>
      <c r="BE41" s="173">
        <v>17.8584050026539</v>
      </c>
      <c r="BF41" s="129" t="s">
        <v>199</v>
      </c>
      <c r="BG41" s="173">
        <v>2.5000000000000001E-2</v>
      </c>
      <c r="BH41" s="129">
        <v>0.83299999999999996</v>
      </c>
      <c r="BI41" s="129" t="s">
        <v>160</v>
      </c>
      <c r="BJ41" s="138" t="s">
        <v>160</v>
      </c>
      <c r="BK41" s="129">
        <v>2.69</v>
      </c>
      <c r="BL41" s="129" t="s">
        <v>160</v>
      </c>
      <c r="BM41" s="129" t="s">
        <v>160</v>
      </c>
      <c r="BN41" s="129" t="s">
        <v>200</v>
      </c>
      <c r="BO41" s="129" t="s">
        <v>201</v>
      </c>
      <c r="BP41" s="141">
        <v>18.209369751085116</v>
      </c>
      <c r="BQ41" s="129" t="s">
        <v>202</v>
      </c>
      <c r="BR41" s="142">
        <f t="shared" si="2"/>
        <v>2.5000000000000001E-2</v>
      </c>
      <c r="BS41" s="129" t="s">
        <v>160</v>
      </c>
      <c r="BT41" s="129" t="s">
        <v>160</v>
      </c>
      <c r="BU41" s="129">
        <v>10</v>
      </c>
      <c r="BV41" s="129" t="s">
        <v>159</v>
      </c>
      <c r="BW41" s="129">
        <v>10</v>
      </c>
      <c r="BX41" s="143">
        <v>24.735426918554925</v>
      </c>
      <c r="BY41" s="129" t="s">
        <v>159</v>
      </c>
      <c r="BZ41" s="129">
        <v>1</v>
      </c>
      <c r="CA41" s="129">
        <v>1</v>
      </c>
      <c r="CB41" s="129" t="s">
        <v>160</v>
      </c>
      <c r="CC41" s="173">
        <v>3.7462350962629007</v>
      </c>
      <c r="CD41" s="129" t="s">
        <v>163</v>
      </c>
      <c r="CE41" s="144">
        <f t="shared" si="4"/>
        <v>0.10114834759909831</v>
      </c>
      <c r="CF41" s="144">
        <f t="shared" si="5"/>
        <v>0.10114834759909831</v>
      </c>
      <c r="CG41" s="145" t="s">
        <v>203</v>
      </c>
      <c r="CH41" s="129" t="s">
        <v>204</v>
      </c>
      <c r="CI41" s="129" t="s">
        <v>205</v>
      </c>
      <c r="CJ41" s="129" t="s">
        <v>206</v>
      </c>
      <c r="CK41" s="129" t="s">
        <v>158</v>
      </c>
      <c r="CL41" s="129" t="s">
        <v>158</v>
      </c>
      <c r="CM41" s="129" t="s">
        <v>158</v>
      </c>
      <c r="CN41" s="129" t="s">
        <v>160</v>
      </c>
      <c r="CO41" s="129" t="s">
        <v>160</v>
      </c>
      <c r="CP41" s="129" t="s">
        <v>160</v>
      </c>
      <c r="CQ41" s="129" t="s">
        <v>160</v>
      </c>
      <c r="CR41" s="129" t="s">
        <v>160</v>
      </c>
      <c r="CS41" s="129" t="s">
        <v>160</v>
      </c>
      <c r="CT41" s="129" t="s">
        <v>160</v>
      </c>
      <c r="CU41" s="129">
        <v>36.83</v>
      </c>
      <c r="CV41" s="129" t="s">
        <v>159</v>
      </c>
      <c r="CW41" s="146">
        <v>1</v>
      </c>
      <c r="CX41" s="129" t="s">
        <v>207</v>
      </c>
      <c r="CY41" s="129">
        <v>1.17234175543E-2</v>
      </c>
      <c r="CZ41" s="129" t="s">
        <v>159</v>
      </c>
      <c r="DA41" s="146">
        <v>2.5000000000000001E-3</v>
      </c>
      <c r="DB41" s="129" t="s">
        <v>208</v>
      </c>
      <c r="DC41" s="129">
        <v>5.1380098991699999E-2</v>
      </c>
      <c r="DD41" s="129" t="s">
        <v>159</v>
      </c>
      <c r="DE41" s="146">
        <v>2.5000000000000001E-3</v>
      </c>
      <c r="DF41" s="129" t="s">
        <v>209</v>
      </c>
      <c r="DG41" s="129" t="s">
        <v>160</v>
      </c>
      <c r="DH41" s="129" t="s">
        <v>160</v>
      </c>
      <c r="DI41" s="129" t="s">
        <v>160</v>
      </c>
      <c r="DJ41" s="129" t="s">
        <v>160</v>
      </c>
      <c r="DK41" s="145">
        <v>424.29</v>
      </c>
      <c r="DL41" s="129" t="s">
        <v>159</v>
      </c>
      <c r="DM41" s="145" t="s">
        <v>160</v>
      </c>
      <c r="DN41" s="129" t="s">
        <v>210</v>
      </c>
      <c r="DO41" s="129">
        <v>39.572029999999998</v>
      </c>
      <c r="DP41" s="129" t="s">
        <v>160</v>
      </c>
      <c r="DQ41" s="129">
        <v>0.61328499999999764</v>
      </c>
      <c r="DR41" s="129" t="s">
        <v>211</v>
      </c>
      <c r="DS41" s="129" t="s">
        <v>212</v>
      </c>
      <c r="DT41" s="129" t="s">
        <v>213</v>
      </c>
      <c r="DU41" s="129">
        <v>1.0271999999999999</v>
      </c>
      <c r="DV41" s="129" t="s">
        <v>214</v>
      </c>
      <c r="DW41" s="129" t="s">
        <v>214</v>
      </c>
      <c r="DX41" s="129" t="s">
        <v>215</v>
      </c>
      <c r="DY41" s="129" t="s">
        <v>160</v>
      </c>
      <c r="DZ41" s="129" t="s">
        <v>164</v>
      </c>
      <c r="EA41" s="129" t="s">
        <v>216</v>
      </c>
      <c r="EB41" s="129" t="s">
        <v>212</v>
      </c>
      <c r="EC41" s="129" t="s">
        <v>212</v>
      </c>
      <c r="ED41" s="129" t="s">
        <v>212</v>
      </c>
      <c r="EE41" s="129" t="s">
        <v>217</v>
      </c>
      <c r="EF41" s="147" t="s">
        <v>213</v>
      </c>
      <c r="EG41" s="148" t="s">
        <v>213</v>
      </c>
      <c r="EH41" s="129" t="s">
        <v>218</v>
      </c>
      <c r="EI41" s="129" t="s">
        <v>219</v>
      </c>
      <c r="EJ41" s="129" t="s">
        <v>160</v>
      </c>
      <c r="EK41" s="149">
        <v>1875.7179999999998</v>
      </c>
      <c r="EL41" s="129" t="s">
        <v>163</v>
      </c>
      <c r="EM41" s="150">
        <v>500</v>
      </c>
      <c r="EN41" s="150">
        <v>500</v>
      </c>
      <c r="EO41" s="129" t="s">
        <v>160</v>
      </c>
      <c r="EP41" s="129" t="s">
        <v>160</v>
      </c>
      <c r="EQ41" s="129" t="s">
        <v>160</v>
      </c>
      <c r="ER41" s="129" t="s">
        <v>160</v>
      </c>
      <c r="ES41" s="151">
        <v>8.0478819999999995</v>
      </c>
      <c r="ET41" s="142" t="s">
        <v>165</v>
      </c>
      <c r="EU41" s="141">
        <v>6.3726000000000838E-2</v>
      </c>
      <c r="EV41" s="141">
        <v>6.6403999999999463E-2</v>
      </c>
      <c r="EW41" s="142" t="s">
        <v>160</v>
      </c>
      <c r="EX41" s="129" t="s">
        <v>160</v>
      </c>
      <c r="EY41" s="129" t="s">
        <v>160</v>
      </c>
      <c r="EZ41" s="149">
        <v>382.20799999999997</v>
      </c>
      <c r="FA41" s="150">
        <v>122.51999999999998</v>
      </c>
      <c r="FB41" s="150">
        <v>108.32869999999997</v>
      </c>
      <c r="FC41" s="129" t="s">
        <v>220</v>
      </c>
      <c r="FD41" s="129" t="s">
        <v>221</v>
      </c>
      <c r="FE41" s="150">
        <v>2076.1889999999999</v>
      </c>
      <c r="FF41" s="150">
        <v>512.64300000000048</v>
      </c>
      <c r="FG41" s="150">
        <v>499.61899999999991</v>
      </c>
      <c r="FH41" s="129" t="s">
        <v>160</v>
      </c>
      <c r="FI41" s="129" t="s">
        <v>160</v>
      </c>
      <c r="FJ41" s="129" t="s">
        <v>160</v>
      </c>
      <c r="FK41" s="129" t="s">
        <v>160</v>
      </c>
      <c r="FL41" s="129" t="s">
        <v>160</v>
      </c>
      <c r="FM41" s="129" t="s">
        <v>160</v>
      </c>
      <c r="FN41" s="151">
        <v>4.0968600000000004</v>
      </c>
      <c r="FO41" s="141">
        <v>2.3650229999999999</v>
      </c>
      <c r="FP41" s="141">
        <v>1.8796140000000006</v>
      </c>
      <c r="FQ41" s="129" t="s">
        <v>414</v>
      </c>
      <c r="FR41" s="176" t="s">
        <v>160</v>
      </c>
    </row>
    <row r="42" spans="1:176" s="129" customFormat="1" ht="17">
      <c r="A42" s="165" t="s">
        <v>152</v>
      </c>
      <c r="B42" s="166" t="s">
        <v>183</v>
      </c>
      <c r="C42" s="166">
        <v>2018</v>
      </c>
      <c r="D42" s="166" t="s">
        <v>184</v>
      </c>
      <c r="E42" s="177">
        <v>7000</v>
      </c>
      <c r="F42" s="167" t="str">
        <f t="shared" si="6"/>
        <v>NA</v>
      </c>
      <c r="G42" s="167" t="str">
        <f t="shared" si="6"/>
        <v>NA</v>
      </c>
      <c r="H42" s="168">
        <f t="shared" si="3"/>
        <v>420.68209999999999</v>
      </c>
      <c r="I42" s="130">
        <f t="shared" si="3"/>
        <v>136.13170000000002</v>
      </c>
      <c r="J42" s="130">
        <f t="shared" si="3"/>
        <v>115.34320000000002</v>
      </c>
      <c r="K42" s="129" t="s">
        <v>457</v>
      </c>
      <c r="L42" s="131" t="s">
        <v>185</v>
      </c>
      <c r="M42" s="132" t="s">
        <v>186</v>
      </c>
      <c r="N42" s="129" t="s">
        <v>184</v>
      </c>
      <c r="O42" s="133">
        <v>1000</v>
      </c>
      <c r="P42" s="129" t="s">
        <v>156</v>
      </c>
      <c r="Q42" s="133">
        <v>26</v>
      </c>
      <c r="R42" s="133">
        <v>3</v>
      </c>
      <c r="S42" s="133">
        <v>69</v>
      </c>
      <c r="T42" s="133">
        <v>71</v>
      </c>
      <c r="U42" s="129" t="s">
        <v>160</v>
      </c>
      <c r="V42" s="171">
        <v>234.99</v>
      </c>
      <c r="W42" s="129" t="s">
        <v>160</v>
      </c>
      <c r="X42" s="129" t="s">
        <v>310</v>
      </c>
      <c r="Y42" s="129">
        <v>16.553000000000001</v>
      </c>
      <c r="Z42" s="129">
        <v>-79.867000000000004</v>
      </c>
      <c r="AA42" s="136" t="s">
        <v>160</v>
      </c>
      <c r="AB42" s="136" t="s">
        <v>160</v>
      </c>
      <c r="AC42" s="129">
        <v>927</v>
      </c>
      <c r="AD42" s="136" t="s">
        <v>160</v>
      </c>
      <c r="AE42" s="136" t="s">
        <v>160</v>
      </c>
      <c r="AF42" s="129" t="s">
        <v>160</v>
      </c>
      <c r="AG42" s="173">
        <v>7000</v>
      </c>
      <c r="AH42" s="138" t="s">
        <v>160</v>
      </c>
      <c r="AI42" s="129" t="s">
        <v>160</v>
      </c>
      <c r="AJ42" s="138" t="s">
        <v>160</v>
      </c>
      <c r="AK42" s="129" t="s">
        <v>237</v>
      </c>
      <c r="AL42" s="129" t="s">
        <v>311</v>
      </c>
      <c r="AM42" s="139" t="s">
        <v>312</v>
      </c>
      <c r="AN42" s="129" t="s">
        <v>160</v>
      </c>
      <c r="AO42" s="129" t="s">
        <v>160</v>
      </c>
      <c r="AP42" s="129" t="s">
        <v>160</v>
      </c>
      <c r="AQ42" s="129" t="s">
        <v>160</v>
      </c>
      <c r="AR42" s="129" t="s">
        <v>160</v>
      </c>
      <c r="AS42" s="129" t="s">
        <v>160</v>
      </c>
      <c r="AT42" s="129" t="s">
        <v>160</v>
      </c>
      <c r="AU42" s="129" t="s">
        <v>191</v>
      </c>
      <c r="AV42" s="129" t="s">
        <v>161</v>
      </c>
      <c r="AW42" s="129" t="s">
        <v>192</v>
      </c>
      <c r="AX42" s="129" t="s">
        <v>193</v>
      </c>
      <c r="AY42" s="129" t="s">
        <v>194</v>
      </c>
      <c r="AZ42" s="129" t="s">
        <v>195</v>
      </c>
      <c r="BA42" s="129" t="s">
        <v>196</v>
      </c>
      <c r="BB42" s="129" t="s">
        <v>160</v>
      </c>
      <c r="BC42" s="140">
        <v>2</v>
      </c>
      <c r="BD42" s="129" t="s">
        <v>160</v>
      </c>
      <c r="BE42" s="173">
        <v>17.758537516373242</v>
      </c>
      <c r="BF42" s="129" t="s">
        <v>199</v>
      </c>
      <c r="BG42" s="173">
        <v>2.5000000000000001E-2</v>
      </c>
      <c r="BH42" s="129">
        <v>0.83299999999999996</v>
      </c>
      <c r="BI42" s="129" t="s">
        <v>160</v>
      </c>
      <c r="BJ42" s="138" t="s">
        <v>160</v>
      </c>
      <c r="BK42" s="129">
        <v>2.69</v>
      </c>
      <c r="BL42" s="129" t="s">
        <v>160</v>
      </c>
      <c r="BM42" s="129" t="s">
        <v>160</v>
      </c>
      <c r="BN42" s="129" t="s">
        <v>200</v>
      </c>
      <c r="BO42" s="129" t="s">
        <v>201</v>
      </c>
      <c r="BP42" s="141">
        <v>18.089480811972681</v>
      </c>
      <c r="BQ42" s="129" t="s">
        <v>202</v>
      </c>
      <c r="BR42" s="142">
        <f t="shared" si="2"/>
        <v>2.5000000000000001E-2</v>
      </c>
      <c r="BS42" s="129" t="s">
        <v>160</v>
      </c>
      <c r="BT42" s="129" t="s">
        <v>160</v>
      </c>
      <c r="BU42" s="129">
        <v>10</v>
      </c>
      <c r="BV42" s="129" t="s">
        <v>159</v>
      </c>
      <c r="BW42" s="129">
        <v>10</v>
      </c>
      <c r="BX42" s="143">
        <v>28.055392186762099</v>
      </c>
      <c r="BY42" s="129" t="s">
        <v>159</v>
      </c>
      <c r="BZ42" s="129">
        <v>1</v>
      </c>
      <c r="CA42" s="129">
        <v>1</v>
      </c>
      <c r="CB42" s="129" t="s">
        <v>160</v>
      </c>
      <c r="CC42" s="173">
        <v>5.0754284539319956</v>
      </c>
      <c r="CD42" s="129" t="s">
        <v>163</v>
      </c>
      <c r="CE42" s="144">
        <f t="shared" si="4"/>
        <v>0.13703656825616389</v>
      </c>
      <c r="CF42" s="144">
        <f t="shared" si="5"/>
        <v>0.13703656825616389</v>
      </c>
      <c r="CG42" s="145" t="s">
        <v>203</v>
      </c>
      <c r="CH42" s="129" t="s">
        <v>204</v>
      </c>
      <c r="CI42" s="129" t="s">
        <v>205</v>
      </c>
      <c r="CJ42" s="129" t="s">
        <v>206</v>
      </c>
      <c r="CK42" s="129" t="s">
        <v>158</v>
      </c>
      <c r="CL42" s="129" t="s">
        <v>158</v>
      </c>
      <c r="CM42" s="129" t="s">
        <v>158</v>
      </c>
      <c r="CN42" s="129" t="s">
        <v>160</v>
      </c>
      <c r="CO42" s="129" t="s">
        <v>160</v>
      </c>
      <c r="CP42" s="129" t="s">
        <v>160</v>
      </c>
      <c r="CQ42" s="129" t="s">
        <v>160</v>
      </c>
      <c r="CR42" s="129" t="s">
        <v>160</v>
      </c>
      <c r="CS42" s="129" t="s">
        <v>160</v>
      </c>
      <c r="CT42" s="129" t="s">
        <v>160</v>
      </c>
      <c r="CU42" s="129">
        <v>36.83</v>
      </c>
      <c r="CV42" s="129" t="s">
        <v>159</v>
      </c>
      <c r="CW42" s="146">
        <v>1</v>
      </c>
      <c r="CX42" s="129" t="s">
        <v>207</v>
      </c>
      <c r="CY42" s="129">
        <v>1.1803619218299999E-2</v>
      </c>
      <c r="CZ42" s="129" t="s">
        <v>159</v>
      </c>
      <c r="DA42" s="146">
        <v>2.5000000000000001E-3</v>
      </c>
      <c r="DB42" s="129" t="s">
        <v>208</v>
      </c>
      <c r="DC42" s="129">
        <v>5.1121671407699999E-2</v>
      </c>
      <c r="DD42" s="129" t="s">
        <v>159</v>
      </c>
      <c r="DE42" s="146">
        <v>2.5000000000000001E-3</v>
      </c>
      <c r="DF42" s="129" t="s">
        <v>209</v>
      </c>
      <c r="DG42" s="129" t="s">
        <v>160</v>
      </c>
      <c r="DH42" s="129" t="s">
        <v>160</v>
      </c>
      <c r="DI42" s="129" t="s">
        <v>160</v>
      </c>
      <c r="DJ42" s="129" t="s">
        <v>160</v>
      </c>
      <c r="DK42" s="145">
        <v>424.29</v>
      </c>
      <c r="DL42" s="129" t="s">
        <v>159</v>
      </c>
      <c r="DM42" s="145" t="s">
        <v>160</v>
      </c>
      <c r="DN42" s="129" t="s">
        <v>210</v>
      </c>
      <c r="DO42" s="129">
        <v>39.408230000000003</v>
      </c>
      <c r="DP42" s="129" t="s">
        <v>160</v>
      </c>
      <c r="DQ42" s="129">
        <v>0.62547999999999959</v>
      </c>
      <c r="DR42" s="129" t="s">
        <v>211</v>
      </c>
      <c r="DS42" s="129" t="s">
        <v>212</v>
      </c>
      <c r="DT42" s="129" t="s">
        <v>213</v>
      </c>
      <c r="DU42" s="129">
        <v>1.0271999999999999</v>
      </c>
      <c r="DV42" s="129" t="s">
        <v>214</v>
      </c>
      <c r="DW42" s="129" t="s">
        <v>214</v>
      </c>
      <c r="DX42" s="129" t="s">
        <v>215</v>
      </c>
      <c r="DY42" s="129" t="s">
        <v>160</v>
      </c>
      <c r="DZ42" s="129" t="s">
        <v>164</v>
      </c>
      <c r="EA42" s="129" t="s">
        <v>216</v>
      </c>
      <c r="EB42" s="129" t="s">
        <v>212</v>
      </c>
      <c r="EC42" s="129" t="s">
        <v>212</v>
      </c>
      <c r="ED42" s="129" t="s">
        <v>212</v>
      </c>
      <c r="EE42" s="129" t="s">
        <v>217</v>
      </c>
      <c r="EF42" s="147" t="s">
        <v>213</v>
      </c>
      <c r="EG42" s="148" t="s">
        <v>213</v>
      </c>
      <c r="EH42" s="129" t="s">
        <v>218</v>
      </c>
      <c r="EI42" s="129" t="s">
        <v>219</v>
      </c>
      <c r="EJ42" s="129" t="s">
        <v>160</v>
      </c>
      <c r="EK42" s="149">
        <v>1869.5330000000001</v>
      </c>
      <c r="EL42" s="129" t="s">
        <v>163</v>
      </c>
      <c r="EM42" s="150">
        <v>500</v>
      </c>
      <c r="EN42" s="150">
        <v>500</v>
      </c>
      <c r="EO42" s="129" t="s">
        <v>160</v>
      </c>
      <c r="EP42" s="129" t="s">
        <v>160</v>
      </c>
      <c r="EQ42" s="129" t="s">
        <v>160</v>
      </c>
      <c r="ER42" s="129" t="s">
        <v>160</v>
      </c>
      <c r="ES42" s="151">
        <v>8.0126120000000007</v>
      </c>
      <c r="ET42" s="142" t="s">
        <v>165</v>
      </c>
      <c r="EU42" s="141">
        <v>6.1607999999999663E-2</v>
      </c>
      <c r="EV42" s="141">
        <v>6.6515000000000768E-2</v>
      </c>
      <c r="EW42" s="142" t="s">
        <v>160</v>
      </c>
      <c r="EX42" s="129" t="s">
        <v>160</v>
      </c>
      <c r="EY42" s="129" t="s">
        <v>160</v>
      </c>
      <c r="EZ42" s="149">
        <v>420.68209999999999</v>
      </c>
      <c r="FA42" s="150">
        <v>136.13170000000002</v>
      </c>
      <c r="FB42" s="150">
        <v>115.34320000000002</v>
      </c>
      <c r="FC42" s="129" t="s">
        <v>220</v>
      </c>
      <c r="FD42" s="129" t="s">
        <v>221</v>
      </c>
      <c r="FE42" s="150">
        <v>2074.7559999999999</v>
      </c>
      <c r="FF42" s="150">
        <v>494.50500000000056</v>
      </c>
      <c r="FG42" s="150">
        <v>497.76699999999983</v>
      </c>
      <c r="FH42" s="129" t="s">
        <v>160</v>
      </c>
      <c r="FI42" s="129" t="s">
        <v>160</v>
      </c>
      <c r="FJ42" s="129" t="s">
        <v>160</v>
      </c>
      <c r="FK42" s="129" t="s">
        <v>160</v>
      </c>
      <c r="FL42" s="129" t="s">
        <v>160</v>
      </c>
      <c r="FM42" s="129" t="s">
        <v>160</v>
      </c>
      <c r="FN42" s="151">
        <v>4.3714040000000001</v>
      </c>
      <c r="FO42" s="141">
        <v>2.4851900000000002</v>
      </c>
      <c r="FP42" s="141">
        <v>2.0106839999999999</v>
      </c>
      <c r="FQ42" s="129" t="s">
        <v>414</v>
      </c>
      <c r="FR42" s="176" t="s">
        <v>160</v>
      </c>
    </row>
    <row r="43" spans="1:176" s="129" customFormat="1" ht="17">
      <c r="A43" s="165" t="s">
        <v>152</v>
      </c>
      <c r="B43" s="166" t="s">
        <v>183</v>
      </c>
      <c r="C43" s="166">
        <v>2018</v>
      </c>
      <c r="D43" s="166" t="s">
        <v>184</v>
      </c>
      <c r="E43" s="177">
        <v>8450</v>
      </c>
      <c r="F43" s="167" t="str">
        <f t="shared" si="6"/>
        <v>NA</v>
      </c>
      <c r="G43" s="167" t="str">
        <f t="shared" si="6"/>
        <v>NA</v>
      </c>
      <c r="H43" s="168">
        <f t="shared" si="3"/>
        <v>402.55260000000004</v>
      </c>
      <c r="I43" s="130">
        <f t="shared" si="3"/>
        <v>140.88549999999992</v>
      </c>
      <c r="J43" s="130">
        <f t="shared" si="3"/>
        <v>116.78820000000002</v>
      </c>
      <c r="K43" s="129" t="s">
        <v>457</v>
      </c>
      <c r="L43" s="131" t="s">
        <v>185</v>
      </c>
      <c r="M43" s="132" t="s">
        <v>186</v>
      </c>
      <c r="N43" s="129" t="s">
        <v>184</v>
      </c>
      <c r="O43" s="133">
        <v>1000</v>
      </c>
      <c r="P43" s="129" t="s">
        <v>156</v>
      </c>
      <c r="Q43" s="134">
        <v>32</v>
      </c>
      <c r="R43" s="134">
        <v>3</v>
      </c>
      <c r="S43" s="134">
        <v>121</v>
      </c>
      <c r="T43" s="134">
        <v>123</v>
      </c>
      <c r="U43" s="129" t="s">
        <v>160</v>
      </c>
      <c r="V43" s="135">
        <v>292.67</v>
      </c>
      <c r="W43" s="129" t="s">
        <v>160</v>
      </c>
      <c r="X43" s="129" t="s">
        <v>310</v>
      </c>
      <c r="Y43" s="129">
        <v>16.553000000000001</v>
      </c>
      <c r="Z43" s="129">
        <v>-79.867000000000004</v>
      </c>
      <c r="AA43" s="136" t="s">
        <v>160</v>
      </c>
      <c r="AB43" s="136" t="s">
        <v>160</v>
      </c>
      <c r="AC43" s="129">
        <v>927</v>
      </c>
      <c r="AD43" s="136" t="s">
        <v>160</v>
      </c>
      <c r="AE43" s="136" t="s">
        <v>160</v>
      </c>
      <c r="AF43" s="129" t="s">
        <v>160</v>
      </c>
      <c r="AG43" s="137">
        <v>8450</v>
      </c>
      <c r="AH43" s="138" t="s">
        <v>160</v>
      </c>
      <c r="AI43" s="129" t="s">
        <v>160</v>
      </c>
      <c r="AJ43" s="138" t="s">
        <v>160</v>
      </c>
      <c r="AK43" s="129" t="s">
        <v>237</v>
      </c>
      <c r="AL43" s="129" t="s">
        <v>311</v>
      </c>
      <c r="AM43" s="139" t="s">
        <v>312</v>
      </c>
      <c r="AN43" s="129" t="s">
        <v>160</v>
      </c>
      <c r="AO43" s="129" t="s">
        <v>160</v>
      </c>
      <c r="AP43" s="129" t="s">
        <v>160</v>
      </c>
      <c r="AQ43" s="129" t="s">
        <v>160</v>
      </c>
      <c r="AR43" s="129" t="s">
        <v>160</v>
      </c>
      <c r="AS43" s="129" t="s">
        <v>160</v>
      </c>
      <c r="AT43" s="129" t="s">
        <v>160</v>
      </c>
      <c r="AU43" s="129" t="s">
        <v>191</v>
      </c>
      <c r="AV43" s="129" t="s">
        <v>161</v>
      </c>
      <c r="AW43" s="129" t="s">
        <v>192</v>
      </c>
      <c r="AX43" s="129" t="s">
        <v>193</v>
      </c>
      <c r="AY43" s="129" t="s">
        <v>194</v>
      </c>
      <c r="AZ43" s="129" t="s">
        <v>195</v>
      </c>
      <c r="BA43" s="129" t="s">
        <v>196</v>
      </c>
      <c r="BB43" s="129" t="s">
        <v>160</v>
      </c>
      <c r="BC43" s="140">
        <v>2</v>
      </c>
      <c r="BD43" s="129" t="s">
        <v>160</v>
      </c>
      <c r="BE43" s="137">
        <v>17.168626848497293</v>
      </c>
      <c r="BF43" s="129" t="s">
        <v>199</v>
      </c>
      <c r="BG43" s="137">
        <v>2.5000000000000001E-2</v>
      </c>
      <c r="BH43" s="129">
        <v>0.83299999999999996</v>
      </c>
      <c r="BI43" s="129" t="s">
        <v>160</v>
      </c>
      <c r="BJ43" s="138" t="s">
        <v>160</v>
      </c>
      <c r="BK43" s="129">
        <v>2.69</v>
      </c>
      <c r="BL43" s="129" t="s">
        <v>160</v>
      </c>
      <c r="BM43" s="129" t="s">
        <v>160</v>
      </c>
      <c r="BN43" s="129" t="s">
        <v>200</v>
      </c>
      <c r="BO43" s="129" t="s">
        <v>201</v>
      </c>
      <c r="BP43" s="141">
        <v>17.381304740092791</v>
      </c>
      <c r="BQ43" s="129" t="s">
        <v>202</v>
      </c>
      <c r="BR43" s="142">
        <f t="shared" si="2"/>
        <v>2.5000000000000001E-2</v>
      </c>
      <c r="BS43" s="129" t="s">
        <v>160</v>
      </c>
      <c r="BT43" s="129" t="s">
        <v>160</v>
      </c>
      <c r="BU43" s="129">
        <v>10</v>
      </c>
      <c r="BV43" s="129" t="s">
        <v>159</v>
      </c>
      <c r="BW43" s="129">
        <v>10</v>
      </c>
      <c r="BX43" s="143">
        <v>25.164801783809963</v>
      </c>
      <c r="BY43" s="129" t="s">
        <v>159</v>
      </c>
      <c r="BZ43" s="129">
        <v>1</v>
      </c>
      <c r="CA43" s="129">
        <v>1</v>
      </c>
      <c r="CB43" s="129" t="s">
        <v>160</v>
      </c>
      <c r="CC43" s="137">
        <v>3.9719694964191459</v>
      </c>
      <c r="CD43" s="129" t="s">
        <v>163</v>
      </c>
      <c r="CE43" s="144">
        <f t="shared" si="4"/>
        <v>0.10724317640331693</v>
      </c>
      <c r="CF43" s="144">
        <f t="shared" si="5"/>
        <v>0.10724317640331693</v>
      </c>
      <c r="CG43" s="145" t="s">
        <v>203</v>
      </c>
      <c r="CH43" s="129" t="s">
        <v>204</v>
      </c>
      <c r="CI43" s="129" t="s">
        <v>205</v>
      </c>
      <c r="CJ43" s="129" t="s">
        <v>206</v>
      </c>
      <c r="CK43" s="129" t="s">
        <v>158</v>
      </c>
      <c r="CL43" s="129" t="s">
        <v>158</v>
      </c>
      <c r="CM43" s="129" t="s">
        <v>158</v>
      </c>
      <c r="CN43" s="129" t="s">
        <v>160</v>
      </c>
      <c r="CO43" s="129" t="s">
        <v>160</v>
      </c>
      <c r="CP43" s="129" t="s">
        <v>160</v>
      </c>
      <c r="CQ43" s="129" t="s">
        <v>160</v>
      </c>
      <c r="CR43" s="129" t="s">
        <v>160</v>
      </c>
      <c r="CS43" s="129" t="s">
        <v>160</v>
      </c>
      <c r="CT43" s="129" t="s">
        <v>160</v>
      </c>
      <c r="CU43" s="129">
        <v>36.83</v>
      </c>
      <c r="CV43" s="129" t="s">
        <v>159</v>
      </c>
      <c r="CW43" s="146">
        <v>1</v>
      </c>
      <c r="CX43" s="129" t="s">
        <v>207</v>
      </c>
      <c r="CY43" s="129">
        <v>1.2051945098799999E-2</v>
      </c>
      <c r="CZ43" s="129" t="s">
        <v>159</v>
      </c>
      <c r="DA43" s="146">
        <v>2.5000000000000001E-3</v>
      </c>
      <c r="DB43" s="129" t="s">
        <v>208</v>
      </c>
      <c r="DC43" s="129">
        <v>5.0321510237200003E-2</v>
      </c>
      <c r="DD43" s="129" t="s">
        <v>159</v>
      </c>
      <c r="DE43" s="146">
        <v>2.5000000000000001E-3</v>
      </c>
      <c r="DF43" s="129" t="s">
        <v>209</v>
      </c>
      <c r="DG43" s="129" t="s">
        <v>160</v>
      </c>
      <c r="DH43" s="129" t="s">
        <v>160</v>
      </c>
      <c r="DI43" s="129" t="s">
        <v>160</v>
      </c>
      <c r="DJ43" s="129" t="s">
        <v>160</v>
      </c>
      <c r="DK43" s="145">
        <v>424.29</v>
      </c>
      <c r="DL43" s="129" t="s">
        <v>159</v>
      </c>
      <c r="DM43" s="145" t="s">
        <v>160</v>
      </c>
      <c r="DN43" s="129" t="s">
        <v>210</v>
      </c>
      <c r="DO43" s="129">
        <v>38.92015</v>
      </c>
      <c r="DP43" s="129" t="s">
        <v>160</v>
      </c>
      <c r="DQ43" s="129">
        <v>0.63968999999999809</v>
      </c>
      <c r="DR43" s="129" t="s">
        <v>211</v>
      </c>
      <c r="DS43" s="129" t="s">
        <v>212</v>
      </c>
      <c r="DT43" s="129" t="s">
        <v>213</v>
      </c>
      <c r="DU43" s="129">
        <v>1.0271999999999999</v>
      </c>
      <c r="DV43" s="129" t="s">
        <v>214</v>
      </c>
      <c r="DW43" s="129" t="s">
        <v>214</v>
      </c>
      <c r="DX43" s="129" t="s">
        <v>215</v>
      </c>
      <c r="DY43" s="129" t="s">
        <v>160</v>
      </c>
      <c r="DZ43" s="129" t="s">
        <v>164</v>
      </c>
      <c r="EA43" s="129" t="s">
        <v>216</v>
      </c>
      <c r="EB43" s="129" t="s">
        <v>212</v>
      </c>
      <c r="EC43" s="129" t="s">
        <v>212</v>
      </c>
      <c r="ED43" s="129" t="s">
        <v>212</v>
      </c>
      <c r="EE43" s="129" t="s">
        <v>217</v>
      </c>
      <c r="EF43" s="147" t="s">
        <v>213</v>
      </c>
      <c r="EG43" s="148" t="s">
        <v>213</v>
      </c>
      <c r="EH43" s="129" t="s">
        <v>218</v>
      </c>
      <c r="EI43" s="129" t="s">
        <v>219</v>
      </c>
      <c r="EJ43" s="129" t="s">
        <v>160</v>
      </c>
      <c r="EK43" s="149">
        <v>1843.6759999999999</v>
      </c>
      <c r="EL43" s="129" t="s">
        <v>163</v>
      </c>
      <c r="EM43" s="150">
        <v>500</v>
      </c>
      <c r="EN43" s="150">
        <v>500</v>
      </c>
      <c r="EO43" s="129" t="s">
        <v>160</v>
      </c>
      <c r="EP43" s="129" t="s">
        <v>160</v>
      </c>
      <c r="EQ43" s="129" t="s">
        <v>160</v>
      </c>
      <c r="ER43" s="129" t="s">
        <v>160</v>
      </c>
      <c r="ES43" s="151">
        <v>8.020524</v>
      </c>
      <c r="ET43" s="142" t="s">
        <v>165</v>
      </c>
      <c r="EU43" s="141">
        <v>6.6316000000000486E-2</v>
      </c>
      <c r="EV43" s="141">
        <v>7.0141999999999705E-2</v>
      </c>
      <c r="EW43" s="142" t="s">
        <v>160</v>
      </c>
      <c r="EX43" s="129" t="s">
        <v>160</v>
      </c>
      <c r="EY43" s="129" t="s">
        <v>160</v>
      </c>
      <c r="EZ43" s="149">
        <v>402.55260000000004</v>
      </c>
      <c r="FA43" s="150">
        <v>140.88549999999992</v>
      </c>
      <c r="FB43" s="150">
        <v>116.78820000000002</v>
      </c>
      <c r="FC43" s="129" t="s">
        <v>220</v>
      </c>
      <c r="FD43" s="129" t="s">
        <v>221</v>
      </c>
      <c r="FE43" s="150">
        <v>2037.2350000000001</v>
      </c>
      <c r="FF43" s="150">
        <v>519.7529999999997</v>
      </c>
      <c r="FG43" s="150">
        <v>520.76000000000022</v>
      </c>
      <c r="FH43" s="129" t="s">
        <v>160</v>
      </c>
      <c r="FI43" s="129" t="s">
        <v>160</v>
      </c>
      <c r="FJ43" s="129" t="s">
        <v>160</v>
      </c>
      <c r="FK43" s="129" t="s">
        <v>160</v>
      </c>
      <c r="FL43" s="129" t="s">
        <v>160</v>
      </c>
      <c r="FM43" s="129" t="s">
        <v>160</v>
      </c>
      <c r="FN43" s="151">
        <v>4.0350789999999996</v>
      </c>
      <c r="FO43" s="141">
        <v>2.3374940000000004</v>
      </c>
      <c r="FP43" s="141">
        <v>1.8008109999999995</v>
      </c>
      <c r="FQ43" s="129" t="s">
        <v>414</v>
      </c>
      <c r="FR43" s="176" t="s">
        <v>160</v>
      </c>
    </row>
    <row r="44" spans="1:176" s="129" customFormat="1" ht="17">
      <c r="A44" s="166" t="s">
        <v>152</v>
      </c>
      <c r="B44" s="166" t="s">
        <v>183</v>
      </c>
      <c r="C44" s="166">
        <v>2018</v>
      </c>
      <c r="D44" s="166" t="s">
        <v>184</v>
      </c>
      <c r="E44" s="150">
        <v>13950</v>
      </c>
      <c r="F44" s="166" t="s">
        <v>160</v>
      </c>
      <c r="G44" s="166" t="s">
        <v>160</v>
      </c>
      <c r="H44" s="179">
        <v>572.51260000000002</v>
      </c>
      <c r="I44" s="180">
        <v>246.10450000000003</v>
      </c>
      <c r="J44" s="180">
        <v>173.4024</v>
      </c>
      <c r="K44" s="129" t="s">
        <v>457</v>
      </c>
      <c r="L44" s="131" t="s">
        <v>185</v>
      </c>
      <c r="M44" s="132" t="s">
        <v>186</v>
      </c>
      <c r="N44" s="129" t="s">
        <v>184</v>
      </c>
      <c r="O44" s="129" t="s">
        <v>315</v>
      </c>
      <c r="P44" s="129" t="s">
        <v>160</v>
      </c>
      <c r="Q44" s="129" t="s">
        <v>160</v>
      </c>
      <c r="R44" s="129" t="s">
        <v>160</v>
      </c>
      <c r="S44" s="129" t="s">
        <v>160</v>
      </c>
      <c r="T44" s="129" t="s">
        <v>160</v>
      </c>
      <c r="U44" s="151">
        <v>13798.50762</v>
      </c>
      <c r="V44" s="129">
        <v>0</v>
      </c>
      <c r="W44" s="129" t="s">
        <v>316</v>
      </c>
      <c r="X44" s="181" t="s">
        <v>317</v>
      </c>
      <c r="Y44" s="181">
        <v>35.926000000000002</v>
      </c>
      <c r="Z44" s="181">
        <v>4.335</v>
      </c>
      <c r="AA44" s="181">
        <v>32.5</v>
      </c>
      <c r="AB44" s="181" t="s">
        <v>160</v>
      </c>
      <c r="AC44" s="181" t="s">
        <v>318</v>
      </c>
      <c r="AD44" s="182" t="s">
        <v>319</v>
      </c>
      <c r="AE44" s="183" t="s">
        <v>320</v>
      </c>
      <c r="AF44" s="181" t="s">
        <v>160</v>
      </c>
      <c r="AG44" s="141">
        <v>13950</v>
      </c>
      <c r="AH44" s="138" t="s">
        <v>160</v>
      </c>
      <c r="AI44" s="129" t="s">
        <v>160</v>
      </c>
      <c r="AJ44" s="138" t="s">
        <v>160</v>
      </c>
      <c r="AK44" s="129" t="s">
        <v>237</v>
      </c>
      <c r="AL44" s="184" t="s">
        <v>321</v>
      </c>
      <c r="AM44" s="184" t="s">
        <v>456</v>
      </c>
      <c r="AN44" s="129" t="s">
        <v>160</v>
      </c>
      <c r="AO44" s="129" t="s">
        <v>160</v>
      </c>
      <c r="AP44" s="129" t="s">
        <v>160</v>
      </c>
      <c r="AQ44" s="129" t="s">
        <v>160</v>
      </c>
      <c r="AR44" s="129" t="s">
        <v>160</v>
      </c>
      <c r="AS44" s="129" t="s">
        <v>160</v>
      </c>
      <c r="AT44" s="129" t="s">
        <v>160</v>
      </c>
      <c r="AU44" s="129" t="s">
        <v>191</v>
      </c>
      <c r="AV44" s="129" t="s">
        <v>322</v>
      </c>
      <c r="AW44" s="129" t="s">
        <v>323</v>
      </c>
      <c r="AX44" s="129" t="s">
        <v>324</v>
      </c>
      <c r="AY44" s="129" t="s">
        <v>194</v>
      </c>
      <c r="AZ44" s="129" t="s">
        <v>325</v>
      </c>
      <c r="BA44" s="129" t="s">
        <v>162</v>
      </c>
      <c r="BB44" s="129" t="s">
        <v>160</v>
      </c>
      <c r="BC44" s="129">
        <v>2</v>
      </c>
      <c r="BD44" s="129" t="s">
        <v>160</v>
      </c>
      <c r="BE44" s="129">
        <v>15.83</v>
      </c>
      <c r="BF44" s="129" t="s">
        <v>326</v>
      </c>
      <c r="BG44" s="129">
        <v>0.23</v>
      </c>
      <c r="BH44" s="129">
        <v>0.83299999999999996</v>
      </c>
      <c r="BI44" s="129" t="s">
        <v>160</v>
      </c>
      <c r="BJ44" s="138" t="s">
        <v>160</v>
      </c>
      <c r="BK44" s="129">
        <v>2.69</v>
      </c>
      <c r="BL44" s="129" t="s">
        <v>160</v>
      </c>
      <c r="BM44" s="129" t="s">
        <v>160</v>
      </c>
      <c r="BN44" s="129" t="s">
        <v>200</v>
      </c>
      <c r="BO44" s="129" t="s">
        <v>201</v>
      </c>
      <c r="BP44" s="185">
        <v>15.774309723889557</v>
      </c>
      <c r="BQ44" s="129" t="s">
        <v>202</v>
      </c>
      <c r="BR44" s="142">
        <f t="shared" si="2"/>
        <v>0.23</v>
      </c>
      <c r="BS44" s="129" t="s">
        <v>160</v>
      </c>
      <c r="BT44" s="129" t="s">
        <v>160</v>
      </c>
      <c r="BU44" s="129">
        <v>10</v>
      </c>
      <c r="BV44" s="129" t="s">
        <v>159</v>
      </c>
      <c r="BW44" s="129">
        <v>10</v>
      </c>
      <c r="BX44" s="186">
        <v>33.279500422172504</v>
      </c>
      <c r="BY44" s="129" t="s">
        <v>159</v>
      </c>
      <c r="BZ44" s="129">
        <v>1</v>
      </c>
      <c r="CA44" s="129">
        <v>1</v>
      </c>
      <c r="CB44" s="129" t="s">
        <v>160</v>
      </c>
      <c r="CC44" s="155">
        <v>6.56</v>
      </c>
      <c r="CD44" s="129" t="s">
        <v>163</v>
      </c>
      <c r="CE44" s="144">
        <f t="shared" ref="CE44:CE49" si="7">CC44*0.027</f>
        <v>0.17712</v>
      </c>
      <c r="CF44" s="144">
        <f t="shared" ref="CF44:CF49" si="8">CC44*0.027</f>
        <v>0.17712</v>
      </c>
      <c r="CG44" s="145" t="s">
        <v>203</v>
      </c>
      <c r="CH44" s="129" t="s">
        <v>204</v>
      </c>
      <c r="CI44" s="129" t="s">
        <v>205</v>
      </c>
      <c r="CJ44" s="129" t="s">
        <v>206</v>
      </c>
      <c r="CK44" s="129" t="s">
        <v>158</v>
      </c>
      <c r="CL44" s="129" t="s">
        <v>158</v>
      </c>
      <c r="CM44" s="129" t="s">
        <v>158</v>
      </c>
      <c r="CN44" s="129" t="s">
        <v>160</v>
      </c>
      <c r="CO44" s="129" t="s">
        <v>160</v>
      </c>
      <c r="CP44" s="129" t="s">
        <v>160</v>
      </c>
      <c r="CQ44" s="129" t="s">
        <v>160</v>
      </c>
      <c r="CR44" s="129" t="s">
        <v>160</v>
      </c>
      <c r="CS44" s="129" t="s">
        <v>160</v>
      </c>
      <c r="CT44" s="129" t="s">
        <v>160</v>
      </c>
      <c r="CU44" s="129">
        <v>35</v>
      </c>
      <c r="CV44" s="129" t="s">
        <v>159</v>
      </c>
      <c r="CW44" s="146">
        <v>1</v>
      </c>
      <c r="CX44" s="129" t="s">
        <v>207</v>
      </c>
      <c r="CY44" s="123">
        <v>1.2998005E-2</v>
      </c>
      <c r="CZ44" s="129" t="s">
        <v>159</v>
      </c>
      <c r="DA44" s="146">
        <v>2.5000000000000001E-3</v>
      </c>
      <c r="DB44" s="129" t="s">
        <v>208</v>
      </c>
      <c r="DC44" s="129">
        <v>5.1121671407699999E-2</v>
      </c>
      <c r="DD44" s="129" t="s">
        <v>159</v>
      </c>
      <c r="DE44" s="146">
        <v>2.5000000000000001E-3</v>
      </c>
      <c r="DF44" s="129" t="s">
        <v>209</v>
      </c>
      <c r="DG44" s="129" t="s">
        <v>160</v>
      </c>
      <c r="DH44" s="129" t="s">
        <v>160</v>
      </c>
      <c r="DI44" s="129" t="s">
        <v>160</v>
      </c>
      <c r="DJ44" s="129" t="s">
        <v>160</v>
      </c>
      <c r="DK44" s="145">
        <v>424.29</v>
      </c>
      <c r="DL44" s="129" t="s">
        <v>159</v>
      </c>
      <c r="DM44" s="145" t="s">
        <v>160</v>
      </c>
      <c r="DN44" s="129" t="s">
        <v>210</v>
      </c>
      <c r="DO44" s="129">
        <v>37.967320000000001</v>
      </c>
      <c r="DP44" s="129" t="s">
        <v>160</v>
      </c>
      <c r="DQ44" s="129">
        <v>0.66096499999999736</v>
      </c>
      <c r="DR44" s="129" t="s">
        <v>211</v>
      </c>
      <c r="DS44" s="129" t="s">
        <v>212</v>
      </c>
      <c r="DT44" s="129" t="s">
        <v>213</v>
      </c>
      <c r="DU44" s="129">
        <v>1.0271999999999999</v>
      </c>
      <c r="DV44" s="129" t="s">
        <v>214</v>
      </c>
      <c r="DW44" s="129" t="s">
        <v>214</v>
      </c>
      <c r="DX44" s="129" t="s">
        <v>215</v>
      </c>
      <c r="DY44" s="129" t="s">
        <v>160</v>
      </c>
      <c r="DZ44" s="129" t="s">
        <v>164</v>
      </c>
      <c r="EA44" s="129" t="s">
        <v>216</v>
      </c>
      <c r="EB44" s="129" t="s">
        <v>212</v>
      </c>
      <c r="EC44" s="129" t="s">
        <v>212</v>
      </c>
      <c r="ED44" s="129" t="s">
        <v>212</v>
      </c>
      <c r="EE44" s="129" t="s">
        <v>217</v>
      </c>
      <c r="EF44" s="147" t="s">
        <v>213</v>
      </c>
      <c r="EG44" s="148" t="s">
        <v>213</v>
      </c>
      <c r="EH44" s="129" t="s">
        <v>218</v>
      </c>
      <c r="EI44" s="129" t="s">
        <v>219</v>
      </c>
      <c r="EJ44" s="129" t="s">
        <v>160</v>
      </c>
      <c r="EK44" s="150">
        <v>1641.6379999999999</v>
      </c>
      <c r="EL44" s="129" t="s">
        <v>163</v>
      </c>
      <c r="EM44" s="150">
        <v>500</v>
      </c>
      <c r="EN44" s="150">
        <v>500</v>
      </c>
      <c r="EO44" s="129" t="s">
        <v>160</v>
      </c>
      <c r="EP44" s="129" t="s">
        <v>160</v>
      </c>
      <c r="EQ44" s="129" t="s">
        <v>160</v>
      </c>
      <c r="ER44" s="129" t="s">
        <v>160</v>
      </c>
      <c r="ES44" s="185">
        <v>7.83657</v>
      </c>
      <c r="ET44" s="142" t="s">
        <v>165</v>
      </c>
      <c r="EU44" s="185">
        <v>0.10212500000000002</v>
      </c>
      <c r="EV44" s="185">
        <v>0.11947099999999988</v>
      </c>
      <c r="EW44" s="142" t="s">
        <v>160</v>
      </c>
      <c r="EX44" s="129" t="s">
        <v>160</v>
      </c>
      <c r="EY44" s="129" t="s">
        <v>160</v>
      </c>
      <c r="EZ44" s="180">
        <v>572.51260000000002</v>
      </c>
      <c r="FA44" s="180">
        <v>246.10450000000003</v>
      </c>
      <c r="FB44" s="180">
        <v>173.4024</v>
      </c>
      <c r="FC44" s="129" t="s">
        <v>220</v>
      </c>
      <c r="FD44" s="129" t="s">
        <v>221</v>
      </c>
      <c r="FE44" s="180">
        <v>1780.404</v>
      </c>
      <c r="FF44" s="187">
        <v>404.85300000000007</v>
      </c>
      <c r="FG44" s="187">
        <v>400.76200000000017</v>
      </c>
      <c r="FH44" s="129" t="s">
        <v>160</v>
      </c>
      <c r="FI44" s="129" t="s">
        <v>160</v>
      </c>
      <c r="FJ44" s="129" t="s">
        <v>160</v>
      </c>
      <c r="FK44" s="129" t="s">
        <v>160</v>
      </c>
      <c r="FL44" s="129" t="s">
        <v>160</v>
      </c>
      <c r="FM44" s="129" t="s">
        <v>160</v>
      </c>
      <c r="FN44" s="185">
        <v>3.2326679999999999</v>
      </c>
      <c r="FO44" s="185">
        <v>1.8881330000000003</v>
      </c>
      <c r="FP44" s="185">
        <v>1.4396949999999999</v>
      </c>
      <c r="FQ44" s="129" t="s">
        <v>414</v>
      </c>
      <c r="FR44" s="166" t="s">
        <v>313</v>
      </c>
      <c r="FS44" s="166">
        <v>2013</v>
      </c>
      <c r="FT44" s="166" t="s">
        <v>314</v>
      </c>
    </row>
    <row r="45" spans="1:176" s="129" customFormat="1" ht="17">
      <c r="A45" s="166" t="s">
        <v>152</v>
      </c>
      <c r="B45" s="166" t="s">
        <v>183</v>
      </c>
      <c r="C45" s="166">
        <v>2018</v>
      </c>
      <c r="D45" s="166" t="s">
        <v>184</v>
      </c>
      <c r="E45" s="150">
        <v>13901.77</v>
      </c>
      <c r="F45" s="166" t="s">
        <v>160</v>
      </c>
      <c r="G45" s="166" t="s">
        <v>160</v>
      </c>
      <c r="H45" s="179">
        <v>518.69650000000001</v>
      </c>
      <c r="I45" s="180">
        <v>220.8827</v>
      </c>
      <c r="J45" s="180">
        <v>155.51570000000004</v>
      </c>
      <c r="K45" s="129" t="s">
        <v>457</v>
      </c>
      <c r="L45" s="131" t="s">
        <v>185</v>
      </c>
      <c r="M45" s="132" t="s">
        <v>186</v>
      </c>
      <c r="N45" s="129" t="s">
        <v>184</v>
      </c>
      <c r="O45" s="129" t="s">
        <v>315</v>
      </c>
      <c r="P45" s="129" t="s">
        <v>160</v>
      </c>
      <c r="Q45" s="129" t="s">
        <v>160</v>
      </c>
      <c r="R45" s="129" t="s">
        <v>160</v>
      </c>
      <c r="S45" s="129" t="s">
        <v>160</v>
      </c>
      <c r="T45" s="129" t="s">
        <v>160</v>
      </c>
      <c r="U45" s="151">
        <v>13785.6227</v>
      </c>
      <c r="V45" s="129">
        <v>0.7</v>
      </c>
      <c r="W45" s="129" t="s">
        <v>316</v>
      </c>
      <c r="X45" s="181" t="s">
        <v>317</v>
      </c>
      <c r="Y45" s="181">
        <v>35.926000000000002</v>
      </c>
      <c r="Z45" s="181">
        <v>4.335</v>
      </c>
      <c r="AA45" s="181">
        <v>32.5</v>
      </c>
      <c r="AB45" s="181" t="s">
        <v>160</v>
      </c>
      <c r="AC45" s="181" t="s">
        <v>318</v>
      </c>
      <c r="AD45" s="182" t="s">
        <v>319</v>
      </c>
      <c r="AE45" s="183" t="s">
        <v>320</v>
      </c>
      <c r="AF45" s="181" t="s">
        <v>160</v>
      </c>
      <c r="AG45" s="141">
        <v>13901.77</v>
      </c>
      <c r="AH45" s="138" t="s">
        <v>160</v>
      </c>
      <c r="AI45" s="129" t="s">
        <v>160</v>
      </c>
      <c r="AJ45" s="138" t="s">
        <v>160</v>
      </c>
      <c r="AK45" s="129" t="s">
        <v>237</v>
      </c>
      <c r="AL45" s="184" t="s">
        <v>321</v>
      </c>
      <c r="AM45" s="184" t="s">
        <v>456</v>
      </c>
      <c r="AN45" s="129" t="s">
        <v>160</v>
      </c>
      <c r="AO45" s="129" t="s">
        <v>160</v>
      </c>
      <c r="AP45" s="129" t="s">
        <v>160</v>
      </c>
      <c r="AQ45" s="129" t="s">
        <v>160</v>
      </c>
      <c r="AR45" s="129" t="s">
        <v>160</v>
      </c>
      <c r="AS45" s="129" t="s">
        <v>160</v>
      </c>
      <c r="AT45" s="129" t="s">
        <v>160</v>
      </c>
      <c r="AU45" s="129" t="s">
        <v>191</v>
      </c>
      <c r="AV45" s="129" t="s">
        <v>322</v>
      </c>
      <c r="AW45" s="129" t="s">
        <v>323</v>
      </c>
      <c r="AX45" s="129" t="s">
        <v>324</v>
      </c>
      <c r="AY45" s="129" t="s">
        <v>194</v>
      </c>
      <c r="AZ45" s="129" t="s">
        <v>325</v>
      </c>
      <c r="BA45" s="129" t="s">
        <v>162</v>
      </c>
      <c r="BB45" s="129" t="s">
        <v>160</v>
      </c>
      <c r="BC45" s="129">
        <v>2</v>
      </c>
      <c r="BD45" s="129" t="s">
        <v>160</v>
      </c>
      <c r="BE45" s="129">
        <v>15.85</v>
      </c>
      <c r="BF45" s="129" t="s">
        <v>326</v>
      </c>
      <c r="BG45" s="129">
        <v>0.23</v>
      </c>
      <c r="BH45" s="129">
        <v>0.83299999999999996</v>
      </c>
      <c r="BI45" s="129" t="s">
        <v>160</v>
      </c>
      <c r="BJ45" s="138" t="s">
        <v>160</v>
      </c>
      <c r="BK45" s="129">
        <v>2.69</v>
      </c>
      <c r="BL45" s="129" t="s">
        <v>160</v>
      </c>
      <c r="BM45" s="129" t="s">
        <v>160</v>
      </c>
      <c r="BN45" s="129" t="s">
        <v>200</v>
      </c>
      <c r="BO45" s="129" t="s">
        <v>201</v>
      </c>
      <c r="BP45" s="185">
        <v>15.798319327731093</v>
      </c>
      <c r="BQ45" s="129" t="s">
        <v>202</v>
      </c>
      <c r="BR45" s="142">
        <f t="shared" si="2"/>
        <v>0.23</v>
      </c>
      <c r="BS45" s="129" t="s">
        <v>160</v>
      </c>
      <c r="BT45" s="129" t="s">
        <v>160</v>
      </c>
      <c r="BU45" s="129">
        <v>10</v>
      </c>
      <c r="BV45" s="129" t="s">
        <v>159</v>
      </c>
      <c r="BW45" s="129">
        <v>10</v>
      </c>
      <c r="BX45" s="186">
        <v>30.323235421987757</v>
      </c>
      <c r="BY45" s="129" t="s">
        <v>159</v>
      </c>
      <c r="BZ45" s="129">
        <v>1</v>
      </c>
      <c r="CA45" s="129">
        <v>1</v>
      </c>
      <c r="CB45" s="129" t="s">
        <v>160</v>
      </c>
      <c r="CC45" s="155">
        <v>5.03</v>
      </c>
      <c r="CD45" s="129" t="s">
        <v>163</v>
      </c>
      <c r="CE45" s="144">
        <f t="shared" si="7"/>
        <v>0.13581000000000001</v>
      </c>
      <c r="CF45" s="144">
        <f t="shared" si="8"/>
        <v>0.13581000000000001</v>
      </c>
      <c r="CG45" s="145" t="s">
        <v>203</v>
      </c>
      <c r="CH45" s="129" t="s">
        <v>204</v>
      </c>
      <c r="CI45" s="129" t="s">
        <v>205</v>
      </c>
      <c r="CJ45" s="129" t="s">
        <v>206</v>
      </c>
      <c r="CK45" s="129" t="s">
        <v>158</v>
      </c>
      <c r="CL45" s="129" t="s">
        <v>158</v>
      </c>
      <c r="CM45" s="129" t="s">
        <v>158</v>
      </c>
      <c r="CN45" s="129" t="s">
        <v>160</v>
      </c>
      <c r="CO45" s="129" t="s">
        <v>160</v>
      </c>
      <c r="CP45" s="129" t="s">
        <v>160</v>
      </c>
      <c r="CQ45" s="129" t="s">
        <v>160</v>
      </c>
      <c r="CR45" s="129" t="s">
        <v>160</v>
      </c>
      <c r="CS45" s="129" t="s">
        <v>160</v>
      </c>
      <c r="CT45" s="129" t="s">
        <v>160</v>
      </c>
      <c r="CU45" s="129">
        <v>35</v>
      </c>
      <c r="CV45" s="129" t="s">
        <v>159</v>
      </c>
      <c r="CW45" s="146">
        <v>1</v>
      </c>
      <c r="CX45" s="129" t="s">
        <v>207</v>
      </c>
      <c r="CY45" s="123">
        <v>1.2989714263E-2</v>
      </c>
      <c r="CZ45" s="129" t="s">
        <v>159</v>
      </c>
      <c r="DA45" s="146">
        <v>2.5000000000000001E-3</v>
      </c>
      <c r="DB45" s="129" t="s">
        <v>208</v>
      </c>
      <c r="DC45" s="129">
        <v>5.0321510237200003E-2</v>
      </c>
      <c r="DD45" s="129" t="s">
        <v>159</v>
      </c>
      <c r="DE45" s="146">
        <v>2.5000000000000001E-3</v>
      </c>
      <c r="DF45" s="129" t="s">
        <v>209</v>
      </c>
      <c r="DG45" s="129" t="s">
        <v>160</v>
      </c>
      <c r="DH45" s="129" t="s">
        <v>160</v>
      </c>
      <c r="DI45" s="129" t="s">
        <v>160</v>
      </c>
      <c r="DJ45" s="129" t="s">
        <v>160</v>
      </c>
      <c r="DK45" s="145">
        <v>424.29</v>
      </c>
      <c r="DL45" s="129" t="s">
        <v>159</v>
      </c>
      <c r="DM45" s="145" t="s">
        <v>160</v>
      </c>
      <c r="DN45" s="129" t="s">
        <v>210</v>
      </c>
      <c r="DO45" s="129">
        <v>37.9559</v>
      </c>
      <c r="DP45" s="129" t="s">
        <v>160</v>
      </c>
      <c r="DQ45" s="129">
        <v>0.67256000000000071</v>
      </c>
      <c r="DR45" s="129" t="s">
        <v>211</v>
      </c>
      <c r="DS45" s="129" t="s">
        <v>212</v>
      </c>
      <c r="DT45" s="129" t="s">
        <v>213</v>
      </c>
      <c r="DU45" s="129">
        <v>1.0271999999999999</v>
      </c>
      <c r="DV45" s="129" t="s">
        <v>214</v>
      </c>
      <c r="DW45" s="129" t="s">
        <v>214</v>
      </c>
      <c r="DX45" s="129" t="s">
        <v>215</v>
      </c>
      <c r="DY45" s="129" t="s">
        <v>160</v>
      </c>
      <c r="DZ45" s="129" t="s">
        <v>164</v>
      </c>
      <c r="EA45" s="129" t="s">
        <v>216</v>
      </c>
      <c r="EB45" s="129" t="s">
        <v>212</v>
      </c>
      <c r="EC45" s="129" t="s">
        <v>212</v>
      </c>
      <c r="ED45" s="129" t="s">
        <v>212</v>
      </c>
      <c r="EE45" s="129" t="s">
        <v>217</v>
      </c>
      <c r="EF45" s="147" t="s">
        <v>213</v>
      </c>
      <c r="EG45" s="148" t="s">
        <v>213</v>
      </c>
      <c r="EH45" s="129" t="s">
        <v>218</v>
      </c>
      <c r="EI45" s="129" t="s">
        <v>219</v>
      </c>
      <c r="EJ45" s="129" t="s">
        <v>160</v>
      </c>
      <c r="EK45" s="150">
        <v>1643.1790000000001</v>
      </c>
      <c r="EL45" s="129" t="s">
        <v>163</v>
      </c>
      <c r="EM45" s="150">
        <v>500</v>
      </c>
      <c r="EN45" s="150">
        <v>500</v>
      </c>
      <c r="EO45" s="129" t="s">
        <v>160</v>
      </c>
      <c r="EP45" s="129" t="s">
        <v>160</v>
      </c>
      <c r="EQ45" s="129" t="s">
        <v>160</v>
      </c>
      <c r="ER45" s="129" t="s">
        <v>160</v>
      </c>
      <c r="ES45" s="185">
        <v>7.8740730000000001</v>
      </c>
      <c r="ET45" s="142" t="s">
        <v>165</v>
      </c>
      <c r="EU45" s="185">
        <v>0.10484199999999966</v>
      </c>
      <c r="EV45" s="185">
        <v>0.12097400000000036</v>
      </c>
      <c r="EW45" s="142" t="s">
        <v>160</v>
      </c>
      <c r="EX45" s="129" t="s">
        <v>160</v>
      </c>
      <c r="EY45" s="129" t="s">
        <v>160</v>
      </c>
      <c r="EZ45" s="180">
        <v>518.69650000000001</v>
      </c>
      <c r="FA45" s="180">
        <v>220.8827</v>
      </c>
      <c r="FB45" s="180">
        <v>155.51570000000004</v>
      </c>
      <c r="FC45" s="129" t="s">
        <v>220</v>
      </c>
      <c r="FD45" s="129" t="s">
        <v>221</v>
      </c>
      <c r="FE45" s="180">
        <v>1781.838</v>
      </c>
      <c r="FF45" s="187">
        <v>396.18099999999981</v>
      </c>
      <c r="FG45" s="187">
        <v>397.45699999999988</v>
      </c>
      <c r="FH45" s="129" t="s">
        <v>160</v>
      </c>
      <c r="FI45" s="129" t="s">
        <v>160</v>
      </c>
      <c r="FJ45" s="129" t="s">
        <v>160</v>
      </c>
      <c r="FK45" s="129" t="s">
        <v>160</v>
      </c>
      <c r="FL45" s="129" t="s">
        <v>160</v>
      </c>
      <c r="FM45" s="129" t="s">
        <v>160</v>
      </c>
      <c r="FN45" s="185">
        <v>3.103272</v>
      </c>
      <c r="FO45" s="185">
        <v>1.8631300000000004</v>
      </c>
      <c r="FP45" s="185">
        <v>1.3651519999999999</v>
      </c>
      <c r="FQ45" s="129" t="s">
        <v>414</v>
      </c>
      <c r="FR45" s="166" t="s">
        <v>313</v>
      </c>
      <c r="FS45" s="166">
        <v>2013</v>
      </c>
      <c r="FT45" s="166" t="s">
        <v>314</v>
      </c>
    </row>
    <row r="46" spans="1:176" s="129" customFormat="1" ht="17">
      <c r="A46" s="166" t="s">
        <v>152</v>
      </c>
      <c r="B46" s="166" t="s">
        <v>183</v>
      </c>
      <c r="C46" s="166">
        <v>2018</v>
      </c>
      <c r="D46" s="166" t="s">
        <v>184</v>
      </c>
      <c r="E46" s="150">
        <v>13829.42</v>
      </c>
      <c r="F46" s="166" t="s">
        <v>160</v>
      </c>
      <c r="G46" s="166" t="s">
        <v>160</v>
      </c>
      <c r="H46" s="179">
        <v>549.33950000000004</v>
      </c>
      <c r="I46" s="180">
        <v>241.84169999999995</v>
      </c>
      <c r="J46" s="180">
        <v>165.67220000000003</v>
      </c>
      <c r="K46" s="129" t="s">
        <v>457</v>
      </c>
      <c r="L46" s="131" t="s">
        <v>185</v>
      </c>
      <c r="M46" s="132" t="s">
        <v>186</v>
      </c>
      <c r="N46" s="129" t="s">
        <v>184</v>
      </c>
      <c r="O46" s="129" t="s">
        <v>315</v>
      </c>
      <c r="P46" s="129" t="s">
        <v>160</v>
      </c>
      <c r="Q46" s="129" t="s">
        <v>160</v>
      </c>
      <c r="R46" s="129" t="s">
        <v>160</v>
      </c>
      <c r="S46" s="129" t="s">
        <v>160</v>
      </c>
      <c r="T46" s="129" t="s">
        <v>160</v>
      </c>
      <c r="U46" s="151">
        <v>13772.737789999999</v>
      </c>
      <c r="V46" s="129" t="s">
        <v>327</v>
      </c>
      <c r="W46" s="129" t="s">
        <v>316</v>
      </c>
      <c r="X46" s="181" t="s">
        <v>317</v>
      </c>
      <c r="Y46" s="181">
        <v>35.926000000000002</v>
      </c>
      <c r="Z46" s="181">
        <v>4.335</v>
      </c>
      <c r="AA46" s="181">
        <v>32.5</v>
      </c>
      <c r="AB46" s="181" t="s">
        <v>160</v>
      </c>
      <c r="AC46" s="181" t="s">
        <v>318</v>
      </c>
      <c r="AD46" s="182" t="s">
        <v>319</v>
      </c>
      <c r="AE46" s="183" t="s">
        <v>320</v>
      </c>
      <c r="AF46" s="181" t="s">
        <v>160</v>
      </c>
      <c r="AG46" s="141">
        <v>13829.42</v>
      </c>
      <c r="AH46" s="138" t="s">
        <v>160</v>
      </c>
      <c r="AI46" s="129" t="s">
        <v>160</v>
      </c>
      <c r="AJ46" s="138" t="s">
        <v>160</v>
      </c>
      <c r="AK46" s="129" t="s">
        <v>237</v>
      </c>
      <c r="AL46" s="184" t="s">
        <v>321</v>
      </c>
      <c r="AM46" s="184" t="s">
        <v>456</v>
      </c>
      <c r="AN46" s="129" t="s">
        <v>160</v>
      </c>
      <c r="AO46" s="129" t="s">
        <v>160</v>
      </c>
      <c r="AP46" s="129" t="s">
        <v>160</v>
      </c>
      <c r="AQ46" s="129" t="s">
        <v>160</v>
      </c>
      <c r="AR46" s="129" t="s">
        <v>160</v>
      </c>
      <c r="AS46" s="129" t="s">
        <v>160</v>
      </c>
      <c r="AT46" s="129" t="s">
        <v>160</v>
      </c>
      <c r="AU46" s="129" t="s">
        <v>191</v>
      </c>
      <c r="AV46" s="129" t="s">
        <v>322</v>
      </c>
      <c r="AW46" s="129" t="s">
        <v>323</v>
      </c>
      <c r="AX46" s="129" t="s">
        <v>324</v>
      </c>
      <c r="AY46" s="129" t="s">
        <v>194</v>
      </c>
      <c r="AZ46" s="129" t="s">
        <v>325</v>
      </c>
      <c r="BA46" s="129" t="s">
        <v>162</v>
      </c>
      <c r="BB46" s="129" t="s">
        <v>160</v>
      </c>
      <c r="BC46" s="129">
        <v>2</v>
      </c>
      <c r="BD46" s="129" t="s">
        <v>160</v>
      </c>
      <c r="BE46" s="129">
        <v>15.75</v>
      </c>
      <c r="BF46" s="129" t="s">
        <v>326</v>
      </c>
      <c r="BG46" s="129">
        <v>0.23</v>
      </c>
      <c r="BH46" s="129">
        <v>0.83299999999999996</v>
      </c>
      <c r="BI46" s="129" t="s">
        <v>160</v>
      </c>
      <c r="BJ46" s="138" t="s">
        <v>160</v>
      </c>
      <c r="BK46" s="129">
        <v>2.69</v>
      </c>
      <c r="BL46" s="129" t="s">
        <v>160</v>
      </c>
      <c r="BM46" s="129" t="s">
        <v>160</v>
      </c>
      <c r="BN46" s="129" t="s">
        <v>200</v>
      </c>
      <c r="BO46" s="129" t="s">
        <v>201</v>
      </c>
      <c r="BP46" s="185">
        <v>15.67827130852341</v>
      </c>
      <c r="BQ46" s="129" t="s">
        <v>202</v>
      </c>
      <c r="BR46" s="142">
        <f t="shared" si="2"/>
        <v>0.23</v>
      </c>
      <c r="BS46" s="129" t="s">
        <v>160</v>
      </c>
      <c r="BT46" s="129" t="s">
        <v>160</v>
      </c>
      <c r="BU46" s="129">
        <v>10</v>
      </c>
      <c r="BV46" s="129" t="s">
        <v>159</v>
      </c>
      <c r="BW46" s="129">
        <v>10</v>
      </c>
      <c r="BX46" s="186">
        <v>31.165226922243587</v>
      </c>
      <c r="BY46" s="129" t="s">
        <v>159</v>
      </c>
      <c r="BZ46" s="129">
        <v>1</v>
      </c>
      <c r="CA46" s="129">
        <v>1</v>
      </c>
      <c r="CB46" s="129" t="s">
        <v>160</v>
      </c>
      <c r="CC46" s="155">
        <v>5.43</v>
      </c>
      <c r="CD46" s="129" t="s">
        <v>163</v>
      </c>
      <c r="CE46" s="144">
        <f t="shared" si="7"/>
        <v>0.14660999999999999</v>
      </c>
      <c r="CF46" s="144">
        <f t="shared" si="8"/>
        <v>0.14660999999999999</v>
      </c>
      <c r="CG46" s="145" t="s">
        <v>203</v>
      </c>
      <c r="CH46" s="129" t="s">
        <v>204</v>
      </c>
      <c r="CI46" s="129" t="s">
        <v>205</v>
      </c>
      <c r="CJ46" s="129" t="s">
        <v>206</v>
      </c>
      <c r="CK46" s="129" t="s">
        <v>158</v>
      </c>
      <c r="CL46" s="129" t="s">
        <v>158</v>
      </c>
      <c r="CM46" s="129" t="s">
        <v>158</v>
      </c>
      <c r="CN46" s="129" t="s">
        <v>160</v>
      </c>
      <c r="CO46" s="129" t="s">
        <v>160</v>
      </c>
      <c r="CP46" s="129" t="s">
        <v>160</v>
      </c>
      <c r="CQ46" s="129" t="s">
        <v>160</v>
      </c>
      <c r="CR46" s="129" t="s">
        <v>160</v>
      </c>
      <c r="CS46" s="129" t="s">
        <v>160</v>
      </c>
      <c r="CT46" s="129" t="s">
        <v>160</v>
      </c>
      <c r="CU46" s="129">
        <v>35</v>
      </c>
      <c r="CV46" s="129" t="s">
        <v>159</v>
      </c>
      <c r="CW46" s="146">
        <v>1</v>
      </c>
      <c r="CX46" s="129" t="s">
        <v>207</v>
      </c>
      <c r="CY46" s="123">
        <v>1.2977278157499999E-2</v>
      </c>
      <c r="CZ46" s="129" t="s">
        <v>159</v>
      </c>
      <c r="DA46" s="146">
        <v>2.5000000000000001E-3</v>
      </c>
      <c r="DB46" s="129" t="s">
        <v>208</v>
      </c>
      <c r="DC46" s="129">
        <v>4.9521349066699999E-2</v>
      </c>
      <c r="DD46" s="129" t="s">
        <v>159</v>
      </c>
      <c r="DE46" s="146">
        <v>2.5000000000000001E-3</v>
      </c>
      <c r="DF46" s="129" t="s">
        <v>209</v>
      </c>
      <c r="DG46" s="129" t="s">
        <v>160</v>
      </c>
      <c r="DH46" s="129" t="s">
        <v>160</v>
      </c>
      <c r="DI46" s="129" t="s">
        <v>160</v>
      </c>
      <c r="DJ46" s="129" t="s">
        <v>160</v>
      </c>
      <c r="DK46" s="145">
        <v>424.29</v>
      </c>
      <c r="DL46" s="129" t="s">
        <v>159</v>
      </c>
      <c r="DM46" s="145" t="s">
        <v>160</v>
      </c>
      <c r="DN46" s="129" t="s">
        <v>210</v>
      </c>
      <c r="DO46" s="129">
        <v>37.97363</v>
      </c>
      <c r="DP46" s="129" t="s">
        <v>160</v>
      </c>
      <c r="DQ46" s="129">
        <v>0.65960000000000107</v>
      </c>
      <c r="DR46" s="129" t="s">
        <v>211</v>
      </c>
      <c r="DS46" s="129" t="s">
        <v>212</v>
      </c>
      <c r="DT46" s="129" t="s">
        <v>213</v>
      </c>
      <c r="DU46" s="129">
        <v>1.0271999999999999</v>
      </c>
      <c r="DV46" s="129" t="s">
        <v>214</v>
      </c>
      <c r="DW46" s="129" t="s">
        <v>214</v>
      </c>
      <c r="DX46" s="129" t="s">
        <v>215</v>
      </c>
      <c r="DY46" s="129" t="s">
        <v>160</v>
      </c>
      <c r="DZ46" s="129" t="s">
        <v>164</v>
      </c>
      <c r="EA46" s="129" t="s">
        <v>216</v>
      </c>
      <c r="EB46" s="129" t="s">
        <v>212</v>
      </c>
      <c r="EC46" s="129" t="s">
        <v>212</v>
      </c>
      <c r="ED46" s="129" t="s">
        <v>212</v>
      </c>
      <c r="EE46" s="129" t="s">
        <v>217</v>
      </c>
      <c r="EF46" s="147" t="s">
        <v>213</v>
      </c>
      <c r="EG46" s="148" t="s">
        <v>213</v>
      </c>
      <c r="EH46" s="129" t="s">
        <v>218</v>
      </c>
      <c r="EI46" s="129" t="s">
        <v>219</v>
      </c>
      <c r="EJ46" s="129" t="s">
        <v>160</v>
      </c>
      <c r="EK46" s="150">
        <v>1643.386</v>
      </c>
      <c r="EL46" s="129" t="s">
        <v>163</v>
      </c>
      <c r="EM46" s="150">
        <v>500</v>
      </c>
      <c r="EN46" s="150">
        <v>500</v>
      </c>
      <c r="EO46" s="129" t="s">
        <v>160</v>
      </c>
      <c r="EP46" s="129" t="s">
        <v>160</v>
      </c>
      <c r="EQ46" s="129" t="s">
        <v>160</v>
      </c>
      <c r="ER46" s="129" t="s">
        <v>160</v>
      </c>
      <c r="ES46" s="185">
        <v>7.8507939999999996</v>
      </c>
      <c r="ET46" s="142" t="s">
        <v>165</v>
      </c>
      <c r="EU46" s="185">
        <v>0.10415500000000044</v>
      </c>
      <c r="EV46" s="185">
        <v>0.12031799999999926</v>
      </c>
      <c r="EW46" s="142" t="s">
        <v>160</v>
      </c>
      <c r="EX46" s="129" t="s">
        <v>160</v>
      </c>
      <c r="EY46" s="129" t="s">
        <v>160</v>
      </c>
      <c r="EZ46" s="180">
        <v>549.33950000000004</v>
      </c>
      <c r="FA46" s="180">
        <v>241.84169999999995</v>
      </c>
      <c r="FB46" s="180">
        <v>165.67220000000003</v>
      </c>
      <c r="FC46" s="129" t="s">
        <v>220</v>
      </c>
      <c r="FD46" s="129" t="s">
        <v>221</v>
      </c>
      <c r="FE46" s="180">
        <v>1777.704</v>
      </c>
      <c r="FF46" s="187">
        <v>396.62400000000002</v>
      </c>
      <c r="FG46" s="187">
        <v>401.75799999999981</v>
      </c>
      <c r="FH46" s="129" t="s">
        <v>160</v>
      </c>
      <c r="FI46" s="129" t="s">
        <v>160</v>
      </c>
      <c r="FJ46" s="129" t="s">
        <v>160</v>
      </c>
      <c r="FK46" s="129" t="s">
        <v>160</v>
      </c>
      <c r="FL46" s="129" t="s">
        <v>160</v>
      </c>
      <c r="FM46" s="129" t="s">
        <v>160</v>
      </c>
      <c r="FN46" s="185">
        <v>3.0567129999999998</v>
      </c>
      <c r="FO46" s="185">
        <v>1.8002379999999998</v>
      </c>
      <c r="FP46" s="185">
        <v>1.3549769999999999</v>
      </c>
      <c r="FQ46" s="129" t="s">
        <v>414</v>
      </c>
      <c r="FR46" s="166" t="s">
        <v>313</v>
      </c>
      <c r="FS46" s="166">
        <v>2013</v>
      </c>
      <c r="FT46" s="166" t="s">
        <v>314</v>
      </c>
    </row>
    <row r="47" spans="1:176" s="129" customFormat="1" ht="17">
      <c r="A47" s="166" t="s">
        <v>152</v>
      </c>
      <c r="B47" s="166" t="s">
        <v>183</v>
      </c>
      <c r="C47" s="166">
        <v>2018</v>
      </c>
      <c r="D47" s="166" t="s">
        <v>184</v>
      </c>
      <c r="E47" s="150">
        <v>13732.97</v>
      </c>
      <c r="F47" s="166" t="s">
        <v>160</v>
      </c>
      <c r="G47" s="166" t="s">
        <v>160</v>
      </c>
      <c r="H47" s="179">
        <v>425.05779999999999</v>
      </c>
      <c r="I47" s="180">
        <v>167.6429</v>
      </c>
      <c r="J47" s="180">
        <v>125.34039999999999</v>
      </c>
      <c r="K47" s="129" t="s">
        <v>457</v>
      </c>
      <c r="L47" s="131" t="s">
        <v>185</v>
      </c>
      <c r="M47" s="132" t="s">
        <v>186</v>
      </c>
      <c r="N47" s="129" t="s">
        <v>184</v>
      </c>
      <c r="O47" s="129" t="s">
        <v>315</v>
      </c>
      <c r="P47" s="129" t="s">
        <v>160</v>
      </c>
      <c r="Q47" s="129" t="s">
        <v>160</v>
      </c>
      <c r="R47" s="129" t="s">
        <v>160</v>
      </c>
      <c r="S47" s="129" t="s">
        <v>160</v>
      </c>
      <c r="T47" s="129" t="s">
        <v>160</v>
      </c>
      <c r="U47" s="151">
        <v>13740.5255</v>
      </c>
      <c r="V47" s="129">
        <v>3.15</v>
      </c>
      <c r="W47" s="129" t="s">
        <v>316</v>
      </c>
      <c r="X47" s="181" t="s">
        <v>317</v>
      </c>
      <c r="Y47" s="181">
        <v>35.926000000000002</v>
      </c>
      <c r="Z47" s="181">
        <v>4.335</v>
      </c>
      <c r="AA47" s="181">
        <v>32.5</v>
      </c>
      <c r="AB47" s="181" t="s">
        <v>160</v>
      </c>
      <c r="AC47" s="181" t="s">
        <v>318</v>
      </c>
      <c r="AD47" s="182" t="s">
        <v>319</v>
      </c>
      <c r="AE47" s="183" t="s">
        <v>328</v>
      </c>
      <c r="AF47" s="181" t="s">
        <v>160</v>
      </c>
      <c r="AG47" s="141">
        <v>13732.97</v>
      </c>
      <c r="AH47" s="138" t="s">
        <v>160</v>
      </c>
      <c r="AI47" s="129" t="s">
        <v>160</v>
      </c>
      <c r="AJ47" s="138" t="s">
        <v>160</v>
      </c>
      <c r="AK47" s="129" t="s">
        <v>237</v>
      </c>
      <c r="AL47" s="184" t="s">
        <v>321</v>
      </c>
      <c r="AM47" s="184" t="s">
        <v>456</v>
      </c>
      <c r="AN47" s="129" t="s">
        <v>160</v>
      </c>
      <c r="AO47" s="129" t="s">
        <v>160</v>
      </c>
      <c r="AP47" s="129" t="s">
        <v>160</v>
      </c>
      <c r="AQ47" s="129" t="s">
        <v>160</v>
      </c>
      <c r="AR47" s="129" t="s">
        <v>160</v>
      </c>
      <c r="AS47" s="129" t="s">
        <v>160</v>
      </c>
      <c r="AT47" s="129" t="s">
        <v>160</v>
      </c>
      <c r="AU47" s="129" t="s">
        <v>191</v>
      </c>
      <c r="AV47" s="129" t="s">
        <v>322</v>
      </c>
      <c r="AW47" s="129" t="s">
        <v>323</v>
      </c>
      <c r="AX47" s="129" t="s">
        <v>324</v>
      </c>
      <c r="AY47" s="129" t="s">
        <v>194</v>
      </c>
      <c r="AZ47" s="129" t="s">
        <v>325</v>
      </c>
      <c r="BA47" s="129" t="s">
        <v>162</v>
      </c>
      <c r="BB47" s="129" t="s">
        <v>160</v>
      </c>
      <c r="BC47" s="129">
        <v>2</v>
      </c>
      <c r="BD47" s="129" t="s">
        <v>160</v>
      </c>
      <c r="BE47" s="129">
        <v>16.53</v>
      </c>
      <c r="BF47" s="129" t="s">
        <v>326</v>
      </c>
      <c r="BG47" s="129">
        <v>0.23</v>
      </c>
      <c r="BH47" s="129">
        <v>0.83299999999999996</v>
      </c>
      <c r="BI47" s="129" t="s">
        <v>160</v>
      </c>
      <c r="BJ47" s="138" t="s">
        <v>160</v>
      </c>
      <c r="BK47" s="129">
        <v>2.69</v>
      </c>
      <c r="BL47" s="129" t="s">
        <v>160</v>
      </c>
      <c r="BM47" s="129" t="s">
        <v>160</v>
      </c>
      <c r="BN47" s="129" t="s">
        <v>200</v>
      </c>
      <c r="BO47" s="129" t="s">
        <v>201</v>
      </c>
      <c r="BP47" s="185">
        <v>16.614645858343341</v>
      </c>
      <c r="BQ47" s="129" t="s">
        <v>202</v>
      </c>
      <c r="BR47" s="142">
        <f t="shared" si="2"/>
        <v>0.23</v>
      </c>
      <c r="BS47" s="129" t="s">
        <v>160</v>
      </c>
      <c r="BT47" s="129" t="s">
        <v>160</v>
      </c>
      <c r="BU47" s="129">
        <v>10</v>
      </c>
      <c r="BV47" s="129" t="s">
        <v>159</v>
      </c>
      <c r="BW47" s="129">
        <v>10</v>
      </c>
      <c r="BX47" s="186">
        <v>30.237583549789395</v>
      </c>
      <c r="BY47" s="129" t="s">
        <v>159</v>
      </c>
      <c r="BZ47" s="129">
        <v>1</v>
      </c>
      <c r="CA47" s="129">
        <v>1</v>
      </c>
      <c r="CB47" s="129" t="s">
        <v>160</v>
      </c>
      <c r="CC47" s="155">
        <v>5</v>
      </c>
      <c r="CD47" s="129" t="s">
        <v>163</v>
      </c>
      <c r="CE47" s="144">
        <f t="shared" si="7"/>
        <v>0.13500000000000001</v>
      </c>
      <c r="CF47" s="144">
        <f t="shared" si="8"/>
        <v>0.13500000000000001</v>
      </c>
      <c r="CG47" s="145" t="s">
        <v>203</v>
      </c>
      <c r="CH47" s="129" t="s">
        <v>204</v>
      </c>
      <c r="CI47" s="129" t="s">
        <v>205</v>
      </c>
      <c r="CJ47" s="129" t="s">
        <v>206</v>
      </c>
      <c r="CK47" s="129" t="s">
        <v>158</v>
      </c>
      <c r="CL47" s="129" t="s">
        <v>158</v>
      </c>
      <c r="CM47" s="129" t="s">
        <v>158</v>
      </c>
      <c r="CN47" s="129" t="s">
        <v>160</v>
      </c>
      <c r="CO47" s="129" t="s">
        <v>160</v>
      </c>
      <c r="CP47" s="129" t="s">
        <v>160</v>
      </c>
      <c r="CQ47" s="129" t="s">
        <v>160</v>
      </c>
      <c r="CR47" s="129" t="s">
        <v>160</v>
      </c>
      <c r="CS47" s="129" t="s">
        <v>160</v>
      </c>
      <c r="CT47" s="129" t="s">
        <v>160</v>
      </c>
      <c r="CU47" s="129">
        <v>35</v>
      </c>
      <c r="CV47" s="129" t="s">
        <v>159</v>
      </c>
      <c r="CW47" s="146">
        <v>1</v>
      </c>
      <c r="CX47" s="129" t="s">
        <v>207</v>
      </c>
      <c r="CY47" s="123">
        <v>1.29606966835E-2</v>
      </c>
      <c r="CZ47" s="129" t="s">
        <v>159</v>
      </c>
      <c r="DA47" s="146">
        <v>2.5000000000000001E-3</v>
      </c>
      <c r="DB47" s="129" t="s">
        <v>208</v>
      </c>
      <c r="DC47" s="129">
        <v>4.8721187896200002E-2</v>
      </c>
      <c r="DD47" s="129" t="s">
        <v>159</v>
      </c>
      <c r="DE47" s="146">
        <v>2.5000000000000001E-3</v>
      </c>
      <c r="DF47" s="129" t="s">
        <v>209</v>
      </c>
      <c r="DG47" s="129" t="s">
        <v>160</v>
      </c>
      <c r="DH47" s="129" t="s">
        <v>160</v>
      </c>
      <c r="DI47" s="129" t="s">
        <v>160</v>
      </c>
      <c r="DJ47" s="129" t="s">
        <v>160</v>
      </c>
      <c r="DK47" s="145">
        <v>424.29</v>
      </c>
      <c r="DL47" s="129" t="s">
        <v>159</v>
      </c>
      <c r="DM47" s="145" t="s">
        <v>160</v>
      </c>
      <c r="DN47" s="129" t="s">
        <v>210</v>
      </c>
      <c r="DO47" s="129">
        <v>37.974679999999999</v>
      </c>
      <c r="DP47" s="129" t="s">
        <v>160</v>
      </c>
      <c r="DQ47" s="129">
        <v>0.67835499999999982</v>
      </c>
      <c r="DR47" s="129" t="s">
        <v>211</v>
      </c>
      <c r="DS47" s="129" t="s">
        <v>212</v>
      </c>
      <c r="DT47" s="129" t="s">
        <v>213</v>
      </c>
      <c r="DU47" s="129">
        <v>1.0271999999999999</v>
      </c>
      <c r="DV47" s="129" t="s">
        <v>214</v>
      </c>
      <c r="DW47" s="129" t="s">
        <v>214</v>
      </c>
      <c r="DX47" s="129" t="s">
        <v>215</v>
      </c>
      <c r="DY47" s="129" t="s">
        <v>160</v>
      </c>
      <c r="DZ47" s="129" t="s">
        <v>164</v>
      </c>
      <c r="EA47" s="129" t="s">
        <v>216</v>
      </c>
      <c r="EB47" s="129" t="s">
        <v>212</v>
      </c>
      <c r="EC47" s="129" t="s">
        <v>212</v>
      </c>
      <c r="ED47" s="129" t="s">
        <v>212</v>
      </c>
      <c r="EE47" s="129" t="s">
        <v>217</v>
      </c>
      <c r="EF47" s="147" t="s">
        <v>213</v>
      </c>
      <c r="EG47" s="148" t="s">
        <v>213</v>
      </c>
      <c r="EH47" s="129" t="s">
        <v>218</v>
      </c>
      <c r="EI47" s="129" t="s">
        <v>219</v>
      </c>
      <c r="EJ47" s="129" t="s">
        <v>160</v>
      </c>
      <c r="EK47" s="150">
        <v>1644.5170000000001</v>
      </c>
      <c r="EL47" s="129" t="s">
        <v>163</v>
      </c>
      <c r="EM47" s="150">
        <v>500</v>
      </c>
      <c r="EN47" s="150">
        <v>500</v>
      </c>
      <c r="EO47" s="129" t="s">
        <v>160</v>
      </c>
      <c r="EP47" s="129" t="s">
        <v>160</v>
      </c>
      <c r="EQ47" s="129" t="s">
        <v>160</v>
      </c>
      <c r="ER47" s="129" t="s">
        <v>160</v>
      </c>
      <c r="ES47" s="185">
        <v>7.9580979999999997</v>
      </c>
      <c r="ET47" s="142" t="s">
        <v>165</v>
      </c>
      <c r="EU47" s="185">
        <v>9.2432000000000514E-2</v>
      </c>
      <c r="EV47" s="185">
        <v>0.10538699999999945</v>
      </c>
      <c r="EW47" s="142" t="s">
        <v>160</v>
      </c>
      <c r="EX47" s="129" t="s">
        <v>160</v>
      </c>
      <c r="EY47" s="129" t="s">
        <v>160</v>
      </c>
      <c r="EZ47" s="180">
        <v>425.05779999999999</v>
      </c>
      <c r="FA47" s="180">
        <v>167.6429</v>
      </c>
      <c r="FB47" s="180">
        <v>125.34039999999999</v>
      </c>
      <c r="FC47" s="129" t="s">
        <v>220</v>
      </c>
      <c r="FD47" s="129" t="s">
        <v>221</v>
      </c>
      <c r="FE47" s="180">
        <v>1812.3329999999999</v>
      </c>
      <c r="FF47" s="187">
        <v>398.4860000000001</v>
      </c>
      <c r="FG47" s="187">
        <v>397.83599999999979</v>
      </c>
      <c r="FH47" s="129" t="s">
        <v>160</v>
      </c>
      <c r="FI47" s="129" t="s">
        <v>160</v>
      </c>
      <c r="FJ47" s="129" t="s">
        <v>160</v>
      </c>
      <c r="FK47" s="129" t="s">
        <v>160</v>
      </c>
      <c r="FL47" s="129" t="s">
        <v>160</v>
      </c>
      <c r="FM47" s="129" t="s">
        <v>160</v>
      </c>
      <c r="FN47" s="185">
        <v>3.7358020000000001</v>
      </c>
      <c r="FO47" s="185">
        <v>2.082087</v>
      </c>
      <c r="FP47" s="185">
        <v>1.6331860000000002</v>
      </c>
      <c r="FQ47" s="129" t="s">
        <v>414</v>
      </c>
      <c r="FR47" s="166" t="s">
        <v>313</v>
      </c>
      <c r="FS47" s="166">
        <v>2013</v>
      </c>
      <c r="FT47" s="166" t="s">
        <v>314</v>
      </c>
    </row>
    <row r="48" spans="1:176" s="129" customFormat="1" ht="17">
      <c r="A48" s="166" t="s">
        <v>152</v>
      </c>
      <c r="B48" s="166" t="s">
        <v>183</v>
      </c>
      <c r="C48" s="166">
        <v>2018</v>
      </c>
      <c r="D48" s="166" t="s">
        <v>184</v>
      </c>
      <c r="E48" s="150">
        <v>13708.85</v>
      </c>
      <c r="F48" s="166" t="s">
        <v>160</v>
      </c>
      <c r="G48" s="166" t="s">
        <v>160</v>
      </c>
      <c r="H48" s="179">
        <v>468.46280000000002</v>
      </c>
      <c r="I48" s="180">
        <v>195.33479999999997</v>
      </c>
      <c r="J48" s="180">
        <v>141.48310000000004</v>
      </c>
      <c r="K48" s="129" t="s">
        <v>457</v>
      </c>
      <c r="L48" s="131" t="s">
        <v>185</v>
      </c>
      <c r="M48" s="132" t="s">
        <v>186</v>
      </c>
      <c r="N48" s="129" t="s">
        <v>184</v>
      </c>
      <c r="O48" s="129" t="s">
        <v>315</v>
      </c>
      <c r="P48" s="129" t="s">
        <v>160</v>
      </c>
      <c r="Q48" s="129" t="s">
        <v>160</v>
      </c>
      <c r="R48" s="129" t="s">
        <v>160</v>
      </c>
      <c r="S48" s="129" t="s">
        <v>160</v>
      </c>
      <c r="T48" s="129" t="s">
        <v>160</v>
      </c>
      <c r="U48" s="151">
        <v>13735.67484</v>
      </c>
      <c r="V48" s="129">
        <v>3.5</v>
      </c>
      <c r="W48" s="129" t="s">
        <v>316</v>
      </c>
      <c r="X48" s="181" t="s">
        <v>317</v>
      </c>
      <c r="Y48" s="181">
        <v>35.926000000000002</v>
      </c>
      <c r="Z48" s="181">
        <v>4.335</v>
      </c>
      <c r="AA48" s="181">
        <v>32.5</v>
      </c>
      <c r="AB48" s="181" t="s">
        <v>160</v>
      </c>
      <c r="AC48" s="181" t="s">
        <v>318</v>
      </c>
      <c r="AD48" s="182" t="s">
        <v>319</v>
      </c>
      <c r="AE48" s="183" t="s">
        <v>328</v>
      </c>
      <c r="AF48" s="181" t="s">
        <v>160</v>
      </c>
      <c r="AG48" s="141">
        <v>13708.85</v>
      </c>
      <c r="AH48" s="138" t="s">
        <v>160</v>
      </c>
      <c r="AI48" s="129" t="s">
        <v>160</v>
      </c>
      <c r="AJ48" s="138" t="s">
        <v>160</v>
      </c>
      <c r="AK48" s="129" t="s">
        <v>237</v>
      </c>
      <c r="AL48" s="184" t="s">
        <v>321</v>
      </c>
      <c r="AM48" s="184" t="s">
        <v>456</v>
      </c>
      <c r="AN48" s="129" t="s">
        <v>160</v>
      </c>
      <c r="AO48" s="129" t="s">
        <v>160</v>
      </c>
      <c r="AP48" s="129" t="s">
        <v>160</v>
      </c>
      <c r="AQ48" s="129" t="s">
        <v>160</v>
      </c>
      <c r="AR48" s="129" t="s">
        <v>160</v>
      </c>
      <c r="AS48" s="129" t="s">
        <v>160</v>
      </c>
      <c r="AT48" s="129" t="s">
        <v>160</v>
      </c>
      <c r="AU48" s="129" t="s">
        <v>191</v>
      </c>
      <c r="AV48" s="129" t="s">
        <v>322</v>
      </c>
      <c r="AW48" s="129" t="s">
        <v>323</v>
      </c>
      <c r="AX48" s="129" t="s">
        <v>324</v>
      </c>
      <c r="AY48" s="129" t="s">
        <v>194</v>
      </c>
      <c r="AZ48" s="129" t="s">
        <v>325</v>
      </c>
      <c r="BA48" s="129" t="s">
        <v>162</v>
      </c>
      <c r="BB48" s="129" t="s">
        <v>160</v>
      </c>
      <c r="BC48" s="129">
        <v>2</v>
      </c>
      <c r="BD48" s="129" t="s">
        <v>160</v>
      </c>
      <c r="BE48" s="129">
        <v>15.98</v>
      </c>
      <c r="BF48" s="129" t="s">
        <v>326</v>
      </c>
      <c r="BG48" s="129">
        <v>0.23</v>
      </c>
      <c r="BH48" s="129">
        <v>0.83299999999999996</v>
      </c>
      <c r="BI48" s="129" t="s">
        <v>160</v>
      </c>
      <c r="BJ48" s="138" t="s">
        <v>160</v>
      </c>
      <c r="BK48" s="129">
        <v>2.69</v>
      </c>
      <c r="BL48" s="129" t="s">
        <v>160</v>
      </c>
      <c r="BM48" s="129" t="s">
        <v>160</v>
      </c>
      <c r="BN48" s="129" t="s">
        <v>200</v>
      </c>
      <c r="BO48" s="129" t="s">
        <v>201</v>
      </c>
      <c r="BP48" s="185">
        <v>15.954381752701082</v>
      </c>
      <c r="BQ48" s="129" t="s">
        <v>202</v>
      </c>
      <c r="BR48" s="142">
        <f t="shared" si="2"/>
        <v>0.23</v>
      </c>
      <c r="BS48" s="129" t="s">
        <v>160</v>
      </c>
      <c r="BT48" s="129" t="s">
        <v>160</v>
      </c>
      <c r="BU48" s="129">
        <v>10</v>
      </c>
      <c r="BV48" s="129" t="s">
        <v>159</v>
      </c>
      <c r="BW48" s="129">
        <v>10</v>
      </c>
      <c r="BX48" s="186">
        <v>28.110836891041568</v>
      </c>
      <c r="BY48" s="129" t="s">
        <v>159</v>
      </c>
      <c r="BZ48" s="129">
        <v>1</v>
      </c>
      <c r="CA48" s="129">
        <v>1</v>
      </c>
      <c r="CB48" s="129" t="s">
        <v>160</v>
      </c>
      <c r="CC48" s="155">
        <v>4.13</v>
      </c>
      <c r="CD48" s="129" t="s">
        <v>163</v>
      </c>
      <c r="CE48" s="144">
        <f t="shared" si="7"/>
        <v>0.11151</v>
      </c>
      <c r="CF48" s="144">
        <f t="shared" si="8"/>
        <v>0.11151</v>
      </c>
      <c r="CG48" s="145" t="s">
        <v>203</v>
      </c>
      <c r="CH48" s="129" t="s">
        <v>204</v>
      </c>
      <c r="CI48" s="129" t="s">
        <v>205</v>
      </c>
      <c r="CJ48" s="129" t="s">
        <v>206</v>
      </c>
      <c r="CK48" s="129" t="s">
        <v>158</v>
      </c>
      <c r="CL48" s="129" t="s">
        <v>158</v>
      </c>
      <c r="CM48" s="129" t="s">
        <v>158</v>
      </c>
      <c r="CN48" s="129" t="s">
        <v>160</v>
      </c>
      <c r="CO48" s="129" t="s">
        <v>160</v>
      </c>
      <c r="CP48" s="129" t="s">
        <v>160</v>
      </c>
      <c r="CQ48" s="129" t="s">
        <v>160</v>
      </c>
      <c r="CR48" s="129" t="s">
        <v>160</v>
      </c>
      <c r="CS48" s="129" t="s">
        <v>160</v>
      </c>
      <c r="CT48" s="129" t="s">
        <v>160</v>
      </c>
      <c r="CU48" s="129">
        <v>35</v>
      </c>
      <c r="CV48" s="129" t="s">
        <v>159</v>
      </c>
      <c r="CW48" s="146">
        <v>1</v>
      </c>
      <c r="CX48" s="129" t="s">
        <v>207</v>
      </c>
      <c r="CY48" s="123">
        <v>1.2956551314999998E-2</v>
      </c>
      <c r="CZ48" s="129" t="s">
        <v>159</v>
      </c>
      <c r="DA48" s="146">
        <v>2.5000000000000001E-3</v>
      </c>
      <c r="DB48" s="129" t="s">
        <v>208</v>
      </c>
      <c r="DC48" s="129">
        <v>4.7921026725699999E-2</v>
      </c>
      <c r="DD48" s="129" t="s">
        <v>159</v>
      </c>
      <c r="DE48" s="146">
        <v>2.5000000000000001E-3</v>
      </c>
      <c r="DF48" s="129" t="s">
        <v>209</v>
      </c>
      <c r="DG48" s="129" t="s">
        <v>160</v>
      </c>
      <c r="DH48" s="129" t="s">
        <v>160</v>
      </c>
      <c r="DI48" s="129" t="s">
        <v>160</v>
      </c>
      <c r="DJ48" s="129" t="s">
        <v>160</v>
      </c>
      <c r="DK48" s="145">
        <v>424.29</v>
      </c>
      <c r="DL48" s="129" t="s">
        <v>159</v>
      </c>
      <c r="DM48" s="145" t="s">
        <v>160</v>
      </c>
      <c r="DN48" s="129" t="s">
        <v>210</v>
      </c>
      <c r="DO48" s="129">
        <v>37.968530000000001</v>
      </c>
      <c r="DP48" s="129" t="s">
        <v>160</v>
      </c>
      <c r="DQ48" s="129">
        <v>0.67075499999999977</v>
      </c>
      <c r="DR48" s="129" t="s">
        <v>211</v>
      </c>
      <c r="DS48" s="129" t="s">
        <v>212</v>
      </c>
      <c r="DT48" s="129" t="s">
        <v>213</v>
      </c>
      <c r="DU48" s="129">
        <v>1.0271999999999999</v>
      </c>
      <c r="DV48" s="129" t="s">
        <v>214</v>
      </c>
      <c r="DW48" s="129" t="s">
        <v>214</v>
      </c>
      <c r="DX48" s="129" t="s">
        <v>215</v>
      </c>
      <c r="DY48" s="129" t="s">
        <v>160</v>
      </c>
      <c r="DZ48" s="129" t="s">
        <v>164</v>
      </c>
      <c r="EA48" s="129" t="s">
        <v>216</v>
      </c>
      <c r="EB48" s="129" t="s">
        <v>212</v>
      </c>
      <c r="EC48" s="129" t="s">
        <v>212</v>
      </c>
      <c r="ED48" s="129" t="s">
        <v>212</v>
      </c>
      <c r="EE48" s="129" t="s">
        <v>217</v>
      </c>
      <c r="EF48" s="147" t="s">
        <v>213</v>
      </c>
      <c r="EG48" s="148" t="s">
        <v>213</v>
      </c>
      <c r="EH48" s="129" t="s">
        <v>218</v>
      </c>
      <c r="EI48" s="129" t="s">
        <v>219</v>
      </c>
      <c r="EJ48" s="129" t="s">
        <v>160</v>
      </c>
      <c r="EK48" s="150">
        <v>1648.442</v>
      </c>
      <c r="EL48" s="129" t="s">
        <v>163</v>
      </c>
      <c r="EM48" s="150">
        <v>500</v>
      </c>
      <c r="EN48" s="150">
        <v>500</v>
      </c>
      <c r="EO48" s="129" t="s">
        <v>160</v>
      </c>
      <c r="EP48" s="129" t="s">
        <v>160</v>
      </c>
      <c r="EQ48" s="129" t="s">
        <v>160</v>
      </c>
      <c r="ER48" s="129" t="s">
        <v>160</v>
      </c>
      <c r="ES48" s="185">
        <v>7.9150530000000003</v>
      </c>
      <c r="ET48" s="142" t="s">
        <v>165</v>
      </c>
      <c r="EU48" s="185">
        <v>9.8587000000000202E-2</v>
      </c>
      <c r="EV48" s="185">
        <v>0.11437400000000064</v>
      </c>
      <c r="EW48" s="142" t="s">
        <v>160</v>
      </c>
      <c r="EX48" s="129" t="s">
        <v>160</v>
      </c>
      <c r="EY48" s="129" t="s">
        <v>160</v>
      </c>
      <c r="EZ48" s="180">
        <v>468.46280000000002</v>
      </c>
      <c r="FA48" s="180">
        <v>195.33479999999997</v>
      </c>
      <c r="FB48" s="180">
        <v>141.48310000000004</v>
      </c>
      <c r="FC48" s="129" t="s">
        <v>220</v>
      </c>
      <c r="FD48" s="129" t="s">
        <v>221</v>
      </c>
      <c r="FE48" s="180">
        <v>1791.98</v>
      </c>
      <c r="FF48" s="187">
        <v>400.43199999999979</v>
      </c>
      <c r="FG48" s="187">
        <v>397.82600000000002</v>
      </c>
      <c r="FH48" s="129" t="s">
        <v>160</v>
      </c>
      <c r="FI48" s="129" t="s">
        <v>160</v>
      </c>
      <c r="FJ48" s="129" t="s">
        <v>160</v>
      </c>
      <c r="FK48" s="129" t="s">
        <v>160</v>
      </c>
      <c r="FL48" s="129" t="s">
        <v>160</v>
      </c>
      <c r="FM48" s="129" t="s">
        <v>160</v>
      </c>
      <c r="FN48" s="185">
        <v>3.134452</v>
      </c>
      <c r="FO48" s="185">
        <v>1.8054789999999996</v>
      </c>
      <c r="FP48" s="185">
        <v>1.365353</v>
      </c>
      <c r="FQ48" s="129" t="s">
        <v>414</v>
      </c>
      <c r="FR48" s="166" t="s">
        <v>313</v>
      </c>
      <c r="FS48" s="166">
        <v>2013</v>
      </c>
      <c r="FT48" s="166" t="s">
        <v>314</v>
      </c>
    </row>
    <row r="49" spans="1:176" s="129" customFormat="1" ht="17">
      <c r="A49" s="166" t="s">
        <v>152</v>
      </c>
      <c r="B49" s="166" t="s">
        <v>183</v>
      </c>
      <c r="C49" s="166">
        <v>2018</v>
      </c>
      <c r="D49" s="166" t="s">
        <v>184</v>
      </c>
      <c r="E49" s="150">
        <v>13646.800000000001</v>
      </c>
      <c r="F49" s="166" t="s">
        <v>160</v>
      </c>
      <c r="G49" s="166" t="s">
        <v>160</v>
      </c>
      <c r="H49" s="179">
        <v>463.97829999999999</v>
      </c>
      <c r="I49" s="180">
        <v>184.15449999999998</v>
      </c>
      <c r="J49" s="180">
        <v>136.5401</v>
      </c>
      <c r="K49" s="129" t="s">
        <v>457</v>
      </c>
      <c r="L49" s="131" t="s">
        <v>185</v>
      </c>
      <c r="M49" s="132" t="s">
        <v>186</v>
      </c>
      <c r="N49" s="129" t="s">
        <v>184</v>
      </c>
      <c r="O49" s="129" t="s">
        <v>315</v>
      </c>
      <c r="P49" s="129" t="s">
        <v>160</v>
      </c>
      <c r="Q49" s="129" t="s">
        <v>160</v>
      </c>
      <c r="R49" s="129" t="s">
        <v>160</v>
      </c>
      <c r="S49" s="129" t="s">
        <v>160</v>
      </c>
      <c r="T49" s="129" t="s">
        <v>160</v>
      </c>
      <c r="U49" s="151">
        <v>13730.82418</v>
      </c>
      <c r="V49" s="129">
        <v>3.85</v>
      </c>
      <c r="W49" s="129" t="s">
        <v>316</v>
      </c>
      <c r="X49" s="181" t="s">
        <v>317</v>
      </c>
      <c r="Y49" s="181">
        <v>35.926000000000002</v>
      </c>
      <c r="Z49" s="181">
        <v>4.335</v>
      </c>
      <c r="AA49" s="181">
        <v>32.5</v>
      </c>
      <c r="AB49" s="181" t="s">
        <v>160</v>
      </c>
      <c r="AC49" s="181" t="s">
        <v>318</v>
      </c>
      <c r="AD49" s="182" t="s">
        <v>319</v>
      </c>
      <c r="AE49" s="183" t="s">
        <v>328</v>
      </c>
      <c r="AF49" s="181" t="s">
        <v>160</v>
      </c>
      <c r="AG49" s="141">
        <v>13646.800000000001</v>
      </c>
      <c r="AH49" s="138" t="s">
        <v>160</v>
      </c>
      <c r="AI49" s="129" t="s">
        <v>160</v>
      </c>
      <c r="AJ49" s="138" t="s">
        <v>160</v>
      </c>
      <c r="AK49" s="129" t="s">
        <v>237</v>
      </c>
      <c r="AL49" s="184" t="s">
        <v>321</v>
      </c>
      <c r="AM49" s="184" t="s">
        <v>456</v>
      </c>
      <c r="AN49" s="129" t="s">
        <v>160</v>
      </c>
      <c r="AO49" s="129" t="s">
        <v>160</v>
      </c>
      <c r="AP49" s="129" t="s">
        <v>160</v>
      </c>
      <c r="AQ49" s="129" t="s">
        <v>160</v>
      </c>
      <c r="AR49" s="129" t="s">
        <v>160</v>
      </c>
      <c r="AS49" s="129" t="s">
        <v>160</v>
      </c>
      <c r="AT49" s="129" t="s">
        <v>160</v>
      </c>
      <c r="AU49" s="129" t="s">
        <v>191</v>
      </c>
      <c r="AV49" s="129" t="s">
        <v>322</v>
      </c>
      <c r="AW49" s="129" t="s">
        <v>323</v>
      </c>
      <c r="AX49" s="129" t="s">
        <v>324</v>
      </c>
      <c r="AY49" s="129" t="s">
        <v>194</v>
      </c>
      <c r="AZ49" s="129" t="s">
        <v>325</v>
      </c>
      <c r="BA49" s="129" t="s">
        <v>162</v>
      </c>
      <c r="BB49" s="129" t="s">
        <v>160</v>
      </c>
      <c r="BC49" s="129">
        <v>2</v>
      </c>
      <c r="BD49" s="129" t="s">
        <v>160</v>
      </c>
      <c r="BE49" s="129">
        <v>16.170000000000002</v>
      </c>
      <c r="BF49" s="129" t="s">
        <v>326</v>
      </c>
      <c r="BG49" s="129">
        <v>0.23</v>
      </c>
      <c r="BH49" s="129">
        <v>0.83299999999999996</v>
      </c>
      <c r="BI49" s="129" t="s">
        <v>160</v>
      </c>
      <c r="BJ49" s="138" t="s">
        <v>160</v>
      </c>
      <c r="BK49" s="129">
        <v>2.69</v>
      </c>
      <c r="BL49" s="129" t="s">
        <v>160</v>
      </c>
      <c r="BM49" s="129" t="s">
        <v>160</v>
      </c>
      <c r="BN49" s="129" t="s">
        <v>200</v>
      </c>
      <c r="BO49" s="129" t="s">
        <v>201</v>
      </c>
      <c r="BP49" s="185">
        <v>16.182472989195681</v>
      </c>
      <c r="BQ49" s="129" t="s">
        <v>202</v>
      </c>
      <c r="BR49" s="142">
        <f t="shared" si="2"/>
        <v>0.23</v>
      </c>
      <c r="BS49" s="129" t="s">
        <v>160</v>
      </c>
      <c r="BT49" s="129" t="s">
        <v>160</v>
      </c>
      <c r="BU49" s="129">
        <v>10</v>
      </c>
      <c r="BV49" s="129" t="s">
        <v>159</v>
      </c>
      <c r="BW49" s="129">
        <v>10</v>
      </c>
      <c r="BX49" s="186">
        <v>29.587465607311024</v>
      </c>
      <c r="BY49" s="129" t="s">
        <v>159</v>
      </c>
      <c r="BZ49" s="129">
        <v>1</v>
      </c>
      <c r="CA49" s="129">
        <v>1</v>
      </c>
      <c r="CB49" s="129" t="s">
        <v>160</v>
      </c>
      <c r="CC49" s="155">
        <v>4.72</v>
      </c>
      <c r="CD49" s="129" t="s">
        <v>163</v>
      </c>
      <c r="CE49" s="144">
        <f t="shared" si="7"/>
        <v>0.12744</v>
      </c>
      <c r="CF49" s="144">
        <f t="shared" si="8"/>
        <v>0.12744</v>
      </c>
      <c r="CG49" s="145" t="s">
        <v>203</v>
      </c>
      <c r="CH49" s="129" t="s">
        <v>204</v>
      </c>
      <c r="CI49" s="129" t="s">
        <v>205</v>
      </c>
      <c r="CJ49" s="129" t="s">
        <v>206</v>
      </c>
      <c r="CK49" s="129" t="s">
        <v>158</v>
      </c>
      <c r="CL49" s="129" t="s">
        <v>158</v>
      </c>
      <c r="CM49" s="129" t="s">
        <v>158</v>
      </c>
      <c r="CN49" s="129" t="s">
        <v>160</v>
      </c>
      <c r="CO49" s="129" t="s">
        <v>160</v>
      </c>
      <c r="CP49" s="129" t="s">
        <v>160</v>
      </c>
      <c r="CQ49" s="129" t="s">
        <v>160</v>
      </c>
      <c r="CR49" s="129" t="s">
        <v>160</v>
      </c>
      <c r="CS49" s="129" t="s">
        <v>160</v>
      </c>
      <c r="CT49" s="129" t="s">
        <v>160</v>
      </c>
      <c r="CU49" s="129">
        <v>35</v>
      </c>
      <c r="CV49" s="129" t="s">
        <v>159</v>
      </c>
      <c r="CW49" s="146">
        <v>1</v>
      </c>
      <c r="CX49" s="129" t="s">
        <v>207</v>
      </c>
      <c r="CY49" s="123">
        <v>1.2945884919999999E-2</v>
      </c>
      <c r="CZ49" s="129" t="s">
        <v>159</v>
      </c>
      <c r="DA49" s="146">
        <v>2.5000000000000001E-3</v>
      </c>
      <c r="DB49" s="129" t="s">
        <v>208</v>
      </c>
      <c r="DC49" s="129">
        <v>4.7120865555200002E-2</v>
      </c>
      <c r="DD49" s="129" t="s">
        <v>159</v>
      </c>
      <c r="DE49" s="146">
        <v>2.5000000000000001E-3</v>
      </c>
      <c r="DF49" s="129" t="s">
        <v>209</v>
      </c>
      <c r="DG49" s="129" t="s">
        <v>160</v>
      </c>
      <c r="DH49" s="129" t="s">
        <v>160</v>
      </c>
      <c r="DI49" s="129" t="s">
        <v>160</v>
      </c>
      <c r="DJ49" s="129" t="s">
        <v>160</v>
      </c>
      <c r="DK49" s="145">
        <v>424.29</v>
      </c>
      <c r="DL49" s="129" t="s">
        <v>159</v>
      </c>
      <c r="DM49" s="145" t="s">
        <v>160</v>
      </c>
      <c r="DN49" s="129" t="s">
        <v>210</v>
      </c>
      <c r="DO49" s="129">
        <v>37.970059999999997</v>
      </c>
      <c r="DP49" s="129" t="s">
        <v>160</v>
      </c>
      <c r="DQ49" s="129">
        <v>0.67433499999999924</v>
      </c>
      <c r="DR49" s="129" t="s">
        <v>211</v>
      </c>
      <c r="DS49" s="129" t="s">
        <v>212</v>
      </c>
      <c r="DT49" s="129" t="s">
        <v>213</v>
      </c>
      <c r="DU49" s="129">
        <v>1.0271999999999999</v>
      </c>
      <c r="DV49" s="129" t="s">
        <v>214</v>
      </c>
      <c r="DW49" s="129" t="s">
        <v>214</v>
      </c>
      <c r="DX49" s="129" t="s">
        <v>215</v>
      </c>
      <c r="DY49" s="129" t="s">
        <v>160</v>
      </c>
      <c r="DZ49" s="129" t="s">
        <v>164</v>
      </c>
      <c r="EA49" s="129" t="s">
        <v>216</v>
      </c>
      <c r="EB49" s="129" t="s">
        <v>212</v>
      </c>
      <c r="EC49" s="129" t="s">
        <v>212</v>
      </c>
      <c r="ED49" s="129" t="s">
        <v>212</v>
      </c>
      <c r="EE49" s="129" t="s">
        <v>217</v>
      </c>
      <c r="EF49" s="147" t="s">
        <v>213</v>
      </c>
      <c r="EG49" s="148" t="s">
        <v>213</v>
      </c>
      <c r="EH49" s="129" t="s">
        <v>218</v>
      </c>
      <c r="EI49" s="129" t="s">
        <v>219</v>
      </c>
      <c r="EJ49" s="129" t="s">
        <v>160</v>
      </c>
      <c r="EK49" s="150">
        <v>1651.1640000000002</v>
      </c>
      <c r="EL49" s="129" t="s">
        <v>163</v>
      </c>
      <c r="EM49" s="150">
        <v>500</v>
      </c>
      <c r="EN49" s="150">
        <v>500</v>
      </c>
      <c r="EO49" s="129" t="s">
        <v>160</v>
      </c>
      <c r="EP49" s="129" t="s">
        <v>160</v>
      </c>
      <c r="EQ49" s="129" t="s">
        <v>160</v>
      </c>
      <c r="ER49" s="129" t="s">
        <v>160</v>
      </c>
      <c r="ES49" s="185">
        <v>7.9222830000000002</v>
      </c>
      <c r="ET49" s="142" t="s">
        <v>165</v>
      </c>
      <c r="EU49" s="185">
        <v>9.5731999999999928E-2</v>
      </c>
      <c r="EV49" s="185">
        <v>0.11202999999999985</v>
      </c>
      <c r="EW49" s="142" t="s">
        <v>160</v>
      </c>
      <c r="EX49" s="129" t="s">
        <v>160</v>
      </c>
      <c r="EY49" s="129" t="s">
        <v>160</v>
      </c>
      <c r="EZ49" s="180">
        <v>463.97829999999999</v>
      </c>
      <c r="FA49" s="180">
        <v>184.15449999999998</v>
      </c>
      <c r="FB49" s="180">
        <v>136.5401</v>
      </c>
      <c r="FC49" s="129" t="s">
        <v>220</v>
      </c>
      <c r="FD49" s="129" t="s">
        <v>221</v>
      </c>
      <c r="FE49" s="180">
        <v>1803.1959999999999</v>
      </c>
      <c r="FF49" s="187">
        <v>396.75599999999986</v>
      </c>
      <c r="FG49" s="187">
        <v>397.25700000000006</v>
      </c>
      <c r="FH49" s="129" t="s">
        <v>160</v>
      </c>
      <c r="FI49" s="129" t="s">
        <v>160</v>
      </c>
      <c r="FJ49" s="129" t="s">
        <v>160</v>
      </c>
      <c r="FK49" s="129" t="s">
        <v>160</v>
      </c>
      <c r="FL49" s="129" t="s">
        <v>160</v>
      </c>
      <c r="FM49" s="129" t="s">
        <v>160</v>
      </c>
      <c r="FN49" s="185">
        <v>3.384344</v>
      </c>
      <c r="FO49" s="185">
        <v>1.9648429999999997</v>
      </c>
      <c r="FP49" s="185">
        <v>1.4810920000000001</v>
      </c>
      <c r="FQ49" s="129" t="s">
        <v>414</v>
      </c>
      <c r="FR49" s="166" t="s">
        <v>313</v>
      </c>
      <c r="FS49" s="166">
        <v>2013</v>
      </c>
      <c r="FT49" s="166" t="s">
        <v>314</v>
      </c>
    </row>
    <row r="50" spans="1:176" s="129" customFormat="1" ht="17">
      <c r="A50" s="166" t="s">
        <v>152</v>
      </c>
      <c r="B50" s="166" t="s">
        <v>183</v>
      </c>
      <c r="C50" s="166">
        <v>2018</v>
      </c>
      <c r="D50" s="166" t="s">
        <v>184</v>
      </c>
      <c r="E50" s="189">
        <v>1.66</v>
      </c>
      <c r="F50" s="166" t="s">
        <v>160</v>
      </c>
      <c r="G50" s="166" t="s">
        <v>160</v>
      </c>
      <c r="H50" s="190">
        <v>261.26190000000003</v>
      </c>
      <c r="I50" s="191">
        <v>19.988499999999988</v>
      </c>
      <c r="J50" s="191">
        <v>18.543900000000036</v>
      </c>
      <c r="K50" s="129" t="s">
        <v>457</v>
      </c>
      <c r="L50" s="131" t="s">
        <v>185</v>
      </c>
      <c r="M50" s="132" t="s">
        <v>186</v>
      </c>
      <c r="N50" s="129" t="s">
        <v>184</v>
      </c>
      <c r="O50" s="129">
        <v>999</v>
      </c>
      <c r="P50" s="192" t="s">
        <v>156</v>
      </c>
      <c r="Q50" s="192">
        <v>1</v>
      </c>
      <c r="R50" s="192">
        <v>1</v>
      </c>
      <c r="S50" s="192">
        <v>4</v>
      </c>
      <c r="T50" s="192">
        <v>5</v>
      </c>
      <c r="U50" s="129">
        <v>0.05</v>
      </c>
      <c r="V50" s="129" t="s">
        <v>160</v>
      </c>
      <c r="W50" s="129" t="s">
        <v>160</v>
      </c>
      <c r="X50" s="129" t="s">
        <v>157</v>
      </c>
      <c r="Y50" s="192">
        <v>12.744</v>
      </c>
      <c r="Z50" s="192">
        <v>-78.7393</v>
      </c>
      <c r="AA50" s="192" t="s">
        <v>160</v>
      </c>
      <c r="AB50" s="192" t="s">
        <v>160</v>
      </c>
      <c r="AC50" s="192">
        <v>-2828</v>
      </c>
      <c r="AD50" s="129" t="s">
        <v>160</v>
      </c>
      <c r="AE50" s="192" t="s">
        <v>160</v>
      </c>
      <c r="AF50" s="129" t="s">
        <v>160</v>
      </c>
      <c r="AG50" s="151">
        <v>1.66</v>
      </c>
      <c r="AH50" s="138" t="s">
        <v>160</v>
      </c>
      <c r="AI50" s="129" t="s">
        <v>160</v>
      </c>
      <c r="AJ50" s="138" t="s">
        <v>160</v>
      </c>
      <c r="AK50" s="129" t="s">
        <v>237</v>
      </c>
      <c r="AL50" s="184" t="s">
        <v>321</v>
      </c>
      <c r="AM50" s="184" t="s">
        <v>331</v>
      </c>
      <c r="AN50" s="129" t="s">
        <v>160</v>
      </c>
      <c r="AO50" s="129" t="s">
        <v>160</v>
      </c>
      <c r="AP50" s="129" t="s">
        <v>160</v>
      </c>
      <c r="AQ50" s="129" t="s">
        <v>160</v>
      </c>
      <c r="AR50" s="129" t="s">
        <v>160</v>
      </c>
      <c r="AS50" s="129" t="s">
        <v>160</v>
      </c>
      <c r="AT50" s="129" t="s">
        <v>160</v>
      </c>
      <c r="AU50" s="192" t="s">
        <v>332</v>
      </c>
      <c r="AV50" s="192" t="s">
        <v>161</v>
      </c>
      <c r="AW50" s="166">
        <v>100</v>
      </c>
      <c r="AX50" s="193" t="s">
        <v>333</v>
      </c>
      <c r="AY50" s="192" t="s">
        <v>194</v>
      </c>
      <c r="AZ50" s="192" t="s">
        <v>334</v>
      </c>
      <c r="BA50" s="192" t="s">
        <v>196</v>
      </c>
      <c r="BB50" s="129" t="s">
        <v>335</v>
      </c>
      <c r="BC50" s="129">
        <v>2</v>
      </c>
      <c r="BD50" s="129">
        <v>7.000000000000027E-2</v>
      </c>
      <c r="BE50" s="172">
        <v>19.170000000000002</v>
      </c>
      <c r="BF50" s="194" t="s">
        <v>163</v>
      </c>
      <c r="BG50" s="172">
        <v>0.11</v>
      </c>
      <c r="BH50" s="129">
        <v>0.83299999999999996</v>
      </c>
      <c r="BI50" s="129" t="s">
        <v>160</v>
      </c>
      <c r="BJ50" s="138" t="s">
        <v>160</v>
      </c>
      <c r="BK50" s="129">
        <v>2.69</v>
      </c>
      <c r="BL50" s="129" t="s">
        <v>160</v>
      </c>
      <c r="BM50" s="129" t="s">
        <v>160</v>
      </c>
      <c r="BN50" s="129" t="s">
        <v>200</v>
      </c>
      <c r="BO50" s="129" t="s">
        <v>201</v>
      </c>
      <c r="BP50" s="151">
        <v>19.783913565426172</v>
      </c>
      <c r="BQ50" s="129" t="s">
        <v>202</v>
      </c>
      <c r="BR50" s="142">
        <f t="shared" ref="BR50:BR57" si="9">BG50</f>
        <v>0.11</v>
      </c>
      <c r="BS50" s="129" t="s">
        <v>160</v>
      </c>
      <c r="BT50" s="129" t="s">
        <v>160</v>
      </c>
      <c r="BU50" s="129">
        <v>10</v>
      </c>
      <c r="BV50" s="129" t="s">
        <v>159</v>
      </c>
      <c r="BW50" s="129">
        <v>10</v>
      </c>
      <c r="BX50" s="129">
        <v>28.3</v>
      </c>
      <c r="BY50" s="129" t="s">
        <v>159</v>
      </c>
      <c r="BZ50" s="129">
        <v>1</v>
      </c>
      <c r="CA50" s="129">
        <v>1</v>
      </c>
      <c r="CB50" s="129" t="s">
        <v>336</v>
      </c>
      <c r="CC50" s="129" t="s">
        <v>160</v>
      </c>
      <c r="CD50" s="129" t="s">
        <v>160</v>
      </c>
      <c r="CE50" s="129" t="s">
        <v>160</v>
      </c>
      <c r="CF50" s="129" t="s">
        <v>160</v>
      </c>
      <c r="CG50" s="129" t="s">
        <v>160</v>
      </c>
      <c r="CH50" s="129" t="s">
        <v>160</v>
      </c>
      <c r="CI50" s="129" t="s">
        <v>160</v>
      </c>
      <c r="CJ50" s="129" t="s">
        <v>160</v>
      </c>
      <c r="CK50" s="129" t="s">
        <v>160</v>
      </c>
      <c r="CL50" s="129" t="s">
        <v>160</v>
      </c>
      <c r="CM50" s="129" t="s">
        <v>160</v>
      </c>
      <c r="CN50" s="129" t="s">
        <v>337</v>
      </c>
      <c r="CO50" s="129" t="s">
        <v>338</v>
      </c>
      <c r="CP50" s="178" t="s">
        <v>160</v>
      </c>
      <c r="CQ50" s="178" t="s">
        <v>160</v>
      </c>
      <c r="CR50" s="129" t="s">
        <v>160</v>
      </c>
      <c r="CS50" s="129" t="s">
        <v>339</v>
      </c>
      <c r="CT50" s="129" t="s">
        <v>340</v>
      </c>
      <c r="CU50" s="129">
        <v>36</v>
      </c>
      <c r="CV50" s="129" t="s">
        <v>159</v>
      </c>
      <c r="CW50" s="146">
        <v>1</v>
      </c>
      <c r="CX50" s="129" t="s">
        <v>207</v>
      </c>
      <c r="CY50" s="129">
        <v>1.06E-2</v>
      </c>
      <c r="CZ50" s="129" t="s">
        <v>159</v>
      </c>
      <c r="DA50" s="146">
        <v>0</v>
      </c>
      <c r="DB50" s="129" t="s">
        <v>208</v>
      </c>
      <c r="DC50" s="129">
        <v>5.5100000000000003E-2</v>
      </c>
      <c r="DD50" s="129" t="s">
        <v>159</v>
      </c>
      <c r="DE50" s="146">
        <v>0</v>
      </c>
      <c r="DF50" s="129" t="s">
        <v>208</v>
      </c>
      <c r="DG50" s="129" t="s">
        <v>160</v>
      </c>
      <c r="DH50" s="129" t="s">
        <v>160</v>
      </c>
      <c r="DI50" s="129" t="s">
        <v>160</v>
      </c>
      <c r="DJ50" s="129" t="s">
        <v>160</v>
      </c>
      <c r="DK50" s="145">
        <v>432.56244218316402</v>
      </c>
      <c r="DL50" s="129" t="s">
        <v>159</v>
      </c>
      <c r="DM50" s="145" t="s">
        <v>160</v>
      </c>
      <c r="DN50" s="129" t="s">
        <v>434</v>
      </c>
      <c r="DO50" s="129">
        <v>39.6053</v>
      </c>
      <c r="DP50" s="129" t="s">
        <v>160</v>
      </c>
      <c r="DQ50" s="129">
        <v>4.5199999999994134E-3</v>
      </c>
      <c r="DR50" s="129" t="s">
        <v>435</v>
      </c>
      <c r="DS50" s="129" t="s">
        <v>212</v>
      </c>
      <c r="DT50" s="129" t="s">
        <v>213</v>
      </c>
      <c r="DU50" s="129">
        <v>1.0271999999999999</v>
      </c>
      <c r="DV50" s="129" t="s">
        <v>214</v>
      </c>
      <c r="DW50" s="129" t="s">
        <v>214</v>
      </c>
      <c r="DX50" s="129" t="s">
        <v>215</v>
      </c>
      <c r="DY50" s="129" t="s">
        <v>160</v>
      </c>
      <c r="DZ50" s="129" t="s">
        <v>164</v>
      </c>
      <c r="EA50" s="129" t="s">
        <v>216</v>
      </c>
      <c r="EB50" s="129" t="s">
        <v>212</v>
      </c>
      <c r="EC50" s="129" t="s">
        <v>212</v>
      </c>
      <c r="ED50" s="129" t="s">
        <v>212</v>
      </c>
      <c r="EE50" s="129" t="s">
        <v>217</v>
      </c>
      <c r="EF50" s="147" t="s">
        <v>213</v>
      </c>
      <c r="EG50" s="148" t="s">
        <v>213</v>
      </c>
      <c r="EH50" s="129" t="s">
        <v>218</v>
      </c>
      <c r="EI50" s="129" t="s">
        <v>417</v>
      </c>
      <c r="EJ50" s="129" t="s">
        <v>160</v>
      </c>
      <c r="EK50" s="129">
        <v>1999.9670000000001</v>
      </c>
      <c r="EL50" s="129" t="s">
        <v>163</v>
      </c>
      <c r="EM50" s="129">
        <v>2.7000000000099861E-2</v>
      </c>
      <c r="EN50" s="129">
        <v>2.8000000000007186E-2</v>
      </c>
      <c r="EO50" s="129" t="s">
        <v>160</v>
      </c>
      <c r="EP50" s="129" t="s">
        <v>160</v>
      </c>
      <c r="EQ50" s="129" t="s">
        <v>160</v>
      </c>
      <c r="ER50" s="129" t="s">
        <v>160</v>
      </c>
      <c r="ES50" s="151">
        <v>8.1537880000000005</v>
      </c>
      <c r="ET50" s="142" t="s">
        <v>165</v>
      </c>
      <c r="EU50" s="151">
        <v>2.5760999999999257E-2</v>
      </c>
      <c r="EV50" s="151">
        <v>2.6366000000001222E-2</v>
      </c>
      <c r="EW50" s="142" t="s">
        <v>160</v>
      </c>
      <c r="EX50" s="129" t="s">
        <v>160</v>
      </c>
      <c r="EY50" s="129" t="s">
        <v>160</v>
      </c>
      <c r="EZ50" s="191">
        <v>261.26190000000003</v>
      </c>
      <c r="FA50" s="191">
        <v>19.988499999999988</v>
      </c>
      <c r="FB50" s="191">
        <v>18.543900000000036</v>
      </c>
      <c r="FC50" s="129" t="s">
        <v>220</v>
      </c>
      <c r="FD50" s="129" t="s">
        <v>221</v>
      </c>
      <c r="FE50" s="191">
        <v>2375.6559999999999</v>
      </c>
      <c r="FF50" s="191">
        <v>27.164000000000215</v>
      </c>
      <c r="FG50" s="191">
        <v>26.324999999999818</v>
      </c>
      <c r="FH50" s="129" t="s">
        <v>160</v>
      </c>
      <c r="FI50" s="129" t="s">
        <v>160</v>
      </c>
      <c r="FJ50" s="129" t="s">
        <v>160</v>
      </c>
      <c r="FK50" s="129" t="s">
        <v>160</v>
      </c>
      <c r="FL50" s="129" t="s">
        <v>160</v>
      </c>
      <c r="FM50" s="129" t="s">
        <v>160</v>
      </c>
      <c r="FN50" s="151">
        <v>4.8425140000000004</v>
      </c>
      <c r="FO50" s="151">
        <v>0.15755299999999917</v>
      </c>
      <c r="FP50" s="151">
        <v>0.15250300000000028</v>
      </c>
      <c r="FQ50" s="178" t="s">
        <v>419</v>
      </c>
      <c r="FR50" s="166" t="s">
        <v>329</v>
      </c>
      <c r="FS50" s="166">
        <v>2010</v>
      </c>
      <c r="FT50" s="188" t="s">
        <v>330</v>
      </c>
    </row>
    <row r="51" spans="1:176" s="129" customFormat="1" ht="17">
      <c r="A51" s="166" t="s">
        <v>152</v>
      </c>
      <c r="B51" s="166" t="s">
        <v>183</v>
      </c>
      <c r="C51" s="166">
        <v>2018</v>
      </c>
      <c r="D51" s="166" t="s">
        <v>184</v>
      </c>
      <c r="E51" s="150">
        <v>930.47117040578553</v>
      </c>
      <c r="F51" s="166" t="s">
        <v>160</v>
      </c>
      <c r="G51" s="166" t="s">
        <v>160</v>
      </c>
      <c r="H51" s="190">
        <v>246.73190000000002</v>
      </c>
      <c r="I51" s="191">
        <v>24.660799999999966</v>
      </c>
      <c r="J51" s="191">
        <v>22.629600000000039</v>
      </c>
      <c r="K51" s="129" t="s">
        <v>457</v>
      </c>
      <c r="L51" s="131" t="s">
        <v>185</v>
      </c>
      <c r="M51" s="132" t="s">
        <v>186</v>
      </c>
      <c r="N51" s="129" t="s">
        <v>184</v>
      </c>
      <c r="O51" s="129">
        <v>999</v>
      </c>
      <c r="P51" s="192" t="s">
        <v>156</v>
      </c>
      <c r="Q51" s="129">
        <v>4</v>
      </c>
      <c r="R51" s="129">
        <v>4</v>
      </c>
      <c r="S51" s="129">
        <v>33</v>
      </c>
      <c r="T51" s="129">
        <v>35</v>
      </c>
      <c r="U51" s="129">
        <v>31.43</v>
      </c>
      <c r="V51" s="129" t="s">
        <v>160</v>
      </c>
      <c r="W51" s="129" t="s">
        <v>160</v>
      </c>
      <c r="X51" s="129" t="s">
        <v>157</v>
      </c>
      <c r="Y51" s="192">
        <v>12.744</v>
      </c>
      <c r="Z51" s="192">
        <v>-78.7393</v>
      </c>
      <c r="AA51" s="192" t="s">
        <v>160</v>
      </c>
      <c r="AB51" s="192" t="s">
        <v>160</v>
      </c>
      <c r="AC51" s="192">
        <v>-2828</v>
      </c>
      <c r="AD51" s="129" t="s">
        <v>160</v>
      </c>
      <c r="AE51" s="192" t="s">
        <v>160</v>
      </c>
      <c r="AF51" s="129" t="s">
        <v>160</v>
      </c>
      <c r="AG51" s="151">
        <v>930.47117040578553</v>
      </c>
      <c r="AH51" s="138" t="s">
        <v>160</v>
      </c>
      <c r="AI51" s="129" t="s">
        <v>160</v>
      </c>
      <c r="AJ51" s="138" t="s">
        <v>160</v>
      </c>
      <c r="AK51" s="129" t="s">
        <v>237</v>
      </c>
      <c r="AL51" s="184" t="s">
        <v>321</v>
      </c>
      <c r="AM51" s="184" t="s">
        <v>331</v>
      </c>
      <c r="AN51" s="129" t="s">
        <v>160</v>
      </c>
      <c r="AO51" s="129" t="s">
        <v>160</v>
      </c>
      <c r="AP51" s="129" t="s">
        <v>160</v>
      </c>
      <c r="AQ51" s="129" t="s">
        <v>160</v>
      </c>
      <c r="AR51" s="129" t="s">
        <v>160</v>
      </c>
      <c r="AS51" s="129" t="s">
        <v>160</v>
      </c>
      <c r="AT51" s="129" t="s">
        <v>160</v>
      </c>
      <c r="AU51" s="192" t="s">
        <v>332</v>
      </c>
      <c r="AV51" s="192" t="s">
        <v>161</v>
      </c>
      <c r="AW51" s="166">
        <v>100</v>
      </c>
      <c r="AX51" s="193" t="s">
        <v>333</v>
      </c>
      <c r="AY51" s="192" t="s">
        <v>194</v>
      </c>
      <c r="AZ51" s="192" t="s">
        <v>334</v>
      </c>
      <c r="BA51" s="192" t="s">
        <v>196</v>
      </c>
      <c r="BB51" s="129" t="s">
        <v>341</v>
      </c>
      <c r="BC51" s="129">
        <v>2</v>
      </c>
      <c r="BD51" s="129">
        <v>0.12999999999999901</v>
      </c>
      <c r="BE51" s="172">
        <v>18.989999999999998</v>
      </c>
      <c r="BF51" s="194" t="s">
        <v>163</v>
      </c>
      <c r="BG51" s="172">
        <v>0.09</v>
      </c>
      <c r="BH51" s="129">
        <v>0.83299999999999996</v>
      </c>
      <c r="BI51" s="129" t="s">
        <v>160</v>
      </c>
      <c r="BJ51" s="138" t="s">
        <v>160</v>
      </c>
      <c r="BK51" s="129">
        <v>2.69</v>
      </c>
      <c r="BL51" s="129" t="s">
        <v>160</v>
      </c>
      <c r="BM51" s="129" t="s">
        <v>160</v>
      </c>
      <c r="BN51" s="129" t="s">
        <v>200</v>
      </c>
      <c r="BO51" s="129" t="s">
        <v>201</v>
      </c>
      <c r="BP51" s="151">
        <v>19.56782713085234</v>
      </c>
      <c r="BQ51" s="129" t="s">
        <v>202</v>
      </c>
      <c r="BR51" s="142">
        <f t="shared" si="9"/>
        <v>0.09</v>
      </c>
      <c r="BS51" s="129" t="s">
        <v>160</v>
      </c>
      <c r="BT51" s="129" t="s">
        <v>160</v>
      </c>
      <c r="BU51" s="129">
        <v>10</v>
      </c>
      <c r="BV51" s="129" t="s">
        <v>159</v>
      </c>
      <c r="BW51" s="129">
        <v>10</v>
      </c>
      <c r="BX51" s="129">
        <v>25.3</v>
      </c>
      <c r="BY51" s="129" t="s">
        <v>159</v>
      </c>
      <c r="BZ51" s="129">
        <v>1</v>
      </c>
      <c r="CA51" s="129">
        <v>1</v>
      </c>
      <c r="CB51" s="129" t="s">
        <v>336</v>
      </c>
      <c r="CC51" s="129" t="s">
        <v>160</v>
      </c>
      <c r="CD51" s="129" t="s">
        <v>160</v>
      </c>
      <c r="CE51" s="129" t="s">
        <v>160</v>
      </c>
      <c r="CF51" s="129" t="s">
        <v>160</v>
      </c>
      <c r="CG51" s="129" t="s">
        <v>160</v>
      </c>
      <c r="CH51" s="129" t="s">
        <v>160</v>
      </c>
      <c r="CI51" s="129" t="s">
        <v>160</v>
      </c>
      <c r="CJ51" s="129" t="s">
        <v>160</v>
      </c>
      <c r="CK51" s="129" t="s">
        <v>160</v>
      </c>
      <c r="CL51" s="129" t="s">
        <v>160</v>
      </c>
      <c r="CM51" s="129" t="s">
        <v>160</v>
      </c>
      <c r="CN51" s="129" t="s">
        <v>337</v>
      </c>
      <c r="CO51" s="129" t="s">
        <v>338</v>
      </c>
      <c r="CP51" s="178" t="s">
        <v>160</v>
      </c>
      <c r="CQ51" s="178" t="s">
        <v>160</v>
      </c>
      <c r="CR51" s="129" t="s">
        <v>160</v>
      </c>
      <c r="CS51" s="129" t="s">
        <v>339</v>
      </c>
      <c r="CT51" s="129" t="s">
        <v>340</v>
      </c>
      <c r="CU51" s="129">
        <v>36</v>
      </c>
      <c r="CV51" s="129" t="s">
        <v>159</v>
      </c>
      <c r="CW51" s="146">
        <v>1</v>
      </c>
      <c r="CX51" s="129" t="s">
        <v>207</v>
      </c>
      <c r="CY51" s="129">
        <v>1.06E-2</v>
      </c>
      <c r="CZ51" s="129" t="s">
        <v>159</v>
      </c>
      <c r="DA51" s="146">
        <v>0</v>
      </c>
      <c r="DB51" s="129" t="s">
        <v>208</v>
      </c>
      <c r="DC51" s="129">
        <v>5.5100000000000003E-2</v>
      </c>
      <c r="DD51" s="129" t="s">
        <v>159</v>
      </c>
      <c r="DE51" s="146">
        <v>0</v>
      </c>
      <c r="DF51" s="129" t="s">
        <v>208</v>
      </c>
      <c r="DG51" s="129" t="s">
        <v>160</v>
      </c>
      <c r="DH51" s="129" t="s">
        <v>160</v>
      </c>
      <c r="DI51" s="129" t="s">
        <v>160</v>
      </c>
      <c r="DJ51" s="129" t="s">
        <v>160</v>
      </c>
      <c r="DK51" s="145">
        <v>432.56244218316402</v>
      </c>
      <c r="DL51" s="129" t="s">
        <v>159</v>
      </c>
      <c r="DM51" s="145" t="s">
        <v>160</v>
      </c>
      <c r="DN51" s="129" t="s">
        <v>434</v>
      </c>
      <c r="DO51" s="129">
        <v>39.626309999999997</v>
      </c>
      <c r="DP51" s="129" t="s">
        <v>160</v>
      </c>
      <c r="DQ51" s="129">
        <v>0.26570000000000249</v>
      </c>
      <c r="DR51" s="129" t="s">
        <v>435</v>
      </c>
      <c r="DS51" s="129" t="s">
        <v>212</v>
      </c>
      <c r="DT51" s="129" t="s">
        <v>213</v>
      </c>
      <c r="DU51" s="129">
        <v>1.0271999999999999</v>
      </c>
      <c r="DV51" s="129" t="s">
        <v>214</v>
      </c>
      <c r="DW51" s="129" t="s">
        <v>214</v>
      </c>
      <c r="DX51" s="129" t="s">
        <v>215</v>
      </c>
      <c r="DY51" s="129" t="s">
        <v>160</v>
      </c>
      <c r="DZ51" s="129" t="s">
        <v>164</v>
      </c>
      <c r="EA51" s="129" t="s">
        <v>216</v>
      </c>
      <c r="EB51" s="129" t="s">
        <v>212</v>
      </c>
      <c r="EC51" s="129" t="s">
        <v>212</v>
      </c>
      <c r="ED51" s="129" t="s">
        <v>212</v>
      </c>
      <c r="EE51" s="129" t="s">
        <v>217</v>
      </c>
      <c r="EF51" s="147" t="s">
        <v>213</v>
      </c>
      <c r="EG51" s="148" t="s">
        <v>213</v>
      </c>
      <c r="EH51" s="129" t="s">
        <v>218</v>
      </c>
      <c r="EI51" s="129" t="s">
        <v>417</v>
      </c>
      <c r="EJ51" s="129" t="s">
        <v>160</v>
      </c>
      <c r="EK51" s="129">
        <v>1981.3119999999999</v>
      </c>
      <c r="EL51" s="129" t="s">
        <v>163</v>
      </c>
      <c r="EM51" s="129">
        <v>15.334000000000094</v>
      </c>
      <c r="EN51" s="129">
        <v>15.846999999999824</v>
      </c>
      <c r="EO51" s="129" t="s">
        <v>160</v>
      </c>
      <c r="EP51" s="129" t="s">
        <v>160</v>
      </c>
      <c r="EQ51" s="129" t="s">
        <v>160</v>
      </c>
      <c r="ER51" s="129" t="s">
        <v>160</v>
      </c>
      <c r="ES51" s="151">
        <v>8.1694259999999996</v>
      </c>
      <c r="ET51" s="142" t="s">
        <v>165</v>
      </c>
      <c r="EU51" s="151">
        <v>3.3300000000000551E-2</v>
      </c>
      <c r="EV51" s="151">
        <v>3.3386000000000138E-2</v>
      </c>
      <c r="EW51" s="142" t="s">
        <v>160</v>
      </c>
      <c r="EX51" s="129" t="s">
        <v>160</v>
      </c>
      <c r="EY51" s="129" t="s">
        <v>160</v>
      </c>
      <c r="EZ51" s="191">
        <v>246.73190000000002</v>
      </c>
      <c r="FA51" s="191">
        <v>24.660799999999966</v>
      </c>
      <c r="FB51" s="191">
        <v>22.629600000000039</v>
      </c>
      <c r="FC51" s="129" t="s">
        <v>220</v>
      </c>
      <c r="FD51" s="129" t="s">
        <v>221</v>
      </c>
      <c r="FE51" s="191">
        <v>2331.6089999999999</v>
      </c>
      <c r="FF51" s="191">
        <v>36.141000000000076</v>
      </c>
      <c r="FG51" s="191">
        <v>35.809999999999945</v>
      </c>
      <c r="FH51" s="129" t="s">
        <v>160</v>
      </c>
      <c r="FI51" s="129" t="s">
        <v>160</v>
      </c>
      <c r="FJ51" s="129" t="s">
        <v>160</v>
      </c>
      <c r="FK51" s="129" t="s">
        <v>160</v>
      </c>
      <c r="FL51" s="129" t="s">
        <v>160</v>
      </c>
      <c r="FM51" s="129" t="s">
        <v>160</v>
      </c>
      <c r="FN51" s="151">
        <v>4.5189719999999998</v>
      </c>
      <c r="FO51" s="151">
        <v>0.23679800000000029</v>
      </c>
      <c r="FP51" s="151">
        <v>0.23788499999999946</v>
      </c>
      <c r="FQ51" s="178" t="s">
        <v>419</v>
      </c>
      <c r="FR51" s="166" t="s">
        <v>329</v>
      </c>
      <c r="FS51" s="166">
        <v>2010</v>
      </c>
      <c r="FT51" s="188" t="s">
        <v>330</v>
      </c>
    </row>
    <row r="52" spans="1:176" s="129" customFormat="1" ht="17">
      <c r="A52" s="166" t="s">
        <v>152</v>
      </c>
      <c r="B52" s="166" t="s">
        <v>183</v>
      </c>
      <c r="C52" s="166">
        <v>2018</v>
      </c>
      <c r="D52" s="166" t="s">
        <v>184</v>
      </c>
      <c r="E52" s="150">
        <v>1426.2647001579012</v>
      </c>
      <c r="F52" s="166" t="s">
        <v>160</v>
      </c>
      <c r="G52" s="166" t="s">
        <v>160</v>
      </c>
      <c r="H52" s="190">
        <v>215.0119</v>
      </c>
      <c r="I52" s="191">
        <v>25.543200000000013</v>
      </c>
      <c r="J52" s="191">
        <v>22.223299999999995</v>
      </c>
      <c r="K52" s="129" t="s">
        <v>457</v>
      </c>
      <c r="L52" s="131" t="s">
        <v>185</v>
      </c>
      <c r="M52" s="132" t="s">
        <v>186</v>
      </c>
      <c r="N52" s="129" t="s">
        <v>184</v>
      </c>
      <c r="O52" s="129">
        <v>999</v>
      </c>
      <c r="P52" s="192" t="s">
        <v>156</v>
      </c>
      <c r="Q52" s="129">
        <v>6</v>
      </c>
      <c r="R52" s="129">
        <v>3</v>
      </c>
      <c r="S52" s="129">
        <v>108</v>
      </c>
      <c r="T52" s="129">
        <v>110</v>
      </c>
      <c r="U52" s="129">
        <v>49.68</v>
      </c>
      <c r="V52" s="129" t="s">
        <v>160</v>
      </c>
      <c r="W52" s="129" t="s">
        <v>160</v>
      </c>
      <c r="X52" s="129" t="s">
        <v>157</v>
      </c>
      <c r="Y52" s="192">
        <v>12.744</v>
      </c>
      <c r="Z52" s="192">
        <v>-78.7393</v>
      </c>
      <c r="AA52" s="192" t="s">
        <v>160</v>
      </c>
      <c r="AB52" s="192" t="s">
        <v>160</v>
      </c>
      <c r="AC52" s="192">
        <v>-2828</v>
      </c>
      <c r="AD52" s="129" t="s">
        <v>160</v>
      </c>
      <c r="AE52" s="192" t="s">
        <v>160</v>
      </c>
      <c r="AF52" s="129" t="s">
        <v>160</v>
      </c>
      <c r="AG52" s="151">
        <v>1426.2647001579012</v>
      </c>
      <c r="AH52" s="138" t="s">
        <v>160</v>
      </c>
      <c r="AI52" s="129" t="s">
        <v>160</v>
      </c>
      <c r="AJ52" s="138" t="s">
        <v>160</v>
      </c>
      <c r="AK52" s="129" t="s">
        <v>237</v>
      </c>
      <c r="AL52" s="184" t="s">
        <v>321</v>
      </c>
      <c r="AM52" s="184" t="s">
        <v>331</v>
      </c>
      <c r="AN52" s="129" t="s">
        <v>160</v>
      </c>
      <c r="AO52" s="129" t="s">
        <v>160</v>
      </c>
      <c r="AP52" s="129" t="s">
        <v>160</v>
      </c>
      <c r="AQ52" s="129" t="s">
        <v>160</v>
      </c>
      <c r="AR52" s="129" t="s">
        <v>160</v>
      </c>
      <c r="AS52" s="129" t="s">
        <v>160</v>
      </c>
      <c r="AT52" s="129" t="s">
        <v>160</v>
      </c>
      <c r="AU52" s="192" t="s">
        <v>332</v>
      </c>
      <c r="AV52" s="192" t="s">
        <v>161</v>
      </c>
      <c r="AW52" s="166">
        <v>100</v>
      </c>
      <c r="AX52" s="193" t="s">
        <v>333</v>
      </c>
      <c r="AY52" s="192" t="s">
        <v>194</v>
      </c>
      <c r="AZ52" s="192" t="s">
        <v>334</v>
      </c>
      <c r="BA52" s="192" t="s">
        <v>196</v>
      </c>
      <c r="BB52" s="129" t="s">
        <v>342</v>
      </c>
      <c r="BC52" s="129">
        <v>2</v>
      </c>
      <c r="BD52" s="129">
        <v>7.9999999999998295E-2</v>
      </c>
      <c r="BE52" s="172">
        <v>19.77</v>
      </c>
      <c r="BF52" s="194" t="s">
        <v>163</v>
      </c>
      <c r="BG52" s="172">
        <v>0.12</v>
      </c>
      <c r="BH52" s="129">
        <v>0.83299999999999996</v>
      </c>
      <c r="BI52" s="129" t="s">
        <v>160</v>
      </c>
      <c r="BJ52" s="138" t="s">
        <v>160</v>
      </c>
      <c r="BK52" s="129">
        <v>2.69</v>
      </c>
      <c r="BL52" s="129" t="s">
        <v>160</v>
      </c>
      <c r="BM52" s="129" t="s">
        <v>160</v>
      </c>
      <c r="BN52" s="129" t="s">
        <v>200</v>
      </c>
      <c r="BO52" s="129" t="s">
        <v>201</v>
      </c>
      <c r="BP52" s="151">
        <v>20.504201680672267</v>
      </c>
      <c r="BQ52" s="129" t="s">
        <v>202</v>
      </c>
      <c r="BR52" s="142">
        <f t="shared" si="9"/>
        <v>0.12</v>
      </c>
      <c r="BS52" s="129" t="s">
        <v>160</v>
      </c>
      <c r="BT52" s="129" t="s">
        <v>160</v>
      </c>
      <c r="BU52" s="129">
        <v>10</v>
      </c>
      <c r="BV52" s="129" t="s">
        <v>159</v>
      </c>
      <c r="BW52" s="129">
        <v>10</v>
      </c>
      <c r="BX52" s="129">
        <v>28</v>
      </c>
      <c r="BY52" s="129" t="s">
        <v>159</v>
      </c>
      <c r="BZ52" s="129">
        <v>1</v>
      </c>
      <c r="CA52" s="129">
        <v>1</v>
      </c>
      <c r="CB52" s="129" t="s">
        <v>336</v>
      </c>
      <c r="CC52" s="129" t="s">
        <v>160</v>
      </c>
      <c r="CD52" s="129" t="s">
        <v>160</v>
      </c>
      <c r="CE52" s="129" t="s">
        <v>160</v>
      </c>
      <c r="CF52" s="129" t="s">
        <v>160</v>
      </c>
      <c r="CG52" s="129" t="s">
        <v>160</v>
      </c>
      <c r="CH52" s="129" t="s">
        <v>160</v>
      </c>
      <c r="CI52" s="129" t="s">
        <v>160</v>
      </c>
      <c r="CJ52" s="129" t="s">
        <v>160</v>
      </c>
      <c r="CK52" s="129" t="s">
        <v>160</v>
      </c>
      <c r="CL52" s="129" t="s">
        <v>160</v>
      </c>
      <c r="CM52" s="129" t="s">
        <v>160</v>
      </c>
      <c r="CN52" s="129" t="s">
        <v>337</v>
      </c>
      <c r="CO52" s="129" t="s">
        <v>338</v>
      </c>
      <c r="CP52" s="178" t="s">
        <v>160</v>
      </c>
      <c r="CQ52" s="178" t="s">
        <v>160</v>
      </c>
      <c r="CR52" s="129" t="s">
        <v>160</v>
      </c>
      <c r="CS52" s="129" t="s">
        <v>339</v>
      </c>
      <c r="CT52" s="129" t="s">
        <v>340</v>
      </c>
      <c r="CU52" s="129">
        <v>36</v>
      </c>
      <c r="CV52" s="129" t="s">
        <v>159</v>
      </c>
      <c r="CW52" s="146">
        <v>1</v>
      </c>
      <c r="CX52" s="129" t="s">
        <v>207</v>
      </c>
      <c r="CY52" s="129">
        <v>1.06E-2</v>
      </c>
      <c r="CZ52" s="129" t="s">
        <v>159</v>
      </c>
      <c r="DA52" s="146">
        <v>0</v>
      </c>
      <c r="DB52" s="129" t="s">
        <v>208</v>
      </c>
      <c r="DC52" s="129">
        <v>5.5100000000000003E-2</v>
      </c>
      <c r="DD52" s="129" t="s">
        <v>159</v>
      </c>
      <c r="DE52" s="146">
        <v>0</v>
      </c>
      <c r="DF52" s="129" t="s">
        <v>208</v>
      </c>
      <c r="DG52" s="129" t="s">
        <v>160</v>
      </c>
      <c r="DH52" s="129" t="s">
        <v>160</v>
      </c>
      <c r="DI52" s="129" t="s">
        <v>160</v>
      </c>
      <c r="DJ52" s="129" t="s">
        <v>160</v>
      </c>
      <c r="DK52" s="145">
        <v>432.56244218316402</v>
      </c>
      <c r="DL52" s="129" t="s">
        <v>159</v>
      </c>
      <c r="DM52" s="145" t="s">
        <v>160</v>
      </c>
      <c r="DN52" s="129" t="s">
        <v>434</v>
      </c>
      <c r="DO52" s="129">
        <v>39.584910000000001</v>
      </c>
      <c r="DP52" s="129" t="s">
        <v>160</v>
      </c>
      <c r="DQ52" s="129">
        <v>0.36346999999999952</v>
      </c>
      <c r="DR52" s="129" t="s">
        <v>435</v>
      </c>
      <c r="DS52" s="129" t="s">
        <v>212</v>
      </c>
      <c r="DT52" s="129" t="s">
        <v>213</v>
      </c>
      <c r="DU52" s="129">
        <v>1.0271999999999999</v>
      </c>
      <c r="DV52" s="129" t="s">
        <v>214</v>
      </c>
      <c r="DW52" s="129" t="s">
        <v>214</v>
      </c>
      <c r="DX52" s="129" t="s">
        <v>215</v>
      </c>
      <c r="DY52" s="129" t="s">
        <v>160</v>
      </c>
      <c r="DZ52" s="129" t="s">
        <v>164</v>
      </c>
      <c r="EA52" s="129" t="s">
        <v>216</v>
      </c>
      <c r="EB52" s="129" t="s">
        <v>212</v>
      </c>
      <c r="EC52" s="129" t="s">
        <v>212</v>
      </c>
      <c r="ED52" s="129" t="s">
        <v>212</v>
      </c>
      <c r="EE52" s="129" t="s">
        <v>217</v>
      </c>
      <c r="EF52" s="147" t="s">
        <v>213</v>
      </c>
      <c r="EG52" s="148" t="s">
        <v>213</v>
      </c>
      <c r="EH52" s="129" t="s">
        <v>218</v>
      </c>
      <c r="EI52" s="129" t="s">
        <v>417</v>
      </c>
      <c r="EJ52" s="129" t="s">
        <v>160</v>
      </c>
      <c r="EK52" s="129">
        <v>1971.1590000000001</v>
      </c>
      <c r="EL52" s="129" t="s">
        <v>163</v>
      </c>
      <c r="EM52" s="129">
        <v>24.11999999999987</v>
      </c>
      <c r="EN52" s="129">
        <v>23.961000000000077</v>
      </c>
      <c r="EO52" s="129" t="s">
        <v>160</v>
      </c>
      <c r="EP52" s="129" t="s">
        <v>160</v>
      </c>
      <c r="EQ52" s="129" t="s">
        <v>160</v>
      </c>
      <c r="ER52" s="129" t="s">
        <v>160</v>
      </c>
      <c r="ES52" s="151">
        <v>8.2132690000000004</v>
      </c>
      <c r="ET52" s="142" t="s">
        <v>165</v>
      </c>
      <c r="EU52" s="151">
        <v>3.6692999999999643E-2</v>
      </c>
      <c r="EV52" s="151">
        <v>3.7573000000000079E-2</v>
      </c>
      <c r="EW52" s="142" t="s">
        <v>160</v>
      </c>
      <c r="EX52" s="129" t="s">
        <v>160</v>
      </c>
      <c r="EY52" s="129" t="s">
        <v>160</v>
      </c>
      <c r="EZ52" s="191">
        <v>215.0119</v>
      </c>
      <c r="FA52" s="191">
        <v>25.543200000000013</v>
      </c>
      <c r="FB52" s="191">
        <v>22.223299999999995</v>
      </c>
      <c r="FC52" s="129" t="s">
        <v>220</v>
      </c>
      <c r="FD52" s="129" t="s">
        <v>221</v>
      </c>
      <c r="FE52" s="191">
        <v>2387.6439999999998</v>
      </c>
      <c r="FF52" s="191">
        <v>45.990999999999985</v>
      </c>
      <c r="FG52" s="191">
        <v>44.214999999999691</v>
      </c>
      <c r="FH52" s="129" t="s">
        <v>160</v>
      </c>
      <c r="FI52" s="129" t="s">
        <v>160</v>
      </c>
      <c r="FJ52" s="129" t="s">
        <v>160</v>
      </c>
      <c r="FK52" s="129" t="s">
        <v>160</v>
      </c>
      <c r="FL52" s="129" t="s">
        <v>160</v>
      </c>
      <c r="FM52" s="129" t="s">
        <v>160</v>
      </c>
      <c r="FN52" s="151">
        <v>5.429074</v>
      </c>
      <c r="FO52" s="151">
        <v>0.33920900000000032</v>
      </c>
      <c r="FP52" s="151">
        <v>0.32636999999999983</v>
      </c>
      <c r="FQ52" s="178" t="s">
        <v>419</v>
      </c>
      <c r="FR52" s="166" t="s">
        <v>329</v>
      </c>
      <c r="FS52" s="166">
        <v>2010</v>
      </c>
      <c r="FT52" s="188" t="s">
        <v>330</v>
      </c>
    </row>
    <row r="53" spans="1:176" s="129" customFormat="1" ht="17">
      <c r="A53" s="166" t="s">
        <v>152</v>
      </c>
      <c r="B53" s="166" t="s">
        <v>183</v>
      </c>
      <c r="C53" s="166">
        <v>2018</v>
      </c>
      <c r="D53" s="166" t="s">
        <v>184</v>
      </c>
      <c r="E53" s="150">
        <v>2019.2879375123835</v>
      </c>
      <c r="F53" s="166" t="s">
        <v>160</v>
      </c>
      <c r="G53" s="166" t="s">
        <v>160</v>
      </c>
      <c r="H53" s="190">
        <v>364.60660000000001</v>
      </c>
      <c r="I53" s="191">
        <v>50.121100000000013</v>
      </c>
      <c r="J53" s="191">
        <v>44.009900000000016</v>
      </c>
      <c r="K53" s="129" t="s">
        <v>457</v>
      </c>
      <c r="L53" s="131" t="s">
        <v>185</v>
      </c>
      <c r="M53" s="132" t="s">
        <v>186</v>
      </c>
      <c r="N53" s="129" t="s">
        <v>184</v>
      </c>
      <c r="O53" s="129">
        <v>999</v>
      </c>
      <c r="P53" s="192" t="s">
        <v>156</v>
      </c>
      <c r="Q53" s="129">
        <v>8</v>
      </c>
      <c r="R53" s="129">
        <v>4</v>
      </c>
      <c r="S53" s="129">
        <v>51</v>
      </c>
      <c r="T53" s="129">
        <v>53</v>
      </c>
      <c r="U53" s="129">
        <v>69.61</v>
      </c>
      <c r="V53" s="129" t="s">
        <v>160</v>
      </c>
      <c r="W53" s="129" t="s">
        <v>160</v>
      </c>
      <c r="X53" s="129" t="s">
        <v>157</v>
      </c>
      <c r="Y53" s="192">
        <v>12.744</v>
      </c>
      <c r="Z53" s="192">
        <v>-78.7393</v>
      </c>
      <c r="AA53" s="192" t="s">
        <v>160</v>
      </c>
      <c r="AB53" s="192" t="s">
        <v>160</v>
      </c>
      <c r="AC53" s="192">
        <v>-2828</v>
      </c>
      <c r="AD53" s="129" t="s">
        <v>160</v>
      </c>
      <c r="AE53" s="192" t="s">
        <v>160</v>
      </c>
      <c r="AF53" s="129" t="s">
        <v>160</v>
      </c>
      <c r="AG53" s="151">
        <v>2019.2879375123835</v>
      </c>
      <c r="AH53" s="138" t="s">
        <v>160</v>
      </c>
      <c r="AI53" s="129" t="s">
        <v>160</v>
      </c>
      <c r="AJ53" s="138" t="s">
        <v>160</v>
      </c>
      <c r="AK53" s="129" t="s">
        <v>237</v>
      </c>
      <c r="AL53" s="184" t="s">
        <v>321</v>
      </c>
      <c r="AM53" s="184" t="s">
        <v>331</v>
      </c>
      <c r="AN53" s="129" t="s">
        <v>160</v>
      </c>
      <c r="AO53" s="129" t="s">
        <v>160</v>
      </c>
      <c r="AP53" s="129" t="s">
        <v>160</v>
      </c>
      <c r="AQ53" s="129" t="s">
        <v>160</v>
      </c>
      <c r="AR53" s="129" t="s">
        <v>160</v>
      </c>
      <c r="AS53" s="129" t="s">
        <v>160</v>
      </c>
      <c r="AT53" s="129" t="s">
        <v>160</v>
      </c>
      <c r="AU53" s="192" t="s">
        <v>332</v>
      </c>
      <c r="AV53" s="192" t="s">
        <v>161</v>
      </c>
      <c r="AW53" s="166">
        <v>100</v>
      </c>
      <c r="AX53" s="193" t="s">
        <v>333</v>
      </c>
      <c r="AY53" s="192" t="s">
        <v>194</v>
      </c>
      <c r="AZ53" s="192" t="s">
        <v>334</v>
      </c>
      <c r="BA53" s="192" t="s">
        <v>196</v>
      </c>
      <c r="BB53" s="129" t="s">
        <v>343</v>
      </c>
      <c r="BC53" s="129">
        <v>2</v>
      </c>
      <c r="BD53" s="129">
        <v>6.0000000000002267E-2</v>
      </c>
      <c r="BE53" s="172">
        <v>17.82</v>
      </c>
      <c r="BF53" s="194" t="s">
        <v>163</v>
      </c>
      <c r="BG53" s="172">
        <v>0.16</v>
      </c>
      <c r="BH53" s="129">
        <v>0.83299999999999996</v>
      </c>
      <c r="BI53" s="129" t="s">
        <v>160</v>
      </c>
      <c r="BJ53" s="138" t="s">
        <v>160</v>
      </c>
      <c r="BK53" s="129">
        <v>2.69</v>
      </c>
      <c r="BL53" s="129" t="s">
        <v>160</v>
      </c>
      <c r="BM53" s="129" t="s">
        <v>160</v>
      </c>
      <c r="BN53" s="129" t="s">
        <v>200</v>
      </c>
      <c r="BO53" s="129" t="s">
        <v>201</v>
      </c>
      <c r="BP53" s="151">
        <v>18.163265306122451</v>
      </c>
      <c r="BQ53" s="129" t="s">
        <v>202</v>
      </c>
      <c r="BR53" s="142">
        <f t="shared" si="9"/>
        <v>0.16</v>
      </c>
      <c r="BS53" s="129" t="s">
        <v>160</v>
      </c>
      <c r="BT53" s="129" t="s">
        <v>160</v>
      </c>
      <c r="BU53" s="129">
        <v>10</v>
      </c>
      <c r="BV53" s="129" t="s">
        <v>159</v>
      </c>
      <c r="BW53" s="129">
        <v>10</v>
      </c>
      <c r="BX53" s="129">
        <v>27.3</v>
      </c>
      <c r="BY53" s="129" t="s">
        <v>159</v>
      </c>
      <c r="BZ53" s="129">
        <v>1</v>
      </c>
      <c r="CA53" s="129">
        <v>1</v>
      </c>
      <c r="CB53" s="129" t="s">
        <v>336</v>
      </c>
      <c r="CC53" s="129" t="s">
        <v>160</v>
      </c>
      <c r="CD53" s="129" t="s">
        <v>160</v>
      </c>
      <c r="CE53" s="129" t="s">
        <v>160</v>
      </c>
      <c r="CF53" s="129" t="s">
        <v>160</v>
      </c>
      <c r="CG53" s="129" t="s">
        <v>160</v>
      </c>
      <c r="CH53" s="129" t="s">
        <v>160</v>
      </c>
      <c r="CI53" s="129" t="s">
        <v>160</v>
      </c>
      <c r="CJ53" s="129" t="s">
        <v>160</v>
      </c>
      <c r="CK53" s="129" t="s">
        <v>160</v>
      </c>
      <c r="CL53" s="129" t="s">
        <v>160</v>
      </c>
      <c r="CM53" s="129" t="s">
        <v>160</v>
      </c>
      <c r="CN53" s="129" t="s">
        <v>337</v>
      </c>
      <c r="CO53" s="129" t="s">
        <v>338</v>
      </c>
      <c r="CP53" s="178" t="s">
        <v>160</v>
      </c>
      <c r="CQ53" s="178" t="s">
        <v>160</v>
      </c>
      <c r="CR53" s="129" t="s">
        <v>160</v>
      </c>
      <c r="CS53" s="129" t="s">
        <v>339</v>
      </c>
      <c r="CT53" s="129" t="s">
        <v>340</v>
      </c>
      <c r="CU53" s="129">
        <v>36</v>
      </c>
      <c r="CV53" s="129" t="s">
        <v>159</v>
      </c>
      <c r="CW53" s="146">
        <v>1</v>
      </c>
      <c r="CX53" s="129" t="s">
        <v>207</v>
      </c>
      <c r="CY53" s="129">
        <v>1.06E-2</v>
      </c>
      <c r="CZ53" s="129" t="s">
        <v>159</v>
      </c>
      <c r="DA53" s="146">
        <v>0</v>
      </c>
      <c r="DB53" s="129" t="s">
        <v>208</v>
      </c>
      <c r="DC53" s="129">
        <v>5.5100000000000003E-2</v>
      </c>
      <c r="DD53" s="129" t="s">
        <v>159</v>
      </c>
      <c r="DE53" s="146">
        <v>0</v>
      </c>
      <c r="DF53" s="129" t="s">
        <v>208</v>
      </c>
      <c r="DG53" s="129" t="s">
        <v>160</v>
      </c>
      <c r="DH53" s="129" t="s">
        <v>160</v>
      </c>
      <c r="DI53" s="129" t="s">
        <v>160</v>
      </c>
      <c r="DJ53" s="129" t="s">
        <v>160</v>
      </c>
      <c r="DK53" s="145">
        <v>432.56244218316402</v>
      </c>
      <c r="DL53" s="129" t="s">
        <v>159</v>
      </c>
      <c r="DM53" s="145" t="s">
        <v>160</v>
      </c>
      <c r="DN53" s="129" t="s">
        <v>434</v>
      </c>
      <c r="DO53" s="129">
        <v>39.599400000000003</v>
      </c>
      <c r="DP53" s="129" t="s">
        <v>160</v>
      </c>
      <c r="DQ53" s="129">
        <v>0.40058999999999401</v>
      </c>
      <c r="DR53" s="129" t="s">
        <v>435</v>
      </c>
      <c r="DS53" s="129" t="s">
        <v>212</v>
      </c>
      <c r="DT53" s="129" t="s">
        <v>213</v>
      </c>
      <c r="DU53" s="129">
        <v>1.0271999999999999</v>
      </c>
      <c r="DV53" s="129" t="s">
        <v>214</v>
      </c>
      <c r="DW53" s="129" t="s">
        <v>214</v>
      </c>
      <c r="DX53" s="129" t="s">
        <v>215</v>
      </c>
      <c r="DY53" s="129" t="s">
        <v>160</v>
      </c>
      <c r="DZ53" s="129" t="s">
        <v>164</v>
      </c>
      <c r="EA53" s="129" t="s">
        <v>216</v>
      </c>
      <c r="EB53" s="129" t="s">
        <v>212</v>
      </c>
      <c r="EC53" s="129" t="s">
        <v>212</v>
      </c>
      <c r="ED53" s="129" t="s">
        <v>212</v>
      </c>
      <c r="EE53" s="129" t="s">
        <v>217</v>
      </c>
      <c r="EF53" s="147" t="s">
        <v>213</v>
      </c>
      <c r="EG53" s="148" t="s">
        <v>213</v>
      </c>
      <c r="EH53" s="129" t="s">
        <v>218</v>
      </c>
      <c r="EI53" s="129" t="s">
        <v>417</v>
      </c>
      <c r="EJ53" s="129" t="s">
        <v>160</v>
      </c>
      <c r="EK53" s="129">
        <v>1958.9460000000001</v>
      </c>
      <c r="EL53" s="129" t="s">
        <v>163</v>
      </c>
      <c r="EM53" s="129">
        <v>34.189000000000007</v>
      </c>
      <c r="EN53" s="129">
        <v>33.746999999999986</v>
      </c>
      <c r="EO53" s="129" t="s">
        <v>160</v>
      </c>
      <c r="EP53" s="129" t="s">
        <v>160</v>
      </c>
      <c r="EQ53" s="129" t="s">
        <v>160</v>
      </c>
      <c r="ER53" s="129" t="s">
        <v>160</v>
      </c>
      <c r="ES53" s="151">
        <v>8.0284809999999993</v>
      </c>
      <c r="ET53" s="142" t="s">
        <v>165</v>
      </c>
      <c r="EU53" s="151">
        <v>4.6342000000000994E-2</v>
      </c>
      <c r="EV53" s="151">
        <v>4.5753999999999628E-2</v>
      </c>
      <c r="EW53" s="142" t="s">
        <v>160</v>
      </c>
      <c r="EX53" s="129" t="s">
        <v>160</v>
      </c>
      <c r="EY53" s="129" t="s">
        <v>160</v>
      </c>
      <c r="EZ53" s="191">
        <v>364.60660000000001</v>
      </c>
      <c r="FA53" s="191">
        <v>50.121100000000013</v>
      </c>
      <c r="FB53" s="191">
        <v>44.009900000000016</v>
      </c>
      <c r="FC53" s="129" t="s">
        <v>220</v>
      </c>
      <c r="FD53" s="129" t="s">
        <v>221</v>
      </c>
      <c r="FE53" s="191">
        <v>2225.0460000000003</v>
      </c>
      <c r="FF53" s="191">
        <v>53.442999999999756</v>
      </c>
      <c r="FG53" s="191">
        <v>51.593000000000302</v>
      </c>
      <c r="FH53" s="129" t="s">
        <v>160</v>
      </c>
      <c r="FI53" s="129" t="s">
        <v>160</v>
      </c>
      <c r="FJ53" s="129" t="s">
        <v>160</v>
      </c>
      <c r="FK53" s="129" t="s">
        <v>160</v>
      </c>
      <c r="FL53" s="129" t="s">
        <v>160</v>
      </c>
      <c r="FM53" s="129" t="s">
        <v>160</v>
      </c>
      <c r="FN53" s="151">
        <v>3.6814</v>
      </c>
      <c r="FO53" s="151">
        <v>0.31669400000000003</v>
      </c>
      <c r="FP53" s="151">
        <v>0.31383200000000011</v>
      </c>
      <c r="FQ53" s="178" t="s">
        <v>419</v>
      </c>
      <c r="FR53" s="166" t="s">
        <v>329</v>
      </c>
      <c r="FS53" s="166">
        <v>2010</v>
      </c>
      <c r="FT53" s="188" t="s">
        <v>330</v>
      </c>
    </row>
    <row r="54" spans="1:176" s="129" customFormat="1" ht="17">
      <c r="A54" s="166" t="s">
        <v>152</v>
      </c>
      <c r="B54" s="166" t="s">
        <v>183</v>
      </c>
      <c r="C54" s="166">
        <v>2018</v>
      </c>
      <c r="D54" s="166" t="s">
        <v>184</v>
      </c>
      <c r="E54" s="150">
        <v>2941.2226107864203</v>
      </c>
      <c r="F54" s="166" t="s">
        <v>160</v>
      </c>
      <c r="G54" s="166" t="s">
        <v>160</v>
      </c>
      <c r="H54" s="190">
        <v>349.12479999999999</v>
      </c>
      <c r="I54" s="191">
        <v>44.36809999999997</v>
      </c>
      <c r="J54" s="191">
        <v>39.099999999999966</v>
      </c>
      <c r="K54" s="129" t="s">
        <v>457</v>
      </c>
      <c r="L54" s="131" t="s">
        <v>185</v>
      </c>
      <c r="M54" s="132" t="s">
        <v>186</v>
      </c>
      <c r="N54" s="129" t="s">
        <v>184</v>
      </c>
      <c r="O54" s="129">
        <v>999</v>
      </c>
      <c r="P54" s="192" t="s">
        <v>156</v>
      </c>
      <c r="Q54" s="129">
        <v>11</v>
      </c>
      <c r="R54" s="129">
        <v>3</v>
      </c>
      <c r="S54" s="129">
        <v>13</v>
      </c>
      <c r="T54" s="129">
        <v>15</v>
      </c>
      <c r="U54" s="129">
        <v>96.23</v>
      </c>
      <c r="V54" s="129" t="s">
        <v>160</v>
      </c>
      <c r="W54" s="129" t="s">
        <v>160</v>
      </c>
      <c r="X54" s="129" t="s">
        <v>157</v>
      </c>
      <c r="Y54" s="192">
        <v>12.744</v>
      </c>
      <c r="Z54" s="192">
        <v>-78.7393</v>
      </c>
      <c r="AA54" s="192" t="s">
        <v>160</v>
      </c>
      <c r="AB54" s="192" t="s">
        <v>160</v>
      </c>
      <c r="AC54" s="192">
        <v>-2828</v>
      </c>
      <c r="AD54" s="129" t="s">
        <v>160</v>
      </c>
      <c r="AE54" s="192" t="s">
        <v>160</v>
      </c>
      <c r="AF54" s="129" t="s">
        <v>160</v>
      </c>
      <c r="AG54" s="151">
        <v>2941.2226107864203</v>
      </c>
      <c r="AH54" s="138" t="s">
        <v>160</v>
      </c>
      <c r="AI54" s="129" t="s">
        <v>160</v>
      </c>
      <c r="AJ54" s="138" t="s">
        <v>160</v>
      </c>
      <c r="AK54" s="129" t="s">
        <v>237</v>
      </c>
      <c r="AL54" s="184" t="s">
        <v>321</v>
      </c>
      <c r="AM54" s="184" t="s">
        <v>331</v>
      </c>
      <c r="AN54" s="129" t="s">
        <v>160</v>
      </c>
      <c r="AO54" s="129" t="s">
        <v>160</v>
      </c>
      <c r="AP54" s="129" t="s">
        <v>160</v>
      </c>
      <c r="AQ54" s="129" t="s">
        <v>160</v>
      </c>
      <c r="AR54" s="129" t="s">
        <v>160</v>
      </c>
      <c r="AS54" s="129" t="s">
        <v>160</v>
      </c>
      <c r="AT54" s="129" t="s">
        <v>160</v>
      </c>
      <c r="AU54" s="192" t="s">
        <v>332</v>
      </c>
      <c r="AV54" s="192" t="s">
        <v>161</v>
      </c>
      <c r="AW54" s="166">
        <v>100</v>
      </c>
      <c r="AX54" s="193" t="s">
        <v>333</v>
      </c>
      <c r="AY54" s="192" t="s">
        <v>194</v>
      </c>
      <c r="AZ54" s="192" t="s">
        <v>334</v>
      </c>
      <c r="BA54" s="192" t="s">
        <v>196</v>
      </c>
      <c r="BB54" s="129" t="s">
        <v>344</v>
      </c>
      <c r="BC54" s="129">
        <v>2</v>
      </c>
      <c r="BD54" s="129">
        <v>0.23000000000000043</v>
      </c>
      <c r="BE54" s="172">
        <v>18.2</v>
      </c>
      <c r="BF54" s="194" t="s">
        <v>163</v>
      </c>
      <c r="BG54" s="172">
        <v>0.17</v>
      </c>
      <c r="BH54" s="129">
        <v>0.83299999999999996</v>
      </c>
      <c r="BI54" s="129" t="s">
        <v>160</v>
      </c>
      <c r="BJ54" s="138" t="s">
        <v>160</v>
      </c>
      <c r="BK54" s="129">
        <v>2.69</v>
      </c>
      <c r="BL54" s="129" t="s">
        <v>160</v>
      </c>
      <c r="BM54" s="129" t="s">
        <v>160</v>
      </c>
      <c r="BN54" s="129" t="s">
        <v>200</v>
      </c>
      <c r="BO54" s="129" t="s">
        <v>201</v>
      </c>
      <c r="BP54" s="151">
        <v>18.619447779111646</v>
      </c>
      <c r="BQ54" s="129" t="s">
        <v>202</v>
      </c>
      <c r="BR54" s="142">
        <f t="shared" si="9"/>
        <v>0.17</v>
      </c>
      <c r="BS54" s="129" t="s">
        <v>160</v>
      </c>
      <c r="BT54" s="129" t="s">
        <v>160</v>
      </c>
      <c r="BU54" s="129">
        <v>10</v>
      </c>
      <c r="BV54" s="129" t="s">
        <v>159</v>
      </c>
      <c r="BW54" s="129">
        <v>10</v>
      </c>
      <c r="BX54" s="129">
        <v>28.9</v>
      </c>
      <c r="BY54" s="129" t="s">
        <v>159</v>
      </c>
      <c r="BZ54" s="129">
        <v>1</v>
      </c>
      <c r="CA54" s="129">
        <v>1</v>
      </c>
      <c r="CB54" s="129" t="s">
        <v>336</v>
      </c>
      <c r="CC54" s="129" t="s">
        <v>160</v>
      </c>
      <c r="CD54" s="129" t="s">
        <v>160</v>
      </c>
      <c r="CE54" s="129" t="s">
        <v>160</v>
      </c>
      <c r="CF54" s="129" t="s">
        <v>160</v>
      </c>
      <c r="CG54" s="129" t="s">
        <v>160</v>
      </c>
      <c r="CH54" s="129" t="s">
        <v>160</v>
      </c>
      <c r="CI54" s="129" t="s">
        <v>160</v>
      </c>
      <c r="CJ54" s="129" t="s">
        <v>160</v>
      </c>
      <c r="CK54" s="129" t="s">
        <v>160</v>
      </c>
      <c r="CL54" s="129" t="s">
        <v>160</v>
      </c>
      <c r="CM54" s="129" t="s">
        <v>160</v>
      </c>
      <c r="CN54" s="129" t="s">
        <v>337</v>
      </c>
      <c r="CO54" s="129" t="s">
        <v>338</v>
      </c>
      <c r="CP54" s="178" t="s">
        <v>160</v>
      </c>
      <c r="CQ54" s="178" t="s">
        <v>160</v>
      </c>
      <c r="CR54" s="129" t="s">
        <v>160</v>
      </c>
      <c r="CS54" s="129" t="s">
        <v>339</v>
      </c>
      <c r="CT54" s="129" t="s">
        <v>340</v>
      </c>
      <c r="CU54" s="129">
        <v>36</v>
      </c>
      <c r="CV54" s="129" t="s">
        <v>159</v>
      </c>
      <c r="CW54" s="146">
        <v>1</v>
      </c>
      <c r="CX54" s="129" t="s">
        <v>207</v>
      </c>
      <c r="CY54" s="129">
        <v>1.06E-2</v>
      </c>
      <c r="CZ54" s="129" t="s">
        <v>159</v>
      </c>
      <c r="DA54" s="146">
        <v>0</v>
      </c>
      <c r="DB54" s="129" t="s">
        <v>208</v>
      </c>
      <c r="DC54" s="129">
        <v>5.5100000000000003E-2</v>
      </c>
      <c r="DD54" s="129" t="s">
        <v>159</v>
      </c>
      <c r="DE54" s="146">
        <v>0</v>
      </c>
      <c r="DF54" s="129" t="s">
        <v>208</v>
      </c>
      <c r="DG54" s="129" t="s">
        <v>160</v>
      </c>
      <c r="DH54" s="129" t="s">
        <v>160</v>
      </c>
      <c r="DI54" s="129" t="s">
        <v>160</v>
      </c>
      <c r="DJ54" s="129" t="s">
        <v>160</v>
      </c>
      <c r="DK54" s="145">
        <v>432.56244218316402</v>
      </c>
      <c r="DL54" s="129" t="s">
        <v>159</v>
      </c>
      <c r="DM54" s="145" t="s">
        <v>160</v>
      </c>
      <c r="DN54" s="129" t="s">
        <v>434</v>
      </c>
      <c r="DO54" s="129">
        <v>39.7136</v>
      </c>
      <c r="DP54" s="129" t="s">
        <v>160</v>
      </c>
      <c r="DQ54" s="129">
        <v>0.3517399999999995</v>
      </c>
      <c r="DR54" s="129" t="s">
        <v>435</v>
      </c>
      <c r="DS54" s="129" t="s">
        <v>212</v>
      </c>
      <c r="DT54" s="129" t="s">
        <v>213</v>
      </c>
      <c r="DU54" s="129">
        <v>1.0271999999999999</v>
      </c>
      <c r="DV54" s="129" t="s">
        <v>214</v>
      </c>
      <c r="DW54" s="129" t="s">
        <v>214</v>
      </c>
      <c r="DX54" s="129" t="s">
        <v>215</v>
      </c>
      <c r="DY54" s="129" t="s">
        <v>160</v>
      </c>
      <c r="DZ54" s="129" t="s">
        <v>164</v>
      </c>
      <c r="EA54" s="129" t="s">
        <v>216</v>
      </c>
      <c r="EB54" s="129" t="s">
        <v>212</v>
      </c>
      <c r="EC54" s="129" t="s">
        <v>212</v>
      </c>
      <c r="ED54" s="129" t="s">
        <v>212</v>
      </c>
      <c r="EE54" s="129" t="s">
        <v>217</v>
      </c>
      <c r="EF54" s="147" t="s">
        <v>213</v>
      </c>
      <c r="EG54" s="148" t="s">
        <v>213</v>
      </c>
      <c r="EH54" s="129" t="s">
        <v>218</v>
      </c>
      <c r="EI54" s="129" t="s">
        <v>417</v>
      </c>
      <c r="EJ54" s="129" t="s">
        <v>160</v>
      </c>
      <c r="EK54" s="129">
        <v>1940.1489999999999</v>
      </c>
      <c r="EL54" s="129" t="s">
        <v>163</v>
      </c>
      <c r="EM54" s="129">
        <v>50.470999999999847</v>
      </c>
      <c r="EN54" s="129">
        <v>49.910999999999923</v>
      </c>
      <c r="EO54" s="129" t="s">
        <v>160</v>
      </c>
      <c r="EP54" s="129" t="s">
        <v>160</v>
      </c>
      <c r="EQ54" s="129" t="s">
        <v>160</v>
      </c>
      <c r="ER54" s="129" t="s">
        <v>160</v>
      </c>
      <c r="ES54" s="151">
        <v>8.0413910000000008</v>
      </c>
      <c r="ET54" s="142" t="s">
        <v>165</v>
      </c>
      <c r="EU54" s="151">
        <v>4.033299999999862E-2</v>
      </c>
      <c r="EV54" s="151">
        <v>4.148800000000108E-2</v>
      </c>
      <c r="EW54" s="142" t="s">
        <v>160</v>
      </c>
      <c r="EX54" s="129" t="s">
        <v>160</v>
      </c>
      <c r="EY54" s="129" t="s">
        <v>160</v>
      </c>
      <c r="EZ54" s="191">
        <v>349.12479999999999</v>
      </c>
      <c r="FA54" s="191">
        <v>44.36809999999997</v>
      </c>
      <c r="FB54" s="191">
        <v>39.099999999999966</v>
      </c>
      <c r="FC54" s="129" t="s">
        <v>220</v>
      </c>
      <c r="FD54" s="129" t="s">
        <v>221</v>
      </c>
      <c r="FE54" s="191">
        <v>2228.4829999999997</v>
      </c>
      <c r="FF54" s="191">
        <v>64.278999999999996</v>
      </c>
      <c r="FG54" s="191">
        <v>64.346999999999753</v>
      </c>
      <c r="FH54" s="129" t="s">
        <v>160</v>
      </c>
      <c r="FI54" s="129" t="s">
        <v>160</v>
      </c>
      <c r="FJ54" s="129" t="s">
        <v>160</v>
      </c>
      <c r="FK54" s="129" t="s">
        <v>160</v>
      </c>
      <c r="FL54" s="129" t="s">
        <v>160</v>
      </c>
      <c r="FM54" s="129" t="s">
        <v>160</v>
      </c>
      <c r="FN54" s="151">
        <v>4.0285859999999998</v>
      </c>
      <c r="FO54" s="151">
        <v>0.31790400000000041</v>
      </c>
      <c r="FP54" s="151">
        <v>0.29856999999999978</v>
      </c>
      <c r="FQ54" s="178" t="s">
        <v>419</v>
      </c>
      <c r="FR54" s="166" t="s">
        <v>329</v>
      </c>
      <c r="FS54" s="166">
        <v>2010</v>
      </c>
      <c r="FT54" s="188" t="s">
        <v>330</v>
      </c>
    </row>
    <row r="55" spans="1:176" s="129" customFormat="1" ht="17">
      <c r="A55" s="166" t="s">
        <v>152</v>
      </c>
      <c r="B55" s="166" t="s">
        <v>183</v>
      </c>
      <c r="C55" s="166">
        <v>2018</v>
      </c>
      <c r="D55" s="166" t="s">
        <v>184</v>
      </c>
      <c r="E55" s="150">
        <v>3204.4042042384226</v>
      </c>
      <c r="F55" s="166" t="s">
        <v>160</v>
      </c>
      <c r="G55" s="166" t="s">
        <v>160</v>
      </c>
      <c r="H55" s="190">
        <v>360.94659999999999</v>
      </c>
      <c r="I55" s="191">
        <v>46.664199999999994</v>
      </c>
      <c r="J55" s="191">
        <v>40.418199999999956</v>
      </c>
      <c r="K55" s="129" t="s">
        <v>457</v>
      </c>
      <c r="L55" s="131" t="s">
        <v>185</v>
      </c>
      <c r="M55" s="132" t="s">
        <v>186</v>
      </c>
      <c r="N55" s="129" t="s">
        <v>184</v>
      </c>
      <c r="O55" s="129">
        <v>999</v>
      </c>
      <c r="P55" s="192" t="s">
        <v>156</v>
      </c>
      <c r="Q55" s="129">
        <v>12</v>
      </c>
      <c r="R55" s="129">
        <v>1</v>
      </c>
      <c r="S55" s="129">
        <v>81</v>
      </c>
      <c r="T55" s="129">
        <v>83</v>
      </c>
      <c r="U55" s="129">
        <v>103.41</v>
      </c>
      <c r="V55" s="129" t="s">
        <v>160</v>
      </c>
      <c r="W55" s="129" t="s">
        <v>160</v>
      </c>
      <c r="X55" s="129" t="s">
        <v>157</v>
      </c>
      <c r="Y55" s="192">
        <v>12.744</v>
      </c>
      <c r="Z55" s="192">
        <v>-78.7393</v>
      </c>
      <c r="AA55" s="192" t="s">
        <v>160</v>
      </c>
      <c r="AB55" s="192" t="s">
        <v>160</v>
      </c>
      <c r="AC55" s="192">
        <v>-2828</v>
      </c>
      <c r="AD55" s="129" t="s">
        <v>160</v>
      </c>
      <c r="AE55" s="192" t="s">
        <v>160</v>
      </c>
      <c r="AF55" s="129" t="s">
        <v>160</v>
      </c>
      <c r="AG55" s="151">
        <v>3204.4042042384226</v>
      </c>
      <c r="AH55" s="138" t="s">
        <v>160</v>
      </c>
      <c r="AI55" s="129" t="s">
        <v>160</v>
      </c>
      <c r="AJ55" s="138" t="s">
        <v>160</v>
      </c>
      <c r="AK55" s="129" t="s">
        <v>237</v>
      </c>
      <c r="AL55" s="184" t="s">
        <v>321</v>
      </c>
      <c r="AM55" s="184" t="s">
        <v>331</v>
      </c>
      <c r="AN55" s="129" t="s">
        <v>160</v>
      </c>
      <c r="AO55" s="129" t="s">
        <v>160</v>
      </c>
      <c r="AP55" s="129" t="s">
        <v>160</v>
      </c>
      <c r="AQ55" s="129" t="s">
        <v>160</v>
      </c>
      <c r="AR55" s="129" t="s">
        <v>160</v>
      </c>
      <c r="AS55" s="129" t="s">
        <v>160</v>
      </c>
      <c r="AT55" s="129" t="s">
        <v>160</v>
      </c>
      <c r="AU55" s="192" t="s">
        <v>332</v>
      </c>
      <c r="AV55" s="192" t="s">
        <v>161</v>
      </c>
      <c r="AW55" s="166">
        <v>100</v>
      </c>
      <c r="AX55" s="193" t="s">
        <v>333</v>
      </c>
      <c r="AY55" s="192" t="s">
        <v>194</v>
      </c>
      <c r="AZ55" s="192" t="s">
        <v>334</v>
      </c>
      <c r="BA55" s="192" t="s">
        <v>196</v>
      </c>
      <c r="BB55" s="129" t="s">
        <v>345</v>
      </c>
      <c r="BC55" s="129">
        <v>2</v>
      </c>
      <c r="BD55" s="129">
        <v>0.28000000000000108</v>
      </c>
      <c r="BE55" s="172">
        <v>18</v>
      </c>
      <c r="BF55" s="194" t="s">
        <v>163</v>
      </c>
      <c r="BG55" s="172">
        <v>0.13</v>
      </c>
      <c r="BH55" s="129">
        <v>0.83299999999999996</v>
      </c>
      <c r="BI55" s="129" t="s">
        <v>160</v>
      </c>
      <c r="BJ55" s="138" t="s">
        <v>160</v>
      </c>
      <c r="BK55" s="129">
        <v>2.69</v>
      </c>
      <c r="BL55" s="129" t="s">
        <v>160</v>
      </c>
      <c r="BM55" s="129" t="s">
        <v>160</v>
      </c>
      <c r="BN55" s="129" t="s">
        <v>200</v>
      </c>
      <c r="BO55" s="129" t="s">
        <v>201</v>
      </c>
      <c r="BP55" s="151">
        <v>18.379351740696279</v>
      </c>
      <c r="BQ55" s="129" t="s">
        <v>202</v>
      </c>
      <c r="BR55" s="142">
        <f t="shared" si="9"/>
        <v>0.13</v>
      </c>
      <c r="BS55" s="129" t="s">
        <v>160</v>
      </c>
      <c r="BT55" s="129" t="s">
        <v>160</v>
      </c>
      <c r="BU55" s="129">
        <v>10</v>
      </c>
      <c r="BV55" s="129" t="s">
        <v>159</v>
      </c>
      <c r="BW55" s="129">
        <v>10</v>
      </c>
      <c r="BX55" s="129">
        <v>28.4</v>
      </c>
      <c r="BY55" s="129" t="s">
        <v>159</v>
      </c>
      <c r="BZ55" s="129">
        <v>1</v>
      </c>
      <c r="CA55" s="129">
        <v>1</v>
      </c>
      <c r="CB55" s="129" t="s">
        <v>336</v>
      </c>
      <c r="CC55" s="129" t="s">
        <v>160</v>
      </c>
      <c r="CD55" s="129" t="s">
        <v>160</v>
      </c>
      <c r="CE55" s="129" t="s">
        <v>160</v>
      </c>
      <c r="CF55" s="129" t="s">
        <v>160</v>
      </c>
      <c r="CG55" s="129" t="s">
        <v>160</v>
      </c>
      <c r="CH55" s="129" t="s">
        <v>160</v>
      </c>
      <c r="CI55" s="129" t="s">
        <v>160</v>
      </c>
      <c r="CJ55" s="129" t="s">
        <v>160</v>
      </c>
      <c r="CK55" s="129" t="s">
        <v>160</v>
      </c>
      <c r="CL55" s="129" t="s">
        <v>160</v>
      </c>
      <c r="CM55" s="129" t="s">
        <v>160</v>
      </c>
      <c r="CN55" s="129" t="s">
        <v>337</v>
      </c>
      <c r="CO55" s="129" t="s">
        <v>338</v>
      </c>
      <c r="CP55" s="178" t="s">
        <v>160</v>
      </c>
      <c r="CQ55" s="178" t="s">
        <v>160</v>
      </c>
      <c r="CR55" s="129" t="s">
        <v>160</v>
      </c>
      <c r="CS55" s="129" t="s">
        <v>339</v>
      </c>
      <c r="CT55" s="129" t="s">
        <v>340</v>
      </c>
      <c r="CU55" s="129">
        <v>36</v>
      </c>
      <c r="CV55" s="129" t="s">
        <v>159</v>
      </c>
      <c r="CW55" s="146">
        <v>1</v>
      </c>
      <c r="CX55" s="129" t="s">
        <v>207</v>
      </c>
      <c r="CY55" s="129">
        <v>1.06E-2</v>
      </c>
      <c r="CZ55" s="129" t="s">
        <v>159</v>
      </c>
      <c r="DA55" s="146">
        <v>0</v>
      </c>
      <c r="DB55" s="129" t="s">
        <v>208</v>
      </c>
      <c r="DC55" s="129">
        <v>5.5100000000000003E-2</v>
      </c>
      <c r="DD55" s="129" t="s">
        <v>159</v>
      </c>
      <c r="DE55" s="146">
        <v>0</v>
      </c>
      <c r="DF55" s="129" t="s">
        <v>208</v>
      </c>
      <c r="DG55" s="129" t="s">
        <v>160</v>
      </c>
      <c r="DH55" s="129" t="s">
        <v>160</v>
      </c>
      <c r="DI55" s="129" t="s">
        <v>160</v>
      </c>
      <c r="DJ55" s="129" t="s">
        <v>160</v>
      </c>
      <c r="DK55" s="145">
        <v>432.56244218316402</v>
      </c>
      <c r="DL55" s="129" t="s">
        <v>159</v>
      </c>
      <c r="DM55" s="145" t="s">
        <v>160</v>
      </c>
      <c r="DN55" s="129" t="s">
        <v>434</v>
      </c>
      <c r="DO55" s="129">
        <v>39.690049999999999</v>
      </c>
      <c r="DP55" s="129" t="s">
        <v>160</v>
      </c>
      <c r="DQ55" s="129">
        <v>0.36849999999999739</v>
      </c>
      <c r="DR55" s="129" t="s">
        <v>435</v>
      </c>
      <c r="DS55" s="129" t="s">
        <v>212</v>
      </c>
      <c r="DT55" s="129" t="s">
        <v>213</v>
      </c>
      <c r="DU55" s="129">
        <v>1.0271999999999999</v>
      </c>
      <c r="DV55" s="129" t="s">
        <v>214</v>
      </c>
      <c r="DW55" s="129" t="s">
        <v>214</v>
      </c>
      <c r="DX55" s="129" t="s">
        <v>215</v>
      </c>
      <c r="DY55" s="129" t="s">
        <v>160</v>
      </c>
      <c r="DZ55" s="129" t="s">
        <v>164</v>
      </c>
      <c r="EA55" s="129" t="s">
        <v>216</v>
      </c>
      <c r="EB55" s="129" t="s">
        <v>212</v>
      </c>
      <c r="EC55" s="129" t="s">
        <v>212</v>
      </c>
      <c r="ED55" s="129" t="s">
        <v>212</v>
      </c>
      <c r="EE55" s="129" t="s">
        <v>217</v>
      </c>
      <c r="EF55" s="147" t="s">
        <v>213</v>
      </c>
      <c r="EG55" s="148" t="s">
        <v>213</v>
      </c>
      <c r="EH55" s="129" t="s">
        <v>218</v>
      </c>
      <c r="EI55" s="129" t="s">
        <v>417</v>
      </c>
      <c r="EJ55" s="129" t="s">
        <v>160</v>
      </c>
      <c r="EK55" s="129">
        <v>1935.174</v>
      </c>
      <c r="EL55" s="129" t="s">
        <v>163</v>
      </c>
      <c r="EM55" s="129">
        <v>53.907000000000174</v>
      </c>
      <c r="EN55" s="129">
        <v>54.128000000000078</v>
      </c>
      <c r="EO55" s="129" t="s">
        <v>160</v>
      </c>
      <c r="EP55" s="129" t="s">
        <v>160</v>
      </c>
      <c r="EQ55" s="129" t="s">
        <v>160</v>
      </c>
      <c r="ER55" s="129" t="s">
        <v>160</v>
      </c>
      <c r="ES55" s="151">
        <v>8.0280559999999994</v>
      </c>
      <c r="ET55" s="142" t="s">
        <v>165</v>
      </c>
      <c r="EU55" s="151">
        <v>4.1626000000000829E-2</v>
      </c>
      <c r="EV55" s="151">
        <v>4.2831999999999759E-2</v>
      </c>
      <c r="EW55" s="142" t="s">
        <v>160</v>
      </c>
      <c r="EX55" s="129" t="s">
        <v>160</v>
      </c>
      <c r="EY55" s="129" t="s">
        <v>160</v>
      </c>
      <c r="EZ55" s="191">
        <v>360.94659999999999</v>
      </c>
      <c r="FA55" s="191">
        <v>46.664199999999994</v>
      </c>
      <c r="FB55" s="191">
        <v>40.418199999999956</v>
      </c>
      <c r="FC55" s="129" t="s">
        <v>220</v>
      </c>
      <c r="FD55" s="129" t="s">
        <v>221</v>
      </c>
      <c r="FE55" s="191">
        <v>2207.8629999999998</v>
      </c>
      <c r="FF55" s="191">
        <v>70.619000000000142</v>
      </c>
      <c r="FG55" s="191">
        <v>69.614999999999782</v>
      </c>
      <c r="FH55" s="129" t="s">
        <v>160</v>
      </c>
      <c r="FI55" s="129" t="s">
        <v>160</v>
      </c>
      <c r="FJ55" s="129" t="s">
        <v>160</v>
      </c>
      <c r="FK55" s="129" t="s">
        <v>160</v>
      </c>
      <c r="FL55" s="129" t="s">
        <v>160</v>
      </c>
      <c r="FM55" s="129" t="s">
        <v>160</v>
      </c>
      <c r="FN55" s="151">
        <v>3.8511899999999999</v>
      </c>
      <c r="FO55" s="151">
        <v>0.3243879999999999</v>
      </c>
      <c r="FP55" s="151">
        <v>0.30069100000000004</v>
      </c>
      <c r="FQ55" s="178" t="s">
        <v>419</v>
      </c>
      <c r="FR55" s="166" t="s">
        <v>329</v>
      </c>
      <c r="FS55" s="166">
        <v>2010</v>
      </c>
      <c r="FT55" s="188" t="s">
        <v>330</v>
      </c>
    </row>
    <row r="56" spans="1:176" s="129" customFormat="1" ht="17">
      <c r="A56" s="166" t="s">
        <v>152</v>
      </c>
      <c r="B56" s="166" t="s">
        <v>183</v>
      </c>
      <c r="C56" s="166">
        <v>2018</v>
      </c>
      <c r="D56" s="166" t="s">
        <v>184</v>
      </c>
      <c r="E56" s="150">
        <v>4003.1768113860212</v>
      </c>
      <c r="F56" s="166" t="s">
        <v>160</v>
      </c>
      <c r="G56" s="166" t="s">
        <v>160</v>
      </c>
      <c r="H56" s="190">
        <v>415.83330000000001</v>
      </c>
      <c r="I56" s="191">
        <v>144.58410000000003</v>
      </c>
      <c r="J56" s="191">
        <v>111.37590000000006</v>
      </c>
      <c r="K56" s="129" t="s">
        <v>457</v>
      </c>
      <c r="L56" s="131" t="s">
        <v>185</v>
      </c>
      <c r="M56" s="132" t="s">
        <v>186</v>
      </c>
      <c r="N56" s="129" t="s">
        <v>184</v>
      </c>
      <c r="O56" s="129">
        <v>999</v>
      </c>
      <c r="P56" s="192" t="s">
        <v>156</v>
      </c>
      <c r="Q56" s="129">
        <v>14</v>
      </c>
      <c r="R56" s="129">
        <v>4</v>
      </c>
      <c r="S56" s="129">
        <v>52</v>
      </c>
      <c r="T56" s="129">
        <v>54</v>
      </c>
      <c r="U56" s="129">
        <v>126.62</v>
      </c>
      <c r="V56" s="129" t="s">
        <v>160</v>
      </c>
      <c r="W56" s="129" t="s">
        <v>160</v>
      </c>
      <c r="X56" s="129" t="s">
        <v>157</v>
      </c>
      <c r="Y56" s="192">
        <v>12.744</v>
      </c>
      <c r="Z56" s="192">
        <v>-78.7393</v>
      </c>
      <c r="AA56" s="192" t="s">
        <v>160</v>
      </c>
      <c r="AB56" s="192" t="s">
        <v>160</v>
      </c>
      <c r="AC56" s="192">
        <v>-2828</v>
      </c>
      <c r="AD56" s="129" t="s">
        <v>160</v>
      </c>
      <c r="AE56" s="192" t="s">
        <v>160</v>
      </c>
      <c r="AF56" s="129" t="s">
        <v>160</v>
      </c>
      <c r="AG56" s="151">
        <v>4003.1768113860212</v>
      </c>
      <c r="AH56" s="138" t="s">
        <v>160</v>
      </c>
      <c r="AI56" s="129" t="s">
        <v>160</v>
      </c>
      <c r="AJ56" s="138" t="s">
        <v>160</v>
      </c>
      <c r="AK56" s="129" t="s">
        <v>237</v>
      </c>
      <c r="AL56" s="184" t="s">
        <v>321</v>
      </c>
      <c r="AM56" s="184" t="s">
        <v>331</v>
      </c>
      <c r="AN56" s="129" t="s">
        <v>160</v>
      </c>
      <c r="AO56" s="129" t="s">
        <v>160</v>
      </c>
      <c r="AP56" s="129" t="s">
        <v>160</v>
      </c>
      <c r="AQ56" s="129" t="s">
        <v>160</v>
      </c>
      <c r="AR56" s="129" t="s">
        <v>160</v>
      </c>
      <c r="AS56" s="129" t="s">
        <v>160</v>
      </c>
      <c r="AT56" s="129" t="s">
        <v>160</v>
      </c>
      <c r="AU56" s="192" t="s">
        <v>332</v>
      </c>
      <c r="AV56" s="192" t="s">
        <v>161</v>
      </c>
      <c r="AW56" s="166">
        <v>100</v>
      </c>
      <c r="AX56" s="193" t="s">
        <v>333</v>
      </c>
      <c r="AY56" s="192" t="s">
        <v>194</v>
      </c>
      <c r="AZ56" s="192" t="s">
        <v>334</v>
      </c>
      <c r="BA56" s="192" t="s">
        <v>196</v>
      </c>
      <c r="BB56" s="129" t="s">
        <v>346</v>
      </c>
      <c r="BC56" s="129">
        <v>2</v>
      </c>
      <c r="BD56" s="129">
        <v>5.0000000000000711E-2</v>
      </c>
      <c r="BE56" s="172">
        <v>17.739999999999998</v>
      </c>
      <c r="BF56" s="194" t="s">
        <v>163</v>
      </c>
      <c r="BG56" s="172">
        <v>0.25</v>
      </c>
      <c r="BH56" s="129">
        <v>0.83299999999999996</v>
      </c>
      <c r="BI56" s="129" t="s">
        <v>160</v>
      </c>
      <c r="BJ56" s="138" t="s">
        <v>160</v>
      </c>
      <c r="BK56" s="129">
        <v>2.69</v>
      </c>
      <c r="BL56" s="129" t="s">
        <v>160</v>
      </c>
      <c r="BM56" s="129" t="s">
        <v>160</v>
      </c>
      <c r="BN56" s="129" t="s">
        <v>200</v>
      </c>
      <c r="BO56" s="129" t="s">
        <v>201</v>
      </c>
      <c r="BP56" s="151">
        <v>18.067226890756302</v>
      </c>
      <c r="BQ56" s="129" t="s">
        <v>202</v>
      </c>
      <c r="BR56" s="142">
        <f t="shared" si="9"/>
        <v>0.25</v>
      </c>
      <c r="BS56" s="129" t="s">
        <v>160</v>
      </c>
      <c r="BT56" s="129" t="s">
        <v>160</v>
      </c>
      <c r="BU56" s="129">
        <v>10</v>
      </c>
      <c r="BV56" s="129" t="s">
        <v>159</v>
      </c>
      <c r="BW56" s="129">
        <v>10</v>
      </c>
      <c r="BX56" s="129">
        <v>29.8</v>
      </c>
      <c r="BY56" s="129" t="s">
        <v>159</v>
      </c>
      <c r="BZ56" s="129">
        <v>1</v>
      </c>
      <c r="CA56" s="129">
        <v>1</v>
      </c>
      <c r="CB56" s="129" t="s">
        <v>336</v>
      </c>
      <c r="CC56" s="129" t="s">
        <v>160</v>
      </c>
      <c r="CD56" s="129" t="s">
        <v>160</v>
      </c>
      <c r="CE56" s="129" t="s">
        <v>160</v>
      </c>
      <c r="CF56" s="129" t="s">
        <v>160</v>
      </c>
      <c r="CG56" s="129" t="s">
        <v>160</v>
      </c>
      <c r="CH56" s="129" t="s">
        <v>160</v>
      </c>
      <c r="CI56" s="129" t="s">
        <v>160</v>
      </c>
      <c r="CJ56" s="129" t="s">
        <v>160</v>
      </c>
      <c r="CK56" s="129" t="s">
        <v>160</v>
      </c>
      <c r="CL56" s="129" t="s">
        <v>160</v>
      </c>
      <c r="CM56" s="129" t="s">
        <v>160</v>
      </c>
      <c r="CN56" s="129" t="s">
        <v>337</v>
      </c>
      <c r="CO56" s="129" t="s">
        <v>338</v>
      </c>
      <c r="CP56" s="178" t="s">
        <v>160</v>
      </c>
      <c r="CQ56" s="178" t="s">
        <v>160</v>
      </c>
      <c r="CR56" s="129" t="s">
        <v>160</v>
      </c>
      <c r="CS56" s="129" t="s">
        <v>339</v>
      </c>
      <c r="CT56" s="129" t="s">
        <v>340</v>
      </c>
      <c r="CU56" s="129">
        <v>36</v>
      </c>
      <c r="CV56" s="129" t="s">
        <v>159</v>
      </c>
      <c r="CW56" s="146">
        <v>1</v>
      </c>
      <c r="CX56" s="129" t="s">
        <v>207</v>
      </c>
      <c r="CY56" s="129">
        <v>1.1288146093877257E-2</v>
      </c>
      <c r="CZ56" s="129" t="s">
        <v>159</v>
      </c>
      <c r="DA56" s="146">
        <v>2.5000000000000001E-3</v>
      </c>
      <c r="DB56" s="129" t="s">
        <v>208</v>
      </c>
      <c r="DC56" s="129">
        <v>5.2782640364173281E-2</v>
      </c>
      <c r="DD56" s="129" t="s">
        <v>159</v>
      </c>
      <c r="DE56" s="146">
        <v>2.5000000000000001E-3</v>
      </c>
      <c r="DF56" s="129" t="s">
        <v>209</v>
      </c>
      <c r="DG56" s="129" t="s">
        <v>160</v>
      </c>
      <c r="DH56" s="129" t="s">
        <v>160</v>
      </c>
      <c r="DI56" s="129" t="s">
        <v>160</v>
      </c>
      <c r="DJ56" s="129" t="s">
        <v>160</v>
      </c>
      <c r="DK56" s="145">
        <v>424.29</v>
      </c>
      <c r="DL56" s="129" t="s">
        <v>159</v>
      </c>
      <c r="DM56" s="145" t="s">
        <v>160</v>
      </c>
      <c r="DN56" s="129" t="s">
        <v>210</v>
      </c>
      <c r="DO56" s="129">
        <v>40.029870000000003</v>
      </c>
      <c r="DP56" s="129" t="s">
        <v>160</v>
      </c>
      <c r="DQ56" s="129">
        <v>0.48413000000000039</v>
      </c>
      <c r="DR56" s="129" t="s">
        <v>211</v>
      </c>
      <c r="DS56" s="129" t="s">
        <v>212</v>
      </c>
      <c r="DT56" s="129" t="s">
        <v>213</v>
      </c>
      <c r="DU56" s="129">
        <v>1.0271999999999999</v>
      </c>
      <c r="DV56" s="129" t="s">
        <v>214</v>
      </c>
      <c r="DW56" s="129" t="s">
        <v>214</v>
      </c>
      <c r="DX56" s="129" t="s">
        <v>215</v>
      </c>
      <c r="DY56" s="129" t="s">
        <v>160</v>
      </c>
      <c r="DZ56" s="129" t="s">
        <v>164</v>
      </c>
      <c r="EA56" s="129" t="s">
        <v>216</v>
      </c>
      <c r="EB56" s="129" t="s">
        <v>212</v>
      </c>
      <c r="EC56" s="129" t="s">
        <v>212</v>
      </c>
      <c r="ED56" s="129" t="s">
        <v>212</v>
      </c>
      <c r="EE56" s="129" t="s">
        <v>217</v>
      </c>
      <c r="EF56" s="147" t="s">
        <v>213</v>
      </c>
      <c r="EG56" s="148" t="s">
        <v>213</v>
      </c>
      <c r="EH56" s="129" t="s">
        <v>218</v>
      </c>
      <c r="EI56" s="129" t="s">
        <v>219</v>
      </c>
      <c r="EJ56" s="129" t="s">
        <v>160</v>
      </c>
      <c r="EK56" s="129">
        <v>1900.4079999999999</v>
      </c>
      <c r="EL56" s="129" t="s">
        <v>163</v>
      </c>
      <c r="EM56" s="150">
        <v>500</v>
      </c>
      <c r="EN56" s="150">
        <v>500</v>
      </c>
      <c r="EO56" s="129" t="s">
        <v>160</v>
      </c>
      <c r="EP56" s="129" t="s">
        <v>160</v>
      </c>
      <c r="EQ56" s="129" t="s">
        <v>160</v>
      </c>
      <c r="ER56" s="129" t="s">
        <v>160</v>
      </c>
      <c r="ES56" s="151">
        <v>8.0238849999999999</v>
      </c>
      <c r="ET56" s="142" t="s">
        <v>165</v>
      </c>
      <c r="EU56" s="151">
        <v>8.6945999999999302E-2</v>
      </c>
      <c r="EV56" s="151">
        <v>9.545199999999987E-2</v>
      </c>
      <c r="EW56" s="142" t="s">
        <v>160</v>
      </c>
      <c r="EX56" s="129" t="s">
        <v>160</v>
      </c>
      <c r="EY56" s="129" t="s">
        <v>160</v>
      </c>
      <c r="EZ56" s="191">
        <v>415.83330000000001</v>
      </c>
      <c r="FA56" s="191">
        <v>144.58410000000003</v>
      </c>
      <c r="FB56" s="191">
        <v>111.37590000000006</v>
      </c>
      <c r="FC56" s="129" t="s">
        <v>220</v>
      </c>
      <c r="FD56" s="129" t="s">
        <v>221</v>
      </c>
      <c r="FE56" s="191">
        <v>2109.8610000000003</v>
      </c>
      <c r="FF56" s="191">
        <v>405.19200000000001</v>
      </c>
      <c r="FG56" s="191">
        <v>402.83300000000031</v>
      </c>
      <c r="FH56" s="129" t="s">
        <v>160</v>
      </c>
      <c r="FI56" s="129" t="s">
        <v>160</v>
      </c>
      <c r="FJ56" s="129" t="s">
        <v>160</v>
      </c>
      <c r="FK56" s="129" t="s">
        <v>160</v>
      </c>
      <c r="FL56" s="129" t="s">
        <v>160</v>
      </c>
      <c r="FM56" s="129" t="s">
        <v>160</v>
      </c>
      <c r="FN56" s="151">
        <v>4.372045</v>
      </c>
      <c r="FO56" s="151">
        <v>2.5274380000000001</v>
      </c>
      <c r="FP56" s="151">
        <v>2.041372</v>
      </c>
      <c r="FQ56" s="129" t="s">
        <v>414</v>
      </c>
      <c r="FR56" s="166" t="s">
        <v>329</v>
      </c>
      <c r="FS56" s="166">
        <v>2010</v>
      </c>
      <c r="FT56" s="188" t="s">
        <v>330</v>
      </c>
    </row>
    <row r="57" spans="1:176" s="129" customFormat="1" ht="17">
      <c r="A57" s="166" t="s">
        <v>152</v>
      </c>
      <c r="B57" s="166" t="s">
        <v>183</v>
      </c>
      <c r="C57" s="166">
        <v>2018</v>
      </c>
      <c r="D57" s="166" t="s">
        <v>184</v>
      </c>
      <c r="E57" s="150">
        <v>4225.7089281733424</v>
      </c>
      <c r="F57" s="166" t="s">
        <v>160</v>
      </c>
      <c r="G57" s="166" t="s">
        <v>160</v>
      </c>
      <c r="H57" s="190">
        <v>397.21559999999999</v>
      </c>
      <c r="I57" s="191">
        <v>135.77049999999997</v>
      </c>
      <c r="J57" s="191">
        <v>105.60829999999999</v>
      </c>
      <c r="K57" s="129" t="s">
        <v>457</v>
      </c>
      <c r="L57" s="131" t="s">
        <v>185</v>
      </c>
      <c r="M57" s="132" t="s">
        <v>186</v>
      </c>
      <c r="N57" s="129" t="s">
        <v>184</v>
      </c>
      <c r="O57" s="129">
        <v>999</v>
      </c>
      <c r="P57" s="192" t="s">
        <v>156</v>
      </c>
      <c r="Q57" s="129">
        <v>15</v>
      </c>
      <c r="R57" s="129">
        <v>3</v>
      </c>
      <c r="S57" s="129">
        <v>53</v>
      </c>
      <c r="T57" s="129">
        <v>55</v>
      </c>
      <c r="U57" s="129">
        <v>134.63</v>
      </c>
      <c r="V57" s="129" t="s">
        <v>160</v>
      </c>
      <c r="W57" s="129" t="s">
        <v>160</v>
      </c>
      <c r="X57" s="129" t="s">
        <v>157</v>
      </c>
      <c r="Y57" s="192">
        <v>12.744</v>
      </c>
      <c r="Z57" s="192">
        <v>-78.7393</v>
      </c>
      <c r="AA57" s="192" t="s">
        <v>160</v>
      </c>
      <c r="AB57" s="192" t="s">
        <v>160</v>
      </c>
      <c r="AC57" s="192">
        <v>-2828</v>
      </c>
      <c r="AD57" s="129" t="s">
        <v>160</v>
      </c>
      <c r="AE57" s="192" t="s">
        <v>160</v>
      </c>
      <c r="AF57" s="129" t="s">
        <v>160</v>
      </c>
      <c r="AG57" s="151">
        <v>4225.7089281733424</v>
      </c>
      <c r="AH57" s="138" t="s">
        <v>160</v>
      </c>
      <c r="AI57" s="129" t="s">
        <v>160</v>
      </c>
      <c r="AJ57" s="138" t="s">
        <v>160</v>
      </c>
      <c r="AK57" s="129" t="s">
        <v>237</v>
      </c>
      <c r="AL57" s="184" t="s">
        <v>321</v>
      </c>
      <c r="AM57" s="184" t="s">
        <v>331</v>
      </c>
      <c r="AN57" s="129" t="s">
        <v>160</v>
      </c>
      <c r="AO57" s="129" t="s">
        <v>160</v>
      </c>
      <c r="AP57" s="129" t="s">
        <v>160</v>
      </c>
      <c r="AQ57" s="129" t="s">
        <v>160</v>
      </c>
      <c r="AR57" s="129" t="s">
        <v>160</v>
      </c>
      <c r="AS57" s="129" t="s">
        <v>160</v>
      </c>
      <c r="AT57" s="129" t="s">
        <v>160</v>
      </c>
      <c r="AU57" s="192" t="s">
        <v>332</v>
      </c>
      <c r="AV57" s="192" t="s">
        <v>161</v>
      </c>
      <c r="AW57" s="166">
        <v>100</v>
      </c>
      <c r="AX57" s="193" t="s">
        <v>333</v>
      </c>
      <c r="AY57" s="192" t="s">
        <v>194</v>
      </c>
      <c r="AZ57" s="192" t="s">
        <v>334</v>
      </c>
      <c r="BA57" s="192" t="s">
        <v>196</v>
      </c>
      <c r="BB57" s="129" t="s">
        <v>347</v>
      </c>
      <c r="BC57" s="129">
        <v>2</v>
      </c>
      <c r="BD57" s="129">
        <v>0.14999999999999855</v>
      </c>
      <c r="BE57" s="172">
        <v>17.920000000000002</v>
      </c>
      <c r="BF57" s="194" t="s">
        <v>163</v>
      </c>
      <c r="BG57" s="172">
        <v>0.16</v>
      </c>
      <c r="BH57" s="129">
        <v>0.83299999999999996</v>
      </c>
      <c r="BI57" s="129" t="s">
        <v>160</v>
      </c>
      <c r="BJ57" s="138" t="s">
        <v>160</v>
      </c>
      <c r="BK57" s="129">
        <v>2.69</v>
      </c>
      <c r="BL57" s="129" t="s">
        <v>160</v>
      </c>
      <c r="BM57" s="129" t="s">
        <v>160</v>
      </c>
      <c r="BN57" s="129" t="s">
        <v>200</v>
      </c>
      <c r="BO57" s="129" t="s">
        <v>201</v>
      </c>
      <c r="BP57" s="151">
        <v>18.283313325330134</v>
      </c>
      <c r="BQ57" s="129" t="s">
        <v>202</v>
      </c>
      <c r="BR57" s="142">
        <f t="shared" si="9"/>
        <v>0.16</v>
      </c>
      <c r="BS57" s="129" t="s">
        <v>160</v>
      </c>
      <c r="BT57" s="129" t="s">
        <v>160</v>
      </c>
      <c r="BU57" s="129">
        <v>10</v>
      </c>
      <c r="BV57" s="129" t="s">
        <v>159</v>
      </c>
      <c r="BW57" s="129">
        <v>10</v>
      </c>
      <c r="BX57" s="129">
        <v>30.1</v>
      </c>
      <c r="BY57" s="129" t="s">
        <v>159</v>
      </c>
      <c r="BZ57" s="129">
        <v>1</v>
      </c>
      <c r="CA57" s="129">
        <v>1</v>
      </c>
      <c r="CB57" s="129" t="s">
        <v>336</v>
      </c>
      <c r="CC57" s="129" t="s">
        <v>160</v>
      </c>
      <c r="CD57" s="129" t="s">
        <v>160</v>
      </c>
      <c r="CE57" s="129" t="s">
        <v>160</v>
      </c>
      <c r="CF57" s="129" t="s">
        <v>160</v>
      </c>
      <c r="CG57" s="129" t="s">
        <v>160</v>
      </c>
      <c r="CH57" s="129" t="s">
        <v>160</v>
      </c>
      <c r="CI57" s="129" t="s">
        <v>160</v>
      </c>
      <c r="CJ57" s="129" t="s">
        <v>160</v>
      </c>
      <c r="CK57" s="129" t="s">
        <v>160</v>
      </c>
      <c r="CL57" s="129" t="s">
        <v>160</v>
      </c>
      <c r="CM57" s="129" t="s">
        <v>160</v>
      </c>
      <c r="CN57" s="129" t="s">
        <v>337</v>
      </c>
      <c r="CO57" s="129" t="s">
        <v>338</v>
      </c>
      <c r="CP57" s="178" t="s">
        <v>160</v>
      </c>
      <c r="CQ57" s="178" t="s">
        <v>160</v>
      </c>
      <c r="CR57" s="129" t="s">
        <v>160</v>
      </c>
      <c r="CS57" s="129" t="s">
        <v>339</v>
      </c>
      <c r="CT57" s="129" t="s">
        <v>340</v>
      </c>
      <c r="CU57" s="129">
        <v>36</v>
      </c>
      <c r="CV57" s="129" t="s">
        <v>159</v>
      </c>
      <c r="CW57" s="146">
        <v>1</v>
      </c>
      <c r="CX57" s="129" t="s">
        <v>207</v>
      </c>
      <c r="CY57" s="129">
        <v>1.1326399364752998E-2</v>
      </c>
      <c r="CZ57" s="129" t="s">
        <v>159</v>
      </c>
      <c r="DA57" s="146">
        <v>2.5000000000000001E-3</v>
      </c>
      <c r="DB57" s="129" t="s">
        <v>208</v>
      </c>
      <c r="DC57" s="129">
        <v>5.2659379824684785E-2</v>
      </c>
      <c r="DD57" s="129" t="s">
        <v>159</v>
      </c>
      <c r="DE57" s="146">
        <v>2.5000000000000001E-3</v>
      </c>
      <c r="DF57" s="129" t="s">
        <v>209</v>
      </c>
      <c r="DG57" s="129" t="s">
        <v>160</v>
      </c>
      <c r="DH57" s="129" t="s">
        <v>160</v>
      </c>
      <c r="DI57" s="129" t="s">
        <v>160</v>
      </c>
      <c r="DJ57" s="129" t="s">
        <v>160</v>
      </c>
      <c r="DK57" s="145">
        <v>424.29</v>
      </c>
      <c r="DL57" s="129" t="s">
        <v>159</v>
      </c>
      <c r="DM57" s="145" t="s">
        <v>160</v>
      </c>
      <c r="DN57" s="129" t="s">
        <v>210</v>
      </c>
      <c r="DO57" s="129">
        <v>40.020670000000003</v>
      </c>
      <c r="DP57" s="129" t="s">
        <v>160</v>
      </c>
      <c r="DQ57" s="129">
        <v>0.49819499999999906</v>
      </c>
      <c r="DR57" s="129" t="s">
        <v>211</v>
      </c>
      <c r="DS57" s="129" t="s">
        <v>212</v>
      </c>
      <c r="DT57" s="129" t="s">
        <v>213</v>
      </c>
      <c r="DU57" s="129">
        <v>1.0271999999999999</v>
      </c>
      <c r="DV57" s="129" t="s">
        <v>214</v>
      </c>
      <c r="DW57" s="129" t="s">
        <v>214</v>
      </c>
      <c r="DX57" s="129" t="s">
        <v>215</v>
      </c>
      <c r="DY57" s="129" t="s">
        <v>160</v>
      </c>
      <c r="DZ57" s="129" t="s">
        <v>164</v>
      </c>
      <c r="EA57" s="129" t="s">
        <v>216</v>
      </c>
      <c r="EB57" s="129" t="s">
        <v>212</v>
      </c>
      <c r="EC57" s="129" t="s">
        <v>212</v>
      </c>
      <c r="ED57" s="129" t="s">
        <v>212</v>
      </c>
      <c r="EE57" s="129" t="s">
        <v>217</v>
      </c>
      <c r="EF57" s="147" t="s">
        <v>213</v>
      </c>
      <c r="EG57" s="148" t="s">
        <v>213</v>
      </c>
      <c r="EH57" s="129" t="s">
        <v>218</v>
      </c>
      <c r="EI57" s="129" t="s">
        <v>219</v>
      </c>
      <c r="EJ57" s="129" t="s">
        <v>160</v>
      </c>
      <c r="EK57" s="129">
        <v>1890.0320000000002</v>
      </c>
      <c r="EL57" s="129" t="s">
        <v>163</v>
      </c>
      <c r="EM57" s="150">
        <v>500</v>
      </c>
      <c r="EN57" s="150">
        <v>500</v>
      </c>
      <c r="EO57" s="129" t="s">
        <v>160</v>
      </c>
      <c r="EP57" s="129" t="s">
        <v>160</v>
      </c>
      <c r="EQ57" s="129" t="s">
        <v>160</v>
      </c>
      <c r="ER57" s="129" t="s">
        <v>160</v>
      </c>
      <c r="ES57" s="151">
        <v>8.0413639999999997</v>
      </c>
      <c r="ET57" s="142" t="s">
        <v>165</v>
      </c>
      <c r="EU57" s="151">
        <v>8.3669999999999689E-2</v>
      </c>
      <c r="EV57" s="151">
        <v>9.1484999999999594E-2</v>
      </c>
      <c r="EW57" s="142" t="s">
        <v>160</v>
      </c>
      <c r="EX57" s="129" t="s">
        <v>160</v>
      </c>
      <c r="EY57" s="129" t="s">
        <v>160</v>
      </c>
      <c r="EZ57" s="191">
        <v>397.21559999999999</v>
      </c>
      <c r="FA57" s="191">
        <v>135.77049999999997</v>
      </c>
      <c r="FB57" s="191">
        <v>105.60829999999999</v>
      </c>
      <c r="FC57" s="129" t="s">
        <v>220</v>
      </c>
      <c r="FD57" s="129" t="s">
        <v>221</v>
      </c>
      <c r="FE57" s="191">
        <v>2110.549</v>
      </c>
      <c r="FF57" s="191">
        <v>401.04700000000003</v>
      </c>
      <c r="FG57" s="191">
        <v>419.6099999999999</v>
      </c>
      <c r="FH57" s="129" t="s">
        <v>160</v>
      </c>
      <c r="FI57" s="129" t="s">
        <v>160</v>
      </c>
      <c r="FJ57" s="129" t="s">
        <v>160</v>
      </c>
      <c r="FK57" s="129" t="s">
        <v>160</v>
      </c>
      <c r="FL57" s="129" t="s">
        <v>160</v>
      </c>
      <c r="FM57" s="129" t="s">
        <v>160</v>
      </c>
      <c r="FN57" s="151">
        <v>4.5885230000000004</v>
      </c>
      <c r="FO57" s="151">
        <v>2.6524989999999997</v>
      </c>
      <c r="FP57" s="151">
        <v>2.1006240000000003</v>
      </c>
      <c r="FQ57" s="129" t="s">
        <v>414</v>
      </c>
      <c r="FR57" s="166" t="s">
        <v>329</v>
      </c>
      <c r="FS57" s="166">
        <v>2010</v>
      </c>
      <c r="FT57" s="188" t="s">
        <v>330</v>
      </c>
    </row>
    <row r="58" spans="1:176" s="129" customFormat="1" ht="17">
      <c r="A58" s="166" t="s">
        <v>152</v>
      </c>
      <c r="B58" s="166" t="s">
        <v>183</v>
      </c>
      <c r="C58" s="166">
        <v>2018</v>
      </c>
      <c r="D58" s="166" t="s">
        <v>184</v>
      </c>
      <c r="E58" s="195">
        <v>15653.578</v>
      </c>
      <c r="F58" s="166" t="s">
        <v>160</v>
      </c>
      <c r="G58" s="166" t="s">
        <v>160</v>
      </c>
      <c r="H58" s="190">
        <v>475.41829999999999</v>
      </c>
      <c r="I58" s="191">
        <v>210.56729999999999</v>
      </c>
      <c r="J58" s="191">
        <v>146.45429999999999</v>
      </c>
      <c r="K58" s="129" t="s">
        <v>457</v>
      </c>
      <c r="L58" s="131" t="s">
        <v>185</v>
      </c>
      <c r="M58" s="132" t="s">
        <v>186</v>
      </c>
      <c r="N58" s="129" t="s">
        <v>184</v>
      </c>
      <c r="O58" s="129">
        <v>761</v>
      </c>
      <c r="P58" s="129" t="s">
        <v>235</v>
      </c>
      <c r="Q58" s="178">
        <v>6</v>
      </c>
      <c r="R58" s="178">
        <v>3</v>
      </c>
      <c r="S58" s="191">
        <v>96</v>
      </c>
      <c r="T58" s="129">
        <v>98</v>
      </c>
      <c r="U58" s="129" t="s">
        <v>160</v>
      </c>
      <c r="V58" s="141">
        <v>47.06</v>
      </c>
      <c r="W58" s="196" t="s">
        <v>350</v>
      </c>
      <c r="X58" s="129" t="s">
        <v>351</v>
      </c>
      <c r="Y58" s="196">
        <v>-16.739722220000001</v>
      </c>
      <c r="Z58" s="197">
        <v>115.53611110999999</v>
      </c>
      <c r="AA58" s="129" t="s">
        <v>160</v>
      </c>
      <c r="AB58" s="129" t="s">
        <v>160</v>
      </c>
      <c r="AC58" s="129">
        <v>-2179</v>
      </c>
      <c r="AD58" s="129" t="s">
        <v>160</v>
      </c>
      <c r="AE58" s="129" t="s">
        <v>160</v>
      </c>
      <c r="AF58" s="129" t="s">
        <v>160</v>
      </c>
      <c r="AG58" s="151">
        <v>15653.578</v>
      </c>
      <c r="AH58" s="138" t="s">
        <v>160</v>
      </c>
      <c r="AI58" s="129" t="s">
        <v>160</v>
      </c>
      <c r="AJ58" s="138" t="s">
        <v>160</v>
      </c>
      <c r="AK58" s="129" t="s">
        <v>237</v>
      </c>
      <c r="AL58" s="129" t="s">
        <v>238</v>
      </c>
      <c r="AM58" s="140" t="s">
        <v>239</v>
      </c>
      <c r="AN58" s="129" t="s">
        <v>160</v>
      </c>
      <c r="AO58" s="129" t="s">
        <v>160</v>
      </c>
      <c r="AP58" s="129" t="s">
        <v>160</v>
      </c>
      <c r="AQ58" s="129" t="s">
        <v>160</v>
      </c>
      <c r="AR58" s="129" t="s">
        <v>160</v>
      </c>
      <c r="AS58" s="129" t="s">
        <v>160</v>
      </c>
      <c r="AT58" s="129" t="s">
        <v>160</v>
      </c>
      <c r="AU58" s="129" t="s">
        <v>191</v>
      </c>
      <c r="AV58" s="129" t="s">
        <v>161</v>
      </c>
      <c r="AW58" s="129" t="s">
        <v>192</v>
      </c>
      <c r="AX58" s="129" t="s">
        <v>352</v>
      </c>
      <c r="AY58" s="129" t="s">
        <v>353</v>
      </c>
      <c r="AZ58" s="129" t="s">
        <v>354</v>
      </c>
      <c r="BA58" s="129" t="s">
        <v>196</v>
      </c>
      <c r="BB58" s="198">
        <v>15.965278142428847</v>
      </c>
      <c r="BC58" s="129">
        <v>1</v>
      </c>
      <c r="BD58" s="129" t="s">
        <v>160</v>
      </c>
      <c r="BE58" s="151">
        <v>15.965278142428847</v>
      </c>
      <c r="BF58" s="129" t="s">
        <v>355</v>
      </c>
      <c r="BG58" s="141">
        <v>0.37848467917098549</v>
      </c>
      <c r="BH58" s="129">
        <v>0.83299999999999996</v>
      </c>
      <c r="BI58" s="129" t="s">
        <v>160</v>
      </c>
      <c r="BJ58" s="138" t="s">
        <v>160</v>
      </c>
      <c r="BK58" s="129">
        <v>2.69</v>
      </c>
      <c r="BL58" s="129" t="s">
        <v>160</v>
      </c>
      <c r="BM58" s="129" t="s">
        <v>160</v>
      </c>
      <c r="BN58" s="129" t="s">
        <v>200</v>
      </c>
      <c r="BO58" s="129" t="s">
        <v>201</v>
      </c>
      <c r="BP58" s="151">
        <v>15.936708454296337</v>
      </c>
      <c r="BQ58" s="129" t="s">
        <v>202</v>
      </c>
      <c r="BR58" s="217"/>
      <c r="BS58" s="129" t="s">
        <v>160</v>
      </c>
      <c r="BT58" s="129" t="s">
        <v>160</v>
      </c>
      <c r="BU58" s="129">
        <v>10</v>
      </c>
      <c r="BV58" s="129" t="s">
        <v>159</v>
      </c>
      <c r="BW58" s="129">
        <v>10</v>
      </c>
      <c r="BX58" s="145">
        <v>29.850282477634352</v>
      </c>
      <c r="BY58" s="129" t="s">
        <v>159</v>
      </c>
      <c r="BZ58" s="129">
        <v>1</v>
      </c>
      <c r="CA58" s="129">
        <v>1</v>
      </c>
      <c r="CB58" s="129" t="s">
        <v>160</v>
      </c>
      <c r="CC58" s="151">
        <v>4.7348946233107476</v>
      </c>
      <c r="CD58" s="129" t="s">
        <v>163</v>
      </c>
      <c r="CE58" s="144">
        <f t="shared" ref="CE58:CE92" si="10">CC58*0.027</f>
        <v>0.12784215482939018</v>
      </c>
      <c r="CF58" s="144">
        <f t="shared" ref="CF58:CF92" si="11">CC58*0.027</f>
        <v>0.12784215482939018</v>
      </c>
      <c r="CG58" s="145" t="s">
        <v>203</v>
      </c>
      <c r="CH58" s="129" t="s">
        <v>204</v>
      </c>
      <c r="CI58" s="129" t="s">
        <v>205</v>
      </c>
      <c r="CJ58" s="129" t="s">
        <v>206</v>
      </c>
      <c r="CK58" s="129" t="s">
        <v>158</v>
      </c>
      <c r="CL58" s="129" t="s">
        <v>158</v>
      </c>
      <c r="CM58" s="129" t="s">
        <v>158</v>
      </c>
      <c r="CN58" s="129" t="s">
        <v>160</v>
      </c>
      <c r="CO58" s="129" t="s">
        <v>160</v>
      </c>
      <c r="CP58" s="129" t="s">
        <v>160</v>
      </c>
      <c r="CQ58" s="129" t="s">
        <v>160</v>
      </c>
      <c r="CR58" s="129" t="s">
        <v>160</v>
      </c>
      <c r="CS58" s="129" t="s">
        <v>160</v>
      </c>
      <c r="CT58" s="129" t="s">
        <v>160</v>
      </c>
      <c r="CU58" s="129">
        <v>35</v>
      </c>
      <c r="CV58" s="129" t="s">
        <v>159</v>
      </c>
      <c r="CW58" s="146">
        <v>1</v>
      </c>
      <c r="CX58" s="129" t="s">
        <v>207</v>
      </c>
      <c r="CY58" s="129">
        <v>1.32908500582E-2</v>
      </c>
      <c r="CZ58" s="129" t="s">
        <v>159</v>
      </c>
      <c r="DA58" s="146">
        <v>2.5000000000000001E-3</v>
      </c>
      <c r="DB58" s="129" t="s">
        <v>208</v>
      </c>
      <c r="DC58" s="129">
        <v>4.6329483145799995E-2</v>
      </c>
      <c r="DD58" s="129" t="s">
        <v>159</v>
      </c>
      <c r="DE58" s="146">
        <v>2.5000000000000001E-3</v>
      </c>
      <c r="DF58" s="129" t="s">
        <v>209</v>
      </c>
      <c r="DG58" s="129" t="s">
        <v>160</v>
      </c>
      <c r="DH58" s="129" t="s">
        <v>160</v>
      </c>
      <c r="DI58" s="129" t="s">
        <v>160</v>
      </c>
      <c r="DJ58" s="129" t="s">
        <v>160</v>
      </c>
      <c r="DK58" s="145">
        <v>424.29</v>
      </c>
      <c r="DL58" s="129" t="s">
        <v>159</v>
      </c>
      <c r="DM58" s="145" t="s">
        <v>160</v>
      </c>
      <c r="DN58" s="129" t="s">
        <v>210</v>
      </c>
      <c r="DO58" s="129">
        <v>37.894300000000001</v>
      </c>
      <c r="DP58" s="129" t="s">
        <v>160</v>
      </c>
      <c r="DQ58" s="129">
        <v>0.67582999999999771</v>
      </c>
      <c r="DR58" s="129" t="s">
        <v>211</v>
      </c>
      <c r="DS58" s="129" t="s">
        <v>212</v>
      </c>
      <c r="DT58" s="129" t="s">
        <v>213</v>
      </c>
      <c r="DU58" s="129">
        <v>1.0271999999999999</v>
      </c>
      <c r="DV58" s="129" t="s">
        <v>214</v>
      </c>
      <c r="DW58" s="129" t="s">
        <v>214</v>
      </c>
      <c r="DX58" s="129" t="s">
        <v>215</v>
      </c>
      <c r="DY58" s="129" t="s">
        <v>160</v>
      </c>
      <c r="DZ58" s="129" t="s">
        <v>164</v>
      </c>
      <c r="EA58" s="129" t="s">
        <v>216</v>
      </c>
      <c r="EB58" s="129" t="s">
        <v>212</v>
      </c>
      <c r="EC58" s="129" t="s">
        <v>212</v>
      </c>
      <c r="ED58" s="129" t="s">
        <v>212</v>
      </c>
      <c r="EE58" s="129" t="s">
        <v>217</v>
      </c>
      <c r="EF58" s="147" t="s">
        <v>213</v>
      </c>
      <c r="EG58" s="148" t="s">
        <v>213</v>
      </c>
      <c r="EH58" s="129" t="s">
        <v>218</v>
      </c>
      <c r="EI58" s="129" t="s">
        <v>219</v>
      </c>
      <c r="EJ58" s="129" t="s">
        <v>160</v>
      </c>
      <c r="EK58" s="129">
        <v>1593.9750000000001</v>
      </c>
      <c r="EL58" s="129" t="s">
        <v>163</v>
      </c>
      <c r="EM58" s="150">
        <v>500</v>
      </c>
      <c r="EN58" s="150">
        <v>500</v>
      </c>
      <c r="EO58" s="129" t="s">
        <v>160</v>
      </c>
      <c r="EP58" s="129" t="s">
        <v>160</v>
      </c>
      <c r="EQ58" s="129" t="s">
        <v>160</v>
      </c>
      <c r="ER58" s="129" t="s">
        <v>160</v>
      </c>
      <c r="ES58" s="129">
        <v>7.897716</v>
      </c>
      <c r="ET58" s="142" t="s">
        <v>165</v>
      </c>
      <c r="EU58" s="129">
        <v>0.10624399999999934</v>
      </c>
      <c r="EV58" s="129">
        <v>0.11971600000000038</v>
      </c>
      <c r="EW58" s="142" t="s">
        <v>160</v>
      </c>
      <c r="EX58" s="129" t="s">
        <v>160</v>
      </c>
      <c r="EY58" s="129" t="s">
        <v>160</v>
      </c>
      <c r="EZ58" s="191">
        <v>475.41829999999999</v>
      </c>
      <c r="FA58" s="191">
        <v>210.56729999999999</v>
      </c>
      <c r="FB58" s="191">
        <v>146.45429999999999</v>
      </c>
      <c r="FC58" s="129" t="s">
        <v>220</v>
      </c>
      <c r="FD58" s="129" t="s">
        <v>221</v>
      </c>
      <c r="FE58" s="191">
        <v>1736.3039999999999</v>
      </c>
      <c r="FF58" s="191">
        <v>394.2679999999998</v>
      </c>
      <c r="FG58" s="191">
        <v>396.04999999999995</v>
      </c>
      <c r="FH58" s="129" t="s">
        <v>160</v>
      </c>
      <c r="FI58" s="129" t="s">
        <v>160</v>
      </c>
      <c r="FJ58" s="129" t="s">
        <v>160</v>
      </c>
      <c r="FK58" s="129" t="s">
        <v>160</v>
      </c>
      <c r="FL58" s="129" t="s">
        <v>160</v>
      </c>
      <c r="FM58" s="129" t="s">
        <v>160</v>
      </c>
      <c r="FN58" s="151">
        <v>3.195014</v>
      </c>
      <c r="FO58" s="151">
        <v>1.8657379999999999</v>
      </c>
      <c r="FP58" s="151">
        <v>1.363399</v>
      </c>
      <c r="FQ58" s="129" t="s">
        <v>414</v>
      </c>
      <c r="FR58" s="166" t="s">
        <v>348</v>
      </c>
      <c r="FS58" s="166">
        <v>2014</v>
      </c>
      <c r="FT58" s="166" t="s">
        <v>349</v>
      </c>
    </row>
    <row r="59" spans="1:176" s="129" customFormat="1" ht="17">
      <c r="A59" s="166" t="s">
        <v>152</v>
      </c>
      <c r="B59" s="166" t="s">
        <v>183</v>
      </c>
      <c r="C59" s="166">
        <v>2018</v>
      </c>
      <c r="D59" s="166" t="s">
        <v>184</v>
      </c>
      <c r="E59" s="195">
        <v>15715.463999999998</v>
      </c>
      <c r="F59" s="166" t="s">
        <v>160</v>
      </c>
      <c r="G59" s="166" t="s">
        <v>160</v>
      </c>
      <c r="H59" s="190">
        <v>674.39330000000007</v>
      </c>
      <c r="I59" s="191">
        <v>369.22969999999998</v>
      </c>
      <c r="J59" s="191">
        <v>226.08490000000006</v>
      </c>
      <c r="K59" s="129" t="s">
        <v>457</v>
      </c>
      <c r="L59" s="131" t="s">
        <v>185</v>
      </c>
      <c r="M59" s="132" t="s">
        <v>186</v>
      </c>
      <c r="N59" s="129" t="s">
        <v>184</v>
      </c>
      <c r="O59" s="129">
        <v>761</v>
      </c>
      <c r="P59" s="129" t="s">
        <v>235</v>
      </c>
      <c r="Q59" s="178">
        <v>6</v>
      </c>
      <c r="R59" s="178">
        <v>3</v>
      </c>
      <c r="S59" s="191">
        <v>118</v>
      </c>
      <c r="T59" s="129">
        <v>120</v>
      </c>
      <c r="U59" s="129" t="s">
        <v>160</v>
      </c>
      <c r="V59" s="141">
        <v>47.28</v>
      </c>
      <c r="W59" s="196" t="s">
        <v>350</v>
      </c>
      <c r="X59" s="129" t="s">
        <v>351</v>
      </c>
      <c r="Y59" s="196">
        <v>-16.739722220000001</v>
      </c>
      <c r="Z59" s="197">
        <v>115.53611110999999</v>
      </c>
      <c r="AA59" s="129" t="s">
        <v>160</v>
      </c>
      <c r="AB59" s="129" t="s">
        <v>160</v>
      </c>
      <c r="AC59" s="129">
        <v>-2179</v>
      </c>
      <c r="AD59" s="129" t="s">
        <v>160</v>
      </c>
      <c r="AE59" s="129" t="s">
        <v>160</v>
      </c>
      <c r="AF59" s="129" t="s">
        <v>160</v>
      </c>
      <c r="AG59" s="151">
        <v>15715.463999999998</v>
      </c>
      <c r="AH59" s="138" t="s">
        <v>160</v>
      </c>
      <c r="AI59" s="129" t="s">
        <v>160</v>
      </c>
      <c r="AJ59" s="138" t="s">
        <v>160</v>
      </c>
      <c r="AK59" s="129" t="s">
        <v>237</v>
      </c>
      <c r="AL59" s="129" t="s">
        <v>238</v>
      </c>
      <c r="AM59" s="140" t="s">
        <v>239</v>
      </c>
      <c r="AN59" s="129" t="s">
        <v>160</v>
      </c>
      <c r="AO59" s="129" t="s">
        <v>160</v>
      </c>
      <c r="AP59" s="129" t="s">
        <v>160</v>
      </c>
      <c r="AQ59" s="129" t="s">
        <v>160</v>
      </c>
      <c r="AR59" s="129" t="s">
        <v>160</v>
      </c>
      <c r="AS59" s="129" t="s">
        <v>160</v>
      </c>
      <c r="AT59" s="129" t="s">
        <v>160</v>
      </c>
      <c r="AU59" s="129" t="s">
        <v>191</v>
      </c>
      <c r="AV59" s="129" t="s">
        <v>161</v>
      </c>
      <c r="AW59" s="129" t="s">
        <v>192</v>
      </c>
      <c r="AX59" s="129" t="s">
        <v>352</v>
      </c>
      <c r="AY59" s="129" t="s">
        <v>353</v>
      </c>
      <c r="AZ59" s="129" t="s">
        <v>354</v>
      </c>
      <c r="BA59" s="129" t="s">
        <v>196</v>
      </c>
      <c r="BB59" s="198" t="s">
        <v>356</v>
      </c>
      <c r="BC59" s="129">
        <v>2</v>
      </c>
      <c r="BD59" s="151">
        <v>0.54342566493468247</v>
      </c>
      <c r="BE59" s="151">
        <v>14.840545038016348</v>
      </c>
      <c r="BF59" s="129" t="s">
        <v>355</v>
      </c>
      <c r="BG59" s="141">
        <v>0.30516813520038544</v>
      </c>
      <c r="BH59" s="129">
        <v>0.83299999999999996</v>
      </c>
      <c r="BI59" s="129" t="s">
        <v>160</v>
      </c>
      <c r="BJ59" s="138" t="s">
        <v>160</v>
      </c>
      <c r="BK59" s="129">
        <v>2.69</v>
      </c>
      <c r="BL59" s="129" t="s">
        <v>160</v>
      </c>
      <c r="BM59" s="129" t="s">
        <v>160</v>
      </c>
      <c r="BN59" s="129" t="s">
        <v>200</v>
      </c>
      <c r="BO59" s="129" t="s">
        <v>201</v>
      </c>
      <c r="BP59" s="151">
        <v>14.586488641076048</v>
      </c>
      <c r="BQ59" s="129" t="s">
        <v>202</v>
      </c>
      <c r="BR59" s="217"/>
      <c r="BS59" s="129" t="s">
        <v>160</v>
      </c>
      <c r="BT59" s="129" t="s">
        <v>160</v>
      </c>
      <c r="BU59" s="129">
        <v>10</v>
      </c>
      <c r="BV59" s="129" t="s">
        <v>159</v>
      </c>
      <c r="BW59" s="129">
        <v>10</v>
      </c>
      <c r="BX59" s="145">
        <v>28.908446507009021</v>
      </c>
      <c r="BY59" s="129" t="s">
        <v>159</v>
      </c>
      <c r="BZ59" s="129">
        <v>1</v>
      </c>
      <c r="CA59" s="129">
        <v>1</v>
      </c>
      <c r="CB59" s="129" t="s">
        <v>160</v>
      </c>
      <c r="CC59" s="151">
        <v>4.3473337601126794</v>
      </c>
      <c r="CD59" s="129" t="s">
        <v>163</v>
      </c>
      <c r="CE59" s="144">
        <f t="shared" si="10"/>
        <v>0.11737801152304234</v>
      </c>
      <c r="CF59" s="144">
        <f t="shared" si="11"/>
        <v>0.11737801152304234</v>
      </c>
      <c r="CG59" s="145" t="s">
        <v>203</v>
      </c>
      <c r="CH59" s="129" t="s">
        <v>204</v>
      </c>
      <c r="CI59" s="129" t="s">
        <v>205</v>
      </c>
      <c r="CJ59" s="129" t="s">
        <v>206</v>
      </c>
      <c r="CK59" s="129" t="s">
        <v>158</v>
      </c>
      <c r="CL59" s="129" t="s">
        <v>158</v>
      </c>
      <c r="CM59" s="129" t="s">
        <v>158</v>
      </c>
      <c r="CN59" s="129" t="s">
        <v>160</v>
      </c>
      <c r="CO59" s="129" t="s">
        <v>160</v>
      </c>
      <c r="CP59" s="129" t="s">
        <v>160</v>
      </c>
      <c r="CQ59" s="129" t="s">
        <v>160</v>
      </c>
      <c r="CR59" s="129" t="s">
        <v>160</v>
      </c>
      <c r="CS59" s="129" t="s">
        <v>160</v>
      </c>
      <c r="CT59" s="129" t="s">
        <v>160</v>
      </c>
      <c r="CU59" s="129">
        <v>35</v>
      </c>
      <c r="CV59" s="129" t="s">
        <v>159</v>
      </c>
      <c r="CW59" s="146">
        <v>1</v>
      </c>
      <c r="CX59" s="129" t="s">
        <v>207</v>
      </c>
      <c r="CY59" s="129">
        <v>1.3301488261599999E-2</v>
      </c>
      <c r="CZ59" s="129" t="s">
        <v>159</v>
      </c>
      <c r="DA59" s="146">
        <v>2.5000000000000001E-3</v>
      </c>
      <c r="DB59" s="129" t="s">
        <v>208</v>
      </c>
      <c r="DC59" s="129">
        <v>4.6295204490400005E-2</v>
      </c>
      <c r="DD59" s="129" t="s">
        <v>159</v>
      </c>
      <c r="DE59" s="146">
        <v>2.5000000000000001E-3</v>
      </c>
      <c r="DF59" s="129" t="s">
        <v>209</v>
      </c>
      <c r="DG59" s="129" t="s">
        <v>160</v>
      </c>
      <c r="DH59" s="129" t="s">
        <v>160</v>
      </c>
      <c r="DI59" s="129" t="s">
        <v>160</v>
      </c>
      <c r="DJ59" s="129" t="s">
        <v>160</v>
      </c>
      <c r="DK59" s="145">
        <v>424.29</v>
      </c>
      <c r="DL59" s="129" t="s">
        <v>159</v>
      </c>
      <c r="DM59" s="145" t="s">
        <v>160</v>
      </c>
      <c r="DN59" s="129" t="s">
        <v>210</v>
      </c>
      <c r="DO59" s="129">
        <v>37.898220000000002</v>
      </c>
      <c r="DP59" s="129" t="s">
        <v>160</v>
      </c>
      <c r="DQ59" s="129">
        <v>0.68001999999999896</v>
      </c>
      <c r="DR59" s="129" t="s">
        <v>211</v>
      </c>
      <c r="DS59" s="129" t="s">
        <v>212</v>
      </c>
      <c r="DT59" s="129" t="s">
        <v>213</v>
      </c>
      <c r="DU59" s="129">
        <v>1.0271999999999999</v>
      </c>
      <c r="DV59" s="129" t="s">
        <v>214</v>
      </c>
      <c r="DW59" s="129" t="s">
        <v>214</v>
      </c>
      <c r="DX59" s="129" t="s">
        <v>215</v>
      </c>
      <c r="DY59" s="129" t="s">
        <v>160</v>
      </c>
      <c r="DZ59" s="129" t="s">
        <v>164</v>
      </c>
      <c r="EA59" s="129" t="s">
        <v>216</v>
      </c>
      <c r="EB59" s="129" t="s">
        <v>212</v>
      </c>
      <c r="EC59" s="129" t="s">
        <v>212</v>
      </c>
      <c r="ED59" s="129" t="s">
        <v>212</v>
      </c>
      <c r="EE59" s="129" t="s">
        <v>217</v>
      </c>
      <c r="EF59" s="147" t="s">
        <v>213</v>
      </c>
      <c r="EG59" s="148" t="s">
        <v>213</v>
      </c>
      <c r="EH59" s="129" t="s">
        <v>218</v>
      </c>
      <c r="EI59" s="129" t="s">
        <v>219</v>
      </c>
      <c r="EJ59" s="129" t="s">
        <v>160</v>
      </c>
      <c r="EK59" s="129">
        <v>1593.627</v>
      </c>
      <c r="EL59" s="129" t="s">
        <v>163</v>
      </c>
      <c r="EM59" s="150">
        <v>500</v>
      </c>
      <c r="EN59" s="150">
        <v>500</v>
      </c>
      <c r="EO59" s="129" t="s">
        <v>160</v>
      </c>
      <c r="EP59" s="129" t="s">
        <v>160</v>
      </c>
      <c r="EQ59" s="129" t="s">
        <v>160</v>
      </c>
      <c r="ER59" s="129" t="s">
        <v>160</v>
      </c>
      <c r="ES59" s="129">
        <v>7.7485270000000002</v>
      </c>
      <c r="ET59" s="142" t="s">
        <v>165</v>
      </c>
      <c r="EU59" s="129">
        <v>0.12938799999999961</v>
      </c>
      <c r="EV59" s="129">
        <v>0.15874699999999997</v>
      </c>
      <c r="EW59" s="142" t="s">
        <v>160</v>
      </c>
      <c r="EX59" s="129" t="s">
        <v>160</v>
      </c>
      <c r="EY59" s="129" t="s">
        <v>160</v>
      </c>
      <c r="EZ59" s="191">
        <v>674.39330000000007</v>
      </c>
      <c r="FA59" s="191">
        <v>369.22969999999998</v>
      </c>
      <c r="FB59" s="191">
        <v>226.08490000000006</v>
      </c>
      <c r="FC59" s="129" t="s">
        <v>220</v>
      </c>
      <c r="FD59" s="129" t="s">
        <v>221</v>
      </c>
      <c r="FE59" s="191">
        <v>1685.239</v>
      </c>
      <c r="FF59" s="191">
        <v>401.61199999999963</v>
      </c>
      <c r="FG59" s="191">
        <v>391.28199999999993</v>
      </c>
      <c r="FH59" s="129" t="s">
        <v>160</v>
      </c>
      <c r="FI59" s="129" t="s">
        <v>160</v>
      </c>
      <c r="FJ59" s="129" t="s">
        <v>160</v>
      </c>
      <c r="FK59" s="129" t="s">
        <v>160</v>
      </c>
      <c r="FL59" s="129" t="s">
        <v>160</v>
      </c>
      <c r="FM59" s="129" t="s">
        <v>160</v>
      </c>
      <c r="FN59" s="151">
        <v>2.1772809999999998</v>
      </c>
      <c r="FO59" s="151">
        <v>1.4063970000000001</v>
      </c>
      <c r="FP59" s="151">
        <v>0.9987889999999997</v>
      </c>
      <c r="FQ59" s="129" t="s">
        <v>414</v>
      </c>
      <c r="FR59" s="166" t="s">
        <v>348</v>
      </c>
      <c r="FS59" s="166">
        <v>2014</v>
      </c>
      <c r="FT59" s="166" t="s">
        <v>349</v>
      </c>
    </row>
    <row r="60" spans="1:176" s="129" customFormat="1" ht="17">
      <c r="A60" s="166" t="s">
        <v>152</v>
      </c>
      <c r="B60" s="166" t="s">
        <v>183</v>
      </c>
      <c r="C60" s="166">
        <v>2018</v>
      </c>
      <c r="D60" s="166" t="s">
        <v>184</v>
      </c>
      <c r="E60" s="195">
        <v>15729.528999999999</v>
      </c>
      <c r="F60" s="166" t="s">
        <v>160</v>
      </c>
      <c r="G60" s="166" t="s">
        <v>160</v>
      </c>
      <c r="H60" s="190">
        <v>717.5397999999999</v>
      </c>
      <c r="I60" s="191">
        <v>400.83320000000015</v>
      </c>
      <c r="J60" s="191">
        <v>239.59579999999988</v>
      </c>
      <c r="K60" s="129" t="s">
        <v>457</v>
      </c>
      <c r="L60" s="131" t="s">
        <v>185</v>
      </c>
      <c r="M60" s="132" t="s">
        <v>186</v>
      </c>
      <c r="N60" s="129" t="s">
        <v>184</v>
      </c>
      <c r="O60" s="129">
        <v>761</v>
      </c>
      <c r="P60" s="129" t="s">
        <v>235</v>
      </c>
      <c r="Q60" s="178">
        <v>6</v>
      </c>
      <c r="R60" s="178">
        <v>3</v>
      </c>
      <c r="S60" s="191">
        <v>123</v>
      </c>
      <c r="T60" s="129">
        <v>125</v>
      </c>
      <c r="U60" s="129" t="s">
        <v>160</v>
      </c>
      <c r="V60" s="141">
        <v>47.33</v>
      </c>
      <c r="W60" s="196" t="s">
        <v>350</v>
      </c>
      <c r="X60" s="129" t="s">
        <v>351</v>
      </c>
      <c r="Y60" s="196">
        <v>-16.739722220000001</v>
      </c>
      <c r="Z60" s="197">
        <v>115.53611110999999</v>
      </c>
      <c r="AA60" s="129" t="s">
        <v>160</v>
      </c>
      <c r="AB60" s="129" t="s">
        <v>160</v>
      </c>
      <c r="AC60" s="129">
        <v>-2179</v>
      </c>
      <c r="AD60" s="129" t="s">
        <v>160</v>
      </c>
      <c r="AE60" s="129" t="s">
        <v>160</v>
      </c>
      <c r="AF60" s="129" t="s">
        <v>160</v>
      </c>
      <c r="AG60" s="151">
        <v>15729.528999999999</v>
      </c>
      <c r="AH60" s="138" t="s">
        <v>160</v>
      </c>
      <c r="AI60" s="129" t="s">
        <v>160</v>
      </c>
      <c r="AJ60" s="138" t="s">
        <v>160</v>
      </c>
      <c r="AK60" s="129" t="s">
        <v>237</v>
      </c>
      <c r="AL60" s="129" t="s">
        <v>238</v>
      </c>
      <c r="AM60" s="140" t="s">
        <v>239</v>
      </c>
      <c r="AN60" s="129" t="s">
        <v>160</v>
      </c>
      <c r="AO60" s="129" t="s">
        <v>160</v>
      </c>
      <c r="AP60" s="129" t="s">
        <v>160</v>
      </c>
      <c r="AQ60" s="129" t="s">
        <v>160</v>
      </c>
      <c r="AR60" s="129" t="s">
        <v>160</v>
      </c>
      <c r="AS60" s="129" t="s">
        <v>160</v>
      </c>
      <c r="AT60" s="129" t="s">
        <v>160</v>
      </c>
      <c r="AU60" s="129" t="s">
        <v>191</v>
      </c>
      <c r="AV60" s="129" t="s">
        <v>161</v>
      </c>
      <c r="AW60" s="129" t="s">
        <v>192</v>
      </c>
      <c r="AX60" s="129" t="s">
        <v>352</v>
      </c>
      <c r="AY60" s="129" t="s">
        <v>353</v>
      </c>
      <c r="AZ60" s="129" t="s">
        <v>354</v>
      </c>
      <c r="BA60" s="129" t="s">
        <v>196</v>
      </c>
      <c r="BB60" s="198" t="s">
        <v>357</v>
      </c>
      <c r="BC60" s="129">
        <v>2</v>
      </c>
      <c r="BD60" s="151">
        <v>0.28035559072177385</v>
      </c>
      <c r="BE60" s="151">
        <v>14.717375245562483</v>
      </c>
      <c r="BF60" s="129" t="s">
        <v>355</v>
      </c>
      <c r="BG60" s="141">
        <v>0.24375292870860932</v>
      </c>
      <c r="BH60" s="129">
        <v>0.83299999999999996</v>
      </c>
      <c r="BI60" s="129" t="s">
        <v>160</v>
      </c>
      <c r="BJ60" s="138" t="s">
        <v>160</v>
      </c>
      <c r="BK60" s="129">
        <v>2.69</v>
      </c>
      <c r="BL60" s="129" t="s">
        <v>160</v>
      </c>
      <c r="BM60" s="129" t="s">
        <v>160</v>
      </c>
      <c r="BN60" s="129" t="s">
        <v>200</v>
      </c>
      <c r="BO60" s="129" t="s">
        <v>201</v>
      </c>
      <c r="BP60" s="151">
        <v>14.43862574497297</v>
      </c>
      <c r="BQ60" s="129" t="s">
        <v>202</v>
      </c>
      <c r="BR60" s="217"/>
      <c r="BS60" s="129" t="s">
        <v>160</v>
      </c>
      <c r="BT60" s="129" t="s">
        <v>160</v>
      </c>
      <c r="BU60" s="129">
        <v>10</v>
      </c>
      <c r="BV60" s="129" t="s">
        <v>159</v>
      </c>
      <c r="BW60" s="129">
        <v>10</v>
      </c>
      <c r="BX60" s="145">
        <v>29.291842009039112</v>
      </c>
      <c r="BY60" s="129" t="s">
        <v>159</v>
      </c>
      <c r="BZ60" s="129">
        <v>1</v>
      </c>
      <c r="CA60" s="129">
        <v>1</v>
      </c>
      <c r="CB60" s="129" t="s">
        <v>160</v>
      </c>
      <c r="CC60" s="151">
        <v>4.4993133888650636</v>
      </c>
      <c r="CD60" s="129" t="s">
        <v>163</v>
      </c>
      <c r="CE60" s="144">
        <f t="shared" si="10"/>
        <v>0.12148146149935672</v>
      </c>
      <c r="CF60" s="144">
        <f t="shared" si="11"/>
        <v>0.12148146149935672</v>
      </c>
      <c r="CG60" s="145" t="s">
        <v>203</v>
      </c>
      <c r="CH60" s="129" t="s">
        <v>204</v>
      </c>
      <c r="CI60" s="129" t="s">
        <v>205</v>
      </c>
      <c r="CJ60" s="129" t="s">
        <v>206</v>
      </c>
      <c r="CK60" s="129" t="s">
        <v>158</v>
      </c>
      <c r="CL60" s="129" t="s">
        <v>158</v>
      </c>
      <c r="CM60" s="129" t="s">
        <v>158</v>
      </c>
      <c r="CN60" s="129" t="s">
        <v>160</v>
      </c>
      <c r="CO60" s="129" t="s">
        <v>160</v>
      </c>
      <c r="CP60" s="129" t="s">
        <v>160</v>
      </c>
      <c r="CQ60" s="129" t="s">
        <v>160</v>
      </c>
      <c r="CR60" s="129" t="s">
        <v>160</v>
      </c>
      <c r="CS60" s="129" t="s">
        <v>160</v>
      </c>
      <c r="CT60" s="129" t="s">
        <v>160</v>
      </c>
      <c r="CU60" s="129">
        <v>35</v>
      </c>
      <c r="CV60" s="129" t="s">
        <v>159</v>
      </c>
      <c r="CW60" s="146">
        <v>1</v>
      </c>
      <c r="CX60" s="129" t="s">
        <v>207</v>
      </c>
      <c r="CY60" s="129">
        <v>1.3303906035099998E-2</v>
      </c>
      <c r="CZ60" s="129" t="s">
        <v>159</v>
      </c>
      <c r="DA60" s="146">
        <v>2.5000000000000001E-3</v>
      </c>
      <c r="DB60" s="129" t="s">
        <v>208</v>
      </c>
      <c r="DC60" s="129">
        <v>4.6287413886899997E-2</v>
      </c>
      <c r="DD60" s="129" t="s">
        <v>159</v>
      </c>
      <c r="DE60" s="146">
        <v>2.5000000000000001E-3</v>
      </c>
      <c r="DF60" s="129" t="s">
        <v>209</v>
      </c>
      <c r="DG60" s="129" t="s">
        <v>160</v>
      </c>
      <c r="DH60" s="129" t="s">
        <v>160</v>
      </c>
      <c r="DI60" s="129" t="s">
        <v>160</v>
      </c>
      <c r="DJ60" s="129" t="s">
        <v>160</v>
      </c>
      <c r="DK60" s="145">
        <v>424.29</v>
      </c>
      <c r="DL60" s="129" t="s">
        <v>159</v>
      </c>
      <c r="DM60" s="145" t="s">
        <v>160</v>
      </c>
      <c r="DN60" s="129" t="s">
        <v>210</v>
      </c>
      <c r="DO60" s="129">
        <v>37.895339999999997</v>
      </c>
      <c r="DP60" s="129" t="s">
        <v>160</v>
      </c>
      <c r="DQ60" s="129">
        <v>0.6727950000000007</v>
      </c>
      <c r="DR60" s="129" t="s">
        <v>211</v>
      </c>
      <c r="DS60" s="129" t="s">
        <v>212</v>
      </c>
      <c r="DT60" s="129" t="s">
        <v>213</v>
      </c>
      <c r="DU60" s="129">
        <v>1.0271999999999999</v>
      </c>
      <c r="DV60" s="129" t="s">
        <v>214</v>
      </c>
      <c r="DW60" s="129" t="s">
        <v>214</v>
      </c>
      <c r="DX60" s="129" t="s">
        <v>215</v>
      </c>
      <c r="DY60" s="129" t="s">
        <v>160</v>
      </c>
      <c r="DZ60" s="129" t="s">
        <v>164</v>
      </c>
      <c r="EA60" s="129" t="s">
        <v>216</v>
      </c>
      <c r="EB60" s="129" t="s">
        <v>212</v>
      </c>
      <c r="EC60" s="129" t="s">
        <v>212</v>
      </c>
      <c r="ED60" s="129" t="s">
        <v>212</v>
      </c>
      <c r="EE60" s="129" t="s">
        <v>217</v>
      </c>
      <c r="EF60" s="147" t="s">
        <v>213</v>
      </c>
      <c r="EG60" s="148" t="s">
        <v>213</v>
      </c>
      <c r="EH60" s="129" t="s">
        <v>218</v>
      </c>
      <c r="EI60" s="129" t="s">
        <v>219</v>
      </c>
      <c r="EJ60" s="129" t="s">
        <v>160</v>
      </c>
      <c r="EK60" s="129">
        <v>1594.808</v>
      </c>
      <c r="EL60" s="129" t="s">
        <v>163</v>
      </c>
      <c r="EM60" s="150">
        <v>500</v>
      </c>
      <c r="EN60" s="150">
        <v>500</v>
      </c>
      <c r="EO60" s="129" t="s">
        <v>160</v>
      </c>
      <c r="EP60" s="129" t="s">
        <v>160</v>
      </c>
      <c r="EQ60" s="129" t="s">
        <v>160</v>
      </c>
      <c r="ER60" s="129" t="s">
        <v>160</v>
      </c>
      <c r="ES60" s="129">
        <v>7.7224919999999999</v>
      </c>
      <c r="ET60" s="142" t="s">
        <v>165</v>
      </c>
      <c r="EU60" s="129">
        <v>0.12917700000000032</v>
      </c>
      <c r="EV60" s="129">
        <v>0.16268200000000022</v>
      </c>
      <c r="EW60" s="142" t="s">
        <v>160</v>
      </c>
      <c r="EX60" s="129" t="s">
        <v>160</v>
      </c>
      <c r="EY60" s="129" t="s">
        <v>160</v>
      </c>
      <c r="EZ60" s="191">
        <v>717.5397999999999</v>
      </c>
      <c r="FA60" s="191">
        <v>400.83320000000015</v>
      </c>
      <c r="FB60" s="191">
        <v>239.59579999999988</v>
      </c>
      <c r="FC60" s="129" t="s">
        <v>220</v>
      </c>
      <c r="FD60" s="129" t="s">
        <v>221</v>
      </c>
      <c r="FE60" s="191">
        <v>1681.9479999999999</v>
      </c>
      <c r="FF60" s="191">
        <v>392.91100000000006</v>
      </c>
      <c r="FG60" s="191">
        <v>395.14099999999985</v>
      </c>
      <c r="FH60" s="129" t="s">
        <v>160</v>
      </c>
      <c r="FI60" s="129" t="s">
        <v>160</v>
      </c>
      <c r="FJ60" s="129" t="s">
        <v>160</v>
      </c>
      <c r="FK60" s="129" t="s">
        <v>160</v>
      </c>
      <c r="FL60" s="129" t="s">
        <v>160</v>
      </c>
      <c r="FM60" s="129" t="s">
        <v>160</v>
      </c>
      <c r="FN60" s="151">
        <v>2.097137</v>
      </c>
      <c r="FO60" s="151">
        <v>1.3740869999999998</v>
      </c>
      <c r="FP60" s="151">
        <v>0.97272500000000006</v>
      </c>
      <c r="FQ60" s="129" t="s">
        <v>414</v>
      </c>
      <c r="FR60" s="166" t="s">
        <v>348</v>
      </c>
      <c r="FS60" s="166">
        <v>2014</v>
      </c>
      <c r="FT60" s="166" t="s">
        <v>349</v>
      </c>
    </row>
    <row r="61" spans="1:176" s="129" customFormat="1" ht="17">
      <c r="A61" s="166" t="s">
        <v>152</v>
      </c>
      <c r="B61" s="166" t="s">
        <v>183</v>
      </c>
      <c r="C61" s="166">
        <v>2018</v>
      </c>
      <c r="D61" s="166" t="s">
        <v>184</v>
      </c>
      <c r="E61" s="195">
        <v>15743.593999999999</v>
      </c>
      <c r="F61" s="166" t="s">
        <v>160</v>
      </c>
      <c r="G61" s="166" t="s">
        <v>160</v>
      </c>
      <c r="H61" s="190">
        <v>518.41379999999992</v>
      </c>
      <c r="I61" s="191">
        <v>231.93580000000009</v>
      </c>
      <c r="J61" s="191">
        <v>162.2041999999999</v>
      </c>
      <c r="K61" s="129" t="s">
        <v>457</v>
      </c>
      <c r="L61" s="131" t="s">
        <v>185</v>
      </c>
      <c r="M61" s="132" t="s">
        <v>186</v>
      </c>
      <c r="N61" s="129" t="s">
        <v>184</v>
      </c>
      <c r="O61" s="129">
        <v>761</v>
      </c>
      <c r="P61" s="129" t="s">
        <v>235</v>
      </c>
      <c r="Q61" s="178">
        <v>6</v>
      </c>
      <c r="R61" s="178">
        <v>3</v>
      </c>
      <c r="S61" s="191">
        <v>128</v>
      </c>
      <c r="T61" s="129">
        <v>130</v>
      </c>
      <c r="U61" s="129" t="s">
        <v>160</v>
      </c>
      <c r="V61" s="141">
        <v>47.38</v>
      </c>
      <c r="W61" s="196" t="s">
        <v>350</v>
      </c>
      <c r="X61" s="129" t="s">
        <v>351</v>
      </c>
      <c r="Y61" s="196">
        <v>-16.739722220000001</v>
      </c>
      <c r="Z61" s="197">
        <v>115.53611110999999</v>
      </c>
      <c r="AA61" s="129" t="s">
        <v>160</v>
      </c>
      <c r="AB61" s="129" t="s">
        <v>160</v>
      </c>
      <c r="AC61" s="129">
        <v>-2179</v>
      </c>
      <c r="AD61" s="129" t="s">
        <v>160</v>
      </c>
      <c r="AE61" s="129" t="s">
        <v>160</v>
      </c>
      <c r="AF61" s="129" t="s">
        <v>160</v>
      </c>
      <c r="AG61" s="151">
        <v>15743.593999999999</v>
      </c>
      <c r="AH61" s="138" t="s">
        <v>160</v>
      </c>
      <c r="AI61" s="129" t="s">
        <v>160</v>
      </c>
      <c r="AJ61" s="138" t="s">
        <v>160</v>
      </c>
      <c r="AK61" s="129" t="s">
        <v>237</v>
      </c>
      <c r="AL61" s="129" t="s">
        <v>238</v>
      </c>
      <c r="AM61" s="140" t="s">
        <v>239</v>
      </c>
      <c r="AN61" s="129" t="s">
        <v>160</v>
      </c>
      <c r="AO61" s="129" t="s">
        <v>160</v>
      </c>
      <c r="AP61" s="129" t="s">
        <v>160</v>
      </c>
      <c r="AQ61" s="129" t="s">
        <v>160</v>
      </c>
      <c r="AR61" s="129" t="s">
        <v>160</v>
      </c>
      <c r="AS61" s="129" t="s">
        <v>160</v>
      </c>
      <c r="AT61" s="129" t="s">
        <v>160</v>
      </c>
      <c r="AU61" s="129" t="s">
        <v>191</v>
      </c>
      <c r="AV61" s="129" t="s">
        <v>161</v>
      </c>
      <c r="AW61" s="129" t="s">
        <v>192</v>
      </c>
      <c r="AX61" s="129" t="s">
        <v>352</v>
      </c>
      <c r="AY61" s="129" t="s">
        <v>353</v>
      </c>
      <c r="AZ61" s="129" t="s">
        <v>354</v>
      </c>
      <c r="BA61" s="129" t="s">
        <v>196</v>
      </c>
      <c r="BB61" s="198" t="s">
        <v>358</v>
      </c>
      <c r="BC61" s="129">
        <v>2</v>
      </c>
      <c r="BD61" s="151">
        <v>0.33540842095891144</v>
      </c>
      <c r="BE61" s="151">
        <v>15.663091044493633</v>
      </c>
      <c r="BF61" s="129" t="s">
        <v>355</v>
      </c>
      <c r="BG61" s="141">
        <v>0.31302352356807828</v>
      </c>
      <c r="BH61" s="129">
        <v>0.83299999999999996</v>
      </c>
      <c r="BI61" s="129" t="s">
        <v>160</v>
      </c>
      <c r="BJ61" s="138" t="s">
        <v>160</v>
      </c>
      <c r="BK61" s="129">
        <v>2.69</v>
      </c>
      <c r="BL61" s="129" t="s">
        <v>160</v>
      </c>
      <c r="BM61" s="129" t="s">
        <v>160</v>
      </c>
      <c r="BN61" s="129" t="s">
        <v>200</v>
      </c>
      <c r="BO61" s="129" t="s">
        <v>201</v>
      </c>
      <c r="BP61" s="151">
        <v>15.57393882892393</v>
      </c>
      <c r="BQ61" s="129" t="s">
        <v>202</v>
      </c>
      <c r="BR61" s="217"/>
      <c r="BS61" s="129" t="s">
        <v>160</v>
      </c>
      <c r="BT61" s="129" t="s">
        <v>160</v>
      </c>
      <c r="BU61" s="129">
        <v>10</v>
      </c>
      <c r="BV61" s="129" t="s">
        <v>159</v>
      </c>
      <c r="BW61" s="129">
        <v>10</v>
      </c>
      <c r="BX61" s="145">
        <v>29.742969749691291</v>
      </c>
      <c r="BY61" s="129" t="s">
        <v>159</v>
      </c>
      <c r="BZ61" s="129">
        <v>1</v>
      </c>
      <c r="CA61" s="129">
        <v>1</v>
      </c>
      <c r="CB61" s="129" t="s">
        <v>160</v>
      </c>
      <c r="CC61" s="151">
        <v>4.6850790319505959</v>
      </c>
      <c r="CD61" s="129" t="s">
        <v>163</v>
      </c>
      <c r="CE61" s="144">
        <f t="shared" si="10"/>
        <v>0.12649713386266609</v>
      </c>
      <c r="CF61" s="144">
        <f t="shared" si="11"/>
        <v>0.12649713386266609</v>
      </c>
      <c r="CG61" s="145" t="s">
        <v>203</v>
      </c>
      <c r="CH61" s="129" t="s">
        <v>204</v>
      </c>
      <c r="CI61" s="129" t="s">
        <v>205</v>
      </c>
      <c r="CJ61" s="129" t="s">
        <v>206</v>
      </c>
      <c r="CK61" s="129" t="s">
        <v>158</v>
      </c>
      <c r="CL61" s="129" t="s">
        <v>158</v>
      </c>
      <c r="CM61" s="129" t="s">
        <v>158</v>
      </c>
      <c r="CN61" s="129" t="s">
        <v>160</v>
      </c>
      <c r="CO61" s="129" t="s">
        <v>160</v>
      </c>
      <c r="CP61" s="129" t="s">
        <v>160</v>
      </c>
      <c r="CQ61" s="129" t="s">
        <v>160</v>
      </c>
      <c r="CR61" s="129" t="s">
        <v>160</v>
      </c>
      <c r="CS61" s="129" t="s">
        <v>160</v>
      </c>
      <c r="CT61" s="129" t="s">
        <v>160</v>
      </c>
      <c r="CU61" s="129">
        <v>35</v>
      </c>
      <c r="CV61" s="129" t="s">
        <v>159</v>
      </c>
      <c r="CW61" s="146">
        <v>1</v>
      </c>
      <c r="CX61" s="129" t="s">
        <v>207</v>
      </c>
      <c r="CY61" s="129">
        <v>1.33063238086E-2</v>
      </c>
      <c r="CZ61" s="129" t="s">
        <v>159</v>
      </c>
      <c r="DA61" s="146">
        <v>2.5000000000000001E-3</v>
      </c>
      <c r="DB61" s="129" t="s">
        <v>208</v>
      </c>
      <c r="DC61" s="129">
        <v>4.6279623283399997E-2</v>
      </c>
      <c r="DD61" s="129" t="s">
        <v>159</v>
      </c>
      <c r="DE61" s="146">
        <v>2.5000000000000001E-3</v>
      </c>
      <c r="DF61" s="129" t="s">
        <v>209</v>
      </c>
      <c r="DG61" s="129" t="s">
        <v>160</v>
      </c>
      <c r="DH61" s="129" t="s">
        <v>160</v>
      </c>
      <c r="DI61" s="129" t="s">
        <v>160</v>
      </c>
      <c r="DJ61" s="129" t="s">
        <v>160</v>
      </c>
      <c r="DK61" s="145">
        <v>424.29</v>
      </c>
      <c r="DL61" s="129" t="s">
        <v>159</v>
      </c>
      <c r="DM61" s="145" t="s">
        <v>160</v>
      </c>
      <c r="DN61" s="129" t="s">
        <v>210</v>
      </c>
      <c r="DO61" s="129">
        <v>37.900669999999998</v>
      </c>
      <c r="DP61" s="129" t="s">
        <v>160</v>
      </c>
      <c r="DQ61" s="129">
        <v>0.6709549999999993</v>
      </c>
      <c r="DR61" s="129" t="s">
        <v>211</v>
      </c>
      <c r="DS61" s="129" t="s">
        <v>212</v>
      </c>
      <c r="DT61" s="129" t="s">
        <v>213</v>
      </c>
      <c r="DU61" s="129">
        <v>1.0271999999999999</v>
      </c>
      <c r="DV61" s="129" t="s">
        <v>214</v>
      </c>
      <c r="DW61" s="129" t="s">
        <v>214</v>
      </c>
      <c r="DX61" s="129" t="s">
        <v>215</v>
      </c>
      <c r="DY61" s="129" t="s">
        <v>160</v>
      </c>
      <c r="DZ61" s="129" t="s">
        <v>164</v>
      </c>
      <c r="EA61" s="129" t="s">
        <v>216</v>
      </c>
      <c r="EB61" s="129" t="s">
        <v>212</v>
      </c>
      <c r="EC61" s="129" t="s">
        <v>212</v>
      </c>
      <c r="ED61" s="129" t="s">
        <v>212</v>
      </c>
      <c r="EE61" s="129" t="s">
        <v>217</v>
      </c>
      <c r="EF61" s="147" t="s">
        <v>213</v>
      </c>
      <c r="EG61" s="148" t="s">
        <v>213</v>
      </c>
      <c r="EH61" s="129" t="s">
        <v>218</v>
      </c>
      <c r="EI61" s="129" t="s">
        <v>219</v>
      </c>
      <c r="EJ61" s="129" t="s">
        <v>160</v>
      </c>
      <c r="EK61" s="129">
        <v>1589.982</v>
      </c>
      <c r="EL61" s="129" t="s">
        <v>163</v>
      </c>
      <c r="EM61" s="150">
        <v>500</v>
      </c>
      <c r="EN61" s="150">
        <v>500</v>
      </c>
      <c r="EO61" s="129" t="s">
        <v>160</v>
      </c>
      <c r="EP61" s="129" t="s">
        <v>160</v>
      </c>
      <c r="EQ61" s="129" t="s">
        <v>160</v>
      </c>
      <c r="ER61" s="129" t="s">
        <v>160</v>
      </c>
      <c r="ES61" s="129">
        <v>7.8616419999999998</v>
      </c>
      <c r="ET61" s="142" t="s">
        <v>165</v>
      </c>
      <c r="EU61" s="129">
        <v>0.10827200000000037</v>
      </c>
      <c r="EV61" s="129">
        <v>0.12859299999999951</v>
      </c>
      <c r="EW61" s="142" t="s">
        <v>160</v>
      </c>
      <c r="EX61" s="129" t="s">
        <v>160</v>
      </c>
      <c r="EY61" s="129" t="s">
        <v>160</v>
      </c>
      <c r="EZ61" s="191">
        <v>518.41379999999992</v>
      </c>
      <c r="FA61" s="191">
        <v>231.93580000000009</v>
      </c>
      <c r="FB61" s="191">
        <v>162.2041999999999</v>
      </c>
      <c r="FC61" s="129" t="s">
        <v>220</v>
      </c>
      <c r="FD61" s="129" t="s">
        <v>221</v>
      </c>
      <c r="FE61" s="191">
        <v>1717.5230000000001</v>
      </c>
      <c r="FF61" s="191">
        <v>403.30799999999999</v>
      </c>
      <c r="FG61" s="191">
        <v>392.52700000000027</v>
      </c>
      <c r="FH61" s="129" t="s">
        <v>160</v>
      </c>
      <c r="FI61" s="129" t="s">
        <v>160</v>
      </c>
      <c r="FJ61" s="129" t="s">
        <v>160</v>
      </c>
      <c r="FK61" s="129" t="s">
        <v>160</v>
      </c>
      <c r="FL61" s="129" t="s">
        <v>160</v>
      </c>
      <c r="FM61" s="129" t="s">
        <v>160</v>
      </c>
      <c r="FN61" s="151">
        <v>2.9255550000000001</v>
      </c>
      <c r="FO61" s="151">
        <v>1.7430219999999998</v>
      </c>
      <c r="FP61" s="151">
        <v>1.2990760000000001</v>
      </c>
      <c r="FQ61" s="129" t="s">
        <v>414</v>
      </c>
      <c r="FR61" s="166" t="s">
        <v>348</v>
      </c>
      <c r="FS61" s="166">
        <v>2014</v>
      </c>
      <c r="FT61" s="166" t="s">
        <v>349</v>
      </c>
    </row>
    <row r="62" spans="1:176" s="129" customFormat="1" ht="17">
      <c r="A62" s="166" t="s">
        <v>152</v>
      </c>
      <c r="B62" s="166" t="s">
        <v>183</v>
      </c>
      <c r="C62" s="166">
        <v>2018</v>
      </c>
      <c r="D62" s="166" t="s">
        <v>184</v>
      </c>
      <c r="E62" s="195">
        <v>15771.723999999998</v>
      </c>
      <c r="F62" s="166" t="s">
        <v>160</v>
      </c>
      <c r="G62" s="166" t="s">
        <v>160</v>
      </c>
      <c r="H62" s="190">
        <v>462.233</v>
      </c>
      <c r="I62" s="191">
        <v>205.01749999999998</v>
      </c>
      <c r="J62" s="191">
        <v>142.58440000000002</v>
      </c>
      <c r="K62" s="129" t="s">
        <v>457</v>
      </c>
      <c r="L62" s="131" t="s">
        <v>185</v>
      </c>
      <c r="M62" s="132" t="s">
        <v>186</v>
      </c>
      <c r="N62" s="129" t="s">
        <v>184</v>
      </c>
      <c r="O62" s="129">
        <v>761</v>
      </c>
      <c r="P62" s="129" t="s">
        <v>235</v>
      </c>
      <c r="Q62" s="178">
        <v>6</v>
      </c>
      <c r="R62" s="178">
        <v>3</v>
      </c>
      <c r="S62" s="191">
        <v>138</v>
      </c>
      <c r="T62" s="129">
        <v>140</v>
      </c>
      <c r="U62" s="129" t="s">
        <v>160</v>
      </c>
      <c r="V62" s="141">
        <v>47.48</v>
      </c>
      <c r="W62" s="196" t="s">
        <v>350</v>
      </c>
      <c r="X62" s="129" t="s">
        <v>351</v>
      </c>
      <c r="Y62" s="196">
        <v>-16.739722220000001</v>
      </c>
      <c r="Z62" s="197">
        <v>115.53611110999999</v>
      </c>
      <c r="AA62" s="129" t="s">
        <v>160</v>
      </c>
      <c r="AB62" s="129" t="s">
        <v>160</v>
      </c>
      <c r="AC62" s="129">
        <v>-2179</v>
      </c>
      <c r="AD62" s="129" t="s">
        <v>160</v>
      </c>
      <c r="AE62" s="129" t="s">
        <v>160</v>
      </c>
      <c r="AF62" s="129" t="s">
        <v>160</v>
      </c>
      <c r="AG62" s="151">
        <v>15771.723999999998</v>
      </c>
      <c r="AH62" s="138" t="s">
        <v>160</v>
      </c>
      <c r="AI62" s="129" t="s">
        <v>160</v>
      </c>
      <c r="AJ62" s="138" t="s">
        <v>160</v>
      </c>
      <c r="AK62" s="129" t="s">
        <v>237</v>
      </c>
      <c r="AL62" s="129" t="s">
        <v>238</v>
      </c>
      <c r="AM62" s="140" t="s">
        <v>239</v>
      </c>
      <c r="AN62" s="129" t="s">
        <v>160</v>
      </c>
      <c r="AO62" s="129" t="s">
        <v>160</v>
      </c>
      <c r="AP62" s="129" t="s">
        <v>160</v>
      </c>
      <c r="AQ62" s="129" t="s">
        <v>160</v>
      </c>
      <c r="AR62" s="129" t="s">
        <v>160</v>
      </c>
      <c r="AS62" s="129" t="s">
        <v>160</v>
      </c>
      <c r="AT62" s="129" t="s">
        <v>160</v>
      </c>
      <c r="AU62" s="129" t="s">
        <v>191</v>
      </c>
      <c r="AV62" s="129" t="s">
        <v>161</v>
      </c>
      <c r="AW62" s="129" t="s">
        <v>192</v>
      </c>
      <c r="AX62" s="129" t="s">
        <v>352</v>
      </c>
      <c r="AY62" s="129" t="s">
        <v>353</v>
      </c>
      <c r="AZ62" s="129" t="s">
        <v>354</v>
      </c>
      <c r="BA62" s="129" t="s">
        <v>196</v>
      </c>
      <c r="BB62" s="198" t="s">
        <v>359</v>
      </c>
      <c r="BC62" s="129">
        <v>2</v>
      </c>
      <c r="BD62" s="151">
        <v>9.6382456699499727E-2</v>
      </c>
      <c r="BE62" s="151">
        <v>16.02787274795255</v>
      </c>
      <c r="BF62" s="129" t="s">
        <v>355</v>
      </c>
      <c r="BG62" s="141">
        <v>0.39857160020941729</v>
      </c>
      <c r="BH62" s="129">
        <v>0.83299999999999996</v>
      </c>
      <c r="BI62" s="129" t="s">
        <v>160</v>
      </c>
      <c r="BJ62" s="138" t="s">
        <v>160</v>
      </c>
      <c r="BK62" s="129">
        <v>2.69</v>
      </c>
      <c r="BL62" s="129" t="s">
        <v>160</v>
      </c>
      <c r="BM62" s="129" t="s">
        <v>160</v>
      </c>
      <c r="BN62" s="129" t="s">
        <v>200</v>
      </c>
      <c r="BO62" s="129" t="s">
        <v>201</v>
      </c>
      <c r="BP62" s="151">
        <v>16.011852038358406</v>
      </c>
      <c r="BQ62" s="129" t="s">
        <v>202</v>
      </c>
      <c r="BR62" s="217"/>
      <c r="BS62" s="129" t="s">
        <v>160</v>
      </c>
      <c r="BT62" s="129" t="s">
        <v>160</v>
      </c>
      <c r="BU62" s="129">
        <v>10</v>
      </c>
      <c r="BV62" s="129" t="s">
        <v>159</v>
      </c>
      <c r="BW62" s="129">
        <v>10</v>
      </c>
      <c r="BX62" s="145">
        <v>29.672510111678893</v>
      </c>
      <c r="BY62" s="129" t="s">
        <v>159</v>
      </c>
      <c r="BZ62" s="129">
        <v>1</v>
      </c>
      <c r="CA62" s="129">
        <v>1</v>
      </c>
      <c r="CB62" s="129" t="s">
        <v>160</v>
      </c>
      <c r="CC62" s="151">
        <v>4.6541271697018782</v>
      </c>
      <c r="CD62" s="129" t="s">
        <v>163</v>
      </c>
      <c r="CE62" s="144">
        <f t="shared" si="10"/>
        <v>0.1256614335819507</v>
      </c>
      <c r="CF62" s="144">
        <f t="shared" si="11"/>
        <v>0.1256614335819507</v>
      </c>
      <c r="CG62" s="145" t="s">
        <v>203</v>
      </c>
      <c r="CH62" s="129" t="s">
        <v>204</v>
      </c>
      <c r="CI62" s="129" t="s">
        <v>205</v>
      </c>
      <c r="CJ62" s="129" t="s">
        <v>206</v>
      </c>
      <c r="CK62" s="129" t="s">
        <v>158</v>
      </c>
      <c r="CL62" s="129" t="s">
        <v>158</v>
      </c>
      <c r="CM62" s="129" t="s">
        <v>158</v>
      </c>
      <c r="CN62" s="129" t="s">
        <v>160</v>
      </c>
      <c r="CO62" s="129" t="s">
        <v>160</v>
      </c>
      <c r="CP62" s="129" t="s">
        <v>160</v>
      </c>
      <c r="CQ62" s="129" t="s">
        <v>160</v>
      </c>
      <c r="CR62" s="129" t="s">
        <v>160</v>
      </c>
      <c r="CS62" s="129" t="s">
        <v>160</v>
      </c>
      <c r="CT62" s="129" t="s">
        <v>160</v>
      </c>
      <c r="CU62" s="129">
        <v>35</v>
      </c>
      <c r="CV62" s="129" t="s">
        <v>159</v>
      </c>
      <c r="CW62" s="146">
        <v>1</v>
      </c>
      <c r="CX62" s="129" t="s">
        <v>207</v>
      </c>
      <c r="CY62" s="129">
        <v>1.3311159355599999E-2</v>
      </c>
      <c r="CZ62" s="129" t="s">
        <v>159</v>
      </c>
      <c r="DA62" s="146">
        <v>2.5000000000000001E-3</v>
      </c>
      <c r="DB62" s="129" t="s">
        <v>208</v>
      </c>
      <c r="DC62" s="129">
        <v>4.6264042076400003E-2</v>
      </c>
      <c r="DD62" s="129" t="s">
        <v>159</v>
      </c>
      <c r="DE62" s="146">
        <v>2.5000000000000001E-3</v>
      </c>
      <c r="DF62" s="129" t="s">
        <v>209</v>
      </c>
      <c r="DG62" s="129" t="s">
        <v>160</v>
      </c>
      <c r="DH62" s="129" t="s">
        <v>160</v>
      </c>
      <c r="DI62" s="129" t="s">
        <v>160</v>
      </c>
      <c r="DJ62" s="129" t="s">
        <v>160</v>
      </c>
      <c r="DK62" s="145">
        <v>424.29</v>
      </c>
      <c r="DL62" s="129" t="s">
        <v>159</v>
      </c>
      <c r="DM62" s="145" t="s">
        <v>160</v>
      </c>
      <c r="DN62" s="129" t="s">
        <v>210</v>
      </c>
      <c r="DO62" s="129">
        <v>37.893120000000003</v>
      </c>
      <c r="DP62" s="129" t="s">
        <v>160</v>
      </c>
      <c r="DQ62" s="129">
        <v>0.66504000000000119</v>
      </c>
      <c r="DR62" s="129" t="s">
        <v>211</v>
      </c>
      <c r="DS62" s="129" t="s">
        <v>212</v>
      </c>
      <c r="DT62" s="129" t="s">
        <v>213</v>
      </c>
      <c r="DU62" s="129">
        <v>1.0271999999999999</v>
      </c>
      <c r="DV62" s="129" t="s">
        <v>214</v>
      </c>
      <c r="DW62" s="129" t="s">
        <v>214</v>
      </c>
      <c r="DX62" s="129" t="s">
        <v>215</v>
      </c>
      <c r="DY62" s="129" t="s">
        <v>160</v>
      </c>
      <c r="DZ62" s="129" t="s">
        <v>164</v>
      </c>
      <c r="EA62" s="129" t="s">
        <v>216</v>
      </c>
      <c r="EB62" s="129" t="s">
        <v>212</v>
      </c>
      <c r="EC62" s="129" t="s">
        <v>212</v>
      </c>
      <c r="ED62" s="129" t="s">
        <v>212</v>
      </c>
      <c r="EE62" s="129" t="s">
        <v>217</v>
      </c>
      <c r="EF62" s="147" t="s">
        <v>213</v>
      </c>
      <c r="EG62" s="148" t="s">
        <v>213</v>
      </c>
      <c r="EH62" s="129" t="s">
        <v>218</v>
      </c>
      <c r="EI62" s="129" t="s">
        <v>219</v>
      </c>
      <c r="EJ62" s="129" t="s">
        <v>160</v>
      </c>
      <c r="EK62" s="129">
        <v>1592.346</v>
      </c>
      <c r="EL62" s="129" t="s">
        <v>163</v>
      </c>
      <c r="EM62" s="150">
        <v>500</v>
      </c>
      <c r="EN62" s="150">
        <v>500</v>
      </c>
      <c r="EO62" s="129" t="s">
        <v>160</v>
      </c>
      <c r="EP62" s="129" t="s">
        <v>160</v>
      </c>
      <c r="EQ62" s="129" t="s">
        <v>160</v>
      </c>
      <c r="ER62" s="129" t="s">
        <v>160</v>
      </c>
      <c r="ES62" s="129">
        <v>7.9089809999999998</v>
      </c>
      <c r="ET62" s="142" t="s">
        <v>165</v>
      </c>
      <c r="EU62" s="129">
        <v>0.10818700000000003</v>
      </c>
      <c r="EV62" s="129">
        <v>0.12160700000000002</v>
      </c>
      <c r="EW62" s="142" t="s">
        <v>160</v>
      </c>
      <c r="EX62" s="129" t="s">
        <v>160</v>
      </c>
      <c r="EY62" s="129" t="s">
        <v>160</v>
      </c>
      <c r="EZ62" s="191">
        <v>462.233</v>
      </c>
      <c r="FA62" s="191">
        <v>205.01749999999998</v>
      </c>
      <c r="FB62" s="191">
        <v>142.58440000000002</v>
      </c>
      <c r="FC62" s="129" t="s">
        <v>220</v>
      </c>
      <c r="FD62" s="129" t="s">
        <v>221</v>
      </c>
      <c r="FE62" s="191">
        <v>1737.48</v>
      </c>
      <c r="FF62" s="191">
        <v>400.11400000000003</v>
      </c>
      <c r="FG62" s="191">
        <v>400.00199999999995</v>
      </c>
      <c r="FH62" s="129" t="s">
        <v>160</v>
      </c>
      <c r="FI62" s="129" t="s">
        <v>160</v>
      </c>
      <c r="FJ62" s="129" t="s">
        <v>160</v>
      </c>
      <c r="FK62" s="129" t="s">
        <v>160</v>
      </c>
      <c r="FL62" s="129" t="s">
        <v>160</v>
      </c>
      <c r="FM62" s="129" t="s">
        <v>160</v>
      </c>
      <c r="FN62" s="151">
        <v>3.243627</v>
      </c>
      <c r="FO62" s="151">
        <v>1.909573</v>
      </c>
      <c r="FP62" s="151">
        <v>1.431729</v>
      </c>
      <c r="FQ62" s="129" t="s">
        <v>414</v>
      </c>
      <c r="FR62" s="166" t="s">
        <v>348</v>
      </c>
      <c r="FS62" s="166">
        <v>2014</v>
      </c>
      <c r="FT62" s="166" t="s">
        <v>349</v>
      </c>
    </row>
    <row r="63" spans="1:176" s="129" customFormat="1" ht="17">
      <c r="A63" s="166" t="s">
        <v>152</v>
      </c>
      <c r="B63" s="166" t="s">
        <v>183</v>
      </c>
      <c r="C63" s="166">
        <v>2018</v>
      </c>
      <c r="D63" s="166" t="s">
        <v>184</v>
      </c>
      <c r="E63" s="195">
        <v>15813.919</v>
      </c>
      <c r="F63" s="166" t="s">
        <v>160</v>
      </c>
      <c r="G63" s="166" t="s">
        <v>160</v>
      </c>
      <c r="H63" s="190">
        <v>452.3168</v>
      </c>
      <c r="I63" s="191">
        <v>216.97779999999995</v>
      </c>
      <c r="J63" s="191">
        <v>148.11369999999999</v>
      </c>
      <c r="K63" s="129" t="s">
        <v>457</v>
      </c>
      <c r="L63" s="131" t="s">
        <v>185</v>
      </c>
      <c r="M63" s="132" t="s">
        <v>186</v>
      </c>
      <c r="N63" s="129" t="s">
        <v>184</v>
      </c>
      <c r="O63" s="129">
        <v>761</v>
      </c>
      <c r="P63" s="129" t="s">
        <v>235</v>
      </c>
      <c r="Q63" s="178">
        <v>6</v>
      </c>
      <c r="R63" s="178">
        <v>4</v>
      </c>
      <c r="S63" s="191">
        <v>3</v>
      </c>
      <c r="T63" s="129">
        <v>5</v>
      </c>
      <c r="U63" s="129" t="s">
        <v>160</v>
      </c>
      <c r="V63" s="141">
        <v>47.63</v>
      </c>
      <c r="W63" s="196" t="s">
        <v>350</v>
      </c>
      <c r="X63" s="129" t="s">
        <v>351</v>
      </c>
      <c r="Y63" s="196">
        <v>-16.739722220000001</v>
      </c>
      <c r="Z63" s="197">
        <v>115.53611110999999</v>
      </c>
      <c r="AA63" s="129" t="s">
        <v>160</v>
      </c>
      <c r="AB63" s="129" t="s">
        <v>160</v>
      </c>
      <c r="AC63" s="129">
        <v>-2179</v>
      </c>
      <c r="AD63" s="129" t="s">
        <v>160</v>
      </c>
      <c r="AE63" s="129" t="s">
        <v>160</v>
      </c>
      <c r="AF63" s="129" t="s">
        <v>160</v>
      </c>
      <c r="AG63" s="151">
        <v>15813.919</v>
      </c>
      <c r="AH63" s="138" t="s">
        <v>160</v>
      </c>
      <c r="AI63" s="129" t="s">
        <v>160</v>
      </c>
      <c r="AJ63" s="138" t="s">
        <v>160</v>
      </c>
      <c r="AK63" s="129" t="s">
        <v>237</v>
      </c>
      <c r="AL63" s="129" t="s">
        <v>238</v>
      </c>
      <c r="AM63" s="140" t="s">
        <v>239</v>
      </c>
      <c r="AN63" s="129" t="s">
        <v>160</v>
      </c>
      <c r="AO63" s="129" t="s">
        <v>160</v>
      </c>
      <c r="AP63" s="129" t="s">
        <v>160</v>
      </c>
      <c r="AQ63" s="129" t="s">
        <v>160</v>
      </c>
      <c r="AR63" s="129" t="s">
        <v>160</v>
      </c>
      <c r="AS63" s="129" t="s">
        <v>160</v>
      </c>
      <c r="AT63" s="129" t="s">
        <v>160</v>
      </c>
      <c r="AU63" s="129" t="s">
        <v>191</v>
      </c>
      <c r="AV63" s="129" t="s">
        <v>161</v>
      </c>
      <c r="AW63" s="129" t="s">
        <v>192</v>
      </c>
      <c r="AX63" s="129" t="s">
        <v>352</v>
      </c>
      <c r="AY63" s="129" t="s">
        <v>353</v>
      </c>
      <c r="AZ63" s="129" t="s">
        <v>354</v>
      </c>
      <c r="BA63" s="129" t="s">
        <v>196</v>
      </c>
      <c r="BB63" s="198" t="s">
        <v>360</v>
      </c>
      <c r="BC63" s="129">
        <v>2</v>
      </c>
      <c r="BD63" s="151">
        <v>0.5357067976865223</v>
      </c>
      <c r="BE63" s="151">
        <v>16.114926246633416</v>
      </c>
      <c r="BF63" s="129" t="s">
        <v>355</v>
      </c>
      <c r="BG63" s="141">
        <v>0.70055159305713233</v>
      </c>
      <c r="BH63" s="129">
        <v>0.83299999999999996</v>
      </c>
      <c r="BI63" s="129" t="s">
        <v>160</v>
      </c>
      <c r="BJ63" s="138" t="s">
        <v>160</v>
      </c>
      <c r="BK63" s="129">
        <v>2.69</v>
      </c>
      <c r="BL63" s="129" t="s">
        <v>160</v>
      </c>
      <c r="BM63" s="129" t="s">
        <v>160</v>
      </c>
      <c r="BN63" s="129" t="s">
        <v>200</v>
      </c>
      <c r="BO63" s="129" t="s">
        <v>201</v>
      </c>
      <c r="BP63" s="151">
        <v>16.116358039175772</v>
      </c>
      <c r="BQ63" s="129" t="s">
        <v>202</v>
      </c>
      <c r="BR63" s="217"/>
      <c r="BS63" s="129" t="s">
        <v>160</v>
      </c>
      <c r="BT63" s="129" t="s">
        <v>160</v>
      </c>
      <c r="BU63" s="129">
        <v>10</v>
      </c>
      <c r="BV63" s="129" t="s">
        <v>159</v>
      </c>
      <c r="BW63" s="129">
        <v>10</v>
      </c>
      <c r="BX63" s="145">
        <v>29.868958406867311</v>
      </c>
      <c r="BY63" s="129" t="s">
        <v>159</v>
      </c>
      <c r="BZ63" s="129">
        <v>1</v>
      </c>
      <c r="CA63" s="129">
        <v>1</v>
      </c>
      <c r="CB63" s="129" t="s">
        <v>160</v>
      </c>
      <c r="CC63" s="151">
        <v>4.73510645138205</v>
      </c>
      <c r="CD63" s="129" t="s">
        <v>163</v>
      </c>
      <c r="CE63" s="144">
        <f t="shared" si="10"/>
        <v>0.12784787418731536</v>
      </c>
      <c r="CF63" s="144">
        <f t="shared" si="11"/>
        <v>0.12784787418731536</v>
      </c>
      <c r="CG63" s="145" t="s">
        <v>203</v>
      </c>
      <c r="CH63" s="129" t="s">
        <v>204</v>
      </c>
      <c r="CI63" s="129" t="s">
        <v>205</v>
      </c>
      <c r="CJ63" s="129" t="s">
        <v>206</v>
      </c>
      <c r="CK63" s="129" t="s">
        <v>158</v>
      </c>
      <c r="CL63" s="129" t="s">
        <v>158</v>
      </c>
      <c r="CM63" s="129" t="s">
        <v>158</v>
      </c>
      <c r="CN63" s="129" t="s">
        <v>160</v>
      </c>
      <c r="CO63" s="129" t="s">
        <v>160</v>
      </c>
      <c r="CP63" s="129" t="s">
        <v>160</v>
      </c>
      <c r="CQ63" s="129" t="s">
        <v>160</v>
      </c>
      <c r="CR63" s="129" t="s">
        <v>160</v>
      </c>
      <c r="CS63" s="129" t="s">
        <v>160</v>
      </c>
      <c r="CT63" s="129" t="s">
        <v>160</v>
      </c>
      <c r="CU63" s="129">
        <v>35</v>
      </c>
      <c r="CV63" s="129" t="s">
        <v>159</v>
      </c>
      <c r="CW63" s="146">
        <v>1</v>
      </c>
      <c r="CX63" s="129" t="s">
        <v>207</v>
      </c>
      <c r="CY63" s="129">
        <v>1.3318412676099999E-2</v>
      </c>
      <c r="CZ63" s="129" t="s">
        <v>159</v>
      </c>
      <c r="DA63" s="146">
        <v>2.5000000000000001E-3</v>
      </c>
      <c r="DB63" s="129" t="s">
        <v>208</v>
      </c>
      <c r="DC63" s="129">
        <v>4.6240670265900001E-2</v>
      </c>
      <c r="DD63" s="129" t="s">
        <v>159</v>
      </c>
      <c r="DE63" s="146">
        <v>2.5000000000000001E-3</v>
      </c>
      <c r="DF63" s="129" t="s">
        <v>209</v>
      </c>
      <c r="DG63" s="129" t="s">
        <v>160</v>
      </c>
      <c r="DH63" s="129" t="s">
        <v>160</v>
      </c>
      <c r="DI63" s="129" t="s">
        <v>160</v>
      </c>
      <c r="DJ63" s="129" t="s">
        <v>160</v>
      </c>
      <c r="DK63" s="145">
        <v>424.29</v>
      </c>
      <c r="DL63" s="129" t="s">
        <v>159</v>
      </c>
      <c r="DM63" s="145" t="s">
        <v>160</v>
      </c>
      <c r="DN63" s="129" t="s">
        <v>210</v>
      </c>
      <c r="DO63" s="129">
        <v>37.89237</v>
      </c>
      <c r="DP63" s="129" t="s">
        <v>160</v>
      </c>
      <c r="DQ63" s="129">
        <v>0.66397999999999868</v>
      </c>
      <c r="DR63" s="129" t="s">
        <v>211</v>
      </c>
      <c r="DS63" s="129" t="s">
        <v>212</v>
      </c>
      <c r="DT63" s="129" t="s">
        <v>213</v>
      </c>
      <c r="DU63" s="129">
        <v>1.0271999999999999</v>
      </c>
      <c r="DV63" s="129" t="s">
        <v>214</v>
      </c>
      <c r="DW63" s="129" t="s">
        <v>214</v>
      </c>
      <c r="DX63" s="129" t="s">
        <v>215</v>
      </c>
      <c r="DY63" s="129" t="s">
        <v>160</v>
      </c>
      <c r="DZ63" s="129" t="s">
        <v>164</v>
      </c>
      <c r="EA63" s="129" t="s">
        <v>216</v>
      </c>
      <c r="EB63" s="129" t="s">
        <v>212</v>
      </c>
      <c r="EC63" s="129" t="s">
        <v>212</v>
      </c>
      <c r="ED63" s="129" t="s">
        <v>212</v>
      </c>
      <c r="EE63" s="129" t="s">
        <v>217</v>
      </c>
      <c r="EF63" s="147" t="s">
        <v>213</v>
      </c>
      <c r="EG63" s="148" t="s">
        <v>213</v>
      </c>
      <c r="EH63" s="129" t="s">
        <v>218</v>
      </c>
      <c r="EI63" s="129" t="s">
        <v>219</v>
      </c>
      <c r="EJ63" s="129" t="s">
        <v>160</v>
      </c>
      <c r="EK63" s="129">
        <v>1591.153</v>
      </c>
      <c r="EL63" s="129" t="s">
        <v>163</v>
      </c>
      <c r="EM63" s="150">
        <v>500</v>
      </c>
      <c r="EN63" s="150">
        <v>500</v>
      </c>
      <c r="EO63" s="129" t="s">
        <v>160</v>
      </c>
      <c r="EP63" s="129" t="s">
        <v>160</v>
      </c>
      <c r="EQ63" s="129" t="s">
        <v>160</v>
      </c>
      <c r="ER63" s="129" t="s">
        <v>160</v>
      </c>
      <c r="ES63" s="129">
        <v>7.9180159999999997</v>
      </c>
      <c r="ET63" s="142" t="s">
        <v>165</v>
      </c>
      <c r="EU63" s="129">
        <v>0.11627299999999963</v>
      </c>
      <c r="EV63" s="129">
        <v>0.13909400000000005</v>
      </c>
      <c r="EW63" s="142" t="s">
        <v>160</v>
      </c>
      <c r="EX63" s="129" t="s">
        <v>160</v>
      </c>
      <c r="EY63" s="129" t="s">
        <v>160</v>
      </c>
      <c r="EZ63" s="191">
        <v>452.3168</v>
      </c>
      <c r="FA63" s="191">
        <v>216.97779999999995</v>
      </c>
      <c r="FB63" s="191">
        <v>148.11369999999999</v>
      </c>
      <c r="FC63" s="129" t="s">
        <v>220</v>
      </c>
      <c r="FD63" s="129" t="s">
        <v>221</v>
      </c>
      <c r="FE63" s="191">
        <v>1740.018</v>
      </c>
      <c r="FF63" s="191">
        <v>403.34999999999991</v>
      </c>
      <c r="FG63" s="191">
        <v>395.077</v>
      </c>
      <c r="FH63" s="129" t="s">
        <v>160</v>
      </c>
      <c r="FI63" s="129" t="s">
        <v>160</v>
      </c>
      <c r="FJ63" s="129" t="s">
        <v>160</v>
      </c>
      <c r="FK63" s="129" t="s">
        <v>160</v>
      </c>
      <c r="FL63" s="129" t="s">
        <v>160</v>
      </c>
      <c r="FM63" s="129" t="s">
        <v>160</v>
      </c>
      <c r="FN63" s="151">
        <v>3.331683</v>
      </c>
      <c r="FO63" s="151">
        <v>2.078214</v>
      </c>
      <c r="FP63" s="151">
        <v>1.4808679999999999</v>
      </c>
      <c r="FQ63" s="129" t="s">
        <v>414</v>
      </c>
      <c r="FR63" s="166" t="s">
        <v>348</v>
      </c>
      <c r="FS63" s="166">
        <v>2014</v>
      </c>
      <c r="FT63" s="166" t="s">
        <v>349</v>
      </c>
    </row>
    <row r="64" spans="1:176" s="129" customFormat="1" ht="17">
      <c r="A64" s="166" t="s">
        <v>152</v>
      </c>
      <c r="B64" s="166" t="s">
        <v>183</v>
      </c>
      <c r="C64" s="166">
        <v>2018</v>
      </c>
      <c r="D64" s="166" t="s">
        <v>184</v>
      </c>
      <c r="E64" s="195">
        <v>15842.048999999997</v>
      </c>
      <c r="F64" s="166" t="s">
        <v>160</v>
      </c>
      <c r="G64" s="166" t="s">
        <v>160</v>
      </c>
      <c r="H64" s="190">
        <v>751.43360000000007</v>
      </c>
      <c r="I64" s="191">
        <v>644.02739999999994</v>
      </c>
      <c r="J64" s="191">
        <v>283.79210000000006</v>
      </c>
      <c r="K64" s="129" t="s">
        <v>457</v>
      </c>
      <c r="L64" s="131" t="s">
        <v>185</v>
      </c>
      <c r="M64" s="132" t="s">
        <v>186</v>
      </c>
      <c r="N64" s="129" t="s">
        <v>184</v>
      </c>
      <c r="O64" s="129">
        <v>761</v>
      </c>
      <c r="P64" s="129" t="s">
        <v>235</v>
      </c>
      <c r="Q64" s="178">
        <v>6</v>
      </c>
      <c r="R64" s="178">
        <v>4</v>
      </c>
      <c r="S64" s="191">
        <v>13</v>
      </c>
      <c r="T64" s="129">
        <v>15</v>
      </c>
      <c r="U64" s="129" t="s">
        <v>160</v>
      </c>
      <c r="V64" s="141">
        <v>47.73</v>
      </c>
      <c r="W64" s="196" t="s">
        <v>350</v>
      </c>
      <c r="X64" s="129" t="s">
        <v>351</v>
      </c>
      <c r="Y64" s="196">
        <v>-16.739722220000001</v>
      </c>
      <c r="Z64" s="197">
        <v>115.53611110999999</v>
      </c>
      <c r="AA64" s="129" t="s">
        <v>160</v>
      </c>
      <c r="AB64" s="129" t="s">
        <v>160</v>
      </c>
      <c r="AC64" s="129">
        <v>-2179</v>
      </c>
      <c r="AD64" s="129" t="s">
        <v>160</v>
      </c>
      <c r="AE64" s="129" t="s">
        <v>160</v>
      </c>
      <c r="AF64" s="129" t="s">
        <v>160</v>
      </c>
      <c r="AG64" s="151">
        <v>15842.048999999997</v>
      </c>
      <c r="AH64" s="138" t="s">
        <v>160</v>
      </c>
      <c r="AI64" s="129" t="s">
        <v>160</v>
      </c>
      <c r="AJ64" s="138" t="s">
        <v>160</v>
      </c>
      <c r="AK64" s="129" t="s">
        <v>237</v>
      </c>
      <c r="AL64" s="129" t="s">
        <v>238</v>
      </c>
      <c r="AM64" s="140" t="s">
        <v>239</v>
      </c>
      <c r="AN64" s="129" t="s">
        <v>160</v>
      </c>
      <c r="AO64" s="129" t="s">
        <v>160</v>
      </c>
      <c r="AP64" s="129" t="s">
        <v>160</v>
      </c>
      <c r="AQ64" s="129" t="s">
        <v>160</v>
      </c>
      <c r="AR64" s="129" t="s">
        <v>160</v>
      </c>
      <c r="AS64" s="129" t="s">
        <v>160</v>
      </c>
      <c r="AT64" s="129" t="s">
        <v>160</v>
      </c>
      <c r="AU64" s="129" t="s">
        <v>191</v>
      </c>
      <c r="AV64" s="129" t="s">
        <v>161</v>
      </c>
      <c r="AW64" s="129" t="s">
        <v>192</v>
      </c>
      <c r="AX64" s="129" t="s">
        <v>352</v>
      </c>
      <c r="AY64" s="129" t="s">
        <v>353</v>
      </c>
      <c r="AZ64" s="129" t="s">
        <v>354</v>
      </c>
      <c r="BA64" s="129" t="s">
        <v>196</v>
      </c>
      <c r="BB64" s="198" t="s">
        <v>361</v>
      </c>
      <c r="BC64" s="129">
        <v>2</v>
      </c>
      <c r="BD64" s="151">
        <v>0.91186144769997479</v>
      </c>
      <c r="BE64" s="151">
        <v>14.57539391425216</v>
      </c>
      <c r="BF64" s="129" t="s">
        <v>355</v>
      </c>
      <c r="BG64" s="141">
        <v>0.94046789438607825</v>
      </c>
      <c r="BH64" s="129">
        <v>0.83299999999999996</v>
      </c>
      <c r="BI64" s="129" t="s">
        <v>160</v>
      </c>
      <c r="BJ64" s="138" t="s">
        <v>160</v>
      </c>
      <c r="BK64" s="129">
        <v>2.69</v>
      </c>
      <c r="BL64" s="129" t="s">
        <v>160</v>
      </c>
      <c r="BM64" s="129" t="s">
        <v>160</v>
      </c>
      <c r="BN64" s="129" t="s">
        <v>200</v>
      </c>
      <c r="BO64" s="129" t="s">
        <v>201</v>
      </c>
      <c r="BP64" s="151">
        <v>14.26817996909023</v>
      </c>
      <c r="BQ64" s="129" t="s">
        <v>202</v>
      </c>
      <c r="BR64" s="217"/>
      <c r="BS64" s="129" t="s">
        <v>160</v>
      </c>
      <c r="BT64" s="129" t="s">
        <v>160</v>
      </c>
      <c r="BU64" s="129">
        <v>10</v>
      </c>
      <c r="BV64" s="129" t="s">
        <v>159</v>
      </c>
      <c r="BW64" s="129">
        <v>10</v>
      </c>
      <c r="BX64" s="145">
        <v>28.948163922943412</v>
      </c>
      <c r="BY64" s="129" t="s">
        <v>159</v>
      </c>
      <c r="BZ64" s="129">
        <v>1</v>
      </c>
      <c r="CA64" s="129">
        <v>1</v>
      </c>
      <c r="CB64" s="129" t="s">
        <v>160</v>
      </c>
      <c r="CC64" s="151">
        <v>4.3572699176707106</v>
      </c>
      <c r="CD64" s="129" t="s">
        <v>163</v>
      </c>
      <c r="CE64" s="144">
        <f t="shared" si="10"/>
        <v>0.11764628777710918</v>
      </c>
      <c r="CF64" s="144">
        <f t="shared" si="11"/>
        <v>0.11764628777710918</v>
      </c>
      <c r="CG64" s="145" t="s">
        <v>203</v>
      </c>
      <c r="CH64" s="129" t="s">
        <v>204</v>
      </c>
      <c r="CI64" s="129" t="s">
        <v>205</v>
      </c>
      <c r="CJ64" s="129" t="s">
        <v>206</v>
      </c>
      <c r="CK64" s="129" t="s">
        <v>158</v>
      </c>
      <c r="CL64" s="129" t="s">
        <v>158</v>
      </c>
      <c r="CM64" s="129" t="s">
        <v>158</v>
      </c>
      <c r="CN64" s="129" t="s">
        <v>160</v>
      </c>
      <c r="CO64" s="129" t="s">
        <v>160</v>
      </c>
      <c r="CP64" s="129" t="s">
        <v>160</v>
      </c>
      <c r="CQ64" s="129" t="s">
        <v>160</v>
      </c>
      <c r="CR64" s="129" t="s">
        <v>160</v>
      </c>
      <c r="CS64" s="129" t="s">
        <v>160</v>
      </c>
      <c r="CT64" s="129" t="s">
        <v>160</v>
      </c>
      <c r="CU64" s="129">
        <v>35</v>
      </c>
      <c r="CV64" s="129" t="s">
        <v>159</v>
      </c>
      <c r="CW64" s="146">
        <v>1</v>
      </c>
      <c r="CX64" s="129" t="s">
        <v>207</v>
      </c>
      <c r="CY64" s="129">
        <v>1.3323248223099998E-2</v>
      </c>
      <c r="CZ64" s="129" t="s">
        <v>159</v>
      </c>
      <c r="DA64" s="146">
        <v>2.5000000000000001E-3</v>
      </c>
      <c r="DB64" s="129" t="s">
        <v>208</v>
      </c>
      <c r="DC64" s="129">
        <v>4.6225089058900007E-2</v>
      </c>
      <c r="DD64" s="129" t="s">
        <v>159</v>
      </c>
      <c r="DE64" s="146">
        <v>2.5000000000000001E-3</v>
      </c>
      <c r="DF64" s="129" t="s">
        <v>209</v>
      </c>
      <c r="DG64" s="129" t="s">
        <v>160</v>
      </c>
      <c r="DH64" s="129" t="s">
        <v>160</v>
      </c>
      <c r="DI64" s="129" t="s">
        <v>160</v>
      </c>
      <c r="DJ64" s="129" t="s">
        <v>160</v>
      </c>
      <c r="DK64" s="145">
        <v>424.29</v>
      </c>
      <c r="DL64" s="129" t="s">
        <v>159</v>
      </c>
      <c r="DM64" s="145" t="s">
        <v>160</v>
      </c>
      <c r="DN64" s="129" t="s">
        <v>210</v>
      </c>
      <c r="DO64" s="129">
        <v>37.8889</v>
      </c>
      <c r="DP64" s="129" t="s">
        <v>160</v>
      </c>
      <c r="DQ64" s="129">
        <v>0.67978499999999897</v>
      </c>
      <c r="DR64" s="129" t="s">
        <v>211</v>
      </c>
      <c r="DS64" s="129" t="s">
        <v>212</v>
      </c>
      <c r="DT64" s="129" t="s">
        <v>213</v>
      </c>
      <c r="DU64" s="129">
        <v>1.0271999999999999</v>
      </c>
      <c r="DV64" s="129" t="s">
        <v>214</v>
      </c>
      <c r="DW64" s="129" t="s">
        <v>214</v>
      </c>
      <c r="DX64" s="129" t="s">
        <v>215</v>
      </c>
      <c r="DY64" s="129" t="s">
        <v>160</v>
      </c>
      <c r="DZ64" s="129" t="s">
        <v>164</v>
      </c>
      <c r="EA64" s="129" t="s">
        <v>216</v>
      </c>
      <c r="EB64" s="129" t="s">
        <v>212</v>
      </c>
      <c r="EC64" s="129" t="s">
        <v>212</v>
      </c>
      <c r="ED64" s="129" t="s">
        <v>212</v>
      </c>
      <c r="EE64" s="129" t="s">
        <v>217</v>
      </c>
      <c r="EF64" s="147" t="s">
        <v>213</v>
      </c>
      <c r="EG64" s="148" t="s">
        <v>213</v>
      </c>
      <c r="EH64" s="129" t="s">
        <v>218</v>
      </c>
      <c r="EI64" s="129" t="s">
        <v>219</v>
      </c>
      <c r="EJ64" s="129" t="s">
        <v>160</v>
      </c>
      <c r="EK64" s="129">
        <v>1590.8309999999999</v>
      </c>
      <c r="EL64" s="129" t="s">
        <v>163</v>
      </c>
      <c r="EM64" s="150">
        <v>500</v>
      </c>
      <c r="EN64" s="150">
        <v>500</v>
      </c>
      <c r="EO64" s="129" t="s">
        <v>160</v>
      </c>
      <c r="EP64" s="129" t="s">
        <v>160</v>
      </c>
      <c r="EQ64" s="129" t="s">
        <v>160</v>
      </c>
      <c r="ER64" s="129" t="s">
        <v>160</v>
      </c>
      <c r="ES64" s="129">
        <v>7.7002360000000003</v>
      </c>
      <c r="ET64" s="142" t="s">
        <v>165</v>
      </c>
      <c r="EU64" s="129">
        <v>0.16994400000000009</v>
      </c>
      <c r="EV64" s="129">
        <v>0.24827900000000014</v>
      </c>
      <c r="EW64" s="142" t="s">
        <v>160</v>
      </c>
      <c r="EX64" s="129" t="s">
        <v>160</v>
      </c>
      <c r="EY64" s="129" t="s">
        <v>160</v>
      </c>
      <c r="EZ64" s="191">
        <v>751.43360000000007</v>
      </c>
      <c r="FA64" s="191">
        <v>644.02739999999994</v>
      </c>
      <c r="FB64" s="191">
        <v>283.79210000000006</v>
      </c>
      <c r="FC64" s="129" t="s">
        <v>220</v>
      </c>
      <c r="FD64" s="129" t="s">
        <v>221</v>
      </c>
      <c r="FE64" s="191">
        <v>1670.08</v>
      </c>
      <c r="FF64" s="191">
        <v>397.53400000000011</v>
      </c>
      <c r="FG64" s="191">
        <v>394.35799999999995</v>
      </c>
      <c r="FH64" s="129" t="s">
        <v>160</v>
      </c>
      <c r="FI64" s="129" t="s">
        <v>160</v>
      </c>
      <c r="FJ64" s="129" t="s">
        <v>160</v>
      </c>
      <c r="FK64" s="129" t="s">
        <v>160</v>
      </c>
      <c r="FL64" s="129" t="s">
        <v>160</v>
      </c>
      <c r="FM64" s="129" t="s">
        <v>160</v>
      </c>
      <c r="FN64" s="151">
        <v>1.951694</v>
      </c>
      <c r="FO64" s="151">
        <v>1.5409620000000002</v>
      </c>
      <c r="FP64" s="151">
        <v>1.0241604</v>
      </c>
      <c r="FQ64" s="129" t="s">
        <v>414</v>
      </c>
      <c r="FR64" s="166" t="s">
        <v>348</v>
      </c>
      <c r="FS64" s="166">
        <v>2014</v>
      </c>
      <c r="FT64" s="166" t="s">
        <v>349</v>
      </c>
    </row>
    <row r="65" spans="1:176" s="129" customFormat="1" ht="17">
      <c r="A65" s="166" t="s">
        <v>152</v>
      </c>
      <c r="B65" s="166" t="s">
        <v>183</v>
      </c>
      <c r="C65" s="166">
        <v>2018</v>
      </c>
      <c r="D65" s="166" t="s">
        <v>184</v>
      </c>
      <c r="E65" s="195">
        <v>15884.244000000001</v>
      </c>
      <c r="F65" s="166" t="s">
        <v>160</v>
      </c>
      <c r="G65" s="166" t="s">
        <v>160</v>
      </c>
      <c r="H65" s="190">
        <v>455.88260000000002</v>
      </c>
      <c r="I65" s="191">
        <v>217.05059999999992</v>
      </c>
      <c r="J65" s="191">
        <v>147.56010000000003</v>
      </c>
      <c r="K65" s="129" t="s">
        <v>457</v>
      </c>
      <c r="L65" s="131" t="s">
        <v>185</v>
      </c>
      <c r="M65" s="132" t="s">
        <v>186</v>
      </c>
      <c r="N65" s="129" t="s">
        <v>184</v>
      </c>
      <c r="O65" s="129">
        <v>761</v>
      </c>
      <c r="P65" s="129" t="s">
        <v>235</v>
      </c>
      <c r="Q65" s="178">
        <v>6</v>
      </c>
      <c r="R65" s="178">
        <v>4</v>
      </c>
      <c r="S65" s="191">
        <v>28</v>
      </c>
      <c r="T65" s="129">
        <v>30</v>
      </c>
      <c r="U65" s="129" t="s">
        <v>160</v>
      </c>
      <c r="V65" s="141">
        <v>47.88</v>
      </c>
      <c r="W65" s="196" t="s">
        <v>350</v>
      </c>
      <c r="X65" s="129" t="s">
        <v>351</v>
      </c>
      <c r="Y65" s="196">
        <v>-16.739722220000001</v>
      </c>
      <c r="Z65" s="197">
        <v>115.53611110999999</v>
      </c>
      <c r="AA65" s="129" t="s">
        <v>160</v>
      </c>
      <c r="AB65" s="129" t="s">
        <v>160</v>
      </c>
      <c r="AC65" s="129">
        <v>-2179</v>
      </c>
      <c r="AD65" s="129" t="s">
        <v>160</v>
      </c>
      <c r="AE65" s="129" t="s">
        <v>160</v>
      </c>
      <c r="AF65" s="129" t="s">
        <v>160</v>
      </c>
      <c r="AG65" s="151">
        <v>15884.244000000001</v>
      </c>
      <c r="AH65" s="138" t="s">
        <v>160</v>
      </c>
      <c r="AI65" s="129" t="s">
        <v>160</v>
      </c>
      <c r="AJ65" s="138" t="s">
        <v>160</v>
      </c>
      <c r="AK65" s="129" t="s">
        <v>237</v>
      </c>
      <c r="AL65" s="129" t="s">
        <v>238</v>
      </c>
      <c r="AM65" s="140" t="s">
        <v>239</v>
      </c>
      <c r="AN65" s="129" t="s">
        <v>160</v>
      </c>
      <c r="AO65" s="129" t="s">
        <v>160</v>
      </c>
      <c r="AP65" s="129" t="s">
        <v>160</v>
      </c>
      <c r="AQ65" s="129" t="s">
        <v>160</v>
      </c>
      <c r="AR65" s="129" t="s">
        <v>160</v>
      </c>
      <c r="AS65" s="129" t="s">
        <v>160</v>
      </c>
      <c r="AT65" s="129" t="s">
        <v>160</v>
      </c>
      <c r="AU65" s="129" t="s">
        <v>191</v>
      </c>
      <c r="AV65" s="129" t="s">
        <v>161</v>
      </c>
      <c r="AW65" s="129" t="s">
        <v>192</v>
      </c>
      <c r="AX65" s="129" t="s">
        <v>352</v>
      </c>
      <c r="AY65" s="129" t="s">
        <v>353</v>
      </c>
      <c r="AZ65" s="129" t="s">
        <v>354</v>
      </c>
      <c r="BA65" s="129" t="s">
        <v>196</v>
      </c>
      <c r="BB65" s="198" t="s">
        <v>362</v>
      </c>
      <c r="BC65" s="129">
        <v>2</v>
      </c>
      <c r="BD65" s="151">
        <v>3.9901744612262036E-2</v>
      </c>
      <c r="BE65" s="151">
        <v>16.029738829489553</v>
      </c>
      <c r="BF65" s="129" t="s">
        <v>355</v>
      </c>
      <c r="BG65" s="141">
        <v>0.58317838362660313</v>
      </c>
      <c r="BH65" s="129">
        <v>0.83299999999999996</v>
      </c>
      <c r="BI65" s="129" t="s">
        <v>160</v>
      </c>
      <c r="BJ65" s="138" t="s">
        <v>160</v>
      </c>
      <c r="BK65" s="129">
        <v>2.69</v>
      </c>
      <c r="BL65" s="129" t="s">
        <v>160</v>
      </c>
      <c r="BM65" s="129" t="s">
        <v>160</v>
      </c>
      <c r="BN65" s="129" t="s">
        <v>200</v>
      </c>
      <c r="BO65" s="129" t="s">
        <v>201</v>
      </c>
      <c r="BP65" s="151">
        <v>16.014092232280376</v>
      </c>
      <c r="BQ65" s="129" t="s">
        <v>202</v>
      </c>
      <c r="BR65" s="217"/>
      <c r="BS65" s="129" t="s">
        <v>160</v>
      </c>
      <c r="BT65" s="129" t="s">
        <v>160</v>
      </c>
      <c r="BU65" s="129">
        <v>10</v>
      </c>
      <c r="BV65" s="129" t="s">
        <v>159</v>
      </c>
      <c r="BW65" s="129">
        <v>10</v>
      </c>
      <c r="BX65" s="145">
        <v>29.420914020891821</v>
      </c>
      <c r="BY65" s="129" t="s">
        <v>159</v>
      </c>
      <c r="BZ65" s="129">
        <v>1</v>
      </c>
      <c r="CA65" s="129">
        <v>1</v>
      </c>
      <c r="CB65" s="129" t="s">
        <v>160</v>
      </c>
      <c r="CC65" s="151">
        <v>4.5447044802142118</v>
      </c>
      <c r="CD65" s="129" t="s">
        <v>163</v>
      </c>
      <c r="CE65" s="144">
        <f t="shared" si="10"/>
        <v>0.12270702096578372</v>
      </c>
      <c r="CF65" s="144">
        <f t="shared" si="11"/>
        <v>0.12270702096578372</v>
      </c>
      <c r="CG65" s="145" t="s">
        <v>203</v>
      </c>
      <c r="CH65" s="129" t="s">
        <v>204</v>
      </c>
      <c r="CI65" s="129" t="s">
        <v>205</v>
      </c>
      <c r="CJ65" s="129" t="s">
        <v>206</v>
      </c>
      <c r="CK65" s="129" t="s">
        <v>158</v>
      </c>
      <c r="CL65" s="129" t="s">
        <v>158</v>
      </c>
      <c r="CM65" s="129" t="s">
        <v>158</v>
      </c>
      <c r="CN65" s="129" t="s">
        <v>160</v>
      </c>
      <c r="CO65" s="129" t="s">
        <v>160</v>
      </c>
      <c r="CP65" s="129" t="s">
        <v>160</v>
      </c>
      <c r="CQ65" s="129" t="s">
        <v>160</v>
      </c>
      <c r="CR65" s="129" t="s">
        <v>160</v>
      </c>
      <c r="CS65" s="129" t="s">
        <v>160</v>
      </c>
      <c r="CT65" s="129" t="s">
        <v>160</v>
      </c>
      <c r="CU65" s="129">
        <v>35</v>
      </c>
      <c r="CV65" s="129" t="s">
        <v>159</v>
      </c>
      <c r="CW65" s="146">
        <v>1</v>
      </c>
      <c r="CX65" s="129" t="s">
        <v>207</v>
      </c>
      <c r="CY65" s="129">
        <v>1.33305015436E-2</v>
      </c>
      <c r="CZ65" s="129" t="s">
        <v>159</v>
      </c>
      <c r="DA65" s="146">
        <v>2.5000000000000001E-3</v>
      </c>
      <c r="DB65" s="129" t="s">
        <v>208</v>
      </c>
      <c r="DC65" s="129">
        <v>4.6201717248399998E-2</v>
      </c>
      <c r="DD65" s="129" t="s">
        <v>159</v>
      </c>
      <c r="DE65" s="146">
        <v>2.5000000000000001E-3</v>
      </c>
      <c r="DF65" s="129" t="s">
        <v>209</v>
      </c>
      <c r="DG65" s="129" t="s">
        <v>160</v>
      </c>
      <c r="DH65" s="129" t="s">
        <v>160</v>
      </c>
      <c r="DI65" s="129" t="s">
        <v>160</v>
      </c>
      <c r="DJ65" s="129" t="s">
        <v>160</v>
      </c>
      <c r="DK65" s="145">
        <v>424.29</v>
      </c>
      <c r="DL65" s="129" t="s">
        <v>159</v>
      </c>
      <c r="DM65" s="145" t="s">
        <v>160</v>
      </c>
      <c r="DN65" s="129" t="s">
        <v>210</v>
      </c>
      <c r="DO65" s="129">
        <v>37.890320000000003</v>
      </c>
      <c r="DP65" s="129" t="s">
        <v>160</v>
      </c>
      <c r="DQ65" s="129">
        <v>0.6640100000000011</v>
      </c>
      <c r="DR65" s="129" t="s">
        <v>211</v>
      </c>
      <c r="DS65" s="129" t="s">
        <v>212</v>
      </c>
      <c r="DT65" s="129" t="s">
        <v>213</v>
      </c>
      <c r="DU65" s="129">
        <v>1.0271999999999999</v>
      </c>
      <c r="DV65" s="129" t="s">
        <v>214</v>
      </c>
      <c r="DW65" s="129" t="s">
        <v>214</v>
      </c>
      <c r="DX65" s="129" t="s">
        <v>215</v>
      </c>
      <c r="DY65" s="129" t="s">
        <v>160</v>
      </c>
      <c r="DZ65" s="129" t="s">
        <v>164</v>
      </c>
      <c r="EA65" s="129" t="s">
        <v>216</v>
      </c>
      <c r="EB65" s="129" t="s">
        <v>212</v>
      </c>
      <c r="EC65" s="129" t="s">
        <v>212</v>
      </c>
      <c r="ED65" s="129" t="s">
        <v>212</v>
      </c>
      <c r="EE65" s="129" t="s">
        <v>217</v>
      </c>
      <c r="EF65" s="147" t="s">
        <v>213</v>
      </c>
      <c r="EG65" s="148" t="s">
        <v>213</v>
      </c>
      <c r="EH65" s="129" t="s">
        <v>218</v>
      </c>
      <c r="EI65" s="129" t="s">
        <v>219</v>
      </c>
      <c r="EJ65" s="129" t="s">
        <v>160</v>
      </c>
      <c r="EK65" s="129">
        <v>1588.4289999999999</v>
      </c>
      <c r="EL65" s="129" t="s">
        <v>163</v>
      </c>
      <c r="EM65" s="150">
        <v>500</v>
      </c>
      <c r="EN65" s="150">
        <v>500</v>
      </c>
      <c r="EO65" s="129" t="s">
        <v>160</v>
      </c>
      <c r="EP65" s="129" t="s">
        <v>160</v>
      </c>
      <c r="EQ65" s="129" t="s">
        <v>160</v>
      </c>
      <c r="ER65" s="129" t="s">
        <v>160</v>
      </c>
      <c r="ES65" s="129">
        <v>7.912477</v>
      </c>
      <c r="ET65" s="142" t="s">
        <v>165</v>
      </c>
      <c r="EU65" s="129">
        <v>0.11402300000000043</v>
      </c>
      <c r="EV65" s="129">
        <v>0.1345919999999996</v>
      </c>
      <c r="EW65" s="142" t="s">
        <v>160</v>
      </c>
      <c r="EX65" s="129" t="s">
        <v>160</v>
      </c>
      <c r="EY65" s="129" t="s">
        <v>160</v>
      </c>
      <c r="EZ65" s="191">
        <v>455.88260000000002</v>
      </c>
      <c r="FA65" s="191">
        <v>217.05059999999992</v>
      </c>
      <c r="FB65" s="191">
        <v>147.56010000000003</v>
      </c>
      <c r="FC65" s="129" t="s">
        <v>220</v>
      </c>
      <c r="FD65" s="129" t="s">
        <v>221</v>
      </c>
      <c r="FE65" s="191">
        <v>1734.357</v>
      </c>
      <c r="FF65" s="191">
        <v>400.03600000000006</v>
      </c>
      <c r="FG65" s="191">
        <v>401.94800000000009</v>
      </c>
      <c r="FH65" s="129" t="s">
        <v>160</v>
      </c>
      <c r="FI65" s="129" t="s">
        <v>160</v>
      </c>
      <c r="FJ65" s="129" t="s">
        <v>160</v>
      </c>
      <c r="FK65" s="129" t="s">
        <v>160</v>
      </c>
      <c r="FL65" s="129" t="s">
        <v>160</v>
      </c>
      <c r="FM65" s="129" t="s">
        <v>160</v>
      </c>
      <c r="FN65" s="151">
        <v>3.227014</v>
      </c>
      <c r="FO65" s="151">
        <v>1.9127420000000002</v>
      </c>
      <c r="FP65" s="151">
        <v>1.4293690000000001</v>
      </c>
      <c r="FQ65" s="129" t="s">
        <v>414</v>
      </c>
      <c r="FR65" s="166" t="s">
        <v>348</v>
      </c>
      <c r="FS65" s="166">
        <v>2014</v>
      </c>
      <c r="FT65" s="166" t="s">
        <v>349</v>
      </c>
    </row>
    <row r="66" spans="1:176" s="129" customFormat="1" ht="17">
      <c r="A66" s="166" t="s">
        <v>152</v>
      </c>
      <c r="B66" s="166" t="s">
        <v>183</v>
      </c>
      <c r="C66" s="166">
        <v>2018</v>
      </c>
      <c r="D66" s="166" t="s">
        <v>184</v>
      </c>
      <c r="E66" s="195">
        <v>15898.308999999999</v>
      </c>
      <c r="F66" s="166" t="s">
        <v>160</v>
      </c>
      <c r="G66" s="166" t="s">
        <v>160</v>
      </c>
      <c r="H66" s="190">
        <v>483.59030000000001</v>
      </c>
      <c r="I66" s="191">
        <v>240.48629999999997</v>
      </c>
      <c r="J66" s="191">
        <v>157.33460000000002</v>
      </c>
      <c r="K66" s="129" t="s">
        <v>457</v>
      </c>
      <c r="L66" s="131" t="s">
        <v>185</v>
      </c>
      <c r="M66" s="132" t="s">
        <v>186</v>
      </c>
      <c r="N66" s="129" t="s">
        <v>184</v>
      </c>
      <c r="O66" s="129">
        <v>761</v>
      </c>
      <c r="P66" s="129" t="s">
        <v>235</v>
      </c>
      <c r="Q66" s="178">
        <v>6</v>
      </c>
      <c r="R66" s="178">
        <v>4</v>
      </c>
      <c r="S66" s="191">
        <v>33</v>
      </c>
      <c r="T66" s="129">
        <v>35</v>
      </c>
      <c r="U66" s="129" t="s">
        <v>160</v>
      </c>
      <c r="V66" s="141">
        <v>47.93</v>
      </c>
      <c r="W66" s="196" t="s">
        <v>350</v>
      </c>
      <c r="X66" s="129" t="s">
        <v>351</v>
      </c>
      <c r="Y66" s="196">
        <v>-16.739722220000001</v>
      </c>
      <c r="Z66" s="197">
        <v>115.53611110999999</v>
      </c>
      <c r="AA66" s="129" t="s">
        <v>160</v>
      </c>
      <c r="AB66" s="129" t="s">
        <v>160</v>
      </c>
      <c r="AC66" s="129">
        <v>-2179</v>
      </c>
      <c r="AD66" s="129" t="s">
        <v>160</v>
      </c>
      <c r="AE66" s="129" t="s">
        <v>160</v>
      </c>
      <c r="AF66" s="129" t="s">
        <v>160</v>
      </c>
      <c r="AG66" s="151">
        <v>15898.308999999999</v>
      </c>
      <c r="AH66" s="138" t="s">
        <v>160</v>
      </c>
      <c r="AI66" s="129" t="s">
        <v>160</v>
      </c>
      <c r="AJ66" s="138" t="s">
        <v>160</v>
      </c>
      <c r="AK66" s="129" t="s">
        <v>237</v>
      </c>
      <c r="AL66" s="129" t="s">
        <v>238</v>
      </c>
      <c r="AM66" s="140" t="s">
        <v>239</v>
      </c>
      <c r="AN66" s="129" t="s">
        <v>160</v>
      </c>
      <c r="AO66" s="129" t="s">
        <v>160</v>
      </c>
      <c r="AP66" s="129" t="s">
        <v>160</v>
      </c>
      <c r="AQ66" s="129" t="s">
        <v>160</v>
      </c>
      <c r="AR66" s="129" t="s">
        <v>160</v>
      </c>
      <c r="AS66" s="129" t="s">
        <v>160</v>
      </c>
      <c r="AT66" s="129" t="s">
        <v>160</v>
      </c>
      <c r="AU66" s="129" t="s">
        <v>191</v>
      </c>
      <c r="AV66" s="129" t="s">
        <v>161</v>
      </c>
      <c r="AW66" s="129" t="s">
        <v>192</v>
      </c>
      <c r="AX66" s="129" t="s">
        <v>352</v>
      </c>
      <c r="AY66" s="129" t="s">
        <v>353</v>
      </c>
      <c r="AZ66" s="129" t="s">
        <v>354</v>
      </c>
      <c r="BA66" s="129" t="s">
        <v>196</v>
      </c>
      <c r="BB66" s="198" t="s">
        <v>363</v>
      </c>
      <c r="BC66" s="129">
        <v>2</v>
      </c>
      <c r="BD66" s="151">
        <v>0.21037587245137065</v>
      </c>
      <c r="BE66" s="151">
        <v>15.755682080858971</v>
      </c>
      <c r="BF66" s="129" t="s">
        <v>355</v>
      </c>
      <c r="BG66" s="141">
        <v>0.64489930114268146</v>
      </c>
      <c r="BH66" s="129">
        <v>0.83299999999999996</v>
      </c>
      <c r="BI66" s="129" t="s">
        <v>160</v>
      </c>
      <c r="BJ66" s="138" t="s">
        <v>160</v>
      </c>
      <c r="BK66" s="129">
        <v>2.69</v>
      </c>
      <c r="BL66" s="129" t="s">
        <v>160</v>
      </c>
      <c r="BM66" s="129" t="s">
        <v>160</v>
      </c>
      <c r="BN66" s="129" t="s">
        <v>200</v>
      </c>
      <c r="BO66" s="129" t="s">
        <v>201</v>
      </c>
      <c r="BP66" s="151">
        <v>15.685092534044385</v>
      </c>
      <c r="BQ66" s="129" t="s">
        <v>202</v>
      </c>
      <c r="BR66" s="217"/>
      <c r="BS66" s="129" t="s">
        <v>160</v>
      </c>
      <c r="BT66" s="129" t="s">
        <v>160</v>
      </c>
      <c r="BU66" s="129">
        <v>10</v>
      </c>
      <c r="BV66" s="129" t="s">
        <v>159</v>
      </c>
      <c r="BW66" s="129">
        <v>10</v>
      </c>
      <c r="BX66" s="145">
        <v>28.773193197694408</v>
      </c>
      <c r="BY66" s="129" t="s">
        <v>159</v>
      </c>
      <c r="BZ66" s="129">
        <v>1</v>
      </c>
      <c r="CA66" s="129">
        <v>1</v>
      </c>
      <c r="CB66" s="129" t="s">
        <v>160</v>
      </c>
      <c r="CC66" s="151">
        <v>4.2867305564611851</v>
      </c>
      <c r="CD66" s="129" t="s">
        <v>163</v>
      </c>
      <c r="CE66" s="144">
        <f t="shared" si="10"/>
        <v>0.115741725024452</v>
      </c>
      <c r="CF66" s="144">
        <f t="shared" si="11"/>
        <v>0.115741725024452</v>
      </c>
      <c r="CG66" s="145" t="s">
        <v>203</v>
      </c>
      <c r="CH66" s="129" t="s">
        <v>204</v>
      </c>
      <c r="CI66" s="129" t="s">
        <v>205</v>
      </c>
      <c r="CJ66" s="129" t="s">
        <v>206</v>
      </c>
      <c r="CK66" s="129" t="s">
        <v>158</v>
      </c>
      <c r="CL66" s="129" t="s">
        <v>158</v>
      </c>
      <c r="CM66" s="129" t="s">
        <v>158</v>
      </c>
      <c r="CN66" s="129" t="s">
        <v>160</v>
      </c>
      <c r="CO66" s="129" t="s">
        <v>160</v>
      </c>
      <c r="CP66" s="129" t="s">
        <v>160</v>
      </c>
      <c r="CQ66" s="129" t="s">
        <v>160</v>
      </c>
      <c r="CR66" s="129" t="s">
        <v>160</v>
      </c>
      <c r="CS66" s="129" t="s">
        <v>160</v>
      </c>
      <c r="CT66" s="129" t="s">
        <v>160</v>
      </c>
      <c r="CU66" s="129">
        <v>35</v>
      </c>
      <c r="CV66" s="129" t="s">
        <v>159</v>
      </c>
      <c r="CW66" s="146">
        <v>1</v>
      </c>
      <c r="CX66" s="129" t="s">
        <v>207</v>
      </c>
      <c r="CY66" s="129">
        <v>1.3332919317099999E-2</v>
      </c>
      <c r="CZ66" s="129" t="s">
        <v>159</v>
      </c>
      <c r="DA66" s="146">
        <v>2.5000000000000001E-3</v>
      </c>
      <c r="DB66" s="129" t="s">
        <v>208</v>
      </c>
      <c r="DC66" s="129">
        <v>4.6193926644900005E-2</v>
      </c>
      <c r="DD66" s="129" t="s">
        <v>159</v>
      </c>
      <c r="DE66" s="146">
        <v>2.5000000000000001E-3</v>
      </c>
      <c r="DF66" s="129" t="s">
        <v>209</v>
      </c>
      <c r="DG66" s="129" t="s">
        <v>160</v>
      </c>
      <c r="DH66" s="129" t="s">
        <v>160</v>
      </c>
      <c r="DI66" s="129" t="s">
        <v>160</v>
      </c>
      <c r="DJ66" s="129" t="s">
        <v>160</v>
      </c>
      <c r="DK66" s="145">
        <v>424.29</v>
      </c>
      <c r="DL66" s="129" t="s">
        <v>159</v>
      </c>
      <c r="DM66" s="145" t="s">
        <v>160</v>
      </c>
      <c r="DN66" s="129" t="s">
        <v>210</v>
      </c>
      <c r="DO66" s="129">
        <v>37.88205</v>
      </c>
      <c r="DP66" s="129" t="s">
        <v>160</v>
      </c>
      <c r="DQ66" s="129">
        <v>0.67271500000000017</v>
      </c>
      <c r="DR66" s="129" t="s">
        <v>211</v>
      </c>
      <c r="DS66" s="129" t="s">
        <v>212</v>
      </c>
      <c r="DT66" s="129" t="s">
        <v>213</v>
      </c>
      <c r="DU66" s="129">
        <v>1.0271999999999999</v>
      </c>
      <c r="DV66" s="129" t="s">
        <v>214</v>
      </c>
      <c r="DW66" s="129" t="s">
        <v>214</v>
      </c>
      <c r="DX66" s="129" t="s">
        <v>215</v>
      </c>
      <c r="DY66" s="129" t="s">
        <v>160</v>
      </c>
      <c r="DZ66" s="129" t="s">
        <v>164</v>
      </c>
      <c r="EA66" s="129" t="s">
        <v>216</v>
      </c>
      <c r="EB66" s="129" t="s">
        <v>212</v>
      </c>
      <c r="EC66" s="129" t="s">
        <v>212</v>
      </c>
      <c r="ED66" s="129" t="s">
        <v>212</v>
      </c>
      <c r="EE66" s="129" t="s">
        <v>217</v>
      </c>
      <c r="EF66" s="147" t="s">
        <v>213</v>
      </c>
      <c r="EG66" s="148" t="s">
        <v>213</v>
      </c>
      <c r="EH66" s="129" t="s">
        <v>218</v>
      </c>
      <c r="EI66" s="129" t="s">
        <v>219</v>
      </c>
      <c r="EJ66" s="129" t="s">
        <v>160</v>
      </c>
      <c r="EK66" s="129">
        <v>1588.923</v>
      </c>
      <c r="EL66" s="129" t="s">
        <v>163</v>
      </c>
      <c r="EM66" s="150">
        <v>500</v>
      </c>
      <c r="EN66" s="150">
        <v>500</v>
      </c>
      <c r="EO66" s="129" t="s">
        <v>160</v>
      </c>
      <c r="EP66" s="129" t="s">
        <v>160</v>
      </c>
      <c r="EQ66" s="129" t="s">
        <v>160</v>
      </c>
      <c r="ER66" s="129" t="s">
        <v>160</v>
      </c>
      <c r="ES66" s="129">
        <v>7.8867760000000002</v>
      </c>
      <c r="ET66" s="142" t="s">
        <v>165</v>
      </c>
      <c r="EU66" s="129">
        <v>0.11758899999999972</v>
      </c>
      <c r="EV66" s="129">
        <v>0.14281400000000044</v>
      </c>
      <c r="EW66" s="142" t="s">
        <v>160</v>
      </c>
      <c r="EX66" s="129" t="s">
        <v>160</v>
      </c>
      <c r="EY66" s="129" t="s">
        <v>160</v>
      </c>
      <c r="EZ66" s="191">
        <v>483.59030000000001</v>
      </c>
      <c r="FA66" s="191">
        <v>240.48629999999997</v>
      </c>
      <c r="FB66" s="191">
        <v>157.33460000000002</v>
      </c>
      <c r="FC66" s="129" t="s">
        <v>220</v>
      </c>
      <c r="FD66" s="129" t="s">
        <v>221</v>
      </c>
      <c r="FE66" s="191">
        <v>1722.2570000000001</v>
      </c>
      <c r="FF66" s="191">
        <v>400.24000000000024</v>
      </c>
      <c r="FG66" s="191">
        <v>398.18300000000022</v>
      </c>
      <c r="FH66" s="129" t="s">
        <v>160</v>
      </c>
      <c r="FI66" s="129" t="s">
        <v>160</v>
      </c>
      <c r="FJ66" s="129" t="s">
        <v>160</v>
      </c>
      <c r="FK66" s="129" t="s">
        <v>160</v>
      </c>
      <c r="FL66" s="129" t="s">
        <v>160</v>
      </c>
      <c r="FM66" s="129" t="s">
        <v>160</v>
      </c>
      <c r="FN66" s="151">
        <v>2.9789850000000002</v>
      </c>
      <c r="FO66" s="151">
        <v>1.8317329999999994</v>
      </c>
      <c r="FP66" s="151">
        <v>1.3216410000000003</v>
      </c>
      <c r="FQ66" s="129" t="s">
        <v>414</v>
      </c>
      <c r="FR66" s="166" t="s">
        <v>348</v>
      </c>
      <c r="FS66" s="166">
        <v>2014</v>
      </c>
      <c r="FT66" s="166" t="s">
        <v>349</v>
      </c>
    </row>
    <row r="67" spans="1:176" s="129" customFormat="1" ht="17">
      <c r="A67" s="166" t="s">
        <v>152</v>
      </c>
      <c r="B67" s="166" t="s">
        <v>183</v>
      </c>
      <c r="C67" s="166">
        <v>2018</v>
      </c>
      <c r="D67" s="166" t="s">
        <v>184</v>
      </c>
      <c r="E67" s="195">
        <v>15934.877999999999</v>
      </c>
      <c r="F67" s="166" t="s">
        <v>160</v>
      </c>
      <c r="G67" s="166" t="s">
        <v>160</v>
      </c>
      <c r="H67" s="190">
        <v>787.40959999999995</v>
      </c>
      <c r="I67" s="191">
        <v>507.97340000000008</v>
      </c>
      <c r="J67" s="191">
        <v>275.95129999999995</v>
      </c>
      <c r="K67" s="129" t="s">
        <v>457</v>
      </c>
      <c r="L67" s="131" t="s">
        <v>185</v>
      </c>
      <c r="M67" s="132" t="s">
        <v>186</v>
      </c>
      <c r="N67" s="129" t="s">
        <v>184</v>
      </c>
      <c r="O67" s="129">
        <v>761</v>
      </c>
      <c r="P67" s="129" t="s">
        <v>235</v>
      </c>
      <c r="Q67" s="178">
        <v>6</v>
      </c>
      <c r="R67" s="178">
        <v>4</v>
      </c>
      <c r="S67" s="191">
        <v>46</v>
      </c>
      <c r="T67" s="129">
        <v>48</v>
      </c>
      <c r="U67" s="129" t="s">
        <v>160</v>
      </c>
      <c r="V67" s="141">
        <v>48.06</v>
      </c>
      <c r="W67" s="196" t="s">
        <v>350</v>
      </c>
      <c r="X67" s="129" t="s">
        <v>351</v>
      </c>
      <c r="Y67" s="196">
        <v>-16.739722220000001</v>
      </c>
      <c r="Z67" s="197">
        <v>115.53611110999999</v>
      </c>
      <c r="AA67" s="129" t="s">
        <v>160</v>
      </c>
      <c r="AB67" s="129" t="s">
        <v>160</v>
      </c>
      <c r="AC67" s="129">
        <v>-2179</v>
      </c>
      <c r="AD67" s="129" t="s">
        <v>160</v>
      </c>
      <c r="AE67" s="129" t="s">
        <v>160</v>
      </c>
      <c r="AF67" s="129" t="s">
        <v>160</v>
      </c>
      <c r="AG67" s="151">
        <v>15934.877999999999</v>
      </c>
      <c r="AH67" s="138" t="s">
        <v>160</v>
      </c>
      <c r="AI67" s="129" t="s">
        <v>160</v>
      </c>
      <c r="AJ67" s="138" t="s">
        <v>160</v>
      </c>
      <c r="AK67" s="129" t="s">
        <v>237</v>
      </c>
      <c r="AL67" s="129" t="s">
        <v>238</v>
      </c>
      <c r="AM67" s="140" t="s">
        <v>239</v>
      </c>
      <c r="AN67" s="129" t="s">
        <v>160</v>
      </c>
      <c r="AO67" s="129" t="s">
        <v>160</v>
      </c>
      <c r="AP67" s="129" t="s">
        <v>160</v>
      </c>
      <c r="AQ67" s="129" t="s">
        <v>160</v>
      </c>
      <c r="AR67" s="129" t="s">
        <v>160</v>
      </c>
      <c r="AS67" s="129" t="s">
        <v>160</v>
      </c>
      <c r="AT67" s="129" t="s">
        <v>160</v>
      </c>
      <c r="AU67" s="129" t="s">
        <v>191</v>
      </c>
      <c r="AV67" s="129" t="s">
        <v>161</v>
      </c>
      <c r="AW67" s="129" t="s">
        <v>192</v>
      </c>
      <c r="AX67" s="129" t="s">
        <v>352</v>
      </c>
      <c r="AY67" s="129" t="s">
        <v>353</v>
      </c>
      <c r="AZ67" s="129" t="s">
        <v>354</v>
      </c>
      <c r="BA67" s="129" t="s">
        <v>196</v>
      </c>
      <c r="BB67" s="198" t="s">
        <v>364</v>
      </c>
      <c r="BC67" s="129">
        <v>2</v>
      </c>
      <c r="BD67" s="151">
        <v>0.13833222940856515</v>
      </c>
      <c r="BE67" s="151">
        <v>14.472316693507704</v>
      </c>
      <c r="BF67" s="129" t="s">
        <v>355</v>
      </c>
      <c r="BG67" s="141">
        <v>0.40554830169754796</v>
      </c>
      <c r="BH67" s="129">
        <v>0.83299999999999996</v>
      </c>
      <c r="BI67" s="129" t="s">
        <v>160</v>
      </c>
      <c r="BJ67" s="138" t="s">
        <v>160</v>
      </c>
      <c r="BK67" s="129">
        <v>2.69</v>
      </c>
      <c r="BL67" s="129" t="s">
        <v>160</v>
      </c>
      <c r="BM67" s="129" t="s">
        <v>160</v>
      </c>
      <c r="BN67" s="129" t="s">
        <v>200</v>
      </c>
      <c r="BO67" s="129" t="s">
        <v>201</v>
      </c>
      <c r="BP67" s="151">
        <v>14.144437807332178</v>
      </c>
      <c r="BQ67" s="129" t="s">
        <v>202</v>
      </c>
      <c r="BR67" s="217"/>
      <c r="BS67" s="129" t="s">
        <v>160</v>
      </c>
      <c r="BT67" s="129" t="s">
        <v>160</v>
      </c>
      <c r="BU67" s="129">
        <v>10</v>
      </c>
      <c r="BV67" s="129" t="s">
        <v>159</v>
      </c>
      <c r="BW67" s="129">
        <v>10</v>
      </c>
      <c r="BX67" s="145">
        <v>29.072374927625965</v>
      </c>
      <c r="BY67" s="129" t="s">
        <v>159</v>
      </c>
      <c r="BZ67" s="129">
        <v>1</v>
      </c>
      <c r="CA67" s="129">
        <v>1</v>
      </c>
      <c r="CB67" s="129" t="s">
        <v>160</v>
      </c>
      <c r="CC67" s="151">
        <v>4.4020819889492033</v>
      </c>
      <c r="CD67" s="129" t="s">
        <v>163</v>
      </c>
      <c r="CE67" s="144">
        <f t="shared" si="10"/>
        <v>0.11885621370162849</v>
      </c>
      <c r="CF67" s="144">
        <f t="shared" si="11"/>
        <v>0.11885621370162849</v>
      </c>
      <c r="CG67" s="145" t="s">
        <v>203</v>
      </c>
      <c r="CH67" s="129" t="s">
        <v>204</v>
      </c>
      <c r="CI67" s="129" t="s">
        <v>205</v>
      </c>
      <c r="CJ67" s="129" t="s">
        <v>206</v>
      </c>
      <c r="CK67" s="129" t="s">
        <v>158</v>
      </c>
      <c r="CL67" s="129" t="s">
        <v>158</v>
      </c>
      <c r="CM67" s="129" t="s">
        <v>158</v>
      </c>
      <c r="CN67" s="129" t="s">
        <v>160</v>
      </c>
      <c r="CO67" s="129" t="s">
        <v>160</v>
      </c>
      <c r="CP67" s="129" t="s">
        <v>160</v>
      </c>
      <c r="CQ67" s="129" t="s">
        <v>160</v>
      </c>
      <c r="CR67" s="129" t="s">
        <v>160</v>
      </c>
      <c r="CS67" s="129" t="s">
        <v>160</v>
      </c>
      <c r="CT67" s="129" t="s">
        <v>160</v>
      </c>
      <c r="CU67" s="129">
        <v>35</v>
      </c>
      <c r="CV67" s="129" t="s">
        <v>159</v>
      </c>
      <c r="CW67" s="146">
        <v>1</v>
      </c>
      <c r="CX67" s="129" t="s">
        <v>207</v>
      </c>
      <c r="CY67" s="129">
        <v>1.3339205528199999E-2</v>
      </c>
      <c r="CZ67" s="129" t="s">
        <v>159</v>
      </c>
      <c r="DA67" s="146">
        <v>2.5000000000000001E-3</v>
      </c>
      <c r="DB67" s="129" t="s">
        <v>208</v>
      </c>
      <c r="DC67" s="129">
        <v>4.6173671075800005E-2</v>
      </c>
      <c r="DD67" s="129" t="s">
        <v>159</v>
      </c>
      <c r="DE67" s="146">
        <v>2.5000000000000001E-3</v>
      </c>
      <c r="DF67" s="129" t="s">
        <v>209</v>
      </c>
      <c r="DG67" s="129" t="s">
        <v>160</v>
      </c>
      <c r="DH67" s="129" t="s">
        <v>160</v>
      </c>
      <c r="DI67" s="129" t="s">
        <v>160</v>
      </c>
      <c r="DJ67" s="129" t="s">
        <v>160</v>
      </c>
      <c r="DK67" s="145">
        <v>424.29</v>
      </c>
      <c r="DL67" s="129" t="s">
        <v>159</v>
      </c>
      <c r="DM67" s="145" t="s">
        <v>160</v>
      </c>
      <c r="DN67" s="129" t="s">
        <v>210</v>
      </c>
      <c r="DO67" s="129">
        <v>37.888530000000003</v>
      </c>
      <c r="DP67" s="129" t="s">
        <v>160</v>
      </c>
      <c r="DQ67" s="129">
        <v>0.66955000000000098</v>
      </c>
      <c r="DR67" s="129" t="s">
        <v>211</v>
      </c>
      <c r="DS67" s="129" t="s">
        <v>212</v>
      </c>
      <c r="DT67" s="129" t="s">
        <v>213</v>
      </c>
      <c r="DU67" s="129">
        <v>1.0271999999999999</v>
      </c>
      <c r="DV67" s="129" t="s">
        <v>214</v>
      </c>
      <c r="DW67" s="129" t="s">
        <v>214</v>
      </c>
      <c r="DX67" s="129" t="s">
        <v>215</v>
      </c>
      <c r="DY67" s="129" t="s">
        <v>160</v>
      </c>
      <c r="DZ67" s="129" t="s">
        <v>164</v>
      </c>
      <c r="EA67" s="129" t="s">
        <v>216</v>
      </c>
      <c r="EB67" s="129" t="s">
        <v>212</v>
      </c>
      <c r="EC67" s="129" t="s">
        <v>212</v>
      </c>
      <c r="ED67" s="129" t="s">
        <v>212</v>
      </c>
      <c r="EE67" s="129" t="s">
        <v>217</v>
      </c>
      <c r="EF67" s="147" t="s">
        <v>213</v>
      </c>
      <c r="EG67" s="148" t="s">
        <v>213</v>
      </c>
      <c r="EH67" s="129" t="s">
        <v>218</v>
      </c>
      <c r="EI67" s="129" t="s">
        <v>219</v>
      </c>
      <c r="EJ67" s="129" t="s">
        <v>160</v>
      </c>
      <c r="EK67" s="129">
        <v>1587.9959999999999</v>
      </c>
      <c r="EL67" s="129" t="s">
        <v>163</v>
      </c>
      <c r="EM67" s="150">
        <v>500</v>
      </c>
      <c r="EN67" s="150">
        <v>500</v>
      </c>
      <c r="EO67" s="129" t="s">
        <v>160</v>
      </c>
      <c r="EP67" s="129" t="s">
        <v>160</v>
      </c>
      <c r="EQ67" s="129" t="s">
        <v>160</v>
      </c>
      <c r="ER67" s="129" t="s">
        <v>160</v>
      </c>
      <c r="ES67" s="129">
        <v>7.6815879999999996</v>
      </c>
      <c r="ET67" s="142" t="s">
        <v>165</v>
      </c>
      <c r="EU67" s="129">
        <v>0.13995400000000036</v>
      </c>
      <c r="EV67" s="129">
        <v>0.19139399999999984</v>
      </c>
      <c r="EW67" s="142" t="s">
        <v>160</v>
      </c>
      <c r="EX67" s="129" t="s">
        <v>160</v>
      </c>
      <c r="EY67" s="129" t="s">
        <v>160</v>
      </c>
      <c r="EZ67" s="191">
        <v>787.40959999999995</v>
      </c>
      <c r="FA67" s="191">
        <v>507.97340000000008</v>
      </c>
      <c r="FB67" s="191">
        <v>275.95129999999995</v>
      </c>
      <c r="FC67" s="129" t="s">
        <v>220</v>
      </c>
      <c r="FD67" s="129" t="s">
        <v>221</v>
      </c>
      <c r="FE67" s="191">
        <v>1662.4940000000001</v>
      </c>
      <c r="FF67" s="191">
        <v>387.86999999999989</v>
      </c>
      <c r="FG67" s="191">
        <v>378.11200000000031</v>
      </c>
      <c r="FH67" s="129" t="s">
        <v>160</v>
      </c>
      <c r="FI67" s="129" t="s">
        <v>160</v>
      </c>
      <c r="FJ67" s="129" t="s">
        <v>160</v>
      </c>
      <c r="FK67" s="129" t="s">
        <v>160</v>
      </c>
      <c r="FL67" s="129" t="s">
        <v>160</v>
      </c>
      <c r="FM67" s="129" t="s">
        <v>160</v>
      </c>
      <c r="FN67" s="151">
        <v>1.8920600000000001</v>
      </c>
      <c r="FO67" s="151">
        <v>1.3007259999999998</v>
      </c>
      <c r="FP67" s="151">
        <v>0.91816540000000002</v>
      </c>
      <c r="FQ67" s="129" t="s">
        <v>414</v>
      </c>
      <c r="FR67" s="166" t="s">
        <v>348</v>
      </c>
      <c r="FS67" s="166">
        <v>2014</v>
      </c>
      <c r="FT67" s="166" t="s">
        <v>349</v>
      </c>
    </row>
    <row r="68" spans="1:176" s="129" customFormat="1" ht="17">
      <c r="A68" s="166" t="s">
        <v>152</v>
      </c>
      <c r="B68" s="166" t="s">
        <v>183</v>
      </c>
      <c r="C68" s="166">
        <v>2018</v>
      </c>
      <c r="D68" s="166" t="s">
        <v>184</v>
      </c>
      <c r="E68" s="195">
        <v>15968.634</v>
      </c>
      <c r="F68" s="166" t="s">
        <v>160</v>
      </c>
      <c r="G68" s="166" t="s">
        <v>160</v>
      </c>
      <c r="H68" s="190">
        <v>665.00120000000004</v>
      </c>
      <c r="I68" s="191">
        <v>355.80880000000002</v>
      </c>
      <c r="J68" s="191">
        <v>226.12680000000006</v>
      </c>
      <c r="K68" s="129" t="s">
        <v>457</v>
      </c>
      <c r="L68" s="131" t="s">
        <v>185</v>
      </c>
      <c r="M68" s="132" t="s">
        <v>186</v>
      </c>
      <c r="N68" s="129" t="s">
        <v>184</v>
      </c>
      <c r="O68" s="129">
        <v>761</v>
      </c>
      <c r="P68" s="129" t="s">
        <v>235</v>
      </c>
      <c r="Q68" s="178">
        <v>6</v>
      </c>
      <c r="R68" s="178">
        <v>4</v>
      </c>
      <c r="S68" s="191">
        <v>58</v>
      </c>
      <c r="T68" s="129">
        <v>60</v>
      </c>
      <c r="U68" s="129" t="s">
        <v>160</v>
      </c>
      <c r="V68" s="141">
        <v>48.18</v>
      </c>
      <c r="W68" s="196" t="s">
        <v>350</v>
      </c>
      <c r="X68" s="129" t="s">
        <v>351</v>
      </c>
      <c r="Y68" s="196">
        <v>-16.739722220000001</v>
      </c>
      <c r="Z68" s="197">
        <v>115.53611110999999</v>
      </c>
      <c r="AA68" s="129" t="s">
        <v>160</v>
      </c>
      <c r="AB68" s="129" t="s">
        <v>160</v>
      </c>
      <c r="AC68" s="129">
        <v>-2179</v>
      </c>
      <c r="AD68" s="129" t="s">
        <v>160</v>
      </c>
      <c r="AE68" s="129" t="s">
        <v>160</v>
      </c>
      <c r="AF68" s="129" t="s">
        <v>160</v>
      </c>
      <c r="AG68" s="151">
        <v>15968.634</v>
      </c>
      <c r="AH68" s="138" t="s">
        <v>160</v>
      </c>
      <c r="AI68" s="129" t="s">
        <v>160</v>
      </c>
      <c r="AJ68" s="138" t="s">
        <v>160</v>
      </c>
      <c r="AK68" s="129" t="s">
        <v>237</v>
      </c>
      <c r="AL68" s="129" t="s">
        <v>238</v>
      </c>
      <c r="AM68" s="140" t="s">
        <v>239</v>
      </c>
      <c r="AN68" s="129" t="s">
        <v>160</v>
      </c>
      <c r="AO68" s="129" t="s">
        <v>160</v>
      </c>
      <c r="AP68" s="129" t="s">
        <v>160</v>
      </c>
      <c r="AQ68" s="129" t="s">
        <v>160</v>
      </c>
      <c r="AR68" s="129" t="s">
        <v>160</v>
      </c>
      <c r="AS68" s="129" t="s">
        <v>160</v>
      </c>
      <c r="AT68" s="129" t="s">
        <v>160</v>
      </c>
      <c r="AU68" s="129" t="s">
        <v>191</v>
      </c>
      <c r="AV68" s="129" t="s">
        <v>161</v>
      </c>
      <c r="AW68" s="129" t="s">
        <v>192</v>
      </c>
      <c r="AX68" s="129" t="s">
        <v>352</v>
      </c>
      <c r="AY68" s="129" t="s">
        <v>353</v>
      </c>
      <c r="AZ68" s="129" t="s">
        <v>354</v>
      </c>
      <c r="BA68" s="129" t="s">
        <v>196</v>
      </c>
      <c r="BB68" s="198" t="s">
        <v>365</v>
      </c>
      <c r="BC68" s="129">
        <v>2</v>
      </c>
      <c r="BD68" s="151">
        <v>2.4435114138476871E-4</v>
      </c>
      <c r="BE68" s="151">
        <v>14.927951077118507</v>
      </c>
      <c r="BF68" s="129" t="s">
        <v>355</v>
      </c>
      <c r="BG68" s="141">
        <v>0.41334922034358074</v>
      </c>
      <c r="BH68" s="129">
        <v>0.83299999999999996</v>
      </c>
      <c r="BI68" s="129" t="s">
        <v>160</v>
      </c>
      <c r="BJ68" s="138" t="s">
        <v>160</v>
      </c>
      <c r="BK68" s="129">
        <v>2.69</v>
      </c>
      <c r="BL68" s="129" t="s">
        <v>160</v>
      </c>
      <c r="BM68" s="129" t="s">
        <v>160</v>
      </c>
      <c r="BN68" s="129" t="s">
        <v>200</v>
      </c>
      <c r="BO68" s="129" t="s">
        <v>201</v>
      </c>
      <c r="BP68" s="151">
        <v>14.691417859686084</v>
      </c>
      <c r="BQ68" s="129" t="s">
        <v>202</v>
      </c>
      <c r="BR68" s="217"/>
      <c r="BS68" s="129" t="s">
        <v>160</v>
      </c>
      <c r="BT68" s="129" t="s">
        <v>160</v>
      </c>
      <c r="BU68" s="129">
        <v>10</v>
      </c>
      <c r="BV68" s="129" t="s">
        <v>159</v>
      </c>
      <c r="BW68" s="129">
        <v>10</v>
      </c>
      <c r="BX68" s="145">
        <v>29.47684014606163</v>
      </c>
      <c r="BY68" s="129" t="s">
        <v>159</v>
      </c>
      <c r="BZ68" s="129">
        <v>1</v>
      </c>
      <c r="CA68" s="129">
        <v>1</v>
      </c>
      <c r="CB68" s="129" t="s">
        <v>160</v>
      </c>
      <c r="CC68" s="151">
        <v>4.56370642396341</v>
      </c>
      <c r="CD68" s="129" t="s">
        <v>163</v>
      </c>
      <c r="CE68" s="144">
        <f t="shared" si="10"/>
        <v>0.12322007344701207</v>
      </c>
      <c r="CF68" s="144">
        <f t="shared" si="11"/>
        <v>0.12322007344701207</v>
      </c>
      <c r="CG68" s="145" t="s">
        <v>203</v>
      </c>
      <c r="CH68" s="129" t="s">
        <v>204</v>
      </c>
      <c r="CI68" s="129" t="s">
        <v>205</v>
      </c>
      <c r="CJ68" s="129" t="s">
        <v>206</v>
      </c>
      <c r="CK68" s="129" t="s">
        <v>158</v>
      </c>
      <c r="CL68" s="129" t="s">
        <v>158</v>
      </c>
      <c r="CM68" s="129" t="s">
        <v>158</v>
      </c>
      <c r="CN68" s="129" t="s">
        <v>160</v>
      </c>
      <c r="CO68" s="129" t="s">
        <v>160</v>
      </c>
      <c r="CP68" s="129" t="s">
        <v>160</v>
      </c>
      <c r="CQ68" s="129" t="s">
        <v>160</v>
      </c>
      <c r="CR68" s="129" t="s">
        <v>160</v>
      </c>
      <c r="CS68" s="129" t="s">
        <v>160</v>
      </c>
      <c r="CT68" s="129" t="s">
        <v>160</v>
      </c>
      <c r="CU68" s="129">
        <v>35</v>
      </c>
      <c r="CV68" s="129" t="s">
        <v>159</v>
      </c>
      <c r="CW68" s="146">
        <v>1</v>
      </c>
      <c r="CX68" s="129" t="s">
        <v>207</v>
      </c>
      <c r="CY68" s="129">
        <v>1.3345008184599999E-2</v>
      </c>
      <c r="CZ68" s="129" t="s">
        <v>159</v>
      </c>
      <c r="DA68" s="146">
        <v>2.5000000000000001E-3</v>
      </c>
      <c r="DB68" s="129" t="s">
        <v>208</v>
      </c>
      <c r="DC68" s="129">
        <v>4.6154973627399995E-2</v>
      </c>
      <c r="DD68" s="129" t="s">
        <v>159</v>
      </c>
      <c r="DE68" s="146">
        <v>2.5000000000000001E-3</v>
      </c>
      <c r="DF68" s="129" t="s">
        <v>209</v>
      </c>
      <c r="DG68" s="129" t="s">
        <v>160</v>
      </c>
      <c r="DH68" s="129" t="s">
        <v>160</v>
      </c>
      <c r="DI68" s="129" t="s">
        <v>160</v>
      </c>
      <c r="DJ68" s="129" t="s">
        <v>160</v>
      </c>
      <c r="DK68" s="145">
        <v>424.29</v>
      </c>
      <c r="DL68" s="129" t="s">
        <v>159</v>
      </c>
      <c r="DM68" s="145" t="s">
        <v>160</v>
      </c>
      <c r="DN68" s="129" t="s">
        <v>210</v>
      </c>
      <c r="DO68" s="129">
        <v>37.888910000000003</v>
      </c>
      <c r="DP68" s="129" t="s">
        <v>160</v>
      </c>
      <c r="DQ68" s="129">
        <v>0.66855500000000134</v>
      </c>
      <c r="DR68" s="129" t="s">
        <v>211</v>
      </c>
      <c r="DS68" s="129" t="s">
        <v>212</v>
      </c>
      <c r="DT68" s="129" t="s">
        <v>213</v>
      </c>
      <c r="DU68" s="129">
        <v>1.0271999999999999</v>
      </c>
      <c r="DV68" s="129" t="s">
        <v>214</v>
      </c>
      <c r="DW68" s="129" t="s">
        <v>214</v>
      </c>
      <c r="DX68" s="129" t="s">
        <v>215</v>
      </c>
      <c r="DY68" s="129" t="s">
        <v>160</v>
      </c>
      <c r="DZ68" s="129" t="s">
        <v>164</v>
      </c>
      <c r="EA68" s="129" t="s">
        <v>216</v>
      </c>
      <c r="EB68" s="129" t="s">
        <v>212</v>
      </c>
      <c r="EC68" s="129" t="s">
        <v>212</v>
      </c>
      <c r="ED68" s="129" t="s">
        <v>212</v>
      </c>
      <c r="EE68" s="129" t="s">
        <v>217</v>
      </c>
      <c r="EF68" s="147" t="s">
        <v>213</v>
      </c>
      <c r="EG68" s="148" t="s">
        <v>213</v>
      </c>
      <c r="EH68" s="129" t="s">
        <v>218</v>
      </c>
      <c r="EI68" s="129" t="s">
        <v>219</v>
      </c>
      <c r="EJ68" s="129" t="s">
        <v>160</v>
      </c>
      <c r="EK68" s="129">
        <v>1591.998</v>
      </c>
      <c r="EL68" s="129" t="s">
        <v>163</v>
      </c>
      <c r="EM68" s="150">
        <v>500</v>
      </c>
      <c r="EN68" s="150">
        <v>500</v>
      </c>
      <c r="EO68" s="129" t="s">
        <v>160</v>
      </c>
      <c r="EP68" s="129" t="s">
        <v>160</v>
      </c>
      <c r="EQ68" s="129" t="s">
        <v>160</v>
      </c>
      <c r="ER68" s="129" t="s">
        <v>160</v>
      </c>
      <c r="ES68" s="129">
        <v>7.7544300000000002</v>
      </c>
      <c r="ET68" s="142" t="s">
        <v>165</v>
      </c>
      <c r="EU68" s="129">
        <v>0.12795099999999948</v>
      </c>
      <c r="EV68" s="129">
        <v>0.15849299999999999</v>
      </c>
      <c r="EW68" s="142" t="s">
        <v>160</v>
      </c>
      <c r="EX68" s="129" t="s">
        <v>160</v>
      </c>
      <c r="EY68" s="129" t="s">
        <v>160</v>
      </c>
      <c r="EZ68" s="191">
        <v>665.00120000000004</v>
      </c>
      <c r="FA68" s="191">
        <v>355.80880000000002</v>
      </c>
      <c r="FB68" s="191">
        <v>226.12680000000006</v>
      </c>
      <c r="FC68" s="129" t="s">
        <v>220</v>
      </c>
      <c r="FD68" s="129" t="s">
        <v>221</v>
      </c>
      <c r="FE68" s="191">
        <v>1686.299</v>
      </c>
      <c r="FF68" s="191">
        <v>388.35199999999986</v>
      </c>
      <c r="FG68" s="191">
        <v>389.00099999999998</v>
      </c>
      <c r="FH68" s="129" t="s">
        <v>160</v>
      </c>
      <c r="FI68" s="129" t="s">
        <v>160</v>
      </c>
      <c r="FJ68" s="129" t="s">
        <v>160</v>
      </c>
      <c r="FK68" s="129" t="s">
        <v>160</v>
      </c>
      <c r="FL68" s="129" t="s">
        <v>160</v>
      </c>
      <c r="FM68" s="129" t="s">
        <v>160</v>
      </c>
      <c r="FN68" s="151">
        <v>2.2709109999999999</v>
      </c>
      <c r="FO68" s="151">
        <v>1.5210810000000001</v>
      </c>
      <c r="FP68" s="151">
        <v>1.0296479999999999</v>
      </c>
      <c r="FQ68" s="129" t="s">
        <v>414</v>
      </c>
      <c r="FR68" s="166" t="s">
        <v>348</v>
      </c>
      <c r="FS68" s="166">
        <v>2014</v>
      </c>
      <c r="FT68" s="166" t="s">
        <v>349</v>
      </c>
    </row>
    <row r="69" spans="1:176" s="129" customFormat="1" ht="17">
      <c r="A69" s="166" t="s">
        <v>152</v>
      </c>
      <c r="B69" s="166" t="s">
        <v>183</v>
      </c>
      <c r="C69" s="166">
        <v>2018</v>
      </c>
      <c r="D69" s="166" t="s">
        <v>184</v>
      </c>
      <c r="E69" s="195">
        <v>16011.514000000001</v>
      </c>
      <c r="F69" s="166" t="s">
        <v>160</v>
      </c>
      <c r="G69" s="166" t="s">
        <v>160</v>
      </c>
      <c r="H69" s="190">
        <v>442.58929999999998</v>
      </c>
      <c r="I69" s="191">
        <v>180.7124</v>
      </c>
      <c r="J69" s="191">
        <v>136.37049999999999</v>
      </c>
      <c r="K69" s="129" t="s">
        <v>457</v>
      </c>
      <c r="L69" s="131" t="s">
        <v>185</v>
      </c>
      <c r="M69" s="132" t="s">
        <v>186</v>
      </c>
      <c r="N69" s="129" t="s">
        <v>184</v>
      </c>
      <c r="O69" s="129">
        <v>761</v>
      </c>
      <c r="P69" s="129" t="s">
        <v>235</v>
      </c>
      <c r="Q69" s="178">
        <v>6</v>
      </c>
      <c r="R69" s="178">
        <v>4</v>
      </c>
      <c r="S69" s="191">
        <v>78</v>
      </c>
      <c r="T69" s="129">
        <v>80</v>
      </c>
      <c r="U69" s="129" t="s">
        <v>160</v>
      </c>
      <c r="V69" s="141">
        <v>48.38</v>
      </c>
      <c r="W69" s="196" t="s">
        <v>350</v>
      </c>
      <c r="X69" s="129" t="s">
        <v>351</v>
      </c>
      <c r="Y69" s="196">
        <v>-16.739722220000001</v>
      </c>
      <c r="Z69" s="197">
        <v>115.53611110999999</v>
      </c>
      <c r="AA69" s="129" t="s">
        <v>160</v>
      </c>
      <c r="AB69" s="129" t="s">
        <v>160</v>
      </c>
      <c r="AC69" s="129">
        <v>-2179</v>
      </c>
      <c r="AD69" s="129" t="s">
        <v>160</v>
      </c>
      <c r="AE69" s="129" t="s">
        <v>160</v>
      </c>
      <c r="AF69" s="129" t="s">
        <v>160</v>
      </c>
      <c r="AG69" s="151">
        <v>16011.514000000001</v>
      </c>
      <c r="AH69" s="138" t="s">
        <v>160</v>
      </c>
      <c r="AI69" s="129" t="s">
        <v>160</v>
      </c>
      <c r="AJ69" s="138" t="s">
        <v>160</v>
      </c>
      <c r="AK69" s="129" t="s">
        <v>237</v>
      </c>
      <c r="AL69" s="129" t="s">
        <v>238</v>
      </c>
      <c r="AM69" s="140" t="s">
        <v>239</v>
      </c>
      <c r="AN69" s="129" t="s">
        <v>160</v>
      </c>
      <c r="AO69" s="129" t="s">
        <v>160</v>
      </c>
      <c r="AP69" s="129" t="s">
        <v>160</v>
      </c>
      <c r="AQ69" s="129" t="s">
        <v>160</v>
      </c>
      <c r="AR69" s="129" t="s">
        <v>160</v>
      </c>
      <c r="AS69" s="129" t="s">
        <v>160</v>
      </c>
      <c r="AT69" s="129" t="s">
        <v>160</v>
      </c>
      <c r="AU69" s="129" t="s">
        <v>191</v>
      </c>
      <c r="AV69" s="129" t="s">
        <v>161</v>
      </c>
      <c r="AW69" s="129" t="s">
        <v>192</v>
      </c>
      <c r="AX69" s="129" t="s">
        <v>352</v>
      </c>
      <c r="AY69" s="129" t="s">
        <v>353</v>
      </c>
      <c r="AZ69" s="129" t="s">
        <v>354</v>
      </c>
      <c r="BA69" s="129" t="s">
        <v>196</v>
      </c>
      <c r="BB69" s="198" t="s">
        <v>366</v>
      </c>
      <c r="BC69" s="129">
        <v>2</v>
      </c>
      <c r="BD69" s="151">
        <v>0.22420161110005662</v>
      </c>
      <c r="BE69" s="151">
        <v>16.154889737810951</v>
      </c>
      <c r="BF69" s="129" t="s">
        <v>355</v>
      </c>
      <c r="BG69" s="141">
        <v>0.33450907723275547</v>
      </c>
      <c r="BH69" s="129">
        <v>0.83299999999999996</v>
      </c>
      <c r="BI69" s="129" t="s">
        <v>160</v>
      </c>
      <c r="BJ69" s="138" t="s">
        <v>160</v>
      </c>
      <c r="BK69" s="129">
        <v>2.69</v>
      </c>
      <c r="BL69" s="129" t="s">
        <v>160</v>
      </c>
      <c r="BM69" s="129" t="s">
        <v>160</v>
      </c>
      <c r="BN69" s="129" t="s">
        <v>200</v>
      </c>
      <c r="BO69" s="129" t="s">
        <v>201</v>
      </c>
      <c r="BP69" s="151">
        <v>16.16433341874064</v>
      </c>
      <c r="BQ69" s="129" t="s">
        <v>202</v>
      </c>
      <c r="BR69" s="217"/>
      <c r="BS69" s="129" t="s">
        <v>160</v>
      </c>
      <c r="BT69" s="129" t="s">
        <v>160</v>
      </c>
      <c r="BU69" s="129">
        <v>10</v>
      </c>
      <c r="BV69" s="129" t="s">
        <v>159</v>
      </c>
      <c r="BW69" s="129">
        <v>10</v>
      </c>
      <c r="BX69" s="145">
        <v>29.840809414860885</v>
      </c>
      <c r="BY69" s="129" t="s">
        <v>159</v>
      </c>
      <c r="BZ69" s="129">
        <v>1</v>
      </c>
      <c r="CA69" s="129">
        <v>1</v>
      </c>
      <c r="CB69" s="129" t="s">
        <v>160</v>
      </c>
      <c r="CC69" s="151">
        <v>4.7136139222946722</v>
      </c>
      <c r="CD69" s="129" t="s">
        <v>163</v>
      </c>
      <c r="CE69" s="144">
        <f t="shared" si="10"/>
        <v>0.12726757590195614</v>
      </c>
      <c r="CF69" s="144">
        <f t="shared" si="11"/>
        <v>0.12726757590195614</v>
      </c>
      <c r="CG69" s="145" t="s">
        <v>203</v>
      </c>
      <c r="CH69" s="129" t="s">
        <v>204</v>
      </c>
      <c r="CI69" s="129" t="s">
        <v>205</v>
      </c>
      <c r="CJ69" s="129" t="s">
        <v>206</v>
      </c>
      <c r="CK69" s="129" t="s">
        <v>158</v>
      </c>
      <c r="CL69" s="129" t="s">
        <v>158</v>
      </c>
      <c r="CM69" s="129" t="s">
        <v>158</v>
      </c>
      <c r="CN69" s="129" t="s">
        <v>160</v>
      </c>
      <c r="CO69" s="129" t="s">
        <v>160</v>
      </c>
      <c r="CP69" s="129" t="s">
        <v>160</v>
      </c>
      <c r="CQ69" s="129" t="s">
        <v>160</v>
      </c>
      <c r="CR69" s="129" t="s">
        <v>160</v>
      </c>
      <c r="CS69" s="129" t="s">
        <v>160</v>
      </c>
      <c r="CT69" s="129" t="s">
        <v>160</v>
      </c>
      <c r="CU69" s="129">
        <v>35</v>
      </c>
      <c r="CV69" s="129" t="s">
        <v>159</v>
      </c>
      <c r="CW69" s="146">
        <v>1</v>
      </c>
      <c r="CX69" s="129" t="s">
        <v>207</v>
      </c>
      <c r="CY69" s="129">
        <v>1.3352379256599999E-2</v>
      </c>
      <c r="CZ69" s="129" t="s">
        <v>159</v>
      </c>
      <c r="DA69" s="146">
        <v>2.5000000000000001E-3</v>
      </c>
      <c r="DB69" s="129" t="s">
        <v>208</v>
      </c>
      <c r="DC69" s="129">
        <v>4.6131222395400004E-2</v>
      </c>
      <c r="DD69" s="129" t="s">
        <v>159</v>
      </c>
      <c r="DE69" s="146">
        <v>2.5000000000000001E-3</v>
      </c>
      <c r="DF69" s="129" t="s">
        <v>209</v>
      </c>
      <c r="DG69" s="129" t="s">
        <v>160</v>
      </c>
      <c r="DH69" s="129" t="s">
        <v>160</v>
      </c>
      <c r="DI69" s="129" t="s">
        <v>160</v>
      </c>
      <c r="DJ69" s="129" t="s">
        <v>160</v>
      </c>
      <c r="DK69" s="145">
        <v>424.29</v>
      </c>
      <c r="DL69" s="129" t="s">
        <v>159</v>
      </c>
      <c r="DM69" s="145" t="s">
        <v>160</v>
      </c>
      <c r="DN69" s="129" t="s">
        <v>210</v>
      </c>
      <c r="DO69" s="129">
        <v>37.886789999999998</v>
      </c>
      <c r="DP69" s="129" t="s">
        <v>160</v>
      </c>
      <c r="DQ69" s="129">
        <v>0.6771049999999974</v>
      </c>
      <c r="DR69" s="129" t="s">
        <v>211</v>
      </c>
      <c r="DS69" s="129" t="s">
        <v>212</v>
      </c>
      <c r="DT69" s="129" t="s">
        <v>213</v>
      </c>
      <c r="DU69" s="129">
        <v>1.0271999999999999</v>
      </c>
      <c r="DV69" s="129" t="s">
        <v>214</v>
      </c>
      <c r="DW69" s="129" t="s">
        <v>214</v>
      </c>
      <c r="DX69" s="129" t="s">
        <v>215</v>
      </c>
      <c r="DY69" s="129" t="s">
        <v>160</v>
      </c>
      <c r="DZ69" s="129" t="s">
        <v>164</v>
      </c>
      <c r="EA69" s="129" t="s">
        <v>216</v>
      </c>
      <c r="EB69" s="129" t="s">
        <v>212</v>
      </c>
      <c r="EC69" s="129" t="s">
        <v>212</v>
      </c>
      <c r="ED69" s="129" t="s">
        <v>212</v>
      </c>
      <c r="EE69" s="129" t="s">
        <v>217</v>
      </c>
      <c r="EF69" s="147" t="s">
        <v>213</v>
      </c>
      <c r="EG69" s="148" t="s">
        <v>213</v>
      </c>
      <c r="EH69" s="129" t="s">
        <v>218</v>
      </c>
      <c r="EI69" s="129" t="s">
        <v>219</v>
      </c>
      <c r="EJ69" s="129" t="s">
        <v>160</v>
      </c>
      <c r="EK69" s="129">
        <v>1588.9630000000002</v>
      </c>
      <c r="EL69" s="129" t="s">
        <v>163</v>
      </c>
      <c r="EM69" s="150">
        <v>500</v>
      </c>
      <c r="EN69" s="150">
        <v>500</v>
      </c>
      <c r="EO69" s="129" t="s">
        <v>160</v>
      </c>
      <c r="EP69" s="129" t="s">
        <v>160</v>
      </c>
      <c r="EQ69" s="129" t="s">
        <v>160</v>
      </c>
      <c r="ER69" s="129" t="s">
        <v>160</v>
      </c>
      <c r="ES69" s="129">
        <v>7.9261010000000001</v>
      </c>
      <c r="ET69" s="142" t="s">
        <v>165</v>
      </c>
      <c r="EU69" s="129">
        <v>0.10040899999999997</v>
      </c>
      <c r="EV69" s="129">
        <v>0.11382199999999987</v>
      </c>
      <c r="EW69" s="142" t="s">
        <v>160</v>
      </c>
      <c r="EX69" s="129" t="s">
        <v>160</v>
      </c>
      <c r="EY69" s="129" t="s">
        <v>160</v>
      </c>
      <c r="EZ69" s="191">
        <v>442.58929999999998</v>
      </c>
      <c r="FA69" s="191">
        <v>180.7124</v>
      </c>
      <c r="FB69" s="191">
        <v>136.37049999999999</v>
      </c>
      <c r="FC69" s="129" t="s">
        <v>220</v>
      </c>
      <c r="FD69" s="129" t="s">
        <v>221</v>
      </c>
      <c r="FE69" s="191">
        <v>1740.749</v>
      </c>
      <c r="FF69" s="191">
        <v>399.30500000000006</v>
      </c>
      <c r="FG69" s="191">
        <v>398.68900000000008</v>
      </c>
      <c r="FH69" s="129" t="s">
        <v>160</v>
      </c>
      <c r="FI69" s="129" t="s">
        <v>160</v>
      </c>
      <c r="FJ69" s="129" t="s">
        <v>160</v>
      </c>
      <c r="FK69" s="129" t="s">
        <v>160</v>
      </c>
      <c r="FL69" s="129" t="s">
        <v>160</v>
      </c>
      <c r="FM69" s="129" t="s">
        <v>160</v>
      </c>
      <c r="FN69" s="151">
        <v>3.3921600000000001</v>
      </c>
      <c r="FO69" s="151">
        <v>1.966415</v>
      </c>
      <c r="FP69" s="151">
        <v>1.4494230000000001</v>
      </c>
      <c r="FQ69" s="129" t="s">
        <v>414</v>
      </c>
      <c r="FR69" s="166" t="s">
        <v>348</v>
      </c>
      <c r="FS69" s="166">
        <v>2014</v>
      </c>
      <c r="FT69" s="166" t="s">
        <v>349</v>
      </c>
    </row>
    <row r="70" spans="1:176" s="129" customFormat="1" ht="17">
      <c r="A70" s="166" t="s">
        <v>152</v>
      </c>
      <c r="B70" s="166" t="s">
        <v>183</v>
      </c>
      <c r="C70" s="166">
        <v>2018</v>
      </c>
      <c r="D70" s="166" t="s">
        <v>184</v>
      </c>
      <c r="E70" s="195">
        <v>16039.079999999998</v>
      </c>
      <c r="F70" s="166" t="s">
        <v>160</v>
      </c>
      <c r="G70" s="166" t="s">
        <v>160</v>
      </c>
      <c r="H70" s="190">
        <v>449.13240000000002</v>
      </c>
      <c r="I70" s="191">
        <v>244.4862</v>
      </c>
      <c r="J70" s="191">
        <v>151.67930000000001</v>
      </c>
      <c r="K70" s="129" t="s">
        <v>457</v>
      </c>
      <c r="L70" s="131" t="s">
        <v>185</v>
      </c>
      <c r="M70" s="132" t="s">
        <v>186</v>
      </c>
      <c r="N70" s="129" t="s">
        <v>184</v>
      </c>
      <c r="O70" s="129">
        <v>761</v>
      </c>
      <c r="P70" s="129" t="s">
        <v>235</v>
      </c>
      <c r="Q70" s="178">
        <v>6</v>
      </c>
      <c r="R70" s="178">
        <v>4</v>
      </c>
      <c r="S70" s="191">
        <v>100</v>
      </c>
      <c r="T70" s="129">
        <v>102</v>
      </c>
      <c r="U70" s="129" t="s">
        <v>160</v>
      </c>
      <c r="V70" s="141">
        <v>48.6</v>
      </c>
      <c r="W70" s="196" t="s">
        <v>350</v>
      </c>
      <c r="X70" s="129" t="s">
        <v>351</v>
      </c>
      <c r="Y70" s="196">
        <v>-16.739722220000001</v>
      </c>
      <c r="Z70" s="197">
        <v>115.53611110999999</v>
      </c>
      <c r="AA70" s="129" t="s">
        <v>160</v>
      </c>
      <c r="AB70" s="129" t="s">
        <v>160</v>
      </c>
      <c r="AC70" s="129">
        <v>-2179</v>
      </c>
      <c r="AD70" s="129" t="s">
        <v>160</v>
      </c>
      <c r="AE70" s="129" t="s">
        <v>160</v>
      </c>
      <c r="AF70" s="129" t="s">
        <v>160</v>
      </c>
      <c r="AG70" s="151">
        <v>16039.079999999998</v>
      </c>
      <c r="AH70" s="138" t="s">
        <v>160</v>
      </c>
      <c r="AI70" s="129" t="s">
        <v>160</v>
      </c>
      <c r="AJ70" s="138" t="s">
        <v>160</v>
      </c>
      <c r="AK70" s="129" t="s">
        <v>237</v>
      </c>
      <c r="AL70" s="129" t="s">
        <v>238</v>
      </c>
      <c r="AM70" s="140" t="s">
        <v>239</v>
      </c>
      <c r="AN70" s="129" t="s">
        <v>160</v>
      </c>
      <c r="AO70" s="129" t="s">
        <v>160</v>
      </c>
      <c r="AP70" s="129" t="s">
        <v>160</v>
      </c>
      <c r="AQ70" s="129" t="s">
        <v>160</v>
      </c>
      <c r="AR70" s="129" t="s">
        <v>160</v>
      </c>
      <c r="AS70" s="129" t="s">
        <v>160</v>
      </c>
      <c r="AT70" s="129" t="s">
        <v>160</v>
      </c>
      <c r="AU70" s="129" t="s">
        <v>191</v>
      </c>
      <c r="AV70" s="129" t="s">
        <v>161</v>
      </c>
      <c r="AW70" s="129" t="s">
        <v>192</v>
      </c>
      <c r="AX70" s="129" t="s">
        <v>352</v>
      </c>
      <c r="AY70" s="129" t="s">
        <v>353</v>
      </c>
      <c r="AZ70" s="129" t="s">
        <v>354</v>
      </c>
      <c r="BA70" s="129" t="s">
        <v>196</v>
      </c>
      <c r="BB70" s="198" t="s">
        <v>367</v>
      </c>
      <c r="BC70" s="129">
        <v>2</v>
      </c>
      <c r="BD70" s="151">
        <v>1.0889031029011154</v>
      </c>
      <c r="BE70" s="151">
        <v>16.051879528176446</v>
      </c>
      <c r="BF70" s="129" t="s">
        <v>355</v>
      </c>
      <c r="BG70" s="141">
        <v>0.91070294847973055</v>
      </c>
      <c r="BH70" s="129">
        <v>0.83299999999999996</v>
      </c>
      <c r="BI70" s="129" t="s">
        <v>160</v>
      </c>
      <c r="BJ70" s="138" t="s">
        <v>160</v>
      </c>
      <c r="BK70" s="129">
        <v>2.69</v>
      </c>
      <c r="BL70" s="129" t="s">
        <v>160</v>
      </c>
      <c r="BM70" s="129" t="s">
        <v>160</v>
      </c>
      <c r="BN70" s="129" t="s">
        <v>200</v>
      </c>
      <c r="BO70" s="129" t="s">
        <v>201</v>
      </c>
      <c r="BP70" s="151">
        <v>16.040671702492734</v>
      </c>
      <c r="BQ70" s="129" t="s">
        <v>202</v>
      </c>
      <c r="BR70" s="217"/>
      <c r="BS70" s="129" t="s">
        <v>160</v>
      </c>
      <c r="BT70" s="129" t="s">
        <v>160</v>
      </c>
      <c r="BU70" s="129">
        <v>10</v>
      </c>
      <c r="BV70" s="129" t="s">
        <v>159</v>
      </c>
      <c r="BW70" s="129">
        <v>10</v>
      </c>
      <c r="BX70" s="145">
        <v>29.249527899983132</v>
      </c>
      <c r="BY70" s="129" t="s">
        <v>159</v>
      </c>
      <c r="BZ70" s="129">
        <v>1</v>
      </c>
      <c r="CA70" s="129">
        <v>1</v>
      </c>
      <c r="CB70" s="129" t="s">
        <v>160</v>
      </c>
      <c r="CC70" s="151">
        <v>4.4680780939024105</v>
      </c>
      <c r="CD70" s="129" t="s">
        <v>163</v>
      </c>
      <c r="CE70" s="144">
        <f t="shared" si="10"/>
        <v>0.12063810853536508</v>
      </c>
      <c r="CF70" s="144">
        <f t="shared" si="11"/>
        <v>0.12063810853536508</v>
      </c>
      <c r="CG70" s="145" t="s">
        <v>203</v>
      </c>
      <c r="CH70" s="129" t="s">
        <v>204</v>
      </c>
      <c r="CI70" s="129" t="s">
        <v>205</v>
      </c>
      <c r="CJ70" s="129" t="s">
        <v>206</v>
      </c>
      <c r="CK70" s="129" t="s">
        <v>158</v>
      </c>
      <c r="CL70" s="129" t="s">
        <v>158</v>
      </c>
      <c r="CM70" s="129" t="s">
        <v>158</v>
      </c>
      <c r="CN70" s="129" t="s">
        <v>160</v>
      </c>
      <c r="CO70" s="129" t="s">
        <v>160</v>
      </c>
      <c r="CP70" s="129" t="s">
        <v>160</v>
      </c>
      <c r="CQ70" s="129" t="s">
        <v>160</v>
      </c>
      <c r="CR70" s="129" t="s">
        <v>160</v>
      </c>
      <c r="CS70" s="129" t="s">
        <v>160</v>
      </c>
      <c r="CT70" s="129" t="s">
        <v>160</v>
      </c>
      <c r="CU70" s="129">
        <v>35</v>
      </c>
      <c r="CV70" s="129" t="s">
        <v>159</v>
      </c>
      <c r="CW70" s="146">
        <v>1</v>
      </c>
      <c r="CX70" s="129" t="s">
        <v>207</v>
      </c>
      <c r="CY70" s="129">
        <v>1.3357117851999998E-2</v>
      </c>
      <c r="CZ70" s="129" t="s">
        <v>159</v>
      </c>
      <c r="DA70" s="146">
        <v>2.5000000000000001E-3</v>
      </c>
      <c r="DB70" s="129" t="s">
        <v>208</v>
      </c>
      <c r="DC70" s="129">
        <v>4.6115953588000004E-2</v>
      </c>
      <c r="DD70" s="129" t="s">
        <v>159</v>
      </c>
      <c r="DE70" s="146">
        <v>2.5000000000000001E-3</v>
      </c>
      <c r="DF70" s="129" t="s">
        <v>209</v>
      </c>
      <c r="DG70" s="129" t="s">
        <v>160</v>
      </c>
      <c r="DH70" s="129" t="s">
        <v>160</v>
      </c>
      <c r="DI70" s="129" t="s">
        <v>160</v>
      </c>
      <c r="DJ70" s="129" t="s">
        <v>160</v>
      </c>
      <c r="DK70" s="145">
        <v>424.29</v>
      </c>
      <c r="DL70" s="129" t="s">
        <v>159</v>
      </c>
      <c r="DM70" s="145" t="s">
        <v>160</v>
      </c>
      <c r="DN70" s="129" t="s">
        <v>210</v>
      </c>
      <c r="DO70" s="129">
        <v>37.882710000000003</v>
      </c>
      <c r="DP70" s="129" t="s">
        <v>160</v>
      </c>
      <c r="DQ70" s="129">
        <v>0.6737300000000026</v>
      </c>
      <c r="DR70" s="129" t="s">
        <v>211</v>
      </c>
      <c r="DS70" s="129" t="s">
        <v>212</v>
      </c>
      <c r="DT70" s="129" t="s">
        <v>213</v>
      </c>
      <c r="DU70" s="129">
        <v>1.0271999999999999</v>
      </c>
      <c r="DV70" s="129" t="s">
        <v>214</v>
      </c>
      <c r="DW70" s="129" t="s">
        <v>214</v>
      </c>
      <c r="DX70" s="129" t="s">
        <v>215</v>
      </c>
      <c r="DY70" s="129" t="s">
        <v>160</v>
      </c>
      <c r="DZ70" s="129" t="s">
        <v>164</v>
      </c>
      <c r="EA70" s="129" t="s">
        <v>216</v>
      </c>
      <c r="EB70" s="129" t="s">
        <v>212</v>
      </c>
      <c r="EC70" s="129" t="s">
        <v>212</v>
      </c>
      <c r="ED70" s="129" t="s">
        <v>212</v>
      </c>
      <c r="EE70" s="129" t="s">
        <v>217</v>
      </c>
      <c r="EF70" s="147" t="s">
        <v>213</v>
      </c>
      <c r="EG70" s="148" t="s">
        <v>213</v>
      </c>
      <c r="EH70" s="129" t="s">
        <v>218</v>
      </c>
      <c r="EI70" s="129" t="s">
        <v>219</v>
      </c>
      <c r="EJ70" s="129" t="s">
        <v>160</v>
      </c>
      <c r="EK70" s="129">
        <v>1584.924</v>
      </c>
      <c r="EL70" s="129" t="s">
        <v>163</v>
      </c>
      <c r="EM70" s="150">
        <v>500</v>
      </c>
      <c r="EN70" s="150">
        <v>500</v>
      </c>
      <c r="EO70" s="129" t="s">
        <v>160</v>
      </c>
      <c r="EP70" s="129" t="s">
        <v>160</v>
      </c>
      <c r="EQ70" s="129" t="s">
        <v>160</v>
      </c>
      <c r="ER70" s="129" t="s">
        <v>160</v>
      </c>
      <c r="ES70" s="129">
        <v>7.9177569999999999</v>
      </c>
      <c r="ET70" s="142" t="s">
        <v>165</v>
      </c>
      <c r="EU70" s="129">
        <v>0.12753599999999921</v>
      </c>
      <c r="EV70" s="129">
        <v>0.15826399999999996</v>
      </c>
      <c r="EW70" s="142" t="s">
        <v>160</v>
      </c>
      <c r="EX70" s="129" t="s">
        <v>160</v>
      </c>
      <c r="EY70" s="129" t="s">
        <v>160</v>
      </c>
      <c r="EZ70" s="191">
        <v>449.13240000000002</v>
      </c>
      <c r="FA70" s="191">
        <v>244.4862</v>
      </c>
      <c r="FB70" s="191">
        <v>151.67930000000001</v>
      </c>
      <c r="FC70" s="129" t="s">
        <v>220</v>
      </c>
      <c r="FD70" s="129" t="s">
        <v>221</v>
      </c>
      <c r="FE70" s="191">
        <v>1730.884</v>
      </c>
      <c r="FF70" s="191">
        <v>408.50799999999981</v>
      </c>
      <c r="FG70" s="191">
        <v>392.97299999999996</v>
      </c>
      <c r="FH70" s="129" t="s">
        <v>160</v>
      </c>
      <c r="FI70" s="129" t="s">
        <v>160</v>
      </c>
      <c r="FJ70" s="129" t="s">
        <v>160</v>
      </c>
      <c r="FK70" s="129" t="s">
        <v>160</v>
      </c>
      <c r="FL70" s="129" t="s">
        <v>160</v>
      </c>
      <c r="FM70" s="129" t="s">
        <v>160</v>
      </c>
      <c r="FN70" s="151">
        <v>3.2280829999999998</v>
      </c>
      <c r="FO70" s="151">
        <v>2.1288670000000005</v>
      </c>
      <c r="FP70" s="151">
        <v>1.4811619999999999</v>
      </c>
      <c r="FQ70" s="129" t="s">
        <v>414</v>
      </c>
      <c r="FR70" s="166" t="s">
        <v>348</v>
      </c>
      <c r="FS70" s="166">
        <v>2014</v>
      </c>
      <c r="FT70" s="166" t="s">
        <v>349</v>
      </c>
    </row>
    <row r="71" spans="1:176" s="129" customFormat="1" ht="17">
      <c r="A71" s="166" t="s">
        <v>152</v>
      </c>
      <c r="B71" s="166" t="s">
        <v>183</v>
      </c>
      <c r="C71" s="166">
        <v>2018</v>
      </c>
      <c r="D71" s="166" t="s">
        <v>184</v>
      </c>
      <c r="E71" s="195">
        <v>16042.839</v>
      </c>
      <c r="F71" s="166" t="s">
        <v>160</v>
      </c>
      <c r="G71" s="166" t="s">
        <v>160</v>
      </c>
      <c r="H71" s="190">
        <v>492.34110000000004</v>
      </c>
      <c r="I71" s="191">
        <v>229.33469999999994</v>
      </c>
      <c r="J71" s="191">
        <v>156.03220000000005</v>
      </c>
      <c r="K71" s="129" t="s">
        <v>457</v>
      </c>
      <c r="L71" s="131" t="s">
        <v>185</v>
      </c>
      <c r="M71" s="132" t="s">
        <v>186</v>
      </c>
      <c r="N71" s="129" t="s">
        <v>184</v>
      </c>
      <c r="O71" s="129">
        <v>761</v>
      </c>
      <c r="P71" s="129" t="s">
        <v>235</v>
      </c>
      <c r="Q71" s="178">
        <v>6</v>
      </c>
      <c r="R71" s="178">
        <v>4</v>
      </c>
      <c r="S71" s="191">
        <v>103</v>
      </c>
      <c r="T71" s="129">
        <v>105</v>
      </c>
      <c r="U71" s="129" t="s">
        <v>160</v>
      </c>
      <c r="V71" s="141">
        <v>48.63</v>
      </c>
      <c r="W71" s="196" t="s">
        <v>350</v>
      </c>
      <c r="X71" s="129" t="s">
        <v>351</v>
      </c>
      <c r="Y71" s="196">
        <v>-16.739722220000001</v>
      </c>
      <c r="Z71" s="197">
        <v>115.53611110999999</v>
      </c>
      <c r="AA71" s="129" t="s">
        <v>160</v>
      </c>
      <c r="AB71" s="129" t="s">
        <v>160</v>
      </c>
      <c r="AC71" s="129">
        <v>-2179</v>
      </c>
      <c r="AD71" s="129" t="s">
        <v>160</v>
      </c>
      <c r="AE71" s="129" t="s">
        <v>160</v>
      </c>
      <c r="AF71" s="129" t="s">
        <v>160</v>
      </c>
      <c r="AG71" s="151">
        <v>16042.839</v>
      </c>
      <c r="AH71" s="138" t="s">
        <v>160</v>
      </c>
      <c r="AI71" s="129" t="s">
        <v>160</v>
      </c>
      <c r="AJ71" s="138" t="s">
        <v>160</v>
      </c>
      <c r="AK71" s="129" t="s">
        <v>237</v>
      </c>
      <c r="AL71" s="129" t="s">
        <v>238</v>
      </c>
      <c r="AM71" s="140" t="s">
        <v>239</v>
      </c>
      <c r="AN71" s="129" t="s">
        <v>160</v>
      </c>
      <c r="AO71" s="129" t="s">
        <v>160</v>
      </c>
      <c r="AP71" s="129" t="s">
        <v>160</v>
      </c>
      <c r="AQ71" s="129" t="s">
        <v>160</v>
      </c>
      <c r="AR71" s="129" t="s">
        <v>160</v>
      </c>
      <c r="AS71" s="129" t="s">
        <v>160</v>
      </c>
      <c r="AT71" s="129" t="s">
        <v>160</v>
      </c>
      <c r="AU71" s="129" t="s">
        <v>191</v>
      </c>
      <c r="AV71" s="129" t="s">
        <v>161</v>
      </c>
      <c r="AW71" s="129" t="s">
        <v>192</v>
      </c>
      <c r="AX71" s="129" t="s">
        <v>352</v>
      </c>
      <c r="AY71" s="129" t="s">
        <v>353</v>
      </c>
      <c r="AZ71" s="129" t="s">
        <v>354</v>
      </c>
      <c r="BA71" s="129" t="s">
        <v>196</v>
      </c>
      <c r="BB71" s="198" t="s">
        <v>368</v>
      </c>
      <c r="BC71" s="129">
        <v>2</v>
      </c>
      <c r="BD71" s="151">
        <v>0.32859404533695624</v>
      </c>
      <c r="BE71" s="151">
        <v>15.784123046733134</v>
      </c>
      <c r="BF71" s="129" t="s">
        <v>355</v>
      </c>
      <c r="BG71" s="141">
        <v>0.39360005139188314</v>
      </c>
      <c r="BH71" s="129">
        <v>0.83299999999999996</v>
      </c>
      <c r="BI71" s="129" t="s">
        <v>160</v>
      </c>
      <c r="BJ71" s="138" t="s">
        <v>160</v>
      </c>
      <c r="BK71" s="129">
        <v>2.69</v>
      </c>
      <c r="BL71" s="129" t="s">
        <v>160</v>
      </c>
      <c r="BM71" s="129" t="s">
        <v>160</v>
      </c>
      <c r="BN71" s="129" t="s">
        <v>200</v>
      </c>
      <c r="BO71" s="129" t="s">
        <v>201</v>
      </c>
      <c r="BP71" s="151">
        <v>15.719235350219851</v>
      </c>
      <c r="BQ71" s="129" t="s">
        <v>202</v>
      </c>
      <c r="BR71" s="217"/>
      <c r="BS71" s="129" t="s">
        <v>160</v>
      </c>
      <c r="BT71" s="129" t="s">
        <v>160</v>
      </c>
      <c r="BU71" s="129">
        <v>10</v>
      </c>
      <c r="BV71" s="129" t="s">
        <v>159</v>
      </c>
      <c r="BW71" s="129">
        <v>10</v>
      </c>
      <c r="BX71" s="145">
        <v>29.680200730974779</v>
      </c>
      <c r="BY71" s="129" t="s">
        <v>159</v>
      </c>
      <c r="BZ71" s="129">
        <v>1</v>
      </c>
      <c r="CA71" s="129">
        <v>1</v>
      </c>
      <c r="CB71" s="129" t="s">
        <v>160</v>
      </c>
      <c r="CC71" s="151">
        <v>4.6444853459999997</v>
      </c>
      <c r="CD71" s="129" t="s">
        <v>163</v>
      </c>
      <c r="CE71" s="144">
        <f t="shared" si="10"/>
        <v>0.125401104342</v>
      </c>
      <c r="CF71" s="144">
        <f t="shared" si="11"/>
        <v>0.125401104342</v>
      </c>
      <c r="CG71" s="145" t="s">
        <v>203</v>
      </c>
      <c r="CH71" s="129" t="s">
        <v>204</v>
      </c>
      <c r="CI71" s="129" t="s">
        <v>205</v>
      </c>
      <c r="CJ71" s="129" t="s">
        <v>206</v>
      </c>
      <c r="CK71" s="129" t="s">
        <v>158</v>
      </c>
      <c r="CL71" s="129" t="s">
        <v>158</v>
      </c>
      <c r="CM71" s="129" t="s">
        <v>158</v>
      </c>
      <c r="CN71" s="129" t="s">
        <v>160</v>
      </c>
      <c r="CO71" s="129" t="s">
        <v>160</v>
      </c>
      <c r="CP71" s="129" t="s">
        <v>160</v>
      </c>
      <c r="CQ71" s="129" t="s">
        <v>160</v>
      </c>
      <c r="CR71" s="129" t="s">
        <v>160</v>
      </c>
      <c r="CS71" s="129" t="s">
        <v>160</v>
      </c>
      <c r="CT71" s="129" t="s">
        <v>160</v>
      </c>
      <c r="CU71" s="129">
        <v>35</v>
      </c>
      <c r="CV71" s="129" t="s">
        <v>159</v>
      </c>
      <c r="CW71" s="146">
        <v>1</v>
      </c>
      <c r="CX71" s="129" t="s">
        <v>207</v>
      </c>
      <c r="CY71" s="129">
        <v>1.3357764024099999E-2</v>
      </c>
      <c r="CZ71" s="129" t="s">
        <v>159</v>
      </c>
      <c r="DA71" s="146">
        <v>2.5000000000000001E-3</v>
      </c>
      <c r="DB71" s="129" t="s">
        <v>208</v>
      </c>
      <c r="DC71" s="129">
        <v>4.6113871477899998E-2</v>
      </c>
      <c r="DD71" s="129" t="s">
        <v>159</v>
      </c>
      <c r="DE71" s="146">
        <v>2.5000000000000001E-3</v>
      </c>
      <c r="DF71" s="129" t="s">
        <v>209</v>
      </c>
      <c r="DG71" s="129" t="s">
        <v>160</v>
      </c>
      <c r="DH71" s="129" t="s">
        <v>160</v>
      </c>
      <c r="DI71" s="129" t="s">
        <v>160</v>
      </c>
      <c r="DJ71" s="129" t="s">
        <v>160</v>
      </c>
      <c r="DK71" s="145">
        <v>424.29</v>
      </c>
      <c r="DL71" s="129" t="s">
        <v>159</v>
      </c>
      <c r="DM71" s="145" t="s">
        <v>160</v>
      </c>
      <c r="DN71" s="129" t="s">
        <v>210</v>
      </c>
      <c r="DO71" s="129">
        <v>37.888370000000002</v>
      </c>
      <c r="DP71" s="129" t="s">
        <v>160</v>
      </c>
      <c r="DQ71" s="129">
        <v>0.67532499999999729</v>
      </c>
      <c r="DR71" s="129" t="s">
        <v>211</v>
      </c>
      <c r="DS71" s="129" t="s">
        <v>212</v>
      </c>
      <c r="DT71" s="129" t="s">
        <v>213</v>
      </c>
      <c r="DU71" s="129">
        <v>1.0271999999999999</v>
      </c>
      <c r="DV71" s="129" t="s">
        <v>214</v>
      </c>
      <c r="DW71" s="129" t="s">
        <v>214</v>
      </c>
      <c r="DX71" s="129" t="s">
        <v>215</v>
      </c>
      <c r="DY71" s="129" t="s">
        <v>160</v>
      </c>
      <c r="DZ71" s="129" t="s">
        <v>164</v>
      </c>
      <c r="EA71" s="129" t="s">
        <v>216</v>
      </c>
      <c r="EB71" s="129" t="s">
        <v>212</v>
      </c>
      <c r="EC71" s="129" t="s">
        <v>212</v>
      </c>
      <c r="ED71" s="129" t="s">
        <v>212</v>
      </c>
      <c r="EE71" s="129" t="s">
        <v>217</v>
      </c>
      <c r="EF71" s="147" t="s">
        <v>213</v>
      </c>
      <c r="EG71" s="148" t="s">
        <v>213</v>
      </c>
      <c r="EH71" s="129" t="s">
        <v>218</v>
      </c>
      <c r="EI71" s="129" t="s">
        <v>219</v>
      </c>
      <c r="EJ71" s="129" t="s">
        <v>160</v>
      </c>
      <c r="EK71" s="129">
        <v>1584.338</v>
      </c>
      <c r="EL71" s="129" t="s">
        <v>163</v>
      </c>
      <c r="EM71" s="150">
        <v>500</v>
      </c>
      <c r="EN71" s="150">
        <v>500</v>
      </c>
      <c r="EO71" s="129" t="s">
        <v>160</v>
      </c>
      <c r="EP71" s="129" t="s">
        <v>160</v>
      </c>
      <c r="EQ71" s="129" t="s">
        <v>160</v>
      </c>
      <c r="ER71" s="129" t="s">
        <v>160</v>
      </c>
      <c r="ES71" s="129">
        <v>7.8798019999999998</v>
      </c>
      <c r="ET71" s="142" t="s">
        <v>165</v>
      </c>
      <c r="EU71" s="129">
        <v>0.10814700000000066</v>
      </c>
      <c r="EV71" s="129">
        <v>0.12693300000000018</v>
      </c>
      <c r="EW71" s="142" t="s">
        <v>160</v>
      </c>
      <c r="EX71" s="129" t="s">
        <v>160</v>
      </c>
      <c r="EY71" s="129" t="s">
        <v>160</v>
      </c>
      <c r="EZ71" s="191">
        <v>492.34110000000004</v>
      </c>
      <c r="FA71" s="191">
        <v>229.33469999999994</v>
      </c>
      <c r="FB71" s="191">
        <v>156.03220000000005</v>
      </c>
      <c r="FC71" s="129" t="s">
        <v>220</v>
      </c>
      <c r="FD71" s="129" t="s">
        <v>221</v>
      </c>
      <c r="FE71" s="191">
        <v>1718.2429999999999</v>
      </c>
      <c r="FF71" s="191">
        <v>399.3420000000001</v>
      </c>
      <c r="FG71" s="191">
        <v>401.61400000000003</v>
      </c>
      <c r="FH71" s="129" t="s">
        <v>160</v>
      </c>
      <c r="FI71" s="129" t="s">
        <v>160</v>
      </c>
      <c r="FJ71" s="129" t="s">
        <v>160</v>
      </c>
      <c r="FK71" s="129" t="s">
        <v>160</v>
      </c>
      <c r="FL71" s="129" t="s">
        <v>160</v>
      </c>
      <c r="FM71" s="129" t="s">
        <v>160</v>
      </c>
      <c r="FN71" s="151">
        <v>3.0373489999999999</v>
      </c>
      <c r="FO71" s="151">
        <v>1.8386870000000002</v>
      </c>
      <c r="FP71" s="151">
        <v>1.3065559999999998</v>
      </c>
      <c r="FQ71" s="129" t="s">
        <v>414</v>
      </c>
      <c r="FR71" s="166" t="s">
        <v>348</v>
      </c>
      <c r="FS71" s="166">
        <v>2014</v>
      </c>
      <c r="FT71" s="166" t="s">
        <v>349</v>
      </c>
    </row>
    <row r="72" spans="1:176" s="129" customFormat="1" ht="17">
      <c r="A72" s="166" t="s">
        <v>152</v>
      </c>
      <c r="B72" s="166" t="s">
        <v>183</v>
      </c>
      <c r="C72" s="166">
        <v>2018</v>
      </c>
      <c r="D72" s="166" t="s">
        <v>184</v>
      </c>
      <c r="E72" s="195">
        <v>16049.103999999999</v>
      </c>
      <c r="F72" s="166" t="s">
        <v>160</v>
      </c>
      <c r="G72" s="166" t="s">
        <v>160</v>
      </c>
      <c r="H72" s="190">
        <v>910.52719999999999</v>
      </c>
      <c r="I72" s="191">
        <v>617.50980000000004</v>
      </c>
      <c r="J72" s="191">
        <v>325.13210000000004</v>
      </c>
      <c r="K72" s="129" t="s">
        <v>457</v>
      </c>
      <c r="L72" s="131" t="s">
        <v>185</v>
      </c>
      <c r="M72" s="132" t="s">
        <v>186</v>
      </c>
      <c r="N72" s="129" t="s">
        <v>184</v>
      </c>
      <c r="O72" s="129">
        <v>761</v>
      </c>
      <c r="P72" s="129" t="s">
        <v>235</v>
      </c>
      <c r="Q72" s="178">
        <v>6</v>
      </c>
      <c r="R72" s="178">
        <v>4</v>
      </c>
      <c r="S72" s="191">
        <v>108</v>
      </c>
      <c r="T72" s="129">
        <v>110</v>
      </c>
      <c r="U72" s="129" t="s">
        <v>160</v>
      </c>
      <c r="V72" s="141">
        <v>48.68</v>
      </c>
      <c r="W72" s="196" t="s">
        <v>350</v>
      </c>
      <c r="X72" s="129" t="s">
        <v>351</v>
      </c>
      <c r="Y72" s="196">
        <v>-16.739722220000001</v>
      </c>
      <c r="Z72" s="197">
        <v>115.53611110999999</v>
      </c>
      <c r="AA72" s="129" t="s">
        <v>160</v>
      </c>
      <c r="AB72" s="129" t="s">
        <v>160</v>
      </c>
      <c r="AC72" s="129">
        <v>-2179</v>
      </c>
      <c r="AD72" s="129" t="s">
        <v>160</v>
      </c>
      <c r="AE72" s="129" t="s">
        <v>160</v>
      </c>
      <c r="AF72" s="129" t="s">
        <v>160</v>
      </c>
      <c r="AG72" s="151">
        <v>16049.103999999999</v>
      </c>
      <c r="AH72" s="138" t="s">
        <v>160</v>
      </c>
      <c r="AI72" s="129" t="s">
        <v>160</v>
      </c>
      <c r="AJ72" s="138" t="s">
        <v>160</v>
      </c>
      <c r="AK72" s="129" t="s">
        <v>237</v>
      </c>
      <c r="AL72" s="129" t="s">
        <v>238</v>
      </c>
      <c r="AM72" s="140" t="s">
        <v>239</v>
      </c>
      <c r="AN72" s="129" t="s">
        <v>160</v>
      </c>
      <c r="AO72" s="129" t="s">
        <v>160</v>
      </c>
      <c r="AP72" s="129" t="s">
        <v>160</v>
      </c>
      <c r="AQ72" s="129" t="s">
        <v>160</v>
      </c>
      <c r="AR72" s="129" t="s">
        <v>160</v>
      </c>
      <c r="AS72" s="129" t="s">
        <v>160</v>
      </c>
      <c r="AT72" s="129" t="s">
        <v>160</v>
      </c>
      <c r="AU72" s="129" t="s">
        <v>191</v>
      </c>
      <c r="AV72" s="129" t="s">
        <v>161</v>
      </c>
      <c r="AW72" s="129" t="s">
        <v>192</v>
      </c>
      <c r="AX72" s="129" t="s">
        <v>352</v>
      </c>
      <c r="AY72" s="129" t="s">
        <v>353</v>
      </c>
      <c r="AZ72" s="129" t="s">
        <v>354</v>
      </c>
      <c r="BA72" s="129" t="s">
        <v>196</v>
      </c>
      <c r="BB72" s="198" t="s">
        <v>369</v>
      </c>
      <c r="BC72" s="129">
        <v>2</v>
      </c>
      <c r="BD72" s="151">
        <v>7.6793793805709484E-2</v>
      </c>
      <c r="BE72" s="151">
        <v>14.204490737979834</v>
      </c>
      <c r="BF72" s="129" t="s">
        <v>355</v>
      </c>
      <c r="BG72" s="141">
        <v>0.24060180399376774</v>
      </c>
      <c r="BH72" s="129">
        <v>0.83299999999999996</v>
      </c>
      <c r="BI72" s="129" t="s">
        <v>160</v>
      </c>
      <c r="BJ72" s="138" t="s">
        <v>160</v>
      </c>
      <c r="BK72" s="129">
        <v>2.69</v>
      </c>
      <c r="BL72" s="129" t="s">
        <v>160</v>
      </c>
      <c r="BM72" s="129" t="s">
        <v>160</v>
      </c>
      <c r="BN72" s="129" t="s">
        <v>200</v>
      </c>
      <c r="BO72" s="129" t="s">
        <v>201</v>
      </c>
      <c r="BP72" s="151">
        <v>13.82291805279692</v>
      </c>
      <c r="BQ72" s="129" t="s">
        <v>202</v>
      </c>
      <c r="BR72" s="217"/>
      <c r="BS72" s="129" t="s">
        <v>160</v>
      </c>
      <c r="BT72" s="129" t="s">
        <v>160</v>
      </c>
      <c r="BU72" s="129">
        <v>10</v>
      </c>
      <c r="BV72" s="129" t="s">
        <v>159</v>
      </c>
      <c r="BW72" s="129">
        <v>10</v>
      </c>
      <c r="BX72" s="145">
        <v>29.920870073629008</v>
      </c>
      <c r="BY72" s="129" t="s">
        <v>159</v>
      </c>
      <c r="BZ72" s="129">
        <v>1</v>
      </c>
      <c r="CA72" s="129">
        <v>1</v>
      </c>
      <c r="CB72" s="129" t="s">
        <v>160</v>
      </c>
      <c r="CC72" s="151">
        <v>4.745880129115073</v>
      </c>
      <c r="CD72" s="129" t="s">
        <v>163</v>
      </c>
      <c r="CE72" s="144">
        <f t="shared" si="10"/>
        <v>0.12813876348610698</v>
      </c>
      <c r="CF72" s="144">
        <f t="shared" si="11"/>
        <v>0.12813876348610698</v>
      </c>
      <c r="CG72" s="145" t="s">
        <v>203</v>
      </c>
      <c r="CH72" s="129" t="s">
        <v>204</v>
      </c>
      <c r="CI72" s="129" t="s">
        <v>205</v>
      </c>
      <c r="CJ72" s="129" t="s">
        <v>206</v>
      </c>
      <c r="CK72" s="129" t="s">
        <v>158</v>
      </c>
      <c r="CL72" s="129" t="s">
        <v>158</v>
      </c>
      <c r="CM72" s="129" t="s">
        <v>158</v>
      </c>
      <c r="CN72" s="129" t="s">
        <v>160</v>
      </c>
      <c r="CO72" s="129" t="s">
        <v>160</v>
      </c>
      <c r="CP72" s="129" t="s">
        <v>160</v>
      </c>
      <c r="CQ72" s="129" t="s">
        <v>160</v>
      </c>
      <c r="CR72" s="129" t="s">
        <v>160</v>
      </c>
      <c r="CS72" s="129" t="s">
        <v>160</v>
      </c>
      <c r="CT72" s="129" t="s">
        <v>160</v>
      </c>
      <c r="CU72" s="129">
        <v>35</v>
      </c>
      <c r="CV72" s="129" t="s">
        <v>159</v>
      </c>
      <c r="CW72" s="146">
        <v>1</v>
      </c>
      <c r="CX72" s="129" t="s">
        <v>207</v>
      </c>
      <c r="CY72" s="129">
        <v>1.33588409776E-2</v>
      </c>
      <c r="CZ72" s="129" t="s">
        <v>159</v>
      </c>
      <c r="DA72" s="146">
        <v>2.5000000000000001E-3</v>
      </c>
      <c r="DB72" s="129" t="s">
        <v>208</v>
      </c>
      <c r="DC72" s="129">
        <v>4.61104012944E-2</v>
      </c>
      <c r="DD72" s="129" t="s">
        <v>159</v>
      </c>
      <c r="DE72" s="146">
        <v>2.5000000000000001E-3</v>
      </c>
      <c r="DF72" s="129" t="s">
        <v>209</v>
      </c>
      <c r="DG72" s="129" t="s">
        <v>160</v>
      </c>
      <c r="DH72" s="129" t="s">
        <v>160</v>
      </c>
      <c r="DI72" s="129" t="s">
        <v>160</v>
      </c>
      <c r="DJ72" s="129" t="s">
        <v>160</v>
      </c>
      <c r="DK72" s="145">
        <v>424.29</v>
      </c>
      <c r="DL72" s="129" t="s">
        <v>159</v>
      </c>
      <c r="DM72" s="145" t="s">
        <v>160</v>
      </c>
      <c r="DN72" s="129" t="s">
        <v>210</v>
      </c>
      <c r="DO72" s="129">
        <v>37.871600000000001</v>
      </c>
      <c r="DP72" s="129" t="s">
        <v>160</v>
      </c>
      <c r="DQ72" s="129">
        <v>0.66235999999999962</v>
      </c>
      <c r="DR72" s="129" t="s">
        <v>211</v>
      </c>
      <c r="DS72" s="129" t="s">
        <v>212</v>
      </c>
      <c r="DT72" s="129" t="s">
        <v>213</v>
      </c>
      <c r="DU72" s="129">
        <v>1.0271999999999999</v>
      </c>
      <c r="DV72" s="129" t="s">
        <v>214</v>
      </c>
      <c r="DW72" s="129" t="s">
        <v>214</v>
      </c>
      <c r="DX72" s="129" t="s">
        <v>215</v>
      </c>
      <c r="DY72" s="129" t="s">
        <v>160</v>
      </c>
      <c r="DZ72" s="129" t="s">
        <v>164</v>
      </c>
      <c r="EA72" s="129" t="s">
        <v>216</v>
      </c>
      <c r="EB72" s="129" t="s">
        <v>212</v>
      </c>
      <c r="EC72" s="129" t="s">
        <v>212</v>
      </c>
      <c r="ED72" s="129" t="s">
        <v>212</v>
      </c>
      <c r="EE72" s="129" t="s">
        <v>217</v>
      </c>
      <c r="EF72" s="147" t="s">
        <v>213</v>
      </c>
      <c r="EG72" s="148" t="s">
        <v>213</v>
      </c>
      <c r="EH72" s="129" t="s">
        <v>218</v>
      </c>
      <c r="EI72" s="129" t="s">
        <v>219</v>
      </c>
      <c r="EJ72" s="129" t="s">
        <v>160</v>
      </c>
      <c r="EK72" s="129">
        <v>1588.8709999999999</v>
      </c>
      <c r="EL72" s="129" t="s">
        <v>163</v>
      </c>
      <c r="EM72" s="150">
        <v>500</v>
      </c>
      <c r="EN72" s="150">
        <v>500</v>
      </c>
      <c r="EO72" s="129" t="s">
        <v>160</v>
      </c>
      <c r="EP72" s="129" t="s">
        <v>160</v>
      </c>
      <c r="EQ72" s="129" t="s">
        <v>160</v>
      </c>
      <c r="ER72" s="129" t="s">
        <v>160</v>
      </c>
      <c r="ES72" s="129">
        <v>7.6216520000000001</v>
      </c>
      <c r="ET72" s="142" t="s">
        <v>165</v>
      </c>
      <c r="EU72" s="129">
        <v>0.14924599999999977</v>
      </c>
      <c r="EV72" s="129">
        <v>0.20623500000000039</v>
      </c>
      <c r="EW72" s="142" t="s">
        <v>160</v>
      </c>
      <c r="EX72" s="129" t="s">
        <v>160</v>
      </c>
      <c r="EY72" s="129" t="s">
        <v>160</v>
      </c>
      <c r="EZ72" s="191">
        <v>910.52719999999999</v>
      </c>
      <c r="FA72" s="191">
        <v>617.50980000000004</v>
      </c>
      <c r="FB72" s="191">
        <v>325.13210000000004</v>
      </c>
      <c r="FC72" s="129" t="s">
        <v>220</v>
      </c>
      <c r="FD72" s="129" t="s">
        <v>221</v>
      </c>
      <c r="FE72" s="191">
        <v>1649.759</v>
      </c>
      <c r="FF72" s="191">
        <v>385.38000000000011</v>
      </c>
      <c r="FG72" s="191">
        <v>386.63099999999986</v>
      </c>
      <c r="FH72" s="129" t="s">
        <v>160</v>
      </c>
      <c r="FI72" s="129" t="s">
        <v>160</v>
      </c>
      <c r="FJ72" s="129" t="s">
        <v>160</v>
      </c>
      <c r="FK72" s="129" t="s">
        <v>160</v>
      </c>
      <c r="FL72" s="129" t="s">
        <v>160</v>
      </c>
      <c r="FM72" s="129" t="s">
        <v>160</v>
      </c>
      <c r="FN72" s="151">
        <v>1.6968559999999999</v>
      </c>
      <c r="FO72" s="151">
        <v>1.2226270000000001</v>
      </c>
      <c r="FP72" s="151">
        <v>0.82099899999999992</v>
      </c>
      <c r="FQ72" s="129" t="s">
        <v>414</v>
      </c>
      <c r="FR72" s="166" t="s">
        <v>348</v>
      </c>
      <c r="FS72" s="166">
        <v>2014</v>
      </c>
      <c r="FT72" s="166" t="s">
        <v>349</v>
      </c>
    </row>
    <row r="73" spans="1:176" s="129" customFormat="1" ht="17">
      <c r="A73" s="166" t="s">
        <v>152</v>
      </c>
      <c r="B73" s="166" t="s">
        <v>183</v>
      </c>
      <c r="C73" s="166">
        <v>2018</v>
      </c>
      <c r="D73" s="166" t="s">
        <v>184</v>
      </c>
      <c r="E73" s="195">
        <v>16055.368999999999</v>
      </c>
      <c r="F73" s="166" t="s">
        <v>160</v>
      </c>
      <c r="G73" s="166" t="s">
        <v>160</v>
      </c>
      <c r="H73" s="190">
        <v>501.14829999999995</v>
      </c>
      <c r="I73" s="191">
        <v>225.85660000000007</v>
      </c>
      <c r="J73" s="191">
        <v>155.82419999999991</v>
      </c>
      <c r="K73" s="129" t="s">
        <v>457</v>
      </c>
      <c r="L73" s="131" t="s">
        <v>185</v>
      </c>
      <c r="M73" s="132" t="s">
        <v>186</v>
      </c>
      <c r="N73" s="129" t="s">
        <v>184</v>
      </c>
      <c r="O73" s="129">
        <v>761</v>
      </c>
      <c r="P73" s="129" t="s">
        <v>235</v>
      </c>
      <c r="Q73" s="178">
        <v>6</v>
      </c>
      <c r="R73" s="178">
        <v>4</v>
      </c>
      <c r="S73" s="191">
        <v>113</v>
      </c>
      <c r="T73" s="129">
        <v>115</v>
      </c>
      <c r="U73" s="129" t="s">
        <v>160</v>
      </c>
      <c r="V73" s="141">
        <v>48.73</v>
      </c>
      <c r="W73" s="196" t="s">
        <v>350</v>
      </c>
      <c r="X73" s="129" t="s">
        <v>351</v>
      </c>
      <c r="Y73" s="196">
        <v>-16.739722220000001</v>
      </c>
      <c r="Z73" s="197">
        <v>115.53611110999999</v>
      </c>
      <c r="AA73" s="129" t="s">
        <v>160</v>
      </c>
      <c r="AB73" s="129" t="s">
        <v>160</v>
      </c>
      <c r="AC73" s="129">
        <v>-2179</v>
      </c>
      <c r="AD73" s="129" t="s">
        <v>160</v>
      </c>
      <c r="AE73" s="129" t="s">
        <v>160</v>
      </c>
      <c r="AF73" s="129" t="s">
        <v>160</v>
      </c>
      <c r="AG73" s="151">
        <v>16055.368999999999</v>
      </c>
      <c r="AH73" s="138" t="s">
        <v>160</v>
      </c>
      <c r="AI73" s="129" t="s">
        <v>160</v>
      </c>
      <c r="AJ73" s="138" t="s">
        <v>160</v>
      </c>
      <c r="AK73" s="129" t="s">
        <v>237</v>
      </c>
      <c r="AL73" s="129" t="s">
        <v>238</v>
      </c>
      <c r="AM73" s="140" t="s">
        <v>239</v>
      </c>
      <c r="AN73" s="129" t="s">
        <v>160</v>
      </c>
      <c r="AO73" s="129" t="s">
        <v>160</v>
      </c>
      <c r="AP73" s="129" t="s">
        <v>160</v>
      </c>
      <c r="AQ73" s="129" t="s">
        <v>160</v>
      </c>
      <c r="AR73" s="129" t="s">
        <v>160</v>
      </c>
      <c r="AS73" s="129" t="s">
        <v>160</v>
      </c>
      <c r="AT73" s="129" t="s">
        <v>160</v>
      </c>
      <c r="AU73" s="129" t="s">
        <v>191</v>
      </c>
      <c r="AV73" s="129" t="s">
        <v>161</v>
      </c>
      <c r="AW73" s="129" t="s">
        <v>192</v>
      </c>
      <c r="AX73" s="129" t="s">
        <v>352</v>
      </c>
      <c r="AY73" s="129" t="s">
        <v>353</v>
      </c>
      <c r="AZ73" s="129" t="s">
        <v>354</v>
      </c>
      <c r="BA73" s="129" t="s">
        <v>196</v>
      </c>
      <c r="BB73" s="198" t="s">
        <v>370</v>
      </c>
      <c r="BC73" s="129">
        <v>2</v>
      </c>
      <c r="BD73" s="151">
        <v>0.18546161790550461</v>
      </c>
      <c r="BE73" s="151">
        <v>15.764546600385135</v>
      </c>
      <c r="BF73" s="129" t="s">
        <v>355</v>
      </c>
      <c r="BG73" s="141">
        <v>0.40780331782586954</v>
      </c>
      <c r="BH73" s="129">
        <v>0.83299999999999996</v>
      </c>
      <c r="BI73" s="129" t="s">
        <v>160</v>
      </c>
      <c r="BJ73" s="138" t="s">
        <v>160</v>
      </c>
      <c r="BK73" s="129">
        <v>2.69</v>
      </c>
      <c r="BL73" s="129" t="s">
        <v>160</v>
      </c>
      <c r="BM73" s="129" t="s">
        <v>160</v>
      </c>
      <c r="BN73" s="129" t="s">
        <v>200</v>
      </c>
      <c r="BO73" s="129" t="s">
        <v>201</v>
      </c>
      <c r="BP73" s="151">
        <v>15.695734214147823</v>
      </c>
      <c r="BQ73" s="129" t="s">
        <v>202</v>
      </c>
      <c r="BR73" s="217"/>
      <c r="BS73" s="129" t="s">
        <v>160</v>
      </c>
      <c r="BT73" s="129" t="s">
        <v>160</v>
      </c>
      <c r="BU73" s="129">
        <v>10</v>
      </c>
      <c r="BV73" s="129" t="s">
        <v>159</v>
      </c>
      <c r="BW73" s="129">
        <v>10</v>
      </c>
      <c r="BX73" s="145">
        <v>29.984751908169148</v>
      </c>
      <c r="BY73" s="129" t="s">
        <v>159</v>
      </c>
      <c r="BZ73" s="129">
        <v>1</v>
      </c>
      <c r="CA73" s="129">
        <v>1</v>
      </c>
      <c r="CB73" s="129" t="s">
        <v>160</v>
      </c>
      <c r="CC73" s="151">
        <v>4.7729394729057786</v>
      </c>
      <c r="CD73" s="129" t="s">
        <v>163</v>
      </c>
      <c r="CE73" s="144">
        <f t="shared" si="10"/>
        <v>0.12886936576845601</v>
      </c>
      <c r="CF73" s="144">
        <f t="shared" si="11"/>
        <v>0.12886936576845601</v>
      </c>
      <c r="CG73" s="145" t="s">
        <v>203</v>
      </c>
      <c r="CH73" s="129" t="s">
        <v>204</v>
      </c>
      <c r="CI73" s="129" t="s">
        <v>205</v>
      </c>
      <c r="CJ73" s="129" t="s">
        <v>206</v>
      </c>
      <c r="CK73" s="129" t="s">
        <v>158</v>
      </c>
      <c r="CL73" s="129" t="s">
        <v>158</v>
      </c>
      <c r="CM73" s="129" t="s">
        <v>158</v>
      </c>
      <c r="CN73" s="129" t="s">
        <v>160</v>
      </c>
      <c r="CO73" s="129" t="s">
        <v>160</v>
      </c>
      <c r="CP73" s="129" t="s">
        <v>160</v>
      </c>
      <c r="CQ73" s="129" t="s">
        <v>160</v>
      </c>
      <c r="CR73" s="129" t="s">
        <v>160</v>
      </c>
      <c r="CS73" s="129" t="s">
        <v>160</v>
      </c>
      <c r="CT73" s="129" t="s">
        <v>160</v>
      </c>
      <c r="CU73" s="129">
        <v>35</v>
      </c>
      <c r="CV73" s="129" t="s">
        <v>159</v>
      </c>
      <c r="CW73" s="146">
        <v>1</v>
      </c>
      <c r="CX73" s="129" t="s">
        <v>207</v>
      </c>
      <c r="CY73" s="129">
        <v>1.33599179311E-2</v>
      </c>
      <c r="CZ73" s="129" t="s">
        <v>159</v>
      </c>
      <c r="DA73" s="146">
        <v>2.5000000000000001E-3</v>
      </c>
      <c r="DB73" s="129" t="s">
        <v>208</v>
      </c>
      <c r="DC73" s="129">
        <v>4.6106931110900001E-2</v>
      </c>
      <c r="DD73" s="129" t="s">
        <v>159</v>
      </c>
      <c r="DE73" s="146">
        <v>2.5000000000000001E-3</v>
      </c>
      <c r="DF73" s="129" t="s">
        <v>209</v>
      </c>
      <c r="DG73" s="129" t="s">
        <v>160</v>
      </c>
      <c r="DH73" s="129" t="s">
        <v>160</v>
      </c>
      <c r="DI73" s="129" t="s">
        <v>160</v>
      </c>
      <c r="DJ73" s="129" t="s">
        <v>160</v>
      </c>
      <c r="DK73" s="145">
        <v>424.29</v>
      </c>
      <c r="DL73" s="129" t="s">
        <v>159</v>
      </c>
      <c r="DM73" s="145" t="s">
        <v>160</v>
      </c>
      <c r="DN73" s="129" t="s">
        <v>210</v>
      </c>
      <c r="DO73" s="129">
        <v>37.882339999999999</v>
      </c>
      <c r="DP73" s="129" t="s">
        <v>160</v>
      </c>
      <c r="DQ73" s="129">
        <v>0.67422999999999789</v>
      </c>
      <c r="DR73" s="129" t="s">
        <v>211</v>
      </c>
      <c r="DS73" s="129" t="s">
        <v>212</v>
      </c>
      <c r="DT73" s="129" t="s">
        <v>213</v>
      </c>
      <c r="DU73" s="129">
        <v>1.0271999999999999</v>
      </c>
      <c r="DV73" s="129" t="s">
        <v>214</v>
      </c>
      <c r="DW73" s="129" t="s">
        <v>214</v>
      </c>
      <c r="DX73" s="129" t="s">
        <v>215</v>
      </c>
      <c r="DY73" s="129" t="s">
        <v>160</v>
      </c>
      <c r="DZ73" s="129" t="s">
        <v>164</v>
      </c>
      <c r="EA73" s="129" t="s">
        <v>216</v>
      </c>
      <c r="EB73" s="129" t="s">
        <v>212</v>
      </c>
      <c r="EC73" s="129" t="s">
        <v>212</v>
      </c>
      <c r="ED73" s="129" t="s">
        <v>212</v>
      </c>
      <c r="EE73" s="129" t="s">
        <v>217</v>
      </c>
      <c r="EF73" s="147" t="s">
        <v>213</v>
      </c>
      <c r="EG73" s="148" t="s">
        <v>213</v>
      </c>
      <c r="EH73" s="129" t="s">
        <v>218</v>
      </c>
      <c r="EI73" s="129" t="s">
        <v>219</v>
      </c>
      <c r="EJ73" s="129" t="s">
        <v>160</v>
      </c>
      <c r="EK73" s="129">
        <v>1588.0540000000001</v>
      </c>
      <c r="EL73" s="129" t="s">
        <v>163</v>
      </c>
      <c r="EM73" s="150">
        <v>500</v>
      </c>
      <c r="EN73" s="150">
        <v>500</v>
      </c>
      <c r="EO73" s="129" t="s">
        <v>160</v>
      </c>
      <c r="EP73" s="129" t="s">
        <v>160</v>
      </c>
      <c r="EQ73" s="129" t="s">
        <v>160</v>
      </c>
      <c r="ER73" s="129" t="s">
        <v>160</v>
      </c>
      <c r="ES73" s="129">
        <v>7.8738760000000001</v>
      </c>
      <c r="ET73" s="142" t="s">
        <v>165</v>
      </c>
      <c r="EU73" s="129">
        <v>0.10854500000000034</v>
      </c>
      <c r="EV73" s="129">
        <v>0.12869200000000003</v>
      </c>
      <c r="EW73" s="142" t="s">
        <v>160</v>
      </c>
      <c r="EX73" s="129" t="s">
        <v>160</v>
      </c>
      <c r="EY73" s="129" t="s">
        <v>160</v>
      </c>
      <c r="EZ73" s="191">
        <v>501.14829999999995</v>
      </c>
      <c r="FA73" s="191">
        <v>225.85660000000007</v>
      </c>
      <c r="FB73" s="191">
        <v>155.82419999999991</v>
      </c>
      <c r="FC73" s="129" t="s">
        <v>220</v>
      </c>
      <c r="FD73" s="129" t="s">
        <v>221</v>
      </c>
      <c r="FE73" s="191">
        <v>1720.5269999999998</v>
      </c>
      <c r="FF73" s="191">
        <v>399.12900000000013</v>
      </c>
      <c r="FG73" s="191">
        <v>399.4839999999997</v>
      </c>
      <c r="FH73" s="129" t="s">
        <v>160</v>
      </c>
      <c r="FI73" s="129" t="s">
        <v>160</v>
      </c>
      <c r="FJ73" s="129" t="s">
        <v>160</v>
      </c>
      <c r="FK73" s="129" t="s">
        <v>160</v>
      </c>
      <c r="FL73" s="129" t="s">
        <v>160</v>
      </c>
      <c r="FM73" s="129" t="s">
        <v>160</v>
      </c>
      <c r="FN73" s="151">
        <v>3.0295809999999999</v>
      </c>
      <c r="FO73" s="151">
        <v>1.8054739999999998</v>
      </c>
      <c r="FP73" s="151">
        <v>1.3266399999999998</v>
      </c>
      <c r="FQ73" s="129" t="s">
        <v>414</v>
      </c>
      <c r="FR73" s="166" t="s">
        <v>348</v>
      </c>
      <c r="FS73" s="166">
        <v>2014</v>
      </c>
      <c r="FT73" s="166" t="s">
        <v>349</v>
      </c>
    </row>
    <row r="74" spans="1:176" s="129" customFormat="1" ht="17">
      <c r="A74" s="166" t="s">
        <v>152</v>
      </c>
      <c r="B74" s="166" t="s">
        <v>183</v>
      </c>
      <c r="C74" s="166">
        <v>2018</v>
      </c>
      <c r="D74" s="166" t="s">
        <v>184</v>
      </c>
      <c r="E74" s="195">
        <v>16086.694000000001</v>
      </c>
      <c r="F74" s="166" t="s">
        <v>160</v>
      </c>
      <c r="G74" s="166" t="s">
        <v>160</v>
      </c>
      <c r="H74" s="190">
        <v>454.34980000000002</v>
      </c>
      <c r="I74" s="191">
        <v>195.40709999999996</v>
      </c>
      <c r="J74" s="191">
        <v>140.73880000000003</v>
      </c>
      <c r="K74" s="129" t="s">
        <v>457</v>
      </c>
      <c r="L74" s="131" t="s">
        <v>185</v>
      </c>
      <c r="M74" s="132" t="s">
        <v>186</v>
      </c>
      <c r="N74" s="129" t="s">
        <v>184</v>
      </c>
      <c r="O74" s="129">
        <v>761</v>
      </c>
      <c r="P74" s="129" t="s">
        <v>235</v>
      </c>
      <c r="Q74" s="178">
        <v>6</v>
      </c>
      <c r="R74" s="178">
        <v>4</v>
      </c>
      <c r="S74" s="191">
        <v>138</v>
      </c>
      <c r="T74" s="129">
        <v>140</v>
      </c>
      <c r="U74" s="129" t="s">
        <v>160</v>
      </c>
      <c r="V74" s="141">
        <v>48.98</v>
      </c>
      <c r="W74" s="196" t="s">
        <v>350</v>
      </c>
      <c r="X74" s="129" t="s">
        <v>351</v>
      </c>
      <c r="Y74" s="196">
        <v>-16.739722220000001</v>
      </c>
      <c r="Z74" s="197">
        <v>115.53611110999999</v>
      </c>
      <c r="AA74" s="129" t="s">
        <v>160</v>
      </c>
      <c r="AB74" s="129" t="s">
        <v>160</v>
      </c>
      <c r="AC74" s="129">
        <v>-2179</v>
      </c>
      <c r="AD74" s="129" t="s">
        <v>160</v>
      </c>
      <c r="AE74" s="129" t="s">
        <v>160</v>
      </c>
      <c r="AF74" s="129" t="s">
        <v>160</v>
      </c>
      <c r="AG74" s="151">
        <v>16086.694000000001</v>
      </c>
      <c r="AH74" s="138" t="s">
        <v>160</v>
      </c>
      <c r="AI74" s="129" t="s">
        <v>160</v>
      </c>
      <c r="AJ74" s="138" t="s">
        <v>160</v>
      </c>
      <c r="AK74" s="129" t="s">
        <v>237</v>
      </c>
      <c r="AL74" s="129" t="s">
        <v>238</v>
      </c>
      <c r="AM74" s="140" t="s">
        <v>239</v>
      </c>
      <c r="AN74" s="129" t="s">
        <v>160</v>
      </c>
      <c r="AO74" s="129" t="s">
        <v>160</v>
      </c>
      <c r="AP74" s="129" t="s">
        <v>160</v>
      </c>
      <c r="AQ74" s="129" t="s">
        <v>160</v>
      </c>
      <c r="AR74" s="129" t="s">
        <v>160</v>
      </c>
      <c r="AS74" s="129" t="s">
        <v>160</v>
      </c>
      <c r="AT74" s="129" t="s">
        <v>160</v>
      </c>
      <c r="AU74" s="129" t="s">
        <v>191</v>
      </c>
      <c r="AV74" s="129" t="s">
        <v>161</v>
      </c>
      <c r="AW74" s="129" t="s">
        <v>192</v>
      </c>
      <c r="AX74" s="129" t="s">
        <v>352</v>
      </c>
      <c r="AY74" s="129" t="s">
        <v>353</v>
      </c>
      <c r="AZ74" s="129" t="s">
        <v>354</v>
      </c>
      <c r="BA74" s="129" t="s">
        <v>196</v>
      </c>
      <c r="BB74" s="198" t="s">
        <v>371</v>
      </c>
      <c r="BC74" s="129">
        <v>2</v>
      </c>
      <c r="BD74" s="151">
        <v>4.1751708923721154E-2</v>
      </c>
      <c r="BE74" s="151">
        <v>15.987555768683066</v>
      </c>
      <c r="BF74" s="129" t="s">
        <v>355</v>
      </c>
      <c r="BG74" s="141">
        <v>0.35530911921819097</v>
      </c>
      <c r="BH74" s="129">
        <v>0.83299999999999996</v>
      </c>
      <c r="BI74" s="129" t="s">
        <v>160</v>
      </c>
      <c r="BJ74" s="138" t="s">
        <v>160</v>
      </c>
      <c r="BK74" s="129">
        <v>2.69</v>
      </c>
      <c r="BL74" s="129" t="s">
        <v>160</v>
      </c>
      <c r="BM74" s="129" t="s">
        <v>160</v>
      </c>
      <c r="BN74" s="129" t="s">
        <v>200</v>
      </c>
      <c r="BO74" s="129" t="s">
        <v>201</v>
      </c>
      <c r="BP74" s="151">
        <v>15.963452303341017</v>
      </c>
      <c r="BQ74" s="129" t="s">
        <v>202</v>
      </c>
      <c r="BR74" s="217"/>
      <c r="BS74" s="129" t="s">
        <v>160</v>
      </c>
      <c r="BT74" s="129" t="s">
        <v>160</v>
      </c>
      <c r="BU74" s="129">
        <v>10</v>
      </c>
      <c r="BV74" s="129" t="s">
        <v>159</v>
      </c>
      <c r="BW74" s="129">
        <v>10</v>
      </c>
      <c r="BX74" s="145">
        <v>29.129685327390558</v>
      </c>
      <c r="BY74" s="129" t="s">
        <v>159</v>
      </c>
      <c r="BZ74" s="129">
        <v>1</v>
      </c>
      <c r="CA74" s="129">
        <v>1</v>
      </c>
      <c r="CB74" s="129" t="s">
        <v>160</v>
      </c>
      <c r="CC74" s="151">
        <v>4.4179987667377745</v>
      </c>
      <c r="CD74" s="129" t="s">
        <v>163</v>
      </c>
      <c r="CE74" s="144">
        <f t="shared" si="10"/>
        <v>0.1192859667019199</v>
      </c>
      <c r="CF74" s="144">
        <f t="shared" si="11"/>
        <v>0.1192859667019199</v>
      </c>
      <c r="CG74" s="145" t="s">
        <v>203</v>
      </c>
      <c r="CH74" s="129" t="s">
        <v>204</v>
      </c>
      <c r="CI74" s="129" t="s">
        <v>205</v>
      </c>
      <c r="CJ74" s="129" t="s">
        <v>206</v>
      </c>
      <c r="CK74" s="129" t="s">
        <v>158</v>
      </c>
      <c r="CL74" s="129" t="s">
        <v>158</v>
      </c>
      <c r="CM74" s="129" t="s">
        <v>158</v>
      </c>
      <c r="CN74" s="129" t="s">
        <v>160</v>
      </c>
      <c r="CO74" s="129" t="s">
        <v>160</v>
      </c>
      <c r="CP74" s="129" t="s">
        <v>160</v>
      </c>
      <c r="CQ74" s="129" t="s">
        <v>160</v>
      </c>
      <c r="CR74" s="129" t="s">
        <v>160</v>
      </c>
      <c r="CS74" s="129" t="s">
        <v>160</v>
      </c>
      <c r="CT74" s="129" t="s">
        <v>160</v>
      </c>
      <c r="CU74" s="129">
        <v>35</v>
      </c>
      <c r="CV74" s="129" t="s">
        <v>159</v>
      </c>
      <c r="CW74" s="146">
        <v>1</v>
      </c>
      <c r="CX74" s="129" t="s">
        <v>207</v>
      </c>
      <c r="CY74" s="129">
        <v>1.3365302698600002E-2</v>
      </c>
      <c r="CZ74" s="129" t="s">
        <v>159</v>
      </c>
      <c r="DA74" s="146">
        <v>2.5000000000000001E-3</v>
      </c>
      <c r="DB74" s="129" t="s">
        <v>208</v>
      </c>
      <c r="DC74" s="129">
        <v>4.6089580193399995E-2</v>
      </c>
      <c r="DD74" s="129" t="s">
        <v>159</v>
      </c>
      <c r="DE74" s="146">
        <v>2.5000000000000001E-3</v>
      </c>
      <c r="DF74" s="129" t="s">
        <v>209</v>
      </c>
      <c r="DG74" s="129" t="s">
        <v>160</v>
      </c>
      <c r="DH74" s="129" t="s">
        <v>160</v>
      </c>
      <c r="DI74" s="129" t="s">
        <v>160</v>
      </c>
      <c r="DJ74" s="129" t="s">
        <v>160</v>
      </c>
      <c r="DK74" s="145">
        <v>424.29</v>
      </c>
      <c r="DL74" s="129" t="s">
        <v>159</v>
      </c>
      <c r="DM74" s="145" t="s">
        <v>160</v>
      </c>
      <c r="DN74" s="129" t="s">
        <v>210</v>
      </c>
      <c r="DO74" s="129">
        <v>37.881180000000001</v>
      </c>
      <c r="DP74" s="129" t="s">
        <v>160</v>
      </c>
      <c r="DQ74" s="129">
        <v>0.66728000000000165</v>
      </c>
      <c r="DR74" s="129" t="s">
        <v>211</v>
      </c>
      <c r="DS74" s="129" t="s">
        <v>212</v>
      </c>
      <c r="DT74" s="129" t="s">
        <v>213</v>
      </c>
      <c r="DU74" s="129">
        <v>1.0271999999999999</v>
      </c>
      <c r="DV74" s="129" t="s">
        <v>214</v>
      </c>
      <c r="DW74" s="129" t="s">
        <v>214</v>
      </c>
      <c r="DX74" s="129" t="s">
        <v>215</v>
      </c>
      <c r="DY74" s="129" t="s">
        <v>160</v>
      </c>
      <c r="DZ74" s="129" t="s">
        <v>164</v>
      </c>
      <c r="EA74" s="129" t="s">
        <v>216</v>
      </c>
      <c r="EB74" s="129" t="s">
        <v>212</v>
      </c>
      <c r="EC74" s="129" t="s">
        <v>212</v>
      </c>
      <c r="ED74" s="129" t="s">
        <v>212</v>
      </c>
      <c r="EE74" s="129" t="s">
        <v>217</v>
      </c>
      <c r="EF74" s="147" t="s">
        <v>213</v>
      </c>
      <c r="EG74" s="148" t="s">
        <v>213</v>
      </c>
      <c r="EH74" s="129" t="s">
        <v>218</v>
      </c>
      <c r="EI74" s="129" t="s">
        <v>219</v>
      </c>
      <c r="EJ74" s="129" t="s">
        <v>160</v>
      </c>
      <c r="EK74" s="129">
        <v>1582.213</v>
      </c>
      <c r="EL74" s="129" t="s">
        <v>163</v>
      </c>
      <c r="EM74" s="150">
        <v>500</v>
      </c>
      <c r="EN74" s="150">
        <v>500</v>
      </c>
      <c r="EO74" s="129" t="s">
        <v>160</v>
      </c>
      <c r="EP74" s="129" t="s">
        <v>160</v>
      </c>
      <c r="EQ74" s="129" t="s">
        <v>160</v>
      </c>
      <c r="ER74" s="129" t="s">
        <v>160</v>
      </c>
      <c r="ES74" s="129">
        <v>7.9126120000000002</v>
      </c>
      <c r="ET74" s="142" t="s">
        <v>165</v>
      </c>
      <c r="EU74" s="129">
        <v>0.10595100000000013</v>
      </c>
      <c r="EV74" s="129">
        <v>0.1203120000000002</v>
      </c>
      <c r="EW74" s="142" t="s">
        <v>160</v>
      </c>
      <c r="EX74" s="129" t="s">
        <v>160</v>
      </c>
      <c r="EY74" s="129" t="s">
        <v>160</v>
      </c>
      <c r="EZ74" s="191">
        <v>454.34980000000002</v>
      </c>
      <c r="FA74" s="191">
        <v>195.40709999999996</v>
      </c>
      <c r="FB74" s="191">
        <v>140.73880000000003</v>
      </c>
      <c r="FC74" s="129" t="s">
        <v>220</v>
      </c>
      <c r="FD74" s="129" t="s">
        <v>221</v>
      </c>
      <c r="FE74" s="191">
        <v>1725.3389999999999</v>
      </c>
      <c r="FF74" s="191">
        <v>401.28699999999981</v>
      </c>
      <c r="FG74" s="191">
        <v>401.97999999999979</v>
      </c>
      <c r="FH74" s="129" t="s">
        <v>160</v>
      </c>
      <c r="FI74" s="129" t="s">
        <v>160</v>
      </c>
      <c r="FJ74" s="129" t="s">
        <v>160</v>
      </c>
      <c r="FK74" s="129" t="s">
        <v>160</v>
      </c>
      <c r="FL74" s="129" t="s">
        <v>160</v>
      </c>
      <c r="FM74" s="129" t="s">
        <v>160</v>
      </c>
      <c r="FN74" s="151">
        <v>3.1800809999999999</v>
      </c>
      <c r="FO74" s="151">
        <v>1.8975649999999997</v>
      </c>
      <c r="FP74" s="151">
        <v>1.3760029999999999</v>
      </c>
      <c r="FQ74" s="129" t="s">
        <v>414</v>
      </c>
      <c r="FR74" s="166" t="s">
        <v>348</v>
      </c>
      <c r="FS74" s="166">
        <v>2014</v>
      </c>
      <c r="FT74" s="166" t="s">
        <v>349</v>
      </c>
    </row>
    <row r="75" spans="1:176" s="129" customFormat="1" ht="17">
      <c r="A75" s="166" t="s">
        <v>152</v>
      </c>
      <c r="B75" s="166" t="s">
        <v>183</v>
      </c>
      <c r="C75" s="166">
        <v>2018</v>
      </c>
      <c r="D75" s="166" t="s">
        <v>184</v>
      </c>
      <c r="E75" s="195">
        <v>16111.754000000001</v>
      </c>
      <c r="F75" s="166" t="s">
        <v>160</v>
      </c>
      <c r="G75" s="166" t="s">
        <v>160</v>
      </c>
      <c r="H75" s="190">
        <v>612.19560000000001</v>
      </c>
      <c r="I75" s="191">
        <v>350.92560000000003</v>
      </c>
      <c r="J75" s="191">
        <v>209.15660000000003</v>
      </c>
      <c r="K75" s="129" t="s">
        <v>457</v>
      </c>
      <c r="L75" s="131" t="s">
        <v>185</v>
      </c>
      <c r="M75" s="132" t="s">
        <v>186</v>
      </c>
      <c r="N75" s="129" t="s">
        <v>184</v>
      </c>
      <c r="O75" s="129">
        <v>761</v>
      </c>
      <c r="P75" s="129" t="s">
        <v>235</v>
      </c>
      <c r="Q75" s="178">
        <v>6</v>
      </c>
      <c r="R75" s="178">
        <v>5</v>
      </c>
      <c r="S75" s="191">
        <v>8</v>
      </c>
      <c r="T75" s="129">
        <v>10</v>
      </c>
      <c r="U75" s="129" t="s">
        <v>160</v>
      </c>
      <c r="V75" s="141">
        <v>49.18</v>
      </c>
      <c r="W75" s="196" t="s">
        <v>350</v>
      </c>
      <c r="X75" s="129" t="s">
        <v>351</v>
      </c>
      <c r="Y75" s="196">
        <v>-16.739722220000001</v>
      </c>
      <c r="Z75" s="197">
        <v>115.53611110999999</v>
      </c>
      <c r="AA75" s="129" t="s">
        <v>160</v>
      </c>
      <c r="AB75" s="129" t="s">
        <v>160</v>
      </c>
      <c r="AC75" s="129">
        <v>-2179</v>
      </c>
      <c r="AD75" s="129" t="s">
        <v>160</v>
      </c>
      <c r="AE75" s="129" t="s">
        <v>160</v>
      </c>
      <c r="AF75" s="129" t="s">
        <v>160</v>
      </c>
      <c r="AG75" s="151">
        <v>16111.754000000001</v>
      </c>
      <c r="AH75" s="138" t="s">
        <v>160</v>
      </c>
      <c r="AI75" s="129" t="s">
        <v>160</v>
      </c>
      <c r="AJ75" s="138" t="s">
        <v>160</v>
      </c>
      <c r="AK75" s="129" t="s">
        <v>237</v>
      </c>
      <c r="AL75" s="129" t="s">
        <v>238</v>
      </c>
      <c r="AM75" s="140" t="s">
        <v>239</v>
      </c>
      <c r="AN75" s="129" t="s">
        <v>160</v>
      </c>
      <c r="AO75" s="129" t="s">
        <v>160</v>
      </c>
      <c r="AP75" s="129" t="s">
        <v>160</v>
      </c>
      <c r="AQ75" s="129" t="s">
        <v>160</v>
      </c>
      <c r="AR75" s="129" t="s">
        <v>160</v>
      </c>
      <c r="AS75" s="129" t="s">
        <v>160</v>
      </c>
      <c r="AT75" s="129" t="s">
        <v>160</v>
      </c>
      <c r="AU75" s="129" t="s">
        <v>191</v>
      </c>
      <c r="AV75" s="129" t="s">
        <v>161</v>
      </c>
      <c r="AW75" s="129" t="s">
        <v>192</v>
      </c>
      <c r="AX75" s="129" t="s">
        <v>352</v>
      </c>
      <c r="AY75" s="129" t="s">
        <v>353</v>
      </c>
      <c r="AZ75" s="129" t="s">
        <v>354</v>
      </c>
      <c r="BA75" s="129" t="s">
        <v>196</v>
      </c>
      <c r="BB75" s="198" t="s">
        <v>372</v>
      </c>
      <c r="BC75" s="129">
        <v>2</v>
      </c>
      <c r="BD75" s="151">
        <v>0.92004079187905852</v>
      </c>
      <c r="BE75" s="151">
        <v>15.058872043045291</v>
      </c>
      <c r="BF75" s="129" t="s">
        <v>355</v>
      </c>
      <c r="BG75" s="141">
        <v>0.62693530199986136</v>
      </c>
      <c r="BH75" s="129">
        <v>0.83299999999999996</v>
      </c>
      <c r="BI75" s="129" t="s">
        <v>160</v>
      </c>
      <c r="BJ75" s="138" t="s">
        <v>160</v>
      </c>
      <c r="BK75" s="129">
        <v>2.69</v>
      </c>
      <c r="BL75" s="129" t="s">
        <v>160</v>
      </c>
      <c r="BM75" s="129" t="s">
        <v>160</v>
      </c>
      <c r="BN75" s="129" t="s">
        <v>200</v>
      </c>
      <c r="BO75" s="129" t="s">
        <v>201</v>
      </c>
      <c r="BP75" s="151">
        <v>14.848585886008754</v>
      </c>
      <c r="BQ75" s="129" t="s">
        <v>202</v>
      </c>
      <c r="BR75" s="217"/>
      <c r="BS75" s="129" t="s">
        <v>160</v>
      </c>
      <c r="BT75" s="129" t="s">
        <v>160</v>
      </c>
      <c r="BU75" s="129">
        <v>10</v>
      </c>
      <c r="BV75" s="129" t="s">
        <v>159</v>
      </c>
      <c r="BW75" s="129">
        <v>10</v>
      </c>
      <c r="BX75" s="145">
        <v>28.734753225181642</v>
      </c>
      <c r="BY75" s="129" t="s">
        <v>159</v>
      </c>
      <c r="BZ75" s="129">
        <v>1</v>
      </c>
      <c r="CA75" s="129">
        <v>1</v>
      </c>
      <c r="CB75" s="129" t="s">
        <v>160</v>
      </c>
      <c r="CC75" s="151">
        <v>4.2626341395242289</v>
      </c>
      <c r="CD75" s="129" t="s">
        <v>163</v>
      </c>
      <c r="CE75" s="144">
        <f t="shared" si="10"/>
        <v>0.11509112176715418</v>
      </c>
      <c r="CF75" s="144">
        <f t="shared" si="11"/>
        <v>0.11509112176715418</v>
      </c>
      <c r="CG75" s="145" t="s">
        <v>203</v>
      </c>
      <c r="CH75" s="129" t="s">
        <v>204</v>
      </c>
      <c r="CI75" s="129" t="s">
        <v>205</v>
      </c>
      <c r="CJ75" s="129" t="s">
        <v>206</v>
      </c>
      <c r="CK75" s="129" t="s">
        <v>158</v>
      </c>
      <c r="CL75" s="129" t="s">
        <v>158</v>
      </c>
      <c r="CM75" s="129" t="s">
        <v>158</v>
      </c>
      <c r="CN75" s="129" t="s">
        <v>160</v>
      </c>
      <c r="CO75" s="129" t="s">
        <v>160</v>
      </c>
      <c r="CP75" s="129" t="s">
        <v>160</v>
      </c>
      <c r="CQ75" s="129" t="s">
        <v>160</v>
      </c>
      <c r="CR75" s="129" t="s">
        <v>160</v>
      </c>
      <c r="CS75" s="129" t="s">
        <v>160</v>
      </c>
      <c r="CT75" s="129" t="s">
        <v>160</v>
      </c>
      <c r="CU75" s="129">
        <v>35</v>
      </c>
      <c r="CV75" s="129" t="s">
        <v>159</v>
      </c>
      <c r="CW75" s="146">
        <v>1</v>
      </c>
      <c r="CX75" s="129" t="s">
        <v>207</v>
      </c>
      <c r="CY75" s="129">
        <v>1.3369610512599999E-2</v>
      </c>
      <c r="CZ75" s="129" t="s">
        <v>159</v>
      </c>
      <c r="DA75" s="146">
        <v>2.5000000000000001E-3</v>
      </c>
      <c r="DB75" s="129" t="s">
        <v>208</v>
      </c>
      <c r="DC75" s="129">
        <v>4.6075699459400002E-2</v>
      </c>
      <c r="DD75" s="129" t="s">
        <v>159</v>
      </c>
      <c r="DE75" s="146">
        <v>2.5000000000000001E-3</v>
      </c>
      <c r="DF75" s="129" t="s">
        <v>209</v>
      </c>
      <c r="DG75" s="129" t="s">
        <v>160</v>
      </c>
      <c r="DH75" s="129" t="s">
        <v>160</v>
      </c>
      <c r="DI75" s="129" t="s">
        <v>160</v>
      </c>
      <c r="DJ75" s="129" t="s">
        <v>160</v>
      </c>
      <c r="DK75" s="145">
        <v>424.29</v>
      </c>
      <c r="DL75" s="129" t="s">
        <v>159</v>
      </c>
      <c r="DM75" s="145" t="s">
        <v>160</v>
      </c>
      <c r="DN75" s="129" t="s">
        <v>210</v>
      </c>
      <c r="DO75" s="129">
        <v>37.87285</v>
      </c>
      <c r="DP75" s="129" t="s">
        <v>160</v>
      </c>
      <c r="DQ75" s="129">
        <v>0.67416500000000212</v>
      </c>
      <c r="DR75" s="129" t="s">
        <v>211</v>
      </c>
      <c r="DS75" s="129" t="s">
        <v>212</v>
      </c>
      <c r="DT75" s="129" t="s">
        <v>213</v>
      </c>
      <c r="DU75" s="129">
        <v>1.0271999999999999</v>
      </c>
      <c r="DV75" s="129" t="s">
        <v>214</v>
      </c>
      <c r="DW75" s="129" t="s">
        <v>214</v>
      </c>
      <c r="DX75" s="129" t="s">
        <v>215</v>
      </c>
      <c r="DY75" s="129" t="s">
        <v>160</v>
      </c>
      <c r="DZ75" s="129" t="s">
        <v>164</v>
      </c>
      <c r="EA75" s="129" t="s">
        <v>216</v>
      </c>
      <c r="EB75" s="129" t="s">
        <v>212</v>
      </c>
      <c r="EC75" s="129" t="s">
        <v>212</v>
      </c>
      <c r="ED75" s="129" t="s">
        <v>212</v>
      </c>
      <c r="EE75" s="129" t="s">
        <v>217</v>
      </c>
      <c r="EF75" s="147" t="s">
        <v>213</v>
      </c>
      <c r="EG75" s="148" t="s">
        <v>213</v>
      </c>
      <c r="EH75" s="129" t="s">
        <v>218</v>
      </c>
      <c r="EI75" s="129" t="s">
        <v>219</v>
      </c>
      <c r="EJ75" s="129" t="s">
        <v>160</v>
      </c>
      <c r="EK75" s="129">
        <v>1583.011</v>
      </c>
      <c r="EL75" s="129" t="s">
        <v>163</v>
      </c>
      <c r="EM75" s="150">
        <v>500</v>
      </c>
      <c r="EN75" s="150">
        <v>500</v>
      </c>
      <c r="EO75" s="129" t="s">
        <v>160</v>
      </c>
      <c r="EP75" s="129" t="s">
        <v>160</v>
      </c>
      <c r="EQ75" s="129" t="s">
        <v>160</v>
      </c>
      <c r="ER75" s="129" t="s">
        <v>160</v>
      </c>
      <c r="ES75" s="129">
        <v>7.7862809999999998</v>
      </c>
      <c r="ET75" s="142" t="s">
        <v>165</v>
      </c>
      <c r="EU75" s="129">
        <v>0.13537700000000008</v>
      </c>
      <c r="EV75" s="129">
        <v>0.1713129999999996</v>
      </c>
      <c r="EW75" s="142" t="s">
        <v>160</v>
      </c>
      <c r="EX75" s="129" t="s">
        <v>160</v>
      </c>
      <c r="EY75" s="129" t="s">
        <v>160</v>
      </c>
      <c r="EZ75" s="191">
        <v>612.19560000000001</v>
      </c>
      <c r="FA75" s="191">
        <v>350.92560000000003</v>
      </c>
      <c r="FB75" s="191">
        <v>209.15660000000003</v>
      </c>
      <c r="FC75" s="129" t="s">
        <v>220</v>
      </c>
      <c r="FD75" s="129" t="s">
        <v>221</v>
      </c>
      <c r="FE75" s="191">
        <v>1683.6119999999999</v>
      </c>
      <c r="FF75" s="191">
        <v>400.87200000000053</v>
      </c>
      <c r="FG75" s="191">
        <v>386.07999999999993</v>
      </c>
      <c r="FH75" s="129" t="s">
        <v>160</v>
      </c>
      <c r="FI75" s="129" t="s">
        <v>160</v>
      </c>
      <c r="FJ75" s="129" t="s">
        <v>160</v>
      </c>
      <c r="FK75" s="129" t="s">
        <v>160</v>
      </c>
      <c r="FL75" s="129" t="s">
        <v>160</v>
      </c>
      <c r="FM75" s="129" t="s">
        <v>160</v>
      </c>
      <c r="FN75" s="151">
        <v>2.367931</v>
      </c>
      <c r="FO75" s="151">
        <v>1.569858</v>
      </c>
      <c r="FP75" s="151">
        <v>1.092819</v>
      </c>
      <c r="FQ75" s="129" t="s">
        <v>414</v>
      </c>
      <c r="FR75" s="166" t="s">
        <v>348</v>
      </c>
      <c r="FS75" s="166">
        <v>2014</v>
      </c>
      <c r="FT75" s="166" t="s">
        <v>349</v>
      </c>
    </row>
    <row r="76" spans="1:176" s="129" customFormat="1" ht="17">
      <c r="A76" s="166" t="s">
        <v>152</v>
      </c>
      <c r="B76" s="166" t="s">
        <v>183</v>
      </c>
      <c r="C76" s="166">
        <v>2018</v>
      </c>
      <c r="D76" s="166" t="s">
        <v>184</v>
      </c>
      <c r="E76" s="195">
        <v>16124.284</v>
      </c>
      <c r="F76" s="166" t="s">
        <v>160</v>
      </c>
      <c r="G76" s="166" t="s">
        <v>160</v>
      </c>
      <c r="H76" s="190">
        <v>481.45170000000002</v>
      </c>
      <c r="I76" s="191">
        <v>209.26040000000006</v>
      </c>
      <c r="J76" s="191">
        <v>149.79899999999998</v>
      </c>
      <c r="K76" s="129" t="s">
        <v>457</v>
      </c>
      <c r="L76" s="131" t="s">
        <v>185</v>
      </c>
      <c r="M76" s="132" t="s">
        <v>186</v>
      </c>
      <c r="N76" s="129" t="s">
        <v>184</v>
      </c>
      <c r="O76" s="129">
        <v>761</v>
      </c>
      <c r="P76" s="129" t="s">
        <v>235</v>
      </c>
      <c r="Q76" s="178">
        <v>6</v>
      </c>
      <c r="R76" s="178">
        <v>5</v>
      </c>
      <c r="S76" s="191">
        <v>18</v>
      </c>
      <c r="T76" s="129">
        <v>20</v>
      </c>
      <c r="U76" s="129" t="s">
        <v>160</v>
      </c>
      <c r="V76" s="141">
        <v>49.28</v>
      </c>
      <c r="W76" s="196" t="s">
        <v>350</v>
      </c>
      <c r="X76" s="129" t="s">
        <v>351</v>
      </c>
      <c r="Y76" s="196">
        <v>-16.739722220000001</v>
      </c>
      <c r="Z76" s="197">
        <v>115.53611110999999</v>
      </c>
      <c r="AA76" s="129" t="s">
        <v>160</v>
      </c>
      <c r="AB76" s="129" t="s">
        <v>160</v>
      </c>
      <c r="AC76" s="129">
        <v>-2179</v>
      </c>
      <c r="AD76" s="129" t="s">
        <v>160</v>
      </c>
      <c r="AE76" s="129" t="s">
        <v>160</v>
      </c>
      <c r="AF76" s="129" t="s">
        <v>160</v>
      </c>
      <c r="AG76" s="151">
        <v>16124.284</v>
      </c>
      <c r="AH76" s="138" t="s">
        <v>160</v>
      </c>
      <c r="AI76" s="129" t="s">
        <v>160</v>
      </c>
      <c r="AJ76" s="138" t="s">
        <v>160</v>
      </c>
      <c r="AK76" s="129" t="s">
        <v>237</v>
      </c>
      <c r="AL76" s="129" t="s">
        <v>238</v>
      </c>
      <c r="AM76" s="140" t="s">
        <v>239</v>
      </c>
      <c r="AN76" s="129" t="s">
        <v>160</v>
      </c>
      <c r="AO76" s="129" t="s">
        <v>160</v>
      </c>
      <c r="AP76" s="129" t="s">
        <v>160</v>
      </c>
      <c r="AQ76" s="129" t="s">
        <v>160</v>
      </c>
      <c r="AR76" s="129" t="s">
        <v>160</v>
      </c>
      <c r="AS76" s="129" t="s">
        <v>160</v>
      </c>
      <c r="AT76" s="129" t="s">
        <v>160</v>
      </c>
      <c r="AU76" s="129" t="s">
        <v>191</v>
      </c>
      <c r="AV76" s="129" t="s">
        <v>161</v>
      </c>
      <c r="AW76" s="129" t="s">
        <v>192</v>
      </c>
      <c r="AX76" s="129" t="s">
        <v>352</v>
      </c>
      <c r="AY76" s="129" t="s">
        <v>353</v>
      </c>
      <c r="AZ76" s="129" t="s">
        <v>354</v>
      </c>
      <c r="BA76" s="129" t="s">
        <v>196</v>
      </c>
      <c r="BB76" s="198" t="s">
        <v>373</v>
      </c>
      <c r="BC76" s="129">
        <v>2</v>
      </c>
      <c r="BD76" s="151">
        <v>0.22368753589403489</v>
      </c>
      <c r="BE76" s="151">
        <v>15.86551176033219</v>
      </c>
      <c r="BF76" s="129" t="s">
        <v>355</v>
      </c>
      <c r="BG76" s="141">
        <v>0.29383208651235204</v>
      </c>
      <c r="BH76" s="129">
        <v>0.83299999999999996</v>
      </c>
      <c r="BI76" s="129" t="s">
        <v>160</v>
      </c>
      <c r="BJ76" s="138" t="s">
        <v>160</v>
      </c>
      <c r="BK76" s="129">
        <v>2.69</v>
      </c>
      <c r="BL76" s="129" t="s">
        <v>160</v>
      </c>
      <c r="BM76" s="129" t="s">
        <v>160</v>
      </c>
      <c r="BN76" s="129" t="s">
        <v>200</v>
      </c>
      <c r="BO76" s="129" t="s">
        <v>201</v>
      </c>
      <c r="BP76" s="151">
        <v>15.816940888754131</v>
      </c>
      <c r="BQ76" s="129" t="s">
        <v>202</v>
      </c>
      <c r="BR76" s="217"/>
      <c r="BS76" s="129" t="s">
        <v>160</v>
      </c>
      <c r="BT76" s="129" t="s">
        <v>160</v>
      </c>
      <c r="BU76" s="129">
        <v>10</v>
      </c>
      <c r="BV76" s="129" t="s">
        <v>159</v>
      </c>
      <c r="BW76" s="129">
        <v>10</v>
      </c>
      <c r="BX76" s="145">
        <v>29.73144379966682</v>
      </c>
      <c r="BY76" s="129" t="s">
        <v>159</v>
      </c>
      <c r="BZ76" s="129">
        <v>1</v>
      </c>
      <c r="CA76" s="129">
        <v>1</v>
      </c>
      <c r="CB76" s="129" t="s">
        <v>160</v>
      </c>
      <c r="CC76" s="151">
        <v>4.6620797790211803</v>
      </c>
      <c r="CD76" s="129" t="s">
        <v>163</v>
      </c>
      <c r="CE76" s="144">
        <f t="shared" si="10"/>
        <v>0.12587615403357186</v>
      </c>
      <c r="CF76" s="144">
        <f t="shared" si="11"/>
        <v>0.12587615403357186</v>
      </c>
      <c r="CG76" s="145" t="s">
        <v>203</v>
      </c>
      <c r="CH76" s="129" t="s">
        <v>204</v>
      </c>
      <c r="CI76" s="129" t="s">
        <v>205</v>
      </c>
      <c r="CJ76" s="129" t="s">
        <v>206</v>
      </c>
      <c r="CK76" s="129" t="s">
        <v>158</v>
      </c>
      <c r="CL76" s="129" t="s">
        <v>158</v>
      </c>
      <c r="CM76" s="129" t="s">
        <v>158</v>
      </c>
      <c r="CN76" s="129" t="s">
        <v>160</v>
      </c>
      <c r="CO76" s="129" t="s">
        <v>160</v>
      </c>
      <c r="CP76" s="129" t="s">
        <v>160</v>
      </c>
      <c r="CQ76" s="129" t="s">
        <v>160</v>
      </c>
      <c r="CR76" s="129" t="s">
        <v>160</v>
      </c>
      <c r="CS76" s="129" t="s">
        <v>160</v>
      </c>
      <c r="CT76" s="129" t="s">
        <v>160</v>
      </c>
      <c r="CU76" s="129">
        <v>35</v>
      </c>
      <c r="CV76" s="129" t="s">
        <v>159</v>
      </c>
      <c r="CW76" s="146">
        <v>1</v>
      </c>
      <c r="CX76" s="129" t="s">
        <v>207</v>
      </c>
      <c r="CY76" s="129">
        <v>1.33717644196E-2</v>
      </c>
      <c r="CZ76" s="129" t="s">
        <v>159</v>
      </c>
      <c r="DA76" s="146">
        <v>2.5000000000000001E-3</v>
      </c>
      <c r="DB76" s="129" t="s">
        <v>208</v>
      </c>
      <c r="DC76" s="129">
        <v>4.6068759092399998E-2</v>
      </c>
      <c r="DD76" s="129" t="s">
        <v>159</v>
      </c>
      <c r="DE76" s="146">
        <v>2.5000000000000001E-3</v>
      </c>
      <c r="DF76" s="129" t="s">
        <v>209</v>
      </c>
      <c r="DG76" s="129" t="s">
        <v>160</v>
      </c>
      <c r="DH76" s="129" t="s">
        <v>160</v>
      </c>
      <c r="DI76" s="129" t="s">
        <v>160</v>
      </c>
      <c r="DJ76" s="129" t="s">
        <v>160</v>
      </c>
      <c r="DK76" s="145">
        <v>424.29</v>
      </c>
      <c r="DL76" s="129" t="s">
        <v>159</v>
      </c>
      <c r="DM76" s="145" t="s">
        <v>160</v>
      </c>
      <c r="DN76" s="129" t="s">
        <v>210</v>
      </c>
      <c r="DO76" s="129">
        <v>37.87612</v>
      </c>
      <c r="DP76" s="129" t="s">
        <v>160</v>
      </c>
      <c r="DQ76" s="129">
        <v>0.67224999999999824</v>
      </c>
      <c r="DR76" s="129" t="s">
        <v>211</v>
      </c>
      <c r="DS76" s="129" t="s">
        <v>212</v>
      </c>
      <c r="DT76" s="129" t="s">
        <v>213</v>
      </c>
      <c r="DU76" s="129">
        <v>1.0271999999999999</v>
      </c>
      <c r="DV76" s="129" t="s">
        <v>214</v>
      </c>
      <c r="DW76" s="129" t="s">
        <v>214</v>
      </c>
      <c r="DX76" s="129" t="s">
        <v>215</v>
      </c>
      <c r="DY76" s="129" t="s">
        <v>160</v>
      </c>
      <c r="DZ76" s="129" t="s">
        <v>164</v>
      </c>
      <c r="EA76" s="129" t="s">
        <v>216</v>
      </c>
      <c r="EB76" s="129" t="s">
        <v>212</v>
      </c>
      <c r="EC76" s="129" t="s">
        <v>212</v>
      </c>
      <c r="ED76" s="129" t="s">
        <v>212</v>
      </c>
      <c r="EE76" s="129" t="s">
        <v>217</v>
      </c>
      <c r="EF76" s="147" t="s">
        <v>213</v>
      </c>
      <c r="EG76" s="148" t="s">
        <v>213</v>
      </c>
      <c r="EH76" s="129" t="s">
        <v>218</v>
      </c>
      <c r="EI76" s="129" t="s">
        <v>219</v>
      </c>
      <c r="EJ76" s="129" t="s">
        <v>160</v>
      </c>
      <c r="EK76" s="129">
        <v>1584.9010000000001</v>
      </c>
      <c r="EL76" s="129" t="s">
        <v>163</v>
      </c>
      <c r="EM76" s="150">
        <v>500</v>
      </c>
      <c r="EN76" s="150">
        <v>500</v>
      </c>
      <c r="EO76" s="129" t="s">
        <v>160</v>
      </c>
      <c r="EP76" s="129" t="s">
        <v>160</v>
      </c>
      <c r="EQ76" s="129" t="s">
        <v>160</v>
      </c>
      <c r="ER76" s="129" t="s">
        <v>160</v>
      </c>
      <c r="ES76" s="129">
        <v>7.8899670000000004</v>
      </c>
      <c r="ET76" s="142" t="s">
        <v>165</v>
      </c>
      <c r="EU76" s="129">
        <v>0.10329599999999939</v>
      </c>
      <c r="EV76" s="129">
        <v>0.1215490000000008</v>
      </c>
      <c r="EW76" s="142" t="s">
        <v>160</v>
      </c>
      <c r="EX76" s="129" t="s">
        <v>160</v>
      </c>
      <c r="EY76" s="129" t="s">
        <v>160</v>
      </c>
      <c r="EZ76" s="191">
        <v>481.45170000000002</v>
      </c>
      <c r="FA76" s="191">
        <v>209.26040000000006</v>
      </c>
      <c r="FB76" s="191">
        <v>149.79899999999998</v>
      </c>
      <c r="FC76" s="129" t="s">
        <v>220</v>
      </c>
      <c r="FD76" s="129" t="s">
        <v>221</v>
      </c>
      <c r="FE76" s="191">
        <v>1721.41</v>
      </c>
      <c r="FF76" s="191">
        <v>396.05700000000002</v>
      </c>
      <c r="FG76" s="191">
        <v>396.27200000000016</v>
      </c>
      <c r="FH76" s="129" t="s">
        <v>160</v>
      </c>
      <c r="FI76" s="129" t="s">
        <v>160</v>
      </c>
      <c r="FJ76" s="129" t="s">
        <v>160</v>
      </c>
      <c r="FK76" s="129" t="s">
        <v>160</v>
      </c>
      <c r="FL76" s="129" t="s">
        <v>160</v>
      </c>
      <c r="FM76" s="129" t="s">
        <v>160</v>
      </c>
      <c r="FN76" s="151">
        <v>3.1176339999999998</v>
      </c>
      <c r="FO76" s="151">
        <v>1.8556980000000003</v>
      </c>
      <c r="FP76" s="151">
        <v>1.3551599999999997</v>
      </c>
      <c r="FQ76" s="129" t="s">
        <v>414</v>
      </c>
      <c r="FR76" s="166" t="s">
        <v>348</v>
      </c>
      <c r="FS76" s="166">
        <v>2014</v>
      </c>
      <c r="FT76" s="166" t="s">
        <v>349</v>
      </c>
    </row>
    <row r="77" spans="1:176" s="129" customFormat="1" ht="17">
      <c r="A77" s="166" t="s">
        <v>152</v>
      </c>
      <c r="B77" s="166" t="s">
        <v>183</v>
      </c>
      <c r="C77" s="166">
        <v>2018</v>
      </c>
      <c r="D77" s="166" t="s">
        <v>184</v>
      </c>
      <c r="E77" s="195">
        <v>16136.814</v>
      </c>
      <c r="F77" s="166" t="s">
        <v>160</v>
      </c>
      <c r="G77" s="166" t="s">
        <v>160</v>
      </c>
      <c r="H77" s="190">
        <v>423.6164</v>
      </c>
      <c r="I77" s="191">
        <v>188.33949999999993</v>
      </c>
      <c r="J77" s="191">
        <v>130.71160000000003</v>
      </c>
      <c r="K77" s="129" t="s">
        <v>457</v>
      </c>
      <c r="L77" s="131" t="s">
        <v>185</v>
      </c>
      <c r="M77" s="132" t="s">
        <v>186</v>
      </c>
      <c r="N77" s="129" t="s">
        <v>184</v>
      </c>
      <c r="O77" s="129">
        <v>761</v>
      </c>
      <c r="P77" s="129" t="s">
        <v>235</v>
      </c>
      <c r="Q77" s="178">
        <v>6</v>
      </c>
      <c r="R77" s="178">
        <v>5</v>
      </c>
      <c r="S77" s="191">
        <v>28</v>
      </c>
      <c r="T77" s="129">
        <v>30</v>
      </c>
      <c r="U77" s="129" t="s">
        <v>160</v>
      </c>
      <c r="V77" s="141">
        <v>49.38</v>
      </c>
      <c r="W77" s="196" t="s">
        <v>350</v>
      </c>
      <c r="X77" s="129" t="s">
        <v>351</v>
      </c>
      <c r="Y77" s="196">
        <v>-16.739722220000001</v>
      </c>
      <c r="Z77" s="197">
        <v>115.53611110999999</v>
      </c>
      <c r="AA77" s="129" t="s">
        <v>160</v>
      </c>
      <c r="AB77" s="129" t="s">
        <v>160</v>
      </c>
      <c r="AC77" s="129">
        <v>-2179</v>
      </c>
      <c r="AD77" s="129" t="s">
        <v>160</v>
      </c>
      <c r="AE77" s="129" t="s">
        <v>160</v>
      </c>
      <c r="AF77" s="129" t="s">
        <v>160</v>
      </c>
      <c r="AG77" s="151">
        <v>16136.814</v>
      </c>
      <c r="AH77" s="138" t="s">
        <v>160</v>
      </c>
      <c r="AI77" s="129" t="s">
        <v>160</v>
      </c>
      <c r="AJ77" s="138" t="s">
        <v>160</v>
      </c>
      <c r="AK77" s="129" t="s">
        <v>237</v>
      </c>
      <c r="AL77" s="129" t="s">
        <v>238</v>
      </c>
      <c r="AM77" s="140" t="s">
        <v>239</v>
      </c>
      <c r="AN77" s="129" t="s">
        <v>160</v>
      </c>
      <c r="AO77" s="129" t="s">
        <v>160</v>
      </c>
      <c r="AP77" s="129" t="s">
        <v>160</v>
      </c>
      <c r="AQ77" s="129" t="s">
        <v>160</v>
      </c>
      <c r="AR77" s="129" t="s">
        <v>160</v>
      </c>
      <c r="AS77" s="129" t="s">
        <v>160</v>
      </c>
      <c r="AT77" s="129" t="s">
        <v>160</v>
      </c>
      <c r="AU77" s="129" t="s">
        <v>191</v>
      </c>
      <c r="AV77" s="129" t="s">
        <v>161</v>
      </c>
      <c r="AW77" s="129" t="s">
        <v>192</v>
      </c>
      <c r="AX77" s="129" t="s">
        <v>352</v>
      </c>
      <c r="AY77" s="129" t="s">
        <v>353</v>
      </c>
      <c r="AZ77" s="129" t="s">
        <v>354</v>
      </c>
      <c r="BA77" s="129" t="s">
        <v>196</v>
      </c>
      <c r="BB77" s="198" t="s">
        <v>374</v>
      </c>
      <c r="BC77" s="129">
        <v>2</v>
      </c>
      <c r="BD77" s="151">
        <v>0.31663754930222682</v>
      </c>
      <c r="BE77" s="151">
        <v>16.117558769651072</v>
      </c>
      <c r="BF77" s="129" t="s">
        <v>355</v>
      </c>
      <c r="BG77" s="141">
        <v>0.32718978573032964</v>
      </c>
      <c r="BH77" s="129">
        <v>0.83299999999999996</v>
      </c>
      <c r="BI77" s="129" t="s">
        <v>160</v>
      </c>
      <c r="BJ77" s="138" t="s">
        <v>160</v>
      </c>
      <c r="BK77" s="129">
        <v>2.69</v>
      </c>
      <c r="BL77" s="129" t="s">
        <v>160</v>
      </c>
      <c r="BM77" s="129" t="s">
        <v>160</v>
      </c>
      <c r="BN77" s="129" t="s">
        <v>200</v>
      </c>
      <c r="BO77" s="129" t="s">
        <v>201</v>
      </c>
      <c r="BP77" s="151">
        <v>16.119518330913653</v>
      </c>
      <c r="BQ77" s="129" t="s">
        <v>202</v>
      </c>
      <c r="BR77" s="217"/>
      <c r="BS77" s="129" t="s">
        <v>160</v>
      </c>
      <c r="BT77" s="129" t="s">
        <v>160</v>
      </c>
      <c r="BU77" s="129">
        <v>10</v>
      </c>
      <c r="BV77" s="129" t="s">
        <v>159</v>
      </c>
      <c r="BW77" s="129">
        <v>10</v>
      </c>
      <c r="BX77" s="145">
        <v>28.011630229570976</v>
      </c>
      <c r="BY77" s="129" t="s">
        <v>159</v>
      </c>
      <c r="BZ77" s="129">
        <v>1</v>
      </c>
      <c r="CA77" s="129">
        <v>1</v>
      </c>
      <c r="CB77" s="129" t="s">
        <v>160</v>
      </c>
      <c r="CC77" s="151">
        <v>3.9930311239999998</v>
      </c>
      <c r="CD77" s="129" t="s">
        <v>163</v>
      </c>
      <c r="CE77" s="144">
        <f t="shared" si="10"/>
        <v>0.107811840348</v>
      </c>
      <c r="CF77" s="144">
        <f t="shared" si="11"/>
        <v>0.107811840348</v>
      </c>
      <c r="CG77" s="145" t="s">
        <v>203</v>
      </c>
      <c r="CH77" s="129" t="s">
        <v>204</v>
      </c>
      <c r="CI77" s="129" t="s">
        <v>205</v>
      </c>
      <c r="CJ77" s="129" t="s">
        <v>206</v>
      </c>
      <c r="CK77" s="129" t="s">
        <v>158</v>
      </c>
      <c r="CL77" s="129" t="s">
        <v>158</v>
      </c>
      <c r="CM77" s="129" t="s">
        <v>158</v>
      </c>
      <c r="CN77" s="129" t="s">
        <v>160</v>
      </c>
      <c r="CO77" s="129" t="s">
        <v>160</v>
      </c>
      <c r="CP77" s="129" t="s">
        <v>160</v>
      </c>
      <c r="CQ77" s="129" t="s">
        <v>160</v>
      </c>
      <c r="CR77" s="129" t="s">
        <v>160</v>
      </c>
      <c r="CS77" s="129" t="s">
        <v>160</v>
      </c>
      <c r="CT77" s="129" t="s">
        <v>160</v>
      </c>
      <c r="CU77" s="129">
        <v>35</v>
      </c>
      <c r="CV77" s="129" t="s">
        <v>159</v>
      </c>
      <c r="CW77" s="146">
        <v>1</v>
      </c>
      <c r="CX77" s="129" t="s">
        <v>207</v>
      </c>
      <c r="CY77" s="129">
        <v>1.3373918326600001E-2</v>
      </c>
      <c r="CZ77" s="129" t="s">
        <v>159</v>
      </c>
      <c r="DA77" s="146">
        <v>2.5000000000000001E-3</v>
      </c>
      <c r="DB77" s="129" t="s">
        <v>208</v>
      </c>
      <c r="DC77" s="129">
        <v>4.6061818725400001E-2</v>
      </c>
      <c r="DD77" s="129" t="s">
        <v>159</v>
      </c>
      <c r="DE77" s="146">
        <v>2.5000000000000001E-3</v>
      </c>
      <c r="DF77" s="129" t="s">
        <v>209</v>
      </c>
      <c r="DG77" s="129" t="s">
        <v>160</v>
      </c>
      <c r="DH77" s="129" t="s">
        <v>160</v>
      </c>
      <c r="DI77" s="129" t="s">
        <v>160</v>
      </c>
      <c r="DJ77" s="129" t="s">
        <v>160</v>
      </c>
      <c r="DK77" s="145">
        <v>424.29</v>
      </c>
      <c r="DL77" s="129" t="s">
        <v>159</v>
      </c>
      <c r="DM77" s="145" t="s">
        <v>160</v>
      </c>
      <c r="DN77" s="129" t="s">
        <v>210</v>
      </c>
      <c r="DO77" s="129">
        <v>37.869190000000003</v>
      </c>
      <c r="DP77" s="129" t="s">
        <v>160</v>
      </c>
      <c r="DQ77" s="129">
        <v>0.67375499999999988</v>
      </c>
      <c r="DR77" s="129" t="s">
        <v>211</v>
      </c>
      <c r="DS77" s="129" t="s">
        <v>212</v>
      </c>
      <c r="DT77" s="129" t="s">
        <v>213</v>
      </c>
      <c r="DU77" s="129">
        <v>1.0271999999999999</v>
      </c>
      <c r="DV77" s="129" t="s">
        <v>214</v>
      </c>
      <c r="DW77" s="129" t="s">
        <v>214</v>
      </c>
      <c r="DX77" s="129" t="s">
        <v>215</v>
      </c>
      <c r="DY77" s="129" t="s">
        <v>160</v>
      </c>
      <c r="DZ77" s="129" t="s">
        <v>164</v>
      </c>
      <c r="EA77" s="129" t="s">
        <v>216</v>
      </c>
      <c r="EB77" s="129" t="s">
        <v>212</v>
      </c>
      <c r="EC77" s="129" t="s">
        <v>212</v>
      </c>
      <c r="ED77" s="129" t="s">
        <v>212</v>
      </c>
      <c r="EE77" s="129" t="s">
        <v>217</v>
      </c>
      <c r="EF77" s="147" t="s">
        <v>213</v>
      </c>
      <c r="EG77" s="148" t="s">
        <v>213</v>
      </c>
      <c r="EH77" s="129" t="s">
        <v>218</v>
      </c>
      <c r="EI77" s="129" t="s">
        <v>219</v>
      </c>
      <c r="EJ77" s="129" t="s">
        <v>160</v>
      </c>
      <c r="EK77" s="129">
        <v>1584.979</v>
      </c>
      <c r="EL77" s="129" t="s">
        <v>163</v>
      </c>
      <c r="EM77" s="150">
        <v>500</v>
      </c>
      <c r="EN77" s="150">
        <v>500</v>
      </c>
      <c r="EO77" s="129" t="s">
        <v>160</v>
      </c>
      <c r="EP77" s="129" t="s">
        <v>160</v>
      </c>
      <c r="EQ77" s="129" t="s">
        <v>160</v>
      </c>
      <c r="ER77" s="129" t="s">
        <v>160</v>
      </c>
      <c r="ES77" s="129">
        <v>7.9401109999999999</v>
      </c>
      <c r="ET77" s="142" t="s">
        <v>165</v>
      </c>
      <c r="EU77" s="129">
        <v>0.10139799999999966</v>
      </c>
      <c r="EV77" s="129">
        <v>0.11521099999999951</v>
      </c>
      <c r="EW77" s="142" t="s">
        <v>160</v>
      </c>
      <c r="EX77" s="129" t="s">
        <v>160</v>
      </c>
      <c r="EY77" s="129" t="s">
        <v>160</v>
      </c>
      <c r="EZ77" s="191">
        <v>423.6164</v>
      </c>
      <c r="FA77" s="191">
        <v>188.33949999999993</v>
      </c>
      <c r="FB77" s="191">
        <v>130.71160000000003</v>
      </c>
      <c r="FC77" s="129" t="s">
        <v>220</v>
      </c>
      <c r="FD77" s="129" t="s">
        <v>221</v>
      </c>
      <c r="FE77" s="191">
        <v>1733.088</v>
      </c>
      <c r="FF77" s="191">
        <v>403.577</v>
      </c>
      <c r="FG77" s="191">
        <v>396.96600000000012</v>
      </c>
      <c r="FH77" s="129" t="s">
        <v>160</v>
      </c>
      <c r="FI77" s="129" t="s">
        <v>160</v>
      </c>
      <c r="FJ77" s="129" t="s">
        <v>160</v>
      </c>
      <c r="FK77" s="129" t="s">
        <v>160</v>
      </c>
      <c r="FL77" s="129" t="s">
        <v>160</v>
      </c>
      <c r="FM77" s="129" t="s">
        <v>160</v>
      </c>
      <c r="FN77" s="151">
        <v>3.2495690000000002</v>
      </c>
      <c r="FO77" s="151">
        <v>1.9233099999999999</v>
      </c>
      <c r="FP77" s="151">
        <v>1.380762</v>
      </c>
      <c r="FQ77" s="129" t="s">
        <v>414</v>
      </c>
      <c r="FR77" s="166" t="s">
        <v>348</v>
      </c>
      <c r="FS77" s="166">
        <v>2014</v>
      </c>
      <c r="FT77" s="166" t="s">
        <v>349</v>
      </c>
    </row>
    <row r="78" spans="1:176" s="129" customFormat="1" ht="17">
      <c r="A78" s="166" t="s">
        <v>152</v>
      </c>
      <c r="B78" s="166" t="s">
        <v>183</v>
      </c>
      <c r="C78" s="166">
        <v>2018</v>
      </c>
      <c r="D78" s="166" t="s">
        <v>184</v>
      </c>
      <c r="E78" s="195">
        <v>16149.343999999999</v>
      </c>
      <c r="F78" s="166" t="s">
        <v>160</v>
      </c>
      <c r="G78" s="166" t="s">
        <v>160</v>
      </c>
      <c r="H78" s="190">
        <v>370.7516</v>
      </c>
      <c r="I78" s="191">
        <v>166.73129999999998</v>
      </c>
      <c r="J78" s="191">
        <v>116.83849999999998</v>
      </c>
      <c r="K78" s="129" t="s">
        <v>457</v>
      </c>
      <c r="L78" s="131" t="s">
        <v>185</v>
      </c>
      <c r="M78" s="132" t="s">
        <v>186</v>
      </c>
      <c r="N78" s="129" t="s">
        <v>184</v>
      </c>
      <c r="O78" s="129">
        <v>761</v>
      </c>
      <c r="P78" s="129" t="s">
        <v>235</v>
      </c>
      <c r="Q78" s="178">
        <v>6</v>
      </c>
      <c r="R78" s="178">
        <v>5</v>
      </c>
      <c r="S78" s="191">
        <v>38</v>
      </c>
      <c r="T78" s="129">
        <v>40</v>
      </c>
      <c r="U78" s="129" t="s">
        <v>160</v>
      </c>
      <c r="V78" s="141">
        <v>49.48</v>
      </c>
      <c r="W78" s="196" t="s">
        <v>350</v>
      </c>
      <c r="X78" s="129" t="s">
        <v>351</v>
      </c>
      <c r="Y78" s="196">
        <v>-16.739722220000001</v>
      </c>
      <c r="Z78" s="197">
        <v>115.53611110999999</v>
      </c>
      <c r="AA78" s="129" t="s">
        <v>160</v>
      </c>
      <c r="AB78" s="129" t="s">
        <v>160</v>
      </c>
      <c r="AC78" s="129">
        <v>-2179</v>
      </c>
      <c r="AD78" s="129" t="s">
        <v>160</v>
      </c>
      <c r="AE78" s="129" t="s">
        <v>160</v>
      </c>
      <c r="AF78" s="129" t="s">
        <v>160</v>
      </c>
      <c r="AG78" s="151">
        <v>16149.343999999999</v>
      </c>
      <c r="AH78" s="138" t="s">
        <v>160</v>
      </c>
      <c r="AI78" s="129" t="s">
        <v>160</v>
      </c>
      <c r="AJ78" s="138" t="s">
        <v>160</v>
      </c>
      <c r="AK78" s="129" t="s">
        <v>237</v>
      </c>
      <c r="AL78" s="129" t="s">
        <v>238</v>
      </c>
      <c r="AM78" s="140" t="s">
        <v>239</v>
      </c>
      <c r="AN78" s="129" t="s">
        <v>160</v>
      </c>
      <c r="AO78" s="129" t="s">
        <v>160</v>
      </c>
      <c r="AP78" s="129" t="s">
        <v>160</v>
      </c>
      <c r="AQ78" s="129" t="s">
        <v>160</v>
      </c>
      <c r="AR78" s="129" t="s">
        <v>160</v>
      </c>
      <c r="AS78" s="129" t="s">
        <v>160</v>
      </c>
      <c r="AT78" s="129" t="s">
        <v>160</v>
      </c>
      <c r="AU78" s="129" t="s">
        <v>191</v>
      </c>
      <c r="AV78" s="129" t="s">
        <v>161</v>
      </c>
      <c r="AW78" s="129" t="s">
        <v>192</v>
      </c>
      <c r="AX78" s="129" t="s">
        <v>352</v>
      </c>
      <c r="AY78" s="129" t="s">
        <v>353</v>
      </c>
      <c r="AZ78" s="129" t="s">
        <v>354</v>
      </c>
      <c r="BA78" s="129" t="s">
        <v>196</v>
      </c>
      <c r="BB78" s="198" t="s">
        <v>375</v>
      </c>
      <c r="BC78" s="129">
        <v>2</v>
      </c>
      <c r="BD78" s="151">
        <v>0.41966815912346789</v>
      </c>
      <c r="BE78" s="151">
        <v>16.560188204400315</v>
      </c>
      <c r="BF78" s="129" t="s">
        <v>355</v>
      </c>
      <c r="BG78" s="141">
        <v>0.68974662878837512</v>
      </c>
      <c r="BH78" s="129">
        <v>0.83299999999999996</v>
      </c>
      <c r="BI78" s="129" t="s">
        <v>160</v>
      </c>
      <c r="BJ78" s="138" t="s">
        <v>160</v>
      </c>
      <c r="BK78" s="129">
        <v>2.69</v>
      </c>
      <c r="BL78" s="129" t="s">
        <v>160</v>
      </c>
      <c r="BM78" s="129" t="s">
        <v>160</v>
      </c>
      <c r="BN78" s="129" t="s">
        <v>200</v>
      </c>
      <c r="BO78" s="129" t="s">
        <v>201</v>
      </c>
      <c r="BP78" s="151">
        <v>16.650886199760283</v>
      </c>
      <c r="BQ78" s="129" t="s">
        <v>202</v>
      </c>
      <c r="BR78" s="217"/>
      <c r="BS78" s="129" t="s">
        <v>160</v>
      </c>
      <c r="BT78" s="129" t="s">
        <v>160</v>
      </c>
      <c r="BU78" s="129">
        <v>10</v>
      </c>
      <c r="BV78" s="129" t="s">
        <v>159</v>
      </c>
      <c r="BW78" s="129">
        <v>10</v>
      </c>
      <c r="BX78" s="145">
        <v>27.94598840580624</v>
      </c>
      <c r="BY78" s="129" t="s">
        <v>159</v>
      </c>
      <c r="BZ78" s="129">
        <v>1</v>
      </c>
      <c r="CA78" s="129">
        <v>1</v>
      </c>
      <c r="CB78" s="129" t="s">
        <v>160</v>
      </c>
      <c r="CC78" s="151">
        <v>3.9690034807890751</v>
      </c>
      <c r="CD78" s="129" t="s">
        <v>163</v>
      </c>
      <c r="CE78" s="144">
        <f t="shared" si="10"/>
        <v>0.10716309398130502</v>
      </c>
      <c r="CF78" s="144">
        <f t="shared" si="11"/>
        <v>0.10716309398130502</v>
      </c>
      <c r="CG78" s="145" t="s">
        <v>203</v>
      </c>
      <c r="CH78" s="129" t="s">
        <v>204</v>
      </c>
      <c r="CI78" s="129" t="s">
        <v>205</v>
      </c>
      <c r="CJ78" s="129" t="s">
        <v>206</v>
      </c>
      <c r="CK78" s="129" t="s">
        <v>158</v>
      </c>
      <c r="CL78" s="129" t="s">
        <v>158</v>
      </c>
      <c r="CM78" s="129" t="s">
        <v>158</v>
      </c>
      <c r="CN78" s="129" t="s">
        <v>160</v>
      </c>
      <c r="CO78" s="129" t="s">
        <v>160</v>
      </c>
      <c r="CP78" s="129" t="s">
        <v>160</v>
      </c>
      <c r="CQ78" s="129" t="s">
        <v>160</v>
      </c>
      <c r="CR78" s="129" t="s">
        <v>160</v>
      </c>
      <c r="CS78" s="129" t="s">
        <v>160</v>
      </c>
      <c r="CT78" s="129" t="s">
        <v>160</v>
      </c>
      <c r="CU78" s="129">
        <v>35</v>
      </c>
      <c r="CV78" s="129" t="s">
        <v>159</v>
      </c>
      <c r="CW78" s="146">
        <v>1</v>
      </c>
      <c r="CX78" s="129" t="s">
        <v>207</v>
      </c>
      <c r="CY78" s="129">
        <v>1.3376072233599998E-2</v>
      </c>
      <c r="CZ78" s="129" t="s">
        <v>159</v>
      </c>
      <c r="DA78" s="146">
        <v>2.5000000000000001E-3</v>
      </c>
      <c r="DB78" s="129" t="s">
        <v>208</v>
      </c>
      <c r="DC78" s="129">
        <v>4.6054878358400005E-2</v>
      </c>
      <c r="DD78" s="129" t="s">
        <v>159</v>
      </c>
      <c r="DE78" s="146">
        <v>2.5000000000000001E-3</v>
      </c>
      <c r="DF78" s="129" t="s">
        <v>209</v>
      </c>
      <c r="DG78" s="129" t="s">
        <v>160</v>
      </c>
      <c r="DH78" s="129" t="s">
        <v>160</v>
      </c>
      <c r="DI78" s="129" t="s">
        <v>160</v>
      </c>
      <c r="DJ78" s="129" t="s">
        <v>160</v>
      </c>
      <c r="DK78" s="145">
        <v>424.29</v>
      </c>
      <c r="DL78" s="129" t="s">
        <v>159</v>
      </c>
      <c r="DM78" s="145" t="s">
        <v>160</v>
      </c>
      <c r="DN78" s="129" t="s">
        <v>210</v>
      </c>
      <c r="DO78" s="129">
        <v>37.87717</v>
      </c>
      <c r="DP78" s="129" t="s">
        <v>160</v>
      </c>
      <c r="DQ78" s="129">
        <v>0.67752000000000123</v>
      </c>
      <c r="DR78" s="129" t="s">
        <v>211</v>
      </c>
      <c r="DS78" s="129" t="s">
        <v>212</v>
      </c>
      <c r="DT78" s="129" t="s">
        <v>213</v>
      </c>
      <c r="DU78" s="129">
        <v>1.0271999999999999</v>
      </c>
      <c r="DV78" s="129" t="s">
        <v>214</v>
      </c>
      <c r="DW78" s="129" t="s">
        <v>214</v>
      </c>
      <c r="DX78" s="129" t="s">
        <v>215</v>
      </c>
      <c r="DY78" s="129" t="s">
        <v>160</v>
      </c>
      <c r="DZ78" s="129" t="s">
        <v>164</v>
      </c>
      <c r="EA78" s="129" t="s">
        <v>216</v>
      </c>
      <c r="EB78" s="129" t="s">
        <v>212</v>
      </c>
      <c r="EC78" s="129" t="s">
        <v>212</v>
      </c>
      <c r="ED78" s="129" t="s">
        <v>212</v>
      </c>
      <c r="EE78" s="129" t="s">
        <v>217</v>
      </c>
      <c r="EF78" s="147" t="s">
        <v>213</v>
      </c>
      <c r="EG78" s="148" t="s">
        <v>213</v>
      </c>
      <c r="EH78" s="129" t="s">
        <v>218</v>
      </c>
      <c r="EI78" s="129" t="s">
        <v>219</v>
      </c>
      <c r="EJ78" s="129" t="s">
        <v>160</v>
      </c>
      <c r="EK78" s="129">
        <v>1588.0519999999999</v>
      </c>
      <c r="EL78" s="129" t="s">
        <v>163</v>
      </c>
      <c r="EM78" s="150">
        <v>500</v>
      </c>
      <c r="EN78" s="150">
        <v>500</v>
      </c>
      <c r="EO78" s="129" t="s">
        <v>160</v>
      </c>
      <c r="EP78" s="129" t="s">
        <v>160</v>
      </c>
      <c r="EQ78" s="129" t="s">
        <v>160</v>
      </c>
      <c r="ER78" s="129" t="s">
        <v>160</v>
      </c>
      <c r="ES78" s="129">
        <v>7.995571</v>
      </c>
      <c r="ET78" s="142" t="s">
        <v>165</v>
      </c>
      <c r="EU78" s="129">
        <v>0.10869199999999957</v>
      </c>
      <c r="EV78" s="129">
        <v>0.12372400000000017</v>
      </c>
      <c r="EW78" s="142" t="s">
        <v>160</v>
      </c>
      <c r="EX78" s="129" t="s">
        <v>160</v>
      </c>
      <c r="EY78" s="129" t="s">
        <v>160</v>
      </c>
      <c r="EZ78" s="191">
        <v>370.7516</v>
      </c>
      <c r="FA78" s="191">
        <v>166.73129999999998</v>
      </c>
      <c r="FB78" s="191">
        <v>116.83849999999998</v>
      </c>
      <c r="FC78" s="129" t="s">
        <v>220</v>
      </c>
      <c r="FD78" s="129" t="s">
        <v>221</v>
      </c>
      <c r="FE78" s="191">
        <v>1754.615</v>
      </c>
      <c r="FF78" s="191">
        <v>395.32899999999995</v>
      </c>
      <c r="FG78" s="191">
        <v>406.98800000000006</v>
      </c>
      <c r="FH78" s="129" t="s">
        <v>160</v>
      </c>
      <c r="FI78" s="129" t="s">
        <v>160</v>
      </c>
      <c r="FJ78" s="129" t="s">
        <v>160</v>
      </c>
      <c r="FK78" s="129" t="s">
        <v>160</v>
      </c>
      <c r="FL78" s="129" t="s">
        <v>160</v>
      </c>
      <c r="FM78" s="129" t="s">
        <v>160</v>
      </c>
      <c r="FN78" s="151">
        <v>3.6559379999999999</v>
      </c>
      <c r="FO78" s="151">
        <v>2.2248790000000005</v>
      </c>
      <c r="FP78" s="151">
        <v>1.6024099999999999</v>
      </c>
      <c r="FQ78" s="129" t="s">
        <v>414</v>
      </c>
      <c r="FR78" s="166" t="s">
        <v>348</v>
      </c>
      <c r="FS78" s="166">
        <v>2014</v>
      </c>
      <c r="FT78" s="166" t="s">
        <v>349</v>
      </c>
    </row>
    <row r="79" spans="1:176" s="129" customFormat="1" ht="17">
      <c r="A79" s="166" t="s">
        <v>152</v>
      </c>
      <c r="B79" s="166" t="s">
        <v>183</v>
      </c>
      <c r="C79" s="166">
        <v>2018</v>
      </c>
      <c r="D79" s="166" t="s">
        <v>184</v>
      </c>
      <c r="E79" s="195">
        <v>16161.874000000002</v>
      </c>
      <c r="F79" s="166" t="s">
        <v>160</v>
      </c>
      <c r="G79" s="166" t="s">
        <v>160</v>
      </c>
      <c r="H79" s="190">
        <v>713.32339999999999</v>
      </c>
      <c r="I79" s="191">
        <v>492.99559999999997</v>
      </c>
      <c r="J79" s="191">
        <v>261.4486</v>
      </c>
      <c r="K79" s="129" t="s">
        <v>457</v>
      </c>
      <c r="L79" s="131" t="s">
        <v>185</v>
      </c>
      <c r="M79" s="132" t="s">
        <v>186</v>
      </c>
      <c r="N79" s="129" t="s">
        <v>184</v>
      </c>
      <c r="O79" s="129">
        <v>761</v>
      </c>
      <c r="P79" s="129" t="s">
        <v>235</v>
      </c>
      <c r="Q79" s="178">
        <v>6</v>
      </c>
      <c r="R79" s="178">
        <v>5</v>
      </c>
      <c r="S79" s="191">
        <v>48</v>
      </c>
      <c r="T79" s="129">
        <v>50</v>
      </c>
      <c r="U79" s="129" t="s">
        <v>160</v>
      </c>
      <c r="V79" s="141">
        <v>49.58</v>
      </c>
      <c r="W79" s="196" t="s">
        <v>350</v>
      </c>
      <c r="X79" s="129" t="s">
        <v>351</v>
      </c>
      <c r="Y79" s="196">
        <v>-16.739722220000001</v>
      </c>
      <c r="Z79" s="197">
        <v>115.53611110999999</v>
      </c>
      <c r="AA79" s="129" t="s">
        <v>160</v>
      </c>
      <c r="AB79" s="129" t="s">
        <v>160</v>
      </c>
      <c r="AC79" s="129">
        <v>-2179</v>
      </c>
      <c r="AD79" s="129" t="s">
        <v>160</v>
      </c>
      <c r="AE79" s="129" t="s">
        <v>160</v>
      </c>
      <c r="AF79" s="129" t="s">
        <v>160</v>
      </c>
      <c r="AG79" s="151">
        <v>16161.874000000002</v>
      </c>
      <c r="AH79" s="138" t="s">
        <v>160</v>
      </c>
      <c r="AI79" s="129" t="s">
        <v>160</v>
      </c>
      <c r="AJ79" s="138" t="s">
        <v>160</v>
      </c>
      <c r="AK79" s="129" t="s">
        <v>237</v>
      </c>
      <c r="AL79" s="129" t="s">
        <v>238</v>
      </c>
      <c r="AM79" s="140" t="s">
        <v>239</v>
      </c>
      <c r="AN79" s="129" t="s">
        <v>160</v>
      </c>
      <c r="AO79" s="129" t="s">
        <v>160</v>
      </c>
      <c r="AP79" s="129" t="s">
        <v>160</v>
      </c>
      <c r="AQ79" s="129" t="s">
        <v>160</v>
      </c>
      <c r="AR79" s="129" t="s">
        <v>160</v>
      </c>
      <c r="AS79" s="129" t="s">
        <v>160</v>
      </c>
      <c r="AT79" s="129" t="s">
        <v>160</v>
      </c>
      <c r="AU79" s="129" t="s">
        <v>191</v>
      </c>
      <c r="AV79" s="129" t="s">
        <v>161</v>
      </c>
      <c r="AW79" s="129" t="s">
        <v>192</v>
      </c>
      <c r="AX79" s="129" t="s">
        <v>352</v>
      </c>
      <c r="AY79" s="129" t="s">
        <v>353</v>
      </c>
      <c r="AZ79" s="129" t="s">
        <v>354</v>
      </c>
      <c r="BA79" s="129" t="s">
        <v>196</v>
      </c>
      <c r="BB79" s="198" t="s">
        <v>376</v>
      </c>
      <c r="BC79" s="129">
        <v>2</v>
      </c>
      <c r="BD79" s="151">
        <v>0.53123045213525433</v>
      </c>
      <c r="BE79" s="151">
        <v>14.603600471094667</v>
      </c>
      <c r="BF79" s="129" t="s">
        <v>355</v>
      </c>
      <c r="BG79" s="141">
        <v>0.64590926159706796</v>
      </c>
      <c r="BH79" s="129">
        <v>0.83299999999999996</v>
      </c>
      <c r="BI79" s="129" t="s">
        <v>160</v>
      </c>
      <c r="BJ79" s="138" t="s">
        <v>160</v>
      </c>
      <c r="BK79" s="129">
        <v>2.69</v>
      </c>
      <c r="BL79" s="129" t="s">
        <v>160</v>
      </c>
      <c r="BM79" s="129" t="s">
        <v>160</v>
      </c>
      <c r="BN79" s="129" t="s">
        <v>200</v>
      </c>
      <c r="BO79" s="129" t="s">
        <v>201</v>
      </c>
      <c r="BP79" s="151">
        <v>14.302041381866349</v>
      </c>
      <c r="BQ79" s="129" t="s">
        <v>202</v>
      </c>
      <c r="BR79" s="217"/>
      <c r="BS79" s="129" t="s">
        <v>160</v>
      </c>
      <c r="BT79" s="129" t="s">
        <v>160</v>
      </c>
      <c r="BU79" s="129">
        <v>10</v>
      </c>
      <c r="BV79" s="129" t="s">
        <v>159</v>
      </c>
      <c r="BW79" s="129">
        <v>10</v>
      </c>
      <c r="BX79" s="145">
        <v>27.949826056510446</v>
      </c>
      <c r="BY79" s="129" t="s">
        <v>159</v>
      </c>
      <c r="BZ79" s="129">
        <v>1</v>
      </c>
      <c r="CA79" s="129">
        <v>1</v>
      </c>
      <c r="CB79" s="129" t="s">
        <v>160</v>
      </c>
      <c r="CC79" s="151">
        <v>3.9698671589597074</v>
      </c>
      <c r="CD79" s="129" t="s">
        <v>163</v>
      </c>
      <c r="CE79" s="144">
        <f t="shared" si="10"/>
        <v>0.1071864132919121</v>
      </c>
      <c r="CF79" s="144">
        <f t="shared" si="11"/>
        <v>0.1071864132919121</v>
      </c>
      <c r="CG79" s="145" t="s">
        <v>203</v>
      </c>
      <c r="CH79" s="129" t="s">
        <v>204</v>
      </c>
      <c r="CI79" s="129" t="s">
        <v>205</v>
      </c>
      <c r="CJ79" s="129" t="s">
        <v>206</v>
      </c>
      <c r="CK79" s="129" t="s">
        <v>158</v>
      </c>
      <c r="CL79" s="129" t="s">
        <v>158</v>
      </c>
      <c r="CM79" s="129" t="s">
        <v>158</v>
      </c>
      <c r="CN79" s="129" t="s">
        <v>160</v>
      </c>
      <c r="CO79" s="129" t="s">
        <v>160</v>
      </c>
      <c r="CP79" s="129" t="s">
        <v>160</v>
      </c>
      <c r="CQ79" s="129" t="s">
        <v>160</v>
      </c>
      <c r="CR79" s="129" t="s">
        <v>160</v>
      </c>
      <c r="CS79" s="129" t="s">
        <v>160</v>
      </c>
      <c r="CT79" s="129" t="s">
        <v>160</v>
      </c>
      <c r="CU79" s="129">
        <v>35</v>
      </c>
      <c r="CV79" s="129" t="s">
        <v>159</v>
      </c>
      <c r="CW79" s="146">
        <v>1</v>
      </c>
      <c r="CX79" s="129" t="s">
        <v>207</v>
      </c>
      <c r="CY79" s="129">
        <v>1.3378226140599999E-2</v>
      </c>
      <c r="CZ79" s="129" t="s">
        <v>159</v>
      </c>
      <c r="DA79" s="146">
        <v>2.5000000000000001E-3</v>
      </c>
      <c r="DB79" s="129" t="s">
        <v>208</v>
      </c>
      <c r="DC79" s="129">
        <v>4.6047937991400001E-2</v>
      </c>
      <c r="DD79" s="129" t="s">
        <v>159</v>
      </c>
      <c r="DE79" s="146">
        <v>2.5000000000000001E-3</v>
      </c>
      <c r="DF79" s="129" t="s">
        <v>209</v>
      </c>
      <c r="DG79" s="129" t="s">
        <v>160</v>
      </c>
      <c r="DH79" s="129" t="s">
        <v>160</v>
      </c>
      <c r="DI79" s="129" t="s">
        <v>160</v>
      </c>
      <c r="DJ79" s="129" t="s">
        <v>160</v>
      </c>
      <c r="DK79" s="145">
        <v>424.29</v>
      </c>
      <c r="DL79" s="129" t="s">
        <v>159</v>
      </c>
      <c r="DM79" s="145" t="s">
        <v>160</v>
      </c>
      <c r="DN79" s="129" t="s">
        <v>210</v>
      </c>
      <c r="DO79" s="129">
        <v>37.867539999999998</v>
      </c>
      <c r="DP79" s="129" t="s">
        <v>160</v>
      </c>
      <c r="DQ79" s="129">
        <v>0.69299999999999784</v>
      </c>
      <c r="DR79" s="129" t="s">
        <v>211</v>
      </c>
      <c r="DS79" s="129" t="s">
        <v>212</v>
      </c>
      <c r="DT79" s="129" t="s">
        <v>213</v>
      </c>
      <c r="DU79" s="129">
        <v>1.0271999999999999</v>
      </c>
      <c r="DV79" s="129" t="s">
        <v>214</v>
      </c>
      <c r="DW79" s="129" t="s">
        <v>214</v>
      </c>
      <c r="DX79" s="129" t="s">
        <v>215</v>
      </c>
      <c r="DY79" s="129" t="s">
        <v>160</v>
      </c>
      <c r="DZ79" s="129" t="s">
        <v>164</v>
      </c>
      <c r="EA79" s="129" t="s">
        <v>216</v>
      </c>
      <c r="EB79" s="129" t="s">
        <v>212</v>
      </c>
      <c r="EC79" s="129" t="s">
        <v>212</v>
      </c>
      <c r="ED79" s="129" t="s">
        <v>212</v>
      </c>
      <c r="EE79" s="129" t="s">
        <v>217</v>
      </c>
      <c r="EF79" s="147" t="s">
        <v>213</v>
      </c>
      <c r="EG79" s="148" t="s">
        <v>213</v>
      </c>
      <c r="EH79" s="129" t="s">
        <v>218</v>
      </c>
      <c r="EI79" s="129" t="s">
        <v>219</v>
      </c>
      <c r="EJ79" s="129" t="s">
        <v>160</v>
      </c>
      <c r="EK79" s="129">
        <v>1579.7750000000001</v>
      </c>
      <c r="EL79" s="129" t="s">
        <v>163</v>
      </c>
      <c r="EM79" s="150">
        <v>500</v>
      </c>
      <c r="EN79" s="150">
        <v>500</v>
      </c>
      <c r="EO79" s="129" t="s">
        <v>160</v>
      </c>
      <c r="EP79" s="129" t="s">
        <v>160</v>
      </c>
      <c r="EQ79" s="129" t="s">
        <v>160</v>
      </c>
      <c r="ER79" s="129" t="s">
        <v>160</v>
      </c>
      <c r="ES79" s="129">
        <v>7.7189969999999999</v>
      </c>
      <c r="ET79" s="142" t="s">
        <v>165</v>
      </c>
      <c r="EU79" s="129">
        <v>0.15419800000000006</v>
      </c>
      <c r="EV79" s="129">
        <v>0.20275800000000022</v>
      </c>
      <c r="EW79" s="142" t="s">
        <v>160</v>
      </c>
      <c r="EX79" s="129" t="s">
        <v>160</v>
      </c>
      <c r="EY79" s="129" t="s">
        <v>160</v>
      </c>
      <c r="EZ79" s="191">
        <v>713.32339999999999</v>
      </c>
      <c r="FA79" s="191">
        <v>492.99559999999997</v>
      </c>
      <c r="FB79" s="191">
        <v>261.4486</v>
      </c>
      <c r="FC79" s="129" t="s">
        <v>220</v>
      </c>
      <c r="FD79" s="129" t="s">
        <v>221</v>
      </c>
      <c r="FE79" s="191">
        <v>1659.855</v>
      </c>
      <c r="FF79" s="191">
        <v>383.92999999999984</v>
      </c>
      <c r="FG79" s="191">
        <v>386.56400000000008</v>
      </c>
      <c r="FH79" s="129" t="s">
        <v>160</v>
      </c>
      <c r="FI79" s="129" t="s">
        <v>160</v>
      </c>
      <c r="FJ79" s="129" t="s">
        <v>160</v>
      </c>
      <c r="FK79" s="129" t="s">
        <v>160</v>
      </c>
      <c r="FL79" s="129" t="s">
        <v>160</v>
      </c>
      <c r="FM79" s="129" t="s">
        <v>160</v>
      </c>
      <c r="FN79" s="151">
        <v>1.952318</v>
      </c>
      <c r="FO79" s="151">
        <v>1.435352</v>
      </c>
      <c r="FP79" s="151">
        <v>0.95923939999999996</v>
      </c>
      <c r="FQ79" s="129" t="s">
        <v>414</v>
      </c>
      <c r="FR79" s="166" t="s">
        <v>348</v>
      </c>
      <c r="FS79" s="166">
        <v>2014</v>
      </c>
      <c r="FT79" s="166" t="s">
        <v>349</v>
      </c>
    </row>
    <row r="80" spans="1:176" s="129" customFormat="1" ht="17">
      <c r="A80" s="166" t="s">
        <v>152</v>
      </c>
      <c r="B80" s="166" t="s">
        <v>183</v>
      </c>
      <c r="C80" s="166">
        <v>2018</v>
      </c>
      <c r="D80" s="166" t="s">
        <v>184</v>
      </c>
      <c r="E80" s="195">
        <v>16174.403999999999</v>
      </c>
      <c r="F80" s="166" t="s">
        <v>160</v>
      </c>
      <c r="G80" s="166" t="s">
        <v>160</v>
      </c>
      <c r="H80" s="190">
        <v>430.8587</v>
      </c>
      <c r="I80" s="191">
        <v>183.92579999999998</v>
      </c>
      <c r="J80" s="191">
        <v>132.2285</v>
      </c>
      <c r="K80" s="129" t="s">
        <v>457</v>
      </c>
      <c r="L80" s="131" t="s">
        <v>185</v>
      </c>
      <c r="M80" s="132" t="s">
        <v>186</v>
      </c>
      <c r="N80" s="129" t="s">
        <v>184</v>
      </c>
      <c r="O80" s="129">
        <v>761</v>
      </c>
      <c r="P80" s="129" t="s">
        <v>235</v>
      </c>
      <c r="Q80" s="178">
        <v>6</v>
      </c>
      <c r="R80" s="178">
        <v>5</v>
      </c>
      <c r="S80" s="191">
        <v>58</v>
      </c>
      <c r="T80" s="129">
        <v>60</v>
      </c>
      <c r="U80" s="129" t="s">
        <v>160</v>
      </c>
      <c r="V80" s="141">
        <v>49.68</v>
      </c>
      <c r="W80" s="196" t="s">
        <v>350</v>
      </c>
      <c r="X80" s="129" t="s">
        <v>351</v>
      </c>
      <c r="Y80" s="196">
        <v>-16.739722220000001</v>
      </c>
      <c r="Z80" s="197">
        <v>115.53611110999999</v>
      </c>
      <c r="AA80" s="129" t="s">
        <v>160</v>
      </c>
      <c r="AB80" s="129" t="s">
        <v>160</v>
      </c>
      <c r="AC80" s="129">
        <v>-2179</v>
      </c>
      <c r="AD80" s="129" t="s">
        <v>160</v>
      </c>
      <c r="AE80" s="129" t="s">
        <v>160</v>
      </c>
      <c r="AF80" s="129" t="s">
        <v>160</v>
      </c>
      <c r="AG80" s="151">
        <v>16174.403999999999</v>
      </c>
      <c r="AH80" s="138" t="s">
        <v>160</v>
      </c>
      <c r="AI80" s="129" t="s">
        <v>160</v>
      </c>
      <c r="AJ80" s="138" t="s">
        <v>160</v>
      </c>
      <c r="AK80" s="129" t="s">
        <v>237</v>
      </c>
      <c r="AL80" s="129" t="s">
        <v>238</v>
      </c>
      <c r="AM80" s="140" t="s">
        <v>239</v>
      </c>
      <c r="AN80" s="129" t="s">
        <v>160</v>
      </c>
      <c r="AO80" s="129" t="s">
        <v>160</v>
      </c>
      <c r="AP80" s="129" t="s">
        <v>160</v>
      </c>
      <c r="AQ80" s="129" t="s">
        <v>160</v>
      </c>
      <c r="AR80" s="129" t="s">
        <v>160</v>
      </c>
      <c r="AS80" s="129" t="s">
        <v>160</v>
      </c>
      <c r="AT80" s="129" t="s">
        <v>160</v>
      </c>
      <c r="AU80" s="129" t="s">
        <v>191</v>
      </c>
      <c r="AV80" s="129" t="s">
        <v>161</v>
      </c>
      <c r="AW80" s="129" t="s">
        <v>192</v>
      </c>
      <c r="AX80" s="129" t="s">
        <v>352</v>
      </c>
      <c r="AY80" s="129" t="s">
        <v>353</v>
      </c>
      <c r="AZ80" s="129" t="s">
        <v>354</v>
      </c>
      <c r="BA80" s="129" t="s">
        <v>196</v>
      </c>
      <c r="BB80" s="198" t="s">
        <v>377</v>
      </c>
      <c r="BC80" s="129">
        <v>2</v>
      </c>
      <c r="BD80" s="151">
        <v>5.8078909573065822E-2</v>
      </c>
      <c r="BE80" s="151">
        <v>16.062695098411574</v>
      </c>
      <c r="BF80" s="129" t="s">
        <v>355</v>
      </c>
      <c r="BG80" s="141">
        <v>0.23225342144315816</v>
      </c>
      <c r="BH80" s="129">
        <v>0.83299999999999996</v>
      </c>
      <c r="BI80" s="129" t="s">
        <v>160</v>
      </c>
      <c r="BJ80" s="138" t="s">
        <v>160</v>
      </c>
      <c r="BK80" s="129">
        <v>2.69</v>
      </c>
      <c r="BL80" s="129" t="s">
        <v>160</v>
      </c>
      <c r="BM80" s="129" t="s">
        <v>160</v>
      </c>
      <c r="BN80" s="129" t="s">
        <v>200</v>
      </c>
      <c r="BO80" s="129" t="s">
        <v>201</v>
      </c>
      <c r="BP80" s="151">
        <v>16.053655580326019</v>
      </c>
      <c r="BQ80" s="129" t="s">
        <v>202</v>
      </c>
      <c r="BR80" s="217"/>
      <c r="BS80" s="129" t="s">
        <v>160</v>
      </c>
      <c r="BT80" s="129" t="s">
        <v>160</v>
      </c>
      <c r="BU80" s="129">
        <v>10</v>
      </c>
      <c r="BV80" s="129" t="s">
        <v>159</v>
      </c>
      <c r="BW80" s="129">
        <v>10</v>
      </c>
      <c r="BX80" s="145">
        <v>28.242485865209424</v>
      </c>
      <c r="BY80" s="129" t="s">
        <v>159</v>
      </c>
      <c r="BZ80" s="129">
        <v>1</v>
      </c>
      <c r="CA80" s="129">
        <v>1</v>
      </c>
      <c r="CB80" s="129" t="s">
        <v>160</v>
      </c>
      <c r="CC80" s="151">
        <v>4.0752993763327066</v>
      </c>
      <c r="CD80" s="129" t="s">
        <v>163</v>
      </c>
      <c r="CE80" s="144">
        <f t="shared" si="10"/>
        <v>0.11003308316098308</v>
      </c>
      <c r="CF80" s="144">
        <f t="shared" si="11"/>
        <v>0.11003308316098308</v>
      </c>
      <c r="CG80" s="145" t="s">
        <v>203</v>
      </c>
      <c r="CH80" s="129" t="s">
        <v>204</v>
      </c>
      <c r="CI80" s="129" t="s">
        <v>205</v>
      </c>
      <c r="CJ80" s="129" t="s">
        <v>206</v>
      </c>
      <c r="CK80" s="129" t="s">
        <v>158</v>
      </c>
      <c r="CL80" s="129" t="s">
        <v>158</v>
      </c>
      <c r="CM80" s="129" t="s">
        <v>158</v>
      </c>
      <c r="CN80" s="129" t="s">
        <v>160</v>
      </c>
      <c r="CO80" s="129" t="s">
        <v>160</v>
      </c>
      <c r="CP80" s="129" t="s">
        <v>160</v>
      </c>
      <c r="CQ80" s="129" t="s">
        <v>160</v>
      </c>
      <c r="CR80" s="129" t="s">
        <v>160</v>
      </c>
      <c r="CS80" s="129" t="s">
        <v>160</v>
      </c>
      <c r="CT80" s="129" t="s">
        <v>160</v>
      </c>
      <c r="CU80" s="129">
        <v>35</v>
      </c>
      <c r="CV80" s="129" t="s">
        <v>159</v>
      </c>
      <c r="CW80" s="146">
        <v>1</v>
      </c>
      <c r="CX80" s="129" t="s">
        <v>207</v>
      </c>
      <c r="CY80" s="129">
        <v>1.3380380047599999E-2</v>
      </c>
      <c r="CZ80" s="129" t="s">
        <v>159</v>
      </c>
      <c r="DA80" s="146">
        <v>2.5000000000000001E-3</v>
      </c>
      <c r="DB80" s="129" t="s">
        <v>208</v>
      </c>
      <c r="DC80" s="129">
        <v>4.6040997624399997E-2</v>
      </c>
      <c r="DD80" s="129" t="s">
        <v>159</v>
      </c>
      <c r="DE80" s="146">
        <v>2.5000000000000001E-3</v>
      </c>
      <c r="DF80" s="129" t="s">
        <v>209</v>
      </c>
      <c r="DG80" s="129" t="s">
        <v>160</v>
      </c>
      <c r="DH80" s="129" t="s">
        <v>160</v>
      </c>
      <c r="DI80" s="129" t="s">
        <v>160</v>
      </c>
      <c r="DJ80" s="129" t="s">
        <v>160</v>
      </c>
      <c r="DK80" s="145">
        <v>424.29</v>
      </c>
      <c r="DL80" s="129" t="s">
        <v>159</v>
      </c>
      <c r="DM80" s="145" t="s">
        <v>160</v>
      </c>
      <c r="DN80" s="129" t="s">
        <v>210</v>
      </c>
      <c r="DO80" s="129">
        <v>37.884230000000002</v>
      </c>
      <c r="DP80" s="129" t="s">
        <v>160</v>
      </c>
      <c r="DQ80" s="129">
        <v>0.66569499999999948</v>
      </c>
      <c r="DR80" s="129" t="s">
        <v>211</v>
      </c>
      <c r="DS80" s="129" t="s">
        <v>212</v>
      </c>
      <c r="DT80" s="129" t="s">
        <v>213</v>
      </c>
      <c r="DU80" s="129">
        <v>1.0271999999999999</v>
      </c>
      <c r="DV80" s="129" t="s">
        <v>214</v>
      </c>
      <c r="DW80" s="129" t="s">
        <v>214</v>
      </c>
      <c r="DX80" s="129" t="s">
        <v>215</v>
      </c>
      <c r="DY80" s="129" t="s">
        <v>160</v>
      </c>
      <c r="DZ80" s="129" t="s">
        <v>164</v>
      </c>
      <c r="EA80" s="129" t="s">
        <v>216</v>
      </c>
      <c r="EB80" s="129" t="s">
        <v>212</v>
      </c>
      <c r="EC80" s="129" t="s">
        <v>212</v>
      </c>
      <c r="ED80" s="129" t="s">
        <v>212</v>
      </c>
      <c r="EE80" s="129" t="s">
        <v>217</v>
      </c>
      <c r="EF80" s="147" t="s">
        <v>213</v>
      </c>
      <c r="EG80" s="148" t="s">
        <v>213</v>
      </c>
      <c r="EH80" s="129" t="s">
        <v>218</v>
      </c>
      <c r="EI80" s="129" t="s">
        <v>219</v>
      </c>
      <c r="EJ80" s="129" t="s">
        <v>160</v>
      </c>
      <c r="EK80" s="129">
        <v>1579.3039999999999</v>
      </c>
      <c r="EL80" s="129" t="s">
        <v>163</v>
      </c>
      <c r="EM80" s="150">
        <v>500</v>
      </c>
      <c r="EN80" s="150">
        <v>500</v>
      </c>
      <c r="EO80" s="129" t="s">
        <v>160</v>
      </c>
      <c r="EP80" s="129" t="s">
        <v>160</v>
      </c>
      <c r="EQ80" s="129" t="s">
        <v>160</v>
      </c>
      <c r="ER80" s="129" t="s">
        <v>160</v>
      </c>
      <c r="ES80" s="129">
        <v>7.9321510000000002</v>
      </c>
      <c r="ET80" s="142" t="s">
        <v>165</v>
      </c>
      <c r="EU80" s="129">
        <v>9.7639000000000031E-2</v>
      </c>
      <c r="EV80" s="129">
        <v>0.1133519999999999</v>
      </c>
      <c r="EW80" s="142" t="s">
        <v>160</v>
      </c>
      <c r="EX80" s="129" t="s">
        <v>160</v>
      </c>
      <c r="EY80" s="129" t="s">
        <v>160</v>
      </c>
      <c r="EZ80" s="191">
        <v>430.8587</v>
      </c>
      <c r="FA80" s="191">
        <v>183.92579999999998</v>
      </c>
      <c r="FB80" s="191">
        <v>132.2285</v>
      </c>
      <c r="FC80" s="129" t="s">
        <v>220</v>
      </c>
      <c r="FD80" s="129" t="s">
        <v>221</v>
      </c>
      <c r="FE80" s="191">
        <v>1727.4759999999999</v>
      </c>
      <c r="FF80" s="191">
        <v>401.76400000000035</v>
      </c>
      <c r="FG80" s="191">
        <v>391.49900000000002</v>
      </c>
      <c r="FH80" s="129" t="s">
        <v>160</v>
      </c>
      <c r="FI80" s="129" t="s">
        <v>160</v>
      </c>
      <c r="FJ80" s="129" t="s">
        <v>160</v>
      </c>
      <c r="FK80" s="129" t="s">
        <v>160</v>
      </c>
      <c r="FL80" s="129" t="s">
        <v>160</v>
      </c>
      <c r="FM80" s="129" t="s">
        <v>160</v>
      </c>
      <c r="FN80" s="151">
        <v>3.213104</v>
      </c>
      <c r="FO80" s="151">
        <v>1.8810899999999999</v>
      </c>
      <c r="FP80" s="151">
        <v>1.4077869999999999</v>
      </c>
      <c r="FQ80" s="129" t="s">
        <v>414</v>
      </c>
      <c r="FR80" s="166" t="s">
        <v>348</v>
      </c>
      <c r="FS80" s="166">
        <v>2014</v>
      </c>
      <c r="FT80" s="166" t="s">
        <v>349</v>
      </c>
    </row>
    <row r="81" spans="1:176" s="129" customFormat="1" ht="17">
      <c r="A81" s="166" t="s">
        <v>152</v>
      </c>
      <c r="B81" s="166" t="s">
        <v>183</v>
      </c>
      <c r="C81" s="166">
        <v>2018</v>
      </c>
      <c r="D81" s="166" t="s">
        <v>184</v>
      </c>
      <c r="E81" s="195">
        <v>16186.934000000001</v>
      </c>
      <c r="F81" s="166" t="s">
        <v>160</v>
      </c>
      <c r="G81" s="166" t="s">
        <v>160</v>
      </c>
      <c r="H81" s="190">
        <v>707.82410000000004</v>
      </c>
      <c r="I81" s="191">
        <v>402.08389999999986</v>
      </c>
      <c r="J81" s="191">
        <v>239.8725</v>
      </c>
      <c r="K81" s="129" t="s">
        <v>457</v>
      </c>
      <c r="L81" s="131" t="s">
        <v>185</v>
      </c>
      <c r="M81" s="132" t="s">
        <v>186</v>
      </c>
      <c r="N81" s="129" t="s">
        <v>184</v>
      </c>
      <c r="O81" s="129">
        <v>761</v>
      </c>
      <c r="P81" s="129" t="s">
        <v>235</v>
      </c>
      <c r="Q81" s="178">
        <v>6</v>
      </c>
      <c r="R81" s="178">
        <v>5</v>
      </c>
      <c r="S81" s="191">
        <v>68</v>
      </c>
      <c r="T81" s="129">
        <v>70</v>
      </c>
      <c r="U81" s="129" t="s">
        <v>160</v>
      </c>
      <c r="V81" s="141">
        <v>49.78</v>
      </c>
      <c r="W81" s="196" t="s">
        <v>350</v>
      </c>
      <c r="X81" s="129" t="s">
        <v>351</v>
      </c>
      <c r="Y81" s="196">
        <v>-16.739722220000001</v>
      </c>
      <c r="Z81" s="197">
        <v>115.53611110999999</v>
      </c>
      <c r="AA81" s="129" t="s">
        <v>160</v>
      </c>
      <c r="AB81" s="129" t="s">
        <v>160</v>
      </c>
      <c r="AC81" s="129">
        <v>-2179</v>
      </c>
      <c r="AD81" s="129" t="s">
        <v>160</v>
      </c>
      <c r="AE81" s="129" t="s">
        <v>160</v>
      </c>
      <c r="AF81" s="129" t="s">
        <v>160</v>
      </c>
      <c r="AG81" s="151">
        <v>16186.934000000001</v>
      </c>
      <c r="AH81" s="138" t="s">
        <v>160</v>
      </c>
      <c r="AI81" s="129" t="s">
        <v>160</v>
      </c>
      <c r="AJ81" s="138" t="s">
        <v>160</v>
      </c>
      <c r="AK81" s="129" t="s">
        <v>237</v>
      </c>
      <c r="AL81" s="129" t="s">
        <v>238</v>
      </c>
      <c r="AM81" s="140" t="s">
        <v>239</v>
      </c>
      <c r="AN81" s="129" t="s">
        <v>160</v>
      </c>
      <c r="AO81" s="129" t="s">
        <v>160</v>
      </c>
      <c r="AP81" s="129" t="s">
        <v>160</v>
      </c>
      <c r="AQ81" s="129" t="s">
        <v>160</v>
      </c>
      <c r="AR81" s="129" t="s">
        <v>160</v>
      </c>
      <c r="AS81" s="129" t="s">
        <v>160</v>
      </c>
      <c r="AT81" s="129" t="s">
        <v>160</v>
      </c>
      <c r="AU81" s="129" t="s">
        <v>191</v>
      </c>
      <c r="AV81" s="129" t="s">
        <v>161</v>
      </c>
      <c r="AW81" s="129" t="s">
        <v>192</v>
      </c>
      <c r="AX81" s="129" t="s">
        <v>352</v>
      </c>
      <c r="AY81" s="129" t="s">
        <v>353</v>
      </c>
      <c r="AZ81" s="129" t="s">
        <v>354</v>
      </c>
      <c r="BA81" s="129" t="s">
        <v>196</v>
      </c>
      <c r="BB81" s="198" t="s">
        <v>378</v>
      </c>
      <c r="BC81" s="129">
        <v>2</v>
      </c>
      <c r="BD81" s="151">
        <v>1.3892082393649474E-3</v>
      </c>
      <c r="BE81" s="151">
        <v>14.659189945713624</v>
      </c>
      <c r="BF81" s="129" t="s">
        <v>355</v>
      </c>
      <c r="BG81" s="141">
        <v>0.22232491546770997</v>
      </c>
      <c r="BH81" s="129">
        <v>0.83299999999999996</v>
      </c>
      <c r="BI81" s="129" t="s">
        <v>160</v>
      </c>
      <c r="BJ81" s="138" t="s">
        <v>160</v>
      </c>
      <c r="BK81" s="129">
        <v>2.69</v>
      </c>
      <c r="BL81" s="129" t="s">
        <v>160</v>
      </c>
      <c r="BM81" s="129" t="s">
        <v>160</v>
      </c>
      <c r="BN81" s="129" t="s">
        <v>200</v>
      </c>
      <c r="BO81" s="129" t="s">
        <v>201</v>
      </c>
      <c r="BP81" s="151">
        <v>14.368775445034364</v>
      </c>
      <c r="BQ81" s="129" t="s">
        <v>202</v>
      </c>
      <c r="BR81" s="217"/>
      <c r="BS81" s="129" t="s">
        <v>160</v>
      </c>
      <c r="BT81" s="129" t="s">
        <v>160</v>
      </c>
      <c r="BU81" s="129">
        <v>10</v>
      </c>
      <c r="BV81" s="129" t="s">
        <v>159</v>
      </c>
      <c r="BW81" s="129">
        <v>10</v>
      </c>
      <c r="BX81" s="145">
        <v>28.406139083398646</v>
      </c>
      <c r="BY81" s="129" t="s">
        <v>159</v>
      </c>
      <c r="BZ81" s="129">
        <v>1</v>
      </c>
      <c r="CA81" s="129">
        <v>1</v>
      </c>
      <c r="CB81" s="129" t="s">
        <v>160</v>
      </c>
      <c r="CC81" s="151">
        <v>4.1352392907897269</v>
      </c>
      <c r="CD81" s="129" t="s">
        <v>163</v>
      </c>
      <c r="CE81" s="144">
        <f t="shared" si="10"/>
        <v>0.11165146085132262</v>
      </c>
      <c r="CF81" s="144">
        <f t="shared" si="11"/>
        <v>0.11165146085132262</v>
      </c>
      <c r="CG81" s="145" t="s">
        <v>203</v>
      </c>
      <c r="CH81" s="129" t="s">
        <v>204</v>
      </c>
      <c r="CI81" s="129" t="s">
        <v>205</v>
      </c>
      <c r="CJ81" s="129" t="s">
        <v>206</v>
      </c>
      <c r="CK81" s="129" t="s">
        <v>158</v>
      </c>
      <c r="CL81" s="129" t="s">
        <v>158</v>
      </c>
      <c r="CM81" s="129" t="s">
        <v>158</v>
      </c>
      <c r="CN81" s="129" t="s">
        <v>160</v>
      </c>
      <c r="CO81" s="129" t="s">
        <v>160</v>
      </c>
      <c r="CP81" s="129" t="s">
        <v>160</v>
      </c>
      <c r="CQ81" s="129" t="s">
        <v>160</v>
      </c>
      <c r="CR81" s="129" t="s">
        <v>160</v>
      </c>
      <c r="CS81" s="129" t="s">
        <v>160</v>
      </c>
      <c r="CT81" s="129" t="s">
        <v>160</v>
      </c>
      <c r="CU81" s="129">
        <v>35</v>
      </c>
      <c r="CV81" s="129" t="s">
        <v>159</v>
      </c>
      <c r="CW81" s="146">
        <v>1</v>
      </c>
      <c r="CX81" s="129" t="s">
        <v>207</v>
      </c>
      <c r="CY81" s="129">
        <v>1.33825339546E-2</v>
      </c>
      <c r="CZ81" s="129" t="s">
        <v>159</v>
      </c>
      <c r="DA81" s="146">
        <v>2.5000000000000001E-3</v>
      </c>
      <c r="DB81" s="129" t="s">
        <v>208</v>
      </c>
      <c r="DC81" s="129">
        <v>4.60340572574E-2</v>
      </c>
      <c r="DD81" s="129" t="s">
        <v>159</v>
      </c>
      <c r="DE81" s="146">
        <v>2.5000000000000001E-3</v>
      </c>
      <c r="DF81" s="129" t="s">
        <v>209</v>
      </c>
      <c r="DG81" s="129" t="s">
        <v>160</v>
      </c>
      <c r="DH81" s="129" t="s">
        <v>160</v>
      </c>
      <c r="DI81" s="129" t="s">
        <v>160</v>
      </c>
      <c r="DJ81" s="129" t="s">
        <v>160</v>
      </c>
      <c r="DK81" s="145">
        <v>424.29</v>
      </c>
      <c r="DL81" s="129" t="s">
        <v>159</v>
      </c>
      <c r="DM81" s="145" t="s">
        <v>160</v>
      </c>
      <c r="DN81" s="129" t="s">
        <v>210</v>
      </c>
      <c r="DO81" s="129">
        <v>37.876600000000003</v>
      </c>
      <c r="DP81" s="129" t="s">
        <v>160</v>
      </c>
      <c r="DQ81" s="129">
        <v>0.67847500000000238</v>
      </c>
      <c r="DR81" s="129" t="s">
        <v>211</v>
      </c>
      <c r="DS81" s="129" t="s">
        <v>212</v>
      </c>
      <c r="DT81" s="129" t="s">
        <v>213</v>
      </c>
      <c r="DU81" s="129">
        <v>1.0271999999999999</v>
      </c>
      <c r="DV81" s="129" t="s">
        <v>214</v>
      </c>
      <c r="DW81" s="129" t="s">
        <v>214</v>
      </c>
      <c r="DX81" s="129" t="s">
        <v>215</v>
      </c>
      <c r="DY81" s="129" t="s">
        <v>160</v>
      </c>
      <c r="DZ81" s="129" t="s">
        <v>164</v>
      </c>
      <c r="EA81" s="129" t="s">
        <v>216</v>
      </c>
      <c r="EB81" s="129" t="s">
        <v>212</v>
      </c>
      <c r="EC81" s="129" t="s">
        <v>212</v>
      </c>
      <c r="ED81" s="129" t="s">
        <v>212</v>
      </c>
      <c r="EE81" s="129" t="s">
        <v>217</v>
      </c>
      <c r="EF81" s="147" t="s">
        <v>213</v>
      </c>
      <c r="EG81" s="148" t="s">
        <v>213</v>
      </c>
      <c r="EH81" s="129" t="s">
        <v>218</v>
      </c>
      <c r="EI81" s="129" t="s">
        <v>219</v>
      </c>
      <c r="EJ81" s="129" t="s">
        <v>160</v>
      </c>
      <c r="EK81" s="129">
        <v>1583.011</v>
      </c>
      <c r="EL81" s="129" t="s">
        <v>163</v>
      </c>
      <c r="EM81" s="150">
        <v>500</v>
      </c>
      <c r="EN81" s="150">
        <v>500</v>
      </c>
      <c r="EO81" s="129" t="s">
        <v>160</v>
      </c>
      <c r="EP81" s="129" t="s">
        <v>160</v>
      </c>
      <c r="EQ81" s="129" t="s">
        <v>160</v>
      </c>
      <c r="ER81" s="129" t="s">
        <v>160</v>
      </c>
      <c r="ES81" s="129">
        <v>7.7236229999999999</v>
      </c>
      <c r="ET81" s="142" t="s">
        <v>165</v>
      </c>
      <c r="EU81" s="129">
        <v>0.12966100000000047</v>
      </c>
      <c r="EV81" s="129">
        <v>0.16797199999999979</v>
      </c>
      <c r="EW81" s="142" t="s">
        <v>160</v>
      </c>
      <c r="EX81" s="129" t="s">
        <v>160</v>
      </c>
      <c r="EY81" s="129" t="s">
        <v>160</v>
      </c>
      <c r="EZ81" s="191">
        <v>707.82410000000004</v>
      </c>
      <c r="FA81" s="191">
        <v>402.08389999999986</v>
      </c>
      <c r="FB81" s="191">
        <v>239.8725</v>
      </c>
      <c r="FC81" s="129" t="s">
        <v>220</v>
      </c>
      <c r="FD81" s="129" t="s">
        <v>221</v>
      </c>
      <c r="FE81" s="191">
        <v>1666.4059999999999</v>
      </c>
      <c r="FF81" s="191">
        <v>392.17700000000013</v>
      </c>
      <c r="FG81" s="191">
        <v>387.98099999999999</v>
      </c>
      <c r="FH81" s="129" t="s">
        <v>160</v>
      </c>
      <c r="FI81" s="129" t="s">
        <v>160</v>
      </c>
      <c r="FJ81" s="129" t="s">
        <v>160</v>
      </c>
      <c r="FK81" s="129" t="s">
        <v>160</v>
      </c>
      <c r="FL81" s="129" t="s">
        <v>160</v>
      </c>
      <c r="FM81" s="129" t="s">
        <v>160</v>
      </c>
      <c r="FN81" s="151">
        <v>2.0213739999999998</v>
      </c>
      <c r="FO81" s="151">
        <v>1.3462330000000002</v>
      </c>
      <c r="FP81" s="151">
        <v>0.93675199999999981</v>
      </c>
      <c r="FQ81" s="129" t="s">
        <v>414</v>
      </c>
      <c r="FR81" s="166" t="s">
        <v>348</v>
      </c>
      <c r="FS81" s="166">
        <v>2014</v>
      </c>
      <c r="FT81" s="166" t="s">
        <v>349</v>
      </c>
    </row>
    <row r="82" spans="1:176" s="129" customFormat="1" ht="17">
      <c r="A82" s="166" t="s">
        <v>152</v>
      </c>
      <c r="B82" s="166" t="s">
        <v>183</v>
      </c>
      <c r="C82" s="166">
        <v>2018</v>
      </c>
      <c r="D82" s="166" t="s">
        <v>184</v>
      </c>
      <c r="E82" s="195">
        <v>16199.463999999998</v>
      </c>
      <c r="F82" s="166" t="s">
        <v>160</v>
      </c>
      <c r="G82" s="166" t="s">
        <v>160</v>
      </c>
      <c r="H82" s="190">
        <v>409.46480000000003</v>
      </c>
      <c r="I82" s="191">
        <v>167.85750000000002</v>
      </c>
      <c r="J82" s="191">
        <v>123.33160000000004</v>
      </c>
      <c r="K82" s="129" t="s">
        <v>457</v>
      </c>
      <c r="L82" s="131" t="s">
        <v>185</v>
      </c>
      <c r="M82" s="132" t="s">
        <v>186</v>
      </c>
      <c r="N82" s="129" t="s">
        <v>184</v>
      </c>
      <c r="O82" s="129">
        <v>761</v>
      </c>
      <c r="P82" s="129" t="s">
        <v>235</v>
      </c>
      <c r="Q82" s="178">
        <v>6</v>
      </c>
      <c r="R82" s="178">
        <v>5</v>
      </c>
      <c r="S82" s="191">
        <v>78</v>
      </c>
      <c r="T82" s="129">
        <v>80</v>
      </c>
      <c r="U82" s="129" t="s">
        <v>160</v>
      </c>
      <c r="V82" s="141">
        <v>49.88</v>
      </c>
      <c r="W82" s="196" t="s">
        <v>350</v>
      </c>
      <c r="X82" s="129" t="s">
        <v>351</v>
      </c>
      <c r="Y82" s="196">
        <v>-16.739722220000001</v>
      </c>
      <c r="Z82" s="197">
        <v>115.53611110999999</v>
      </c>
      <c r="AA82" s="129" t="s">
        <v>160</v>
      </c>
      <c r="AB82" s="129" t="s">
        <v>160</v>
      </c>
      <c r="AC82" s="129">
        <v>-2179</v>
      </c>
      <c r="AD82" s="129" t="s">
        <v>160</v>
      </c>
      <c r="AE82" s="129" t="s">
        <v>160</v>
      </c>
      <c r="AF82" s="129" t="s">
        <v>160</v>
      </c>
      <c r="AG82" s="151">
        <v>16199.463999999998</v>
      </c>
      <c r="AH82" s="138" t="s">
        <v>160</v>
      </c>
      <c r="AI82" s="129" t="s">
        <v>160</v>
      </c>
      <c r="AJ82" s="138" t="s">
        <v>160</v>
      </c>
      <c r="AK82" s="129" t="s">
        <v>237</v>
      </c>
      <c r="AL82" s="129" t="s">
        <v>238</v>
      </c>
      <c r="AM82" s="140" t="s">
        <v>239</v>
      </c>
      <c r="AN82" s="129" t="s">
        <v>160</v>
      </c>
      <c r="AO82" s="129" t="s">
        <v>160</v>
      </c>
      <c r="AP82" s="129" t="s">
        <v>160</v>
      </c>
      <c r="AQ82" s="129" t="s">
        <v>160</v>
      </c>
      <c r="AR82" s="129" t="s">
        <v>160</v>
      </c>
      <c r="AS82" s="129" t="s">
        <v>160</v>
      </c>
      <c r="AT82" s="129" t="s">
        <v>160</v>
      </c>
      <c r="AU82" s="129" t="s">
        <v>191</v>
      </c>
      <c r="AV82" s="129" t="s">
        <v>161</v>
      </c>
      <c r="AW82" s="129" t="s">
        <v>192</v>
      </c>
      <c r="AX82" s="129" t="s">
        <v>352</v>
      </c>
      <c r="AY82" s="129" t="s">
        <v>353</v>
      </c>
      <c r="AZ82" s="129" t="s">
        <v>354</v>
      </c>
      <c r="BA82" s="129" t="s">
        <v>196</v>
      </c>
      <c r="BB82" s="198" t="s">
        <v>379</v>
      </c>
      <c r="BC82" s="129">
        <v>2</v>
      </c>
      <c r="BD82" s="151">
        <v>0.26944484060103235</v>
      </c>
      <c r="BE82" s="151">
        <v>16.247655315988496</v>
      </c>
      <c r="BF82" s="129" t="s">
        <v>355</v>
      </c>
      <c r="BG82" s="141">
        <v>0.24704757917686412</v>
      </c>
      <c r="BH82" s="129">
        <v>0.83299999999999996</v>
      </c>
      <c r="BI82" s="129" t="s">
        <v>160</v>
      </c>
      <c r="BJ82" s="138" t="s">
        <v>160</v>
      </c>
      <c r="BK82" s="129">
        <v>2.69</v>
      </c>
      <c r="BL82" s="129" t="s">
        <v>160</v>
      </c>
      <c r="BM82" s="129" t="s">
        <v>160</v>
      </c>
      <c r="BN82" s="129" t="s">
        <v>200</v>
      </c>
      <c r="BO82" s="129" t="s">
        <v>201</v>
      </c>
      <c r="BP82" s="151">
        <v>16.275696657849338</v>
      </c>
      <c r="BQ82" s="129" t="s">
        <v>202</v>
      </c>
      <c r="BR82" s="217"/>
      <c r="BS82" s="129" t="s">
        <v>160</v>
      </c>
      <c r="BT82" s="129" t="s">
        <v>160</v>
      </c>
      <c r="BU82" s="129">
        <v>10</v>
      </c>
      <c r="BV82" s="129" t="s">
        <v>159</v>
      </c>
      <c r="BW82" s="129">
        <v>10</v>
      </c>
      <c r="BX82" s="145">
        <v>28.199784018262722</v>
      </c>
      <c r="BY82" s="129" t="s">
        <v>159</v>
      </c>
      <c r="BZ82" s="129">
        <v>1</v>
      </c>
      <c r="CA82" s="129">
        <v>1</v>
      </c>
      <c r="CB82" s="129" t="s">
        <v>160</v>
      </c>
      <c r="CC82" s="151">
        <v>4.058629836753191</v>
      </c>
      <c r="CD82" s="129" t="s">
        <v>163</v>
      </c>
      <c r="CE82" s="144">
        <f t="shared" si="10"/>
        <v>0.10958300559233615</v>
      </c>
      <c r="CF82" s="144">
        <f t="shared" si="11"/>
        <v>0.10958300559233615</v>
      </c>
      <c r="CG82" s="145" t="s">
        <v>203</v>
      </c>
      <c r="CH82" s="129" t="s">
        <v>204</v>
      </c>
      <c r="CI82" s="129" t="s">
        <v>205</v>
      </c>
      <c r="CJ82" s="129" t="s">
        <v>206</v>
      </c>
      <c r="CK82" s="129" t="s">
        <v>158</v>
      </c>
      <c r="CL82" s="129" t="s">
        <v>158</v>
      </c>
      <c r="CM82" s="129" t="s">
        <v>158</v>
      </c>
      <c r="CN82" s="129" t="s">
        <v>160</v>
      </c>
      <c r="CO82" s="129" t="s">
        <v>160</v>
      </c>
      <c r="CP82" s="129" t="s">
        <v>160</v>
      </c>
      <c r="CQ82" s="129" t="s">
        <v>160</v>
      </c>
      <c r="CR82" s="129" t="s">
        <v>160</v>
      </c>
      <c r="CS82" s="129" t="s">
        <v>160</v>
      </c>
      <c r="CT82" s="129" t="s">
        <v>160</v>
      </c>
      <c r="CU82" s="129">
        <v>35</v>
      </c>
      <c r="CV82" s="129" t="s">
        <v>159</v>
      </c>
      <c r="CW82" s="146">
        <v>1</v>
      </c>
      <c r="CX82" s="129" t="s">
        <v>207</v>
      </c>
      <c r="CY82" s="129">
        <v>1.3384687861599999E-2</v>
      </c>
      <c r="CZ82" s="129" t="s">
        <v>159</v>
      </c>
      <c r="DA82" s="146">
        <v>2.5000000000000001E-3</v>
      </c>
      <c r="DB82" s="129" t="s">
        <v>208</v>
      </c>
      <c r="DC82" s="129">
        <v>4.6027116890400004E-2</v>
      </c>
      <c r="DD82" s="129" t="s">
        <v>159</v>
      </c>
      <c r="DE82" s="146">
        <v>2.5000000000000001E-3</v>
      </c>
      <c r="DF82" s="129" t="s">
        <v>209</v>
      </c>
      <c r="DG82" s="129" t="s">
        <v>160</v>
      </c>
      <c r="DH82" s="129" t="s">
        <v>160</v>
      </c>
      <c r="DI82" s="129" t="s">
        <v>160</v>
      </c>
      <c r="DJ82" s="129" t="s">
        <v>160</v>
      </c>
      <c r="DK82" s="145">
        <v>424.29</v>
      </c>
      <c r="DL82" s="129" t="s">
        <v>159</v>
      </c>
      <c r="DM82" s="145" t="s">
        <v>160</v>
      </c>
      <c r="DN82" s="129" t="s">
        <v>210</v>
      </c>
      <c r="DO82" s="129">
        <v>37.882199999999997</v>
      </c>
      <c r="DP82" s="129" t="s">
        <v>160</v>
      </c>
      <c r="DQ82" s="129">
        <v>0.67223999999999862</v>
      </c>
      <c r="DR82" s="129" t="s">
        <v>211</v>
      </c>
      <c r="DS82" s="129" t="s">
        <v>212</v>
      </c>
      <c r="DT82" s="129" t="s">
        <v>213</v>
      </c>
      <c r="DU82" s="129">
        <v>1.0271999999999999</v>
      </c>
      <c r="DV82" s="129" t="s">
        <v>214</v>
      </c>
      <c r="DW82" s="129" t="s">
        <v>214</v>
      </c>
      <c r="DX82" s="129" t="s">
        <v>215</v>
      </c>
      <c r="DY82" s="129" t="s">
        <v>160</v>
      </c>
      <c r="DZ82" s="129" t="s">
        <v>164</v>
      </c>
      <c r="EA82" s="129" t="s">
        <v>216</v>
      </c>
      <c r="EB82" s="129" t="s">
        <v>212</v>
      </c>
      <c r="EC82" s="129" t="s">
        <v>212</v>
      </c>
      <c r="ED82" s="129" t="s">
        <v>212</v>
      </c>
      <c r="EE82" s="129" t="s">
        <v>217</v>
      </c>
      <c r="EF82" s="147" t="s">
        <v>213</v>
      </c>
      <c r="EG82" s="148" t="s">
        <v>213</v>
      </c>
      <c r="EH82" s="129" t="s">
        <v>218</v>
      </c>
      <c r="EI82" s="129" t="s">
        <v>219</v>
      </c>
      <c r="EJ82" s="129" t="s">
        <v>160</v>
      </c>
      <c r="EK82" s="129">
        <v>1583.0509999999999</v>
      </c>
      <c r="EL82" s="129" t="s">
        <v>163</v>
      </c>
      <c r="EM82" s="150">
        <v>500</v>
      </c>
      <c r="EN82" s="150">
        <v>500</v>
      </c>
      <c r="EO82" s="129" t="s">
        <v>160</v>
      </c>
      <c r="EP82" s="129" t="s">
        <v>160</v>
      </c>
      <c r="EQ82" s="129" t="s">
        <v>160</v>
      </c>
      <c r="ER82" s="129" t="s">
        <v>160</v>
      </c>
      <c r="ES82" s="129">
        <v>7.9532689999999997</v>
      </c>
      <c r="ET82" s="142" t="s">
        <v>165</v>
      </c>
      <c r="EU82" s="129">
        <v>9.9024000000000889E-2</v>
      </c>
      <c r="EV82" s="129">
        <v>0.1082459999999994</v>
      </c>
      <c r="EW82" s="142" t="s">
        <v>160</v>
      </c>
      <c r="EX82" s="129" t="s">
        <v>160</v>
      </c>
      <c r="EY82" s="129" t="s">
        <v>160</v>
      </c>
      <c r="EZ82" s="191">
        <v>409.46480000000003</v>
      </c>
      <c r="FA82" s="191">
        <v>167.85750000000002</v>
      </c>
      <c r="FB82" s="191">
        <v>123.33160000000004</v>
      </c>
      <c r="FC82" s="129" t="s">
        <v>220</v>
      </c>
      <c r="FD82" s="129" t="s">
        <v>221</v>
      </c>
      <c r="FE82" s="191">
        <v>1736.6559999999999</v>
      </c>
      <c r="FF82" s="191">
        <v>409.63600000000042</v>
      </c>
      <c r="FG82" s="191">
        <v>400.93099999999981</v>
      </c>
      <c r="FH82" s="129" t="s">
        <v>160</v>
      </c>
      <c r="FI82" s="129" t="s">
        <v>160</v>
      </c>
      <c r="FJ82" s="129" t="s">
        <v>160</v>
      </c>
      <c r="FK82" s="129" t="s">
        <v>160</v>
      </c>
      <c r="FL82" s="129" t="s">
        <v>160</v>
      </c>
      <c r="FM82" s="129" t="s">
        <v>160</v>
      </c>
      <c r="FN82" s="151">
        <v>3.3736299999999999</v>
      </c>
      <c r="FO82" s="151">
        <v>1.9319080000000004</v>
      </c>
      <c r="FP82" s="151">
        <v>1.441271</v>
      </c>
      <c r="FQ82" s="129" t="s">
        <v>414</v>
      </c>
      <c r="FR82" s="166" t="s">
        <v>348</v>
      </c>
      <c r="FS82" s="166">
        <v>2014</v>
      </c>
      <c r="FT82" s="166" t="s">
        <v>349</v>
      </c>
    </row>
    <row r="83" spans="1:176" s="129" customFormat="1" ht="17">
      <c r="A83" s="166" t="s">
        <v>152</v>
      </c>
      <c r="B83" s="166" t="s">
        <v>183</v>
      </c>
      <c r="C83" s="166">
        <v>2018</v>
      </c>
      <c r="D83" s="166" t="s">
        <v>184</v>
      </c>
      <c r="E83" s="195">
        <v>16211.994000000001</v>
      </c>
      <c r="F83" s="166" t="s">
        <v>160</v>
      </c>
      <c r="G83" s="166" t="s">
        <v>160</v>
      </c>
      <c r="H83" s="190">
        <v>756.85990000000004</v>
      </c>
      <c r="I83" s="191">
        <v>456.30010000000004</v>
      </c>
      <c r="J83" s="191">
        <v>260.07420000000002</v>
      </c>
      <c r="K83" s="129" t="s">
        <v>457</v>
      </c>
      <c r="L83" s="131" t="s">
        <v>185</v>
      </c>
      <c r="M83" s="132" t="s">
        <v>186</v>
      </c>
      <c r="N83" s="129" t="s">
        <v>184</v>
      </c>
      <c r="O83" s="129">
        <v>761</v>
      </c>
      <c r="P83" s="129" t="s">
        <v>235</v>
      </c>
      <c r="Q83" s="178">
        <v>6</v>
      </c>
      <c r="R83" s="178">
        <v>5</v>
      </c>
      <c r="S83" s="191">
        <v>88</v>
      </c>
      <c r="T83" s="129">
        <v>90</v>
      </c>
      <c r="U83" s="129" t="s">
        <v>160</v>
      </c>
      <c r="V83" s="141">
        <v>49.98</v>
      </c>
      <c r="W83" s="196" t="s">
        <v>350</v>
      </c>
      <c r="X83" s="129" t="s">
        <v>351</v>
      </c>
      <c r="Y83" s="196">
        <v>-16.739722220000001</v>
      </c>
      <c r="Z83" s="197">
        <v>115.53611110999999</v>
      </c>
      <c r="AA83" s="129" t="s">
        <v>160</v>
      </c>
      <c r="AB83" s="129" t="s">
        <v>160</v>
      </c>
      <c r="AC83" s="129">
        <v>-2179</v>
      </c>
      <c r="AD83" s="129" t="s">
        <v>160</v>
      </c>
      <c r="AE83" s="129" t="s">
        <v>160</v>
      </c>
      <c r="AF83" s="129" t="s">
        <v>160</v>
      </c>
      <c r="AG83" s="151">
        <v>16211.994000000001</v>
      </c>
      <c r="AH83" s="138" t="s">
        <v>160</v>
      </c>
      <c r="AI83" s="129" t="s">
        <v>160</v>
      </c>
      <c r="AJ83" s="138" t="s">
        <v>160</v>
      </c>
      <c r="AK83" s="129" t="s">
        <v>237</v>
      </c>
      <c r="AL83" s="129" t="s">
        <v>238</v>
      </c>
      <c r="AM83" s="140" t="s">
        <v>239</v>
      </c>
      <c r="AN83" s="129" t="s">
        <v>160</v>
      </c>
      <c r="AO83" s="129" t="s">
        <v>160</v>
      </c>
      <c r="AP83" s="129" t="s">
        <v>160</v>
      </c>
      <c r="AQ83" s="129" t="s">
        <v>160</v>
      </c>
      <c r="AR83" s="129" t="s">
        <v>160</v>
      </c>
      <c r="AS83" s="129" t="s">
        <v>160</v>
      </c>
      <c r="AT83" s="129" t="s">
        <v>160</v>
      </c>
      <c r="AU83" s="129" t="s">
        <v>191</v>
      </c>
      <c r="AV83" s="129" t="s">
        <v>161</v>
      </c>
      <c r="AW83" s="129" t="s">
        <v>192</v>
      </c>
      <c r="AX83" s="129" t="s">
        <v>352</v>
      </c>
      <c r="AY83" s="129" t="s">
        <v>353</v>
      </c>
      <c r="AZ83" s="129" t="s">
        <v>354</v>
      </c>
      <c r="BA83" s="129" t="s">
        <v>196</v>
      </c>
      <c r="BB83" s="198">
        <v>14.51</v>
      </c>
      <c r="BC83" s="129">
        <v>1</v>
      </c>
      <c r="BD83" s="151" t="s">
        <v>160</v>
      </c>
      <c r="BE83" s="151">
        <v>14.505965133148857</v>
      </c>
      <c r="BF83" s="129" t="s">
        <v>355</v>
      </c>
      <c r="BG83" s="141">
        <v>0.26774138664172942</v>
      </c>
      <c r="BH83" s="129">
        <v>0.83299999999999996</v>
      </c>
      <c r="BI83" s="129" t="s">
        <v>160</v>
      </c>
      <c r="BJ83" s="138" t="s">
        <v>160</v>
      </c>
      <c r="BK83" s="129">
        <v>2.69</v>
      </c>
      <c r="BL83" s="129" t="s">
        <v>160</v>
      </c>
      <c r="BM83" s="129" t="s">
        <v>160</v>
      </c>
      <c r="BN83" s="129" t="s">
        <v>200</v>
      </c>
      <c r="BO83" s="129" t="s">
        <v>201</v>
      </c>
      <c r="BP83" s="151">
        <v>14.184832092615675</v>
      </c>
      <c r="BQ83" s="129" t="s">
        <v>202</v>
      </c>
      <c r="BR83" s="217"/>
      <c r="BS83" s="129" t="s">
        <v>160</v>
      </c>
      <c r="BT83" s="129" t="s">
        <v>160</v>
      </c>
      <c r="BU83" s="129">
        <v>10</v>
      </c>
      <c r="BV83" s="129" t="s">
        <v>159</v>
      </c>
      <c r="BW83" s="129">
        <v>10</v>
      </c>
      <c r="BX83" s="145">
        <v>28.558161631965184</v>
      </c>
      <c r="BY83" s="129" t="s">
        <v>159</v>
      </c>
      <c r="BZ83" s="129">
        <v>1</v>
      </c>
      <c r="CA83" s="129">
        <v>1</v>
      </c>
      <c r="CB83" s="129" t="s">
        <v>160</v>
      </c>
      <c r="CC83" s="151">
        <v>4.1911351748941899</v>
      </c>
      <c r="CD83" s="129" t="s">
        <v>163</v>
      </c>
      <c r="CE83" s="144">
        <f t="shared" si="10"/>
        <v>0.11316064972214313</v>
      </c>
      <c r="CF83" s="144">
        <f t="shared" si="11"/>
        <v>0.11316064972214313</v>
      </c>
      <c r="CG83" s="145" t="s">
        <v>203</v>
      </c>
      <c r="CH83" s="129" t="s">
        <v>204</v>
      </c>
      <c r="CI83" s="129" t="s">
        <v>205</v>
      </c>
      <c r="CJ83" s="129" t="s">
        <v>206</v>
      </c>
      <c r="CK83" s="129" t="s">
        <v>158</v>
      </c>
      <c r="CL83" s="129" t="s">
        <v>158</v>
      </c>
      <c r="CM83" s="129" t="s">
        <v>158</v>
      </c>
      <c r="CN83" s="129" t="s">
        <v>160</v>
      </c>
      <c r="CO83" s="129" t="s">
        <v>160</v>
      </c>
      <c r="CP83" s="129" t="s">
        <v>160</v>
      </c>
      <c r="CQ83" s="129" t="s">
        <v>160</v>
      </c>
      <c r="CR83" s="129" t="s">
        <v>160</v>
      </c>
      <c r="CS83" s="129" t="s">
        <v>160</v>
      </c>
      <c r="CT83" s="129" t="s">
        <v>160</v>
      </c>
      <c r="CU83" s="129">
        <v>35</v>
      </c>
      <c r="CV83" s="129" t="s">
        <v>159</v>
      </c>
      <c r="CW83" s="146">
        <v>1</v>
      </c>
      <c r="CX83" s="129" t="s">
        <v>207</v>
      </c>
      <c r="CY83" s="129">
        <v>1.33868417686E-2</v>
      </c>
      <c r="CZ83" s="129" t="s">
        <v>159</v>
      </c>
      <c r="DA83" s="146">
        <v>2.5000000000000001E-3</v>
      </c>
      <c r="DB83" s="129" t="s">
        <v>208</v>
      </c>
      <c r="DC83" s="129">
        <v>4.60201765234E-2</v>
      </c>
      <c r="DD83" s="129" t="s">
        <v>159</v>
      </c>
      <c r="DE83" s="146">
        <v>2.5000000000000001E-3</v>
      </c>
      <c r="DF83" s="129" t="s">
        <v>209</v>
      </c>
      <c r="DG83" s="129" t="s">
        <v>160</v>
      </c>
      <c r="DH83" s="129" t="s">
        <v>160</v>
      </c>
      <c r="DI83" s="129" t="s">
        <v>160</v>
      </c>
      <c r="DJ83" s="129" t="s">
        <v>160</v>
      </c>
      <c r="DK83" s="145">
        <v>424.29</v>
      </c>
      <c r="DL83" s="129" t="s">
        <v>159</v>
      </c>
      <c r="DM83" s="145" t="s">
        <v>160</v>
      </c>
      <c r="DN83" s="129" t="s">
        <v>210</v>
      </c>
      <c r="DO83" s="129">
        <v>37.876060000000003</v>
      </c>
      <c r="DP83" s="129" t="s">
        <v>160</v>
      </c>
      <c r="DQ83" s="129">
        <v>0.6772500000000008</v>
      </c>
      <c r="DR83" s="129" t="s">
        <v>211</v>
      </c>
      <c r="DS83" s="129" t="s">
        <v>212</v>
      </c>
      <c r="DT83" s="129" t="s">
        <v>213</v>
      </c>
      <c r="DU83" s="129">
        <v>1.0271999999999999</v>
      </c>
      <c r="DV83" s="129" t="s">
        <v>214</v>
      </c>
      <c r="DW83" s="129" t="s">
        <v>214</v>
      </c>
      <c r="DX83" s="129" t="s">
        <v>215</v>
      </c>
      <c r="DY83" s="129" t="s">
        <v>160</v>
      </c>
      <c r="DZ83" s="129" t="s">
        <v>164</v>
      </c>
      <c r="EA83" s="129" t="s">
        <v>216</v>
      </c>
      <c r="EB83" s="129" t="s">
        <v>212</v>
      </c>
      <c r="EC83" s="129" t="s">
        <v>212</v>
      </c>
      <c r="ED83" s="129" t="s">
        <v>212</v>
      </c>
      <c r="EE83" s="129" t="s">
        <v>217</v>
      </c>
      <c r="EF83" s="147" t="s">
        <v>213</v>
      </c>
      <c r="EG83" s="148" t="s">
        <v>213</v>
      </c>
      <c r="EH83" s="129" t="s">
        <v>218</v>
      </c>
      <c r="EI83" s="129" t="s">
        <v>219</v>
      </c>
      <c r="EJ83" s="129" t="s">
        <v>160</v>
      </c>
      <c r="EK83" s="129">
        <v>1583.424</v>
      </c>
      <c r="EL83" s="129" t="s">
        <v>163</v>
      </c>
      <c r="EM83" s="150">
        <v>500</v>
      </c>
      <c r="EN83" s="150">
        <v>500</v>
      </c>
      <c r="EO83" s="129" t="s">
        <v>160</v>
      </c>
      <c r="EP83" s="129" t="s">
        <v>160</v>
      </c>
      <c r="EQ83" s="129" t="s">
        <v>160</v>
      </c>
      <c r="ER83" s="129" t="s">
        <v>160</v>
      </c>
      <c r="ES83" s="129">
        <v>7.695589</v>
      </c>
      <c r="ET83" s="142" t="s">
        <v>165</v>
      </c>
      <c r="EU83" s="129">
        <v>0.13674799999999987</v>
      </c>
      <c r="EV83" s="129">
        <v>0.18358900000000045</v>
      </c>
      <c r="EW83" s="142" t="s">
        <v>160</v>
      </c>
      <c r="EX83" s="129" t="s">
        <v>160</v>
      </c>
      <c r="EY83" s="129" t="s">
        <v>160</v>
      </c>
      <c r="EZ83" s="191">
        <v>756.85990000000004</v>
      </c>
      <c r="FA83" s="191">
        <v>456.30010000000004</v>
      </c>
      <c r="FB83" s="191">
        <v>260.07420000000002</v>
      </c>
      <c r="FC83" s="129" t="s">
        <v>220</v>
      </c>
      <c r="FD83" s="129" t="s">
        <v>221</v>
      </c>
      <c r="FE83" s="191">
        <v>1659.8209999999999</v>
      </c>
      <c r="FF83" s="191">
        <v>384.49900000000025</v>
      </c>
      <c r="FG83" s="191">
        <v>388.86799999999994</v>
      </c>
      <c r="FH83" s="129" t="s">
        <v>160</v>
      </c>
      <c r="FI83" s="129" t="s">
        <v>160</v>
      </c>
      <c r="FJ83" s="129" t="s">
        <v>160</v>
      </c>
      <c r="FK83" s="129" t="s">
        <v>160</v>
      </c>
      <c r="FL83" s="129" t="s">
        <v>160</v>
      </c>
      <c r="FM83" s="129" t="s">
        <v>160</v>
      </c>
      <c r="FN83" s="151">
        <v>1.906839</v>
      </c>
      <c r="FO83" s="151">
        <v>1.3114269999999999</v>
      </c>
      <c r="FP83" s="151">
        <v>0.89586699999999997</v>
      </c>
      <c r="FQ83" s="129" t="s">
        <v>414</v>
      </c>
      <c r="FR83" s="166" t="s">
        <v>348</v>
      </c>
      <c r="FS83" s="166">
        <v>2014</v>
      </c>
      <c r="FT83" s="166" t="s">
        <v>349</v>
      </c>
    </row>
    <row r="84" spans="1:176" s="129" customFormat="1" ht="17">
      <c r="A84" s="166" t="s">
        <v>152</v>
      </c>
      <c r="B84" s="166" t="s">
        <v>183</v>
      </c>
      <c r="C84" s="166">
        <v>2018</v>
      </c>
      <c r="D84" s="166" t="s">
        <v>184</v>
      </c>
      <c r="E84" s="195">
        <v>16224.523999999999</v>
      </c>
      <c r="F84" s="166" t="s">
        <v>160</v>
      </c>
      <c r="G84" s="166" t="s">
        <v>160</v>
      </c>
      <c r="H84" s="190">
        <v>654.00710000000004</v>
      </c>
      <c r="I84" s="191">
        <v>338.88070000000005</v>
      </c>
      <c r="J84" s="191">
        <v>217.56850000000003</v>
      </c>
      <c r="K84" s="129" t="s">
        <v>457</v>
      </c>
      <c r="L84" s="131" t="s">
        <v>185</v>
      </c>
      <c r="M84" s="132" t="s">
        <v>186</v>
      </c>
      <c r="N84" s="129" t="s">
        <v>184</v>
      </c>
      <c r="O84" s="129">
        <v>761</v>
      </c>
      <c r="P84" s="129" t="s">
        <v>235</v>
      </c>
      <c r="Q84" s="178">
        <v>6</v>
      </c>
      <c r="R84" s="178">
        <v>5</v>
      </c>
      <c r="S84" s="191">
        <v>98</v>
      </c>
      <c r="T84" s="129">
        <v>100</v>
      </c>
      <c r="U84" s="129" t="s">
        <v>160</v>
      </c>
      <c r="V84" s="141">
        <v>50.08</v>
      </c>
      <c r="W84" s="196" t="s">
        <v>350</v>
      </c>
      <c r="X84" s="129" t="s">
        <v>351</v>
      </c>
      <c r="Y84" s="196">
        <v>-16.739722220000001</v>
      </c>
      <c r="Z84" s="197">
        <v>115.53611110999999</v>
      </c>
      <c r="AA84" s="129" t="s">
        <v>160</v>
      </c>
      <c r="AB84" s="129" t="s">
        <v>160</v>
      </c>
      <c r="AC84" s="129">
        <v>-2179</v>
      </c>
      <c r="AD84" s="129" t="s">
        <v>160</v>
      </c>
      <c r="AE84" s="129" t="s">
        <v>160</v>
      </c>
      <c r="AF84" s="129" t="s">
        <v>160</v>
      </c>
      <c r="AG84" s="151">
        <v>16224.523999999999</v>
      </c>
      <c r="AH84" s="138" t="s">
        <v>160</v>
      </c>
      <c r="AI84" s="129" t="s">
        <v>160</v>
      </c>
      <c r="AJ84" s="138" t="s">
        <v>160</v>
      </c>
      <c r="AK84" s="129" t="s">
        <v>237</v>
      </c>
      <c r="AL84" s="129" t="s">
        <v>238</v>
      </c>
      <c r="AM84" s="140" t="s">
        <v>239</v>
      </c>
      <c r="AN84" s="129" t="s">
        <v>160</v>
      </c>
      <c r="AO84" s="129" t="s">
        <v>160</v>
      </c>
      <c r="AP84" s="129" t="s">
        <v>160</v>
      </c>
      <c r="AQ84" s="129" t="s">
        <v>160</v>
      </c>
      <c r="AR84" s="129" t="s">
        <v>160</v>
      </c>
      <c r="AS84" s="129" t="s">
        <v>160</v>
      </c>
      <c r="AT84" s="129" t="s">
        <v>160</v>
      </c>
      <c r="AU84" s="129" t="s">
        <v>191</v>
      </c>
      <c r="AV84" s="129" t="s">
        <v>161</v>
      </c>
      <c r="AW84" s="129" t="s">
        <v>192</v>
      </c>
      <c r="AX84" s="129" t="s">
        <v>352</v>
      </c>
      <c r="AY84" s="129" t="s">
        <v>353</v>
      </c>
      <c r="AZ84" s="129" t="s">
        <v>354</v>
      </c>
      <c r="BA84" s="129" t="s">
        <v>196</v>
      </c>
      <c r="BB84" s="198">
        <v>14.9</v>
      </c>
      <c r="BC84" s="129">
        <v>1</v>
      </c>
      <c r="BD84" s="151" t="s">
        <v>160</v>
      </c>
      <c r="BE84" s="151">
        <v>14.899397221831624</v>
      </c>
      <c r="BF84" s="129" t="s">
        <v>355</v>
      </c>
      <c r="BG84" s="141">
        <v>0.279188199842136</v>
      </c>
      <c r="BH84" s="129">
        <v>0.83299999999999996</v>
      </c>
      <c r="BI84" s="129" t="s">
        <v>160</v>
      </c>
      <c r="BJ84" s="138" t="s">
        <v>160</v>
      </c>
      <c r="BK84" s="129">
        <v>2.69</v>
      </c>
      <c r="BL84" s="129" t="s">
        <v>160</v>
      </c>
      <c r="BM84" s="129" t="s">
        <v>160</v>
      </c>
      <c r="BN84" s="129" t="s">
        <v>200</v>
      </c>
      <c r="BO84" s="129" t="s">
        <v>201</v>
      </c>
      <c r="BP84" s="151">
        <v>14.657139522006753</v>
      </c>
      <c r="BQ84" s="129" t="s">
        <v>202</v>
      </c>
      <c r="BR84" s="217"/>
      <c r="BS84" s="129" t="s">
        <v>160</v>
      </c>
      <c r="BT84" s="129" t="s">
        <v>160</v>
      </c>
      <c r="BU84" s="129">
        <v>10</v>
      </c>
      <c r="BV84" s="129" t="s">
        <v>159</v>
      </c>
      <c r="BW84" s="129">
        <v>10</v>
      </c>
      <c r="BX84" s="145">
        <v>28.852735586247398</v>
      </c>
      <c r="BY84" s="129" t="s">
        <v>159</v>
      </c>
      <c r="BZ84" s="129">
        <v>1</v>
      </c>
      <c r="CA84" s="129">
        <v>1</v>
      </c>
      <c r="CB84" s="129" t="s">
        <v>160</v>
      </c>
      <c r="CC84" s="151">
        <v>4.303185136833874</v>
      </c>
      <c r="CD84" s="129" t="s">
        <v>163</v>
      </c>
      <c r="CE84" s="144">
        <f t="shared" si="10"/>
        <v>0.1161859986945146</v>
      </c>
      <c r="CF84" s="144">
        <f t="shared" si="11"/>
        <v>0.1161859986945146</v>
      </c>
      <c r="CG84" s="145" t="s">
        <v>203</v>
      </c>
      <c r="CH84" s="129" t="s">
        <v>204</v>
      </c>
      <c r="CI84" s="129" t="s">
        <v>205</v>
      </c>
      <c r="CJ84" s="129" t="s">
        <v>206</v>
      </c>
      <c r="CK84" s="129" t="s">
        <v>158</v>
      </c>
      <c r="CL84" s="129" t="s">
        <v>158</v>
      </c>
      <c r="CM84" s="129" t="s">
        <v>158</v>
      </c>
      <c r="CN84" s="129" t="s">
        <v>160</v>
      </c>
      <c r="CO84" s="129" t="s">
        <v>160</v>
      </c>
      <c r="CP84" s="129" t="s">
        <v>160</v>
      </c>
      <c r="CQ84" s="129" t="s">
        <v>160</v>
      </c>
      <c r="CR84" s="129" t="s">
        <v>160</v>
      </c>
      <c r="CS84" s="129" t="s">
        <v>160</v>
      </c>
      <c r="CT84" s="129" t="s">
        <v>160</v>
      </c>
      <c r="CU84" s="129">
        <v>35</v>
      </c>
      <c r="CV84" s="129" t="s">
        <v>159</v>
      </c>
      <c r="CW84" s="146">
        <v>1</v>
      </c>
      <c r="CX84" s="129" t="s">
        <v>207</v>
      </c>
      <c r="CY84" s="129">
        <v>1.33889956756E-2</v>
      </c>
      <c r="CZ84" s="129" t="s">
        <v>159</v>
      </c>
      <c r="DA84" s="146">
        <v>2.5000000000000001E-3</v>
      </c>
      <c r="DB84" s="129" t="s">
        <v>208</v>
      </c>
      <c r="DC84" s="129">
        <v>4.6013236156399996E-2</v>
      </c>
      <c r="DD84" s="129" t="s">
        <v>159</v>
      </c>
      <c r="DE84" s="146">
        <v>2.5000000000000001E-3</v>
      </c>
      <c r="DF84" s="129" t="s">
        <v>209</v>
      </c>
      <c r="DG84" s="129" t="s">
        <v>160</v>
      </c>
      <c r="DH84" s="129" t="s">
        <v>160</v>
      </c>
      <c r="DI84" s="129" t="s">
        <v>160</v>
      </c>
      <c r="DJ84" s="129" t="s">
        <v>160</v>
      </c>
      <c r="DK84" s="145">
        <v>424.29</v>
      </c>
      <c r="DL84" s="129" t="s">
        <v>159</v>
      </c>
      <c r="DM84" s="145" t="s">
        <v>160</v>
      </c>
      <c r="DN84" s="129" t="s">
        <v>210</v>
      </c>
      <c r="DO84" s="129">
        <v>37.877580000000002</v>
      </c>
      <c r="DP84" s="129" t="s">
        <v>160</v>
      </c>
      <c r="DQ84" s="129">
        <v>0.66842499999999916</v>
      </c>
      <c r="DR84" s="129" t="s">
        <v>211</v>
      </c>
      <c r="DS84" s="129" t="s">
        <v>212</v>
      </c>
      <c r="DT84" s="129" t="s">
        <v>213</v>
      </c>
      <c r="DU84" s="129">
        <v>1.0271999999999999</v>
      </c>
      <c r="DV84" s="129" t="s">
        <v>214</v>
      </c>
      <c r="DW84" s="129" t="s">
        <v>214</v>
      </c>
      <c r="DX84" s="129" t="s">
        <v>215</v>
      </c>
      <c r="DY84" s="129" t="s">
        <v>160</v>
      </c>
      <c r="DZ84" s="129" t="s">
        <v>164</v>
      </c>
      <c r="EA84" s="129" t="s">
        <v>216</v>
      </c>
      <c r="EB84" s="129" t="s">
        <v>212</v>
      </c>
      <c r="EC84" s="129" t="s">
        <v>212</v>
      </c>
      <c r="ED84" s="129" t="s">
        <v>212</v>
      </c>
      <c r="EE84" s="129" t="s">
        <v>217</v>
      </c>
      <c r="EF84" s="147" t="s">
        <v>213</v>
      </c>
      <c r="EG84" s="148" t="s">
        <v>213</v>
      </c>
      <c r="EH84" s="129" t="s">
        <v>218</v>
      </c>
      <c r="EI84" s="129" t="s">
        <v>219</v>
      </c>
      <c r="EJ84" s="129" t="s">
        <v>160</v>
      </c>
      <c r="EK84" s="129">
        <v>1583.6310000000001</v>
      </c>
      <c r="EL84" s="129" t="s">
        <v>163</v>
      </c>
      <c r="EM84" s="150">
        <v>500</v>
      </c>
      <c r="EN84" s="150">
        <v>500</v>
      </c>
      <c r="EO84" s="129" t="s">
        <v>160</v>
      </c>
      <c r="EP84" s="129" t="s">
        <v>160</v>
      </c>
      <c r="EQ84" s="129" t="s">
        <v>160</v>
      </c>
      <c r="ER84" s="129" t="s">
        <v>160</v>
      </c>
      <c r="ES84" s="129">
        <v>7.7596600000000002</v>
      </c>
      <c r="ET84" s="142" t="s">
        <v>165</v>
      </c>
      <c r="EU84" s="129">
        <v>0.12494899999999998</v>
      </c>
      <c r="EV84" s="129">
        <v>0.15338600000000024</v>
      </c>
      <c r="EW84" s="142" t="s">
        <v>160</v>
      </c>
      <c r="EX84" s="129" t="s">
        <v>160</v>
      </c>
      <c r="EY84" s="129" t="s">
        <v>160</v>
      </c>
      <c r="EZ84" s="191">
        <v>654.00710000000004</v>
      </c>
      <c r="FA84" s="191">
        <v>338.88070000000005</v>
      </c>
      <c r="FB84" s="191">
        <v>217.56850000000003</v>
      </c>
      <c r="FC84" s="129" t="s">
        <v>220</v>
      </c>
      <c r="FD84" s="129" t="s">
        <v>221</v>
      </c>
      <c r="FE84" s="191">
        <v>1677.798</v>
      </c>
      <c r="FF84" s="191">
        <v>391.54700000000025</v>
      </c>
      <c r="FG84" s="191">
        <v>385.4849999999999</v>
      </c>
      <c r="FH84" s="129" t="s">
        <v>160</v>
      </c>
      <c r="FI84" s="129" t="s">
        <v>160</v>
      </c>
      <c r="FJ84" s="129" t="s">
        <v>160</v>
      </c>
      <c r="FK84" s="129" t="s">
        <v>160</v>
      </c>
      <c r="FL84" s="129" t="s">
        <v>160</v>
      </c>
      <c r="FM84" s="129" t="s">
        <v>160</v>
      </c>
      <c r="FN84" s="151">
        <v>2.2307260000000002</v>
      </c>
      <c r="FO84" s="151">
        <v>1.4664289999999998</v>
      </c>
      <c r="FP84" s="151">
        <v>1.0086450000000002</v>
      </c>
      <c r="FQ84" s="129" t="s">
        <v>414</v>
      </c>
      <c r="FR84" s="166" t="s">
        <v>348</v>
      </c>
      <c r="FS84" s="166">
        <v>2014</v>
      </c>
      <c r="FT84" s="166" t="s">
        <v>349</v>
      </c>
    </row>
    <row r="85" spans="1:176" s="129" customFormat="1" ht="17">
      <c r="A85" s="166" t="s">
        <v>152</v>
      </c>
      <c r="B85" s="166" t="s">
        <v>183</v>
      </c>
      <c r="C85" s="166">
        <v>2018</v>
      </c>
      <c r="D85" s="166" t="s">
        <v>184</v>
      </c>
      <c r="E85" s="195">
        <v>16230.789000000001</v>
      </c>
      <c r="F85" s="166" t="s">
        <v>160</v>
      </c>
      <c r="G85" s="166" t="s">
        <v>160</v>
      </c>
      <c r="H85" s="190">
        <v>355.83609999999999</v>
      </c>
      <c r="I85" s="191">
        <v>139.7724</v>
      </c>
      <c r="J85" s="191">
        <v>106.69940000000003</v>
      </c>
      <c r="K85" s="129" t="s">
        <v>457</v>
      </c>
      <c r="L85" s="131" t="s">
        <v>185</v>
      </c>
      <c r="M85" s="132" t="s">
        <v>186</v>
      </c>
      <c r="N85" s="129" t="s">
        <v>184</v>
      </c>
      <c r="O85" s="129">
        <v>761</v>
      </c>
      <c r="P85" s="129" t="s">
        <v>235</v>
      </c>
      <c r="Q85" s="178">
        <v>6</v>
      </c>
      <c r="R85" s="178">
        <v>5</v>
      </c>
      <c r="S85" s="191">
        <v>103</v>
      </c>
      <c r="T85" s="129">
        <v>105</v>
      </c>
      <c r="U85" s="129" t="s">
        <v>160</v>
      </c>
      <c r="V85" s="141">
        <v>50.13</v>
      </c>
      <c r="W85" s="196" t="s">
        <v>350</v>
      </c>
      <c r="X85" s="129" t="s">
        <v>351</v>
      </c>
      <c r="Y85" s="196">
        <v>-16.739722220000001</v>
      </c>
      <c r="Z85" s="197">
        <v>115.53611110999999</v>
      </c>
      <c r="AA85" s="129" t="s">
        <v>160</v>
      </c>
      <c r="AB85" s="129" t="s">
        <v>160</v>
      </c>
      <c r="AC85" s="129">
        <v>-2179</v>
      </c>
      <c r="AD85" s="129" t="s">
        <v>160</v>
      </c>
      <c r="AE85" s="129" t="s">
        <v>160</v>
      </c>
      <c r="AF85" s="129" t="s">
        <v>160</v>
      </c>
      <c r="AG85" s="151">
        <v>16230.789000000001</v>
      </c>
      <c r="AH85" s="138" t="s">
        <v>160</v>
      </c>
      <c r="AI85" s="129" t="s">
        <v>160</v>
      </c>
      <c r="AJ85" s="138" t="s">
        <v>160</v>
      </c>
      <c r="AK85" s="129" t="s">
        <v>237</v>
      </c>
      <c r="AL85" s="129" t="s">
        <v>238</v>
      </c>
      <c r="AM85" s="140" t="s">
        <v>239</v>
      </c>
      <c r="AN85" s="129" t="s">
        <v>160</v>
      </c>
      <c r="AO85" s="129" t="s">
        <v>160</v>
      </c>
      <c r="AP85" s="129" t="s">
        <v>160</v>
      </c>
      <c r="AQ85" s="129" t="s">
        <v>160</v>
      </c>
      <c r="AR85" s="129" t="s">
        <v>160</v>
      </c>
      <c r="AS85" s="129" t="s">
        <v>160</v>
      </c>
      <c r="AT85" s="129" t="s">
        <v>160</v>
      </c>
      <c r="AU85" s="129" t="s">
        <v>191</v>
      </c>
      <c r="AV85" s="129" t="s">
        <v>161</v>
      </c>
      <c r="AW85" s="129" t="s">
        <v>192</v>
      </c>
      <c r="AX85" s="129" t="s">
        <v>352</v>
      </c>
      <c r="AY85" s="129" t="s">
        <v>353</v>
      </c>
      <c r="AZ85" s="129" t="s">
        <v>354</v>
      </c>
      <c r="BA85" s="129" t="s">
        <v>196</v>
      </c>
      <c r="BB85" s="198" t="s">
        <v>380</v>
      </c>
      <c r="BC85" s="129">
        <v>2</v>
      </c>
      <c r="BD85" s="151">
        <v>5.5459694326920319E-3</v>
      </c>
      <c r="BE85" s="151">
        <v>16.804112444955848</v>
      </c>
      <c r="BF85" s="129" t="s">
        <v>355</v>
      </c>
      <c r="BG85" s="141">
        <v>0.23631448075553288</v>
      </c>
      <c r="BH85" s="129">
        <v>0.83299999999999996</v>
      </c>
      <c r="BI85" s="129" t="s">
        <v>160</v>
      </c>
      <c r="BJ85" s="138" t="s">
        <v>160</v>
      </c>
      <c r="BK85" s="129">
        <v>2.69</v>
      </c>
      <c r="BL85" s="129" t="s">
        <v>160</v>
      </c>
      <c r="BM85" s="129" t="s">
        <v>160</v>
      </c>
      <c r="BN85" s="129" t="s">
        <v>200</v>
      </c>
      <c r="BO85" s="129" t="s">
        <v>201</v>
      </c>
      <c r="BP85" s="151">
        <v>16.943712418914586</v>
      </c>
      <c r="BQ85" s="129" t="s">
        <v>202</v>
      </c>
      <c r="BR85" s="217"/>
      <c r="BS85" s="129" t="s">
        <v>160</v>
      </c>
      <c r="BT85" s="129" t="s">
        <v>160</v>
      </c>
      <c r="BU85" s="129">
        <v>10</v>
      </c>
      <c r="BV85" s="129" t="s">
        <v>159</v>
      </c>
      <c r="BW85" s="129">
        <v>10</v>
      </c>
      <c r="BX85" s="145">
        <v>28.727497368433948</v>
      </c>
      <c r="BY85" s="129" t="s">
        <v>159</v>
      </c>
      <c r="BZ85" s="129">
        <v>1</v>
      </c>
      <c r="CA85" s="129">
        <v>1</v>
      </c>
      <c r="CB85" s="129" t="s">
        <v>160</v>
      </c>
      <c r="CC85" s="151">
        <v>4.2546824904655169</v>
      </c>
      <c r="CD85" s="129" t="s">
        <v>163</v>
      </c>
      <c r="CE85" s="144">
        <f t="shared" si="10"/>
        <v>0.11487642724256895</v>
      </c>
      <c r="CF85" s="144">
        <f t="shared" si="11"/>
        <v>0.11487642724256895</v>
      </c>
      <c r="CG85" s="145" t="s">
        <v>203</v>
      </c>
      <c r="CH85" s="129" t="s">
        <v>204</v>
      </c>
      <c r="CI85" s="129" t="s">
        <v>205</v>
      </c>
      <c r="CJ85" s="129" t="s">
        <v>206</v>
      </c>
      <c r="CK85" s="129" t="s">
        <v>158</v>
      </c>
      <c r="CL85" s="129" t="s">
        <v>158</v>
      </c>
      <c r="CM85" s="129" t="s">
        <v>158</v>
      </c>
      <c r="CN85" s="129" t="s">
        <v>160</v>
      </c>
      <c r="CO85" s="129" t="s">
        <v>160</v>
      </c>
      <c r="CP85" s="129" t="s">
        <v>160</v>
      </c>
      <c r="CQ85" s="129" t="s">
        <v>160</v>
      </c>
      <c r="CR85" s="129" t="s">
        <v>160</v>
      </c>
      <c r="CS85" s="129" t="s">
        <v>160</v>
      </c>
      <c r="CT85" s="129" t="s">
        <v>160</v>
      </c>
      <c r="CU85" s="129">
        <v>35</v>
      </c>
      <c r="CV85" s="129" t="s">
        <v>159</v>
      </c>
      <c r="CW85" s="146">
        <v>1</v>
      </c>
      <c r="CX85" s="129" t="s">
        <v>207</v>
      </c>
      <c r="CY85" s="129">
        <v>1.3390072629100001E-2</v>
      </c>
      <c r="CZ85" s="129" t="s">
        <v>159</v>
      </c>
      <c r="DA85" s="146">
        <v>2.5000000000000001E-3</v>
      </c>
      <c r="DB85" s="129" t="s">
        <v>208</v>
      </c>
      <c r="DC85" s="129">
        <v>4.6009765972899998E-2</v>
      </c>
      <c r="DD85" s="129" t="s">
        <v>159</v>
      </c>
      <c r="DE85" s="146">
        <v>2.5000000000000001E-3</v>
      </c>
      <c r="DF85" s="129" t="s">
        <v>209</v>
      </c>
      <c r="DG85" s="129" t="s">
        <v>160</v>
      </c>
      <c r="DH85" s="129" t="s">
        <v>160</v>
      </c>
      <c r="DI85" s="129" t="s">
        <v>160</v>
      </c>
      <c r="DJ85" s="129" t="s">
        <v>160</v>
      </c>
      <c r="DK85" s="145">
        <v>424.29</v>
      </c>
      <c r="DL85" s="129" t="s">
        <v>159</v>
      </c>
      <c r="DM85" s="145" t="s">
        <v>160</v>
      </c>
      <c r="DN85" s="129" t="s">
        <v>210</v>
      </c>
      <c r="DO85" s="129">
        <v>37.865110000000001</v>
      </c>
      <c r="DP85" s="129" t="s">
        <v>160</v>
      </c>
      <c r="DQ85" s="129">
        <v>0.66873000000000005</v>
      </c>
      <c r="DR85" s="129" t="s">
        <v>211</v>
      </c>
      <c r="DS85" s="129" t="s">
        <v>212</v>
      </c>
      <c r="DT85" s="129" t="s">
        <v>213</v>
      </c>
      <c r="DU85" s="129">
        <v>1.0271999999999999</v>
      </c>
      <c r="DV85" s="129" t="s">
        <v>214</v>
      </c>
      <c r="DW85" s="129" t="s">
        <v>214</v>
      </c>
      <c r="DX85" s="129" t="s">
        <v>215</v>
      </c>
      <c r="DY85" s="129" t="s">
        <v>160</v>
      </c>
      <c r="DZ85" s="129" t="s">
        <v>164</v>
      </c>
      <c r="EA85" s="129" t="s">
        <v>216</v>
      </c>
      <c r="EB85" s="129" t="s">
        <v>212</v>
      </c>
      <c r="EC85" s="129" t="s">
        <v>212</v>
      </c>
      <c r="ED85" s="129" t="s">
        <v>212</v>
      </c>
      <c r="EE85" s="129" t="s">
        <v>217</v>
      </c>
      <c r="EF85" s="147" t="s">
        <v>213</v>
      </c>
      <c r="EG85" s="148" t="s">
        <v>213</v>
      </c>
      <c r="EH85" s="129" t="s">
        <v>218</v>
      </c>
      <c r="EI85" s="129" t="s">
        <v>219</v>
      </c>
      <c r="EJ85" s="129" t="s">
        <v>160</v>
      </c>
      <c r="EK85" s="129">
        <v>1579.6009999999999</v>
      </c>
      <c r="EL85" s="129" t="s">
        <v>163</v>
      </c>
      <c r="EM85" s="150">
        <v>500</v>
      </c>
      <c r="EN85" s="150">
        <v>500</v>
      </c>
      <c r="EO85" s="129" t="s">
        <v>160</v>
      </c>
      <c r="EP85" s="129" t="s">
        <v>160</v>
      </c>
      <c r="EQ85" s="129" t="s">
        <v>160</v>
      </c>
      <c r="ER85" s="129" t="s">
        <v>160</v>
      </c>
      <c r="ES85" s="129">
        <v>8.0131300000000003</v>
      </c>
      <c r="ET85" s="142" t="s">
        <v>165</v>
      </c>
      <c r="EU85" s="129">
        <v>9.1072999999999737E-2</v>
      </c>
      <c r="EV85" s="129">
        <v>0.10224900000000048</v>
      </c>
      <c r="EW85" s="142" t="s">
        <v>160</v>
      </c>
      <c r="EX85" s="129" t="s">
        <v>160</v>
      </c>
      <c r="EY85" s="129" t="s">
        <v>160</v>
      </c>
      <c r="EZ85" s="191">
        <v>355.83609999999999</v>
      </c>
      <c r="FA85" s="191">
        <v>139.7724</v>
      </c>
      <c r="FB85" s="191">
        <v>106.69940000000003</v>
      </c>
      <c r="FC85" s="129" t="s">
        <v>220</v>
      </c>
      <c r="FD85" s="129" t="s">
        <v>221</v>
      </c>
      <c r="FE85" s="191">
        <v>1758.5610000000001</v>
      </c>
      <c r="FF85" s="191">
        <v>403.98</v>
      </c>
      <c r="FG85" s="191">
        <v>406.04600000000005</v>
      </c>
      <c r="FH85" s="129" t="s">
        <v>160</v>
      </c>
      <c r="FI85" s="129" t="s">
        <v>160</v>
      </c>
      <c r="FJ85" s="129" t="s">
        <v>160</v>
      </c>
      <c r="FK85" s="129" t="s">
        <v>160</v>
      </c>
      <c r="FL85" s="129" t="s">
        <v>160</v>
      </c>
      <c r="FM85" s="129" t="s">
        <v>160</v>
      </c>
      <c r="FN85" s="151">
        <v>3.905424</v>
      </c>
      <c r="FO85" s="151">
        <v>2.1876360000000004</v>
      </c>
      <c r="FP85" s="151">
        <v>1.6710280000000002</v>
      </c>
      <c r="FQ85" s="129" t="s">
        <v>414</v>
      </c>
      <c r="FR85" s="166" t="s">
        <v>348</v>
      </c>
      <c r="FS85" s="166">
        <v>2014</v>
      </c>
      <c r="FT85" s="166" t="s">
        <v>349</v>
      </c>
    </row>
    <row r="86" spans="1:176" s="129" customFormat="1" ht="17">
      <c r="A86" s="166" t="s">
        <v>152</v>
      </c>
      <c r="B86" s="166" t="s">
        <v>183</v>
      </c>
      <c r="C86" s="166">
        <v>2018</v>
      </c>
      <c r="D86" s="166" t="s">
        <v>184</v>
      </c>
      <c r="E86" s="195">
        <v>16249.583999999999</v>
      </c>
      <c r="F86" s="166" t="s">
        <v>160</v>
      </c>
      <c r="G86" s="166" t="s">
        <v>160</v>
      </c>
      <c r="H86" s="190">
        <v>782.03729999999996</v>
      </c>
      <c r="I86" s="191">
        <v>657.04970000000003</v>
      </c>
      <c r="J86" s="191">
        <v>300.32279999999997</v>
      </c>
      <c r="K86" s="129" t="s">
        <v>457</v>
      </c>
      <c r="L86" s="131" t="s">
        <v>185</v>
      </c>
      <c r="M86" s="132" t="s">
        <v>186</v>
      </c>
      <c r="N86" s="129" t="s">
        <v>184</v>
      </c>
      <c r="O86" s="129">
        <v>761</v>
      </c>
      <c r="P86" s="129" t="s">
        <v>235</v>
      </c>
      <c r="Q86" s="178">
        <v>6</v>
      </c>
      <c r="R86" s="178">
        <v>5</v>
      </c>
      <c r="S86" s="191">
        <v>118</v>
      </c>
      <c r="T86" s="129">
        <v>120</v>
      </c>
      <c r="U86" s="129" t="s">
        <v>160</v>
      </c>
      <c r="V86" s="141">
        <v>50.28</v>
      </c>
      <c r="W86" s="196" t="s">
        <v>350</v>
      </c>
      <c r="X86" s="129" t="s">
        <v>351</v>
      </c>
      <c r="Y86" s="196">
        <v>-16.739722220000001</v>
      </c>
      <c r="Z86" s="197">
        <v>115.53611110999999</v>
      </c>
      <c r="AA86" s="129" t="s">
        <v>160</v>
      </c>
      <c r="AB86" s="129" t="s">
        <v>160</v>
      </c>
      <c r="AC86" s="129">
        <v>-2179</v>
      </c>
      <c r="AD86" s="129" t="s">
        <v>160</v>
      </c>
      <c r="AE86" s="129" t="s">
        <v>160</v>
      </c>
      <c r="AF86" s="129" t="s">
        <v>160</v>
      </c>
      <c r="AG86" s="151">
        <v>16249.583999999999</v>
      </c>
      <c r="AH86" s="138" t="s">
        <v>160</v>
      </c>
      <c r="AI86" s="129" t="s">
        <v>160</v>
      </c>
      <c r="AJ86" s="138" t="s">
        <v>160</v>
      </c>
      <c r="AK86" s="129" t="s">
        <v>237</v>
      </c>
      <c r="AL86" s="129" t="s">
        <v>238</v>
      </c>
      <c r="AM86" s="140" t="s">
        <v>239</v>
      </c>
      <c r="AN86" s="129" t="s">
        <v>160</v>
      </c>
      <c r="AO86" s="129" t="s">
        <v>160</v>
      </c>
      <c r="AP86" s="129" t="s">
        <v>160</v>
      </c>
      <c r="AQ86" s="129" t="s">
        <v>160</v>
      </c>
      <c r="AR86" s="129" t="s">
        <v>160</v>
      </c>
      <c r="AS86" s="129" t="s">
        <v>160</v>
      </c>
      <c r="AT86" s="129" t="s">
        <v>160</v>
      </c>
      <c r="AU86" s="129" t="s">
        <v>191</v>
      </c>
      <c r="AV86" s="129" t="s">
        <v>161</v>
      </c>
      <c r="AW86" s="129" t="s">
        <v>192</v>
      </c>
      <c r="AX86" s="129" t="s">
        <v>352</v>
      </c>
      <c r="AY86" s="129" t="s">
        <v>353</v>
      </c>
      <c r="AZ86" s="129" t="s">
        <v>354</v>
      </c>
      <c r="BA86" s="129" t="s">
        <v>196</v>
      </c>
      <c r="BB86" s="198" t="s">
        <v>381</v>
      </c>
      <c r="BC86" s="129">
        <v>2</v>
      </c>
      <c r="BD86" s="151">
        <v>0.95743307530096</v>
      </c>
      <c r="BE86" s="151">
        <v>14.422429920920411</v>
      </c>
      <c r="BF86" s="129" t="s">
        <v>355</v>
      </c>
      <c r="BG86" s="141">
        <v>0.82949760961758001</v>
      </c>
      <c r="BH86" s="129">
        <v>0.83299999999999996</v>
      </c>
      <c r="BI86" s="129" t="s">
        <v>160</v>
      </c>
      <c r="BJ86" s="138" t="s">
        <v>160</v>
      </c>
      <c r="BK86" s="129">
        <v>2.69</v>
      </c>
      <c r="BL86" s="129" t="s">
        <v>160</v>
      </c>
      <c r="BM86" s="129" t="s">
        <v>160</v>
      </c>
      <c r="BN86" s="129" t="s">
        <v>200</v>
      </c>
      <c r="BO86" s="129" t="s">
        <v>201</v>
      </c>
      <c r="BP86" s="151">
        <v>14.084549724994492</v>
      </c>
      <c r="BQ86" s="129" t="s">
        <v>202</v>
      </c>
      <c r="BR86" s="217"/>
      <c r="BS86" s="129" t="s">
        <v>160</v>
      </c>
      <c r="BT86" s="129" t="s">
        <v>160</v>
      </c>
      <c r="BU86" s="129">
        <v>10</v>
      </c>
      <c r="BV86" s="129" t="s">
        <v>159</v>
      </c>
      <c r="BW86" s="129">
        <v>10</v>
      </c>
      <c r="BX86" s="145">
        <v>28.449657105016026</v>
      </c>
      <c r="BY86" s="129" t="s">
        <v>159</v>
      </c>
      <c r="BZ86" s="129">
        <v>1</v>
      </c>
      <c r="CA86" s="129">
        <v>1</v>
      </c>
      <c r="CB86" s="129" t="s">
        <v>160</v>
      </c>
      <c r="CC86" s="151">
        <v>4.1488152794726538</v>
      </c>
      <c r="CD86" s="129" t="s">
        <v>163</v>
      </c>
      <c r="CE86" s="144">
        <f t="shared" si="10"/>
        <v>0.11201801254576166</v>
      </c>
      <c r="CF86" s="144">
        <f t="shared" si="11"/>
        <v>0.11201801254576166</v>
      </c>
      <c r="CG86" s="145" t="s">
        <v>203</v>
      </c>
      <c r="CH86" s="129" t="s">
        <v>204</v>
      </c>
      <c r="CI86" s="129" t="s">
        <v>205</v>
      </c>
      <c r="CJ86" s="129" t="s">
        <v>206</v>
      </c>
      <c r="CK86" s="129" t="s">
        <v>158</v>
      </c>
      <c r="CL86" s="129" t="s">
        <v>158</v>
      </c>
      <c r="CM86" s="129" t="s">
        <v>158</v>
      </c>
      <c r="CN86" s="129" t="s">
        <v>160</v>
      </c>
      <c r="CO86" s="129" t="s">
        <v>160</v>
      </c>
      <c r="CP86" s="129" t="s">
        <v>160</v>
      </c>
      <c r="CQ86" s="129" t="s">
        <v>160</v>
      </c>
      <c r="CR86" s="129" t="s">
        <v>160</v>
      </c>
      <c r="CS86" s="129" t="s">
        <v>160</v>
      </c>
      <c r="CT86" s="129" t="s">
        <v>160</v>
      </c>
      <c r="CU86" s="129">
        <v>35</v>
      </c>
      <c r="CV86" s="129" t="s">
        <v>159</v>
      </c>
      <c r="CW86" s="146">
        <v>1</v>
      </c>
      <c r="CX86" s="129" t="s">
        <v>207</v>
      </c>
      <c r="CY86" s="129">
        <v>1.33933034896E-2</v>
      </c>
      <c r="CZ86" s="129" t="s">
        <v>159</v>
      </c>
      <c r="DA86" s="146">
        <v>2.5000000000000001E-3</v>
      </c>
      <c r="DB86" s="129" t="s">
        <v>208</v>
      </c>
      <c r="DC86" s="129">
        <v>4.5999355422400003E-2</v>
      </c>
      <c r="DD86" s="129" t="s">
        <v>159</v>
      </c>
      <c r="DE86" s="146">
        <v>2.5000000000000001E-3</v>
      </c>
      <c r="DF86" s="129" t="s">
        <v>209</v>
      </c>
      <c r="DG86" s="129" t="s">
        <v>160</v>
      </c>
      <c r="DH86" s="129" t="s">
        <v>160</v>
      </c>
      <c r="DI86" s="129" t="s">
        <v>160</v>
      </c>
      <c r="DJ86" s="129" t="s">
        <v>160</v>
      </c>
      <c r="DK86" s="145">
        <v>424.29</v>
      </c>
      <c r="DL86" s="129" t="s">
        <v>159</v>
      </c>
      <c r="DM86" s="145" t="s">
        <v>160</v>
      </c>
      <c r="DN86" s="129" t="s">
        <v>210</v>
      </c>
      <c r="DO86" s="129">
        <v>37.876429999999999</v>
      </c>
      <c r="DP86" s="129" t="s">
        <v>160</v>
      </c>
      <c r="DQ86" s="129">
        <v>0.67576000000000036</v>
      </c>
      <c r="DR86" s="129" t="s">
        <v>211</v>
      </c>
      <c r="DS86" s="129" t="s">
        <v>212</v>
      </c>
      <c r="DT86" s="129" t="s">
        <v>213</v>
      </c>
      <c r="DU86" s="129">
        <v>1.0271999999999999</v>
      </c>
      <c r="DV86" s="129" t="s">
        <v>214</v>
      </c>
      <c r="DW86" s="129" t="s">
        <v>214</v>
      </c>
      <c r="DX86" s="129" t="s">
        <v>215</v>
      </c>
      <c r="DY86" s="129" t="s">
        <v>160</v>
      </c>
      <c r="DZ86" s="129" t="s">
        <v>164</v>
      </c>
      <c r="EA86" s="129" t="s">
        <v>216</v>
      </c>
      <c r="EB86" s="129" t="s">
        <v>212</v>
      </c>
      <c r="EC86" s="129" t="s">
        <v>212</v>
      </c>
      <c r="ED86" s="129" t="s">
        <v>212</v>
      </c>
      <c r="EE86" s="129" t="s">
        <v>217</v>
      </c>
      <c r="EF86" s="147" t="s">
        <v>213</v>
      </c>
      <c r="EG86" s="148" t="s">
        <v>213</v>
      </c>
      <c r="EH86" s="129" t="s">
        <v>218</v>
      </c>
      <c r="EI86" s="129" t="s">
        <v>219</v>
      </c>
      <c r="EJ86" s="129" t="s">
        <v>160</v>
      </c>
      <c r="EK86" s="129">
        <v>1582.644</v>
      </c>
      <c r="EL86" s="129" t="s">
        <v>163</v>
      </c>
      <c r="EM86" s="150">
        <v>500</v>
      </c>
      <c r="EN86" s="150">
        <v>500</v>
      </c>
      <c r="EO86" s="129" t="s">
        <v>160</v>
      </c>
      <c r="EP86" s="129" t="s">
        <v>160</v>
      </c>
      <c r="EQ86" s="129" t="s">
        <v>160</v>
      </c>
      <c r="ER86" s="129" t="s">
        <v>160</v>
      </c>
      <c r="ES86" s="129">
        <v>7.6824899999999996</v>
      </c>
      <c r="ET86" s="142" t="s">
        <v>165</v>
      </c>
      <c r="EU86" s="129">
        <v>0.16848600000000058</v>
      </c>
      <c r="EV86" s="129">
        <v>0.24889599999999934</v>
      </c>
      <c r="EW86" s="142" t="s">
        <v>160</v>
      </c>
      <c r="EX86" s="129" t="s">
        <v>160</v>
      </c>
      <c r="EY86" s="129" t="s">
        <v>160</v>
      </c>
      <c r="EZ86" s="191">
        <v>782.03729999999996</v>
      </c>
      <c r="FA86" s="191">
        <v>657.04970000000003</v>
      </c>
      <c r="FB86" s="191">
        <v>300.32279999999997</v>
      </c>
      <c r="FC86" s="129" t="s">
        <v>220</v>
      </c>
      <c r="FD86" s="129" t="s">
        <v>221</v>
      </c>
      <c r="FE86" s="191">
        <v>1654.2719999999999</v>
      </c>
      <c r="FF86" s="191">
        <v>392.00400000000013</v>
      </c>
      <c r="FG86" s="191">
        <v>382.53799999999978</v>
      </c>
      <c r="FH86" s="129" t="s">
        <v>160</v>
      </c>
      <c r="FI86" s="129" t="s">
        <v>160</v>
      </c>
      <c r="FJ86" s="129" t="s">
        <v>160</v>
      </c>
      <c r="FK86" s="129" t="s">
        <v>160</v>
      </c>
      <c r="FL86" s="129" t="s">
        <v>160</v>
      </c>
      <c r="FM86" s="129" t="s">
        <v>160</v>
      </c>
      <c r="FN86" s="151">
        <v>1.8370359999999999</v>
      </c>
      <c r="FO86" s="151">
        <v>1.4144369999999999</v>
      </c>
      <c r="FP86" s="151">
        <v>0.9513358999999999</v>
      </c>
      <c r="FQ86" s="129" t="s">
        <v>414</v>
      </c>
      <c r="FR86" s="166" t="s">
        <v>348</v>
      </c>
      <c r="FS86" s="166">
        <v>2014</v>
      </c>
      <c r="FT86" s="166" t="s">
        <v>349</v>
      </c>
    </row>
    <row r="87" spans="1:176" s="129" customFormat="1" ht="17">
      <c r="A87" s="166" t="s">
        <v>152</v>
      </c>
      <c r="B87" s="166" t="s">
        <v>183</v>
      </c>
      <c r="C87" s="166">
        <v>2018</v>
      </c>
      <c r="D87" s="166" t="s">
        <v>184</v>
      </c>
      <c r="E87" s="195">
        <v>16292.614</v>
      </c>
      <c r="F87" s="166" t="s">
        <v>160</v>
      </c>
      <c r="G87" s="166" t="s">
        <v>160</v>
      </c>
      <c r="H87" s="190">
        <v>419.79129999999998</v>
      </c>
      <c r="I87" s="191">
        <v>175.81080000000009</v>
      </c>
      <c r="J87" s="191">
        <v>127.17230000000001</v>
      </c>
      <c r="K87" s="129" t="s">
        <v>457</v>
      </c>
      <c r="L87" s="131" t="s">
        <v>185</v>
      </c>
      <c r="M87" s="132" t="s">
        <v>186</v>
      </c>
      <c r="N87" s="129" t="s">
        <v>184</v>
      </c>
      <c r="O87" s="129">
        <v>761</v>
      </c>
      <c r="P87" s="129" t="s">
        <v>235</v>
      </c>
      <c r="Q87" s="178">
        <v>6</v>
      </c>
      <c r="R87" s="178">
        <v>6</v>
      </c>
      <c r="S87" s="191">
        <v>3</v>
      </c>
      <c r="T87" s="129">
        <v>5</v>
      </c>
      <c r="U87" s="129" t="s">
        <v>160</v>
      </c>
      <c r="V87" s="141">
        <v>50.63</v>
      </c>
      <c r="W87" s="196" t="s">
        <v>350</v>
      </c>
      <c r="X87" s="129" t="s">
        <v>351</v>
      </c>
      <c r="Y87" s="196">
        <v>-16.739722220000001</v>
      </c>
      <c r="Z87" s="197">
        <v>115.53611110999999</v>
      </c>
      <c r="AA87" s="129" t="s">
        <v>160</v>
      </c>
      <c r="AB87" s="129" t="s">
        <v>160</v>
      </c>
      <c r="AC87" s="129">
        <v>-2179</v>
      </c>
      <c r="AD87" s="129" t="s">
        <v>160</v>
      </c>
      <c r="AE87" s="129" t="s">
        <v>160</v>
      </c>
      <c r="AF87" s="129" t="s">
        <v>160</v>
      </c>
      <c r="AG87" s="151">
        <v>16292.614</v>
      </c>
      <c r="AH87" s="138" t="s">
        <v>160</v>
      </c>
      <c r="AI87" s="129" t="s">
        <v>160</v>
      </c>
      <c r="AJ87" s="138" t="s">
        <v>160</v>
      </c>
      <c r="AK87" s="129" t="s">
        <v>237</v>
      </c>
      <c r="AL87" s="129" t="s">
        <v>238</v>
      </c>
      <c r="AM87" s="140" t="s">
        <v>239</v>
      </c>
      <c r="AN87" s="129" t="s">
        <v>160</v>
      </c>
      <c r="AO87" s="129" t="s">
        <v>160</v>
      </c>
      <c r="AP87" s="129" t="s">
        <v>160</v>
      </c>
      <c r="AQ87" s="129" t="s">
        <v>160</v>
      </c>
      <c r="AR87" s="129" t="s">
        <v>160</v>
      </c>
      <c r="AS87" s="129" t="s">
        <v>160</v>
      </c>
      <c r="AT87" s="129" t="s">
        <v>160</v>
      </c>
      <c r="AU87" s="129" t="s">
        <v>191</v>
      </c>
      <c r="AV87" s="129" t="s">
        <v>161</v>
      </c>
      <c r="AW87" s="129" t="s">
        <v>192</v>
      </c>
      <c r="AX87" s="129" t="s">
        <v>352</v>
      </c>
      <c r="AY87" s="129" t="s">
        <v>353</v>
      </c>
      <c r="AZ87" s="129" t="s">
        <v>354</v>
      </c>
      <c r="BA87" s="129" t="s">
        <v>196</v>
      </c>
      <c r="BB87" s="198" t="s">
        <v>382</v>
      </c>
      <c r="BC87" s="129">
        <v>2</v>
      </c>
      <c r="BD87" s="151">
        <v>0.11860660869222882</v>
      </c>
      <c r="BE87" s="151">
        <v>16.198346748368152</v>
      </c>
      <c r="BF87" s="129" t="s">
        <v>355</v>
      </c>
      <c r="BG87" s="141">
        <v>0.24513636894849933</v>
      </c>
      <c r="BH87" s="129">
        <v>0.83299999999999996</v>
      </c>
      <c r="BI87" s="129" t="s">
        <v>160</v>
      </c>
      <c r="BJ87" s="138" t="s">
        <v>160</v>
      </c>
      <c r="BK87" s="129">
        <v>2.69</v>
      </c>
      <c r="BL87" s="129" t="s">
        <v>160</v>
      </c>
      <c r="BM87" s="129" t="s">
        <v>160</v>
      </c>
      <c r="BN87" s="129" t="s">
        <v>200</v>
      </c>
      <c r="BO87" s="129" t="s">
        <v>201</v>
      </c>
      <c r="BP87" s="151">
        <v>16.216502699121431</v>
      </c>
      <c r="BQ87" s="129" t="s">
        <v>202</v>
      </c>
      <c r="BR87" s="217"/>
      <c r="BS87" s="129" t="s">
        <v>160</v>
      </c>
      <c r="BT87" s="129" t="s">
        <v>160</v>
      </c>
      <c r="BU87" s="129">
        <v>10</v>
      </c>
      <c r="BV87" s="129" t="s">
        <v>159</v>
      </c>
      <c r="BW87" s="129">
        <v>10</v>
      </c>
      <c r="BX87" s="145">
        <v>28.741881266044533</v>
      </c>
      <c r="BY87" s="129" t="s">
        <v>159</v>
      </c>
      <c r="BZ87" s="129">
        <v>1</v>
      </c>
      <c r="CA87" s="129">
        <v>1</v>
      </c>
      <c r="CB87" s="129" t="s">
        <v>160</v>
      </c>
      <c r="CC87" s="151">
        <v>4.2575084846289695</v>
      </c>
      <c r="CD87" s="129" t="s">
        <v>163</v>
      </c>
      <c r="CE87" s="144">
        <f t="shared" si="10"/>
        <v>0.11495272908498218</v>
      </c>
      <c r="CF87" s="144">
        <f t="shared" si="11"/>
        <v>0.11495272908498218</v>
      </c>
      <c r="CG87" s="145" t="s">
        <v>203</v>
      </c>
      <c r="CH87" s="129" t="s">
        <v>204</v>
      </c>
      <c r="CI87" s="129" t="s">
        <v>205</v>
      </c>
      <c r="CJ87" s="129" t="s">
        <v>206</v>
      </c>
      <c r="CK87" s="129" t="s">
        <v>158</v>
      </c>
      <c r="CL87" s="129" t="s">
        <v>158</v>
      </c>
      <c r="CM87" s="129" t="s">
        <v>158</v>
      </c>
      <c r="CN87" s="129" t="s">
        <v>160</v>
      </c>
      <c r="CO87" s="129" t="s">
        <v>160</v>
      </c>
      <c r="CP87" s="129" t="s">
        <v>160</v>
      </c>
      <c r="CQ87" s="129" t="s">
        <v>160</v>
      </c>
      <c r="CR87" s="129" t="s">
        <v>160</v>
      </c>
      <c r="CS87" s="129" t="s">
        <v>160</v>
      </c>
      <c r="CT87" s="129" t="s">
        <v>160</v>
      </c>
      <c r="CU87" s="129">
        <v>35</v>
      </c>
      <c r="CV87" s="129" t="s">
        <v>159</v>
      </c>
      <c r="CW87" s="146">
        <v>1</v>
      </c>
      <c r="CX87" s="129" t="s">
        <v>207</v>
      </c>
      <c r="CY87" s="129">
        <v>1.34007003466E-2</v>
      </c>
      <c r="CZ87" s="129" t="s">
        <v>159</v>
      </c>
      <c r="DA87" s="146">
        <v>2.5000000000000001E-3</v>
      </c>
      <c r="DB87" s="129" t="s">
        <v>208</v>
      </c>
      <c r="DC87" s="129">
        <v>4.59755211054E-2</v>
      </c>
      <c r="DD87" s="129" t="s">
        <v>159</v>
      </c>
      <c r="DE87" s="146">
        <v>2.5000000000000001E-3</v>
      </c>
      <c r="DF87" s="129" t="s">
        <v>209</v>
      </c>
      <c r="DG87" s="129" t="s">
        <v>160</v>
      </c>
      <c r="DH87" s="129" t="s">
        <v>160</v>
      </c>
      <c r="DI87" s="129" t="s">
        <v>160</v>
      </c>
      <c r="DJ87" s="129" t="s">
        <v>160</v>
      </c>
      <c r="DK87" s="145">
        <v>424.29</v>
      </c>
      <c r="DL87" s="129" t="s">
        <v>159</v>
      </c>
      <c r="DM87" s="145" t="s">
        <v>160</v>
      </c>
      <c r="DN87" s="129" t="s">
        <v>210</v>
      </c>
      <c r="DO87" s="129">
        <v>37.871180000000003</v>
      </c>
      <c r="DP87" s="129" t="s">
        <v>160</v>
      </c>
      <c r="DQ87" s="129">
        <v>0.67170500000000288</v>
      </c>
      <c r="DR87" s="129" t="s">
        <v>211</v>
      </c>
      <c r="DS87" s="129" t="s">
        <v>212</v>
      </c>
      <c r="DT87" s="129" t="s">
        <v>213</v>
      </c>
      <c r="DU87" s="129">
        <v>1.0271999999999999</v>
      </c>
      <c r="DV87" s="129" t="s">
        <v>214</v>
      </c>
      <c r="DW87" s="129" t="s">
        <v>214</v>
      </c>
      <c r="DX87" s="129" t="s">
        <v>215</v>
      </c>
      <c r="DY87" s="129" t="s">
        <v>160</v>
      </c>
      <c r="DZ87" s="129" t="s">
        <v>164</v>
      </c>
      <c r="EA87" s="129" t="s">
        <v>216</v>
      </c>
      <c r="EB87" s="129" t="s">
        <v>212</v>
      </c>
      <c r="EC87" s="129" t="s">
        <v>212</v>
      </c>
      <c r="ED87" s="129" t="s">
        <v>212</v>
      </c>
      <c r="EE87" s="129" t="s">
        <v>217</v>
      </c>
      <c r="EF87" s="147" t="s">
        <v>213</v>
      </c>
      <c r="EG87" s="148" t="s">
        <v>213</v>
      </c>
      <c r="EH87" s="129" t="s">
        <v>218</v>
      </c>
      <c r="EI87" s="129" t="s">
        <v>219</v>
      </c>
      <c r="EJ87" s="129" t="s">
        <v>160</v>
      </c>
      <c r="EK87" s="129">
        <v>1577.0459999999998</v>
      </c>
      <c r="EL87" s="129" t="s">
        <v>163</v>
      </c>
      <c r="EM87" s="150">
        <v>500</v>
      </c>
      <c r="EN87" s="150">
        <v>500</v>
      </c>
      <c r="EO87" s="129" t="s">
        <v>160</v>
      </c>
      <c r="EP87" s="129" t="s">
        <v>160</v>
      </c>
      <c r="EQ87" s="129" t="s">
        <v>160</v>
      </c>
      <c r="ER87" s="129" t="s">
        <v>160</v>
      </c>
      <c r="ES87" s="129">
        <v>7.942939</v>
      </c>
      <c r="ET87" s="142" t="s">
        <v>165</v>
      </c>
      <c r="EU87" s="129">
        <v>9.6488999999999159E-2</v>
      </c>
      <c r="EV87" s="129">
        <v>0.11488700000000041</v>
      </c>
      <c r="EW87" s="142" t="s">
        <v>160</v>
      </c>
      <c r="EX87" s="129" t="s">
        <v>160</v>
      </c>
      <c r="EY87" s="129" t="s">
        <v>160</v>
      </c>
      <c r="EZ87" s="191">
        <v>419.79129999999998</v>
      </c>
      <c r="FA87" s="191">
        <v>175.81080000000009</v>
      </c>
      <c r="FB87" s="191">
        <v>127.17230000000001</v>
      </c>
      <c r="FC87" s="129" t="s">
        <v>220</v>
      </c>
      <c r="FD87" s="129" t="s">
        <v>221</v>
      </c>
      <c r="FE87" s="191">
        <v>1728.9939999999999</v>
      </c>
      <c r="FF87" s="191">
        <v>395.45900000000006</v>
      </c>
      <c r="FG87" s="191">
        <v>399.92799999999988</v>
      </c>
      <c r="FH87" s="129" t="s">
        <v>160</v>
      </c>
      <c r="FI87" s="129" t="s">
        <v>160</v>
      </c>
      <c r="FJ87" s="129" t="s">
        <v>160</v>
      </c>
      <c r="FK87" s="129" t="s">
        <v>160</v>
      </c>
      <c r="FL87" s="129" t="s">
        <v>160</v>
      </c>
      <c r="FM87" s="129" t="s">
        <v>160</v>
      </c>
      <c r="FN87" s="151">
        <v>3.3474240000000002</v>
      </c>
      <c r="FO87" s="151">
        <v>1.9168430000000001</v>
      </c>
      <c r="FP87" s="151">
        <v>1.4312640000000001</v>
      </c>
      <c r="FQ87" s="129" t="s">
        <v>414</v>
      </c>
      <c r="FR87" s="166" t="s">
        <v>348</v>
      </c>
      <c r="FS87" s="166">
        <v>2014</v>
      </c>
      <c r="FT87" s="166" t="s">
        <v>349</v>
      </c>
    </row>
    <row r="88" spans="1:176" s="129" customFormat="1" ht="17">
      <c r="A88" s="166" t="s">
        <v>152</v>
      </c>
      <c r="B88" s="166" t="s">
        <v>183</v>
      </c>
      <c r="C88" s="166">
        <v>2018</v>
      </c>
      <c r="D88" s="166" t="s">
        <v>184</v>
      </c>
      <c r="E88" s="195">
        <v>16307.284</v>
      </c>
      <c r="F88" s="166" t="s">
        <v>160</v>
      </c>
      <c r="G88" s="166" t="s">
        <v>160</v>
      </c>
      <c r="H88" s="190">
        <v>384.23919999999998</v>
      </c>
      <c r="I88" s="191">
        <v>149.36239999999998</v>
      </c>
      <c r="J88" s="191">
        <v>113.60450000000003</v>
      </c>
      <c r="K88" s="129" t="s">
        <v>457</v>
      </c>
      <c r="L88" s="131" t="s">
        <v>185</v>
      </c>
      <c r="M88" s="132" t="s">
        <v>186</v>
      </c>
      <c r="N88" s="129" t="s">
        <v>184</v>
      </c>
      <c r="O88" s="129">
        <v>761</v>
      </c>
      <c r="P88" s="129" t="s">
        <v>235</v>
      </c>
      <c r="Q88" s="178">
        <v>6</v>
      </c>
      <c r="R88" s="178">
        <v>6</v>
      </c>
      <c r="S88" s="191">
        <v>18</v>
      </c>
      <c r="T88" s="129">
        <v>20</v>
      </c>
      <c r="U88" s="129" t="s">
        <v>160</v>
      </c>
      <c r="V88" s="141">
        <v>50.78</v>
      </c>
      <c r="W88" s="196" t="s">
        <v>350</v>
      </c>
      <c r="X88" s="129" t="s">
        <v>351</v>
      </c>
      <c r="Y88" s="196">
        <v>-16.739722220000001</v>
      </c>
      <c r="Z88" s="197">
        <v>115.53611110999999</v>
      </c>
      <c r="AA88" s="129" t="s">
        <v>160</v>
      </c>
      <c r="AB88" s="129" t="s">
        <v>160</v>
      </c>
      <c r="AC88" s="129">
        <v>-2179</v>
      </c>
      <c r="AD88" s="129" t="s">
        <v>160</v>
      </c>
      <c r="AE88" s="129" t="s">
        <v>160</v>
      </c>
      <c r="AF88" s="129" t="s">
        <v>160</v>
      </c>
      <c r="AG88" s="151">
        <v>16307.284</v>
      </c>
      <c r="AH88" s="138" t="s">
        <v>160</v>
      </c>
      <c r="AI88" s="129" t="s">
        <v>160</v>
      </c>
      <c r="AJ88" s="138" t="s">
        <v>160</v>
      </c>
      <c r="AK88" s="129" t="s">
        <v>237</v>
      </c>
      <c r="AL88" s="129" t="s">
        <v>238</v>
      </c>
      <c r="AM88" s="140" t="s">
        <v>239</v>
      </c>
      <c r="AN88" s="129" t="s">
        <v>160</v>
      </c>
      <c r="AO88" s="129" t="s">
        <v>160</v>
      </c>
      <c r="AP88" s="129" t="s">
        <v>160</v>
      </c>
      <c r="AQ88" s="129" t="s">
        <v>160</v>
      </c>
      <c r="AR88" s="129" t="s">
        <v>160</v>
      </c>
      <c r="AS88" s="129" t="s">
        <v>160</v>
      </c>
      <c r="AT88" s="129" t="s">
        <v>160</v>
      </c>
      <c r="AU88" s="129" t="s">
        <v>191</v>
      </c>
      <c r="AV88" s="129" t="s">
        <v>161</v>
      </c>
      <c r="AW88" s="129" t="s">
        <v>192</v>
      </c>
      <c r="AX88" s="129" t="s">
        <v>352</v>
      </c>
      <c r="AY88" s="129" t="s">
        <v>353</v>
      </c>
      <c r="AZ88" s="129" t="s">
        <v>354</v>
      </c>
      <c r="BA88" s="129" t="s">
        <v>196</v>
      </c>
      <c r="BB88" s="198" t="s">
        <v>383</v>
      </c>
      <c r="BC88" s="129">
        <v>2</v>
      </c>
      <c r="BD88" s="151">
        <v>5.0101972440387499E-2</v>
      </c>
      <c r="BE88" s="151">
        <v>16.631673826200892</v>
      </c>
      <c r="BF88" s="129" t="s">
        <v>355</v>
      </c>
      <c r="BG88" s="141">
        <v>0.25832682792638212</v>
      </c>
      <c r="BH88" s="129">
        <v>0.83299999999999996</v>
      </c>
      <c r="BI88" s="129" t="s">
        <v>160</v>
      </c>
      <c r="BJ88" s="138" t="s">
        <v>160</v>
      </c>
      <c r="BK88" s="129">
        <v>2.69</v>
      </c>
      <c r="BL88" s="129" t="s">
        <v>160</v>
      </c>
      <c r="BM88" s="129" t="s">
        <v>160</v>
      </c>
      <c r="BN88" s="129" t="s">
        <v>200</v>
      </c>
      <c r="BO88" s="129" t="s">
        <v>201</v>
      </c>
      <c r="BP88" s="151">
        <v>16.736703272750173</v>
      </c>
      <c r="BQ88" s="129" t="s">
        <v>202</v>
      </c>
      <c r="BR88" s="217"/>
      <c r="BS88" s="129" t="s">
        <v>160</v>
      </c>
      <c r="BT88" s="129" t="s">
        <v>160</v>
      </c>
      <c r="BU88" s="129">
        <v>10</v>
      </c>
      <c r="BV88" s="129" t="s">
        <v>159</v>
      </c>
      <c r="BW88" s="129">
        <v>10</v>
      </c>
      <c r="BX88" s="145">
        <v>29.837604184913602</v>
      </c>
      <c r="BY88" s="129" t="s">
        <v>159</v>
      </c>
      <c r="BZ88" s="129">
        <v>1</v>
      </c>
      <c r="CA88" s="129">
        <v>1</v>
      </c>
      <c r="CB88" s="129" t="s">
        <v>160</v>
      </c>
      <c r="CC88" s="151">
        <v>4.6980595975461714</v>
      </c>
      <c r="CD88" s="129" t="s">
        <v>163</v>
      </c>
      <c r="CE88" s="144">
        <f t="shared" si="10"/>
        <v>0.12684760913374662</v>
      </c>
      <c r="CF88" s="144">
        <f t="shared" si="11"/>
        <v>0.12684760913374662</v>
      </c>
      <c r="CG88" s="145" t="s">
        <v>203</v>
      </c>
      <c r="CH88" s="129" t="s">
        <v>204</v>
      </c>
      <c r="CI88" s="129" t="s">
        <v>205</v>
      </c>
      <c r="CJ88" s="129" t="s">
        <v>206</v>
      </c>
      <c r="CK88" s="129" t="s">
        <v>158</v>
      </c>
      <c r="CL88" s="129" t="s">
        <v>158</v>
      </c>
      <c r="CM88" s="129" t="s">
        <v>158</v>
      </c>
      <c r="CN88" s="129" t="s">
        <v>160</v>
      </c>
      <c r="CO88" s="129" t="s">
        <v>160</v>
      </c>
      <c r="CP88" s="129" t="s">
        <v>160</v>
      </c>
      <c r="CQ88" s="129" t="s">
        <v>160</v>
      </c>
      <c r="CR88" s="129" t="s">
        <v>160</v>
      </c>
      <c r="CS88" s="129" t="s">
        <v>160</v>
      </c>
      <c r="CT88" s="129" t="s">
        <v>160</v>
      </c>
      <c r="CU88" s="129">
        <v>35</v>
      </c>
      <c r="CV88" s="129" t="s">
        <v>159</v>
      </c>
      <c r="CW88" s="146">
        <v>1</v>
      </c>
      <c r="CX88" s="129" t="s">
        <v>207</v>
      </c>
      <c r="CY88" s="129">
        <v>1.3403222119599999E-2</v>
      </c>
      <c r="CZ88" s="129" t="s">
        <v>159</v>
      </c>
      <c r="DA88" s="146">
        <v>2.5000000000000001E-3</v>
      </c>
      <c r="DB88" s="129" t="s">
        <v>208</v>
      </c>
      <c r="DC88" s="129">
        <v>4.5967395392400003E-2</v>
      </c>
      <c r="DD88" s="129" t="s">
        <v>159</v>
      </c>
      <c r="DE88" s="146">
        <v>2.5000000000000001E-3</v>
      </c>
      <c r="DF88" s="129" t="s">
        <v>209</v>
      </c>
      <c r="DG88" s="129" t="s">
        <v>160</v>
      </c>
      <c r="DH88" s="129" t="s">
        <v>160</v>
      </c>
      <c r="DI88" s="129" t="s">
        <v>160</v>
      </c>
      <c r="DJ88" s="129" t="s">
        <v>160</v>
      </c>
      <c r="DK88" s="145">
        <v>424.29</v>
      </c>
      <c r="DL88" s="129" t="s">
        <v>159</v>
      </c>
      <c r="DM88" s="145" t="s">
        <v>160</v>
      </c>
      <c r="DN88" s="129" t="s">
        <v>210</v>
      </c>
      <c r="DO88" s="129">
        <v>37.876660000000001</v>
      </c>
      <c r="DP88" s="129" t="s">
        <v>160</v>
      </c>
      <c r="DQ88" s="129">
        <v>0.66728999999999772</v>
      </c>
      <c r="DR88" s="129" t="s">
        <v>211</v>
      </c>
      <c r="DS88" s="129" t="s">
        <v>212</v>
      </c>
      <c r="DT88" s="129" t="s">
        <v>213</v>
      </c>
      <c r="DU88" s="129">
        <v>1.0271999999999999</v>
      </c>
      <c r="DV88" s="129" t="s">
        <v>214</v>
      </c>
      <c r="DW88" s="129" t="s">
        <v>214</v>
      </c>
      <c r="DX88" s="129" t="s">
        <v>215</v>
      </c>
      <c r="DY88" s="129" t="s">
        <v>160</v>
      </c>
      <c r="DZ88" s="129" t="s">
        <v>164</v>
      </c>
      <c r="EA88" s="129" t="s">
        <v>216</v>
      </c>
      <c r="EB88" s="129" t="s">
        <v>212</v>
      </c>
      <c r="EC88" s="129" t="s">
        <v>212</v>
      </c>
      <c r="ED88" s="129" t="s">
        <v>212</v>
      </c>
      <c r="EE88" s="129" t="s">
        <v>217</v>
      </c>
      <c r="EF88" s="147" t="s">
        <v>213</v>
      </c>
      <c r="EG88" s="148" t="s">
        <v>213</v>
      </c>
      <c r="EH88" s="129" t="s">
        <v>218</v>
      </c>
      <c r="EI88" s="129" t="s">
        <v>219</v>
      </c>
      <c r="EJ88" s="129" t="s">
        <v>160</v>
      </c>
      <c r="EK88" s="129">
        <v>1577.153</v>
      </c>
      <c r="EL88" s="129" t="s">
        <v>163</v>
      </c>
      <c r="EM88" s="150">
        <v>500</v>
      </c>
      <c r="EN88" s="150">
        <v>500</v>
      </c>
      <c r="EO88" s="129" t="s">
        <v>160</v>
      </c>
      <c r="EP88" s="129" t="s">
        <v>160</v>
      </c>
      <c r="EQ88" s="129" t="s">
        <v>160</v>
      </c>
      <c r="ER88" s="129" t="s">
        <v>160</v>
      </c>
      <c r="ES88" s="129">
        <v>7.9813140000000002</v>
      </c>
      <c r="ET88" s="142" t="s">
        <v>165</v>
      </c>
      <c r="EU88" s="129">
        <v>9.4358000000000608E-2</v>
      </c>
      <c r="EV88" s="129">
        <v>0.105321</v>
      </c>
      <c r="EW88" s="142" t="s">
        <v>160</v>
      </c>
      <c r="EX88" s="129" t="s">
        <v>160</v>
      </c>
      <c r="EY88" s="129" t="s">
        <v>160</v>
      </c>
      <c r="EZ88" s="191">
        <v>384.23919999999998</v>
      </c>
      <c r="FA88" s="191">
        <v>149.36239999999998</v>
      </c>
      <c r="FB88" s="191">
        <v>113.60450000000003</v>
      </c>
      <c r="FC88" s="129" t="s">
        <v>220</v>
      </c>
      <c r="FD88" s="129" t="s">
        <v>221</v>
      </c>
      <c r="FE88" s="191">
        <v>1748.8969999999999</v>
      </c>
      <c r="FF88" s="191">
        <v>409.74699999999984</v>
      </c>
      <c r="FG88" s="191">
        <v>401.95800000000008</v>
      </c>
      <c r="FH88" s="129" t="s">
        <v>160</v>
      </c>
      <c r="FI88" s="129" t="s">
        <v>160</v>
      </c>
      <c r="FJ88" s="129" t="s">
        <v>160</v>
      </c>
      <c r="FK88" s="129" t="s">
        <v>160</v>
      </c>
      <c r="FL88" s="129" t="s">
        <v>160</v>
      </c>
      <c r="FM88" s="129" t="s">
        <v>160</v>
      </c>
      <c r="FN88" s="151">
        <v>3.8211339999999998</v>
      </c>
      <c r="FO88" s="151">
        <v>2.166944</v>
      </c>
      <c r="FP88" s="151">
        <v>1.6192359999999999</v>
      </c>
      <c r="FQ88" s="129" t="s">
        <v>414</v>
      </c>
      <c r="FR88" s="166" t="s">
        <v>348</v>
      </c>
      <c r="FS88" s="166">
        <v>2014</v>
      </c>
      <c r="FT88" s="166" t="s">
        <v>349</v>
      </c>
    </row>
    <row r="89" spans="1:176" s="129" customFormat="1" ht="17">
      <c r="A89" s="166" t="s">
        <v>152</v>
      </c>
      <c r="B89" s="166" t="s">
        <v>183</v>
      </c>
      <c r="C89" s="166">
        <v>2018</v>
      </c>
      <c r="D89" s="166" t="s">
        <v>184</v>
      </c>
      <c r="E89" s="195">
        <v>16317.063999999998</v>
      </c>
      <c r="F89" s="166" t="s">
        <v>160</v>
      </c>
      <c r="G89" s="166" t="s">
        <v>160</v>
      </c>
      <c r="H89" s="190">
        <v>370.12120000000004</v>
      </c>
      <c r="I89" s="191">
        <v>157.84489999999994</v>
      </c>
      <c r="J89" s="191">
        <v>112.71170000000001</v>
      </c>
      <c r="K89" s="129" t="s">
        <v>457</v>
      </c>
      <c r="L89" s="131" t="s">
        <v>185</v>
      </c>
      <c r="M89" s="132" t="s">
        <v>186</v>
      </c>
      <c r="N89" s="129" t="s">
        <v>184</v>
      </c>
      <c r="O89" s="129">
        <v>761</v>
      </c>
      <c r="P89" s="129" t="s">
        <v>235</v>
      </c>
      <c r="Q89" s="178">
        <v>6</v>
      </c>
      <c r="R89" s="178">
        <v>6</v>
      </c>
      <c r="S89" s="191">
        <v>28</v>
      </c>
      <c r="T89" s="129">
        <v>30</v>
      </c>
      <c r="U89" s="129" t="s">
        <v>160</v>
      </c>
      <c r="V89" s="141">
        <v>50.88</v>
      </c>
      <c r="W89" s="196" t="s">
        <v>350</v>
      </c>
      <c r="X89" s="129" t="s">
        <v>351</v>
      </c>
      <c r="Y89" s="196">
        <v>-16.739722220000001</v>
      </c>
      <c r="Z89" s="197">
        <v>115.53611110999999</v>
      </c>
      <c r="AA89" s="129" t="s">
        <v>160</v>
      </c>
      <c r="AB89" s="129" t="s">
        <v>160</v>
      </c>
      <c r="AC89" s="129">
        <v>-2179</v>
      </c>
      <c r="AD89" s="129" t="s">
        <v>160</v>
      </c>
      <c r="AE89" s="129" t="s">
        <v>160</v>
      </c>
      <c r="AF89" s="129" t="s">
        <v>160</v>
      </c>
      <c r="AG89" s="151">
        <v>16317.063999999998</v>
      </c>
      <c r="AH89" s="138" t="s">
        <v>160</v>
      </c>
      <c r="AI89" s="129" t="s">
        <v>160</v>
      </c>
      <c r="AJ89" s="138" t="s">
        <v>160</v>
      </c>
      <c r="AK89" s="129" t="s">
        <v>237</v>
      </c>
      <c r="AL89" s="129" t="s">
        <v>238</v>
      </c>
      <c r="AM89" s="140" t="s">
        <v>239</v>
      </c>
      <c r="AN89" s="129" t="s">
        <v>160</v>
      </c>
      <c r="AO89" s="129" t="s">
        <v>160</v>
      </c>
      <c r="AP89" s="129" t="s">
        <v>160</v>
      </c>
      <c r="AQ89" s="129" t="s">
        <v>160</v>
      </c>
      <c r="AR89" s="129" t="s">
        <v>160</v>
      </c>
      <c r="AS89" s="129" t="s">
        <v>160</v>
      </c>
      <c r="AT89" s="129" t="s">
        <v>160</v>
      </c>
      <c r="AU89" s="129" t="s">
        <v>191</v>
      </c>
      <c r="AV89" s="129" t="s">
        <v>161</v>
      </c>
      <c r="AW89" s="129" t="s">
        <v>192</v>
      </c>
      <c r="AX89" s="129" t="s">
        <v>352</v>
      </c>
      <c r="AY89" s="129" t="s">
        <v>353</v>
      </c>
      <c r="AZ89" s="129" t="s">
        <v>354</v>
      </c>
      <c r="BA89" s="129" t="s">
        <v>196</v>
      </c>
      <c r="BB89" s="198" t="s">
        <v>384</v>
      </c>
      <c r="BC89" s="129">
        <v>2</v>
      </c>
      <c r="BD89" s="151">
        <v>0.13655686322867311</v>
      </c>
      <c r="BE89" s="151">
        <v>16.685294664898123</v>
      </c>
      <c r="BF89" s="129" t="s">
        <v>355</v>
      </c>
      <c r="BG89" s="141">
        <v>0.51651962443429955</v>
      </c>
      <c r="BH89" s="129">
        <v>0.83299999999999996</v>
      </c>
      <c r="BI89" s="129" t="s">
        <v>160</v>
      </c>
      <c r="BJ89" s="138" t="s">
        <v>160</v>
      </c>
      <c r="BK89" s="129">
        <v>2.69</v>
      </c>
      <c r="BL89" s="129" t="s">
        <v>160</v>
      </c>
      <c r="BM89" s="129" t="s">
        <v>160</v>
      </c>
      <c r="BN89" s="129" t="s">
        <v>200</v>
      </c>
      <c r="BO89" s="129" t="s">
        <v>201</v>
      </c>
      <c r="BP89" s="151">
        <v>16.801074027488745</v>
      </c>
      <c r="BQ89" s="129" t="s">
        <v>202</v>
      </c>
      <c r="BR89" s="217"/>
      <c r="BS89" s="129" t="s">
        <v>160</v>
      </c>
      <c r="BT89" s="129" t="s">
        <v>160</v>
      </c>
      <c r="BU89" s="129">
        <v>10</v>
      </c>
      <c r="BV89" s="129" t="s">
        <v>159</v>
      </c>
      <c r="BW89" s="129">
        <v>10</v>
      </c>
      <c r="BX89" s="145">
        <v>29.058362537960377</v>
      </c>
      <c r="BY89" s="129" t="s">
        <v>159</v>
      </c>
      <c r="BZ89" s="129">
        <v>1</v>
      </c>
      <c r="CA89" s="129">
        <v>1</v>
      </c>
      <c r="CB89" s="129" t="s">
        <v>160</v>
      </c>
      <c r="CC89" s="151">
        <v>4.3794278139976246</v>
      </c>
      <c r="CD89" s="129" t="s">
        <v>163</v>
      </c>
      <c r="CE89" s="144">
        <f t="shared" si="10"/>
        <v>0.11824455097793586</v>
      </c>
      <c r="CF89" s="144">
        <f t="shared" si="11"/>
        <v>0.11824455097793586</v>
      </c>
      <c r="CG89" s="145" t="s">
        <v>203</v>
      </c>
      <c r="CH89" s="129" t="s">
        <v>204</v>
      </c>
      <c r="CI89" s="129" t="s">
        <v>205</v>
      </c>
      <c r="CJ89" s="129" t="s">
        <v>206</v>
      </c>
      <c r="CK89" s="129" t="s">
        <v>158</v>
      </c>
      <c r="CL89" s="129" t="s">
        <v>158</v>
      </c>
      <c r="CM89" s="129" t="s">
        <v>158</v>
      </c>
      <c r="CN89" s="129" t="s">
        <v>160</v>
      </c>
      <c r="CO89" s="129" t="s">
        <v>160</v>
      </c>
      <c r="CP89" s="129" t="s">
        <v>160</v>
      </c>
      <c r="CQ89" s="129" t="s">
        <v>160</v>
      </c>
      <c r="CR89" s="129" t="s">
        <v>160</v>
      </c>
      <c r="CS89" s="129" t="s">
        <v>160</v>
      </c>
      <c r="CT89" s="129" t="s">
        <v>160</v>
      </c>
      <c r="CU89" s="129">
        <v>35</v>
      </c>
      <c r="CV89" s="129" t="s">
        <v>159</v>
      </c>
      <c r="CW89" s="146">
        <v>1</v>
      </c>
      <c r="CX89" s="129" t="s">
        <v>207</v>
      </c>
      <c r="CY89" s="129">
        <v>1.3404903301599999E-2</v>
      </c>
      <c r="CZ89" s="129" t="s">
        <v>159</v>
      </c>
      <c r="DA89" s="146">
        <v>2.5000000000000001E-3</v>
      </c>
      <c r="DB89" s="129" t="s">
        <v>208</v>
      </c>
      <c r="DC89" s="129">
        <v>4.59619782504E-2</v>
      </c>
      <c r="DD89" s="129" t="s">
        <v>159</v>
      </c>
      <c r="DE89" s="146">
        <v>2.5000000000000001E-3</v>
      </c>
      <c r="DF89" s="129" t="s">
        <v>209</v>
      </c>
      <c r="DG89" s="129" t="s">
        <v>160</v>
      </c>
      <c r="DH89" s="129" t="s">
        <v>160</v>
      </c>
      <c r="DI89" s="129" t="s">
        <v>160</v>
      </c>
      <c r="DJ89" s="129" t="s">
        <v>160</v>
      </c>
      <c r="DK89" s="145">
        <v>424.29</v>
      </c>
      <c r="DL89" s="129" t="s">
        <v>159</v>
      </c>
      <c r="DM89" s="145" t="s">
        <v>160</v>
      </c>
      <c r="DN89" s="129" t="s">
        <v>210</v>
      </c>
      <c r="DO89" s="129">
        <v>37.874389999999998</v>
      </c>
      <c r="DP89" s="129" t="s">
        <v>160</v>
      </c>
      <c r="DQ89" s="129">
        <v>0.66892500000000155</v>
      </c>
      <c r="DR89" s="129" t="s">
        <v>211</v>
      </c>
      <c r="DS89" s="129" t="s">
        <v>212</v>
      </c>
      <c r="DT89" s="129" t="s">
        <v>213</v>
      </c>
      <c r="DU89" s="129">
        <v>1.0271999999999999</v>
      </c>
      <c r="DV89" s="129" t="s">
        <v>214</v>
      </c>
      <c r="DW89" s="129" t="s">
        <v>214</v>
      </c>
      <c r="DX89" s="129" t="s">
        <v>215</v>
      </c>
      <c r="DY89" s="129" t="s">
        <v>160</v>
      </c>
      <c r="DZ89" s="129" t="s">
        <v>164</v>
      </c>
      <c r="EA89" s="129" t="s">
        <v>216</v>
      </c>
      <c r="EB89" s="129" t="s">
        <v>212</v>
      </c>
      <c r="EC89" s="129" t="s">
        <v>212</v>
      </c>
      <c r="ED89" s="129" t="s">
        <v>212</v>
      </c>
      <c r="EE89" s="129" t="s">
        <v>217</v>
      </c>
      <c r="EF89" s="147" t="s">
        <v>213</v>
      </c>
      <c r="EG89" s="148" t="s">
        <v>213</v>
      </c>
      <c r="EH89" s="129" t="s">
        <v>218</v>
      </c>
      <c r="EI89" s="129" t="s">
        <v>219</v>
      </c>
      <c r="EJ89" s="129" t="s">
        <v>160</v>
      </c>
      <c r="EK89" s="129">
        <v>1580.412</v>
      </c>
      <c r="EL89" s="129" t="s">
        <v>163</v>
      </c>
      <c r="EM89" s="150">
        <v>500</v>
      </c>
      <c r="EN89" s="150">
        <v>500</v>
      </c>
      <c r="EO89" s="129" t="s">
        <v>160</v>
      </c>
      <c r="EP89" s="129" t="s">
        <v>160</v>
      </c>
      <c r="EQ89" s="129" t="s">
        <v>160</v>
      </c>
      <c r="ER89" s="129" t="s">
        <v>160</v>
      </c>
      <c r="ES89" s="129">
        <v>7.9961450000000003</v>
      </c>
      <c r="ET89" s="142" t="s">
        <v>165</v>
      </c>
      <c r="EU89" s="129">
        <v>9.9698999999999316E-2</v>
      </c>
      <c r="EV89" s="129">
        <v>0.11202100000000037</v>
      </c>
      <c r="EW89" s="142" t="s">
        <v>160</v>
      </c>
      <c r="EX89" s="129" t="s">
        <v>160</v>
      </c>
      <c r="EY89" s="129" t="s">
        <v>160</v>
      </c>
      <c r="EZ89" s="191">
        <v>370.12120000000004</v>
      </c>
      <c r="FA89" s="191">
        <v>157.84489999999994</v>
      </c>
      <c r="FB89" s="191">
        <v>112.71170000000001</v>
      </c>
      <c r="FC89" s="129" t="s">
        <v>220</v>
      </c>
      <c r="FD89" s="129" t="s">
        <v>221</v>
      </c>
      <c r="FE89" s="191">
        <v>1754.173</v>
      </c>
      <c r="FF89" s="191">
        <v>390.94000000000028</v>
      </c>
      <c r="FG89" s="191">
        <v>403.46399999999994</v>
      </c>
      <c r="FH89" s="129" t="s">
        <v>160</v>
      </c>
      <c r="FI89" s="129" t="s">
        <v>160</v>
      </c>
      <c r="FJ89" s="129" t="s">
        <v>160</v>
      </c>
      <c r="FK89" s="129" t="s">
        <v>160</v>
      </c>
      <c r="FL89" s="129" t="s">
        <v>160</v>
      </c>
      <c r="FM89" s="129" t="s">
        <v>160</v>
      </c>
      <c r="FN89" s="151">
        <v>3.8262710000000002</v>
      </c>
      <c r="FO89" s="151">
        <v>2.1866539999999999</v>
      </c>
      <c r="FP89" s="151">
        <v>1.6473310000000003</v>
      </c>
      <c r="FQ89" s="129" t="s">
        <v>414</v>
      </c>
      <c r="FR89" s="166" t="s">
        <v>348</v>
      </c>
      <c r="FS89" s="166">
        <v>2014</v>
      </c>
      <c r="FT89" s="166" t="s">
        <v>349</v>
      </c>
    </row>
    <row r="90" spans="1:176" s="129" customFormat="1" ht="17">
      <c r="A90" s="166" t="s">
        <v>152</v>
      </c>
      <c r="B90" s="166" t="s">
        <v>183</v>
      </c>
      <c r="C90" s="166">
        <v>2018</v>
      </c>
      <c r="D90" s="166" t="s">
        <v>184</v>
      </c>
      <c r="E90" s="195">
        <v>16336.624</v>
      </c>
      <c r="F90" s="166" t="s">
        <v>160</v>
      </c>
      <c r="G90" s="166" t="s">
        <v>160</v>
      </c>
      <c r="H90" s="190">
        <v>515.83979999999997</v>
      </c>
      <c r="I90" s="191">
        <v>244.92150000000004</v>
      </c>
      <c r="J90" s="191">
        <v>162.52209999999997</v>
      </c>
      <c r="K90" s="129" t="s">
        <v>457</v>
      </c>
      <c r="L90" s="131" t="s">
        <v>185</v>
      </c>
      <c r="M90" s="132" t="s">
        <v>186</v>
      </c>
      <c r="N90" s="129" t="s">
        <v>184</v>
      </c>
      <c r="O90" s="129">
        <v>761</v>
      </c>
      <c r="P90" s="129" t="s">
        <v>235</v>
      </c>
      <c r="Q90" s="178">
        <v>6</v>
      </c>
      <c r="R90" s="178">
        <v>6</v>
      </c>
      <c r="S90" s="191">
        <v>48</v>
      </c>
      <c r="T90" s="129">
        <v>50</v>
      </c>
      <c r="U90" s="129" t="s">
        <v>160</v>
      </c>
      <c r="V90" s="141">
        <v>51.08</v>
      </c>
      <c r="W90" s="196" t="s">
        <v>350</v>
      </c>
      <c r="X90" s="129" t="s">
        <v>351</v>
      </c>
      <c r="Y90" s="196">
        <v>-16.739722220000001</v>
      </c>
      <c r="Z90" s="197">
        <v>115.53611110999999</v>
      </c>
      <c r="AA90" s="129" t="s">
        <v>160</v>
      </c>
      <c r="AB90" s="129" t="s">
        <v>160</v>
      </c>
      <c r="AC90" s="129">
        <v>-2179</v>
      </c>
      <c r="AD90" s="129" t="s">
        <v>160</v>
      </c>
      <c r="AE90" s="129" t="s">
        <v>160</v>
      </c>
      <c r="AF90" s="129" t="s">
        <v>160</v>
      </c>
      <c r="AG90" s="151">
        <v>16336.624</v>
      </c>
      <c r="AH90" s="138" t="s">
        <v>160</v>
      </c>
      <c r="AI90" s="129" t="s">
        <v>160</v>
      </c>
      <c r="AJ90" s="138" t="s">
        <v>160</v>
      </c>
      <c r="AK90" s="129" t="s">
        <v>237</v>
      </c>
      <c r="AL90" s="129" t="s">
        <v>238</v>
      </c>
      <c r="AM90" s="140" t="s">
        <v>239</v>
      </c>
      <c r="AN90" s="129" t="s">
        <v>160</v>
      </c>
      <c r="AO90" s="129" t="s">
        <v>160</v>
      </c>
      <c r="AP90" s="129" t="s">
        <v>160</v>
      </c>
      <c r="AQ90" s="129" t="s">
        <v>160</v>
      </c>
      <c r="AR90" s="129" t="s">
        <v>160</v>
      </c>
      <c r="AS90" s="129" t="s">
        <v>160</v>
      </c>
      <c r="AT90" s="129" t="s">
        <v>160</v>
      </c>
      <c r="AU90" s="129" t="s">
        <v>191</v>
      </c>
      <c r="AV90" s="129" t="s">
        <v>161</v>
      </c>
      <c r="AW90" s="129" t="s">
        <v>192</v>
      </c>
      <c r="AX90" s="129" t="s">
        <v>352</v>
      </c>
      <c r="AY90" s="129" t="s">
        <v>353</v>
      </c>
      <c r="AZ90" s="129" t="s">
        <v>354</v>
      </c>
      <c r="BA90" s="129" t="s">
        <v>196</v>
      </c>
      <c r="BB90" s="198" t="s">
        <v>385</v>
      </c>
      <c r="BC90" s="129">
        <v>2</v>
      </c>
      <c r="BD90" s="151">
        <v>0.18526081862533594</v>
      </c>
      <c r="BE90" s="151">
        <v>15.589146876517692</v>
      </c>
      <c r="BF90" s="129" t="s">
        <v>355</v>
      </c>
      <c r="BG90" s="141">
        <v>0.38285887197754526</v>
      </c>
      <c r="BH90" s="129">
        <v>0.83299999999999996</v>
      </c>
      <c r="BI90" s="129" t="s">
        <v>160</v>
      </c>
      <c r="BJ90" s="138" t="s">
        <v>160</v>
      </c>
      <c r="BK90" s="129">
        <v>2.69</v>
      </c>
      <c r="BL90" s="129" t="s">
        <v>160</v>
      </c>
      <c r="BM90" s="129" t="s">
        <v>160</v>
      </c>
      <c r="BN90" s="129" t="s">
        <v>200</v>
      </c>
      <c r="BO90" s="129" t="s">
        <v>201</v>
      </c>
      <c r="BP90" s="151">
        <v>15.48517031994921</v>
      </c>
      <c r="BQ90" s="129" t="s">
        <v>202</v>
      </c>
      <c r="BR90" s="217"/>
      <c r="BS90" s="129" t="s">
        <v>160</v>
      </c>
      <c r="BT90" s="129" t="s">
        <v>160</v>
      </c>
      <c r="BU90" s="129">
        <v>10</v>
      </c>
      <c r="BV90" s="129" t="s">
        <v>159</v>
      </c>
      <c r="BW90" s="129">
        <v>10</v>
      </c>
      <c r="BX90" s="145">
        <v>29.129270462766424</v>
      </c>
      <c r="BY90" s="129" t="s">
        <v>159</v>
      </c>
      <c r="BZ90" s="129">
        <v>1</v>
      </c>
      <c r="CA90" s="129">
        <v>1</v>
      </c>
      <c r="CB90" s="129" t="s">
        <v>160</v>
      </c>
      <c r="CC90" s="151">
        <v>4.406586297567074</v>
      </c>
      <c r="CD90" s="129" t="s">
        <v>163</v>
      </c>
      <c r="CE90" s="144">
        <f t="shared" si="10"/>
        <v>0.11897783003431099</v>
      </c>
      <c r="CF90" s="144">
        <f t="shared" si="11"/>
        <v>0.11897783003431099</v>
      </c>
      <c r="CG90" s="145" t="s">
        <v>203</v>
      </c>
      <c r="CH90" s="129" t="s">
        <v>204</v>
      </c>
      <c r="CI90" s="129" t="s">
        <v>205</v>
      </c>
      <c r="CJ90" s="129" t="s">
        <v>206</v>
      </c>
      <c r="CK90" s="129" t="s">
        <v>158</v>
      </c>
      <c r="CL90" s="129" t="s">
        <v>158</v>
      </c>
      <c r="CM90" s="129" t="s">
        <v>158</v>
      </c>
      <c r="CN90" s="129" t="s">
        <v>160</v>
      </c>
      <c r="CO90" s="129" t="s">
        <v>160</v>
      </c>
      <c r="CP90" s="129" t="s">
        <v>160</v>
      </c>
      <c r="CQ90" s="129" t="s">
        <v>160</v>
      </c>
      <c r="CR90" s="129" t="s">
        <v>160</v>
      </c>
      <c r="CS90" s="129" t="s">
        <v>160</v>
      </c>
      <c r="CT90" s="129" t="s">
        <v>160</v>
      </c>
      <c r="CU90" s="129">
        <v>35</v>
      </c>
      <c r="CV90" s="129" t="s">
        <v>159</v>
      </c>
      <c r="CW90" s="146">
        <v>1</v>
      </c>
      <c r="CX90" s="129" t="s">
        <v>207</v>
      </c>
      <c r="CY90" s="129">
        <v>1.34082656656E-2</v>
      </c>
      <c r="CZ90" s="129" t="s">
        <v>159</v>
      </c>
      <c r="DA90" s="146">
        <v>2.5000000000000001E-3</v>
      </c>
      <c r="DB90" s="129" t="s">
        <v>208</v>
      </c>
      <c r="DC90" s="129">
        <v>4.5951143966399995E-2</v>
      </c>
      <c r="DD90" s="129" t="s">
        <v>159</v>
      </c>
      <c r="DE90" s="146">
        <v>2.5000000000000001E-3</v>
      </c>
      <c r="DF90" s="129" t="s">
        <v>209</v>
      </c>
      <c r="DG90" s="129" t="s">
        <v>160</v>
      </c>
      <c r="DH90" s="129" t="s">
        <v>160</v>
      </c>
      <c r="DI90" s="129" t="s">
        <v>160</v>
      </c>
      <c r="DJ90" s="129" t="s">
        <v>160</v>
      </c>
      <c r="DK90" s="145">
        <v>424.29</v>
      </c>
      <c r="DL90" s="129" t="s">
        <v>159</v>
      </c>
      <c r="DM90" s="145" t="s">
        <v>160</v>
      </c>
      <c r="DN90" s="129" t="s">
        <v>210</v>
      </c>
      <c r="DO90" s="129">
        <v>37.86918</v>
      </c>
      <c r="DP90" s="129" t="s">
        <v>160</v>
      </c>
      <c r="DQ90" s="129">
        <v>0.6686399999999999</v>
      </c>
      <c r="DR90" s="129" t="s">
        <v>211</v>
      </c>
      <c r="DS90" s="129" t="s">
        <v>212</v>
      </c>
      <c r="DT90" s="129" t="s">
        <v>213</v>
      </c>
      <c r="DU90" s="129">
        <v>1.0271999999999999</v>
      </c>
      <c r="DV90" s="129" t="s">
        <v>214</v>
      </c>
      <c r="DW90" s="129" t="s">
        <v>214</v>
      </c>
      <c r="DX90" s="129" t="s">
        <v>215</v>
      </c>
      <c r="DY90" s="129" t="s">
        <v>160</v>
      </c>
      <c r="DZ90" s="129" t="s">
        <v>164</v>
      </c>
      <c r="EA90" s="129" t="s">
        <v>216</v>
      </c>
      <c r="EB90" s="129" t="s">
        <v>212</v>
      </c>
      <c r="EC90" s="129" t="s">
        <v>212</v>
      </c>
      <c r="ED90" s="129" t="s">
        <v>212</v>
      </c>
      <c r="EE90" s="129" t="s">
        <v>217</v>
      </c>
      <c r="EF90" s="147" t="s">
        <v>213</v>
      </c>
      <c r="EG90" s="148" t="s">
        <v>213</v>
      </c>
      <c r="EH90" s="129" t="s">
        <v>218</v>
      </c>
      <c r="EI90" s="129" t="s">
        <v>219</v>
      </c>
      <c r="EJ90" s="129" t="s">
        <v>160</v>
      </c>
      <c r="EK90" s="129">
        <v>1583.2</v>
      </c>
      <c r="EL90" s="129" t="s">
        <v>163</v>
      </c>
      <c r="EM90" s="150">
        <v>500</v>
      </c>
      <c r="EN90" s="150">
        <v>500</v>
      </c>
      <c r="EO90" s="129" t="s">
        <v>160</v>
      </c>
      <c r="EP90" s="129" t="s">
        <v>160</v>
      </c>
      <c r="EQ90" s="129" t="s">
        <v>160</v>
      </c>
      <c r="ER90" s="129" t="s">
        <v>160</v>
      </c>
      <c r="ES90" s="129">
        <v>7.8599940000000004</v>
      </c>
      <c r="ET90" s="142" t="s">
        <v>165</v>
      </c>
      <c r="EU90" s="129">
        <v>0.11274499999999943</v>
      </c>
      <c r="EV90" s="129">
        <v>0.1376350000000004</v>
      </c>
      <c r="EW90" s="142" t="s">
        <v>160</v>
      </c>
      <c r="EX90" s="129" t="s">
        <v>160</v>
      </c>
      <c r="EY90" s="129" t="s">
        <v>160</v>
      </c>
      <c r="EZ90" s="191">
        <v>515.83979999999997</v>
      </c>
      <c r="FA90" s="191">
        <v>244.92150000000004</v>
      </c>
      <c r="FB90" s="191">
        <v>162.52209999999997</v>
      </c>
      <c r="FC90" s="129" t="s">
        <v>220</v>
      </c>
      <c r="FD90" s="129" t="s">
        <v>221</v>
      </c>
      <c r="FE90" s="191">
        <v>1707.789</v>
      </c>
      <c r="FF90" s="191">
        <v>391.58500000000026</v>
      </c>
      <c r="FG90" s="191">
        <v>395.19299999999998</v>
      </c>
      <c r="FH90" s="129" t="s">
        <v>160</v>
      </c>
      <c r="FI90" s="129" t="s">
        <v>160</v>
      </c>
      <c r="FJ90" s="129" t="s">
        <v>160</v>
      </c>
      <c r="FK90" s="129" t="s">
        <v>160</v>
      </c>
      <c r="FL90" s="129" t="s">
        <v>160</v>
      </c>
      <c r="FM90" s="129" t="s">
        <v>160</v>
      </c>
      <c r="FN90" s="151">
        <v>2.8325529999999999</v>
      </c>
      <c r="FO90" s="151">
        <v>1.7514050000000001</v>
      </c>
      <c r="FP90" s="151">
        <v>1.2597269999999998</v>
      </c>
      <c r="FQ90" s="129" t="s">
        <v>414</v>
      </c>
      <c r="FR90" s="166" t="s">
        <v>348</v>
      </c>
      <c r="FS90" s="166">
        <v>2014</v>
      </c>
      <c r="FT90" s="166" t="s">
        <v>349</v>
      </c>
    </row>
    <row r="91" spans="1:176" s="129" customFormat="1" ht="17">
      <c r="A91" s="166" t="s">
        <v>152</v>
      </c>
      <c r="B91" s="166" t="s">
        <v>183</v>
      </c>
      <c r="C91" s="166">
        <v>2018</v>
      </c>
      <c r="D91" s="166" t="s">
        <v>184</v>
      </c>
      <c r="E91" s="195">
        <v>16385.524000000001</v>
      </c>
      <c r="F91" s="166" t="s">
        <v>160</v>
      </c>
      <c r="G91" s="166" t="s">
        <v>160</v>
      </c>
      <c r="H91" s="190">
        <v>328.30059999999997</v>
      </c>
      <c r="I91" s="191">
        <v>137.68960000000004</v>
      </c>
      <c r="J91" s="191">
        <v>102.98289999999997</v>
      </c>
      <c r="K91" s="129" t="s">
        <v>457</v>
      </c>
      <c r="L91" s="131" t="s">
        <v>185</v>
      </c>
      <c r="M91" s="132" t="s">
        <v>186</v>
      </c>
      <c r="N91" s="129" t="s">
        <v>184</v>
      </c>
      <c r="O91" s="129">
        <v>761</v>
      </c>
      <c r="P91" s="129" t="s">
        <v>235</v>
      </c>
      <c r="Q91" s="178">
        <v>6</v>
      </c>
      <c r="R91" s="178">
        <v>6</v>
      </c>
      <c r="S91" s="191">
        <v>98</v>
      </c>
      <c r="T91" s="129">
        <v>100</v>
      </c>
      <c r="U91" s="129" t="s">
        <v>160</v>
      </c>
      <c r="V91" s="141">
        <v>51.58</v>
      </c>
      <c r="W91" s="196" t="s">
        <v>350</v>
      </c>
      <c r="X91" s="129" t="s">
        <v>351</v>
      </c>
      <c r="Y91" s="196">
        <v>-16.739722220000001</v>
      </c>
      <c r="Z91" s="197">
        <v>115.53611110999999</v>
      </c>
      <c r="AA91" s="129" t="s">
        <v>160</v>
      </c>
      <c r="AB91" s="129" t="s">
        <v>160</v>
      </c>
      <c r="AC91" s="129">
        <v>-2179</v>
      </c>
      <c r="AD91" s="129" t="s">
        <v>160</v>
      </c>
      <c r="AE91" s="129" t="s">
        <v>160</v>
      </c>
      <c r="AF91" s="129" t="s">
        <v>160</v>
      </c>
      <c r="AG91" s="151">
        <v>16385.524000000001</v>
      </c>
      <c r="AH91" s="138" t="s">
        <v>160</v>
      </c>
      <c r="AI91" s="129" t="s">
        <v>160</v>
      </c>
      <c r="AJ91" s="138" t="s">
        <v>160</v>
      </c>
      <c r="AK91" s="129" t="s">
        <v>237</v>
      </c>
      <c r="AL91" s="129" t="s">
        <v>238</v>
      </c>
      <c r="AM91" s="140" t="s">
        <v>239</v>
      </c>
      <c r="AN91" s="129" t="s">
        <v>160</v>
      </c>
      <c r="AO91" s="129" t="s">
        <v>160</v>
      </c>
      <c r="AP91" s="129" t="s">
        <v>160</v>
      </c>
      <c r="AQ91" s="129" t="s">
        <v>160</v>
      </c>
      <c r="AR91" s="129" t="s">
        <v>160</v>
      </c>
      <c r="AS91" s="129" t="s">
        <v>160</v>
      </c>
      <c r="AT91" s="129" t="s">
        <v>160</v>
      </c>
      <c r="AU91" s="129" t="s">
        <v>191</v>
      </c>
      <c r="AV91" s="129" t="s">
        <v>161</v>
      </c>
      <c r="AW91" s="129" t="s">
        <v>192</v>
      </c>
      <c r="AX91" s="129" t="s">
        <v>352</v>
      </c>
      <c r="AY91" s="129" t="s">
        <v>353</v>
      </c>
      <c r="AZ91" s="129" t="s">
        <v>354</v>
      </c>
      <c r="BA91" s="129" t="s">
        <v>196</v>
      </c>
      <c r="BB91" s="198" t="s">
        <v>386</v>
      </c>
      <c r="BC91" s="129">
        <v>2</v>
      </c>
      <c r="BD91" s="151">
        <v>0.12889026337126808</v>
      </c>
      <c r="BE91" s="151">
        <v>17.000801673249963</v>
      </c>
      <c r="BF91" s="129" t="s">
        <v>355</v>
      </c>
      <c r="BG91" s="141">
        <v>0.65551182462128443</v>
      </c>
      <c r="BH91" s="129">
        <v>0.83299999999999996</v>
      </c>
      <c r="BI91" s="129" t="s">
        <v>160</v>
      </c>
      <c r="BJ91" s="138" t="s">
        <v>160</v>
      </c>
      <c r="BK91" s="129">
        <v>2.69</v>
      </c>
      <c r="BL91" s="129" t="s">
        <v>160</v>
      </c>
      <c r="BM91" s="129" t="s">
        <v>160</v>
      </c>
      <c r="BN91" s="129" t="s">
        <v>200</v>
      </c>
      <c r="BO91" s="129" t="s">
        <v>201</v>
      </c>
      <c r="BP91" s="151">
        <v>17.179833941476549</v>
      </c>
      <c r="BQ91" s="129" t="s">
        <v>202</v>
      </c>
      <c r="BR91" s="217"/>
      <c r="BS91" s="129" t="s">
        <v>160</v>
      </c>
      <c r="BT91" s="129" t="s">
        <v>160</v>
      </c>
      <c r="BU91" s="129">
        <v>10</v>
      </c>
      <c r="BV91" s="129" t="s">
        <v>159</v>
      </c>
      <c r="BW91" s="129">
        <v>10</v>
      </c>
      <c r="BX91" s="145">
        <v>27.939205940208893</v>
      </c>
      <c r="BY91" s="129" t="s">
        <v>159</v>
      </c>
      <c r="BZ91" s="129">
        <v>1</v>
      </c>
      <c r="CA91" s="129">
        <v>1</v>
      </c>
      <c r="CB91" s="129" t="s">
        <v>160</v>
      </c>
      <c r="CC91" s="151">
        <v>3.9570381352808712</v>
      </c>
      <c r="CD91" s="129" t="s">
        <v>163</v>
      </c>
      <c r="CE91" s="144">
        <f t="shared" si="10"/>
        <v>0.10684002965258352</v>
      </c>
      <c r="CF91" s="144">
        <f t="shared" si="11"/>
        <v>0.10684002965258352</v>
      </c>
      <c r="CG91" s="145" t="s">
        <v>203</v>
      </c>
      <c r="CH91" s="129" t="s">
        <v>204</v>
      </c>
      <c r="CI91" s="129" t="s">
        <v>205</v>
      </c>
      <c r="CJ91" s="129" t="s">
        <v>206</v>
      </c>
      <c r="CK91" s="129" t="s">
        <v>158</v>
      </c>
      <c r="CL91" s="129" t="s">
        <v>158</v>
      </c>
      <c r="CM91" s="129" t="s">
        <v>158</v>
      </c>
      <c r="CN91" s="129" t="s">
        <v>160</v>
      </c>
      <c r="CO91" s="129" t="s">
        <v>160</v>
      </c>
      <c r="CP91" s="129" t="s">
        <v>160</v>
      </c>
      <c r="CQ91" s="129" t="s">
        <v>160</v>
      </c>
      <c r="CR91" s="129" t="s">
        <v>160</v>
      </c>
      <c r="CS91" s="129" t="s">
        <v>160</v>
      </c>
      <c r="CT91" s="129" t="s">
        <v>160</v>
      </c>
      <c r="CU91" s="129">
        <v>35</v>
      </c>
      <c r="CV91" s="129" t="s">
        <v>159</v>
      </c>
      <c r="CW91" s="146">
        <v>1</v>
      </c>
      <c r="CX91" s="129" t="s">
        <v>207</v>
      </c>
      <c r="CY91" s="129">
        <v>1.3416671575599998E-2</v>
      </c>
      <c r="CZ91" s="129" t="s">
        <v>159</v>
      </c>
      <c r="DA91" s="146">
        <v>2.5000000000000001E-3</v>
      </c>
      <c r="DB91" s="129" t="s">
        <v>208</v>
      </c>
      <c r="DC91" s="129">
        <v>4.5924058256400002E-2</v>
      </c>
      <c r="DD91" s="129" t="s">
        <v>159</v>
      </c>
      <c r="DE91" s="146">
        <v>2.5000000000000001E-3</v>
      </c>
      <c r="DF91" s="129" t="s">
        <v>209</v>
      </c>
      <c r="DG91" s="129" t="s">
        <v>160</v>
      </c>
      <c r="DH91" s="129" t="s">
        <v>160</v>
      </c>
      <c r="DI91" s="129" t="s">
        <v>160</v>
      </c>
      <c r="DJ91" s="129" t="s">
        <v>160</v>
      </c>
      <c r="DK91" s="145">
        <v>424.29</v>
      </c>
      <c r="DL91" s="129" t="s">
        <v>159</v>
      </c>
      <c r="DM91" s="145" t="s">
        <v>160</v>
      </c>
      <c r="DN91" s="129" t="s">
        <v>210</v>
      </c>
      <c r="DO91" s="129">
        <v>37.865459999999999</v>
      </c>
      <c r="DP91" s="129" t="s">
        <v>160</v>
      </c>
      <c r="DQ91" s="129">
        <v>0.66272499999999823</v>
      </c>
      <c r="DR91" s="129" t="s">
        <v>211</v>
      </c>
      <c r="DS91" s="129" t="s">
        <v>212</v>
      </c>
      <c r="DT91" s="129" t="s">
        <v>213</v>
      </c>
      <c r="DU91" s="129">
        <v>1.0271999999999999</v>
      </c>
      <c r="DV91" s="129" t="s">
        <v>214</v>
      </c>
      <c r="DW91" s="129" t="s">
        <v>214</v>
      </c>
      <c r="DX91" s="129" t="s">
        <v>215</v>
      </c>
      <c r="DY91" s="129" t="s">
        <v>160</v>
      </c>
      <c r="DZ91" s="129" t="s">
        <v>164</v>
      </c>
      <c r="EA91" s="129" t="s">
        <v>216</v>
      </c>
      <c r="EB91" s="129" t="s">
        <v>212</v>
      </c>
      <c r="EC91" s="129" t="s">
        <v>212</v>
      </c>
      <c r="ED91" s="129" t="s">
        <v>212</v>
      </c>
      <c r="EE91" s="129" t="s">
        <v>217</v>
      </c>
      <c r="EF91" s="147" t="s">
        <v>213</v>
      </c>
      <c r="EG91" s="148" t="s">
        <v>213</v>
      </c>
      <c r="EH91" s="129" t="s">
        <v>218</v>
      </c>
      <c r="EI91" s="129" t="s">
        <v>219</v>
      </c>
      <c r="EJ91" s="129" t="s">
        <v>160</v>
      </c>
      <c r="EK91" s="129">
        <v>1578.7049999999999</v>
      </c>
      <c r="EL91" s="129" t="s">
        <v>163</v>
      </c>
      <c r="EM91" s="150">
        <v>500</v>
      </c>
      <c r="EN91" s="150">
        <v>500</v>
      </c>
      <c r="EO91" s="129" t="s">
        <v>160</v>
      </c>
      <c r="EP91" s="129" t="s">
        <v>160</v>
      </c>
      <c r="EQ91" s="129" t="s">
        <v>160</v>
      </c>
      <c r="ER91" s="129" t="s">
        <v>160</v>
      </c>
      <c r="ES91" s="129">
        <v>8.0429580000000005</v>
      </c>
      <c r="ET91" s="142" t="s">
        <v>165</v>
      </c>
      <c r="EU91" s="129">
        <v>0.10188999999999915</v>
      </c>
      <c r="EV91" s="129">
        <v>0.11272400000000093</v>
      </c>
      <c r="EW91" s="142" t="s">
        <v>160</v>
      </c>
      <c r="EX91" s="129" t="s">
        <v>160</v>
      </c>
      <c r="EY91" s="129" t="s">
        <v>160</v>
      </c>
      <c r="EZ91" s="191">
        <v>328.30059999999997</v>
      </c>
      <c r="FA91" s="191">
        <v>137.68960000000004</v>
      </c>
      <c r="FB91" s="191">
        <v>102.98289999999997</v>
      </c>
      <c r="FC91" s="129" t="s">
        <v>220</v>
      </c>
      <c r="FD91" s="129" t="s">
        <v>221</v>
      </c>
      <c r="FE91" s="191">
        <v>1764.423</v>
      </c>
      <c r="FF91" s="191">
        <v>406.07200000000034</v>
      </c>
      <c r="FG91" s="191">
        <v>411.26699999999983</v>
      </c>
      <c r="FH91" s="129" t="s">
        <v>160</v>
      </c>
      <c r="FI91" s="129" t="s">
        <v>160</v>
      </c>
      <c r="FJ91" s="129" t="s">
        <v>160</v>
      </c>
      <c r="FK91" s="129" t="s">
        <v>160</v>
      </c>
      <c r="FL91" s="129" t="s">
        <v>160</v>
      </c>
      <c r="FM91" s="129" t="s">
        <v>160</v>
      </c>
      <c r="FN91" s="151">
        <v>4.0564730000000004</v>
      </c>
      <c r="FO91" s="151">
        <v>2.3356089999999998</v>
      </c>
      <c r="FP91" s="151">
        <v>1.7394260000000004</v>
      </c>
      <c r="FQ91" s="129" t="s">
        <v>414</v>
      </c>
      <c r="FR91" s="166" t="s">
        <v>348</v>
      </c>
      <c r="FS91" s="166">
        <v>2014</v>
      </c>
      <c r="FT91" s="166" t="s">
        <v>349</v>
      </c>
    </row>
    <row r="92" spans="1:176" s="129" customFormat="1" ht="17">
      <c r="A92" s="166" t="s">
        <v>152</v>
      </c>
      <c r="B92" s="166" t="s">
        <v>183</v>
      </c>
      <c r="C92" s="166">
        <v>2018</v>
      </c>
      <c r="D92" s="166" t="s">
        <v>184</v>
      </c>
      <c r="E92" s="195">
        <v>16484</v>
      </c>
      <c r="F92" s="166" t="s">
        <v>160</v>
      </c>
      <c r="G92" s="166" t="s">
        <v>160</v>
      </c>
      <c r="H92" s="190">
        <v>392.6918</v>
      </c>
      <c r="I92" s="191">
        <v>165.02660000000009</v>
      </c>
      <c r="J92" s="191">
        <v>119.93759999999997</v>
      </c>
      <c r="K92" s="129" t="s">
        <v>457</v>
      </c>
      <c r="L92" s="131" t="s">
        <v>185</v>
      </c>
      <c r="M92" s="132" t="s">
        <v>186</v>
      </c>
      <c r="N92" s="129" t="s">
        <v>184</v>
      </c>
      <c r="O92" s="129">
        <v>761</v>
      </c>
      <c r="P92" s="129" t="s">
        <v>235</v>
      </c>
      <c r="Q92" s="178">
        <v>6</v>
      </c>
      <c r="R92" s="178">
        <v>6</v>
      </c>
      <c r="S92" s="191">
        <v>128</v>
      </c>
      <c r="T92" s="129">
        <v>130</v>
      </c>
      <c r="U92" s="129" t="s">
        <v>160</v>
      </c>
      <c r="V92" s="141">
        <v>51.88</v>
      </c>
      <c r="W92" s="196" t="s">
        <v>350</v>
      </c>
      <c r="X92" s="129" t="s">
        <v>351</v>
      </c>
      <c r="Y92" s="196">
        <v>-16.739722220000001</v>
      </c>
      <c r="Z92" s="197">
        <v>115.53611110999999</v>
      </c>
      <c r="AA92" s="129" t="s">
        <v>160</v>
      </c>
      <c r="AB92" s="129" t="s">
        <v>160</v>
      </c>
      <c r="AC92" s="129">
        <v>-2179</v>
      </c>
      <c r="AD92" s="129" t="s">
        <v>160</v>
      </c>
      <c r="AE92" s="129" t="s">
        <v>160</v>
      </c>
      <c r="AF92" s="129" t="s">
        <v>160</v>
      </c>
      <c r="AG92" s="151">
        <v>16484</v>
      </c>
      <c r="AH92" s="138" t="s">
        <v>160</v>
      </c>
      <c r="AI92" s="129" t="s">
        <v>160</v>
      </c>
      <c r="AJ92" s="138" t="s">
        <v>160</v>
      </c>
      <c r="AK92" s="129" t="s">
        <v>237</v>
      </c>
      <c r="AL92" s="129" t="s">
        <v>238</v>
      </c>
      <c r="AM92" s="140" t="s">
        <v>239</v>
      </c>
      <c r="AN92" s="129" t="s">
        <v>160</v>
      </c>
      <c r="AO92" s="129" t="s">
        <v>160</v>
      </c>
      <c r="AP92" s="129" t="s">
        <v>160</v>
      </c>
      <c r="AQ92" s="129" t="s">
        <v>160</v>
      </c>
      <c r="AR92" s="129" t="s">
        <v>160</v>
      </c>
      <c r="AS92" s="129" t="s">
        <v>160</v>
      </c>
      <c r="AT92" s="129" t="s">
        <v>160</v>
      </c>
      <c r="AU92" s="129" t="s">
        <v>191</v>
      </c>
      <c r="AV92" s="129" t="s">
        <v>161</v>
      </c>
      <c r="AW92" s="129" t="s">
        <v>192</v>
      </c>
      <c r="AX92" s="129" t="s">
        <v>352</v>
      </c>
      <c r="AY92" s="129" t="s">
        <v>353</v>
      </c>
      <c r="AZ92" s="129" t="s">
        <v>354</v>
      </c>
      <c r="BA92" s="129" t="s">
        <v>196</v>
      </c>
      <c r="BB92" s="198" t="s">
        <v>387</v>
      </c>
      <c r="BC92" s="129">
        <v>2</v>
      </c>
      <c r="BD92" s="151">
        <v>6.2810012919324976E-2</v>
      </c>
      <c r="BE92" s="151">
        <v>16.358713779273785</v>
      </c>
      <c r="BF92" s="129" t="s">
        <v>355</v>
      </c>
      <c r="BG92" s="141">
        <v>0.3087457653101211</v>
      </c>
      <c r="BH92" s="129">
        <v>0.83299999999999996</v>
      </c>
      <c r="BI92" s="129" t="s">
        <v>160</v>
      </c>
      <c r="BJ92" s="138" t="s">
        <v>160</v>
      </c>
      <c r="BK92" s="129">
        <v>2.69</v>
      </c>
      <c r="BL92" s="129" t="s">
        <v>160</v>
      </c>
      <c r="BM92" s="129" t="s">
        <v>160</v>
      </c>
      <c r="BN92" s="129" t="s">
        <v>200</v>
      </c>
      <c r="BO92" s="129" t="s">
        <v>201</v>
      </c>
      <c r="BP92" s="151">
        <v>16.409020143185817</v>
      </c>
      <c r="BQ92" s="129" t="s">
        <v>202</v>
      </c>
      <c r="BR92" s="217"/>
      <c r="BS92" s="129" t="s">
        <v>160</v>
      </c>
      <c r="BT92" s="129" t="s">
        <v>160</v>
      </c>
      <c r="BU92" s="129">
        <v>10</v>
      </c>
      <c r="BV92" s="129" t="s">
        <v>159</v>
      </c>
      <c r="BW92" s="129">
        <v>10</v>
      </c>
      <c r="BX92" s="145">
        <v>28.160942149073872</v>
      </c>
      <c r="BY92" s="129" t="s">
        <v>159</v>
      </c>
      <c r="BZ92" s="129">
        <v>1</v>
      </c>
      <c r="CA92" s="129">
        <v>1</v>
      </c>
      <c r="CB92" s="129" t="s">
        <v>160</v>
      </c>
      <c r="CC92" s="151">
        <v>4.0327471484129802</v>
      </c>
      <c r="CD92" s="129" t="s">
        <v>163</v>
      </c>
      <c r="CE92" s="144">
        <f t="shared" si="10"/>
        <v>0.10888417300715046</v>
      </c>
      <c r="CF92" s="144">
        <f t="shared" si="11"/>
        <v>0.10888417300715046</v>
      </c>
      <c r="CG92" s="145" t="s">
        <v>203</v>
      </c>
      <c r="CH92" s="129" t="s">
        <v>204</v>
      </c>
      <c r="CI92" s="129" t="s">
        <v>205</v>
      </c>
      <c r="CJ92" s="129" t="s">
        <v>206</v>
      </c>
      <c r="CK92" s="129" t="s">
        <v>158</v>
      </c>
      <c r="CL92" s="129" t="s">
        <v>158</v>
      </c>
      <c r="CM92" s="129" t="s">
        <v>158</v>
      </c>
      <c r="CN92" s="129" t="s">
        <v>160</v>
      </c>
      <c r="CO92" s="129" t="s">
        <v>160</v>
      </c>
      <c r="CP92" s="129" t="s">
        <v>160</v>
      </c>
      <c r="CQ92" s="129" t="s">
        <v>160</v>
      </c>
      <c r="CR92" s="129" t="s">
        <v>160</v>
      </c>
      <c r="CS92" s="129" t="s">
        <v>160</v>
      </c>
      <c r="CT92" s="129" t="s">
        <v>160</v>
      </c>
      <c r="CU92" s="129">
        <v>35</v>
      </c>
      <c r="CV92" s="129" t="s">
        <v>159</v>
      </c>
      <c r="CW92" s="146">
        <v>1</v>
      </c>
      <c r="CX92" s="129" t="s">
        <v>207</v>
      </c>
      <c r="CY92" s="129">
        <v>1.34335996E-2</v>
      </c>
      <c r="CZ92" s="129" t="s">
        <v>159</v>
      </c>
      <c r="DA92" s="146">
        <v>2.5000000000000001E-3</v>
      </c>
      <c r="DB92" s="129" t="s">
        <v>208</v>
      </c>
      <c r="DC92" s="129">
        <v>4.58695124E-2</v>
      </c>
      <c r="DD92" s="129" t="s">
        <v>159</v>
      </c>
      <c r="DE92" s="146">
        <v>2.5000000000000001E-3</v>
      </c>
      <c r="DF92" s="129" t="s">
        <v>209</v>
      </c>
      <c r="DG92" s="129" t="s">
        <v>160</v>
      </c>
      <c r="DH92" s="129" t="s">
        <v>160</v>
      </c>
      <c r="DI92" s="129" t="s">
        <v>160</v>
      </c>
      <c r="DJ92" s="129" t="s">
        <v>160</v>
      </c>
      <c r="DK92" s="145">
        <v>424.29</v>
      </c>
      <c r="DL92" s="129" t="s">
        <v>159</v>
      </c>
      <c r="DM92" s="145" t="s">
        <v>160</v>
      </c>
      <c r="DN92" s="129" t="s">
        <v>210</v>
      </c>
      <c r="DO92" s="129">
        <v>37.874070000000003</v>
      </c>
      <c r="DP92" s="129" t="s">
        <v>160</v>
      </c>
      <c r="DQ92" s="129">
        <v>0.67849499999999807</v>
      </c>
      <c r="DR92" s="129" t="s">
        <v>211</v>
      </c>
      <c r="DS92" s="129" t="s">
        <v>212</v>
      </c>
      <c r="DT92" s="129" t="s">
        <v>213</v>
      </c>
      <c r="DU92" s="129">
        <v>1.0271999999999999</v>
      </c>
      <c r="DV92" s="129" t="s">
        <v>214</v>
      </c>
      <c r="DW92" s="129" t="s">
        <v>214</v>
      </c>
      <c r="DX92" s="129" t="s">
        <v>215</v>
      </c>
      <c r="DY92" s="129" t="s">
        <v>160</v>
      </c>
      <c r="DZ92" s="129" t="s">
        <v>164</v>
      </c>
      <c r="EA92" s="129" t="s">
        <v>216</v>
      </c>
      <c r="EB92" s="129" t="s">
        <v>212</v>
      </c>
      <c r="EC92" s="129" t="s">
        <v>212</v>
      </c>
      <c r="ED92" s="129" t="s">
        <v>212</v>
      </c>
      <c r="EE92" s="129" t="s">
        <v>217</v>
      </c>
      <c r="EF92" s="147" t="s">
        <v>213</v>
      </c>
      <c r="EG92" s="148" t="s">
        <v>213</v>
      </c>
      <c r="EH92" s="129" t="s">
        <v>218</v>
      </c>
      <c r="EI92" s="129" t="s">
        <v>219</v>
      </c>
      <c r="EJ92" s="129" t="s">
        <v>160</v>
      </c>
      <c r="EK92" s="129">
        <v>1578.336</v>
      </c>
      <c r="EL92" s="129" t="s">
        <v>163</v>
      </c>
      <c r="EM92" s="150">
        <v>500</v>
      </c>
      <c r="EN92" s="150">
        <v>500</v>
      </c>
      <c r="EO92" s="129" t="s">
        <v>160</v>
      </c>
      <c r="EP92" s="129" t="s">
        <v>160</v>
      </c>
      <c r="EQ92" s="129" t="s">
        <v>160</v>
      </c>
      <c r="ER92" s="129" t="s">
        <v>160</v>
      </c>
      <c r="ES92" s="129">
        <v>7.9697339999999999</v>
      </c>
      <c r="ET92" s="142" t="s">
        <v>165</v>
      </c>
      <c r="EU92" s="129">
        <v>9.869099999999964E-2</v>
      </c>
      <c r="EV92" s="129">
        <v>0.10968200000000028</v>
      </c>
      <c r="EW92" s="142" t="s">
        <v>160</v>
      </c>
      <c r="EX92" s="129" t="s">
        <v>160</v>
      </c>
      <c r="EY92" s="129" t="s">
        <v>160</v>
      </c>
      <c r="EZ92" s="191">
        <v>392.6918</v>
      </c>
      <c r="FA92" s="191">
        <v>165.02660000000009</v>
      </c>
      <c r="FB92" s="191">
        <v>119.93759999999997</v>
      </c>
      <c r="FC92" s="129" t="s">
        <v>220</v>
      </c>
      <c r="FD92" s="129" t="s">
        <v>221</v>
      </c>
      <c r="FE92" s="191">
        <v>1737.5260000000001</v>
      </c>
      <c r="FF92" s="191">
        <v>393.19599999999969</v>
      </c>
      <c r="FG92" s="191">
        <v>401.36200000000008</v>
      </c>
      <c r="FH92" s="129" t="s">
        <v>160</v>
      </c>
      <c r="FI92" s="129" t="s">
        <v>160</v>
      </c>
      <c r="FJ92" s="129" t="s">
        <v>160</v>
      </c>
      <c r="FK92" s="129" t="s">
        <v>160</v>
      </c>
      <c r="FL92" s="129" t="s">
        <v>160</v>
      </c>
      <c r="FM92" s="129" t="s">
        <v>160</v>
      </c>
      <c r="FN92" s="151">
        <v>3.5100950000000002</v>
      </c>
      <c r="FO92" s="151">
        <v>1.987117</v>
      </c>
      <c r="FP92" s="151">
        <v>1.506278</v>
      </c>
      <c r="FQ92" s="129" t="s">
        <v>414</v>
      </c>
      <c r="FR92" s="166" t="s">
        <v>348</v>
      </c>
      <c r="FS92" s="166">
        <v>2014</v>
      </c>
      <c r="FT92" s="166" t="s">
        <v>349</v>
      </c>
    </row>
    <row r="93" spans="1:176" s="129" customFormat="1" ht="17">
      <c r="A93" s="166" t="s">
        <v>152</v>
      </c>
      <c r="B93" s="166" t="s">
        <v>183</v>
      </c>
      <c r="C93" s="166">
        <v>2018</v>
      </c>
      <c r="D93" s="166" t="s">
        <v>184</v>
      </c>
      <c r="E93" s="195">
        <v>12374.578949999999</v>
      </c>
      <c r="F93" s="166" t="s">
        <v>160</v>
      </c>
      <c r="G93" s="166" t="s">
        <v>160</v>
      </c>
      <c r="H93" s="190">
        <v>338.74209999999999</v>
      </c>
      <c r="I93" s="191">
        <v>125.18459999999999</v>
      </c>
      <c r="J93" s="191">
        <v>94.795500000000004</v>
      </c>
      <c r="K93" s="129" t="s">
        <v>457</v>
      </c>
      <c r="L93" s="131" t="s">
        <v>185</v>
      </c>
      <c r="M93" s="132" t="s">
        <v>186</v>
      </c>
      <c r="N93" s="129" t="s">
        <v>184</v>
      </c>
      <c r="O93" s="129">
        <v>761</v>
      </c>
      <c r="P93" s="129" t="s">
        <v>235</v>
      </c>
      <c r="Q93" s="129">
        <v>5</v>
      </c>
      <c r="R93" s="129">
        <v>4</v>
      </c>
      <c r="S93" s="129">
        <v>13</v>
      </c>
      <c r="T93" s="129">
        <v>15</v>
      </c>
      <c r="U93" s="129" t="s">
        <v>160</v>
      </c>
      <c r="V93" s="129">
        <v>37.299999999999997</v>
      </c>
      <c r="W93" s="129" t="s">
        <v>160</v>
      </c>
      <c r="X93" s="129" t="s">
        <v>390</v>
      </c>
      <c r="Y93" s="129">
        <v>-16.739999999999998</v>
      </c>
      <c r="Z93" s="129">
        <v>115.536</v>
      </c>
      <c r="AA93" s="129" t="s">
        <v>160</v>
      </c>
      <c r="AB93" s="129" t="s">
        <v>160</v>
      </c>
      <c r="AC93" s="136">
        <v>-2179</v>
      </c>
      <c r="AD93" s="129" t="s">
        <v>160</v>
      </c>
      <c r="AE93" s="129" t="s">
        <v>160</v>
      </c>
      <c r="AF93" s="178" t="s">
        <v>160</v>
      </c>
      <c r="AG93" s="129">
        <v>12374.578949999999</v>
      </c>
      <c r="AH93" s="138" t="s">
        <v>160</v>
      </c>
      <c r="AI93" s="138" t="s">
        <v>160</v>
      </c>
      <c r="AJ93" s="138" t="s">
        <v>160</v>
      </c>
      <c r="AK93" s="129" t="s">
        <v>237</v>
      </c>
      <c r="AL93" s="129" t="s">
        <v>238</v>
      </c>
      <c r="AM93" s="140" t="s">
        <v>239</v>
      </c>
      <c r="AN93" s="129" t="s">
        <v>160</v>
      </c>
      <c r="AO93" s="129" t="s">
        <v>160</v>
      </c>
      <c r="AP93" s="129" t="s">
        <v>160</v>
      </c>
      <c r="AQ93" s="129" t="s">
        <v>160</v>
      </c>
      <c r="AR93" s="129" t="s">
        <v>160</v>
      </c>
      <c r="AS93" s="129" t="s">
        <v>160</v>
      </c>
      <c r="AT93" s="129" t="s">
        <v>160</v>
      </c>
      <c r="AU93" s="129" t="s">
        <v>191</v>
      </c>
      <c r="AV93" s="129" t="s">
        <v>161</v>
      </c>
      <c r="AW93" s="129" t="s">
        <v>192</v>
      </c>
      <c r="AX93" s="129" t="s">
        <v>352</v>
      </c>
      <c r="AY93" s="129" t="s">
        <v>391</v>
      </c>
      <c r="AZ93" s="129" t="s">
        <v>325</v>
      </c>
      <c r="BA93" s="129" t="s">
        <v>162</v>
      </c>
      <c r="BB93" s="129" t="s">
        <v>392</v>
      </c>
      <c r="BC93" s="129">
        <v>2</v>
      </c>
      <c r="BD93" s="129">
        <v>9.9999999999980105E-3</v>
      </c>
      <c r="BE93" s="129">
        <v>17.14</v>
      </c>
      <c r="BF93" s="129" t="s">
        <v>393</v>
      </c>
      <c r="BG93" s="129">
        <v>0.23</v>
      </c>
      <c r="BH93" s="129">
        <v>0.83299999999999996</v>
      </c>
      <c r="BI93" s="129" t="s">
        <v>160</v>
      </c>
      <c r="BJ93" s="138" t="s">
        <v>160</v>
      </c>
      <c r="BK93" s="129">
        <v>2.69</v>
      </c>
      <c r="BL93" s="129" t="s">
        <v>160</v>
      </c>
      <c r="BM93" s="129" t="s">
        <v>160</v>
      </c>
      <c r="BN93" s="129" t="s">
        <v>200</v>
      </c>
      <c r="BO93" s="129" t="s">
        <v>201</v>
      </c>
      <c r="BP93" s="151">
        <v>17.349301161902275</v>
      </c>
      <c r="BQ93" s="129" t="s">
        <v>202</v>
      </c>
      <c r="BR93" s="217"/>
      <c r="BS93" s="129" t="s">
        <v>160</v>
      </c>
      <c r="BT93" s="129" t="s">
        <v>160</v>
      </c>
      <c r="BU93" s="129">
        <v>10</v>
      </c>
      <c r="BV93" s="129" t="s">
        <v>159</v>
      </c>
      <c r="BW93" s="129">
        <v>10</v>
      </c>
      <c r="BX93" s="145">
        <v>27.306764958355078</v>
      </c>
      <c r="BY93" s="129" t="s">
        <v>159</v>
      </c>
      <c r="BZ93" s="129">
        <v>1</v>
      </c>
      <c r="CA93" s="129">
        <v>1</v>
      </c>
      <c r="CC93" s="129">
        <v>3.89</v>
      </c>
      <c r="CD93" s="129" t="s">
        <v>163</v>
      </c>
      <c r="CE93" s="144">
        <f t="shared" ref="CE93:CE108" si="12">CC93*0.027</f>
        <v>0.10503</v>
      </c>
      <c r="CF93" s="144">
        <f t="shared" ref="CF93:CF108" si="13">CC93*0.027</f>
        <v>0.10503</v>
      </c>
      <c r="CG93" s="145" t="s">
        <v>203</v>
      </c>
      <c r="CH93" s="129" t="s">
        <v>204</v>
      </c>
      <c r="CI93" s="129" t="s">
        <v>205</v>
      </c>
      <c r="CJ93" s="129" t="s">
        <v>206</v>
      </c>
      <c r="CK93" s="129" t="s">
        <v>158</v>
      </c>
      <c r="CL93" s="129" t="s">
        <v>158</v>
      </c>
      <c r="CM93" s="129" t="s">
        <v>158</v>
      </c>
      <c r="CN93" s="129" t="s">
        <v>160</v>
      </c>
      <c r="CO93" s="129" t="s">
        <v>160</v>
      </c>
      <c r="CP93" s="129" t="s">
        <v>160</v>
      </c>
      <c r="CQ93" s="129" t="s">
        <v>160</v>
      </c>
      <c r="CR93" s="129" t="s">
        <v>160</v>
      </c>
      <c r="CS93" s="129" t="s">
        <v>160</v>
      </c>
      <c r="CT93" s="129" t="s">
        <v>160</v>
      </c>
      <c r="CU93" s="129">
        <v>35</v>
      </c>
      <c r="CV93" s="129" t="s">
        <v>159</v>
      </c>
      <c r="CW93" s="146">
        <v>1</v>
      </c>
      <c r="CX93" s="129" t="s">
        <v>207</v>
      </c>
      <c r="CY93" s="129">
        <v>1.2727190121505E-2</v>
      </c>
      <c r="CZ93" s="129" t="s">
        <v>159</v>
      </c>
      <c r="DA93" s="146">
        <v>2.5000000000000001E-3</v>
      </c>
      <c r="DB93" s="129" t="s">
        <v>208</v>
      </c>
      <c r="DC93" s="129">
        <v>4.8145720719594998E-2</v>
      </c>
      <c r="DD93" s="129" t="s">
        <v>159</v>
      </c>
      <c r="DE93" s="146">
        <v>2.5000000000000001E-3</v>
      </c>
      <c r="DF93" s="129" t="s">
        <v>209</v>
      </c>
      <c r="DG93" s="129" t="s">
        <v>160</v>
      </c>
      <c r="DH93" s="129" t="s">
        <v>160</v>
      </c>
      <c r="DI93" s="129" t="s">
        <v>160</v>
      </c>
      <c r="DJ93" s="129" t="s">
        <v>160</v>
      </c>
      <c r="DK93" s="145">
        <v>424.29</v>
      </c>
      <c r="DL93" s="129" t="s">
        <v>159</v>
      </c>
      <c r="DM93" s="145" t="s">
        <v>160</v>
      </c>
      <c r="DN93" s="129" t="s">
        <v>210</v>
      </c>
      <c r="DO93" s="129">
        <v>38.015659999999997</v>
      </c>
      <c r="DP93" s="129" t="s">
        <v>160</v>
      </c>
      <c r="DQ93" s="129">
        <v>0.7116800000000012</v>
      </c>
      <c r="DR93" s="129" t="s">
        <v>211</v>
      </c>
      <c r="DS93" s="129" t="s">
        <v>212</v>
      </c>
      <c r="DT93" s="129" t="s">
        <v>213</v>
      </c>
      <c r="DU93" s="129">
        <v>1.0271999999999999</v>
      </c>
      <c r="DV93" s="129" t="s">
        <v>214</v>
      </c>
      <c r="DW93" s="129" t="s">
        <v>214</v>
      </c>
      <c r="DX93" s="129" t="s">
        <v>215</v>
      </c>
      <c r="DY93" s="129" t="s">
        <v>160</v>
      </c>
      <c r="DZ93" s="129" t="s">
        <v>164</v>
      </c>
      <c r="EA93" s="129" t="s">
        <v>216</v>
      </c>
      <c r="EB93" s="129" t="s">
        <v>212</v>
      </c>
      <c r="EC93" s="129" t="s">
        <v>212</v>
      </c>
      <c r="ED93" s="129" t="s">
        <v>212</v>
      </c>
      <c r="EE93" s="129" t="s">
        <v>217</v>
      </c>
      <c r="EF93" s="147" t="s">
        <v>213</v>
      </c>
      <c r="EG93" s="148" t="s">
        <v>213</v>
      </c>
      <c r="EH93" s="129" t="s">
        <v>218</v>
      </c>
      <c r="EI93" s="129" t="s">
        <v>219</v>
      </c>
      <c r="EJ93" s="129" t="s">
        <v>160</v>
      </c>
      <c r="EK93" s="129">
        <v>1679.482</v>
      </c>
      <c r="EL93" s="129" t="s">
        <v>163</v>
      </c>
      <c r="EM93" s="150">
        <v>500</v>
      </c>
      <c r="EN93" s="150">
        <v>500</v>
      </c>
      <c r="EO93" s="129" t="s">
        <v>160</v>
      </c>
      <c r="EP93" s="129" t="s">
        <v>160</v>
      </c>
      <c r="EQ93" s="129" t="s">
        <v>160</v>
      </c>
      <c r="ER93" s="129" t="s">
        <v>160</v>
      </c>
      <c r="ES93" s="129">
        <v>8.0564289999999996</v>
      </c>
      <c r="ET93" s="142" t="s">
        <v>165</v>
      </c>
      <c r="EU93" s="129">
        <v>8.7583000000000411E-2</v>
      </c>
      <c r="EV93" s="129">
        <v>9.7831999999999475E-2</v>
      </c>
      <c r="EW93" s="142" t="s">
        <v>160</v>
      </c>
      <c r="EX93" s="129" t="s">
        <v>160</v>
      </c>
      <c r="EY93" s="129" t="s">
        <v>160</v>
      </c>
      <c r="EZ93" s="129">
        <v>338.74209999999999</v>
      </c>
      <c r="FA93" s="129">
        <v>125.18459999999999</v>
      </c>
      <c r="FB93" s="129">
        <v>94.795500000000004</v>
      </c>
      <c r="FC93" s="129" t="s">
        <v>220</v>
      </c>
      <c r="FD93" s="129" t="s">
        <v>221</v>
      </c>
      <c r="FE93" s="129">
        <v>1871.9609999999998</v>
      </c>
      <c r="FF93" s="129">
        <v>414.07900000000018</v>
      </c>
      <c r="FG93" s="129">
        <v>404.10099999999966</v>
      </c>
      <c r="FH93" s="129" t="s">
        <v>160</v>
      </c>
      <c r="FI93" s="129" t="s">
        <v>160</v>
      </c>
      <c r="FJ93" s="129" t="s">
        <v>160</v>
      </c>
      <c r="FK93" s="129" t="s">
        <v>160</v>
      </c>
      <c r="FL93" s="129" t="s">
        <v>160</v>
      </c>
      <c r="FM93" s="129" t="s">
        <v>160</v>
      </c>
      <c r="FN93" s="151">
        <v>4.1163790000000002</v>
      </c>
      <c r="FO93" s="151">
        <v>2.4049189999999996</v>
      </c>
      <c r="FP93" s="151">
        <v>1.7793190000000001</v>
      </c>
      <c r="FQ93" s="129" t="s">
        <v>414</v>
      </c>
      <c r="FR93" s="166" t="s">
        <v>388</v>
      </c>
      <c r="FS93" s="166">
        <v>2012</v>
      </c>
      <c r="FT93" s="166" t="s">
        <v>389</v>
      </c>
    </row>
    <row r="94" spans="1:176" s="129" customFormat="1" ht="17">
      <c r="A94" s="166" t="s">
        <v>152</v>
      </c>
      <c r="B94" s="166" t="s">
        <v>183</v>
      </c>
      <c r="C94" s="166">
        <v>2018</v>
      </c>
      <c r="D94" s="166" t="s">
        <v>184</v>
      </c>
      <c r="E94" s="195">
        <v>12774.05263</v>
      </c>
      <c r="F94" s="166" t="s">
        <v>160</v>
      </c>
      <c r="G94" s="166" t="s">
        <v>160</v>
      </c>
      <c r="H94" s="190">
        <v>388.95580000000001</v>
      </c>
      <c r="I94" s="191">
        <v>149.46730000000008</v>
      </c>
      <c r="J94" s="191">
        <v>113.57869999999997</v>
      </c>
      <c r="K94" s="129" t="s">
        <v>457</v>
      </c>
      <c r="L94" s="131" t="s">
        <v>185</v>
      </c>
      <c r="M94" s="132" t="s">
        <v>186</v>
      </c>
      <c r="N94" s="129" t="s">
        <v>184</v>
      </c>
      <c r="O94" s="129">
        <v>761</v>
      </c>
      <c r="P94" s="129" t="s">
        <v>235</v>
      </c>
      <c r="Q94" s="129">
        <v>5</v>
      </c>
      <c r="R94" s="129">
        <v>4</v>
      </c>
      <c r="S94" s="129">
        <v>123</v>
      </c>
      <c r="T94" s="129">
        <v>125</v>
      </c>
      <c r="U94" s="129" t="s">
        <v>160</v>
      </c>
      <c r="V94" s="129">
        <v>38.4</v>
      </c>
      <c r="W94" s="129" t="s">
        <v>160</v>
      </c>
      <c r="X94" s="129" t="s">
        <v>390</v>
      </c>
      <c r="Y94" s="129">
        <v>-16.739999999999998</v>
      </c>
      <c r="Z94" s="129">
        <v>115.536</v>
      </c>
      <c r="AA94" s="129" t="s">
        <v>160</v>
      </c>
      <c r="AB94" s="129" t="s">
        <v>160</v>
      </c>
      <c r="AC94" s="136">
        <v>-2179</v>
      </c>
      <c r="AD94" s="129" t="s">
        <v>160</v>
      </c>
      <c r="AE94" s="129" t="s">
        <v>160</v>
      </c>
      <c r="AF94" s="178" t="s">
        <v>160</v>
      </c>
      <c r="AG94" s="129">
        <v>12774.05263</v>
      </c>
      <c r="AH94" s="138" t="s">
        <v>160</v>
      </c>
      <c r="AI94" s="138" t="s">
        <v>160</v>
      </c>
      <c r="AJ94" s="138" t="s">
        <v>160</v>
      </c>
      <c r="AK94" s="129" t="s">
        <v>237</v>
      </c>
      <c r="AL94" s="129" t="s">
        <v>238</v>
      </c>
      <c r="AM94" s="140" t="s">
        <v>239</v>
      </c>
      <c r="AN94" s="129" t="s">
        <v>160</v>
      </c>
      <c r="AO94" s="129" t="s">
        <v>160</v>
      </c>
      <c r="AP94" s="129" t="s">
        <v>160</v>
      </c>
      <c r="AQ94" s="129" t="s">
        <v>160</v>
      </c>
      <c r="AR94" s="129" t="s">
        <v>160</v>
      </c>
      <c r="AS94" s="129" t="s">
        <v>160</v>
      </c>
      <c r="AT94" s="129" t="s">
        <v>160</v>
      </c>
      <c r="AU94" s="129" t="s">
        <v>191</v>
      </c>
      <c r="AV94" s="129" t="s">
        <v>161</v>
      </c>
      <c r="AW94" s="129" t="s">
        <v>192</v>
      </c>
      <c r="AX94" s="129" t="s">
        <v>352</v>
      </c>
      <c r="AY94" s="129" t="s">
        <v>391</v>
      </c>
      <c r="AZ94" s="129" t="s">
        <v>325</v>
      </c>
      <c r="BA94" s="129" t="s">
        <v>162</v>
      </c>
      <c r="BB94" s="129" t="s">
        <v>394</v>
      </c>
      <c r="BC94" s="129">
        <v>2</v>
      </c>
      <c r="BD94" s="129">
        <v>0.23000000000000043</v>
      </c>
      <c r="BE94" s="129">
        <v>16.62</v>
      </c>
      <c r="BF94" s="129" t="s">
        <v>393</v>
      </c>
      <c r="BG94" s="129">
        <v>0.23</v>
      </c>
      <c r="BH94" s="129">
        <v>0.83299999999999996</v>
      </c>
      <c r="BI94" s="129" t="s">
        <v>160</v>
      </c>
      <c r="BJ94" s="138" t="s">
        <v>160</v>
      </c>
      <c r="BK94" s="129">
        <v>2.69</v>
      </c>
      <c r="BL94" s="129" t="s">
        <v>160</v>
      </c>
      <c r="BM94" s="129" t="s">
        <v>160</v>
      </c>
      <c r="BN94" s="129" t="s">
        <v>200</v>
      </c>
      <c r="BO94" s="129" t="s">
        <v>201</v>
      </c>
      <c r="BP94" s="151">
        <v>16.720171467100403</v>
      </c>
      <c r="BQ94" s="129" t="s">
        <v>202</v>
      </c>
      <c r="BR94" s="217"/>
      <c r="BS94" s="129" t="s">
        <v>160</v>
      </c>
      <c r="BT94" s="129" t="s">
        <v>160</v>
      </c>
      <c r="BU94" s="129">
        <v>10</v>
      </c>
      <c r="BV94" s="129" t="s">
        <v>159</v>
      </c>
      <c r="BW94" s="129">
        <v>10</v>
      </c>
      <c r="BX94" s="145">
        <v>27.657532834689068</v>
      </c>
      <c r="BY94" s="129" t="s">
        <v>159</v>
      </c>
      <c r="BZ94" s="129">
        <v>1</v>
      </c>
      <c r="CA94" s="129">
        <v>1</v>
      </c>
      <c r="CC94" s="129">
        <v>4</v>
      </c>
      <c r="CD94" s="129" t="s">
        <v>163</v>
      </c>
      <c r="CE94" s="144">
        <f t="shared" si="12"/>
        <v>0.108</v>
      </c>
      <c r="CF94" s="144">
        <f t="shared" si="13"/>
        <v>0.108</v>
      </c>
      <c r="CG94" s="145" t="s">
        <v>203</v>
      </c>
      <c r="CH94" s="129" t="s">
        <v>204</v>
      </c>
      <c r="CI94" s="129" t="s">
        <v>205</v>
      </c>
      <c r="CJ94" s="129" t="s">
        <v>206</v>
      </c>
      <c r="CK94" s="129" t="s">
        <v>158</v>
      </c>
      <c r="CL94" s="129" t="s">
        <v>158</v>
      </c>
      <c r="CM94" s="129" t="s">
        <v>158</v>
      </c>
      <c r="CN94" s="129" t="s">
        <v>160</v>
      </c>
      <c r="CO94" s="129" t="s">
        <v>160</v>
      </c>
      <c r="CP94" s="129" t="s">
        <v>160</v>
      </c>
      <c r="CQ94" s="129" t="s">
        <v>160</v>
      </c>
      <c r="CR94" s="129" t="s">
        <v>160</v>
      </c>
      <c r="CS94" s="129" t="s">
        <v>160</v>
      </c>
      <c r="CT94" s="129" t="s">
        <v>160</v>
      </c>
      <c r="CU94" s="129">
        <v>35</v>
      </c>
      <c r="CV94" s="129" t="s">
        <v>159</v>
      </c>
      <c r="CW94" s="146">
        <v>1</v>
      </c>
      <c r="CX94" s="129" t="s">
        <v>207</v>
      </c>
      <c r="CY94" s="129">
        <v>1.2795859647097001E-2</v>
      </c>
      <c r="CZ94" s="129" t="s">
        <v>159</v>
      </c>
      <c r="DA94" s="146">
        <v>2.5000000000000001E-3</v>
      </c>
      <c r="DB94" s="129" t="s">
        <v>208</v>
      </c>
      <c r="DC94" s="129">
        <v>4.7924452248243002E-2</v>
      </c>
      <c r="DD94" s="129" t="s">
        <v>159</v>
      </c>
      <c r="DE94" s="146">
        <v>2.5000000000000001E-3</v>
      </c>
      <c r="DF94" s="129" t="s">
        <v>209</v>
      </c>
      <c r="DG94" s="129" t="s">
        <v>160</v>
      </c>
      <c r="DH94" s="129" t="s">
        <v>160</v>
      </c>
      <c r="DI94" s="129" t="s">
        <v>160</v>
      </c>
      <c r="DJ94" s="129" t="s">
        <v>160</v>
      </c>
      <c r="DK94" s="145">
        <v>424.29</v>
      </c>
      <c r="DL94" s="129" t="s">
        <v>159</v>
      </c>
      <c r="DM94" s="145" t="s">
        <v>160</v>
      </c>
      <c r="DN94" s="129" t="s">
        <v>210</v>
      </c>
      <c r="DO94" s="129">
        <v>37.998429999999999</v>
      </c>
      <c r="DP94" s="129" t="s">
        <v>160</v>
      </c>
      <c r="DQ94" s="129">
        <v>0.68672000000000111</v>
      </c>
      <c r="DR94" s="129" t="s">
        <v>211</v>
      </c>
      <c r="DS94" s="129" t="s">
        <v>212</v>
      </c>
      <c r="DT94" s="129" t="s">
        <v>213</v>
      </c>
      <c r="DU94" s="129">
        <v>1.0271999999999999</v>
      </c>
      <c r="DV94" s="129" t="s">
        <v>214</v>
      </c>
      <c r="DW94" s="129" t="s">
        <v>214</v>
      </c>
      <c r="DX94" s="129" t="s">
        <v>215</v>
      </c>
      <c r="DY94" s="129" t="s">
        <v>160</v>
      </c>
      <c r="DZ94" s="129" t="s">
        <v>164</v>
      </c>
      <c r="EA94" s="129" t="s">
        <v>216</v>
      </c>
      <c r="EB94" s="129" t="s">
        <v>212</v>
      </c>
      <c r="EC94" s="129" t="s">
        <v>212</v>
      </c>
      <c r="ED94" s="129" t="s">
        <v>212</v>
      </c>
      <c r="EE94" s="129" t="s">
        <v>217</v>
      </c>
      <c r="EF94" s="147" t="s">
        <v>213</v>
      </c>
      <c r="EG94" s="148" t="s">
        <v>213</v>
      </c>
      <c r="EH94" s="129" t="s">
        <v>218</v>
      </c>
      <c r="EI94" s="129" t="s">
        <v>219</v>
      </c>
      <c r="EJ94" s="129" t="s">
        <v>160</v>
      </c>
      <c r="EK94" s="129">
        <v>1671.7730000000001</v>
      </c>
      <c r="EL94" s="129" t="s">
        <v>163</v>
      </c>
      <c r="EM94" s="150">
        <v>500</v>
      </c>
      <c r="EN94" s="150">
        <v>500</v>
      </c>
      <c r="EO94" s="129" t="s">
        <v>160</v>
      </c>
      <c r="EP94" s="129" t="s">
        <v>160</v>
      </c>
      <c r="EQ94" s="129" t="s">
        <v>160</v>
      </c>
      <c r="ER94" s="129" t="s">
        <v>160</v>
      </c>
      <c r="ES94" s="129">
        <v>7.9962910000000003</v>
      </c>
      <c r="ET94" s="142" t="s">
        <v>165</v>
      </c>
      <c r="EU94" s="129">
        <v>9.358099999999947E-2</v>
      </c>
      <c r="EV94" s="129">
        <v>0.10298199999999991</v>
      </c>
      <c r="EW94" s="142" t="s">
        <v>160</v>
      </c>
      <c r="EX94" s="129" t="s">
        <v>160</v>
      </c>
      <c r="EY94" s="129" t="s">
        <v>160</v>
      </c>
      <c r="EZ94" s="129">
        <v>388.95580000000001</v>
      </c>
      <c r="FA94" s="129">
        <v>149.46730000000008</v>
      </c>
      <c r="FB94" s="129">
        <v>113.57869999999997</v>
      </c>
      <c r="FC94" s="129" t="s">
        <v>220</v>
      </c>
      <c r="FD94" s="129" t="s">
        <v>221</v>
      </c>
      <c r="FE94" s="129">
        <v>1840.5229999999999</v>
      </c>
      <c r="FF94" s="129">
        <v>403.42600000000016</v>
      </c>
      <c r="FG94" s="129">
        <v>405.85899999999992</v>
      </c>
      <c r="FH94" s="129" t="s">
        <v>160</v>
      </c>
      <c r="FI94" s="129" t="s">
        <v>160</v>
      </c>
      <c r="FJ94" s="129" t="s">
        <v>160</v>
      </c>
      <c r="FK94" s="129" t="s">
        <v>160</v>
      </c>
      <c r="FL94" s="129" t="s">
        <v>160</v>
      </c>
      <c r="FM94" s="129" t="s">
        <v>160</v>
      </c>
      <c r="FN94" s="151">
        <v>3.6638470000000001</v>
      </c>
      <c r="FO94" s="151">
        <v>2.1595489999999997</v>
      </c>
      <c r="FP94" s="151">
        <v>1.5929389999999999</v>
      </c>
      <c r="FQ94" s="129" t="s">
        <v>414</v>
      </c>
      <c r="FR94" s="166" t="s">
        <v>388</v>
      </c>
      <c r="FS94" s="166">
        <v>2012</v>
      </c>
      <c r="FT94" s="166" t="s">
        <v>389</v>
      </c>
    </row>
    <row r="95" spans="1:176" s="129" customFormat="1" ht="17">
      <c r="A95" s="166" t="s">
        <v>152</v>
      </c>
      <c r="B95" s="166" t="s">
        <v>183</v>
      </c>
      <c r="C95" s="166">
        <v>2018</v>
      </c>
      <c r="D95" s="166" t="s">
        <v>184</v>
      </c>
      <c r="E95" s="195">
        <v>13224.375</v>
      </c>
      <c r="F95" s="166" t="s">
        <v>160</v>
      </c>
      <c r="G95" s="166" t="s">
        <v>160</v>
      </c>
      <c r="H95" s="190">
        <v>421.8879</v>
      </c>
      <c r="I95" s="191">
        <v>171.46629999999999</v>
      </c>
      <c r="J95" s="191">
        <v>123.05180000000001</v>
      </c>
      <c r="K95" s="129" t="s">
        <v>457</v>
      </c>
      <c r="L95" s="131" t="s">
        <v>185</v>
      </c>
      <c r="M95" s="132" t="s">
        <v>186</v>
      </c>
      <c r="N95" s="129" t="s">
        <v>184</v>
      </c>
      <c r="O95" s="129">
        <v>761</v>
      </c>
      <c r="P95" s="129" t="s">
        <v>235</v>
      </c>
      <c r="Q95" s="129">
        <v>5</v>
      </c>
      <c r="R95" s="129">
        <v>5</v>
      </c>
      <c r="S95" s="129">
        <v>103</v>
      </c>
      <c r="T95" s="129">
        <v>105</v>
      </c>
      <c r="U95" s="129" t="s">
        <v>160</v>
      </c>
      <c r="V95" s="129">
        <v>39.700000000000003</v>
      </c>
      <c r="W95" s="129" t="s">
        <v>160</v>
      </c>
      <c r="X95" s="129" t="s">
        <v>390</v>
      </c>
      <c r="Y95" s="129">
        <v>-16.739999999999998</v>
      </c>
      <c r="Z95" s="129">
        <v>115.536</v>
      </c>
      <c r="AA95" s="129" t="s">
        <v>160</v>
      </c>
      <c r="AB95" s="129" t="s">
        <v>160</v>
      </c>
      <c r="AC95" s="136">
        <v>-2179</v>
      </c>
      <c r="AD95" s="129" t="s">
        <v>160</v>
      </c>
      <c r="AE95" s="129" t="s">
        <v>160</v>
      </c>
      <c r="AF95" s="178" t="s">
        <v>160</v>
      </c>
      <c r="AG95" s="129">
        <v>13224.375</v>
      </c>
      <c r="AH95" s="138" t="s">
        <v>160</v>
      </c>
      <c r="AI95" s="138" t="s">
        <v>160</v>
      </c>
      <c r="AJ95" s="138" t="s">
        <v>160</v>
      </c>
      <c r="AK95" s="129" t="s">
        <v>237</v>
      </c>
      <c r="AL95" s="129" t="s">
        <v>238</v>
      </c>
      <c r="AM95" s="140" t="s">
        <v>239</v>
      </c>
      <c r="AN95" s="129" t="s">
        <v>160</v>
      </c>
      <c r="AO95" s="129" t="s">
        <v>160</v>
      </c>
      <c r="AP95" s="129" t="s">
        <v>160</v>
      </c>
      <c r="AQ95" s="129" t="s">
        <v>160</v>
      </c>
      <c r="AR95" s="129" t="s">
        <v>160</v>
      </c>
      <c r="AS95" s="129" t="s">
        <v>160</v>
      </c>
      <c r="AT95" s="129" t="s">
        <v>160</v>
      </c>
      <c r="AU95" s="129" t="s">
        <v>191</v>
      </c>
      <c r="AV95" s="129" t="s">
        <v>161</v>
      </c>
      <c r="AW95" s="129" t="s">
        <v>192</v>
      </c>
      <c r="AX95" s="129" t="s">
        <v>352</v>
      </c>
      <c r="AY95" s="129" t="s">
        <v>391</v>
      </c>
      <c r="AZ95" s="129" t="s">
        <v>325</v>
      </c>
      <c r="BA95" s="129" t="s">
        <v>162</v>
      </c>
      <c r="BB95" s="129" t="s">
        <v>396</v>
      </c>
      <c r="BC95" s="129">
        <v>2</v>
      </c>
      <c r="BD95" s="129">
        <v>9.9999999999980105E-3</v>
      </c>
      <c r="BE95" s="129">
        <v>16.329999999999998</v>
      </c>
      <c r="BF95" s="129" t="s">
        <v>393</v>
      </c>
      <c r="BG95" s="129">
        <v>0.26</v>
      </c>
      <c r="BH95" s="129">
        <v>0.83299999999999996</v>
      </c>
      <c r="BI95" s="129" t="s">
        <v>160</v>
      </c>
      <c r="BJ95" s="138" t="s">
        <v>160</v>
      </c>
      <c r="BK95" s="129">
        <v>2.69</v>
      </c>
      <c r="BL95" s="129" t="s">
        <v>160</v>
      </c>
      <c r="BM95" s="129" t="s">
        <v>160</v>
      </c>
      <c r="BN95" s="129" t="s">
        <v>200</v>
      </c>
      <c r="BO95" s="129" t="s">
        <v>201</v>
      </c>
      <c r="BP95" s="151">
        <v>16.373003404713284</v>
      </c>
      <c r="BQ95" s="129" t="s">
        <v>202</v>
      </c>
      <c r="BR95" s="217"/>
      <c r="BS95" s="129" t="s">
        <v>160</v>
      </c>
      <c r="BT95" s="129" t="s">
        <v>160</v>
      </c>
      <c r="BU95" s="129">
        <v>10</v>
      </c>
      <c r="BV95" s="129" t="s">
        <v>159</v>
      </c>
      <c r="BW95" s="129">
        <v>10</v>
      </c>
      <c r="BX95" s="145">
        <v>27.8526166038878</v>
      </c>
      <c r="BY95" s="129" t="s">
        <v>159</v>
      </c>
      <c r="BZ95" s="129">
        <v>1</v>
      </c>
      <c r="CA95" s="129">
        <v>1</v>
      </c>
      <c r="CC95" s="129">
        <v>4.0599999999999996</v>
      </c>
      <c r="CD95" s="129" t="s">
        <v>163</v>
      </c>
      <c r="CE95" s="144">
        <f t="shared" si="12"/>
        <v>0.10961999999999998</v>
      </c>
      <c r="CF95" s="144">
        <f t="shared" si="13"/>
        <v>0.10961999999999998</v>
      </c>
      <c r="CG95" s="145" t="s">
        <v>203</v>
      </c>
      <c r="CH95" s="129" t="s">
        <v>204</v>
      </c>
      <c r="CI95" s="129" t="s">
        <v>205</v>
      </c>
      <c r="CJ95" s="129" t="s">
        <v>206</v>
      </c>
      <c r="CK95" s="129" t="s">
        <v>158</v>
      </c>
      <c r="CL95" s="129" t="s">
        <v>158</v>
      </c>
      <c r="CM95" s="129" t="s">
        <v>158</v>
      </c>
      <c r="CN95" s="129" t="s">
        <v>160</v>
      </c>
      <c r="CO95" s="129" t="s">
        <v>160</v>
      </c>
      <c r="CP95" s="129" t="s">
        <v>160</v>
      </c>
      <c r="CQ95" s="129" t="s">
        <v>160</v>
      </c>
      <c r="CR95" s="129" t="s">
        <v>160</v>
      </c>
      <c r="CS95" s="129" t="s">
        <v>160</v>
      </c>
      <c r="CT95" s="129" t="s">
        <v>160</v>
      </c>
      <c r="CU95" s="129">
        <v>35</v>
      </c>
      <c r="CV95" s="129" t="s">
        <v>159</v>
      </c>
      <c r="CW95" s="146">
        <v>1</v>
      </c>
      <c r="CX95" s="129" t="s">
        <v>207</v>
      </c>
      <c r="CY95" s="129">
        <v>1.2873270062499999E-2</v>
      </c>
      <c r="CZ95" s="129" t="s">
        <v>159</v>
      </c>
      <c r="DA95" s="146">
        <v>2.5000000000000001E-3</v>
      </c>
      <c r="DB95" s="129" t="s">
        <v>208</v>
      </c>
      <c r="DC95" s="129">
        <v>4.7675018687500001E-2</v>
      </c>
      <c r="DD95" s="129" t="s">
        <v>159</v>
      </c>
      <c r="DE95" s="146">
        <v>2.5000000000000001E-3</v>
      </c>
      <c r="DF95" s="129" t="s">
        <v>209</v>
      </c>
      <c r="DG95" s="129" t="s">
        <v>160</v>
      </c>
      <c r="DH95" s="129" t="s">
        <v>160</v>
      </c>
      <c r="DI95" s="129" t="s">
        <v>160</v>
      </c>
      <c r="DJ95" s="129" t="s">
        <v>160</v>
      </c>
      <c r="DK95" s="145">
        <v>424.29</v>
      </c>
      <c r="DL95" s="129" t="s">
        <v>159</v>
      </c>
      <c r="DM95" s="145" t="s">
        <v>160</v>
      </c>
      <c r="DN95" s="129" t="s">
        <v>210</v>
      </c>
      <c r="DO95" s="129">
        <v>37.990670000000001</v>
      </c>
      <c r="DP95" s="129" t="s">
        <v>160</v>
      </c>
      <c r="DQ95" s="129">
        <v>0.67873499999999964</v>
      </c>
      <c r="DR95" s="129" t="s">
        <v>211</v>
      </c>
      <c r="DS95" s="129" t="s">
        <v>212</v>
      </c>
      <c r="DT95" s="129" t="s">
        <v>213</v>
      </c>
      <c r="DU95" s="129">
        <v>1.0271999999999999</v>
      </c>
      <c r="DV95" s="129" t="s">
        <v>214</v>
      </c>
      <c r="DW95" s="129" t="s">
        <v>214</v>
      </c>
      <c r="DX95" s="129" t="s">
        <v>215</v>
      </c>
      <c r="DY95" s="129" t="s">
        <v>160</v>
      </c>
      <c r="DZ95" s="129" t="s">
        <v>164</v>
      </c>
      <c r="EA95" s="129" t="s">
        <v>216</v>
      </c>
      <c r="EB95" s="129" t="s">
        <v>212</v>
      </c>
      <c r="EC95" s="129" t="s">
        <v>212</v>
      </c>
      <c r="ED95" s="129" t="s">
        <v>212</v>
      </c>
      <c r="EE95" s="129" t="s">
        <v>217</v>
      </c>
      <c r="EF95" s="147" t="s">
        <v>213</v>
      </c>
      <c r="EG95" s="148" t="s">
        <v>213</v>
      </c>
      <c r="EH95" s="129" t="s">
        <v>218</v>
      </c>
      <c r="EI95" s="129" t="s">
        <v>219</v>
      </c>
      <c r="EJ95" s="129" t="s">
        <v>160</v>
      </c>
      <c r="EK95" s="129">
        <v>1661.5620000000001</v>
      </c>
      <c r="EL95" s="129" t="s">
        <v>163</v>
      </c>
      <c r="EM95" s="150">
        <v>500</v>
      </c>
      <c r="EN95" s="150">
        <v>500</v>
      </c>
      <c r="EO95" s="129" t="s">
        <v>160</v>
      </c>
      <c r="EP95" s="129" t="s">
        <v>160</v>
      </c>
      <c r="EQ95" s="129" t="s">
        <v>160</v>
      </c>
      <c r="ER95" s="129" t="s">
        <v>160</v>
      </c>
      <c r="ES95" s="129">
        <v>7.9621120000000003</v>
      </c>
      <c r="ET95" s="142" t="s">
        <v>165</v>
      </c>
      <c r="EU95" s="129">
        <v>9.683699999999984E-2</v>
      </c>
      <c r="EV95" s="129">
        <v>0.1143490000000007</v>
      </c>
      <c r="EW95" s="142" t="s">
        <v>160</v>
      </c>
      <c r="EX95" s="129" t="s">
        <v>160</v>
      </c>
      <c r="EY95" s="129" t="s">
        <v>160</v>
      </c>
      <c r="EZ95" s="129">
        <v>421.8879</v>
      </c>
      <c r="FA95" s="129">
        <v>171.46629999999999</v>
      </c>
      <c r="FB95" s="129">
        <v>123.05180000000001</v>
      </c>
      <c r="FC95" s="129" t="s">
        <v>220</v>
      </c>
      <c r="FD95" s="129" t="s">
        <v>221</v>
      </c>
      <c r="FE95" s="129">
        <v>1819.4480000000001</v>
      </c>
      <c r="FF95" s="129">
        <v>403.39300000000026</v>
      </c>
      <c r="FG95" s="129">
        <v>400.06900000000019</v>
      </c>
      <c r="FH95" s="129" t="s">
        <v>160</v>
      </c>
      <c r="FI95" s="129" t="s">
        <v>160</v>
      </c>
      <c r="FJ95" s="129" t="s">
        <v>160</v>
      </c>
      <c r="FK95" s="129" t="s">
        <v>160</v>
      </c>
      <c r="FL95" s="129" t="s">
        <v>160</v>
      </c>
      <c r="FM95" s="129" t="s">
        <v>160</v>
      </c>
      <c r="FN95" s="151">
        <v>3.413554</v>
      </c>
      <c r="FO95" s="151">
        <v>2.0352919999999997</v>
      </c>
      <c r="FP95" s="151">
        <v>1.5061979999999999</v>
      </c>
      <c r="FQ95" s="129" t="s">
        <v>414</v>
      </c>
      <c r="FR95" s="166" t="s">
        <v>388</v>
      </c>
      <c r="FS95" s="166">
        <v>2012</v>
      </c>
      <c r="FT95" s="166" t="s">
        <v>395</v>
      </c>
    </row>
    <row r="96" spans="1:176" s="129" customFormat="1" ht="17">
      <c r="A96" s="166" t="s">
        <v>152</v>
      </c>
      <c r="B96" s="166" t="s">
        <v>183</v>
      </c>
      <c r="C96" s="166">
        <v>2018</v>
      </c>
      <c r="D96" s="166" t="s">
        <v>184</v>
      </c>
      <c r="E96" s="195">
        <v>13385</v>
      </c>
      <c r="F96" s="166" t="s">
        <v>160</v>
      </c>
      <c r="G96" s="166" t="s">
        <v>160</v>
      </c>
      <c r="H96" s="190">
        <v>418.49</v>
      </c>
      <c r="I96" s="191">
        <v>169.21399999999994</v>
      </c>
      <c r="J96" s="191">
        <v>122.57440000000003</v>
      </c>
      <c r="K96" s="129" t="s">
        <v>457</v>
      </c>
      <c r="L96" s="131" t="s">
        <v>185</v>
      </c>
      <c r="M96" s="132" t="s">
        <v>186</v>
      </c>
      <c r="N96" s="129" t="s">
        <v>184</v>
      </c>
      <c r="O96" s="129">
        <v>761</v>
      </c>
      <c r="P96" s="129" t="s">
        <v>235</v>
      </c>
      <c r="Q96" s="129">
        <v>5</v>
      </c>
      <c r="R96" s="129">
        <v>6</v>
      </c>
      <c r="S96" s="129">
        <v>8</v>
      </c>
      <c r="T96" s="129">
        <v>10</v>
      </c>
      <c r="U96" s="129" t="s">
        <v>160</v>
      </c>
      <c r="V96" s="129">
        <v>40.299999999999997</v>
      </c>
      <c r="W96" s="129" t="s">
        <v>160</v>
      </c>
      <c r="X96" s="129" t="s">
        <v>390</v>
      </c>
      <c r="Y96" s="129">
        <v>-16.739999999999998</v>
      </c>
      <c r="Z96" s="129">
        <v>115.536</v>
      </c>
      <c r="AA96" s="129" t="s">
        <v>160</v>
      </c>
      <c r="AB96" s="129" t="s">
        <v>160</v>
      </c>
      <c r="AC96" s="136">
        <v>-2179</v>
      </c>
      <c r="AD96" s="129" t="s">
        <v>160</v>
      </c>
      <c r="AE96" s="129" t="s">
        <v>160</v>
      </c>
      <c r="AF96" s="178" t="s">
        <v>160</v>
      </c>
      <c r="AG96" s="129">
        <v>13385</v>
      </c>
      <c r="AH96" s="138" t="s">
        <v>160</v>
      </c>
      <c r="AI96" s="138" t="s">
        <v>160</v>
      </c>
      <c r="AJ96" s="138" t="s">
        <v>160</v>
      </c>
      <c r="AK96" s="129" t="s">
        <v>237</v>
      </c>
      <c r="AL96" s="129" t="s">
        <v>238</v>
      </c>
      <c r="AM96" s="140" t="s">
        <v>239</v>
      </c>
      <c r="AN96" s="129" t="s">
        <v>160</v>
      </c>
      <c r="AO96" s="129" t="s">
        <v>160</v>
      </c>
      <c r="AP96" s="129" t="s">
        <v>160</v>
      </c>
      <c r="AQ96" s="129" t="s">
        <v>160</v>
      </c>
      <c r="AR96" s="129" t="s">
        <v>160</v>
      </c>
      <c r="AS96" s="129" t="s">
        <v>160</v>
      </c>
      <c r="AT96" s="129" t="s">
        <v>160</v>
      </c>
      <c r="AU96" s="129" t="s">
        <v>191</v>
      </c>
      <c r="AV96" s="129" t="s">
        <v>161</v>
      </c>
      <c r="AW96" s="129" t="s">
        <v>192</v>
      </c>
      <c r="AX96" s="129" t="s">
        <v>352</v>
      </c>
      <c r="AY96" s="129" t="s">
        <v>391</v>
      </c>
      <c r="AZ96" s="129" t="s">
        <v>325</v>
      </c>
      <c r="BA96" s="129" t="s">
        <v>162</v>
      </c>
      <c r="BB96" s="129" t="s">
        <v>397</v>
      </c>
      <c r="BC96" s="129">
        <v>2</v>
      </c>
      <c r="BD96" s="129">
        <v>0.12000000000000098</v>
      </c>
      <c r="BE96" s="129">
        <v>16.36</v>
      </c>
      <c r="BF96" s="129" t="s">
        <v>393</v>
      </c>
      <c r="BG96" s="129">
        <v>0.27</v>
      </c>
      <c r="BH96" s="129">
        <v>0.83299999999999996</v>
      </c>
      <c r="BI96" s="129" t="s">
        <v>160</v>
      </c>
      <c r="BJ96" s="138" t="s">
        <v>160</v>
      </c>
      <c r="BK96" s="129">
        <v>2.69</v>
      </c>
      <c r="BL96" s="129" t="s">
        <v>160</v>
      </c>
      <c r="BM96" s="129" t="s">
        <v>160</v>
      </c>
      <c r="BN96" s="129" t="s">
        <v>200</v>
      </c>
      <c r="BO96" s="129" t="s">
        <v>201</v>
      </c>
      <c r="BP96" s="151">
        <v>16.410993123834086</v>
      </c>
      <c r="BQ96" s="129" t="s">
        <v>202</v>
      </c>
      <c r="BR96" s="217"/>
      <c r="BS96" s="129" t="s">
        <v>160</v>
      </c>
      <c r="BT96" s="129" t="s">
        <v>160</v>
      </c>
      <c r="BU96" s="129">
        <v>10</v>
      </c>
      <c r="BV96" s="129" t="s">
        <v>159</v>
      </c>
      <c r="BW96" s="129">
        <v>10</v>
      </c>
      <c r="BX96" s="145">
        <v>28.057267800537538</v>
      </c>
      <c r="BY96" s="129" t="s">
        <v>159</v>
      </c>
      <c r="BZ96" s="129">
        <v>1</v>
      </c>
      <c r="CA96" s="129">
        <v>1</v>
      </c>
      <c r="CC96" s="129">
        <v>4.12</v>
      </c>
      <c r="CD96" s="129" t="s">
        <v>163</v>
      </c>
      <c r="CE96" s="144">
        <f t="shared" si="12"/>
        <v>0.11124000000000001</v>
      </c>
      <c r="CF96" s="144">
        <f t="shared" si="13"/>
        <v>0.11124000000000001</v>
      </c>
      <c r="CG96" s="145" t="s">
        <v>203</v>
      </c>
      <c r="CH96" s="129" t="s">
        <v>204</v>
      </c>
      <c r="CI96" s="129" t="s">
        <v>205</v>
      </c>
      <c r="CJ96" s="129" t="s">
        <v>206</v>
      </c>
      <c r="CK96" s="129" t="s">
        <v>158</v>
      </c>
      <c r="CL96" s="129" t="s">
        <v>158</v>
      </c>
      <c r="CM96" s="129" t="s">
        <v>158</v>
      </c>
      <c r="CN96" s="129" t="s">
        <v>160</v>
      </c>
      <c r="CO96" s="129" t="s">
        <v>160</v>
      </c>
      <c r="CP96" s="129" t="s">
        <v>160</v>
      </c>
      <c r="CQ96" s="129" t="s">
        <v>160</v>
      </c>
      <c r="CR96" s="129" t="s">
        <v>160</v>
      </c>
      <c r="CS96" s="129" t="s">
        <v>160</v>
      </c>
      <c r="CT96" s="129" t="s">
        <v>160</v>
      </c>
      <c r="CU96" s="129">
        <v>35</v>
      </c>
      <c r="CV96" s="129" t="s">
        <v>159</v>
      </c>
      <c r="CW96" s="146">
        <v>1</v>
      </c>
      <c r="CX96" s="129" t="s">
        <v>207</v>
      </c>
      <c r="CY96" s="129">
        <v>1.2900881500000001E-2</v>
      </c>
      <c r="CZ96" s="129" t="s">
        <v>159</v>
      </c>
      <c r="DA96" s="146">
        <v>2.5000000000000001E-3</v>
      </c>
      <c r="DB96" s="129" t="s">
        <v>208</v>
      </c>
      <c r="DC96" s="129">
        <v>4.7586048500000006E-2</v>
      </c>
      <c r="DD96" s="129" t="s">
        <v>159</v>
      </c>
      <c r="DE96" s="146">
        <v>2.5000000000000001E-3</v>
      </c>
      <c r="DF96" s="129" t="s">
        <v>209</v>
      </c>
      <c r="DG96" s="129" t="s">
        <v>160</v>
      </c>
      <c r="DH96" s="129" t="s">
        <v>160</v>
      </c>
      <c r="DI96" s="129" t="s">
        <v>160</v>
      </c>
      <c r="DJ96" s="129" t="s">
        <v>160</v>
      </c>
      <c r="DK96" s="145">
        <v>424.29</v>
      </c>
      <c r="DL96" s="129" t="s">
        <v>159</v>
      </c>
      <c r="DM96" s="145" t="s">
        <v>160</v>
      </c>
      <c r="DN96" s="129" t="s">
        <v>210</v>
      </c>
      <c r="DO96" s="129">
        <v>37.985320000000002</v>
      </c>
      <c r="DP96" s="129" t="s">
        <v>160</v>
      </c>
      <c r="DQ96" s="129">
        <v>0.66651000000000238</v>
      </c>
      <c r="DR96" s="129" t="s">
        <v>211</v>
      </c>
      <c r="DS96" s="129" t="s">
        <v>212</v>
      </c>
      <c r="DT96" s="129" t="s">
        <v>213</v>
      </c>
      <c r="DU96" s="129">
        <v>1.0271999999999999</v>
      </c>
      <c r="DV96" s="129" t="s">
        <v>214</v>
      </c>
      <c r="DW96" s="129" t="s">
        <v>214</v>
      </c>
      <c r="DX96" s="129" t="s">
        <v>215</v>
      </c>
      <c r="DY96" s="129" t="s">
        <v>160</v>
      </c>
      <c r="DZ96" s="129" t="s">
        <v>164</v>
      </c>
      <c r="EA96" s="129" t="s">
        <v>216</v>
      </c>
      <c r="EB96" s="129" t="s">
        <v>212</v>
      </c>
      <c r="EC96" s="129" t="s">
        <v>212</v>
      </c>
      <c r="ED96" s="129" t="s">
        <v>212</v>
      </c>
      <c r="EE96" s="129" t="s">
        <v>217</v>
      </c>
      <c r="EF96" s="147" t="s">
        <v>213</v>
      </c>
      <c r="EG96" s="148" t="s">
        <v>213</v>
      </c>
      <c r="EH96" s="129" t="s">
        <v>218</v>
      </c>
      <c r="EI96" s="129" t="s">
        <v>219</v>
      </c>
      <c r="EJ96" s="129" t="s">
        <v>160</v>
      </c>
      <c r="EK96" s="129">
        <v>1653.0740000000001</v>
      </c>
      <c r="EL96" s="129" t="s">
        <v>163</v>
      </c>
      <c r="EM96" s="150">
        <v>500</v>
      </c>
      <c r="EN96" s="150">
        <v>500</v>
      </c>
      <c r="EO96" s="129" t="s">
        <v>160</v>
      </c>
      <c r="EP96" s="129" t="s">
        <v>160</v>
      </c>
      <c r="EQ96" s="129" t="s">
        <v>160</v>
      </c>
      <c r="ER96" s="129" t="s">
        <v>160</v>
      </c>
      <c r="ES96" s="129">
        <v>7.9641190000000002</v>
      </c>
      <c r="ET96" s="142" t="s">
        <v>165</v>
      </c>
      <c r="EU96" s="129">
        <v>9.6017999999999049E-2</v>
      </c>
      <c r="EV96" s="129">
        <v>0.1134460000000006</v>
      </c>
      <c r="EW96" s="142" t="s">
        <v>160</v>
      </c>
      <c r="EX96" s="129" t="s">
        <v>160</v>
      </c>
      <c r="EY96" s="129" t="s">
        <v>160</v>
      </c>
      <c r="EZ96" s="129">
        <v>418.49</v>
      </c>
      <c r="FA96" s="129">
        <v>169.21399999999994</v>
      </c>
      <c r="FB96" s="129">
        <v>122.57440000000003</v>
      </c>
      <c r="FC96" s="129" t="s">
        <v>220</v>
      </c>
      <c r="FD96" s="129" t="s">
        <v>221</v>
      </c>
      <c r="FE96" s="129">
        <v>1813.269</v>
      </c>
      <c r="FF96" s="129">
        <v>405.548</v>
      </c>
      <c r="FG96" s="129">
        <v>401.04199999999992</v>
      </c>
      <c r="FH96" s="129" t="s">
        <v>160</v>
      </c>
      <c r="FI96" s="129" t="s">
        <v>160</v>
      </c>
      <c r="FJ96" s="129" t="s">
        <v>160</v>
      </c>
      <c r="FK96" s="129" t="s">
        <v>160</v>
      </c>
      <c r="FL96" s="129" t="s">
        <v>160</v>
      </c>
      <c r="FM96" s="129" t="s">
        <v>160</v>
      </c>
      <c r="FN96" s="151">
        <v>3.4512879999999999</v>
      </c>
      <c r="FO96" s="151">
        <v>2.0153730000000003</v>
      </c>
      <c r="FP96" s="151">
        <v>1.5087279999999998</v>
      </c>
      <c r="FQ96" s="129" t="s">
        <v>414</v>
      </c>
      <c r="FR96" s="166" t="s">
        <v>388</v>
      </c>
      <c r="FS96" s="166">
        <v>2012</v>
      </c>
      <c r="FT96" s="166" t="s">
        <v>395</v>
      </c>
    </row>
    <row r="97" spans="1:176" s="129" customFormat="1" ht="17">
      <c r="A97" s="166" t="s">
        <v>152</v>
      </c>
      <c r="B97" s="166" t="s">
        <v>183</v>
      </c>
      <c r="C97" s="166">
        <v>2018</v>
      </c>
      <c r="D97" s="166" t="s">
        <v>184</v>
      </c>
      <c r="E97" s="195">
        <v>13535</v>
      </c>
      <c r="F97" s="166" t="s">
        <v>160</v>
      </c>
      <c r="G97" s="166" t="s">
        <v>160</v>
      </c>
      <c r="H97" s="190">
        <v>412.29910000000001</v>
      </c>
      <c r="I97" s="191">
        <v>166.05539999999991</v>
      </c>
      <c r="J97" s="191">
        <v>122.34030000000001</v>
      </c>
      <c r="K97" s="129" t="s">
        <v>457</v>
      </c>
      <c r="L97" s="131" t="s">
        <v>185</v>
      </c>
      <c r="M97" s="132" t="s">
        <v>186</v>
      </c>
      <c r="N97" s="129" t="s">
        <v>184</v>
      </c>
      <c r="O97" s="129">
        <v>761</v>
      </c>
      <c r="P97" s="129" t="s">
        <v>235</v>
      </c>
      <c r="Q97" s="129">
        <v>5</v>
      </c>
      <c r="R97" s="129">
        <v>6</v>
      </c>
      <c r="S97" s="129">
        <v>68</v>
      </c>
      <c r="T97" s="129">
        <v>70</v>
      </c>
      <c r="U97" s="129" t="s">
        <v>160</v>
      </c>
      <c r="V97" s="129">
        <v>40.9</v>
      </c>
      <c r="W97" s="129" t="s">
        <v>160</v>
      </c>
      <c r="X97" s="129" t="s">
        <v>390</v>
      </c>
      <c r="Y97" s="129">
        <v>-16.739999999999998</v>
      </c>
      <c r="Z97" s="129">
        <v>115.536</v>
      </c>
      <c r="AA97" s="129" t="s">
        <v>160</v>
      </c>
      <c r="AB97" s="129" t="s">
        <v>160</v>
      </c>
      <c r="AC97" s="136">
        <v>-2179</v>
      </c>
      <c r="AD97" s="129" t="s">
        <v>160</v>
      </c>
      <c r="AE97" s="129" t="s">
        <v>160</v>
      </c>
      <c r="AF97" s="178" t="s">
        <v>160</v>
      </c>
      <c r="AG97" s="129">
        <v>13535</v>
      </c>
      <c r="AH97" s="138" t="s">
        <v>160</v>
      </c>
      <c r="AI97" s="138" t="s">
        <v>160</v>
      </c>
      <c r="AJ97" s="138" t="s">
        <v>160</v>
      </c>
      <c r="AK97" s="129" t="s">
        <v>237</v>
      </c>
      <c r="AL97" s="129" t="s">
        <v>238</v>
      </c>
      <c r="AM97" s="140" t="s">
        <v>239</v>
      </c>
      <c r="AN97" s="129" t="s">
        <v>160</v>
      </c>
      <c r="AO97" s="129" t="s">
        <v>160</v>
      </c>
      <c r="AP97" s="129" t="s">
        <v>160</v>
      </c>
      <c r="AQ97" s="129" t="s">
        <v>160</v>
      </c>
      <c r="AR97" s="129" t="s">
        <v>160</v>
      </c>
      <c r="AS97" s="129" t="s">
        <v>160</v>
      </c>
      <c r="AT97" s="129" t="s">
        <v>160</v>
      </c>
      <c r="AU97" s="129" t="s">
        <v>191</v>
      </c>
      <c r="AV97" s="129" t="s">
        <v>161</v>
      </c>
      <c r="AW97" s="129" t="s">
        <v>192</v>
      </c>
      <c r="AX97" s="129" t="s">
        <v>352</v>
      </c>
      <c r="AY97" s="129" t="s">
        <v>391</v>
      </c>
      <c r="AZ97" s="129" t="s">
        <v>325</v>
      </c>
      <c r="BA97" s="129" t="s">
        <v>162</v>
      </c>
      <c r="BB97" s="129" t="s">
        <v>398</v>
      </c>
      <c r="BC97" s="129">
        <v>2</v>
      </c>
      <c r="BD97" s="129">
        <v>9.9999999999980105E-3</v>
      </c>
      <c r="BE97" s="129">
        <v>16.43</v>
      </c>
      <c r="BF97" s="129" t="s">
        <v>393</v>
      </c>
      <c r="BG97" s="129">
        <v>0.27</v>
      </c>
      <c r="BH97" s="129">
        <v>0.83299999999999996</v>
      </c>
      <c r="BI97" s="129" t="s">
        <v>160</v>
      </c>
      <c r="BJ97" s="138" t="s">
        <v>160</v>
      </c>
      <c r="BK97" s="129">
        <v>2.69</v>
      </c>
      <c r="BL97" s="129" t="s">
        <v>160</v>
      </c>
      <c r="BM97" s="129" t="s">
        <v>160</v>
      </c>
      <c r="BN97" s="129" t="s">
        <v>200</v>
      </c>
      <c r="BO97" s="129" t="s">
        <v>201</v>
      </c>
      <c r="BP97" s="151">
        <v>16.489767143607057</v>
      </c>
      <c r="BQ97" s="129" t="s">
        <v>202</v>
      </c>
      <c r="BR97" s="217"/>
      <c r="BS97" s="129" t="s">
        <v>160</v>
      </c>
      <c r="BT97" s="129" t="s">
        <v>160</v>
      </c>
      <c r="BU97" s="129">
        <v>10</v>
      </c>
      <c r="BV97" s="129" t="s">
        <v>159</v>
      </c>
      <c r="BW97" s="129">
        <v>10</v>
      </c>
      <c r="BX97" s="145">
        <v>28.268303444861342</v>
      </c>
      <c r="BY97" s="129" t="s">
        <v>159</v>
      </c>
      <c r="BZ97" s="129">
        <v>1</v>
      </c>
      <c r="CA97" s="129">
        <v>1</v>
      </c>
      <c r="CC97" s="129">
        <v>4.2</v>
      </c>
      <c r="CD97" s="129" t="s">
        <v>163</v>
      </c>
      <c r="CE97" s="144">
        <f t="shared" si="12"/>
        <v>0.1134</v>
      </c>
      <c r="CF97" s="144">
        <f t="shared" si="13"/>
        <v>0.1134</v>
      </c>
      <c r="CG97" s="145" t="s">
        <v>203</v>
      </c>
      <c r="CH97" s="129" t="s">
        <v>204</v>
      </c>
      <c r="CI97" s="129" t="s">
        <v>205</v>
      </c>
      <c r="CJ97" s="129" t="s">
        <v>206</v>
      </c>
      <c r="CK97" s="129" t="s">
        <v>158</v>
      </c>
      <c r="CL97" s="129" t="s">
        <v>158</v>
      </c>
      <c r="CM97" s="129" t="s">
        <v>158</v>
      </c>
      <c r="CN97" s="129" t="s">
        <v>160</v>
      </c>
      <c r="CO97" s="129" t="s">
        <v>160</v>
      </c>
      <c r="CP97" s="129" t="s">
        <v>160</v>
      </c>
      <c r="CQ97" s="129" t="s">
        <v>160</v>
      </c>
      <c r="CR97" s="129" t="s">
        <v>160</v>
      </c>
      <c r="CS97" s="129" t="s">
        <v>160</v>
      </c>
      <c r="CT97" s="129" t="s">
        <v>160</v>
      </c>
      <c r="CU97" s="129">
        <v>35</v>
      </c>
      <c r="CV97" s="129" t="s">
        <v>159</v>
      </c>
      <c r="CW97" s="146">
        <v>1</v>
      </c>
      <c r="CX97" s="129" t="s">
        <v>207</v>
      </c>
      <c r="CY97" s="129">
        <v>1.29266665E-2</v>
      </c>
      <c r="CZ97" s="129" t="s">
        <v>159</v>
      </c>
      <c r="DA97" s="146">
        <v>2.5000000000000001E-3</v>
      </c>
      <c r="DB97" s="129" t="s">
        <v>208</v>
      </c>
      <c r="DC97" s="129">
        <v>4.7502963500000002E-2</v>
      </c>
      <c r="DD97" s="129" t="s">
        <v>159</v>
      </c>
      <c r="DE97" s="146">
        <v>2.5000000000000001E-3</v>
      </c>
      <c r="DF97" s="129" t="s">
        <v>209</v>
      </c>
      <c r="DG97" s="129" t="s">
        <v>160</v>
      </c>
      <c r="DH97" s="129" t="s">
        <v>160</v>
      </c>
      <c r="DI97" s="129" t="s">
        <v>160</v>
      </c>
      <c r="DJ97" s="129" t="s">
        <v>160</v>
      </c>
      <c r="DK97" s="145">
        <v>424.29</v>
      </c>
      <c r="DL97" s="129" t="s">
        <v>159</v>
      </c>
      <c r="DM97" s="145" t="s">
        <v>160</v>
      </c>
      <c r="DN97" s="129" t="s">
        <v>210</v>
      </c>
      <c r="DO97" s="129">
        <v>37.981360000000002</v>
      </c>
      <c r="DP97" s="129" t="s">
        <v>160</v>
      </c>
      <c r="DQ97" s="129">
        <v>0.67866000000000071</v>
      </c>
      <c r="DR97" s="129" t="s">
        <v>211</v>
      </c>
      <c r="DS97" s="129" t="s">
        <v>212</v>
      </c>
      <c r="DT97" s="129" t="s">
        <v>213</v>
      </c>
      <c r="DU97" s="129">
        <v>1.0271999999999999</v>
      </c>
      <c r="DV97" s="129" t="s">
        <v>214</v>
      </c>
      <c r="DW97" s="129" t="s">
        <v>214</v>
      </c>
      <c r="DX97" s="129" t="s">
        <v>215</v>
      </c>
      <c r="DY97" s="129" t="s">
        <v>160</v>
      </c>
      <c r="DZ97" s="129" t="s">
        <v>164</v>
      </c>
      <c r="EA97" s="129" t="s">
        <v>216</v>
      </c>
      <c r="EB97" s="129" t="s">
        <v>212</v>
      </c>
      <c r="EC97" s="129" t="s">
        <v>212</v>
      </c>
      <c r="ED97" s="129" t="s">
        <v>212</v>
      </c>
      <c r="EE97" s="129" t="s">
        <v>217</v>
      </c>
      <c r="EF97" s="147" t="s">
        <v>213</v>
      </c>
      <c r="EG97" s="148" t="s">
        <v>213</v>
      </c>
      <c r="EH97" s="129" t="s">
        <v>218</v>
      </c>
      <c r="EI97" s="129" t="s">
        <v>219</v>
      </c>
      <c r="EJ97" s="129" t="s">
        <v>160</v>
      </c>
      <c r="EK97" s="129">
        <v>1655.6769999999999</v>
      </c>
      <c r="EL97" s="129" t="s">
        <v>163</v>
      </c>
      <c r="EM97" s="150">
        <v>500</v>
      </c>
      <c r="EN97" s="150">
        <v>500</v>
      </c>
      <c r="EO97" s="129" t="s">
        <v>160</v>
      </c>
      <c r="EP97" s="129" t="s">
        <v>160</v>
      </c>
      <c r="EQ97" s="129" t="s">
        <v>160</v>
      </c>
      <c r="ER97" s="129" t="s">
        <v>160</v>
      </c>
      <c r="ES97" s="129">
        <v>7.9701589999999998</v>
      </c>
      <c r="ET97" s="142" t="s">
        <v>165</v>
      </c>
      <c r="EU97" s="129">
        <v>9.502200000000105E-2</v>
      </c>
      <c r="EV97" s="129">
        <v>0.11308499999999988</v>
      </c>
      <c r="EW97" s="142" t="s">
        <v>160</v>
      </c>
      <c r="EX97" s="129" t="s">
        <v>160</v>
      </c>
      <c r="EY97" s="129" t="s">
        <v>160</v>
      </c>
      <c r="EZ97" s="129">
        <v>412.29910000000001</v>
      </c>
      <c r="FA97" s="129">
        <v>166.05539999999991</v>
      </c>
      <c r="FB97" s="129">
        <v>122.34030000000001</v>
      </c>
      <c r="FC97" s="129" t="s">
        <v>220</v>
      </c>
      <c r="FD97" s="129" t="s">
        <v>221</v>
      </c>
      <c r="FE97" s="129">
        <v>1816.297</v>
      </c>
      <c r="FF97" s="129">
        <v>405.46500000000015</v>
      </c>
      <c r="FG97" s="129">
        <v>396.73400000000015</v>
      </c>
      <c r="FH97" s="129" t="s">
        <v>160</v>
      </c>
      <c r="FI97" s="129" t="s">
        <v>160</v>
      </c>
      <c r="FJ97" s="129" t="s">
        <v>160</v>
      </c>
      <c r="FK97" s="129" t="s">
        <v>160</v>
      </c>
      <c r="FL97" s="129" t="s">
        <v>160</v>
      </c>
      <c r="FM97" s="129" t="s">
        <v>160</v>
      </c>
      <c r="FN97" s="151">
        <v>3.5426829999999998</v>
      </c>
      <c r="FO97" s="151">
        <v>2.0629820000000003</v>
      </c>
      <c r="FP97" s="151">
        <v>1.5380939999999996</v>
      </c>
      <c r="FQ97" s="129" t="s">
        <v>414</v>
      </c>
      <c r="FR97" s="166" t="s">
        <v>388</v>
      </c>
      <c r="FS97" s="166">
        <v>2012</v>
      </c>
      <c r="FT97" s="166" t="s">
        <v>395</v>
      </c>
    </row>
    <row r="98" spans="1:176" s="129" customFormat="1" ht="17">
      <c r="A98" s="166" t="s">
        <v>152</v>
      </c>
      <c r="B98" s="166" t="s">
        <v>183</v>
      </c>
      <c r="C98" s="166">
        <v>2018</v>
      </c>
      <c r="D98" s="166" t="s">
        <v>184</v>
      </c>
      <c r="E98" s="195">
        <v>13610</v>
      </c>
      <c r="F98" s="166" t="s">
        <v>160</v>
      </c>
      <c r="G98" s="166" t="s">
        <v>160</v>
      </c>
      <c r="H98" s="190">
        <v>439.6823</v>
      </c>
      <c r="I98" s="191">
        <v>184.79799999999994</v>
      </c>
      <c r="J98" s="191">
        <v>129.02029999999996</v>
      </c>
      <c r="K98" s="129" t="s">
        <v>457</v>
      </c>
      <c r="L98" s="131" t="s">
        <v>185</v>
      </c>
      <c r="M98" s="132" t="s">
        <v>186</v>
      </c>
      <c r="N98" s="129" t="s">
        <v>184</v>
      </c>
      <c r="O98" s="129">
        <v>761</v>
      </c>
      <c r="P98" s="129" t="s">
        <v>235</v>
      </c>
      <c r="Q98" s="129">
        <v>5</v>
      </c>
      <c r="R98" s="129">
        <v>6</v>
      </c>
      <c r="S98" s="129">
        <v>98</v>
      </c>
      <c r="T98" s="129">
        <v>100</v>
      </c>
      <c r="U98" s="129" t="s">
        <v>160</v>
      </c>
      <c r="V98" s="129">
        <v>41.2</v>
      </c>
      <c r="W98" s="129" t="s">
        <v>160</v>
      </c>
      <c r="X98" s="129" t="s">
        <v>390</v>
      </c>
      <c r="Y98" s="129">
        <v>-16.739999999999998</v>
      </c>
      <c r="Z98" s="129">
        <v>115.536</v>
      </c>
      <c r="AA98" s="129" t="s">
        <v>160</v>
      </c>
      <c r="AB98" s="129" t="s">
        <v>160</v>
      </c>
      <c r="AC98" s="136">
        <v>-2179</v>
      </c>
      <c r="AD98" s="129" t="s">
        <v>160</v>
      </c>
      <c r="AE98" s="129" t="s">
        <v>160</v>
      </c>
      <c r="AF98" s="178" t="s">
        <v>160</v>
      </c>
      <c r="AG98" s="129">
        <v>13610</v>
      </c>
      <c r="AH98" s="138" t="s">
        <v>160</v>
      </c>
      <c r="AI98" s="138" t="s">
        <v>160</v>
      </c>
      <c r="AJ98" s="138" t="s">
        <v>160</v>
      </c>
      <c r="AK98" s="129" t="s">
        <v>237</v>
      </c>
      <c r="AL98" s="129" t="s">
        <v>238</v>
      </c>
      <c r="AM98" s="140" t="s">
        <v>239</v>
      </c>
      <c r="AN98" s="129" t="s">
        <v>160</v>
      </c>
      <c r="AO98" s="129" t="s">
        <v>160</v>
      </c>
      <c r="AP98" s="129" t="s">
        <v>160</v>
      </c>
      <c r="AQ98" s="129" t="s">
        <v>160</v>
      </c>
      <c r="AR98" s="129" t="s">
        <v>160</v>
      </c>
      <c r="AS98" s="129" t="s">
        <v>160</v>
      </c>
      <c r="AT98" s="129" t="s">
        <v>160</v>
      </c>
      <c r="AU98" s="129" t="s">
        <v>191</v>
      </c>
      <c r="AV98" s="129" t="s">
        <v>161</v>
      </c>
      <c r="AW98" s="129" t="s">
        <v>192</v>
      </c>
      <c r="AX98" s="129" t="s">
        <v>352</v>
      </c>
      <c r="AY98" s="129" t="s">
        <v>391</v>
      </c>
      <c r="AZ98" s="129" t="s">
        <v>325</v>
      </c>
      <c r="BA98" s="129" t="s">
        <v>162</v>
      </c>
      <c r="BB98" s="129" t="s">
        <v>399</v>
      </c>
      <c r="BC98" s="129">
        <v>2</v>
      </c>
      <c r="BD98" s="129">
        <v>1.0000000000001563E-2</v>
      </c>
      <c r="BE98" s="129">
        <v>16.25</v>
      </c>
      <c r="BF98" s="129" t="s">
        <v>393</v>
      </c>
      <c r="BG98" s="129">
        <v>0.28000000000000003</v>
      </c>
      <c r="BH98" s="129">
        <v>0.83299999999999996</v>
      </c>
      <c r="BI98" s="129" t="s">
        <v>160</v>
      </c>
      <c r="BJ98" s="138" t="s">
        <v>160</v>
      </c>
      <c r="BK98" s="129">
        <v>2.69</v>
      </c>
      <c r="BL98" s="129" t="s">
        <v>160</v>
      </c>
      <c r="BM98" s="129" t="s">
        <v>160</v>
      </c>
      <c r="BN98" s="129" t="s">
        <v>200</v>
      </c>
      <c r="BO98" s="129" t="s">
        <v>201</v>
      </c>
      <c r="BP98" s="151">
        <v>16.282899009547428</v>
      </c>
      <c r="BQ98" s="129" t="s">
        <v>202</v>
      </c>
      <c r="BR98" s="217"/>
      <c r="BS98" s="129" t="s">
        <v>160</v>
      </c>
      <c r="BT98" s="129" t="s">
        <v>160</v>
      </c>
      <c r="BU98" s="129">
        <v>10</v>
      </c>
      <c r="BV98" s="129" t="s">
        <v>159</v>
      </c>
      <c r="BW98" s="129">
        <v>10</v>
      </c>
      <c r="BX98" s="145">
        <v>28.899606949166174</v>
      </c>
      <c r="BY98" s="129" t="s">
        <v>159</v>
      </c>
      <c r="BZ98" s="129">
        <v>1</v>
      </c>
      <c r="CA98" s="129">
        <v>1</v>
      </c>
      <c r="CC98" s="129">
        <v>4.4400000000000004</v>
      </c>
      <c r="CD98" s="129" t="s">
        <v>163</v>
      </c>
      <c r="CE98" s="144">
        <f t="shared" si="12"/>
        <v>0.11988000000000001</v>
      </c>
      <c r="CF98" s="144">
        <f t="shared" si="13"/>
        <v>0.11988000000000001</v>
      </c>
      <c r="CG98" s="145" t="s">
        <v>203</v>
      </c>
      <c r="CH98" s="129" t="s">
        <v>204</v>
      </c>
      <c r="CI98" s="129" t="s">
        <v>205</v>
      </c>
      <c r="CJ98" s="129" t="s">
        <v>206</v>
      </c>
      <c r="CK98" s="129" t="s">
        <v>158</v>
      </c>
      <c r="CL98" s="129" t="s">
        <v>158</v>
      </c>
      <c r="CM98" s="129" t="s">
        <v>158</v>
      </c>
      <c r="CN98" s="129" t="s">
        <v>160</v>
      </c>
      <c r="CO98" s="129" t="s">
        <v>160</v>
      </c>
      <c r="CP98" s="129" t="s">
        <v>160</v>
      </c>
      <c r="CQ98" s="129" t="s">
        <v>160</v>
      </c>
      <c r="CR98" s="129" t="s">
        <v>160</v>
      </c>
      <c r="CS98" s="129" t="s">
        <v>160</v>
      </c>
      <c r="CT98" s="129" t="s">
        <v>160</v>
      </c>
      <c r="CU98" s="129">
        <v>35</v>
      </c>
      <c r="CV98" s="129" t="s">
        <v>159</v>
      </c>
      <c r="CW98" s="146">
        <v>1</v>
      </c>
      <c r="CX98" s="129" t="s">
        <v>207</v>
      </c>
      <c r="CY98" s="129">
        <v>1.2939559E-2</v>
      </c>
      <c r="CZ98" s="129" t="s">
        <v>159</v>
      </c>
      <c r="DA98" s="146">
        <v>2.5000000000000001E-3</v>
      </c>
      <c r="DB98" s="129" t="s">
        <v>208</v>
      </c>
      <c r="DC98" s="129">
        <v>4.7461421000000004E-2</v>
      </c>
      <c r="DD98" s="129" t="s">
        <v>159</v>
      </c>
      <c r="DE98" s="146">
        <v>2.5000000000000001E-3</v>
      </c>
      <c r="DF98" s="129" t="s">
        <v>209</v>
      </c>
      <c r="DG98" s="129" t="s">
        <v>160</v>
      </c>
      <c r="DH98" s="129" t="s">
        <v>160</v>
      </c>
      <c r="DI98" s="129" t="s">
        <v>160</v>
      </c>
      <c r="DJ98" s="129" t="s">
        <v>160</v>
      </c>
      <c r="DK98" s="145">
        <v>424.29</v>
      </c>
      <c r="DL98" s="129" t="s">
        <v>159</v>
      </c>
      <c r="DM98" s="145" t="s">
        <v>160</v>
      </c>
      <c r="DN98" s="129" t="s">
        <v>210</v>
      </c>
      <c r="DO98" s="129">
        <v>37.96481</v>
      </c>
      <c r="DP98" s="129" t="s">
        <v>160</v>
      </c>
      <c r="DQ98" s="129">
        <v>0.66627500000000239</v>
      </c>
      <c r="DR98" s="129" t="s">
        <v>211</v>
      </c>
      <c r="DS98" s="129" t="s">
        <v>212</v>
      </c>
      <c r="DT98" s="129" t="s">
        <v>213</v>
      </c>
      <c r="DU98" s="129">
        <v>1.0271999999999999</v>
      </c>
      <c r="DV98" s="129" t="s">
        <v>214</v>
      </c>
      <c r="DW98" s="129" t="s">
        <v>214</v>
      </c>
      <c r="DX98" s="129" t="s">
        <v>215</v>
      </c>
      <c r="DY98" s="129" t="s">
        <v>160</v>
      </c>
      <c r="DZ98" s="129" t="s">
        <v>164</v>
      </c>
      <c r="EA98" s="129" t="s">
        <v>216</v>
      </c>
      <c r="EB98" s="129" t="s">
        <v>212</v>
      </c>
      <c r="EC98" s="129" t="s">
        <v>212</v>
      </c>
      <c r="ED98" s="129" t="s">
        <v>212</v>
      </c>
      <c r="EE98" s="129" t="s">
        <v>217</v>
      </c>
      <c r="EF98" s="147" t="s">
        <v>213</v>
      </c>
      <c r="EG98" s="148" t="s">
        <v>213</v>
      </c>
      <c r="EH98" s="129" t="s">
        <v>218</v>
      </c>
      <c r="EI98" s="129" t="s">
        <v>219</v>
      </c>
      <c r="EJ98" s="129" t="s">
        <v>160</v>
      </c>
      <c r="EK98" s="129">
        <v>1647.8779999999999</v>
      </c>
      <c r="EL98" s="129" t="s">
        <v>163</v>
      </c>
      <c r="EM98" s="150">
        <v>500</v>
      </c>
      <c r="EN98" s="150">
        <v>500</v>
      </c>
      <c r="EO98" s="129" t="s">
        <v>160</v>
      </c>
      <c r="EP98" s="129" t="s">
        <v>160</v>
      </c>
      <c r="EQ98" s="129" t="s">
        <v>160</v>
      </c>
      <c r="ER98" s="129" t="s">
        <v>160</v>
      </c>
      <c r="ES98" s="129">
        <v>7.9427190000000003</v>
      </c>
      <c r="ET98" s="142" t="s">
        <v>165</v>
      </c>
      <c r="EU98" s="129">
        <v>0.10029999999999895</v>
      </c>
      <c r="EV98" s="129">
        <v>0.11445400000000028</v>
      </c>
      <c r="EW98" s="142" t="s">
        <v>160</v>
      </c>
      <c r="EX98" s="129" t="s">
        <v>160</v>
      </c>
      <c r="EY98" s="129" t="s">
        <v>160</v>
      </c>
      <c r="EZ98" s="129">
        <v>439.6823</v>
      </c>
      <c r="FA98" s="129">
        <v>184.79799999999994</v>
      </c>
      <c r="FB98" s="129">
        <v>129.02029999999996</v>
      </c>
      <c r="FC98" s="129" t="s">
        <v>220</v>
      </c>
      <c r="FD98" s="129" t="s">
        <v>221</v>
      </c>
      <c r="FE98" s="129">
        <v>1803.896</v>
      </c>
      <c r="FF98" s="129">
        <v>400.49099999999976</v>
      </c>
      <c r="FG98" s="129">
        <v>392.01900000000001</v>
      </c>
      <c r="FH98" s="129" t="s">
        <v>160</v>
      </c>
      <c r="FI98" s="129" t="s">
        <v>160</v>
      </c>
      <c r="FJ98" s="129" t="s">
        <v>160</v>
      </c>
      <c r="FK98" s="129" t="s">
        <v>160</v>
      </c>
      <c r="FL98" s="129" t="s">
        <v>160</v>
      </c>
      <c r="FM98" s="129" t="s">
        <v>160</v>
      </c>
      <c r="FN98" s="151">
        <v>3.4166080000000001</v>
      </c>
      <c r="FO98" s="151">
        <v>1.9411050000000003</v>
      </c>
      <c r="FP98" s="151">
        <v>1.4784380000000001</v>
      </c>
      <c r="FQ98" s="129" t="s">
        <v>414</v>
      </c>
      <c r="FR98" s="166" t="s">
        <v>388</v>
      </c>
      <c r="FS98" s="166">
        <v>2012</v>
      </c>
      <c r="FT98" s="166" t="s">
        <v>395</v>
      </c>
    </row>
    <row r="99" spans="1:176" s="129" customFormat="1" ht="17">
      <c r="A99" s="166" t="s">
        <v>152</v>
      </c>
      <c r="B99" s="166" t="s">
        <v>183</v>
      </c>
      <c r="C99" s="166">
        <v>2018</v>
      </c>
      <c r="D99" s="166" t="s">
        <v>184</v>
      </c>
      <c r="E99" s="195">
        <v>13870.521739999998</v>
      </c>
      <c r="F99" s="166" t="s">
        <v>160</v>
      </c>
      <c r="G99" s="166" t="s">
        <v>160</v>
      </c>
      <c r="H99" s="190">
        <v>456.39349999999996</v>
      </c>
      <c r="I99" s="191">
        <v>193.93009999999998</v>
      </c>
      <c r="J99" s="191">
        <v>138.1361</v>
      </c>
      <c r="K99" s="129" t="s">
        <v>457</v>
      </c>
      <c r="L99" s="131" t="s">
        <v>185</v>
      </c>
      <c r="M99" s="132" t="s">
        <v>186</v>
      </c>
      <c r="N99" s="129" t="s">
        <v>184</v>
      </c>
      <c r="O99" s="129">
        <v>761</v>
      </c>
      <c r="P99" s="129" t="s">
        <v>235</v>
      </c>
      <c r="Q99" s="129">
        <v>5</v>
      </c>
      <c r="R99" s="129">
        <v>7</v>
      </c>
      <c r="S99" s="129">
        <v>38</v>
      </c>
      <c r="T99" s="129">
        <v>40</v>
      </c>
      <c r="U99" s="129" t="s">
        <v>160</v>
      </c>
      <c r="V99" s="129">
        <v>42.1</v>
      </c>
      <c r="W99" s="129" t="s">
        <v>160</v>
      </c>
      <c r="X99" s="129" t="s">
        <v>390</v>
      </c>
      <c r="Y99" s="129">
        <v>-16.739999999999998</v>
      </c>
      <c r="Z99" s="129">
        <v>115.536</v>
      </c>
      <c r="AA99" s="129" t="s">
        <v>160</v>
      </c>
      <c r="AB99" s="129" t="s">
        <v>160</v>
      </c>
      <c r="AC99" s="136">
        <v>-2179</v>
      </c>
      <c r="AD99" s="129" t="s">
        <v>160</v>
      </c>
      <c r="AE99" s="129" t="s">
        <v>160</v>
      </c>
      <c r="AF99" s="178" t="s">
        <v>160</v>
      </c>
      <c r="AG99" s="129">
        <v>13870.521739999998</v>
      </c>
      <c r="AH99" s="138" t="s">
        <v>160</v>
      </c>
      <c r="AI99" s="138" t="s">
        <v>160</v>
      </c>
      <c r="AJ99" s="138" t="s">
        <v>160</v>
      </c>
      <c r="AK99" s="129" t="s">
        <v>237</v>
      </c>
      <c r="AL99" s="129" t="s">
        <v>238</v>
      </c>
      <c r="AM99" s="140" t="s">
        <v>239</v>
      </c>
      <c r="AN99" s="129" t="s">
        <v>160</v>
      </c>
      <c r="AO99" s="129" t="s">
        <v>160</v>
      </c>
      <c r="AP99" s="129" t="s">
        <v>160</v>
      </c>
      <c r="AQ99" s="129" t="s">
        <v>160</v>
      </c>
      <c r="AR99" s="129" t="s">
        <v>160</v>
      </c>
      <c r="AS99" s="129" t="s">
        <v>160</v>
      </c>
      <c r="AT99" s="129" t="s">
        <v>160</v>
      </c>
      <c r="AU99" s="129" t="s">
        <v>191</v>
      </c>
      <c r="AV99" s="129" t="s">
        <v>161</v>
      </c>
      <c r="AW99" s="129" t="s">
        <v>192</v>
      </c>
      <c r="AX99" s="129" t="s">
        <v>352</v>
      </c>
      <c r="AY99" s="129" t="s">
        <v>391</v>
      </c>
      <c r="AZ99" s="129" t="s">
        <v>325</v>
      </c>
      <c r="BA99" s="129" t="s">
        <v>162</v>
      </c>
      <c r="BB99" s="129" t="s">
        <v>400</v>
      </c>
      <c r="BC99" s="129">
        <v>2</v>
      </c>
      <c r="BD99" s="129">
        <v>0.26999999999999957</v>
      </c>
      <c r="BE99" s="129">
        <v>16.09</v>
      </c>
      <c r="BF99" s="129" t="s">
        <v>393</v>
      </c>
      <c r="BG99" s="129">
        <v>0.32</v>
      </c>
      <c r="BH99" s="129">
        <v>0.83299999999999996</v>
      </c>
      <c r="BI99" s="129" t="s">
        <v>160</v>
      </c>
      <c r="BJ99" s="138" t="s">
        <v>160</v>
      </c>
      <c r="BK99" s="129">
        <v>2.69</v>
      </c>
      <c r="BL99" s="129" t="s">
        <v>160</v>
      </c>
      <c r="BM99" s="129" t="s">
        <v>160</v>
      </c>
      <c r="BN99" s="129" t="s">
        <v>200</v>
      </c>
      <c r="BO99" s="129" t="s">
        <v>201</v>
      </c>
      <c r="BP99" s="151">
        <v>16.085310973874481</v>
      </c>
      <c r="BQ99" s="129" t="s">
        <v>202</v>
      </c>
      <c r="BR99" s="217"/>
      <c r="BS99" s="129" t="s">
        <v>160</v>
      </c>
      <c r="BT99" s="129" t="s">
        <v>160</v>
      </c>
      <c r="BU99" s="129">
        <v>10</v>
      </c>
      <c r="BV99" s="129" t="s">
        <v>159</v>
      </c>
      <c r="BW99" s="129">
        <v>10</v>
      </c>
      <c r="BX99" s="145">
        <v>28.585386981523605</v>
      </c>
      <c r="BY99" s="129" t="s">
        <v>159</v>
      </c>
      <c r="BZ99" s="129">
        <v>1</v>
      </c>
      <c r="CA99" s="129">
        <v>1</v>
      </c>
      <c r="CC99" s="129">
        <v>4.3</v>
      </c>
      <c r="CD99" s="129" t="s">
        <v>163</v>
      </c>
      <c r="CE99" s="144">
        <f t="shared" si="12"/>
        <v>0.11609999999999999</v>
      </c>
      <c r="CF99" s="144">
        <f t="shared" si="13"/>
        <v>0.11609999999999999</v>
      </c>
      <c r="CG99" s="145" t="s">
        <v>203</v>
      </c>
      <c r="CH99" s="129" t="s">
        <v>204</v>
      </c>
      <c r="CI99" s="129" t="s">
        <v>205</v>
      </c>
      <c r="CJ99" s="129" t="s">
        <v>206</v>
      </c>
      <c r="CK99" s="129" t="s">
        <v>158</v>
      </c>
      <c r="CL99" s="129" t="s">
        <v>158</v>
      </c>
      <c r="CM99" s="129" t="s">
        <v>158</v>
      </c>
      <c r="CN99" s="129" t="s">
        <v>160</v>
      </c>
      <c r="CO99" s="129" t="s">
        <v>160</v>
      </c>
      <c r="CP99" s="129" t="s">
        <v>160</v>
      </c>
      <c r="CQ99" s="129" t="s">
        <v>160</v>
      </c>
      <c r="CR99" s="129" t="s">
        <v>160</v>
      </c>
      <c r="CS99" s="129" t="s">
        <v>160</v>
      </c>
      <c r="CT99" s="129" t="s">
        <v>160</v>
      </c>
      <c r="CU99" s="129">
        <v>35</v>
      </c>
      <c r="CV99" s="129" t="s">
        <v>159</v>
      </c>
      <c r="CW99" s="146">
        <v>1</v>
      </c>
      <c r="CX99" s="129" t="s">
        <v>207</v>
      </c>
      <c r="CY99" s="129">
        <v>1.2984342687106E-2</v>
      </c>
      <c r="CZ99" s="129" t="s">
        <v>159</v>
      </c>
      <c r="DA99" s="146">
        <v>2.5000000000000001E-3</v>
      </c>
      <c r="DB99" s="129" t="s">
        <v>208</v>
      </c>
      <c r="DC99" s="129">
        <v>4.7317118008214004E-2</v>
      </c>
      <c r="DD99" s="129" t="s">
        <v>159</v>
      </c>
      <c r="DE99" s="146">
        <v>2.5000000000000001E-3</v>
      </c>
      <c r="DF99" s="129" t="s">
        <v>209</v>
      </c>
      <c r="DG99" s="129" t="s">
        <v>160</v>
      </c>
      <c r="DH99" s="129" t="s">
        <v>160</v>
      </c>
      <c r="DI99" s="129" t="s">
        <v>160</v>
      </c>
      <c r="DJ99" s="129" t="s">
        <v>160</v>
      </c>
      <c r="DK99" s="145">
        <v>424.29</v>
      </c>
      <c r="DL99" s="129" t="s">
        <v>159</v>
      </c>
      <c r="DM99" s="145" t="s">
        <v>160</v>
      </c>
      <c r="DN99" s="129" t="s">
        <v>210</v>
      </c>
      <c r="DO99" s="129">
        <v>37.977179999999997</v>
      </c>
      <c r="DP99" s="129" t="s">
        <v>160</v>
      </c>
      <c r="DQ99" s="129">
        <v>0.67127999999999943</v>
      </c>
      <c r="DR99" s="129" t="s">
        <v>211</v>
      </c>
      <c r="DS99" s="129" t="s">
        <v>212</v>
      </c>
      <c r="DT99" s="129" t="s">
        <v>213</v>
      </c>
      <c r="DU99" s="129">
        <v>1.0271999999999999</v>
      </c>
      <c r="DV99" s="129" t="s">
        <v>214</v>
      </c>
      <c r="DW99" s="129" t="s">
        <v>214</v>
      </c>
      <c r="DX99" s="129" t="s">
        <v>215</v>
      </c>
      <c r="DY99" s="129" t="s">
        <v>160</v>
      </c>
      <c r="DZ99" s="129" t="s">
        <v>164</v>
      </c>
      <c r="EA99" s="129" t="s">
        <v>216</v>
      </c>
      <c r="EB99" s="129" t="s">
        <v>212</v>
      </c>
      <c r="EC99" s="129" t="s">
        <v>212</v>
      </c>
      <c r="ED99" s="129" t="s">
        <v>212</v>
      </c>
      <c r="EE99" s="129" t="s">
        <v>217</v>
      </c>
      <c r="EF99" s="147" t="s">
        <v>213</v>
      </c>
      <c r="EG99" s="148" t="s">
        <v>213</v>
      </c>
      <c r="EH99" s="129" t="s">
        <v>218</v>
      </c>
      <c r="EI99" s="129" t="s">
        <v>219</v>
      </c>
      <c r="EJ99" s="129" t="s">
        <v>160</v>
      </c>
      <c r="EK99" s="129">
        <v>1643.633</v>
      </c>
      <c r="EL99" s="129" t="s">
        <v>163</v>
      </c>
      <c r="EM99" s="150">
        <v>500</v>
      </c>
      <c r="EN99" s="150">
        <v>500</v>
      </c>
      <c r="EO99" s="129" t="s">
        <v>160</v>
      </c>
      <c r="EP99" s="129" t="s">
        <v>160</v>
      </c>
      <c r="EQ99" s="129" t="s">
        <v>160</v>
      </c>
      <c r="ER99" s="129" t="s">
        <v>160</v>
      </c>
      <c r="ES99" s="129">
        <v>7.9259930000000001</v>
      </c>
      <c r="ET99" s="142" t="s">
        <v>165</v>
      </c>
      <c r="EU99" s="129">
        <v>0.10310600000000036</v>
      </c>
      <c r="EV99" s="129">
        <v>0.11860900000000019</v>
      </c>
      <c r="EW99" s="142" t="s">
        <v>160</v>
      </c>
      <c r="EX99" s="129" t="s">
        <v>160</v>
      </c>
      <c r="EY99" s="129" t="s">
        <v>160</v>
      </c>
      <c r="EZ99" s="129">
        <v>456.39349999999996</v>
      </c>
      <c r="FA99" s="129">
        <v>193.93009999999998</v>
      </c>
      <c r="FB99" s="129">
        <v>138.1361</v>
      </c>
      <c r="FC99" s="129" t="s">
        <v>220</v>
      </c>
      <c r="FD99" s="129" t="s">
        <v>221</v>
      </c>
      <c r="FE99" s="129">
        <v>1790.3789999999999</v>
      </c>
      <c r="FF99" s="129">
        <v>407.83300000000008</v>
      </c>
      <c r="FG99" s="129">
        <v>398.39499999999998</v>
      </c>
      <c r="FH99" s="129" t="s">
        <v>160</v>
      </c>
      <c r="FI99" s="129" t="s">
        <v>160</v>
      </c>
      <c r="FJ99" s="129" t="s">
        <v>160</v>
      </c>
      <c r="FK99" s="129" t="s">
        <v>160</v>
      </c>
      <c r="FL99" s="129" t="s">
        <v>160</v>
      </c>
      <c r="FM99" s="129" t="s">
        <v>160</v>
      </c>
      <c r="FN99" s="151">
        <v>3.2201330000000001</v>
      </c>
      <c r="FO99" s="151">
        <v>1.9796270000000002</v>
      </c>
      <c r="FP99" s="151">
        <v>1.4150030000000002</v>
      </c>
      <c r="FQ99" s="129" t="s">
        <v>414</v>
      </c>
      <c r="FR99" s="166" t="s">
        <v>388</v>
      </c>
      <c r="FS99" s="166">
        <v>2012</v>
      </c>
      <c r="FT99" s="166" t="s">
        <v>395</v>
      </c>
    </row>
    <row r="100" spans="1:176" s="129" customFormat="1" ht="17">
      <c r="A100" s="166" t="s">
        <v>152</v>
      </c>
      <c r="B100" s="166" t="s">
        <v>183</v>
      </c>
      <c r="C100" s="166">
        <v>2018</v>
      </c>
      <c r="D100" s="166" t="s">
        <v>184</v>
      </c>
      <c r="E100" s="195">
        <v>13936.652170000001</v>
      </c>
      <c r="F100" s="166" t="s">
        <v>160</v>
      </c>
      <c r="G100" s="166" t="s">
        <v>160</v>
      </c>
      <c r="H100" s="190">
        <v>462.73110000000003</v>
      </c>
      <c r="I100" s="191">
        <v>194.00280000000004</v>
      </c>
      <c r="J100" s="191">
        <v>140.09980000000007</v>
      </c>
      <c r="K100" s="129" t="s">
        <v>457</v>
      </c>
      <c r="L100" s="131" t="s">
        <v>185</v>
      </c>
      <c r="M100" s="132" t="s">
        <v>186</v>
      </c>
      <c r="N100" s="129" t="s">
        <v>184</v>
      </c>
      <c r="O100" s="129">
        <v>761</v>
      </c>
      <c r="P100" s="129" t="s">
        <v>235</v>
      </c>
      <c r="Q100" s="129">
        <v>5</v>
      </c>
      <c r="R100" s="129" t="s">
        <v>401</v>
      </c>
      <c r="S100" s="129">
        <v>23</v>
      </c>
      <c r="T100" s="129">
        <v>25</v>
      </c>
      <c r="U100" s="129" t="s">
        <v>160</v>
      </c>
      <c r="V100" s="129">
        <v>42.5</v>
      </c>
      <c r="W100" s="129" t="s">
        <v>160</v>
      </c>
      <c r="X100" s="129" t="s">
        <v>390</v>
      </c>
      <c r="Y100" s="129">
        <v>-16.739999999999998</v>
      </c>
      <c r="Z100" s="129">
        <v>115.536</v>
      </c>
      <c r="AA100" s="129" t="s">
        <v>160</v>
      </c>
      <c r="AB100" s="129" t="s">
        <v>160</v>
      </c>
      <c r="AC100" s="136">
        <v>-2179</v>
      </c>
      <c r="AD100" s="129" t="s">
        <v>160</v>
      </c>
      <c r="AE100" s="129" t="s">
        <v>160</v>
      </c>
      <c r="AF100" s="178" t="s">
        <v>160</v>
      </c>
      <c r="AG100" s="129">
        <v>13936.652170000001</v>
      </c>
      <c r="AH100" s="138" t="s">
        <v>160</v>
      </c>
      <c r="AI100" s="138" t="s">
        <v>160</v>
      </c>
      <c r="AJ100" s="138" t="s">
        <v>160</v>
      </c>
      <c r="AK100" s="129" t="s">
        <v>237</v>
      </c>
      <c r="AL100" s="129" t="s">
        <v>238</v>
      </c>
      <c r="AM100" s="140" t="s">
        <v>239</v>
      </c>
      <c r="AN100" s="129" t="s">
        <v>160</v>
      </c>
      <c r="AO100" s="129" t="s">
        <v>160</v>
      </c>
      <c r="AP100" s="129" t="s">
        <v>160</v>
      </c>
      <c r="AQ100" s="129" t="s">
        <v>160</v>
      </c>
      <c r="AR100" s="129" t="s">
        <v>160</v>
      </c>
      <c r="AS100" s="129" t="s">
        <v>160</v>
      </c>
      <c r="AT100" s="129" t="s">
        <v>160</v>
      </c>
      <c r="AU100" s="129" t="s">
        <v>191</v>
      </c>
      <c r="AV100" s="129" t="s">
        <v>161</v>
      </c>
      <c r="AW100" s="129" t="s">
        <v>192</v>
      </c>
      <c r="AX100" s="129" t="s">
        <v>352</v>
      </c>
      <c r="AY100" s="129" t="s">
        <v>391</v>
      </c>
      <c r="AZ100" s="129" t="s">
        <v>325</v>
      </c>
      <c r="BA100" s="129" t="s">
        <v>162</v>
      </c>
      <c r="BB100" s="129" t="s">
        <v>402</v>
      </c>
      <c r="BC100" s="129">
        <v>2</v>
      </c>
      <c r="BD100" s="129">
        <v>0.22000000000000061</v>
      </c>
      <c r="BE100" s="129">
        <v>15.96</v>
      </c>
      <c r="BF100" s="129" t="s">
        <v>393</v>
      </c>
      <c r="BG100" s="129">
        <v>0.27</v>
      </c>
      <c r="BH100" s="129">
        <v>0.83299999999999996</v>
      </c>
      <c r="BI100" s="129" t="s">
        <v>160</v>
      </c>
      <c r="BJ100" s="138" t="s">
        <v>160</v>
      </c>
      <c r="BK100" s="129">
        <v>2.69</v>
      </c>
      <c r="BL100" s="129" t="s">
        <v>160</v>
      </c>
      <c r="BM100" s="129" t="s">
        <v>160</v>
      </c>
      <c r="BN100" s="129" t="s">
        <v>200</v>
      </c>
      <c r="BO100" s="129" t="s">
        <v>201</v>
      </c>
      <c r="BP100" s="151">
        <v>15.929737554830595</v>
      </c>
      <c r="BQ100" s="129" t="s">
        <v>202</v>
      </c>
      <c r="BR100" s="217"/>
      <c r="BS100" s="129" t="s">
        <v>160</v>
      </c>
      <c r="BT100" s="129" t="s">
        <v>160</v>
      </c>
      <c r="BU100" s="129">
        <v>10</v>
      </c>
      <c r="BV100" s="129" t="s">
        <v>159</v>
      </c>
      <c r="BW100" s="129">
        <v>10</v>
      </c>
      <c r="BX100" s="145">
        <v>27.797709799519573</v>
      </c>
      <c r="BY100" s="129" t="s">
        <v>159</v>
      </c>
      <c r="BZ100" s="129">
        <v>1</v>
      </c>
      <c r="CA100" s="129">
        <v>1</v>
      </c>
      <c r="CC100" s="129">
        <v>4.01</v>
      </c>
      <c r="CD100" s="129" t="s">
        <v>163</v>
      </c>
      <c r="CE100" s="144">
        <f t="shared" si="12"/>
        <v>0.10826999999999999</v>
      </c>
      <c r="CF100" s="144">
        <f t="shared" si="13"/>
        <v>0.10826999999999999</v>
      </c>
      <c r="CG100" s="145" t="s">
        <v>203</v>
      </c>
      <c r="CH100" s="129" t="s">
        <v>204</v>
      </c>
      <c r="CI100" s="129" t="s">
        <v>205</v>
      </c>
      <c r="CJ100" s="129" t="s">
        <v>206</v>
      </c>
      <c r="CK100" s="129" t="s">
        <v>158</v>
      </c>
      <c r="CL100" s="129" t="s">
        <v>158</v>
      </c>
      <c r="CM100" s="129" t="s">
        <v>158</v>
      </c>
      <c r="CN100" s="129" t="s">
        <v>160</v>
      </c>
      <c r="CO100" s="129" t="s">
        <v>160</v>
      </c>
      <c r="CP100" s="129" t="s">
        <v>160</v>
      </c>
      <c r="CQ100" s="129" t="s">
        <v>160</v>
      </c>
      <c r="CR100" s="129" t="s">
        <v>160</v>
      </c>
      <c r="CS100" s="129" t="s">
        <v>160</v>
      </c>
      <c r="CT100" s="129" t="s">
        <v>160</v>
      </c>
      <c r="CU100" s="129">
        <v>35</v>
      </c>
      <c r="CV100" s="129" t="s">
        <v>159</v>
      </c>
      <c r="CW100" s="146">
        <v>1</v>
      </c>
      <c r="CX100" s="129" t="s">
        <v>207</v>
      </c>
      <c r="CY100" s="129">
        <v>1.2995710508022999E-2</v>
      </c>
      <c r="CZ100" s="129" t="s">
        <v>159</v>
      </c>
      <c r="DA100" s="146">
        <v>2.5000000000000001E-3</v>
      </c>
      <c r="DB100" s="129" t="s">
        <v>208</v>
      </c>
      <c r="DC100" s="129">
        <v>4.7280488363036999E-2</v>
      </c>
      <c r="DD100" s="129" t="s">
        <v>159</v>
      </c>
      <c r="DE100" s="146">
        <v>2.5000000000000001E-3</v>
      </c>
      <c r="DF100" s="129" t="s">
        <v>209</v>
      </c>
      <c r="DG100" s="129" t="s">
        <v>160</v>
      </c>
      <c r="DH100" s="129" t="s">
        <v>160</v>
      </c>
      <c r="DI100" s="129" t="s">
        <v>160</v>
      </c>
      <c r="DJ100" s="129" t="s">
        <v>160</v>
      </c>
      <c r="DK100" s="145">
        <v>424.29</v>
      </c>
      <c r="DL100" s="129" t="s">
        <v>159</v>
      </c>
      <c r="DM100" s="145" t="s">
        <v>160</v>
      </c>
      <c r="DN100" s="129" t="s">
        <v>210</v>
      </c>
      <c r="DO100" s="129">
        <v>37.963569999999997</v>
      </c>
      <c r="DP100" s="129" t="s">
        <v>160</v>
      </c>
      <c r="DQ100" s="129">
        <v>0.67615500000000139</v>
      </c>
      <c r="DR100" s="129" t="s">
        <v>211</v>
      </c>
      <c r="DS100" s="129" t="s">
        <v>212</v>
      </c>
      <c r="DT100" s="129" t="s">
        <v>213</v>
      </c>
      <c r="DU100" s="129">
        <v>1.0271999999999999</v>
      </c>
      <c r="DV100" s="129" t="s">
        <v>214</v>
      </c>
      <c r="DW100" s="129" t="s">
        <v>214</v>
      </c>
      <c r="DX100" s="129" t="s">
        <v>215</v>
      </c>
      <c r="DY100" s="129" t="s">
        <v>160</v>
      </c>
      <c r="DZ100" s="129" t="s">
        <v>164</v>
      </c>
      <c r="EA100" s="129" t="s">
        <v>216</v>
      </c>
      <c r="EB100" s="129" t="s">
        <v>212</v>
      </c>
      <c r="EC100" s="129" t="s">
        <v>212</v>
      </c>
      <c r="ED100" s="129" t="s">
        <v>212</v>
      </c>
      <c r="EE100" s="129" t="s">
        <v>217</v>
      </c>
      <c r="EF100" s="147" t="s">
        <v>213</v>
      </c>
      <c r="EG100" s="148" t="s">
        <v>213</v>
      </c>
      <c r="EH100" s="129" t="s">
        <v>218</v>
      </c>
      <c r="EI100" s="129" t="s">
        <v>219</v>
      </c>
      <c r="EJ100" s="129" t="s">
        <v>160</v>
      </c>
      <c r="EK100" s="129">
        <v>1642.442</v>
      </c>
      <c r="EL100" s="129" t="s">
        <v>163</v>
      </c>
      <c r="EM100" s="150">
        <v>500</v>
      </c>
      <c r="EN100" s="150">
        <v>500</v>
      </c>
      <c r="EO100" s="129" t="s">
        <v>160</v>
      </c>
      <c r="EP100" s="129" t="s">
        <v>160</v>
      </c>
      <c r="EQ100" s="129" t="s">
        <v>160</v>
      </c>
      <c r="ER100" s="129" t="s">
        <v>160</v>
      </c>
      <c r="ES100" s="129">
        <v>7.9174020000000001</v>
      </c>
      <c r="ET100" s="142" t="s">
        <v>165</v>
      </c>
      <c r="EU100" s="129">
        <v>0.10188799999999976</v>
      </c>
      <c r="EV100" s="129">
        <v>0.11595599999999973</v>
      </c>
      <c r="EW100" s="142" t="s">
        <v>160</v>
      </c>
      <c r="EX100" s="129" t="s">
        <v>160</v>
      </c>
      <c r="EY100" s="129" t="s">
        <v>160</v>
      </c>
      <c r="EZ100" s="129">
        <v>462.73110000000003</v>
      </c>
      <c r="FA100" s="129">
        <v>194.00280000000004</v>
      </c>
      <c r="FB100" s="129">
        <v>140.09980000000007</v>
      </c>
      <c r="FC100" s="129" t="s">
        <v>220</v>
      </c>
      <c r="FD100" s="129" t="s">
        <v>221</v>
      </c>
      <c r="FE100" s="129">
        <v>1783.3980000000001</v>
      </c>
      <c r="FF100" s="129">
        <v>400.02700000000004</v>
      </c>
      <c r="FG100" s="129">
        <v>396.52700000000004</v>
      </c>
      <c r="FH100" s="129" t="s">
        <v>160</v>
      </c>
      <c r="FI100" s="129" t="s">
        <v>160</v>
      </c>
      <c r="FJ100" s="129" t="s">
        <v>160</v>
      </c>
      <c r="FK100" s="129" t="s">
        <v>160</v>
      </c>
      <c r="FL100" s="129" t="s">
        <v>160</v>
      </c>
      <c r="FM100" s="129" t="s">
        <v>160</v>
      </c>
      <c r="FN100" s="151">
        <v>3.077283</v>
      </c>
      <c r="FO100" s="151">
        <v>1.8505160000000003</v>
      </c>
      <c r="FP100" s="151">
        <v>1.346339</v>
      </c>
      <c r="FQ100" s="129" t="s">
        <v>414</v>
      </c>
      <c r="FR100" s="166" t="s">
        <v>388</v>
      </c>
      <c r="FS100" s="166">
        <v>2012</v>
      </c>
      <c r="FT100" s="166" t="s">
        <v>395</v>
      </c>
    </row>
    <row r="101" spans="1:176" s="129" customFormat="1" ht="17">
      <c r="A101" s="166" t="s">
        <v>152</v>
      </c>
      <c r="B101" s="166" t="s">
        <v>183</v>
      </c>
      <c r="C101" s="166">
        <v>2018</v>
      </c>
      <c r="D101" s="166" t="s">
        <v>184</v>
      </c>
      <c r="E101" s="195">
        <v>14184.21739</v>
      </c>
      <c r="F101" s="166" t="s">
        <v>160</v>
      </c>
      <c r="G101" s="166" t="s">
        <v>160</v>
      </c>
      <c r="H101" s="190">
        <v>632.87699999999995</v>
      </c>
      <c r="I101" s="191">
        <v>331.53670000000011</v>
      </c>
      <c r="J101" s="191">
        <v>206.44959999999998</v>
      </c>
      <c r="K101" s="129" t="s">
        <v>457</v>
      </c>
      <c r="L101" s="131" t="s">
        <v>185</v>
      </c>
      <c r="M101" s="132" t="s">
        <v>186</v>
      </c>
      <c r="N101" s="129" t="s">
        <v>184</v>
      </c>
      <c r="O101" s="129">
        <v>761</v>
      </c>
      <c r="P101" s="129" t="s">
        <v>235</v>
      </c>
      <c r="Q101" s="129">
        <v>6</v>
      </c>
      <c r="R101" s="129">
        <v>1</v>
      </c>
      <c r="S101" s="129">
        <v>133</v>
      </c>
      <c r="T101" s="129">
        <v>135</v>
      </c>
      <c r="U101" s="129" t="s">
        <v>160</v>
      </c>
      <c r="V101" s="129">
        <v>43.5</v>
      </c>
      <c r="W101" s="129" t="s">
        <v>160</v>
      </c>
      <c r="X101" s="129" t="s">
        <v>390</v>
      </c>
      <c r="Y101" s="129">
        <v>-16.739999999999998</v>
      </c>
      <c r="Z101" s="129">
        <v>115.536</v>
      </c>
      <c r="AA101" s="129" t="s">
        <v>160</v>
      </c>
      <c r="AB101" s="129" t="s">
        <v>160</v>
      </c>
      <c r="AC101" s="136">
        <v>-2179</v>
      </c>
      <c r="AD101" s="129" t="s">
        <v>160</v>
      </c>
      <c r="AE101" s="129" t="s">
        <v>160</v>
      </c>
      <c r="AF101" s="178" t="s">
        <v>160</v>
      </c>
      <c r="AG101" s="129">
        <v>14184.21739</v>
      </c>
      <c r="AH101" s="138" t="s">
        <v>160</v>
      </c>
      <c r="AI101" s="138" t="s">
        <v>160</v>
      </c>
      <c r="AJ101" s="138" t="s">
        <v>160</v>
      </c>
      <c r="AK101" s="129" t="s">
        <v>237</v>
      </c>
      <c r="AL101" s="129" t="s">
        <v>238</v>
      </c>
      <c r="AM101" s="140" t="s">
        <v>239</v>
      </c>
      <c r="AN101" s="129" t="s">
        <v>160</v>
      </c>
      <c r="AO101" s="129" t="s">
        <v>160</v>
      </c>
      <c r="AP101" s="129" t="s">
        <v>160</v>
      </c>
      <c r="AQ101" s="129" t="s">
        <v>160</v>
      </c>
      <c r="AR101" s="129" t="s">
        <v>160</v>
      </c>
      <c r="AS101" s="129" t="s">
        <v>160</v>
      </c>
      <c r="AT101" s="129" t="s">
        <v>160</v>
      </c>
      <c r="AU101" s="129" t="s">
        <v>191</v>
      </c>
      <c r="AV101" s="129" t="s">
        <v>161</v>
      </c>
      <c r="AW101" s="129" t="s">
        <v>192</v>
      </c>
      <c r="AX101" s="129" t="s">
        <v>352</v>
      </c>
      <c r="AY101" s="129" t="s">
        <v>391</v>
      </c>
      <c r="AZ101" s="129" t="s">
        <v>325</v>
      </c>
      <c r="BA101" s="129" t="s">
        <v>162</v>
      </c>
      <c r="BB101" s="129" t="s">
        <v>403</v>
      </c>
      <c r="BC101" s="129">
        <v>2</v>
      </c>
      <c r="BD101" s="129">
        <v>0.26999999999999957</v>
      </c>
      <c r="BE101" s="129">
        <v>15.04</v>
      </c>
      <c r="BF101" s="129" t="s">
        <v>393</v>
      </c>
      <c r="BG101" s="129">
        <v>0.37</v>
      </c>
      <c r="BH101" s="129">
        <v>0.83299999999999996</v>
      </c>
      <c r="BI101" s="129" t="s">
        <v>160</v>
      </c>
      <c r="BJ101" s="138" t="s">
        <v>160</v>
      </c>
      <c r="BK101" s="129">
        <v>2.69</v>
      </c>
      <c r="BL101" s="129" t="s">
        <v>160</v>
      </c>
      <c r="BM101" s="129" t="s">
        <v>160</v>
      </c>
      <c r="BN101" s="129" t="s">
        <v>200</v>
      </c>
      <c r="BO101" s="129" t="s">
        <v>201</v>
      </c>
      <c r="BP101" s="151">
        <v>14.831292973712612</v>
      </c>
      <c r="BQ101" s="129" t="s">
        <v>202</v>
      </c>
      <c r="BR101" s="217"/>
      <c r="BS101" s="129" t="s">
        <v>160</v>
      </c>
      <c r="BT101" s="129" t="s">
        <v>160</v>
      </c>
      <c r="BU101" s="129">
        <v>10</v>
      </c>
      <c r="BV101" s="129" t="s">
        <v>159</v>
      </c>
      <c r="BW101" s="129">
        <v>10</v>
      </c>
      <c r="BX101" s="145">
        <v>28.26698814329184</v>
      </c>
      <c r="BY101" s="129" t="s">
        <v>159</v>
      </c>
      <c r="BZ101" s="129">
        <v>1</v>
      </c>
      <c r="CA101" s="129">
        <v>1</v>
      </c>
      <c r="CC101" s="129">
        <v>4.17</v>
      </c>
      <c r="CD101" s="129" t="s">
        <v>163</v>
      </c>
      <c r="CE101" s="144">
        <f t="shared" si="12"/>
        <v>0.11259</v>
      </c>
      <c r="CF101" s="144">
        <f t="shared" si="13"/>
        <v>0.11259</v>
      </c>
      <c r="CG101" s="145" t="s">
        <v>203</v>
      </c>
      <c r="CH101" s="129" t="s">
        <v>204</v>
      </c>
      <c r="CI101" s="129" t="s">
        <v>205</v>
      </c>
      <c r="CJ101" s="129" t="s">
        <v>206</v>
      </c>
      <c r="CK101" s="129" t="s">
        <v>158</v>
      </c>
      <c r="CL101" s="129" t="s">
        <v>158</v>
      </c>
      <c r="CM101" s="129" t="s">
        <v>158</v>
      </c>
      <c r="CN101" s="129" t="s">
        <v>160</v>
      </c>
      <c r="CO101" s="129" t="s">
        <v>160</v>
      </c>
      <c r="CP101" s="129" t="s">
        <v>160</v>
      </c>
      <c r="CQ101" s="129" t="s">
        <v>160</v>
      </c>
      <c r="CR101" s="129" t="s">
        <v>160</v>
      </c>
      <c r="CS101" s="129" t="s">
        <v>160</v>
      </c>
      <c r="CT101" s="129" t="s">
        <v>160</v>
      </c>
      <c r="CU101" s="129">
        <v>35</v>
      </c>
      <c r="CV101" s="129" t="s">
        <v>159</v>
      </c>
      <c r="CW101" s="146">
        <v>1</v>
      </c>
      <c r="CX101" s="129" t="s">
        <v>207</v>
      </c>
      <c r="CY101" s="129">
        <v>1.3038266969341E-2</v>
      </c>
      <c r="CZ101" s="129" t="s">
        <v>159</v>
      </c>
      <c r="DA101" s="146">
        <v>2.5000000000000001E-3</v>
      </c>
      <c r="DB101" s="129" t="s">
        <v>208</v>
      </c>
      <c r="DC101" s="129">
        <v>4.7143361987679003E-2</v>
      </c>
      <c r="DD101" s="129" t="s">
        <v>159</v>
      </c>
      <c r="DE101" s="146">
        <v>2.5000000000000001E-3</v>
      </c>
      <c r="DF101" s="129" t="s">
        <v>209</v>
      </c>
      <c r="DG101" s="129" t="s">
        <v>160</v>
      </c>
      <c r="DH101" s="129" t="s">
        <v>160</v>
      </c>
      <c r="DI101" s="129" t="s">
        <v>160</v>
      </c>
      <c r="DJ101" s="129" t="s">
        <v>160</v>
      </c>
      <c r="DK101" s="145">
        <v>424.29</v>
      </c>
      <c r="DL101" s="129" t="s">
        <v>159</v>
      </c>
      <c r="DM101" s="145" t="s">
        <v>160</v>
      </c>
      <c r="DN101" s="129" t="s">
        <v>210</v>
      </c>
      <c r="DO101" s="129">
        <v>37.957639999999998</v>
      </c>
      <c r="DP101" s="129" t="s">
        <v>160</v>
      </c>
      <c r="DQ101" s="129">
        <v>0.6717000000000013</v>
      </c>
      <c r="DR101" s="129" t="s">
        <v>211</v>
      </c>
      <c r="DS101" s="129" t="s">
        <v>212</v>
      </c>
      <c r="DT101" s="129" t="s">
        <v>213</v>
      </c>
      <c r="DU101" s="129">
        <v>1.0271999999999999</v>
      </c>
      <c r="DV101" s="129" t="s">
        <v>214</v>
      </c>
      <c r="DW101" s="129" t="s">
        <v>214</v>
      </c>
      <c r="DX101" s="129" t="s">
        <v>215</v>
      </c>
      <c r="DY101" s="129" t="s">
        <v>160</v>
      </c>
      <c r="DZ101" s="129" t="s">
        <v>164</v>
      </c>
      <c r="EA101" s="129" t="s">
        <v>216</v>
      </c>
      <c r="EB101" s="129" t="s">
        <v>212</v>
      </c>
      <c r="EC101" s="129" t="s">
        <v>212</v>
      </c>
      <c r="ED101" s="129" t="s">
        <v>212</v>
      </c>
      <c r="EE101" s="129" t="s">
        <v>217</v>
      </c>
      <c r="EF101" s="147" t="s">
        <v>213</v>
      </c>
      <c r="EG101" s="148" t="s">
        <v>213</v>
      </c>
      <c r="EH101" s="129" t="s">
        <v>218</v>
      </c>
      <c r="EI101" s="129" t="s">
        <v>219</v>
      </c>
      <c r="EJ101" s="129" t="s">
        <v>160</v>
      </c>
      <c r="EK101" s="129">
        <v>1633.546</v>
      </c>
      <c r="EL101" s="129" t="s">
        <v>163</v>
      </c>
      <c r="EM101" s="150">
        <v>500</v>
      </c>
      <c r="EN101" s="150">
        <v>500</v>
      </c>
      <c r="EO101" s="129" t="s">
        <v>160</v>
      </c>
      <c r="EP101" s="129" t="s">
        <v>160</v>
      </c>
      <c r="EQ101" s="129" t="s">
        <v>160</v>
      </c>
      <c r="ER101" s="129" t="s">
        <v>160</v>
      </c>
      <c r="ES101" s="129">
        <v>7.7842919999999998</v>
      </c>
      <c r="ET101" s="142" t="s">
        <v>165</v>
      </c>
      <c r="EU101" s="129">
        <v>0.12544999999999984</v>
      </c>
      <c r="EV101" s="129">
        <v>0.14978200000000008</v>
      </c>
      <c r="EW101" s="142" t="s">
        <v>160</v>
      </c>
      <c r="EX101" s="129" t="s">
        <v>160</v>
      </c>
      <c r="EY101" s="129" t="s">
        <v>160</v>
      </c>
      <c r="EZ101" s="129">
        <v>632.87699999999995</v>
      </c>
      <c r="FA101" s="129">
        <v>331.53670000000011</v>
      </c>
      <c r="FB101" s="129">
        <v>206.44959999999998</v>
      </c>
      <c r="FC101" s="129" t="s">
        <v>220</v>
      </c>
      <c r="FD101" s="129" t="s">
        <v>221</v>
      </c>
      <c r="FE101" s="129">
        <v>1732.5159999999998</v>
      </c>
      <c r="FF101" s="129">
        <v>403.37500000000023</v>
      </c>
      <c r="FG101" s="129">
        <v>393.0469999999998</v>
      </c>
      <c r="FH101" s="129" t="s">
        <v>160</v>
      </c>
      <c r="FI101" s="129" t="s">
        <v>160</v>
      </c>
      <c r="FJ101" s="129" t="s">
        <v>160</v>
      </c>
      <c r="FK101" s="129" t="s">
        <v>160</v>
      </c>
      <c r="FL101" s="129" t="s">
        <v>160</v>
      </c>
      <c r="FM101" s="129" t="s">
        <v>160</v>
      </c>
      <c r="FN101" s="151">
        <v>2.3235380000000001</v>
      </c>
      <c r="FO101" s="151">
        <v>1.5452140000000001</v>
      </c>
      <c r="FP101" s="151">
        <v>1.0367090000000001</v>
      </c>
      <c r="FQ101" s="129" t="s">
        <v>414</v>
      </c>
      <c r="FR101" s="166" t="s">
        <v>388</v>
      </c>
      <c r="FS101" s="166">
        <v>2012</v>
      </c>
      <c r="FT101" s="166" t="s">
        <v>395</v>
      </c>
    </row>
    <row r="102" spans="1:176" s="129" customFormat="1" ht="17">
      <c r="A102" s="166" t="s">
        <v>152</v>
      </c>
      <c r="B102" s="166" t="s">
        <v>183</v>
      </c>
      <c r="C102" s="166">
        <v>2018</v>
      </c>
      <c r="D102" s="166" t="s">
        <v>184</v>
      </c>
      <c r="E102" s="195">
        <v>15136.5625</v>
      </c>
      <c r="F102" s="166" t="s">
        <v>160</v>
      </c>
      <c r="G102" s="166" t="s">
        <v>160</v>
      </c>
      <c r="H102" s="190">
        <v>547.34990000000005</v>
      </c>
      <c r="I102" s="191">
        <v>272.7562999999999</v>
      </c>
      <c r="J102" s="191">
        <v>174.60850000000005</v>
      </c>
      <c r="K102" s="129" t="s">
        <v>457</v>
      </c>
      <c r="L102" s="131" t="s">
        <v>185</v>
      </c>
      <c r="M102" s="132" t="s">
        <v>186</v>
      </c>
      <c r="N102" s="129" t="s">
        <v>184</v>
      </c>
      <c r="O102" s="129">
        <v>761</v>
      </c>
      <c r="P102" s="129" t="s">
        <v>235</v>
      </c>
      <c r="Q102" s="129">
        <v>6</v>
      </c>
      <c r="R102" s="129">
        <v>2</v>
      </c>
      <c r="S102" s="129">
        <v>63</v>
      </c>
      <c r="T102" s="129">
        <v>65</v>
      </c>
      <c r="U102" s="129" t="s">
        <v>160</v>
      </c>
      <c r="V102" s="129">
        <v>44.3</v>
      </c>
      <c r="W102" s="129" t="s">
        <v>160</v>
      </c>
      <c r="X102" s="129" t="s">
        <v>390</v>
      </c>
      <c r="Y102" s="129">
        <v>-16.739999999999998</v>
      </c>
      <c r="Z102" s="129">
        <v>115.536</v>
      </c>
      <c r="AA102" s="129" t="s">
        <v>160</v>
      </c>
      <c r="AB102" s="129" t="s">
        <v>160</v>
      </c>
      <c r="AC102" s="136">
        <v>-2179</v>
      </c>
      <c r="AD102" s="129" t="s">
        <v>160</v>
      </c>
      <c r="AE102" s="129" t="s">
        <v>160</v>
      </c>
      <c r="AF102" s="178" t="s">
        <v>160</v>
      </c>
      <c r="AG102" s="129">
        <v>15136.5625</v>
      </c>
      <c r="AH102" s="138" t="s">
        <v>160</v>
      </c>
      <c r="AI102" s="138" t="s">
        <v>160</v>
      </c>
      <c r="AJ102" s="138" t="s">
        <v>160</v>
      </c>
      <c r="AK102" s="129" t="s">
        <v>237</v>
      </c>
      <c r="AL102" s="129" t="s">
        <v>238</v>
      </c>
      <c r="AM102" s="140" t="s">
        <v>239</v>
      </c>
      <c r="AN102" s="129" t="s">
        <v>160</v>
      </c>
      <c r="AO102" s="129" t="s">
        <v>160</v>
      </c>
      <c r="AP102" s="129" t="s">
        <v>160</v>
      </c>
      <c r="AQ102" s="129" t="s">
        <v>160</v>
      </c>
      <c r="AR102" s="129" t="s">
        <v>160</v>
      </c>
      <c r="AS102" s="129" t="s">
        <v>160</v>
      </c>
      <c r="AT102" s="129" t="s">
        <v>160</v>
      </c>
      <c r="AU102" s="129" t="s">
        <v>191</v>
      </c>
      <c r="AV102" s="129" t="s">
        <v>161</v>
      </c>
      <c r="AW102" s="129" t="s">
        <v>192</v>
      </c>
      <c r="AX102" s="129" t="s">
        <v>352</v>
      </c>
      <c r="AY102" s="129" t="s">
        <v>391</v>
      </c>
      <c r="AZ102" s="129" t="s">
        <v>325</v>
      </c>
      <c r="BA102" s="129" t="s">
        <v>162</v>
      </c>
      <c r="BB102" s="129" t="s">
        <v>404</v>
      </c>
      <c r="BC102" s="129">
        <v>2</v>
      </c>
      <c r="BD102" s="129">
        <v>0.56999999999999851</v>
      </c>
      <c r="BE102" s="129">
        <v>15.34</v>
      </c>
      <c r="BF102" s="129" t="s">
        <v>393</v>
      </c>
      <c r="BG102" s="129">
        <v>0.4</v>
      </c>
      <c r="BH102" s="129">
        <v>0.83299999999999996</v>
      </c>
      <c r="BI102" s="129" t="s">
        <v>160</v>
      </c>
      <c r="BJ102" s="138" t="s">
        <v>160</v>
      </c>
      <c r="BK102" s="129">
        <v>2.69</v>
      </c>
      <c r="BL102" s="129" t="s">
        <v>160</v>
      </c>
      <c r="BM102" s="129" t="s">
        <v>160</v>
      </c>
      <c r="BN102" s="129" t="s">
        <v>200</v>
      </c>
      <c r="BO102" s="129" t="s">
        <v>201</v>
      </c>
      <c r="BP102" s="151">
        <v>15.181629205947045</v>
      </c>
      <c r="BQ102" s="129" t="s">
        <v>202</v>
      </c>
      <c r="BR102" s="217"/>
      <c r="BS102" s="129" t="s">
        <v>160</v>
      </c>
      <c r="BT102" s="129" t="s">
        <v>160</v>
      </c>
      <c r="BU102" s="129">
        <v>10</v>
      </c>
      <c r="BV102" s="129" t="s">
        <v>159</v>
      </c>
      <c r="BW102" s="129">
        <v>10</v>
      </c>
      <c r="BX102" s="145">
        <v>27.743967394045324</v>
      </c>
      <c r="BY102" s="129" t="s">
        <v>159</v>
      </c>
      <c r="BZ102" s="129">
        <v>1</v>
      </c>
      <c r="CA102" s="129">
        <v>1</v>
      </c>
      <c r="CC102" s="129">
        <v>3.94</v>
      </c>
      <c r="CD102" s="129" t="s">
        <v>163</v>
      </c>
      <c r="CE102" s="144">
        <f t="shared" si="12"/>
        <v>0.10638</v>
      </c>
      <c r="CF102" s="144">
        <f t="shared" si="13"/>
        <v>0.10638</v>
      </c>
      <c r="CG102" s="145" t="s">
        <v>203</v>
      </c>
      <c r="CH102" s="129" t="s">
        <v>204</v>
      </c>
      <c r="CI102" s="129" t="s">
        <v>205</v>
      </c>
      <c r="CJ102" s="129" t="s">
        <v>206</v>
      </c>
      <c r="CK102" s="129" t="s">
        <v>158</v>
      </c>
      <c r="CL102" s="129" t="s">
        <v>158</v>
      </c>
      <c r="CM102" s="129" t="s">
        <v>158</v>
      </c>
      <c r="CN102" s="129" t="s">
        <v>160</v>
      </c>
      <c r="CO102" s="129" t="s">
        <v>160</v>
      </c>
      <c r="CP102" s="129" t="s">
        <v>160</v>
      </c>
      <c r="CQ102" s="129" t="s">
        <v>160</v>
      </c>
      <c r="CR102" s="129" t="s">
        <v>160</v>
      </c>
      <c r="CS102" s="129" t="s">
        <v>160</v>
      </c>
      <c r="CT102" s="129" t="s">
        <v>160</v>
      </c>
      <c r="CU102" s="129">
        <v>35</v>
      </c>
      <c r="CV102" s="129" t="s">
        <v>159</v>
      </c>
      <c r="CW102" s="146">
        <v>1</v>
      </c>
      <c r="CX102" s="129" t="s">
        <v>207</v>
      </c>
      <c r="CY102" s="129">
        <v>1.320197509375E-2</v>
      </c>
      <c r="CZ102" s="129" t="s">
        <v>159</v>
      </c>
      <c r="DA102" s="146">
        <v>2.5000000000000001E-3</v>
      </c>
      <c r="DB102" s="129" t="s">
        <v>208</v>
      </c>
      <c r="DC102" s="129">
        <v>4.6615858031249999E-2</v>
      </c>
      <c r="DD102" s="129" t="s">
        <v>159</v>
      </c>
      <c r="DE102" s="146">
        <v>2.5000000000000001E-3</v>
      </c>
      <c r="DF102" s="129" t="s">
        <v>209</v>
      </c>
      <c r="DG102" s="129" t="s">
        <v>160</v>
      </c>
      <c r="DH102" s="129" t="s">
        <v>160</v>
      </c>
      <c r="DI102" s="129" t="s">
        <v>160</v>
      </c>
      <c r="DJ102" s="129" t="s">
        <v>160</v>
      </c>
      <c r="DK102" s="145">
        <v>424.29</v>
      </c>
      <c r="DL102" s="129" t="s">
        <v>159</v>
      </c>
      <c r="DM102" s="145" t="s">
        <v>160</v>
      </c>
      <c r="DN102" s="129" t="s">
        <v>210</v>
      </c>
      <c r="DO102" s="129">
        <v>37.916589999999999</v>
      </c>
      <c r="DP102" s="129" t="s">
        <v>160</v>
      </c>
      <c r="DQ102" s="129">
        <v>0.67541500000000099</v>
      </c>
      <c r="DR102" s="129" t="s">
        <v>211</v>
      </c>
      <c r="DS102" s="129" t="s">
        <v>212</v>
      </c>
      <c r="DT102" s="129" t="s">
        <v>213</v>
      </c>
      <c r="DU102" s="129">
        <v>1.0271999999999999</v>
      </c>
      <c r="DV102" s="129" t="s">
        <v>214</v>
      </c>
      <c r="DW102" s="129" t="s">
        <v>214</v>
      </c>
      <c r="DX102" s="129" t="s">
        <v>215</v>
      </c>
      <c r="DY102" s="129" t="s">
        <v>160</v>
      </c>
      <c r="DZ102" s="129" t="s">
        <v>164</v>
      </c>
      <c r="EA102" s="129" t="s">
        <v>216</v>
      </c>
      <c r="EB102" s="129" t="s">
        <v>212</v>
      </c>
      <c r="EC102" s="129" t="s">
        <v>212</v>
      </c>
      <c r="ED102" s="129" t="s">
        <v>212</v>
      </c>
      <c r="EE102" s="129" t="s">
        <v>217</v>
      </c>
      <c r="EF102" s="147" t="s">
        <v>213</v>
      </c>
      <c r="EG102" s="148" t="s">
        <v>213</v>
      </c>
      <c r="EH102" s="129" t="s">
        <v>218</v>
      </c>
      <c r="EI102" s="129" t="s">
        <v>219</v>
      </c>
      <c r="EJ102" s="129" t="s">
        <v>160</v>
      </c>
      <c r="EK102" s="129">
        <v>1607.9</v>
      </c>
      <c r="EL102" s="129" t="s">
        <v>163</v>
      </c>
      <c r="EM102" s="150">
        <v>500</v>
      </c>
      <c r="EN102" s="150">
        <v>500</v>
      </c>
      <c r="EO102" s="129" t="s">
        <v>160</v>
      </c>
      <c r="EP102" s="129" t="s">
        <v>160</v>
      </c>
      <c r="EQ102" s="129" t="s">
        <v>160</v>
      </c>
      <c r="ER102" s="129" t="s">
        <v>160</v>
      </c>
      <c r="ES102" s="129">
        <v>7.83758</v>
      </c>
      <c r="ET102" s="142" t="s">
        <v>165</v>
      </c>
      <c r="EU102" s="129">
        <v>0.11807600000000029</v>
      </c>
      <c r="EV102" s="129">
        <v>0.14152100000000001</v>
      </c>
      <c r="EW102" s="142" t="s">
        <v>160</v>
      </c>
      <c r="EX102" s="129" t="s">
        <v>160</v>
      </c>
      <c r="EY102" s="129" t="s">
        <v>160</v>
      </c>
      <c r="EZ102" s="129">
        <v>547.34990000000005</v>
      </c>
      <c r="FA102" s="129">
        <v>272.7562999999999</v>
      </c>
      <c r="FB102" s="129">
        <v>174.60850000000005</v>
      </c>
      <c r="FC102" s="129" t="s">
        <v>220</v>
      </c>
      <c r="FD102" s="129" t="s">
        <v>221</v>
      </c>
      <c r="FE102" s="129">
        <v>1720.135</v>
      </c>
      <c r="FF102" s="129">
        <v>393.33799999999997</v>
      </c>
      <c r="FG102" s="129">
        <v>396.37300000000005</v>
      </c>
      <c r="FH102" s="129" t="s">
        <v>160</v>
      </c>
      <c r="FI102" s="129" t="s">
        <v>160</v>
      </c>
      <c r="FJ102" s="129" t="s">
        <v>160</v>
      </c>
      <c r="FK102" s="129" t="s">
        <v>160</v>
      </c>
      <c r="FL102" s="129" t="s">
        <v>160</v>
      </c>
      <c r="FM102" s="129" t="s">
        <v>160</v>
      </c>
      <c r="FN102" s="151">
        <v>2.5600809999999998</v>
      </c>
      <c r="FO102" s="151">
        <v>1.5935010000000003</v>
      </c>
      <c r="FP102" s="151">
        <v>1.1703469999999998</v>
      </c>
      <c r="FQ102" s="129" t="s">
        <v>414</v>
      </c>
      <c r="FR102" s="166" t="s">
        <v>388</v>
      </c>
      <c r="FS102" s="166">
        <v>2012</v>
      </c>
      <c r="FT102" s="166" t="s">
        <v>395</v>
      </c>
    </row>
    <row r="103" spans="1:176" s="129" customFormat="1" ht="17">
      <c r="A103" s="166" t="s">
        <v>152</v>
      </c>
      <c r="B103" s="166" t="s">
        <v>183</v>
      </c>
      <c r="C103" s="166">
        <v>2018</v>
      </c>
      <c r="D103" s="166" t="s">
        <v>184</v>
      </c>
      <c r="E103" s="195">
        <v>15670.9375</v>
      </c>
      <c r="F103" s="166" t="s">
        <v>160</v>
      </c>
      <c r="G103" s="166" t="s">
        <v>160</v>
      </c>
      <c r="H103" s="190">
        <v>490.47990000000004</v>
      </c>
      <c r="I103" s="191">
        <v>222.04759999999987</v>
      </c>
      <c r="J103" s="191">
        <v>149.84060000000005</v>
      </c>
      <c r="K103" s="129" t="s">
        <v>457</v>
      </c>
      <c r="L103" s="131" t="s">
        <v>185</v>
      </c>
      <c r="M103" s="132" t="s">
        <v>186</v>
      </c>
      <c r="N103" s="129" t="s">
        <v>184</v>
      </c>
      <c r="O103" s="129">
        <v>761</v>
      </c>
      <c r="P103" s="129" t="s">
        <v>235</v>
      </c>
      <c r="Q103" s="129">
        <v>6</v>
      </c>
      <c r="R103" s="129">
        <v>3</v>
      </c>
      <c r="S103" s="129">
        <v>103</v>
      </c>
      <c r="T103" s="129">
        <v>105</v>
      </c>
      <c r="U103" s="129" t="s">
        <v>160</v>
      </c>
      <c r="V103" s="129">
        <v>46.2</v>
      </c>
      <c r="W103" s="129" t="s">
        <v>160</v>
      </c>
      <c r="X103" s="129" t="s">
        <v>390</v>
      </c>
      <c r="Y103" s="129">
        <v>-16.739999999999998</v>
      </c>
      <c r="Z103" s="129">
        <v>115.536</v>
      </c>
      <c r="AA103" s="129" t="s">
        <v>160</v>
      </c>
      <c r="AB103" s="129" t="s">
        <v>160</v>
      </c>
      <c r="AC103" s="136">
        <v>-2179</v>
      </c>
      <c r="AD103" s="129" t="s">
        <v>160</v>
      </c>
      <c r="AE103" s="129" t="s">
        <v>160</v>
      </c>
      <c r="AF103" s="178" t="s">
        <v>160</v>
      </c>
      <c r="AG103" s="129">
        <v>15670.9375</v>
      </c>
      <c r="AH103" s="138" t="s">
        <v>160</v>
      </c>
      <c r="AI103" s="138" t="s">
        <v>160</v>
      </c>
      <c r="AJ103" s="138" t="s">
        <v>160</v>
      </c>
      <c r="AK103" s="129" t="s">
        <v>237</v>
      </c>
      <c r="AL103" s="129" t="s">
        <v>238</v>
      </c>
      <c r="AM103" s="140" t="s">
        <v>239</v>
      </c>
      <c r="AN103" s="129" t="s">
        <v>160</v>
      </c>
      <c r="AO103" s="129" t="s">
        <v>160</v>
      </c>
      <c r="AP103" s="129" t="s">
        <v>160</v>
      </c>
      <c r="AQ103" s="129" t="s">
        <v>160</v>
      </c>
      <c r="AR103" s="129" t="s">
        <v>160</v>
      </c>
      <c r="AS103" s="129" t="s">
        <v>160</v>
      </c>
      <c r="AT103" s="129" t="s">
        <v>160</v>
      </c>
      <c r="AU103" s="129" t="s">
        <v>191</v>
      </c>
      <c r="AV103" s="129" t="s">
        <v>161</v>
      </c>
      <c r="AW103" s="129" t="s">
        <v>192</v>
      </c>
      <c r="AX103" s="129" t="s">
        <v>352</v>
      </c>
      <c r="AY103" s="129" t="s">
        <v>391</v>
      </c>
      <c r="AZ103" s="129" t="s">
        <v>325</v>
      </c>
      <c r="BA103" s="129" t="s">
        <v>162</v>
      </c>
      <c r="BB103" s="129" t="s">
        <v>405</v>
      </c>
      <c r="BC103" s="129">
        <v>2</v>
      </c>
      <c r="BD103" s="129">
        <v>0.17999999999999972</v>
      </c>
      <c r="BE103" s="129">
        <v>15.84</v>
      </c>
      <c r="BF103" s="129" t="s">
        <v>393</v>
      </c>
      <c r="BG103" s="129">
        <v>0.28999999999999998</v>
      </c>
      <c r="BH103" s="129">
        <v>0.83299999999999996</v>
      </c>
      <c r="BI103" s="129" t="s">
        <v>160</v>
      </c>
      <c r="BJ103" s="138" t="s">
        <v>160</v>
      </c>
      <c r="BK103" s="129">
        <v>2.69</v>
      </c>
      <c r="BL103" s="129" t="s">
        <v>160</v>
      </c>
      <c r="BM103" s="129" t="s">
        <v>160</v>
      </c>
      <c r="BN103" s="129" t="s">
        <v>200</v>
      </c>
      <c r="BO103" s="129" t="s">
        <v>201</v>
      </c>
      <c r="BP103" s="151">
        <v>15.783003667627233</v>
      </c>
      <c r="BQ103" s="129" t="s">
        <v>202</v>
      </c>
      <c r="BR103" s="217"/>
      <c r="BS103" s="129" t="s">
        <v>160</v>
      </c>
      <c r="BT103" s="129" t="s">
        <v>160</v>
      </c>
      <c r="BU103" s="129">
        <v>10</v>
      </c>
      <c r="BV103" s="129" t="s">
        <v>159</v>
      </c>
      <c r="BW103" s="129">
        <v>10</v>
      </c>
      <c r="BX103" s="145">
        <v>29.747018427663829</v>
      </c>
      <c r="BY103" s="129" t="s">
        <v>159</v>
      </c>
      <c r="BZ103" s="129">
        <v>1</v>
      </c>
      <c r="CA103" s="129">
        <v>1</v>
      </c>
      <c r="CC103" s="129">
        <v>4.6900000000000004</v>
      </c>
      <c r="CD103" s="129" t="s">
        <v>163</v>
      </c>
      <c r="CE103" s="144">
        <f t="shared" si="12"/>
        <v>0.12663000000000002</v>
      </c>
      <c r="CF103" s="144">
        <f t="shared" si="13"/>
        <v>0.12663000000000002</v>
      </c>
      <c r="CG103" s="145" t="s">
        <v>203</v>
      </c>
      <c r="CH103" s="129" t="s">
        <v>204</v>
      </c>
      <c r="CI103" s="129" t="s">
        <v>205</v>
      </c>
      <c r="CJ103" s="129" t="s">
        <v>206</v>
      </c>
      <c r="CK103" s="129" t="s">
        <v>158</v>
      </c>
      <c r="CL103" s="129" t="s">
        <v>158</v>
      </c>
      <c r="CM103" s="129" t="s">
        <v>158</v>
      </c>
      <c r="CN103" s="129" t="s">
        <v>160</v>
      </c>
      <c r="CO103" s="129" t="s">
        <v>160</v>
      </c>
      <c r="CP103" s="129" t="s">
        <v>160</v>
      </c>
      <c r="CQ103" s="129" t="s">
        <v>160</v>
      </c>
      <c r="CR103" s="129" t="s">
        <v>160</v>
      </c>
      <c r="CS103" s="129" t="s">
        <v>160</v>
      </c>
      <c r="CT103" s="129" t="s">
        <v>160</v>
      </c>
      <c r="CU103" s="129">
        <v>35</v>
      </c>
      <c r="CV103" s="129" t="s">
        <v>159</v>
      </c>
      <c r="CW103" s="146">
        <v>1</v>
      </c>
      <c r="CX103" s="129" t="s">
        <v>207</v>
      </c>
      <c r="CY103" s="129">
        <v>1.329383415625E-2</v>
      </c>
      <c r="CZ103" s="129" t="s">
        <v>159</v>
      </c>
      <c r="DA103" s="146">
        <v>2.5000000000000001E-3</v>
      </c>
      <c r="DB103" s="129" t="s">
        <v>208</v>
      </c>
      <c r="DC103" s="129">
        <v>4.6319867718750005E-2</v>
      </c>
      <c r="DD103" s="129" t="s">
        <v>159</v>
      </c>
      <c r="DE103" s="146">
        <v>2.5000000000000001E-3</v>
      </c>
      <c r="DF103" s="129" t="s">
        <v>209</v>
      </c>
      <c r="DG103" s="129" t="s">
        <v>160</v>
      </c>
      <c r="DH103" s="129" t="s">
        <v>160</v>
      </c>
      <c r="DI103" s="129" t="s">
        <v>160</v>
      </c>
      <c r="DJ103" s="129" t="s">
        <v>160</v>
      </c>
      <c r="DK103" s="145">
        <v>424.29</v>
      </c>
      <c r="DL103" s="129" t="s">
        <v>159</v>
      </c>
      <c r="DM103" s="145" t="s">
        <v>160</v>
      </c>
      <c r="DN103" s="129" t="s">
        <v>210</v>
      </c>
      <c r="DO103" s="129">
        <v>37.89808</v>
      </c>
      <c r="DP103" s="129" t="s">
        <v>160</v>
      </c>
      <c r="DQ103" s="129">
        <v>0.67426999999999992</v>
      </c>
      <c r="DR103" s="129" t="s">
        <v>211</v>
      </c>
      <c r="DS103" s="129" t="s">
        <v>212</v>
      </c>
      <c r="DT103" s="129" t="s">
        <v>213</v>
      </c>
      <c r="DU103" s="129">
        <v>1.0271999999999999</v>
      </c>
      <c r="DV103" s="129" t="s">
        <v>214</v>
      </c>
      <c r="DW103" s="129" t="s">
        <v>214</v>
      </c>
      <c r="DX103" s="129" t="s">
        <v>215</v>
      </c>
      <c r="DY103" s="129" t="s">
        <v>160</v>
      </c>
      <c r="DZ103" s="129" t="s">
        <v>164</v>
      </c>
      <c r="EA103" s="129" t="s">
        <v>216</v>
      </c>
      <c r="EB103" s="129" t="s">
        <v>212</v>
      </c>
      <c r="EC103" s="129" t="s">
        <v>212</v>
      </c>
      <c r="ED103" s="129" t="s">
        <v>212</v>
      </c>
      <c r="EE103" s="129" t="s">
        <v>217</v>
      </c>
      <c r="EF103" s="147" t="s">
        <v>213</v>
      </c>
      <c r="EG103" s="148" t="s">
        <v>213</v>
      </c>
      <c r="EH103" s="129" t="s">
        <v>218</v>
      </c>
      <c r="EI103" s="129" t="s">
        <v>219</v>
      </c>
      <c r="EJ103" s="129" t="s">
        <v>160</v>
      </c>
      <c r="EK103" s="129">
        <v>1592.9189999999999</v>
      </c>
      <c r="EL103" s="129" t="s">
        <v>163</v>
      </c>
      <c r="EM103" s="150">
        <v>500</v>
      </c>
      <c r="EN103" s="150">
        <v>500</v>
      </c>
      <c r="EO103" s="129" t="s">
        <v>160</v>
      </c>
      <c r="EP103" s="129" t="s">
        <v>160</v>
      </c>
      <c r="EQ103" s="129" t="s">
        <v>160</v>
      </c>
      <c r="ER103" s="129" t="s">
        <v>160</v>
      </c>
      <c r="ES103" s="129">
        <v>7.8837590000000004</v>
      </c>
      <c r="ET103" s="142" t="s">
        <v>165</v>
      </c>
      <c r="EU103" s="129">
        <v>0.10478199999999926</v>
      </c>
      <c r="EV103" s="129">
        <v>0.12034900000000004</v>
      </c>
      <c r="EW103" s="142" t="s">
        <v>160</v>
      </c>
      <c r="EX103" s="129" t="s">
        <v>160</v>
      </c>
      <c r="EY103" s="129" t="s">
        <v>160</v>
      </c>
      <c r="EZ103" s="129">
        <v>490.47990000000004</v>
      </c>
      <c r="FA103" s="129">
        <v>222.04759999999987</v>
      </c>
      <c r="FB103" s="129">
        <v>149.84060000000005</v>
      </c>
      <c r="FC103" s="129" t="s">
        <v>220</v>
      </c>
      <c r="FD103" s="129" t="s">
        <v>221</v>
      </c>
      <c r="FE103" s="129">
        <v>1729.3829999999998</v>
      </c>
      <c r="FF103" s="129">
        <v>398.20400000000018</v>
      </c>
      <c r="FG103" s="129">
        <v>384.41599999999971</v>
      </c>
      <c r="FH103" s="129" t="s">
        <v>160</v>
      </c>
      <c r="FI103" s="129" t="s">
        <v>160</v>
      </c>
      <c r="FJ103" s="129" t="s">
        <v>160</v>
      </c>
      <c r="FK103" s="129" t="s">
        <v>160</v>
      </c>
      <c r="FL103" s="129" t="s">
        <v>160</v>
      </c>
      <c r="FM103" s="129" t="s">
        <v>160</v>
      </c>
      <c r="FN103" s="151">
        <v>3.0779909999999999</v>
      </c>
      <c r="FO103" s="151">
        <v>1.7749420000000002</v>
      </c>
      <c r="FP103" s="151">
        <v>1.3571579999999999</v>
      </c>
      <c r="FQ103" s="129" t="s">
        <v>414</v>
      </c>
      <c r="FR103" s="166" t="s">
        <v>388</v>
      </c>
      <c r="FS103" s="166">
        <v>2012</v>
      </c>
      <c r="FT103" s="166" t="s">
        <v>395</v>
      </c>
    </row>
    <row r="104" spans="1:176" s="129" customFormat="1" ht="17">
      <c r="A104" s="166" t="s">
        <v>152</v>
      </c>
      <c r="B104" s="166" t="s">
        <v>183</v>
      </c>
      <c r="C104" s="166">
        <v>2018</v>
      </c>
      <c r="D104" s="166" t="s">
        <v>184</v>
      </c>
      <c r="E104" s="195">
        <v>15994.375</v>
      </c>
      <c r="F104" s="166" t="s">
        <v>160</v>
      </c>
      <c r="G104" s="166" t="s">
        <v>160</v>
      </c>
      <c r="H104" s="190">
        <v>642.62710000000004</v>
      </c>
      <c r="I104" s="191">
        <v>353.7983999999999</v>
      </c>
      <c r="J104" s="191">
        <v>214.22300000000007</v>
      </c>
      <c r="K104" s="129" t="s">
        <v>457</v>
      </c>
      <c r="L104" s="131" t="s">
        <v>185</v>
      </c>
      <c r="M104" s="132" t="s">
        <v>186</v>
      </c>
      <c r="N104" s="129" t="s">
        <v>184</v>
      </c>
      <c r="O104" s="129">
        <v>761</v>
      </c>
      <c r="P104" s="129" t="s">
        <v>235</v>
      </c>
      <c r="Q104" s="129">
        <v>6</v>
      </c>
      <c r="R104" s="129">
        <v>4</v>
      </c>
      <c r="S104" s="129">
        <v>68</v>
      </c>
      <c r="T104" s="129">
        <v>70</v>
      </c>
      <c r="U104" s="129" t="s">
        <v>160</v>
      </c>
      <c r="V104" s="129">
        <v>47.4</v>
      </c>
      <c r="W104" s="129" t="s">
        <v>160</v>
      </c>
      <c r="X104" s="129" t="s">
        <v>390</v>
      </c>
      <c r="Y104" s="129">
        <v>-16.739999999999998</v>
      </c>
      <c r="Z104" s="129">
        <v>115.536</v>
      </c>
      <c r="AA104" s="129" t="s">
        <v>160</v>
      </c>
      <c r="AB104" s="129" t="s">
        <v>160</v>
      </c>
      <c r="AC104" s="136">
        <v>-2179</v>
      </c>
      <c r="AD104" s="129" t="s">
        <v>160</v>
      </c>
      <c r="AE104" s="129" t="s">
        <v>160</v>
      </c>
      <c r="AF104" s="178" t="s">
        <v>160</v>
      </c>
      <c r="AG104" s="129">
        <v>15994.375</v>
      </c>
      <c r="AH104" s="138" t="s">
        <v>160</v>
      </c>
      <c r="AI104" s="138" t="s">
        <v>160</v>
      </c>
      <c r="AJ104" s="138" t="s">
        <v>160</v>
      </c>
      <c r="AK104" s="129" t="s">
        <v>237</v>
      </c>
      <c r="AL104" s="129" t="s">
        <v>238</v>
      </c>
      <c r="AM104" s="140" t="s">
        <v>239</v>
      </c>
      <c r="AN104" s="129" t="s">
        <v>160</v>
      </c>
      <c r="AO104" s="129" t="s">
        <v>160</v>
      </c>
      <c r="AP104" s="129" t="s">
        <v>160</v>
      </c>
      <c r="AQ104" s="129" t="s">
        <v>160</v>
      </c>
      <c r="AR104" s="129" t="s">
        <v>160</v>
      </c>
      <c r="AS104" s="129" t="s">
        <v>160</v>
      </c>
      <c r="AT104" s="129" t="s">
        <v>160</v>
      </c>
      <c r="AU104" s="129" t="s">
        <v>191</v>
      </c>
      <c r="AV104" s="129" t="s">
        <v>161</v>
      </c>
      <c r="AW104" s="129" t="s">
        <v>192</v>
      </c>
      <c r="AX104" s="129" t="s">
        <v>352</v>
      </c>
      <c r="AY104" s="129" t="s">
        <v>391</v>
      </c>
      <c r="AZ104" s="129" t="s">
        <v>325</v>
      </c>
      <c r="BA104" s="129" t="s">
        <v>162</v>
      </c>
      <c r="BB104" s="129" t="s">
        <v>406</v>
      </c>
      <c r="BC104" s="129">
        <v>2</v>
      </c>
      <c r="BD104" s="129">
        <v>0.73999999999999844</v>
      </c>
      <c r="BE104" s="129">
        <v>15</v>
      </c>
      <c r="BF104" s="129" t="s">
        <v>393</v>
      </c>
      <c r="BG104" s="129">
        <v>0.41</v>
      </c>
      <c r="BH104" s="129">
        <v>0.83299999999999996</v>
      </c>
      <c r="BI104" s="129" t="s">
        <v>160</v>
      </c>
      <c r="BJ104" s="138" t="s">
        <v>160</v>
      </c>
      <c r="BK104" s="129">
        <v>2.69</v>
      </c>
      <c r="BL104" s="129" t="s">
        <v>160</v>
      </c>
      <c r="BM104" s="129" t="s">
        <v>160</v>
      </c>
      <c r="BN104" s="129" t="s">
        <v>200</v>
      </c>
      <c r="BO104" s="129" t="s">
        <v>201</v>
      </c>
      <c r="BP104" s="151">
        <v>14.781376660887711</v>
      </c>
      <c r="BQ104" s="129" t="s">
        <v>202</v>
      </c>
      <c r="BR104" s="217"/>
      <c r="BS104" s="129" t="s">
        <v>160</v>
      </c>
      <c r="BT104" s="129" t="s">
        <v>160</v>
      </c>
      <c r="BU104" s="129">
        <v>10</v>
      </c>
      <c r="BV104" s="129" t="s">
        <v>159</v>
      </c>
      <c r="BW104" s="129">
        <v>10</v>
      </c>
      <c r="BX104" s="145">
        <v>29.554547224023338</v>
      </c>
      <c r="BY104" s="129" t="s">
        <v>159</v>
      </c>
      <c r="BZ104" s="129">
        <v>1</v>
      </c>
      <c r="CA104" s="129">
        <v>1</v>
      </c>
      <c r="CC104" s="129">
        <v>4.59</v>
      </c>
      <c r="CD104" s="129" t="s">
        <v>163</v>
      </c>
      <c r="CE104" s="144">
        <f t="shared" si="12"/>
        <v>0.12393</v>
      </c>
      <c r="CF104" s="144">
        <f t="shared" si="13"/>
        <v>0.12393</v>
      </c>
      <c r="CG104" s="145" t="s">
        <v>203</v>
      </c>
      <c r="CH104" s="129" t="s">
        <v>204</v>
      </c>
      <c r="CI104" s="129" t="s">
        <v>205</v>
      </c>
      <c r="CJ104" s="129" t="s">
        <v>206</v>
      </c>
      <c r="CK104" s="129" t="s">
        <v>158</v>
      </c>
      <c r="CL104" s="129" t="s">
        <v>158</v>
      </c>
      <c r="CM104" s="129" t="s">
        <v>158</v>
      </c>
      <c r="CN104" s="129" t="s">
        <v>160</v>
      </c>
      <c r="CO104" s="129" t="s">
        <v>160</v>
      </c>
      <c r="CP104" s="129" t="s">
        <v>160</v>
      </c>
      <c r="CQ104" s="129" t="s">
        <v>160</v>
      </c>
      <c r="CR104" s="129" t="s">
        <v>160</v>
      </c>
      <c r="CS104" s="129" t="s">
        <v>160</v>
      </c>
      <c r="CT104" s="129" t="s">
        <v>160</v>
      </c>
      <c r="CU104" s="129">
        <v>35</v>
      </c>
      <c r="CV104" s="129" t="s">
        <v>159</v>
      </c>
      <c r="CW104" s="146">
        <v>1</v>
      </c>
      <c r="CX104" s="129" t="s">
        <v>207</v>
      </c>
      <c r="CY104" s="129">
        <v>1.3349433062499999E-2</v>
      </c>
      <c r="CZ104" s="129" t="s">
        <v>159</v>
      </c>
      <c r="DA104" s="146">
        <v>2.5000000000000001E-3</v>
      </c>
      <c r="DB104" s="129" t="s">
        <v>208</v>
      </c>
      <c r="DC104" s="129">
        <v>4.61407156875E-2</v>
      </c>
      <c r="DD104" s="129" t="s">
        <v>159</v>
      </c>
      <c r="DE104" s="146">
        <v>2.5000000000000001E-3</v>
      </c>
      <c r="DF104" s="129" t="s">
        <v>209</v>
      </c>
      <c r="DG104" s="129" t="s">
        <v>160</v>
      </c>
      <c r="DH104" s="129" t="s">
        <v>160</v>
      </c>
      <c r="DI104" s="129" t="s">
        <v>160</v>
      </c>
      <c r="DJ104" s="129" t="s">
        <v>160</v>
      </c>
      <c r="DK104" s="145">
        <v>424.29</v>
      </c>
      <c r="DL104" s="129" t="s">
        <v>159</v>
      </c>
      <c r="DM104" s="145" t="s">
        <v>160</v>
      </c>
      <c r="DN104" s="129" t="s">
        <v>210</v>
      </c>
      <c r="DO104" s="129">
        <v>37.885930000000002</v>
      </c>
      <c r="DP104" s="129" t="s">
        <v>160</v>
      </c>
      <c r="DQ104" s="129">
        <v>0.67850500000000125</v>
      </c>
      <c r="DR104" s="129" t="s">
        <v>211</v>
      </c>
      <c r="DS104" s="129" t="s">
        <v>212</v>
      </c>
      <c r="DT104" s="129" t="s">
        <v>213</v>
      </c>
      <c r="DU104" s="129">
        <v>1.0271999999999999</v>
      </c>
      <c r="DV104" s="129" t="s">
        <v>214</v>
      </c>
      <c r="DW104" s="129" t="s">
        <v>214</v>
      </c>
      <c r="DX104" s="129" t="s">
        <v>215</v>
      </c>
      <c r="DY104" s="129" t="s">
        <v>160</v>
      </c>
      <c r="DZ104" s="129" t="s">
        <v>164</v>
      </c>
      <c r="EA104" s="129" t="s">
        <v>216</v>
      </c>
      <c r="EB104" s="129" t="s">
        <v>212</v>
      </c>
      <c r="EC104" s="129" t="s">
        <v>212</v>
      </c>
      <c r="ED104" s="129" t="s">
        <v>212</v>
      </c>
      <c r="EE104" s="129" t="s">
        <v>217</v>
      </c>
      <c r="EF104" s="147" t="s">
        <v>213</v>
      </c>
      <c r="EG104" s="148" t="s">
        <v>213</v>
      </c>
      <c r="EH104" s="129" t="s">
        <v>218</v>
      </c>
      <c r="EI104" s="129" t="s">
        <v>219</v>
      </c>
      <c r="EJ104" s="129" t="s">
        <v>160</v>
      </c>
      <c r="EK104" s="129">
        <v>1583.9690000000001</v>
      </c>
      <c r="EL104" s="129" t="s">
        <v>163</v>
      </c>
      <c r="EM104" s="150">
        <v>500</v>
      </c>
      <c r="EN104" s="150">
        <v>500</v>
      </c>
      <c r="EO104" s="129" t="s">
        <v>160</v>
      </c>
      <c r="EP104" s="129" t="s">
        <v>160</v>
      </c>
      <c r="EQ104" s="129" t="s">
        <v>160</v>
      </c>
      <c r="ER104" s="129" t="s">
        <v>160</v>
      </c>
      <c r="ES104" s="129">
        <v>7.7674300000000001</v>
      </c>
      <c r="ET104" s="142" t="s">
        <v>165</v>
      </c>
      <c r="EU104" s="129">
        <v>0.12889000000000017</v>
      </c>
      <c r="EV104" s="129">
        <v>0.16230100000000025</v>
      </c>
      <c r="EW104" s="142" t="s">
        <v>160</v>
      </c>
      <c r="EX104" s="129" t="s">
        <v>160</v>
      </c>
      <c r="EY104" s="129" t="s">
        <v>160</v>
      </c>
      <c r="EZ104" s="129">
        <v>642.62710000000004</v>
      </c>
      <c r="FA104" s="129">
        <v>353.7983999999999</v>
      </c>
      <c r="FB104" s="129">
        <v>214.22300000000007</v>
      </c>
      <c r="FC104" s="129" t="s">
        <v>220</v>
      </c>
      <c r="FD104" s="129" t="s">
        <v>221</v>
      </c>
      <c r="FE104" s="129">
        <v>1682.7260000000001</v>
      </c>
      <c r="FF104" s="129">
        <v>393.43299999999999</v>
      </c>
      <c r="FG104" s="129">
        <v>386.41499999999996</v>
      </c>
      <c r="FH104" s="129" t="s">
        <v>160</v>
      </c>
      <c r="FI104" s="129" t="s">
        <v>160</v>
      </c>
      <c r="FJ104" s="129" t="s">
        <v>160</v>
      </c>
      <c r="FK104" s="129" t="s">
        <v>160</v>
      </c>
      <c r="FL104" s="129" t="s">
        <v>160</v>
      </c>
      <c r="FM104" s="129" t="s">
        <v>160</v>
      </c>
      <c r="FN104" s="151">
        <v>2.3383639999999999</v>
      </c>
      <c r="FO104" s="151">
        <v>1.5061550000000001</v>
      </c>
      <c r="FP104" s="151">
        <v>1.0887629999999999</v>
      </c>
      <c r="FQ104" s="129" t="s">
        <v>414</v>
      </c>
      <c r="FR104" s="166" t="s">
        <v>388</v>
      </c>
      <c r="FS104" s="166">
        <v>2012</v>
      </c>
      <c r="FT104" s="166" t="s">
        <v>395</v>
      </c>
    </row>
    <row r="105" spans="1:176" s="129" customFormat="1" ht="17">
      <c r="A105" s="166" t="s">
        <v>152</v>
      </c>
      <c r="B105" s="166" t="s">
        <v>183</v>
      </c>
      <c r="C105" s="166">
        <v>2018</v>
      </c>
      <c r="D105" s="166" t="s">
        <v>184</v>
      </c>
      <c r="E105" s="195">
        <v>16219.999999999998</v>
      </c>
      <c r="F105" s="166" t="s">
        <v>160</v>
      </c>
      <c r="G105" s="166" t="s">
        <v>160</v>
      </c>
      <c r="H105" s="190">
        <v>369.7106</v>
      </c>
      <c r="I105" s="191">
        <v>145.98239999999998</v>
      </c>
      <c r="J105" s="191">
        <v>111.66230000000002</v>
      </c>
      <c r="K105" s="129" t="s">
        <v>457</v>
      </c>
      <c r="L105" s="131" t="s">
        <v>185</v>
      </c>
      <c r="M105" s="132" t="s">
        <v>186</v>
      </c>
      <c r="N105" s="129" t="s">
        <v>184</v>
      </c>
      <c r="O105" s="129">
        <v>761</v>
      </c>
      <c r="P105" s="129" t="s">
        <v>235</v>
      </c>
      <c r="Q105" s="129">
        <v>6</v>
      </c>
      <c r="R105" s="129">
        <v>5</v>
      </c>
      <c r="S105" s="129">
        <v>93</v>
      </c>
      <c r="T105" s="129">
        <v>95</v>
      </c>
      <c r="U105" s="129" t="s">
        <v>160</v>
      </c>
      <c r="V105" s="129">
        <v>49.1</v>
      </c>
      <c r="W105" s="129" t="s">
        <v>160</v>
      </c>
      <c r="X105" s="129" t="s">
        <v>390</v>
      </c>
      <c r="Y105" s="129">
        <v>-16.739999999999998</v>
      </c>
      <c r="Z105" s="129">
        <v>115.536</v>
      </c>
      <c r="AA105" s="129" t="s">
        <v>160</v>
      </c>
      <c r="AB105" s="129" t="s">
        <v>160</v>
      </c>
      <c r="AC105" s="136">
        <v>-2179</v>
      </c>
      <c r="AD105" s="129" t="s">
        <v>160</v>
      </c>
      <c r="AE105" s="129" t="s">
        <v>160</v>
      </c>
      <c r="AF105" s="178" t="s">
        <v>160</v>
      </c>
      <c r="AG105" s="129">
        <v>16219.999999999998</v>
      </c>
      <c r="AH105" s="138" t="s">
        <v>160</v>
      </c>
      <c r="AI105" s="138" t="s">
        <v>160</v>
      </c>
      <c r="AJ105" s="138" t="s">
        <v>160</v>
      </c>
      <c r="AK105" s="129" t="s">
        <v>237</v>
      </c>
      <c r="AL105" s="129" t="s">
        <v>238</v>
      </c>
      <c r="AM105" s="140" t="s">
        <v>239</v>
      </c>
      <c r="AN105" s="129" t="s">
        <v>160</v>
      </c>
      <c r="AO105" s="129" t="s">
        <v>160</v>
      </c>
      <c r="AP105" s="129" t="s">
        <v>160</v>
      </c>
      <c r="AQ105" s="129" t="s">
        <v>160</v>
      </c>
      <c r="AR105" s="129" t="s">
        <v>160</v>
      </c>
      <c r="AS105" s="129" t="s">
        <v>160</v>
      </c>
      <c r="AT105" s="129" t="s">
        <v>160</v>
      </c>
      <c r="AU105" s="129" t="s">
        <v>191</v>
      </c>
      <c r="AV105" s="129" t="s">
        <v>161</v>
      </c>
      <c r="AW105" s="129" t="s">
        <v>192</v>
      </c>
      <c r="AX105" s="129" t="s">
        <v>352</v>
      </c>
      <c r="AY105" s="129" t="s">
        <v>391</v>
      </c>
      <c r="AZ105" s="129" t="s">
        <v>325</v>
      </c>
      <c r="BA105" s="129" t="s">
        <v>162</v>
      </c>
      <c r="BB105" s="129" t="s">
        <v>407</v>
      </c>
      <c r="BC105" s="129">
        <v>2</v>
      </c>
      <c r="BD105" s="129">
        <v>0.33999999999999986</v>
      </c>
      <c r="BE105" s="129">
        <v>16.64</v>
      </c>
      <c r="BF105" s="129" t="s">
        <v>393</v>
      </c>
      <c r="BG105" s="129">
        <v>0.26</v>
      </c>
      <c r="BH105" s="129">
        <v>0.83299999999999996</v>
      </c>
      <c r="BI105" s="129" t="s">
        <v>160</v>
      </c>
      <c r="BJ105" s="138" t="s">
        <v>160</v>
      </c>
      <c r="BK105" s="129">
        <v>2.69</v>
      </c>
      <c r="BL105" s="129" t="s">
        <v>160</v>
      </c>
      <c r="BM105" s="129" t="s">
        <v>160</v>
      </c>
      <c r="BN105" s="129" t="s">
        <v>200</v>
      </c>
      <c r="BO105" s="129" t="s">
        <v>201</v>
      </c>
      <c r="BP105" s="151">
        <v>16.746729777017151</v>
      </c>
      <c r="BQ105" s="129" t="s">
        <v>202</v>
      </c>
      <c r="BR105" s="217"/>
      <c r="BS105" s="129" t="s">
        <v>160</v>
      </c>
      <c r="BT105" s="129" t="s">
        <v>160</v>
      </c>
      <c r="BU105" s="129">
        <v>10</v>
      </c>
      <c r="BV105" s="129" t="s">
        <v>159</v>
      </c>
      <c r="BW105" s="129">
        <v>10</v>
      </c>
      <c r="BX105" s="145">
        <v>28.552043416387988</v>
      </c>
      <c r="BY105" s="129" t="s">
        <v>159</v>
      </c>
      <c r="BZ105" s="129">
        <v>1</v>
      </c>
      <c r="CA105" s="129">
        <v>1</v>
      </c>
      <c r="CC105" s="129">
        <v>4.1900000000000004</v>
      </c>
      <c r="CD105" s="129" t="s">
        <v>163</v>
      </c>
      <c r="CE105" s="144">
        <f t="shared" si="12"/>
        <v>0.11313000000000001</v>
      </c>
      <c r="CF105" s="144">
        <f t="shared" si="13"/>
        <v>0.11313000000000001</v>
      </c>
      <c r="CG105" s="145" t="s">
        <v>203</v>
      </c>
      <c r="CH105" s="129" t="s">
        <v>204</v>
      </c>
      <c r="CI105" s="129" t="s">
        <v>205</v>
      </c>
      <c r="CJ105" s="129" t="s">
        <v>206</v>
      </c>
      <c r="CK105" s="129" t="s">
        <v>158</v>
      </c>
      <c r="CL105" s="129" t="s">
        <v>158</v>
      </c>
      <c r="CM105" s="129" t="s">
        <v>158</v>
      </c>
      <c r="CN105" s="129" t="s">
        <v>160</v>
      </c>
      <c r="CO105" s="129" t="s">
        <v>160</v>
      </c>
      <c r="CP105" s="129" t="s">
        <v>160</v>
      </c>
      <c r="CQ105" s="129" t="s">
        <v>160</v>
      </c>
      <c r="CR105" s="129" t="s">
        <v>160</v>
      </c>
      <c r="CS105" s="129" t="s">
        <v>160</v>
      </c>
      <c r="CT105" s="129" t="s">
        <v>160</v>
      </c>
      <c r="CU105" s="129">
        <v>35</v>
      </c>
      <c r="CV105" s="129" t="s">
        <v>159</v>
      </c>
      <c r="CW105" s="146">
        <v>1</v>
      </c>
      <c r="CX105" s="129" t="s">
        <v>207</v>
      </c>
      <c r="CY105" s="129">
        <v>1.3388217999999999E-2</v>
      </c>
      <c r="CZ105" s="129" t="s">
        <v>159</v>
      </c>
      <c r="DA105" s="146">
        <v>2.5000000000000001E-3</v>
      </c>
      <c r="DB105" s="129" t="s">
        <v>208</v>
      </c>
      <c r="DC105" s="129">
        <v>4.6015742000000005E-2</v>
      </c>
      <c r="DD105" s="129" t="s">
        <v>159</v>
      </c>
      <c r="DE105" s="146">
        <v>2.5000000000000001E-3</v>
      </c>
      <c r="DF105" s="129" t="s">
        <v>209</v>
      </c>
      <c r="DG105" s="129" t="s">
        <v>160</v>
      </c>
      <c r="DH105" s="129" t="s">
        <v>160</v>
      </c>
      <c r="DI105" s="129" t="s">
        <v>160</v>
      </c>
      <c r="DJ105" s="129" t="s">
        <v>160</v>
      </c>
      <c r="DK105" s="145">
        <v>424.29</v>
      </c>
      <c r="DL105" s="129" t="s">
        <v>159</v>
      </c>
      <c r="DM105" s="145" t="s">
        <v>160</v>
      </c>
      <c r="DN105" s="129" t="s">
        <v>210</v>
      </c>
      <c r="DO105" s="129">
        <v>37.875149999999998</v>
      </c>
      <c r="DP105" s="129" t="s">
        <v>160</v>
      </c>
      <c r="DQ105" s="129">
        <v>0.67229499999999831</v>
      </c>
      <c r="DR105" s="129" t="s">
        <v>211</v>
      </c>
      <c r="DS105" s="129" t="s">
        <v>212</v>
      </c>
      <c r="DT105" s="129" t="s">
        <v>213</v>
      </c>
      <c r="DU105" s="129">
        <v>1.0271999999999999</v>
      </c>
      <c r="DV105" s="129" t="s">
        <v>214</v>
      </c>
      <c r="DW105" s="129" t="s">
        <v>214</v>
      </c>
      <c r="DX105" s="129" t="s">
        <v>215</v>
      </c>
      <c r="DY105" s="129" t="s">
        <v>160</v>
      </c>
      <c r="DZ105" s="129" t="s">
        <v>164</v>
      </c>
      <c r="EA105" s="129" t="s">
        <v>216</v>
      </c>
      <c r="EB105" s="129" t="s">
        <v>212</v>
      </c>
      <c r="EC105" s="129" t="s">
        <v>212</v>
      </c>
      <c r="ED105" s="129" t="s">
        <v>212</v>
      </c>
      <c r="EE105" s="129" t="s">
        <v>217</v>
      </c>
      <c r="EF105" s="147" t="s">
        <v>213</v>
      </c>
      <c r="EG105" s="148" t="s">
        <v>213</v>
      </c>
      <c r="EH105" s="129" t="s">
        <v>218</v>
      </c>
      <c r="EI105" s="129" t="s">
        <v>219</v>
      </c>
      <c r="EJ105" s="129" t="s">
        <v>160</v>
      </c>
      <c r="EK105" s="129">
        <v>1581.175</v>
      </c>
      <c r="EL105" s="129" t="s">
        <v>163</v>
      </c>
      <c r="EM105" s="150">
        <v>500</v>
      </c>
      <c r="EN105" s="150">
        <v>500</v>
      </c>
      <c r="EO105" s="129" t="s">
        <v>160</v>
      </c>
      <c r="EP105" s="129" t="s">
        <v>160</v>
      </c>
      <c r="EQ105" s="129" t="s">
        <v>160</v>
      </c>
      <c r="ER105" s="129" t="s">
        <v>160</v>
      </c>
      <c r="ES105" s="129">
        <v>7.9959540000000002</v>
      </c>
      <c r="ET105" s="142" t="s">
        <v>165</v>
      </c>
      <c r="EU105" s="129">
        <v>9.4657000000000657E-2</v>
      </c>
      <c r="EV105" s="129">
        <v>0.10160899999999984</v>
      </c>
      <c r="EW105" s="142" t="s">
        <v>160</v>
      </c>
      <c r="EX105" s="129" t="s">
        <v>160</v>
      </c>
      <c r="EY105" s="129" t="s">
        <v>160</v>
      </c>
      <c r="EZ105" s="129">
        <v>369.7106</v>
      </c>
      <c r="FA105" s="129">
        <v>145.98239999999998</v>
      </c>
      <c r="FB105" s="129">
        <v>111.66230000000002</v>
      </c>
      <c r="FC105" s="129" t="s">
        <v>220</v>
      </c>
      <c r="FD105" s="129" t="s">
        <v>221</v>
      </c>
      <c r="FE105" s="129">
        <v>1753.047</v>
      </c>
      <c r="FF105" s="129">
        <v>396.27999999999975</v>
      </c>
      <c r="FG105" s="129">
        <v>410.11400000000003</v>
      </c>
      <c r="FH105" s="129" t="s">
        <v>160</v>
      </c>
      <c r="FI105" s="129" t="s">
        <v>160</v>
      </c>
      <c r="FJ105" s="129" t="s">
        <v>160</v>
      </c>
      <c r="FK105" s="129" t="s">
        <v>160</v>
      </c>
      <c r="FL105" s="129" t="s">
        <v>160</v>
      </c>
      <c r="FM105" s="129" t="s">
        <v>160</v>
      </c>
      <c r="FN105" s="151">
        <v>3.7527780000000002</v>
      </c>
      <c r="FO105" s="151">
        <v>2.162223</v>
      </c>
      <c r="FP105" s="151">
        <v>1.611456</v>
      </c>
      <c r="FQ105" s="129" t="s">
        <v>414</v>
      </c>
      <c r="FR105" s="166" t="s">
        <v>388</v>
      </c>
      <c r="FS105" s="166">
        <v>2012</v>
      </c>
      <c r="FT105" s="166" t="s">
        <v>395</v>
      </c>
    </row>
    <row r="106" spans="1:176" s="129" customFormat="1" ht="17">
      <c r="A106" s="166" t="s">
        <v>152</v>
      </c>
      <c r="B106" s="166" t="s">
        <v>183</v>
      </c>
      <c r="C106" s="166">
        <v>2018</v>
      </c>
      <c r="D106" s="166" t="s">
        <v>184</v>
      </c>
      <c r="E106" s="195">
        <v>11697.869404004961</v>
      </c>
      <c r="F106" s="166" t="s">
        <v>160</v>
      </c>
      <c r="G106" s="166" t="s">
        <v>160</v>
      </c>
      <c r="H106" s="190">
        <v>445.73009999999999</v>
      </c>
      <c r="I106" s="191">
        <v>189.17169999999999</v>
      </c>
      <c r="J106" s="191">
        <v>131.96289999999999</v>
      </c>
      <c r="K106" s="129" t="s">
        <v>457</v>
      </c>
      <c r="L106" s="131" t="s">
        <v>185</v>
      </c>
      <c r="M106" s="132" t="s">
        <v>186</v>
      </c>
      <c r="N106" s="129" t="s">
        <v>184</v>
      </c>
      <c r="O106" s="129">
        <v>926</v>
      </c>
      <c r="P106" s="129" t="s">
        <v>156</v>
      </c>
      <c r="Q106" s="129">
        <v>26</v>
      </c>
      <c r="R106" s="129">
        <v>5</v>
      </c>
      <c r="S106" s="129">
        <v>30</v>
      </c>
      <c r="T106" s="129">
        <v>32</v>
      </c>
      <c r="U106" s="129" t="s">
        <v>160</v>
      </c>
      <c r="V106" s="129">
        <v>238.3</v>
      </c>
      <c r="W106" s="129" t="s">
        <v>160</v>
      </c>
      <c r="X106" s="129" t="s">
        <v>408</v>
      </c>
      <c r="Y106" s="129">
        <v>-16.739999999999998</v>
      </c>
      <c r="Z106" s="129">
        <v>115.536</v>
      </c>
      <c r="AA106" s="129" t="s">
        <v>160</v>
      </c>
      <c r="AB106" s="129" t="s">
        <v>160</v>
      </c>
      <c r="AC106" s="136">
        <v>-3598</v>
      </c>
      <c r="AD106" s="129" t="s">
        <v>160</v>
      </c>
      <c r="AE106" s="129" t="s">
        <v>160</v>
      </c>
      <c r="AF106" s="178" t="s">
        <v>409</v>
      </c>
      <c r="AG106" s="129">
        <v>11697.869404004961</v>
      </c>
      <c r="AH106" s="138" t="s">
        <v>160</v>
      </c>
      <c r="AI106" s="138" t="s">
        <v>160</v>
      </c>
      <c r="AJ106" s="138" t="s">
        <v>160</v>
      </c>
      <c r="AK106" s="129" t="s">
        <v>237</v>
      </c>
      <c r="AL106" s="184" t="s">
        <v>321</v>
      </c>
      <c r="AM106" s="184" t="s">
        <v>410</v>
      </c>
      <c r="AN106" s="129" t="s">
        <v>160</v>
      </c>
      <c r="AO106" s="129" t="s">
        <v>160</v>
      </c>
      <c r="AP106" s="129" t="s">
        <v>160</v>
      </c>
      <c r="AQ106" s="129" t="s">
        <v>160</v>
      </c>
      <c r="AR106" s="129" t="s">
        <v>160</v>
      </c>
      <c r="AS106" s="129" t="s">
        <v>160</v>
      </c>
      <c r="AT106" s="129" t="s">
        <v>160</v>
      </c>
      <c r="AU106" s="129" t="s">
        <v>191</v>
      </c>
      <c r="AV106" s="129" t="s">
        <v>161</v>
      </c>
      <c r="AW106" s="129" t="s">
        <v>192</v>
      </c>
      <c r="AX106" s="129" t="s">
        <v>352</v>
      </c>
      <c r="AY106" s="129" t="s">
        <v>391</v>
      </c>
      <c r="AZ106" s="129" t="s">
        <v>325</v>
      </c>
      <c r="BA106" s="129" t="s">
        <v>162</v>
      </c>
      <c r="BB106" s="129" t="s">
        <v>411</v>
      </c>
      <c r="BC106" s="129">
        <v>2</v>
      </c>
      <c r="BD106" s="129">
        <v>0.14000000000000054</v>
      </c>
      <c r="BE106" s="129">
        <v>16.09</v>
      </c>
      <c r="BF106" s="129" t="s">
        <v>393</v>
      </c>
      <c r="BG106" s="129">
        <v>0.23</v>
      </c>
      <c r="BH106" s="129">
        <v>0.83299999999999996</v>
      </c>
      <c r="BI106" s="129" t="s">
        <v>160</v>
      </c>
      <c r="BJ106" s="138" t="s">
        <v>160</v>
      </c>
      <c r="BK106" s="129">
        <v>2.69</v>
      </c>
      <c r="BL106" s="129" t="s">
        <v>160</v>
      </c>
      <c r="BM106" s="129" t="s">
        <v>160</v>
      </c>
      <c r="BN106" s="129" t="s">
        <v>200</v>
      </c>
      <c r="BO106" s="129" t="s">
        <v>201</v>
      </c>
      <c r="BP106" s="151">
        <v>16.084066578926056</v>
      </c>
      <c r="BQ106" s="129" t="s">
        <v>202</v>
      </c>
      <c r="BR106" s="217"/>
      <c r="BS106" s="129" t="s">
        <v>160</v>
      </c>
      <c r="BT106" s="129" t="s">
        <v>160</v>
      </c>
      <c r="BU106" s="129">
        <v>10</v>
      </c>
      <c r="BV106" s="129" t="s">
        <v>159</v>
      </c>
      <c r="BW106" s="129">
        <v>10</v>
      </c>
      <c r="BX106" s="145">
        <v>25.672644648267028</v>
      </c>
      <c r="BY106" s="129" t="s">
        <v>159</v>
      </c>
      <c r="BZ106" s="129">
        <v>1</v>
      </c>
      <c r="CA106" s="129">
        <v>1</v>
      </c>
      <c r="CC106" s="129">
        <v>3.39</v>
      </c>
      <c r="CD106" s="129" t="s">
        <v>163</v>
      </c>
      <c r="CE106" s="144">
        <f t="shared" si="12"/>
        <v>9.153E-2</v>
      </c>
      <c r="CF106" s="144">
        <f t="shared" si="13"/>
        <v>9.153E-2</v>
      </c>
      <c r="CG106" s="145" t="s">
        <v>203</v>
      </c>
      <c r="CH106" s="129" t="s">
        <v>204</v>
      </c>
      <c r="CI106" s="129" t="s">
        <v>205</v>
      </c>
      <c r="CJ106" s="129" t="s">
        <v>206</v>
      </c>
      <c r="CK106" s="129" t="s">
        <v>158</v>
      </c>
      <c r="CL106" s="129" t="s">
        <v>158</v>
      </c>
      <c r="CM106" s="129" t="s">
        <v>158</v>
      </c>
      <c r="CN106" s="129" t="s">
        <v>160</v>
      </c>
      <c r="CO106" s="129" t="s">
        <v>160</v>
      </c>
      <c r="CP106" s="129" t="s">
        <v>160</v>
      </c>
      <c r="CQ106" s="129" t="s">
        <v>160</v>
      </c>
      <c r="CR106" s="129" t="s">
        <v>160</v>
      </c>
      <c r="CS106" s="129" t="s">
        <v>160</v>
      </c>
      <c r="CT106" s="129" t="s">
        <v>160</v>
      </c>
      <c r="CU106" s="129">
        <v>35</v>
      </c>
      <c r="CV106" s="129" t="s">
        <v>159</v>
      </c>
      <c r="CW106" s="146">
        <v>1</v>
      </c>
      <c r="CX106" s="129" t="s">
        <v>207</v>
      </c>
      <c r="CY106" s="129">
        <v>1.2610863750548451E-2</v>
      </c>
      <c r="CZ106" s="129" t="s">
        <v>159</v>
      </c>
      <c r="DA106" s="146">
        <v>2.5000000000000001E-3</v>
      </c>
      <c r="DB106" s="129" t="s">
        <v>208</v>
      </c>
      <c r="DC106" s="129">
        <v>4.852055013712165E-2</v>
      </c>
      <c r="DD106" s="129" t="s">
        <v>159</v>
      </c>
      <c r="DE106" s="146">
        <v>2.5000000000000001E-3</v>
      </c>
      <c r="DF106" s="129" t="s">
        <v>209</v>
      </c>
      <c r="DG106" s="129" t="s">
        <v>160</v>
      </c>
      <c r="DH106" s="129" t="s">
        <v>160</v>
      </c>
      <c r="DI106" s="129" t="s">
        <v>160</v>
      </c>
      <c r="DJ106" s="129" t="s">
        <v>160</v>
      </c>
      <c r="DK106" s="145">
        <v>424.29</v>
      </c>
      <c r="DL106" s="129" t="s">
        <v>159</v>
      </c>
      <c r="DM106" s="145" t="s">
        <v>160</v>
      </c>
      <c r="DN106" s="129" t="s">
        <v>210</v>
      </c>
      <c r="DO106" s="129">
        <v>38.054250000000003</v>
      </c>
      <c r="DP106" s="129" t="s">
        <v>160</v>
      </c>
      <c r="DQ106" s="129">
        <v>0.70865999999999829</v>
      </c>
      <c r="DR106" s="129" t="s">
        <v>211</v>
      </c>
      <c r="DS106" s="129" t="s">
        <v>212</v>
      </c>
      <c r="DT106" s="129" t="s">
        <v>213</v>
      </c>
      <c r="DU106" s="129">
        <v>1.0271999999999999</v>
      </c>
      <c r="DV106" s="129" t="s">
        <v>214</v>
      </c>
      <c r="DW106" s="129" t="s">
        <v>214</v>
      </c>
      <c r="DX106" s="129" t="s">
        <v>215</v>
      </c>
      <c r="DY106" s="129" t="s">
        <v>160</v>
      </c>
      <c r="DZ106" s="129" t="s">
        <v>164</v>
      </c>
      <c r="EA106" s="129" t="s">
        <v>216</v>
      </c>
      <c r="EB106" s="129" t="s">
        <v>212</v>
      </c>
      <c r="EC106" s="129" t="s">
        <v>212</v>
      </c>
      <c r="ED106" s="129" t="s">
        <v>212</v>
      </c>
      <c r="EE106" s="129" t="s">
        <v>217</v>
      </c>
      <c r="EF106" s="147" t="s">
        <v>213</v>
      </c>
      <c r="EG106" s="148" t="s">
        <v>213</v>
      </c>
      <c r="EH106" s="129" t="s">
        <v>218</v>
      </c>
      <c r="EI106" s="129" t="s">
        <v>219</v>
      </c>
      <c r="EJ106" s="129" t="s">
        <v>160</v>
      </c>
      <c r="EK106" s="129">
        <v>1698.095</v>
      </c>
      <c r="EL106" s="129" t="s">
        <v>163</v>
      </c>
      <c r="EM106" s="150">
        <v>500</v>
      </c>
      <c r="EN106" s="150">
        <v>500</v>
      </c>
      <c r="EO106" s="129" t="s">
        <v>160</v>
      </c>
      <c r="EP106" s="129" t="s">
        <v>160</v>
      </c>
      <c r="EQ106" s="129" t="s">
        <v>160</v>
      </c>
      <c r="ER106" s="129" t="s">
        <v>160</v>
      </c>
      <c r="ES106" s="129">
        <v>7.9426420000000002</v>
      </c>
      <c r="ET106" s="142" t="s">
        <v>165</v>
      </c>
      <c r="EU106" s="129">
        <v>0.10037399999999952</v>
      </c>
      <c r="EV106" s="129">
        <v>0.11699000000000037</v>
      </c>
      <c r="EW106" s="142" t="s">
        <v>160</v>
      </c>
      <c r="EX106" s="129" t="s">
        <v>160</v>
      </c>
      <c r="EY106" s="129" t="s">
        <v>160</v>
      </c>
      <c r="EZ106" s="129">
        <v>445.73009999999999</v>
      </c>
      <c r="FA106" s="129">
        <v>189.17169999999999</v>
      </c>
      <c r="FB106" s="129">
        <v>131.96289999999999</v>
      </c>
      <c r="FC106" s="129" t="s">
        <v>220</v>
      </c>
      <c r="FD106" s="129" t="s">
        <v>221</v>
      </c>
      <c r="FE106" s="129">
        <v>1845.8770000000002</v>
      </c>
      <c r="FF106" s="129">
        <v>404.37799999999993</v>
      </c>
      <c r="FG106" s="129">
        <v>405.06300000000033</v>
      </c>
      <c r="FH106" s="129" t="s">
        <v>160</v>
      </c>
      <c r="FI106" s="129" t="s">
        <v>160</v>
      </c>
      <c r="FJ106" s="129" t="s">
        <v>160</v>
      </c>
      <c r="FK106" s="129" t="s">
        <v>160</v>
      </c>
      <c r="FL106" s="129" t="s">
        <v>160</v>
      </c>
      <c r="FM106" s="129" t="s">
        <v>160</v>
      </c>
      <c r="FN106" s="151">
        <v>3.0613079999999999</v>
      </c>
      <c r="FO106" s="151">
        <v>1.8093429999999997</v>
      </c>
      <c r="FP106" s="151">
        <v>1.3592919999999999</v>
      </c>
      <c r="FQ106" s="129" t="s">
        <v>414</v>
      </c>
      <c r="FR106" s="166" t="s">
        <v>388</v>
      </c>
      <c r="FS106" s="166">
        <v>2012</v>
      </c>
      <c r="FT106" s="166" t="s">
        <v>395</v>
      </c>
    </row>
    <row r="107" spans="1:176" s="129" customFormat="1" ht="17">
      <c r="A107" s="166" t="s">
        <v>152</v>
      </c>
      <c r="B107" s="166" t="s">
        <v>183</v>
      </c>
      <c r="C107" s="166">
        <v>2018</v>
      </c>
      <c r="D107" s="166" t="s">
        <v>184</v>
      </c>
      <c r="E107" s="195">
        <v>13763.133516579244</v>
      </c>
      <c r="F107" s="166" t="s">
        <v>160</v>
      </c>
      <c r="G107" s="166" t="s">
        <v>160</v>
      </c>
      <c r="H107" s="190">
        <v>402.12439999999998</v>
      </c>
      <c r="I107" s="191">
        <v>156.09790000000004</v>
      </c>
      <c r="J107" s="191">
        <v>119.48899999999998</v>
      </c>
      <c r="K107" s="129" t="s">
        <v>457</v>
      </c>
      <c r="L107" s="131" t="s">
        <v>185</v>
      </c>
      <c r="M107" s="132" t="s">
        <v>186</v>
      </c>
      <c r="N107" s="129" t="s">
        <v>184</v>
      </c>
      <c r="O107" s="129">
        <v>926</v>
      </c>
      <c r="P107" s="129" t="s">
        <v>156</v>
      </c>
      <c r="Q107" s="129">
        <v>29</v>
      </c>
      <c r="R107" s="129">
        <v>5</v>
      </c>
      <c r="S107" s="129">
        <v>31</v>
      </c>
      <c r="T107" s="129">
        <v>33</v>
      </c>
      <c r="U107" s="129" t="s">
        <v>160</v>
      </c>
      <c r="V107" s="129">
        <v>266.8</v>
      </c>
      <c r="W107" s="129" t="s">
        <v>160</v>
      </c>
      <c r="X107" s="129" t="s">
        <v>408</v>
      </c>
      <c r="Y107" s="129">
        <v>-16.739999999999998</v>
      </c>
      <c r="Z107" s="129">
        <v>115.536</v>
      </c>
      <c r="AA107" s="129" t="s">
        <v>160</v>
      </c>
      <c r="AB107" s="129" t="s">
        <v>160</v>
      </c>
      <c r="AC107" s="136">
        <v>-3598</v>
      </c>
      <c r="AD107" s="129" t="s">
        <v>160</v>
      </c>
      <c r="AE107" s="129" t="s">
        <v>160</v>
      </c>
      <c r="AF107" s="178" t="s">
        <v>409</v>
      </c>
      <c r="AG107" s="129">
        <v>13763.133516579244</v>
      </c>
      <c r="AH107" s="138" t="s">
        <v>160</v>
      </c>
      <c r="AI107" s="138" t="s">
        <v>160</v>
      </c>
      <c r="AJ107" s="138" t="s">
        <v>160</v>
      </c>
      <c r="AK107" s="129" t="s">
        <v>237</v>
      </c>
      <c r="AL107" s="184" t="s">
        <v>321</v>
      </c>
      <c r="AM107" s="184" t="s">
        <v>410</v>
      </c>
      <c r="AN107" s="129" t="s">
        <v>160</v>
      </c>
      <c r="AO107" s="129" t="s">
        <v>160</v>
      </c>
      <c r="AP107" s="129" t="s">
        <v>160</v>
      </c>
      <c r="AQ107" s="129" t="s">
        <v>160</v>
      </c>
      <c r="AR107" s="129" t="s">
        <v>160</v>
      </c>
      <c r="AS107" s="129" t="s">
        <v>160</v>
      </c>
      <c r="AT107" s="129" t="s">
        <v>160</v>
      </c>
      <c r="AU107" s="129" t="s">
        <v>191</v>
      </c>
      <c r="AV107" s="129" t="s">
        <v>161</v>
      </c>
      <c r="AW107" s="129" t="s">
        <v>192</v>
      </c>
      <c r="AX107" s="129" t="s">
        <v>352</v>
      </c>
      <c r="AY107" s="129" t="s">
        <v>391</v>
      </c>
      <c r="AZ107" s="129" t="s">
        <v>325</v>
      </c>
      <c r="BA107" s="129" t="s">
        <v>162</v>
      </c>
      <c r="BB107" s="129" t="s">
        <v>412</v>
      </c>
      <c r="BC107" s="129">
        <v>2</v>
      </c>
      <c r="BD107" s="129">
        <v>0.19000000000000128</v>
      </c>
      <c r="BE107" s="129">
        <v>16.420000000000002</v>
      </c>
      <c r="BF107" s="129" t="s">
        <v>393</v>
      </c>
      <c r="BG107" s="129">
        <v>0.23</v>
      </c>
      <c r="BH107" s="129">
        <v>0.83299999999999996</v>
      </c>
      <c r="BI107" s="129" t="s">
        <v>160</v>
      </c>
      <c r="BJ107" s="138" t="s">
        <v>160</v>
      </c>
      <c r="BK107" s="129">
        <v>2.69</v>
      </c>
      <c r="BL107" s="129" t="s">
        <v>160</v>
      </c>
      <c r="BM107" s="129" t="s">
        <v>160</v>
      </c>
      <c r="BN107" s="129" t="s">
        <v>200</v>
      </c>
      <c r="BO107" s="129" t="s">
        <v>201</v>
      </c>
      <c r="BP107" s="151">
        <v>16.481240683848462</v>
      </c>
      <c r="BQ107" s="129" t="s">
        <v>202</v>
      </c>
      <c r="BR107" s="217"/>
      <c r="BS107" s="129" t="s">
        <v>160</v>
      </c>
      <c r="BT107" s="129" t="s">
        <v>160</v>
      </c>
      <c r="BU107" s="129">
        <v>10</v>
      </c>
      <c r="BV107" s="129" t="s">
        <v>159</v>
      </c>
      <c r="BW107" s="129">
        <v>10</v>
      </c>
      <c r="BX107" s="145">
        <v>27.112162017089563</v>
      </c>
      <c r="BY107" s="129" t="s">
        <v>159</v>
      </c>
      <c r="BZ107" s="129">
        <v>1</v>
      </c>
      <c r="CA107" s="129">
        <v>1</v>
      </c>
      <c r="CC107" s="129">
        <v>3.77</v>
      </c>
      <c r="CD107" s="129" t="s">
        <v>163</v>
      </c>
      <c r="CE107" s="144">
        <f t="shared" si="12"/>
        <v>0.10179000000000001</v>
      </c>
      <c r="CF107" s="144">
        <f t="shared" si="13"/>
        <v>0.10179000000000001</v>
      </c>
      <c r="CG107" s="145" t="s">
        <v>203</v>
      </c>
      <c r="CH107" s="129" t="s">
        <v>204</v>
      </c>
      <c r="CI107" s="129" t="s">
        <v>205</v>
      </c>
      <c r="CJ107" s="129" t="s">
        <v>206</v>
      </c>
      <c r="CK107" s="129" t="s">
        <v>158</v>
      </c>
      <c r="CL107" s="129" t="s">
        <v>158</v>
      </c>
      <c r="CM107" s="129" t="s">
        <v>158</v>
      </c>
      <c r="CN107" s="129" t="s">
        <v>160</v>
      </c>
      <c r="CO107" s="129" t="s">
        <v>160</v>
      </c>
      <c r="CP107" s="129" t="s">
        <v>160</v>
      </c>
      <c r="CQ107" s="129" t="s">
        <v>160</v>
      </c>
      <c r="CR107" s="129" t="s">
        <v>160</v>
      </c>
      <c r="CS107" s="129" t="s">
        <v>160</v>
      </c>
      <c r="CT107" s="129" t="s">
        <v>160</v>
      </c>
      <c r="CU107" s="129">
        <v>35</v>
      </c>
      <c r="CV107" s="129" t="s">
        <v>159</v>
      </c>
      <c r="CW107" s="146">
        <v>1</v>
      </c>
      <c r="CX107" s="129" t="s">
        <v>207</v>
      </c>
      <c r="CY107" s="129">
        <v>1.2965882651499972E-2</v>
      </c>
      <c r="CZ107" s="129" t="s">
        <v>159</v>
      </c>
      <c r="DA107" s="146">
        <v>2.5000000000000001E-3</v>
      </c>
      <c r="DB107" s="129" t="s">
        <v>208</v>
      </c>
      <c r="DC107" s="129">
        <v>4.7376600345166754E-2</v>
      </c>
      <c r="DD107" s="129" t="s">
        <v>159</v>
      </c>
      <c r="DE107" s="146">
        <v>2.5000000000000001E-3</v>
      </c>
      <c r="DF107" s="129" t="s">
        <v>209</v>
      </c>
      <c r="DG107" s="129" t="s">
        <v>160</v>
      </c>
      <c r="DH107" s="129" t="s">
        <v>160</v>
      </c>
      <c r="DI107" s="129" t="s">
        <v>160</v>
      </c>
      <c r="DJ107" s="129" t="s">
        <v>160</v>
      </c>
      <c r="DK107" s="145">
        <v>424.29</v>
      </c>
      <c r="DL107" s="129" t="s">
        <v>159</v>
      </c>
      <c r="DM107" s="145" t="s">
        <v>160</v>
      </c>
      <c r="DN107" s="129" t="s">
        <v>210</v>
      </c>
      <c r="DO107" s="129">
        <v>37.971620000000001</v>
      </c>
      <c r="DP107" s="129" t="s">
        <v>160</v>
      </c>
      <c r="DQ107" s="129">
        <v>0.67258499999999799</v>
      </c>
      <c r="DR107" s="129" t="s">
        <v>211</v>
      </c>
      <c r="DS107" s="129" t="s">
        <v>212</v>
      </c>
      <c r="DT107" s="129" t="s">
        <v>213</v>
      </c>
      <c r="DU107" s="129">
        <v>1.0271999999999999</v>
      </c>
      <c r="DV107" s="129" t="s">
        <v>214</v>
      </c>
      <c r="DW107" s="129" t="s">
        <v>214</v>
      </c>
      <c r="DX107" s="129" t="s">
        <v>215</v>
      </c>
      <c r="DY107" s="129" t="s">
        <v>160</v>
      </c>
      <c r="DZ107" s="129" t="s">
        <v>164</v>
      </c>
      <c r="EA107" s="129" t="s">
        <v>216</v>
      </c>
      <c r="EB107" s="129" t="s">
        <v>212</v>
      </c>
      <c r="EC107" s="129" t="s">
        <v>212</v>
      </c>
      <c r="ED107" s="129" t="s">
        <v>212</v>
      </c>
      <c r="EE107" s="129" t="s">
        <v>217</v>
      </c>
      <c r="EF107" s="147" t="s">
        <v>213</v>
      </c>
      <c r="EG107" s="148" t="s">
        <v>213</v>
      </c>
      <c r="EH107" s="129" t="s">
        <v>218</v>
      </c>
      <c r="EI107" s="129" t="s">
        <v>219</v>
      </c>
      <c r="EJ107" s="129" t="s">
        <v>160</v>
      </c>
      <c r="EK107" s="129">
        <v>1646.8870000000002</v>
      </c>
      <c r="EL107" s="129" t="s">
        <v>163</v>
      </c>
      <c r="EM107" s="150">
        <v>500</v>
      </c>
      <c r="EN107" s="150">
        <v>500</v>
      </c>
      <c r="EO107" s="129" t="s">
        <v>160</v>
      </c>
      <c r="EP107" s="129" t="s">
        <v>160</v>
      </c>
      <c r="EQ107" s="129" t="s">
        <v>160</v>
      </c>
      <c r="ER107" s="129" t="s">
        <v>160</v>
      </c>
      <c r="ES107" s="129">
        <v>7.9743149999999998</v>
      </c>
      <c r="ET107" s="142" t="s">
        <v>165</v>
      </c>
      <c r="EU107" s="129">
        <v>9.5393000000000505E-2</v>
      </c>
      <c r="EV107" s="129">
        <v>0.10432099999999966</v>
      </c>
      <c r="EW107" s="142" t="s">
        <v>160</v>
      </c>
      <c r="EX107" s="129" t="s">
        <v>160</v>
      </c>
      <c r="EY107" s="129" t="s">
        <v>160</v>
      </c>
      <c r="EZ107" s="129">
        <v>402.12439999999998</v>
      </c>
      <c r="FA107" s="129">
        <v>156.09790000000004</v>
      </c>
      <c r="FB107" s="129">
        <v>119.48899999999998</v>
      </c>
      <c r="FC107" s="129" t="s">
        <v>220</v>
      </c>
      <c r="FD107" s="129" t="s">
        <v>221</v>
      </c>
      <c r="FE107" s="129">
        <v>1811.8620000000001</v>
      </c>
      <c r="FF107" s="129">
        <v>391.23299999999972</v>
      </c>
      <c r="FG107" s="129">
        <v>407.51800000000003</v>
      </c>
      <c r="FH107" s="129" t="s">
        <v>160</v>
      </c>
      <c r="FI107" s="129" t="s">
        <v>160</v>
      </c>
      <c r="FJ107" s="129" t="s">
        <v>160</v>
      </c>
      <c r="FK107" s="129" t="s">
        <v>160</v>
      </c>
      <c r="FL107" s="129" t="s">
        <v>160</v>
      </c>
      <c r="FM107" s="129" t="s">
        <v>160</v>
      </c>
      <c r="FN107" s="151">
        <v>3.4769510000000001</v>
      </c>
      <c r="FO107" s="151">
        <v>1.9891999999999999</v>
      </c>
      <c r="FP107" s="151">
        <v>1.4933530000000002</v>
      </c>
      <c r="FQ107" s="129" t="s">
        <v>414</v>
      </c>
      <c r="FR107" s="166" t="s">
        <v>388</v>
      </c>
      <c r="FS107" s="166">
        <v>2012</v>
      </c>
      <c r="FT107" s="166" t="s">
        <v>395</v>
      </c>
    </row>
    <row r="108" spans="1:176" s="129" customFormat="1" ht="17">
      <c r="A108" s="166" t="s">
        <v>152</v>
      </c>
      <c r="B108" s="166" t="s">
        <v>183</v>
      </c>
      <c r="C108" s="166">
        <v>2018</v>
      </c>
      <c r="D108" s="166" t="s">
        <v>184</v>
      </c>
      <c r="E108" s="195">
        <v>15838.071018764613</v>
      </c>
      <c r="F108" s="166" t="s">
        <v>160</v>
      </c>
      <c r="G108" s="166" t="s">
        <v>160</v>
      </c>
      <c r="H108" s="190">
        <v>575.31499999999994</v>
      </c>
      <c r="I108" s="191">
        <v>281.00760000000002</v>
      </c>
      <c r="J108" s="191">
        <v>182.96759999999995</v>
      </c>
      <c r="K108" s="129" t="s">
        <v>457</v>
      </c>
      <c r="L108" s="131" t="s">
        <v>185</v>
      </c>
      <c r="M108" s="132" t="s">
        <v>186</v>
      </c>
      <c r="N108" s="129" t="s">
        <v>184</v>
      </c>
      <c r="O108" s="129">
        <v>926</v>
      </c>
      <c r="P108" s="129" t="s">
        <v>156</v>
      </c>
      <c r="Q108" s="129">
        <v>32</v>
      </c>
      <c r="R108" s="129">
        <v>2</v>
      </c>
      <c r="S108" s="129">
        <v>30</v>
      </c>
      <c r="T108" s="129">
        <v>32</v>
      </c>
      <c r="U108" s="129" t="s">
        <v>160</v>
      </c>
      <c r="V108" s="129">
        <v>290.8</v>
      </c>
      <c r="W108" s="129" t="s">
        <v>160</v>
      </c>
      <c r="X108" s="129" t="s">
        <v>408</v>
      </c>
      <c r="Y108" s="129">
        <v>-16.739999999999998</v>
      </c>
      <c r="Z108" s="129">
        <v>115.536</v>
      </c>
      <c r="AA108" s="129" t="s">
        <v>160</v>
      </c>
      <c r="AB108" s="129" t="s">
        <v>160</v>
      </c>
      <c r="AC108" s="136">
        <v>-3598</v>
      </c>
      <c r="AD108" s="129" t="s">
        <v>160</v>
      </c>
      <c r="AE108" s="129" t="s">
        <v>160</v>
      </c>
      <c r="AF108" s="178" t="s">
        <v>409</v>
      </c>
      <c r="AG108" s="129">
        <v>15838.071018764613</v>
      </c>
      <c r="AH108" s="138" t="s">
        <v>160</v>
      </c>
      <c r="AI108" s="138" t="s">
        <v>160</v>
      </c>
      <c r="AJ108" s="138" t="s">
        <v>160</v>
      </c>
      <c r="AK108" s="129" t="s">
        <v>237</v>
      </c>
      <c r="AL108" s="184" t="s">
        <v>321</v>
      </c>
      <c r="AM108" s="184" t="s">
        <v>410</v>
      </c>
      <c r="AN108" s="129" t="s">
        <v>160</v>
      </c>
      <c r="AO108" s="129" t="s">
        <v>160</v>
      </c>
      <c r="AP108" s="129" t="s">
        <v>160</v>
      </c>
      <c r="AQ108" s="129" t="s">
        <v>160</v>
      </c>
      <c r="AR108" s="129" t="s">
        <v>160</v>
      </c>
      <c r="AS108" s="129" t="s">
        <v>160</v>
      </c>
      <c r="AT108" s="129" t="s">
        <v>160</v>
      </c>
      <c r="AU108" s="129" t="s">
        <v>191</v>
      </c>
      <c r="AV108" s="129" t="s">
        <v>161</v>
      </c>
      <c r="AW108" s="129" t="s">
        <v>192</v>
      </c>
      <c r="AX108" s="129" t="s">
        <v>352</v>
      </c>
      <c r="AY108" s="129" t="s">
        <v>391</v>
      </c>
      <c r="AZ108" s="129" t="s">
        <v>325</v>
      </c>
      <c r="BA108" s="129" t="s">
        <v>162</v>
      </c>
      <c r="BB108" s="129" t="s">
        <v>413</v>
      </c>
      <c r="BC108" s="129">
        <v>2</v>
      </c>
      <c r="BD108" s="129">
        <v>0.13000000000000075</v>
      </c>
      <c r="BE108" s="129">
        <v>15.24</v>
      </c>
      <c r="BF108" s="129" t="s">
        <v>393</v>
      </c>
      <c r="BG108" s="129">
        <v>0.23</v>
      </c>
      <c r="BH108" s="129">
        <v>0.83299999999999996</v>
      </c>
      <c r="BI108" s="129" t="s">
        <v>160</v>
      </c>
      <c r="BJ108" s="138" t="s">
        <v>160</v>
      </c>
      <c r="BK108" s="129">
        <v>2.69</v>
      </c>
      <c r="BL108" s="129" t="s">
        <v>160</v>
      </c>
      <c r="BM108" s="129" t="s">
        <v>160</v>
      </c>
      <c r="BN108" s="129" t="s">
        <v>200</v>
      </c>
      <c r="BO108" s="129" t="s">
        <v>201</v>
      </c>
      <c r="BP108" s="151">
        <v>15.071941866751846</v>
      </c>
      <c r="BQ108" s="129" t="s">
        <v>202</v>
      </c>
      <c r="BR108" s="217"/>
      <c r="BS108" s="129" t="s">
        <v>160</v>
      </c>
      <c r="BT108" s="129" t="s">
        <v>160</v>
      </c>
      <c r="BU108" s="129">
        <v>10</v>
      </c>
      <c r="BV108" s="129" t="s">
        <v>159</v>
      </c>
      <c r="BW108" s="129">
        <v>10</v>
      </c>
      <c r="BX108" s="145">
        <v>28.140547973096851</v>
      </c>
      <c r="BY108" s="129" t="s">
        <v>159</v>
      </c>
      <c r="BZ108" s="129">
        <v>1</v>
      </c>
      <c r="CA108" s="129">
        <v>1</v>
      </c>
      <c r="CC108" s="129">
        <v>4.05</v>
      </c>
      <c r="CD108" s="129" t="s">
        <v>163</v>
      </c>
      <c r="CE108" s="144">
        <f t="shared" si="12"/>
        <v>0.10934999999999999</v>
      </c>
      <c r="CF108" s="144">
        <f t="shared" si="13"/>
        <v>0.10934999999999999</v>
      </c>
      <c r="CG108" s="145" t="s">
        <v>203</v>
      </c>
      <c r="CH108" s="129" t="s">
        <v>204</v>
      </c>
      <c r="CI108" s="129" t="s">
        <v>205</v>
      </c>
      <c r="CJ108" s="129" t="s">
        <v>206</v>
      </c>
      <c r="CK108" s="129" t="s">
        <v>158</v>
      </c>
      <c r="CL108" s="129" t="s">
        <v>158</v>
      </c>
      <c r="CM108" s="129" t="s">
        <v>158</v>
      </c>
      <c r="CN108" s="129" t="s">
        <v>160</v>
      </c>
      <c r="CO108" s="129" t="s">
        <v>160</v>
      </c>
      <c r="CP108" s="129" t="s">
        <v>160</v>
      </c>
      <c r="CQ108" s="129" t="s">
        <v>160</v>
      </c>
      <c r="CR108" s="129" t="s">
        <v>160</v>
      </c>
      <c r="CS108" s="129" t="s">
        <v>160</v>
      </c>
      <c r="CT108" s="129" t="s">
        <v>160</v>
      </c>
      <c r="CU108" s="129">
        <v>35</v>
      </c>
      <c r="CV108" s="129" t="s">
        <v>159</v>
      </c>
      <c r="CW108" s="146">
        <v>1</v>
      </c>
      <c r="CX108" s="129" t="s">
        <v>207</v>
      </c>
      <c r="CY108" s="129">
        <v>1.3322564408125636E-2</v>
      </c>
      <c r="CZ108" s="129" t="s">
        <v>159</v>
      </c>
      <c r="DA108" s="146">
        <v>2.5000000000000001E-3</v>
      </c>
      <c r="DB108" s="129" t="s">
        <v>208</v>
      </c>
      <c r="DC108" s="129">
        <v>4.6227292462706279E-2</v>
      </c>
      <c r="DD108" s="129" t="s">
        <v>159</v>
      </c>
      <c r="DE108" s="146">
        <v>2.5000000000000001E-3</v>
      </c>
      <c r="DF108" s="129" t="s">
        <v>209</v>
      </c>
      <c r="DG108" s="129" t="s">
        <v>160</v>
      </c>
      <c r="DH108" s="129" t="s">
        <v>160</v>
      </c>
      <c r="DI108" s="129" t="s">
        <v>160</v>
      </c>
      <c r="DJ108" s="129" t="s">
        <v>160</v>
      </c>
      <c r="DK108" s="145">
        <v>424.29</v>
      </c>
      <c r="DL108" s="129" t="s">
        <v>159</v>
      </c>
      <c r="DM108" s="145" t="s">
        <v>160</v>
      </c>
      <c r="DN108" s="129" t="s">
        <v>210</v>
      </c>
      <c r="DO108" s="129">
        <v>37.890279999999997</v>
      </c>
      <c r="DP108" s="129" t="s">
        <v>160</v>
      </c>
      <c r="DQ108" s="129">
        <v>0.66591999999999985</v>
      </c>
      <c r="DR108" s="129" t="s">
        <v>211</v>
      </c>
      <c r="DS108" s="129" t="s">
        <v>212</v>
      </c>
      <c r="DT108" s="129" t="s">
        <v>213</v>
      </c>
      <c r="DU108" s="129">
        <v>1.0271999999999999</v>
      </c>
      <c r="DV108" s="129" t="s">
        <v>214</v>
      </c>
      <c r="DW108" s="129" t="s">
        <v>214</v>
      </c>
      <c r="DX108" s="129" t="s">
        <v>215</v>
      </c>
      <c r="DY108" s="129" t="s">
        <v>160</v>
      </c>
      <c r="DZ108" s="129" t="s">
        <v>164</v>
      </c>
      <c r="EA108" s="129" t="s">
        <v>216</v>
      </c>
      <c r="EB108" s="129" t="s">
        <v>212</v>
      </c>
      <c r="EC108" s="129" t="s">
        <v>212</v>
      </c>
      <c r="ED108" s="129" t="s">
        <v>212</v>
      </c>
      <c r="EE108" s="129" t="s">
        <v>217</v>
      </c>
      <c r="EF108" s="147" t="s">
        <v>213</v>
      </c>
      <c r="EG108" s="148" t="s">
        <v>213</v>
      </c>
      <c r="EH108" s="129" t="s">
        <v>218</v>
      </c>
      <c r="EI108" s="129" t="s">
        <v>219</v>
      </c>
      <c r="EJ108" s="129" t="s">
        <v>160</v>
      </c>
      <c r="EK108" s="129">
        <v>1594.268</v>
      </c>
      <c r="EL108" s="129" t="s">
        <v>163</v>
      </c>
      <c r="EM108" s="150">
        <v>500</v>
      </c>
      <c r="EN108" s="150">
        <v>500</v>
      </c>
      <c r="EO108" s="129" t="s">
        <v>160</v>
      </c>
      <c r="EP108" s="129" t="s">
        <v>160</v>
      </c>
      <c r="EQ108" s="129" t="s">
        <v>160</v>
      </c>
      <c r="ER108" s="129" t="s">
        <v>160</v>
      </c>
      <c r="ES108" s="129">
        <v>7.8127839999999997</v>
      </c>
      <c r="ET108" s="142" t="s">
        <v>165</v>
      </c>
      <c r="EU108" s="129">
        <v>0.11549200000000059</v>
      </c>
      <c r="EV108" s="129">
        <v>0.13794799999999974</v>
      </c>
      <c r="EW108" s="142" t="s">
        <v>160</v>
      </c>
      <c r="EX108" s="129" t="s">
        <v>160</v>
      </c>
      <c r="EY108" s="129" t="s">
        <v>160</v>
      </c>
      <c r="EZ108" s="129">
        <v>575.31499999999994</v>
      </c>
      <c r="FA108" s="129">
        <v>281.00760000000002</v>
      </c>
      <c r="FB108" s="129">
        <v>182.96759999999995</v>
      </c>
      <c r="FC108" s="129" t="s">
        <v>220</v>
      </c>
      <c r="FD108" s="129" t="s">
        <v>221</v>
      </c>
      <c r="FE108" s="129">
        <v>1708.1559999999999</v>
      </c>
      <c r="FF108" s="129">
        <v>387.14499999999998</v>
      </c>
      <c r="FG108" s="129">
        <v>396.77399999999989</v>
      </c>
      <c r="FH108" s="129" t="s">
        <v>160</v>
      </c>
      <c r="FI108" s="129" t="s">
        <v>160</v>
      </c>
      <c r="FJ108" s="129" t="s">
        <v>160</v>
      </c>
      <c r="FK108" s="129" t="s">
        <v>160</v>
      </c>
      <c r="FL108" s="129" t="s">
        <v>160</v>
      </c>
      <c r="FM108" s="129" t="s">
        <v>160</v>
      </c>
      <c r="FN108" s="151">
        <v>2.5063049999999998</v>
      </c>
      <c r="FO108" s="151">
        <v>1.5553500000000002</v>
      </c>
      <c r="FP108" s="151">
        <v>1.1057169999999998</v>
      </c>
      <c r="FQ108" s="129" t="s">
        <v>414</v>
      </c>
      <c r="FR108" s="166" t="s">
        <v>388</v>
      </c>
      <c r="FS108" s="166">
        <v>2012</v>
      </c>
      <c r="FT108" s="166" t="s">
        <v>395</v>
      </c>
    </row>
    <row r="109" spans="1:176" s="129" customFormat="1">
      <c r="A109" s="129" t="s">
        <v>152</v>
      </c>
      <c r="B109" s="166" t="s">
        <v>183</v>
      </c>
      <c r="C109" s="166">
        <v>2018</v>
      </c>
      <c r="D109" s="166" t="s">
        <v>184</v>
      </c>
      <c r="E109" s="145">
        <f>AG109</f>
        <v>3.9110250469999999</v>
      </c>
      <c r="F109" s="129">
        <f>AI109</f>
        <v>2</v>
      </c>
      <c r="G109" s="129">
        <f>AJ109</f>
        <v>2</v>
      </c>
      <c r="H109" s="191">
        <v>273.9015</v>
      </c>
      <c r="I109" s="191">
        <v>23.527900000000045</v>
      </c>
      <c r="J109" s="191">
        <v>22.355499999999978</v>
      </c>
      <c r="K109" s="129" t="s">
        <v>457</v>
      </c>
      <c r="L109" s="131" t="s">
        <v>185</v>
      </c>
      <c r="M109" s="132" t="s">
        <v>186</v>
      </c>
      <c r="N109" s="129" t="s">
        <v>184</v>
      </c>
      <c r="O109" s="129" t="s">
        <v>420</v>
      </c>
      <c r="P109" s="129" t="s">
        <v>156</v>
      </c>
      <c r="Q109" s="129">
        <v>1</v>
      </c>
      <c r="R109" s="129">
        <v>1</v>
      </c>
      <c r="S109" s="129">
        <v>4</v>
      </c>
      <c r="T109" s="129">
        <v>5</v>
      </c>
      <c r="U109" s="199">
        <v>4.4999999999999998E-2</v>
      </c>
      <c r="V109" s="199">
        <v>4.4999999999999998E-2</v>
      </c>
      <c r="W109" s="129" t="s">
        <v>160</v>
      </c>
      <c r="X109" s="129" t="s">
        <v>421</v>
      </c>
      <c r="Y109" s="200">
        <v>12.74</v>
      </c>
      <c r="Z109" s="200">
        <v>-78.739999999999995</v>
      </c>
      <c r="AA109" s="129" t="s">
        <v>160</v>
      </c>
      <c r="AB109" s="129" t="s">
        <v>160</v>
      </c>
      <c r="AC109" s="129">
        <v>-2839</v>
      </c>
      <c r="AD109" s="129" t="s">
        <v>160</v>
      </c>
      <c r="AE109" s="129" t="s">
        <v>160</v>
      </c>
      <c r="AF109" s="129" t="s">
        <v>160</v>
      </c>
      <c r="AG109" s="145">
        <v>3.9110250469999999</v>
      </c>
      <c r="AH109" s="129" t="s">
        <v>163</v>
      </c>
      <c r="AI109" s="129">
        <v>2</v>
      </c>
      <c r="AJ109" s="129">
        <v>2</v>
      </c>
      <c r="AK109" s="129" t="s">
        <v>160</v>
      </c>
      <c r="AL109" s="129" t="s">
        <v>422</v>
      </c>
      <c r="AM109" s="129" t="s">
        <v>160</v>
      </c>
      <c r="AN109" s="129" t="s">
        <v>160</v>
      </c>
      <c r="AO109" s="129" t="s">
        <v>160</v>
      </c>
      <c r="AP109" s="129" t="s">
        <v>160</v>
      </c>
      <c r="AQ109" s="129" t="s">
        <v>160</v>
      </c>
      <c r="AR109" s="129" t="s">
        <v>160</v>
      </c>
      <c r="AS109" s="129" t="s">
        <v>160</v>
      </c>
      <c r="AT109" s="129" t="s">
        <v>160</v>
      </c>
      <c r="AU109" s="129" t="s">
        <v>423</v>
      </c>
      <c r="AV109" s="129" t="s">
        <v>161</v>
      </c>
      <c r="AW109" s="129" t="s">
        <v>424</v>
      </c>
      <c r="AX109" s="178">
        <v>2</v>
      </c>
      <c r="AY109" s="129" t="s">
        <v>194</v>
      </c>
      <c r="AZ109" s="129" t="s">
        <v>195</v>
      </c>
      <c r="BA109" s="129" t="s">
        <v>425</v>
      </c>
      <c r="BB109" s="129" t="s">
        <v>160</v>
      </c>
      <c r="BC109" s="178">
        <v>2</v>
      </c>
      <c r="BD109" s="129" t="s">
        <v>160</v>
      </c>
      <c r="BE109" s="199">
        <v>20.67</v>
      </c>
      <c r="BF109" s="129" t="s">
        <v>426</v>
      </c>
      <c r="BG109" s="129">
        <v>0.18</v>
      </c>
      <c r="BH109" s="129">
        <v>0.64</v>
      </c>
      <c r="BI109" s="129" t="s">
        <v>427</v>
      </c>
      <c r="BJ109" s="129">
        <v>3.4000000000000002E-2</v>
      </c>
      <c r="BK109" s="129">
        <v>9.1</v>
      </c>
      <c r="BL109" s="129" t="s">
        <v>163</v>
      </c>
      <c r="BM109" s="129">
        <v>0.56000000000000005</v>
      </c>
      <c r="BN109" s="129" t="s">
        <v>428</v>
      </c>
      <c r="BO109" s="129" t="s">
        <v>429</v>
      </c>
      <c r="BP109" s="151">
        <f>(BE109-8.87)/0.6</f>
        <v>19.666666666666671</v>
      </c>
      <c r="BQ109" s="129" t="s">
        <v>202</v>
      </c>
      <c r="BR109" s="217"/>
      <c r="BS109" s="129" t="s">
        <v>160</v>
      </c>
      <c r="BT109" s="129" t="s">
        <v>160</v>
      </c>
      <c r="BU109" s="129">
        <v>10</v>
      </c>
      <c r="BV109" s="129" t="s">
        <v>159</v>
      </c>
      <c r="BW109" s="129">
        <v>10</v>
      </c>
      <c r="BX109" s="145">
        <v>28.3</v>
      </c>
      <c r="BY109" s="129" t="s">
        <v>159</v>
      </c>
      <c r="BZ109" s="129">
        <v>1</v>
      </c>
      <c r="CA109" s="129">
        <v>1</v>
      </c>
      <c r="CB109" s="129" t="s">
        <v>160</v>
      </c>
      <c r="CC109" s="129">
        <v>4.1399999999999997</v>
      </c>
      <c r="CD109" s="129" t="s">
        <v>430</v>
      </c>
      <c r="CE109" s="151">
        <v>0.1656</v>
      </c>
      <c r="CF109" s="151">
        <v>0.1656</v>
      </c>
      <c r="CG109" s="178" t="s">
        <v>160</v>
      </c>
      <c r="CH109" s="129" t="s">
        <v>431</v>
      </c>
      <c r="CI109" s="129" t="s">
        <v>160</v>
      </c>
      <c r="CJ109" s="129" t="s">
        <v>432</v>
      </c>
      <c r="CK109" s="129" t="s">
        <v>158</v>
      </c>
      <c r="CL109" s="129" t="s">
        <v>158</v>
      </c>
      <c r="CM109" s="129" t="s">
        <v>158</v>
      </c>
      <c r="CN109" s="129" t="s">
        <v>160</v>
      </c>
      <c r="CO109" s="129" t="s">
        <v>160</v>
      </c>
      <c r="CP109" s="129" t="s">
        <v>160</v>
      </c>
      <c r="CQ109" s="129" t="s">
        <v>160</v>
      </c>
      <c r="CR109" s="129" t="s">
        <v>160</v>
      </c>
      <c r="CS109" s="129" t="s">
        <v>160</v>
      </c>
      <c r="CT109" s="129" t="s">
        <v>160</v>
      </c>
      <c r="CU109" s="129">
        <v>35</v>
      </c>
      <c r="CV109" s="129" t="s">
        <v>393</v>
      </c>
      <c r="CW109" s="146">
        <v>1</v>
      </c>
      <c r="CX109" s="129" t="s">
        <v>207</v>
      </c>
      <c r="CY109" s="129">
        <v>1.06E-2</v>
      </c>
      <c r="CZ109" s="129" t="s">
        <v>159</v>
      </c>
      <c r="DA109" s="146">
        <v>0</v>
      </c>
      <c r="DB109" s="129" t="s">
        <v>208</v>
      </c>
      <c r="DC109" s="129">
        <v>5.5100000000000003E-2</v>
      </c>
      <c r="DD109" s="129" t="s">
        <v>159</v>
      </c>
      <c r="DE109" s="146">
        <v>0</v>
      </c>
      <c r="DF109" s="129" t="s">
        <v>208</v>
      </c>
      <c r="DG109" s="129" t="s">
        <v>160</v>
      </c>
      <c r="DH109" s="129" t="s">
        <v>160</v>
      </c>
      <c r="DI109" s="129" t="s">
        <v>160</v>
      </c>
      <c r="DJ109" s="129" t="s">
        <v>160</v>
      </c>
      <c r="DK109" s="145">
        <v>432.56244218316402</v>
      </c>
      <c r="DL109" s="129" t="s">
        <v>433</v>
      </c>
      <c r="DM109" s="145" t="s">
        <v>160</v>
      </c>
      <c r="DN109" s="129" t="s">
        <v>434</v>
      </c>
      <c r="DO109" s="129">
        <v>39.605759999999997</v>
      </c>
      <c r="DP109" s="129" t="s">
        <v>160</v>
      </c>
      <c r="DQ109" s="129">
        <v>4.1900000000012483E-3</v>
      </c>
      <c r="DR109" s="129" t="s">
        <v>435</v>
      </c>
      <c r="DS109" s="129" t="s">
        <v>212</v>
      </c>
      <c r="DT109" s="129" t="s">
        <v>213</v>
      </c>
      <c r="DU109" s="129">
        <v>1.0271999999999999</v>
      </c>
      <c r="DV109" s="129" t="s">
        <v>160</v>
      </c>
      <c r="DW109" s="129" t="s">
        <v>160</v>
      </c>
      <c r="DX109" s="129" t="s">
        <v>436</v>
      </c>
      <c r="DY109" s="129" t="s">
        <v>158</v>
      </c>
      <c r="DZ109" s="129" t="s">
        <v>158</v>
      </c>
      <c r="EA109" s="129" t="s">
        <v>216</v>
      </c>
      <c r="EB109" s="129" t="s">
        <v>212</v>
      </c>
      <c r="EC109" s="129" t="s">
        <v>212</v>
      </c>
      <c r="ED109" s="129" t="s">
        <v>212</v>
      </c>
      <c r="EE109" s="129" t="s">
        <v>217</v>
      </c>
      <c r="EF109" s="147" t="s">
        <v>213</v>
      </c>
      <c r="EG109" s="148" t="s">
        <v>213</v>
      </c>
      <c r="EH109" s="129" t="s">
        <v>218</v>
      </c>
      <c r="EI109" s="129" t="s">
        <v>417</v>
      </c>
      <c r="EJ109" s="129" t="s">
        <v>160</v>
      </c>
      <c r="EK109" s="129">
        <v>1999.9190000000001</v>
      </c>
      <c r="EL109" s="129" t="s">
        <v>163</v>
      </c>
      <c r="EM109" s="129">
        <v>6.7999999999769634E-2</v>
      </c>
      <c r="EN109" s="129">
        <v>6.6000000000388664E-2</v>
      </c>
      <c r="EO109" s="129" t="s">
        <v>160</v>
      </c>
      <c r="EP109" s="129" t="s">
        <v>160</v>
      </c>
      <c r="EQ109" s="129" t="s">
        <v>160</v>
      </c>
      <c r="ER109" s="129" t="s">
        <v>160</v>
      </c>
      <c r="ES109" s="201">
        <v>8.1406779999999994</v>
      </c>
      <c r="ET109" s="129" t="s">
        <v>165</v>
      </c>
      <c r="EU109" s="151">
        <v>3.0378999999999934E-2</v>
      </c>
      <c r="EV109" s="151">
        <v>2.9606999999998607E-2</v>
      </c>
      <c r="EW109" s="142" t="s">
        <v>160</v>
      </c>
      <c r="EX109" s="129" t="s">
        <v>160</v>
      </c>
      <c r="EY109" s="129" t="s">
        <v>160</v>
      </c>
      <c r="EZ109" s="191">
        <v>273.9015</v>
      </c>
      <c r="FA109" s="191">
        <v>23.527900000000045</v>
      </c>
      <c r="FB109" s="191">
        <v>22.355499999999978</v>
      </c>
      <c r="FC109" s="129" t="s">
        <v>220</v>
      </c>
      <c r="FD109" s="129" t="s">
        <v>221</v>
      </c>
      <c r="FE109" s="129">
        <v>2352.078</v>
      </c>
      <c r="FF109" s="129">
        <v>27.7199999999998</v>
      </c>
      <c r="FG109" s="129">
        <v>28.405999999999949</v>
      </c>
      <c r="FH109" s="129" t="s">
        <v>160</v>
      </c>
      <c r="FI109" s="129" t="s">
        <v>160</v>
      </c>
      <c r="FJ109" s="129" t="s">
        <v>160</v>
      </c>
      <c r="FK109" s="129" t="s">
        <v>160</v>
      </c>
      <c r="FL109" s="129" t="s">
        <v>160</v>
      </c>
      <c r="FM109" s="129" t="s">
        <v>160</v>
      </c>
      <c r="FN109" s="151">
        <v>4.6530670000000001</v>
      </c>
      <c r="FO109" s="151">
        <v>0.20274799999999971</v>
      </c>
      <c r="FP109" s="151">
        <v>0.19451899999999966</v>
      </c>
      <c r="FQ109" s="178" t="s">
        <v>419</v>
      </c>
      <c r="FR109" s="129" t="s">
        <v>415</v>
      </c>
      <c r="FS109" s="129">
        <v>2017</v>
      </c>
      <c r="FT109" s="131" t="s">
        <v>416</v>
      </c>
    </row>
    <row r="110" spans="1:176" s="129" customFormat="1">
      <c r="A110" s="129" t="s">
        <v>152</v>
      </c>
      <c r="B110" s="166" t="s">
        <v>183</v>
      </c>
      <c r="C110" s="166">
        <v>2018</v>
      </c>
      <c r="D110" s="166" t="s">
        <v>184</v>
      </c>
      <c r="E110" s="145">
        <f t="shared" ref="E110:E173" si="14">AG110</f>
        <v>4.63</v>
      </c>
      <c r="F110" s="129">
        <f t="shared" ref="F110:G173" si="15">AI110</f>
        <v>2</v>
      </c>
      <c r="G110" s="129">
        <f t="shared" si="15"/>
        <v>2</v>
      </c>
      <c r="H110" s="191">
        <v>263.0582</v>
      </c>
      <c r="I110" s="191">
        <v>21.027199999999993</v>
      </c>
      <c r="J110" s="191">
        <v>19.247500000000002</v>
      </c>
      <c r="K110" s="129" t="s">
        <v>457</v>
      </c>
      <c r="L110" s="131" t="s">
        <v>185</v>
      </c>
      <c r="M110" s="132" t="s">
        <v>186</v>
      </c>
      <c r="N110" s="129" t="s">
        <v>184</v>
      </c>
      <c r="O110" s="129" t="s">
        <v>420</v>
      </c>
      <c r="P110" s="129" t="s">
        <v>156</v>
      </c>
      <c r="Q110" s="129">
        <v>1</v>
      </c>
      <c r="R110" s="129">
        <v>1</v>
      </c>
      <c r="S110" s="129">
        <v>11</v>
      </c>
      <c r="T110" s="129">
        <v>13</v>
      </c>
      <c r="U110" s="199">
        <v>0.11</v>
      </c>
      <c r="V110" s="199">
        <v>0.11</v>
      </c>
      <c r="W110" s="129" t="s">
        <v>160</v>
      </c>
      <c r="X110" s="129" t="s">
        <v>421</v>
      </c>
      <c r="Y110" s="200">
        <v>12.74</v>
      </c>
      <c r="Z110" s="200">
        <v>-78.739999999999995</v>
      </c>
      <c r="AA110" s="129" t="s">
        <v>160</v>
      </c>
      <c r="AB110" s="129" t="s">
        <v>160</v>
      </c>
      <c r="AC110" s="129">
        <v>-2839</v>
      </c>
      <c r="AD110" s="129" t="s">
        <v>160</v>
      </c>
      <c r="AE110" s="129" t="s">
        <v>160</v>
      </c>
      <c r="AF110" s="129" t="s">
        <v>160</v>
      </c>
      <c r="AG110" s="145">
        <v>4.63</v>
      </c>
      <c r="AH110" s="129" t="s">
        <v>163</v>
      </c>
      <c r="AI110" s="129">
        <v>2</v>
      </c>
      <c r="AJ110" s="129">
        <v>2</v>
      </c>
      <c r="AK110" s="129" t="s">
        <v>160</v>
      </c>
      <c r="AL110" s="129" t="s">
        <v>422</v>
      </c>
      <c r="AM110" s="129" t="s">
        <v>160</v>
      </c>
      <c r="AN110" s="129" t="s">
        <v>160</v>
      </c>
      <c r="AO110" s="129" t="s">
        <v>160</v>
      </c>
      <c r="AP110" s="129" t="s">
        <v>160</v>
      </c>
      <c r="AQ110" s="129" t="s">
        <v>160</v>
      </c>
      <c r="AR110" s="129" t="s">
        <v>160</v>
      </c>
      <c r="AS110" s="129" t="s">
        <v>160</v>
      </c>
      <c r="AT110" s="129" t="s">
        <v>160</v>
      </c>
      <c r="AU110" s="129" t="s">
        <v>423</v>
      </c>
      <c r="AV110" s="129" t="s">
        <v>161</v>
      </c>
      <c r="AW110" s="129" t="s">
        <v>424</v>
      </c>
      <c r="AX110" s="178">
        <v>2</v>
      </c>
      <c r="AY110" s="129" t="s">
        <v>194</v>
      </c>
      <c r="AZ110" s="129" t="s">
        <v>195</v>
      </c>
      <c r="BA110" s="129" t="s">
        <v>425</v>
      </c>
      <c r="BB110" s="129" t="s">
        <v>160</v>
      </c>
      <c r="BC110" s="178">
        <v>2</v>
      </c>
      <c r="BD110" s="129" t="s">
        <v>160</v>
      </c>
      <c r="BE110" s="199">
        <v>20.79</v>
      </c>
      <c r="BF110" s="129" t="s">
        <v>426</v>
      </c>
      <c r="BG110" s="151">
        <v>0.12</v>
      </c>
      <c r="BH110" s="129">
        <v>0.64</v>
      </c>
      <c r="BI110" s="129" t="s">
        <v>427</v>
      </c>
      <c r="BJ110" s="129">
        <v>3.4000000000000002E-2</v>
      </c>
      <c r="BK110" s="129">
        <v>9.1</v>
      </c>
      <c r="BL110" s="129" t="s">
        <v>163</v>
      </c>
      <c r="BM110" s="129">
        <v>0.56000000000000005</v>
      </c>
      <c r="BN110" s="129" t="s">
        <v>428</v>
      </c>
      <c r="BO110" s="129" t="s">
        <v>429</v>
      </c>
      <c r="BP110" s="151">
        <f t="shared" ref="BP110:BP173" si="16">(BE110-8.87)/0.6</f>
        <v>19.866666666666667</v>
      </c>
      <c r="BQ110" s="129" t="s">
        <v>202</v>
      </c>
      <c r="BR110" s="217"/>
      <c r="BS110" s="129" t="s">
        <v>160</v>
      </c>
      <c r="BT110" s="129" t="s">
        <v>160</v>
      </c>
      <c r="BU110" s="129">
        <v>10</v>
      </c>
      <c r="BV110" s="129" t="s">
        <v>159</v>
      </c>
      <c r="BW110" s="129">
        <v>10</v>
      </c>
      <c r="BX110" s="145">
        <v>28.54</v>
      </c>
      <c r="BY110" s="129" t="s">
        <v>159</v>
      </c>
      <c r="BZ110" s="129">
        <v>1</v>
      </c>
      <c r="CA110" s="129">
        <v>1</v>
      </c>
      <c r="CB110" s="129" t="s">
        <v>160</v>
      </c>
      <c r="CC110" s="151">
        <v>4.1609999999999996</v>
      </c>
      <c r="CD110" s="129" t="s">
        <v>430</v>
      </c>
      <c r="CE110" s="151">
        <v>0.16643999999999998</v>
      </c>
      <c r="CF110" s="151">
        <v>0.16643999999999998</v>
      </c>
      <c r="CG110" s="178" t="s">
        <v>160</v>
      </c>
      <c r="CH110" s="129" t="s">
        <v>431</v>
      </c>
      <c r="CI110" s="129" t="s">
        <v>160</v>
      </c>
      <c r="CJ110" s="129" t="s">
        <v>432</v>
      </c>
      <c r="CK110" s="129" t="s">
        <v>158</v>
      </c>
      <c r="CL110" s="129" t="s">
        <v>158</v>
      </c>
      <c r="CM110" s="129" t="s">
        <v>158</v>
      </c>
      <c r="CN110" s="129" t="s">
        <v>160</v>
      </c>
      <c r="CO110" s="129" t="s">
        <v>160</v>
      </c>
      <c r="CP110" s="129" t="s">
        <v>160</v>
      </c>
      <c r="CQ110" s="129" t="s">
        <v>160</v>
      </c>
      <c r="CR110" s="129" t="s">
        <v>160</v>
      </c>
      <c r="CS110" s="129" t="s">
        <v>160</v>
      </c>
      <c r="CT110" s="129" t="s">
        <v>160</v>
      </c>
      <c r="CU110" s="129">
        <v>35</v>
      </c>
      <c r="CV110" s="129" t="s">
        <v>393</v>
      </c>
      <c r="CW110" s="146">
        <v>1</v>
      </c>
      <c r="CX110" s="129" t="s">
        <v>207</v>
      </c>
      <c r="CY110" s="129">
        <v>1.06E-2</v>
      </c>
      <c r="CZ110" s="129" t="s">
        <v>159</v>
      </c>
      <c r="DA110" s="146">
        <v>0</v>
      </c>
      <c r="DB110" s="129" t="s">
        <v>208</v>
      </c>
      <c r="DC110" s="129">
        <v>5.5100000000000003E-2</v>
      </c>
      <c r="DD110" s="129" t="s">
        <v>159</v>
      </c>
      <c r="DE110" s="146">
        <v>0</v>
      </c>
      <c r="DF110" s="129" t="s">
        <v>208</v>
      </c>
      <c r="DG110" s="129" t="s">
        <v>160</v>
      </c>
      <c r="DH110" s="129" t="s">
        <v>160</v>
      </c>
      <c r="DI110" s="129" t="s">
        <v>160</v>
      </c>
      <c r="DJ110" s="129" t="s">
        <v>160</v>
      </c>
      <c r="DK110" s="145">
        <v>432.56244218316402</v>
      </c>
      <c r="DL110" s="129" t="s">
        <v>433</v>
      </c>
      <c r="DM110" s="145" t="s">
        <v>160</v>
      </c>
      <c r="DN110" s="129" t="s">
        <v>434</v>
      </c>
      <c r="DO110" s="129">
        <v>39.606000000000002</v>
      </c>
      <c r="DP110" s="129" t="s">
        <v>160</v>
      </c>
      <c r="DQ110" s="129">
        <v>3.8899999999983947E-3</v>
      </c>
      <c r="DR110" s="129" t="s">
        <v>435</v>
      </c>
      <c r="DS110" s="129" t="s">
        <v>212</v>
      </c>
      <c r="DT110" s="129" t="s">
        <v>213</v>
      </c>
      <c r="DU110" s="129">
        <v>1.0271999999999999</v>
      </c>
      <c r="DV110" s="129" t="s">
        <v>160</v>
      </c>
      <c r="DW110" s="129" t="s">
        <v>160</v>
      </c>
      <c r="DX110" s="129" t="s">
        <v>436</v>
      </c>
      <c r="DY110" s="129" t="s">
        <v>158</v>
      </c>
      <c r="DZ110" s="129" t="s">
        <v>158</v>
      </c>
      <c r="EA110" s="129" t="s">
        <v>216</v>
      </c>
      <c r="EB110" s="129" t="s">
        <v>212</v>
      </c>
      <c r="EC110" s="129" t="s">
        <v>212</v>
      </c>
      <c r="ED110" s="129" t="s">
        <v>212</v>
      </c>
      <c r="EE110" s="129" t="s">
        <v>217</v>
      </c>
      <c r="EF110" s="147" t="s">
        <v>213</v>
      </c>
      <c r="EG110" s="148" t="s">
        <v>213</v>
      </c>
      <c r="EH110" s="129" t="s">
        <v>218</v>
      </c>
      <c r="EI110" s="129" t="s">
        <v>417</v>
      </c>
      <c r="EJ110" s="129" t="s">
        <v>160</v>
      </c>
      <c r="EK110" s="129">
        <v>1999.8989999999999</v>
      </c>
      <c r="EL110" s="129" t="s">
        <v>163</v>
      </c>
      <c r="EM110" s="129">
        <v>8.4999999999928882E-2</v>
      </c>
      <c r="EN110" s="129">
        <v>8.2999999999680552E-2</v>
      </c>
      <c r="EO110" s="129" t="s">
        <v>160</v>
      </c>
      <c r="EP110" s="129" t="s">
        <v>160</v>
      </c>
      <c r="EQ110" s="129" t="s">
        <v>160</v>
      </c>
      <c r="ER110" s="129" t="s">
        <v>160</v>
      </c>
      <c r="ES110" s="201">
        <v>8.1543340000000004</v>
      </c>
      <c r="ET110" s="129" t="s">
        <v>165</v>
      </c>
      <c r="EU110" s="151">
        <v>2.7433999999999514E-2</v>
      </c>
      <c r="EV110" s="151">
        <v>2.7419000000000082E-2</v>
      </c>
      <c r="EW110" s="142" t="s">
        <v>160</v>
      </c>
      <c r="EX110" s="129" t="s">
        <v>160</v>
      </c>
      <c r="EY110" s="129" t="s">
        <v>160</v>
      </c>
      <c r="EZ110" s="191">
        <v>263.0582</v>
      </c>
      <c r="FA110" s="191">
        <v>21.027199999999993</v>
      </c>
      <c r="FB110" s="191">
        <v>19.247500000000002</v>
      </c>
      <c r="FC110" s="129" t="s">
        <v>220</v>
      </c>
      <c r="FD110" s="129" t="s">
        <v>221</v>
      </c>
      <c r="FE110" s="129">
        <v>2364.9050000000002</v>
      </c>
      <c r="FF110" s="129">
        <v>27.17699999999968</v>
      </c>
      <c r="FG110" s="129">
        <v>26.583000000000538</v>
      </c>
      <c r="FH110" s="129" t="s">
        <v>160</v>
      </c>
      <c r="FI110" s="129" t="s">
        <v>160</v>
      </c>
      <c r="FJ110" s="129" t="s">
        <v>160</v>
      </c>
      <c r="FK110" s="129" t="s">
        <v>160</v>
      </c>
      <c r="FL110" s="129" t="s">
        <v>160</v>
      </c>
      <c r="FM110" s="129" t="s">
        <v>160</v>
      </c>
      <c r="FN110" s="151">
        <v>4.8124599999999997</v>
      </c>
      <c r="FO110" s="151">
        <v>0.17590899999999987</v>
      </c>
      <c r="FP110" s="151">
        <v>0.17339400000000005</v>
      </c>
      <c r="FQ110" s="178" t="s">
        <v>419</v>
      </c>
      <c r="FR110" s="129" t="s">
        <v>415</v>
      </c>
      <c r="FS110" s="129">
        <v>2017</v>
      </c>
      <c r="FT110" s="131" t="s">
        <v>416</v>
      </c>
    </row>
    <row r="111" spans="1:176" s="129" customFormat="1">
      <c r="A111" s="129" t="s">
        <v>152</v>
      </c>
      <c r="B111" s="166" t="s">
        <v>183</v>
      </c>
      <c r="C111" s="166">
        <v>2018</v>
      </c>
      <c r="D111" s="166" t="s">
        <v>184</v>
      </c>
      <c r="E111" s="145">
        <f t="shared" si="14"/>
        <v>5.0199999999999996</v>
      </c>
      <c r="F111" s="129">
        <f t="shared" si="15"/>
        <v>2</v>
      </c>
      <c r="G111" s="129">
        <f t="shared" si="15"/>
        <v>2</v>
      </c>
      <c r="H111" s="191">
        <v>281.13759999999996</v>
      </c>
      <c r="I111" s="191">
        <v>23.640000000000043</v>
      </c>
      <c r="J111" s="191">
        <v>22.572399999999959</v>
      </c>
      <c r="K111" s="129" t="s">
        <v>457</v>
      </c>
      <c r="L111" s="131" t="s">
        <v>185</v>
      </c>
      <c r="M111" s="132" t="s">
        <v>186</v>
      </c>
      <c r="N111" s="129" t="s">
        <v>184</v>
      </c>
      <c r="O111" s="129" t="s">
        <v>420</v>
      </c>
      <c r="P111" s="129" t="s">
        <v>156</v>
      </c>
      <c r="Q111" s="129">
        <v>1</v>
      </c>
      <c r="R111" s="129">
        <v>1</v>
      </c>
      <c r="S111" s="129">
        <v>14.5</v>
      </c>
      <c r="T111" s="129">
        <v>16.5</v>
      </c>
      <c r="U111" s="199">
        <v>0.14499999999999999</v>
      </c>
      <c r="V111" s="199">
        <v>0.14499999999999999</v>
      </c>
      <c r="W111" s="129" t="s">
        <v>160</v>
      </c>
      <c r="X111" s="129" t="s">
        <v>421</v>
      </c>
      <c r="Y111" s="200">
        <v>12.74</v>
      </c>
      <c r="Z111" s="200">
        <v>-78.739999999999995</v>
      </c>
      <c r="AA111" s="129" t="s">
        <v>160</v>
      </c>
      <c r="AB111" s="129" t="s">
        <v>160</v>
      </c>
      <c r="AC111" s="129">
        <v>-2839</v>
      </c>
      <c r="AD111" s="129" t="s">
        <v>160</v>
      </c>
      <c r="AE111" s="129" t="s">
        <v>160</v>
      </c>
      <c r="AF111" s="129" t="s">
        <v>160</v>
      </c>
      <c r="AG111" s="145">
        <v>5.0199999999999996</v>
      </c>
      <c r="AH111" s="129" t="s">
        <v>163</v>
      </c>
      <c r="AI111" s="129">
        <v>2</v>
      </c>
      <c r="AJ111" s="129">
        <v>2</v>
      </c>
      <c r="AK111" s="129" t="s">
        <v>160</v>
      </c>
      <c r="AL111" s="129" t="s">
        <v>422</v>
      </c>
      <c r="AM111" s="129" t="s">
        <v>160</v>
      </c>
      <c r="AN111" s="129" t="s">
        <v>160</v>
      </c>
      <c r="AO111" s="129" t="s">
        <v>160</v>
      </c>
      <c r="AP111" s="129" t="s">
        <v>160</v>
      </c>
      <c r="AQ111" s="129" t="s">
        <v>160</v>
      </c>
      <c r="AR111" s="129" t="s">
        <v>160</v>
      </c>
      <c r="AS111" s="129" t="s">
        <v>160</v>
      </c>
      <c r="AT111" s="129" t="s">
        <v>160</v>
      </c>
      <c r="AU111" s="129" t="s">
        <v>423</v>
      </c>
      <c r="AV111" s="129" t="s">
        <v>161</v>
      </c>
      <c r="AW111" s="129" t="s">
        <v>424</v>
      </c>
      <c r="AX111" s="178">
        <v>2</v>
      </c>
      <c r="AY111" s="129" t="s">
        <v>194</v>
      </c>
      <c r="AZ111" s="129" t="s">
        <v>195</v>
      </c>
      <c r="BA111" s="129" t="s">
        <v>425</v>
      </c>
      <c r="BB111" s="129" t="s">
        <v>160</v>
      </c>
      <c r="BC111" s="178">
        <v>2</v>
      </c>
      <c r="BD111" s="129" t="s">
        <v>160</v>
      </c>
      <c r="BE111" s="199">
        <v>20.59</v>
      </c>
      <c r="BF111" s="129" t="s">
        <v>426</v>
      </c>
      <c r="BG111" s="151">
        <v>0.16</v>
      </c>
      <c r="BH111" s="129">
        <v>0.64</v>
      </c>
      <c r="BI111" s="129" t="s">
        <v>427</v>
      </c>
      <c r="BJ111" s="129">
        <v>3.4000000000000002E-2</v>
      </c>
      <c r="BK111" s="129">
        <v>9.1</v>
      </c>
      <c r="BL111" s="129" t="s">
        <v>163</v>
      </c>
      <c r="BM111" s="129">
        <v>0.56000000000000005</v>
      </c>
      <c r="BN111" s="129" t="s">
        <v>428</v>
      </c>
      <c r="BO111" s="129" t="s">
        <v>429</v>
      </c>
      <c r="BP111" s="151">
        <f t="shared" si="16"/>
        <v>19.533333333333335</v>
      </c>
      <c r="BQ111" s="129" t="s">
        <v>202</v>
      </c>
      <c r="BR111" s="217"/>
      <c r="BS111" s="129" t="s">
        <v>160</v>
      </c>
      <c r="BT111" s="129" t="s">
        <v>160</v>
      </c>
      <c r="BU111" s="129">
        <v>10</v>
      </c>
      <c r="BV111" s="129" t="s">
        <v>159</v>
      </c>
      <c r="BW111" s="129">
        <v>10</v>
      </c>
      <c r="BX111" s="145">
        <v>28.13</v>
      </c>
      <c r="BY111" s="129" t="s">
        <v>159</v>
      </c>
      <c r="BZ111" s="129">
        <v>1</v>
      </c>
      <c r="CA111" s="129">
        <v>1</v>
      </c>
      <c r="CB111" s="129" t="s">
        <v>160</v>
      </c>
      <c r="CC111" s="151">
        <v>4.0620000000000003</v>
      </c>
      <c r="CD111" s="129" t="s">
        <v>430</v>
      </c>
      <c r="CE111" s="151">
        <v>0.16248000000000001</v>
      </c>
      <c r="CF111" s="151">
        <v>0.16248000000000001</v>
      </c>
      <c r="CG111" s="178" t="s">
        <v>160</v>
      </c>
      <c r="CH111" s="129" t="s">
        <v>431</v>
      </c>
      <c r="CI111" s="129" t="s">
        <v>160</v>
      </c>
      <c r="CJ111" s="129" t="s">
        <v>432</v>
      </c>
      <c r="CK111" s="129" t="s">
        <v>158</v>
      </c>
      <c r="CL111" s="129" t="s">
        <v>158</v>
      </c>
      <c r="CM111" s="129" t="s">
        <v>158</v>
      </c>
      <c r="CN111" s="129" t="s">
        <v>160</v>
      </c>
      <c r="CO111" s="129" t="s">
        <v>160</v>
      </c>
      <c r="CP111" s="129" t="s">
        <v>160</v>
      </c>
      <c r="CQ111" s="129" t="s">
        <v>160</v>
      </c>
      <c r="CR111" s="129" t="s">
        <v>160</v>
      </c>
      <c r="CS111" s="129" t="s">
        <v>160</v>
      </c>
      <c r="CT111" s="129" t="s">
        <v>160</v>
      </c>
      <c r="CU111" s="129">
        <v>35</v>
      </c>
      <c r="CV111" s="129" t="s">
        <v>393</v>
      </c>
      <c r="CW111" s="146">
        <v>1</v>
      </c>
      <c r="CX111" s="129" t="s">
        <v>207</v>
      </c>
      <c r="CY111" s="129">
        <v>1.06E-2</v>
      </c>
      <c r="CZ111" s="129" t="s">
        <v>159</v>
      </c>
      <c r="DA111" s="146">
        <v>0</v>
      </c>
      <c r="DB111" s="129" t="s">
        <v>208</v>
      </c>
      <c r="DC111" s="129">
        <v>5.5100000000000003E-2</v>
      </c>
      <c r="DD111" s="129" t="s">
        <v>159</v>
      </c>
      <c r="DE111" s="146">
        <v>0</v>
      </c>
      <c r="DF111" s="129" t="s">
        <v>208</v>
      </c>
      <c r="DG111" s="129" t="s">
        <v>160</v>
      </c>
      <c r="DH111" s="129" t="s">
        <v>160</v>
      </c>
      <c r="DI111" s="129" t="s">
        <v>160</v>
      </c>
      <c r="DJ111" s="129" t="s">
        <v>160</v>
      </c>
      <c r="DK111" s="145">
        <v>432.56244218316402</v>
      </c>
      <c r="DL111" s="129" t="s">
        <v>433</v>
      </c>
      <c r="DM111" s="145" t="s">
        <v>160</v>
      </c>
      <c r="DN111" s="129" t="s">
        <v>434</v>
      </c>
      <c r="DO111" s="129">
        <v>39.605980000000002</v>
      </c>
      <c r="DP111" s="129" t="s">
        <v>160</v>
      </c>
      <c r="DQ111" s="129">
        <v>3.8999999999944635E-3</v>
      </c>
      <c r="DR111" s="129" t="s">
        <v>435</v>
      </c>
      <c r="DS111" s="129" t="s">
        <v>212</v>
      </c>
      <c r="DT111" s="129" t="s">
        <v>213</v>
      </c>
      <c r="DU111" s="129">
        <v>1.0271999999999999</v>
      </c>
      <c r="DV111" s="129" t="s">
        <v>160</v>
      </c>
      <c r="DW111" s="129" t="s">
        <v>160</v>
      </c>
      <c r="DX111" s="129" t="s">
        <v>436</v>
      </c>
      <c r="DY111" s="129" t="s">
        <v>158</v>
      </c>
      <c r="DZ111" s="129" t="s">
        <v>158</v>
      </c>
      <c r="EA111" s="129" t="s">
        <v>216</v>
      </c>
      <c r="EB111" s="129" t="s">
        <v>212</v>
      </c>
      <c r="EC111" s="129" t="s">
        <v>212</v>
      </c>
      <c r="ED111" s="129" t="s">
        <v>212</v>
      </c>
      <c r="EE111" s="129" t="s">
        <v>217</v>
      </c>
      <c r="EF111" s="147" t="s">
        <v>213</v>
      </c>
      <c r="EG111" s="148" t="s">
        <v>213</v>
      </c>
      <c r="EH111" s="129" t="s">
        <v>218</v>
      </c>
      <c r="EI111" s="129" t="s">
        <v>417</v>
      </c>
      <c r="EJ111" s="129" t="s">
        <v>160</v>
      </c>
      <c r="EK111" s="129">
        <v>1999.8979999999999</v>
      </c>
      <c r="EL111" s="129" t="s">
        <v>163</v>
      </c>
      <c r="EM111" s="129">
        <v>8.5999999999836207E-2</v>
      </c>
      <c r="EN111" s="129">
        <v>8.4000000000021557E-2</v>
      </c>
      <c r="EO111" s="129" t="s">
        <v>160</v>
      </c>
      <c r="EP111" s="129" t="s">
        <v>160</v>
      </c>
      <c r="EQ111" s="129" t="s">
        <v>160</v>
      </c>
      <c r="ER111" s="129" t="s">
        <v>160</v>
      </c>
      <c r="ES111" s="201">
        <v>8.1314480000000007</v>
      </c>
      <c r="ET111" s="129" t="s">
        <v>165</v>
      </c>
      <c r="EU111" s="151">
        <v>2.9476999999999975E-2</v>
      </c>
      <c r="EV111" s="151">
        <v>2.9307000000001082E-2</v>
      </c>
      <c r="EW111" s="142" t="s">
        <v>160</v>
      </c>
      <c r="EX111" s="129" t="s">
        <v>160</v>
      </c>
      <c r="EY111" s="129" t="s">
        <v>160</v>
      </c>
      <c r="EZ111" s="191">
        <v>281.13759999999996</v>
      </c>
      <c r="FA111" s="191">
        <v>23.640000000000043</v>
      </c>
      <c r="FB111" s="191">
        <v>22.572399999999959</v>
      </c>
      <c r="FC111" s="129" t="s">
        <v>220</v>
      </c>
      <c r="FD111" s="129" t="s">
        <v>221</v>
      </c>
      <c r="FE111" s="129">
        <v>2342.663</v>
      </c>
      <c r="FF111" s="129">
        <v>27.577000000000226</v>
      </c>
      <c r="FG111" s="129">
        <v>27.35799999999972</v>
      </c>
      <c r="FH111" s="129" t="s">
        <v>160</v>
      </c>
      <c r="FI111" s="129" t="s">
        <v>160</v>
      </c>
      <c r="FJ111" s="129" t="s">
        <v>160</v>
      </c>
      <c r="FK111" s="129" t="s">
        <v>160</v>
      </c>
      <c r="FL111" s="129" t="s">
        <v>160</v>
      </c>
      <c r="FM111" s="129" t="s">
        <v>160</v>
      </c>
      <c r="FN111" s="151">
        <v>4.5362999999999998</v>
      </c>
      <c r="FO111" s="151">
        <v>0.18699900000000014</v>
      </c>
      <c r="FP111" s="151">
        <v>0.18217099999999942</v>
      </c>
      <c r="FQ111" s="178" t="s">
        <v>419</v>
      </c>
      <c r="FR111" s="129" t="s">
        <v>415</v>
      </c>
      <c r="FS111" s="129">
        <v>2017</v>
      </c>
      <c r="FT111" s="131" t="s">
        <v>416</v>
      </c>
    </row>
    <row r="112" spans="1:176" s="129" customFormat="1">
      <c r="A112" s="129" t="s">
        <v>152</v>
      </c>
      <c r="B112" s="166" t="s">
        <v>183</v>
      </c>
      <c r="C112" s="166">
        <v>2018</v>
      </c>
      <c r="D112" s="166" t="s">
        <v>184</v>
      </c>
      <c r="E112" s="145">
        <f t="shared" si="14"/>
        <v>7.82</v>
      </c>
      <c r="F112" s="129">
        <f t="shared" si="15"/>
        <v>2</v>
      </c>
      <c r="G112" s="129">
        <f t="shared" si="15"/>
        <v>2</v>
      </c>
      <c r="H112" s="191">
        <v>258.56180000000001</v>
      </c>
      <c r="I112" s="191">
        <v>22.671899999999994</v>
      </c>
      <c r="J112" s="191">
        <v>21.232800000000026</v>
      </c>
      <c r="K112" s="129" t="s">
        <v>457</v>
      </c>
      <c r="L112" s="131" t="s">
        <v>185</v>
      </c>
      <c r="M112" s="132" t="s">
        <v>186</v>
      </c>
      <c r="N112" s="129" t="s">
        <v>184</v>
      </c>
      <c r="O112" s="129" t="s">
        <v>420</v>
      </c>
      <c r="P112" s="129" t="s">
        <v>156</v>
      </c>
      <c r="Q112" s="129">
        <v>1</v>
      </c>
      <c r="R112" s="129">
        <v>1</v>
      </c>
      <c r="S112" s="129">
        <v>31</v>
      </c>
      <c r="T112" s="129">
        <v>33</v>
      </c>
      <c r="U112" s="199">
        <v>0.31</v>
      </c>
      <c r="V112" s="199">
        <v>0.31</v>
      </c>
      <c r="W112" s="129" t="s">
        <v>160</v>
      </c>
      <c r="X112" s="129" t="s">
        <v>421</v>
      </c>
      <c r="Y112" s="200">
        <v>12.74</v>
      </c>
      <c r="Z112" s="200">
        <v>-78.739999999999995</v>
      </c>
      <c r="AA112" s="129" t="s">
        <v>160</v>
      </c>
      <c r="AB112" s="129" t="s">
        <v>160</v>
      </c>
      <c r="AC112" s="129">
        <v>-2839</v>
      </c>
      <c r="AD112" s="129" t="s">
        <v>160</v>
      </c>
      <c r="AE112" s="129" t="s">
        <v>160</v>
      </c>
      <c r="AF112" s="129" t="s">
        <v>160</v>
      </c>
      <c r="AG112" s="145">
        <v>7.82</v>
      </c>
      <c r="AH112" s="129" t="s">
        <v>163</v>
      </c>
      <c r="AI112" s="129">
        <v>2</v>
      </c>
      <c r="AJ112" s="129">
        <v>2</v>
      </c>
      <c r="AK112" s="129" t="s">
        <v>160</v>
      </c>
      <c r="AL112" s="129" t="s">
        <v>422</v>
      </c>
      <c r="AM112" s="129" t="s">
        <v>160</v>
      </c>
      <c r="AN112" s="129" t="s">
        <v>160</v>
      </c>
      <c r="AO112" s="129" t="s">
        <v>160</v>
      </c>
      <c r="AP112" s="129" t="s">
        <v>160</v>
      </c>
      <c r="AQ112" s="129" t="s">
        <v>160</v>
      </c>
      <c r="AR112" s="129" t="s">
        <v>160</v>
      </c>
      <c r="AS112" s="129" t="s">
        <v>160</v>
      </c>
      <c r="AT112" s="129" t="s">
        <v>160</v>
      </c>
      <c r="AU112" s="129" t="s">
        <v>423</v>
      </c>
      <c r="AV112" s="129" t="s">
        <v>161</v>
      </c>
      <c r="AW112" s="129" t="s">
        <v>424</v>
      </c>
      <c r="AX112" s="178">
        <v>2</v>
      </c>
      <c r="AY112" s="129" t="s">
        <v>194</v>
      </c>
      <c r="AZ112" s="129" t="s">
        <v>195</v>
      </c>
      <c r="BA112" s="129" t="s">
        <v>425</v>
      </c>
      <c r="BB112" s="129" t="s">
        <v>160</v>
      </c>
      <c r="BC112" s="178">
        <v>2</v>
      </c>
      <c r="BD112" s="129" t="s">
        <v>160</v>
      </c>
      <c r="BE112" s="199">
        <v>20.82</v>
      </c>
      <c r="BF112" s="129" t="s">
        <v>426</v>
      </c>
      <c r="BG112" s="151">
        <v>0.18</v>
      </c>
      <c r="BH112" s="129">
        <v>0.64</v>
      </c>
      <c r="BI112" s="129" t="s">
        <v>427</v>
      </c>
      <c r="BJ112" s="129">
        <v>3.4000000000000002E-2</v>
      </c>
      <c r="BK112" s="129">
        <v>9.1</v>
      </c>
      <c r="BL112" s="129" t="s">
        <v>163</v>
      </c>
      <c r="BM112" s="129">
        <v>0.56000000000000005</v>
      </c>
      <c r="BN112" s="129" t="s">
        <v>428</v>
      </c>
      <c r="BO112" s="129" t="s">
        <v>429</v>
      </c>
      <c r="BP112" s="151">
        <f t="shared" si="16"/>
        <v>19.916666666666668</v>
      </c>
      <c r="BQ112" s="129" t="s">
        <v>202</v>
      </c>
      <c r="BR112" s="217"/>
      <c r="BS112" s="129" t="s">
        <v>160</v>
      </c>
      <c r="BT112" s="129" t="s">
        <v>160</v>
      </c>
      <c r="BU112" s="129">
        <v>10</v>
      </c>
      <c r="BV112" s="129" t="s">
        <v>159</v>
      </c>
      <c r="BW112" s="129">
        <v>10</v>
      </c>
      <c r="BX112" s="145">
        <v>28.26</v>
      </c>
      <c r="BY112" s="129" t="s">
        <v>159</v>
      </c>
      <c r="BZ112" s="129">
        <v>1</v>
      </c>
      <c r="CA112" s="129">
        <v>1</v>
      </c>
      <c r="CB112" s="129" t="s">
        <v>160</v>
      </c>
      <c r="CC112" s="151">
        <v>4.0570000000000004</v>
      </c>
      <c r="CD112" s="129" t="s">
        <v>430</v>
      </c>
      <c r="CE112" s="151">
        <v>0.16228000000000001</v>
      </c>
      <c r="CF112" s="151">
        <v>0.16228000000000001</v>
      </c>
      <c r="CG112" s="178" t="s">
        <v>160</v>
      </c>
      <c r="CH112" s="129" t="s">
        <v>431</v>
      </c>
      <c r="CI112" s="129" t="s">
        <v>160</v>
      </c>
      <c r="CJ112" s="129" t="s">
        <v>432</v>
      </c>
      <c r="CK112" s="129" t="s">
        <v>158</v>
      </c>
      <c r="CL112" s="129" t="s">
        <v>158</v>
      </c>
      <c r="CM112" s="129" t="s">
        <v>158</v>
      </c>
      <c r="CN112" s="129" t="s">
        <v>160</v>
      </c>
      <c r="CO112" s="129" t="s">
        <v>160</v>
      </c>
      <c r="CP112" s="129" t="s">
        <v>160</v>
      </c>
      <c r="CQ112" s="129" t="s">
        <v>160</v>
      </c>
      <c r="CR112" s="129" t="s">
        <v>160</v>
      </c>
      <c r="CS112" s="129" t="s">
        <v>160</v>
      </c>
      <c r="CT112" s="129" t="s">
        <v>160</v>
      </c>
      <c r="CU112" s="129">
        <v>35</v>
      </c>
      <c r="CV112" s="129" t="s">
        <v>393</v>
      </c>
      <c r="CW112" s="146">
        <v>1</v>
      </c>
      <c r="CX112" s="129" t="s">
        <v>207</v>
      </c>
      <c r="CY112" s="129">
        <v>1.06E-2</v>
      </c>
      <c r="CZ112" s="129" t="s">
        <v>159</v>
      </c>
      <c r="DA112" s="146">
        <v>0</v>
      </c>
      <c r="DB112" s="129" t="s">
        <v>208</v>
      </c>
      <c r="DC112" s="129">
        <v>5.5100000000000003E-2</v>
      </c>
      <c r="DD112" s="129" t="s">
        <v>159</v>
      </c>
      <c r="DE112" s="146">
        <v>0</v>
      </c>
      <c r="DF112" s="129" t="s">
        <v>208</v>
      </c>
      <c r="DG112" s="129" t="s">
        <v>160</v>
      </c>
      <c r="DH112" s="129" t="s">
        <v>160</v>
      </c>
      <c r="DI112" s="129" t="s">
        <v>160</v>
      </c>
      <c r="DJ112" s="129" t="s">
        <v>160</v>
      </c>
      <c r="DK112" s="145">
        <v>432.56244218316402</v>
      </c>
      <c r="DL112" s="129" t="s">
        <v>433</v>
      </c>
      <c r="DM112" s="145" t="s">
        <v>160</v>
      </c>
      <c r="DN112" s="129" t="s">
        <v>434</v>
      </c>
      <c r="DO112" s="129">
        <v>39.606580000000001</v>
      </c>
      <c r="DP112" s="129" t="s">
        <v>160</v>
      </c>
      <c r="DQ112" s="129">
        <v>3.3600000000006958E-3</v>
      </c>
      <c r="DR112" s="129" t="s">
        <v>435</v>
      </c>
      <c r="DS112" s="129" t="s">
        <v>212</v>
      </c>
      <c r="DT112" s="129" t="s">
        <v>213</v>
      </c>
      <c r="DU112" s="129">
        <v>1.0271999999999999</v>
      </c>
      <c r="DV112" s="129" t="s">
        <v>160</v>
      </c>
      <c r="DW112" s="129" t="s">
        <v>160</v>
      </c>
      <c r="DX112" s="129" t="s">
        <v>436</v>
      </c>
      <c r="DY112" s="129" t="s">
        <v>158</v>
      </c>
      <c r="DZ112" s="129" t="s">
        <v>158</v>
      </c>
      <c r="EA112" s="129" t="s">
        <v>216</v>
      </c>
      <c r="EB112" s="129" t="s">
        <v>212</v>
      </c>
      <c r="EC112" s="129" t="s">
        <v>212</v>
      </c>
      <c r="ED112" s="129" t="s">
        <v>212</v>
      </c>
      <c r="EE112" s="129" t="s">
        <v>217</v>
      </c>
      <c r="EF112" s="147" t="s">
        <v>213</v>
      </c>
      <c r="EG112" s="148" t="s">
        <v>213</v>
      </c>
      <c r="EH112" s="129" t="s">
        <v>218</v>
      </c>
      <c r="EI112" s="129" t="s">
        <v>417</v>
      </c>
      <c r="EJ112" s="129" t="s">
        <v>160</v>
      </c>
      <c r="EK112" s="129">
        <v>1999.838</v>
      </c>
      <c r="EL112" s="129" t="s">
        <v>163</v>
      </c>
      <c r="EM112" s="129">
        <v>0.1340000000001583</v>
      </c>
      <c r="EN112" s="129">
        <v>0.13699999999988027</v>
      </c>
      <c r="EO112" s="129" t="s">
        <v>160</v>
      </c>
      <c r="EP112" s="129" t="s">
        <v>160</v>
      </c>
      <c r="EQ112" s="129" t="s">
        <v>160</v>
      </c>
      <c r="ER112" s="129" t="s">
        <v>160</v>
      </c>
      <c r="ES112" s="201">
        <v>8.1603410000000007</v>
      </c>
      <c r="ET112" s="129" t="s">
        <v>165</v>
      </c>
      <c r="EU112" s="151">
        <v>2.9632999999998688E-2</v>
      </c>
      <c r="EV112" s="151">
        <v>2.9770000000000962E-2</v>
      </c>
      <c r="EW112" s="142" t="s">
        <v>160</v>
      </c>
      <c r="EX112" s="129" t="s">
        <v>160</v>
      </c>
      <c r="EY112" s="129" t="s">
        <v>160</v>
      </c>
      <c r="EZ112" s="191">
        <v>258.56180000000001</v>
      </c>
      <c r="FA112" s="191">
        <v>22.671899999999994</v>
      </c>
      <c r="FB112" s="191">
        <v>21.232800000000026</v>
      </c>
      <c r="FC112" s="129" t="s">
        <v>220</v>
      </c>
      <c r="FD112" s="129" t="s">
        <v>221</v>
      </c>
      <c r="FE112" s="129">
        <v>2367.4360000000001</v>
      </c>
      <c r="FF112" s="129">
        <v>28.749999999999545</v>
      </c>
      <c r="FG112" s="129">
        <v>28.077999999999975</v>
      </c>
      <c r="FH112" s="129" t="s">
        <v>160</v>
      </c>
      <c r="FI112" s="129" t="s">
        <v>160</v>
      </c>
      <c r="FJ112" s="129" t="s">
        <v>160</v>
      </c>
      <c r="FK112" s="129" t="s">
        <v>160</v>
      </c>
      <c r="FL112" s="129" t="s">
        <v>160</v>
      </c>
      <c r="FM112" s="129" t="s">
        <v>160</v>
      </c>
      <c r="FN112" s="151">
        <v>4.8381939999999997</v>
      </c>
      <c r="FO112" s="151">
        <v>0.19819200000000059</v>
      </c>
      <c r="FP112" s="151">
        <v>0.19651199999999935</v>
      </c>
      <c r="FQ112" s="178" t="s">
        <v>419</v>
      </c>
      <c r="FR112" s="129" t="s">
        <v>415</v>
      </c>
      <c r="FS112" s="129">
        <v>2017</v>
      </c>
      <c r="FT112" s="131" t="s">
        <v>416</v>
      </c>
    </row>
    <row r="113" spans="1:176" s="129" customFormat="1">
      <c r="A113" s="129" t="s">
        <v>152</v>
      </c>
      <c r="B113" s="166" t="s">
        <v>183</v>
      </c>
      <c r="C113" s="166">
        <v>2018</v>
      </c>
      <c r="D113" s="166" t="s">
        <v>184</v>
      </c>
      <c r="E113" s="145">
        <f t="shared" si="14"/>
        <v>7.82</v>
      </c>
      <c r="F113" s="129">
        <f t="shared" si="15"/>
        <v>2</v>
      </c>
      <c r="G113" s="129">
        <f t="shared" si="15"/>
        <v>2</v>
      </c>
      <c r="H113" s="191">
        <v>268.5763</v>
      </c>
      <c r="I113" s="191">
        <v>24.879399999999976</v>
      </c>
      <c r="J113" s="191">
        <v>22.232200000000006</v>
      </c>
      <c r="K113" s="129" t="s">
        <v>457</v>
      </c>
      <c r="L113" s="131" t="s">
        <v>185</v>
      </c>
      <c r="M113" s="132" t="s">
        <v>186</v>
      </c>
      <c r="N113" s="129" t="s">
        <v>184</v>
      </c>
      <c r="O113" s="129" t="s">
        <v>420</v>
      </c>
      <c r="P113" s="129" t="s">
        <v>156</v>
      </c>
      <c r="Q113" s="129">
        <v>1</v>
      </c>
      <c r="R113" s="129">
        <v>1</v>
      </c>
      <c r="S113" s="129">
        <v>31</v>
      </c>
      <c r="T113" s="129">
        <v>33</v>
      </c>
      <c r="U113" s="199">
        <v>0.31</v>
      </c>
      <c r="V113" s="199">
        <v>0.31</v>
      </c>
      <c r="W113" s="129" t="s">
        <v>160</v>
      </c>
      <c r="X113" s="129" t="s">
        <v>421</v>
      </c>
      <c r="Y113" s="200">
        <v>12.74</v>
      </c>
      <c r="Z113" s="200">
        <v>-78.739999999999995</v>
      </c>
      <c r="AA113" s="129" t="s">
        <v>160</v>
      </c>
      <c r="AB113" s="129" t="s">
        <v>160</v>
      </c>
      <c r="AC113" s="129">
        <v>-2839</v>
      </c>
      <c r="AD113" s="129" t="s">
        <v>160</v>
      </c>
      <c r="AE113" s="129" t="s">
        <v>160</v>
      </c>
      <c r="AF113" s="129" t="s">
        <v>160</v>
      </c>
      <c r="AG113" s="145">
        <v>7.82</v>
      </c>
      <c r="AH113" s="129" t="s">
        <v>163</v>
      </c>
      <c r="AI113" s="129">
        <v>2</v>
      </c>
      <c r="AJ113" s="129">
        <v>2</v>
      </c>
      <c r="AK113" s="129" t="s">
        <v>160</v>
      </c>
      <c r="AL113" s="129" t="s">
        <v>422</v>
      </c>
      <c r="AM113" s="129" t="s">
        <v>160</v>
      </c>
      <c r="AN113" s="129" t="s">
        <v>160</v>
      </c>
      <c r="AO113" s="129" t="s">
        <v>160</v>
      </c>
      <c r="AP113" s="129" t="s">
        <v>160</v>
      </c>
      <c r="AQ113" s="129" t="s">
        <v>160</v>
      </c>
      <c r="AR113" s="129" t="s">
        <v>160</v>
      </c>
      <c r="AS113" s="129" t="s">
        <v>160</v>
      </c>
      <c r="AT113" s="129" t="s">
        <v>160</v>
      </c>
      <c r="AU113" s="129" t="s">
        <v>423</v>
      </c>
      <c r="AV113" s="129" t="s">
        <v>161</v>
      </c>
      <c r="AW113" s="129" t="s">
        <v>424</v>
      </c>
      <c r="AX113" s="178">
        <v>2</v>
      </c>
      <c r="AY113" s="129" t="s">
        <v>194</v>
      </c>
      <c r="AZ113" s="129" t="s">
        <v>195</v>
      </c>
      <c r="BA113" s="129" t="s">
        <v>425</v>
      </c>
      <c r="BB113" s="129" t="s">
        <v>160</v>
      </c>
      <c r="BC113" s="178">
        <v>2</v>
      </c>
      <c r="BD113" s="129" t="s">
        <v>160</v>
      </c>
      <c r="BE113" s="199">
        <v>20.72</v>
      </c>
      <c r="BF113" s="129" t="s">
        <v>426</v>
      </c>
      <c r="BG113" s="151">
        <v>0.22</v>
      </c>
      <c r="BH113" s="129">
        <v>0.64</v>
      </c>
      <c r="BI113" s="129" t="s">
        <v>427</v>
      </c>
      <c r="BJ113" s="129">
        <v>3.4000000000000002E-2</v>
      </c>
      <c r="BK113" s="129">
        <v>9.1</v>
      </c>
      <c r="BL113" s="129" t="s">
        <v>163</v>
      </c>
      <c r="BM113" s="129">
        <v>0.56000000000000005</v>
      </c>
      <c r="BN113" s="129" t="s">
        <v>428</v>
      </c>
      <c r="BO113" s="129" t="s">
        <v>429</v>
      </c>
      <c r="BP113" s="151">
        <f t="shared" si="16"/>
        <v>19.75</v>
      </c>
      <c r="BQ113" s="129" t="s">
        <v>202</v>
      </c>
      <c r="BR113" s="217"/>
      <c r="BS113" s="129" t="s">
        <v>160</v>
      </c>
      <c r="BT113" s="129" t="s">
        <v>160</v>
      </c>
      <c r="BU113" s="129">
        <v>10</v>
      </c>
      <c r="BV113" s="129" t="s">
        <v>159</v>
      </c>
      <c r="BW113" s="129">
        <v>10</v>
      </c>
      <c r="BX113" s="145">
        <v>28.26</v>
      </c>
      <c r="BY113" s="129" t="s">
        <v>159</v>
      </c>
      <c r="BZ113" s="129">
        <v>1</v>
      </c>
      <c r="CA113" s="129">
        <v>1</v>
      </c>
      <c r="CB113" s="129" t="s">
        <v>160</v>
      </c>
      <c r="CC113" s="151">
        <v>4.2530000000000001</v>
      </c>
      <c r="CD113" s="129" t="s">
        <v>430</v>
      </c>
      <c r="CE113" s="151">
        <v>0.17012000000000002</v>
      </c>
      <c r="CF113" s="151">
        <v>0.17012000000000002</v>
      </c>
      <c r="CG113" s="178" t="s">
        <v>160</v>
      </c>
      <c r="CH113" s="129" t="s">
        <v>431</v>
      </c>
      <c r="CI113" s="129" t="s">
        <v>160</v>
      </c>
      <c r="CJ113" s="129" t="s">
        <v>432</v>
      </c>
      <c r="CK113" s="129" t="s">
        <v>158</v>
      </c>
      <c r="CL113" s="129" t="s">
        <v>158</v>
      </c>
      <c r="CM113" s="129" t="s">
        <v>158</v>
      </c>
      <c r="CN113" s="129" t="s">
        <v>160</v>
      </c>
      <c r="CO113" s="129" t="s">
        <v>160</v>
      </c>
      <c r="CP113" s="129" t="s">
        <v>160</v>
      </c>
      <c r="CQ113" s="129" t="s">
        <v>160</v>
      </c>
      <c r="CR113" s="129" t="s">
        <v>160</v>
      </c>
      <c r="CS113" s="129" t="s">
        <v>160</v>
      </c>
      <c r="CT113" s="129" t="s">
        <v>160</v>
      </c>
      <c r="CU113" s="129">
        <v>35</v>
      </c>
      <c r="CV113" s="129" t="s">
        <v>393</v>
      </c>
      <c r="CW113" s="146">
        <v>1</v>
      </c>
      <c r="CX113" s="129" t="s">
        <v>207</v>
      </c>
      <c r="CY113" s="129">
        <v>1.06E-2</v>
      </c>
      <c r="CZ113" s="129" t="s">
        <v>159</v>
      </c>
      <c r="DA113" s="146">
        <v>0</v>
      </c>
      <c r="DB113" s="129" t="s">
        <v>208</v>
      </c>
      <c r="DC113" s="129">
        <v>5.5100000000000003E-2</v>
      </c>
      <c r="DD113" s="129" t="s">
        <v>159</v>
      </c>
      <c r="DE113" s="146">
        <v>0</v>
      </c>
      <c r="DF113" s="129" t="s">
        <v>208</v>
      </c>
      <c r="DG113" s="129" t="s">
        <v>160</v>
      </c>
      <c r="DH113" s="129" t="s">
        <v>160</v>
      </c>
      <c r="DI113" s="129" t="s">
        <v>160</v>
      </c>
      <c r="DJ113" s="129" t="s">
        <v>160</v>
      </c>
      <c r="DK113" s="145">
        <v>432.56244218316402</v>
      </c>
      <c r="DL113" s="129" t="s">
        <v>433</v>
      </c>
      <c r="DM113" s="145" t="s">
        <v>160</v>
      </c>
      <c r="DN113" s="129" t="s">
        <v>434</v>
      </c>
      <c r="DO113" s="129">
        <v>39.606549999999999</v>
      </c>
      <c r="DP113" s="129" t="s">
        <v>160</v>
      </c>
      <c r="DQ113" s="129">
        <v>3.3999999999991815E-3</v>
      </c>
      <c r="DR113" s="129" t="s">
        <v>435</v>
      </c>
      <c r="DS113" s="129" t="s">
        <v>212</v>
      </c>
      <c r="DT113" s="129" t="s">
        <v>213</v>
      </c>
      <c r="DU113" s="129">
        <v>1.0271999999999999</v>
      </c>
      <c r="DV113" s="129" t="s">
        <v>160</v>
      </c>
      <c r="DW113" s="129" t="s">
        <v>160</v>
      </c>
      <c r="DX113" s="129" t="s">
        <v>436</v>
      </c>
      <c r="DY113" s="129" t="s">
        <v>158</v>
      </c>
      <c r="DZ113" s="129" t="s">
        <v>158</v>
      </c>
      <c r="EA113" s="129" t="s">
        <v>216</v>
      </c>
      <c r="EB113" s="129" t="s">
        <v>212</v>
      </c>
      <c r="EC113" s="129" t="s">
        <v>212</v>
      </c>
      <c r="ED113" s="129" t="s">
        <v>212</v>
      </c>
      <c r="EE113" s="129" t="s">
        <v>217</v>
      </c>
      <c r="EF113" s="147" t="s">
        <v>213</v>
      </c>
      <c r="EG113" s="148" t="s">
        <v>213</v>
      </c>
      <c r="EH113" s="129" t="s">
        <v>218</v>
      </c>
      <c r="EI113" s="129" t="s">
        <v>417</v>
      </c>
      <c r="EJ113" s="129" t="s">
        <v>160</v>
      </c>
      <c r="EK113" s="129">
        <v>1999.838</v>
      </c>
      <c r="EL113" s="129" t="s">
        <v>163</v>
      </c>
      <c r="EM113" s="129">
        <v>0.13700000000031395</v>
      </c>
      <c r="EN113" s="129">
        <v>0.13399999999972462</v>
      </c>
      <c r="EO113" s="129" t="s">
        <v>160</v>
      </c>
      <c r="EP113" s="129" t="s">
        <v>160</v>
      </c>
      <c r="EQ113" s="129" t="s">
        <v>160</v>
      </c>
      <c r="ER113" s="129" t="s">
        <v>160</v>
      </c>
      <c r="ES113" s="201">
        <v>8.1472549999999995</v>
      </c>
      <c r="ET113" s="129" t="s">
        <v>165</v>
      </c>
      <c r="EU113" s="151">
        <v>3.0535000000000423E-2</v>
      </c>
      <c r="EV113" s="151">
        <v>3.1765000000000043E-2</v>
      </c>
      <c r="EW113" s="142" t="s">
        <v>160</v>
      </c>
      <c r="EX113" s="129" t="s">
        <v>160</v>
      </c>
      <c r="EY113" s="129" t="s">
        <v>160</v>
      </c>
      <c r="EZ113" s="191">
        <v>268.5763</v>
      </c>
      <c r="FA113" s="191">
        <v>24.879399999999976</v>
      </c>
      <c r="FB113" s="191">
        <v>22.232200000000006</v>
      </c>
      <c r="FC113" s="129" t="s">
        <v>220</v>
      </c>
      <c r="FD113" s="129" t="s">
        <v>221</v>
      </c>
      <c r="FE113" s="129">
        <v>2357.04</v>
      </c>
      <c r="FF113" s="129">
        <v>29.500999999999749</v>
      </c>
      <c r="FG113" s="129">
        <v>29.63399999999956</v>
      </c>
      <c r="FH113" s="129" t="s">
        <v>160</v>
      </c>
      <c r="FI113" s="129" t="s">
        <v>160</v>
      </c>
      <c r="FJ113" s="129" t="s">
        <v>160</v>
      </c>
      <c r="FK113" s="129" t="s">
        <v>160</v>
      </c>
      <c r="FL113" s="129" t="s">
        <v>160</v>
      </c>
      <c r="FM113" s="129" t="s">
        <v>160</v>
      </c>
      <c r="FN113" s="151">
        <v>4.7104340000000002</v>
      </c>
      <c r="FO113" s="151">
        <v>0.22803299999999993</v>
      </c>
      <c r="FP113" s="151">
        <v>0.2145400000000004</v>
      </c>
      <c r="FQ113" s="178" t="s">
        <v>419</v>
      </c>
      <c r="FR113" s="129" t="s">
        <v>415</v>
      </c>
      <c r="FS113" s="129">
        <v>2017</v>
      </c>
      <c r="FT113" s="131" t="s">
        <v>416</v>
      </c>
    </row>
    <row r="114" spans="1:176" s="129" customFormat="1">
      <c r="A114" s="129" t="s">
        <v>152</v>
      </c>
      <c r="B114" s="166" t="s">
        <v>183</v>
      </c>
      <c r="C114" s="166">
        <v>2018</v>
      </c>
      <c r="D114" s="166" t="s">
        <v>184</v>
      </c>
      <c r="E114" s="145">
        <f t="shared" si="14"/>
        <v>9.49</v>
      </c>
      <c r="F114" s="129">
        <f t="shared" si="15"/>
        <v>2</v>
      </c>
      <c r="G114" s="129">
        <f t="shared" si="15"/>
        <v>2</v>
      </c>
      <c r="H114" s="191">
        <v>266.08429999999998</v>
      </c>
      <c r="I114" s="191">
        <v>23.102399999999989</v>
      </c>
      <c r="J114" s="191">
        <v>21.822499999999962</v>
      </c>
      <c r="K114" s="129" t="s">
        <v>457</v>
      </c>
      <c r="L114" s="131" t="s">
        <v>185</v>
      </c>
      <c r="M114" s="132" t="s">
        <v>186</v>
      </c>
      <c r="N114" s="129" t="s">
        <v>184</v>
      </c>
      <c r="O114" s="129" t="s">
        <v>420</v>
      </c>
      <c r="P114" s="129" t="s">
        <v>156</v>
      </c>
      <c r="Q114" s="129">
        <v>1</v>
      </c>
      <c r="R114" s="129">
        <v>1</v>
      </c>
      <c r="S114" s="129">
        <v>39</v>
      </c>
      <c r="T114" s="129">
        <v>41</v>
      </c>
      <c r="U114" s="199">
        <v>0.39</v>
      </c>
      <c r="V114" s="199">
        <v>0.39</v>
      </c>
      <c r="W114" s="129" t="s">
        <v>160</v>
      </c>
      <c r="X114" s="129" t="s">
        <v>421</v>
      </c>
      <c r="Y114" s="200">
        <v>12.74</v>
      </c>
      <c r="Z114" s="200">
        <v>-78.739999999999995</v>
      </c>
      <c r="AA114" s="129" t="s">
        <v>160</v>
      </c>
      <c r="AB114" s="129" t="s">
        <v>160</v>
      </c>
      <c r="AC114" s="129">
        <v>-2839</v>
      </c>
      <c r="AD114" s="129" t="s">
        <v>160</v>
      </c>
      <c r="AE114" s="129" t="s">
        <v>160</v>
      </c>
      <c r="AF114" s="129" t="s">
        <v>160</v>
      </c>
      <c r="AG114" s="145">
        <v>9.49</v>
      </c>
      <c r="AH114" s="129" t="s">
        <v>163</v>
      </c>
      <c r="AI114" s="129">
        <v>2</v>
      </c>
      <c r="AJ114" s="129">
        <v>2</v>
      </c>
      <c r="AK114" s="129" t="s">
        <v>160</v>
      </c>
      <c r="AL114" s="129" t="s">
        <v>422</v>
      </c>
      <c r="AM114" s="129" t="s">
        <v>160</v>
      </c>
      <c r="AN114" s="129" t="s">
        <v>160</v>
      </c>
      <c r="AO114" s="129" t="s">
        <v>160</v>
      </c>
      <c r="AP114" s="129" t="s">
        <v>160</v>
      </c>
      <c r="AQ114" s="129" t="s">
        <v>160</v>
      </c>
      <c r="AR114" s="129" t="s">
        <v>160</v>
      </c>
      <c r="AS114" s="129" t="s">
        <v>160</v>
      </c>
      <c r="AT114" s="129" t="s">
        <v>160</v>
      </c>
      <c r="AU114" s="129" t="s">
        <v>423</v>
      </c>
      <c r="AV114" s="129" t="s">
        <v>161</v>
      </c>
      <c r="AW114" s="129" t="s">
        <v>424</v>
      </c>
      <c r="AX114" s="178">
        <v>2</v>
      </c>
      <c r="AY114" s="129" t="s">
        <v>194</v>
      </c>
      <c r="AZ114" s="129" t="s">
        <v>195</v>
      </c>
      <c r="BA114" s="129" t="s">
        <v>425</v>
      </c>
      <c r="BB114" s="129" t="s">
        <v>160</v>
      </c>
      <c r="BC114" s="178">
        <v>2</v>
      </c>
      <c r="BD114" s="129" t="s">
        <v>160</v>
      </c>
      <c r="BE114" s="199">
        <v>20.68</v>
      </c>
      <c r="BF114" s="129" t="s">
        <v>426</v>
      </c>
      <c r="BG114" s="151">
        <v>0.18</v>
      </c>
      <c r="BH114" s="129">
        <v>0.64</v>
      </c>
      <c r="BI114" s="129" t="s">
        <v>427</v>
      </c>
      <c r="BJ114" s="129">
        <v>3.4000000000000002E-2</v>
      </c>
      <c r="BK114" s="129">
        <v>9.1</v>
      </c>
      <c r="BL114" s="129" t="s">
        <v>163</v>
      </c>
      <c r="BM114" s="129">
        <v>0.56000000000000005</v>
      </c>
      <c r="BN114" s="129" t="s">
        <v>428</v>
      </c>
      <c r="BO114" s="129" t="s">
        <v>429</v>
      </c>
      <c r="BP114" s="151">
        <f t="shared" si="16"/>
        <v>19.683333333333334</v>
      </c>
      <c r="BQ114" s="129" t="s">
        <v>202</v>
      </c>
      <c r="BR114" s="217"/>
      <c r="BS114" s="129" t="s">
        <v>160</v>
      </c>
      <c r="BT114" s="129" t="s">
        <v>160</v>
      </c>
      <c r="BU114" s="129">
        <v>10</v>
      </c>
      <c r="BV114" s="129" t="s">
        <v>159</v>
      </c>
      <c r="BW114" s="129">
        <v>10</v>
      </c>
      <c r="BX114" s="145">
        <v>27.5</v>
      </c>
      <c r="BY114" s="129" t="s">
        <v>159</v>
      </c>
      <c r="BZ114" s="129">
        <v>1</v>
      </c>
      <c r="CA114" s="129">
        <v>1</v>
      </c>
      <c r="CB114" s="129" t="s">
        <v>160</v>
      </c>
      <c r="CC114" s="151">
        <v>4.2290000000000001</v>
      </c>
      <c r="CD114" s="129" t="s">
        <v>430</v>
      </c>
      <c r="CE114" s="151">
        <v>0.16916</v>
      </c>
      <c r="CF114" s="151">
        <v>0.16916</v>
      </c>
      <c r="CG114" s="178" t="s">
        <v>160</v>
      </c>
      <c r="CH114" s="129" t="s">
        <v>431</v>
      </c>
      <c r="CI114" s="129" t="s">
        <v>160</v>
      </c>
      <c r="CJ114" s="129" t="s">
        <v>432</v>
      </c>
      <c r="CK114" s="129" t="s">
        <v>158</v>
      </c>
      <c r="CL114" s="129" t="s">
        <v>158</v>
      </c>
      <c r="CM114" s="129" t="s">
        <v>158</v>
      </c>
      <c r="CN114" s="129" t="s">
        <v>160</v>
      </c>
      <c r="CO114" s="129" t="s">
        <v>160</v>
      </c>
      <c r="CP114" s="129" t="s">
        <v>160</v>
      </c>
      <c r="CQ114" s="129" t="s">
        <v>160</v>
      </c>
      <c r="CR114" s="129" t="s">
        <v>160</v>
      </c>
      <c r="CS114" s="129" t="s">
        <v>160</v>
      </c>
      <c r="CT114" s="129" t="s">
        <v>160</v>
      </c>
      <c r="CU114" s="129">
        <v>35</v>
      </c>
      <c r="CV114" s="129" t="s">
        <v>393</v>
      </c>
      <c r="CW114" s="146">
        <v>1</v>
      </c>
      <c r="CX114" s="129" t="s">
        <v>207</v>
      </c>
      <c r="CY114" s="129">
        <v>1.06E-2</v>
      </c>
      <c r="CZ114" s="129" t="s">
        <v>159</v>
      </c>
      <c r="DA114" s="146">
        <v>0</v>
      </c>
      <c r="DB114" s="129" t="s">
        <v>208</v>
      </c>
      <c r="DC114" s="129">
        <v>5.5100000000000003E-2</v>
      </c>
      <c r="DD114" s="129" t="s">
        <v>159</v>
      </c>
      <c r="DE114" s="146">
        <v>0</v>
      </c>
      <c r="DF114" s="129" t="s">
        <v>208</v>
      </c>
      <c r="DG114" s="129" t="s">
        <v>160</v>
      </c>
      <c r="DH114" s="129" t="s">
        <v>160</v>
      </c>
      <c r="DI114" s="129" t="s">
        <v>160</v>
      </c>
      <c r="DJ114" s="129" t="s">
        <v>160</v>
      </c>
      <c r="DK114" s="145">
        <v>432.56244218316402</v>
      </c>
      <c r="DL114" s="129" t="s">
        <v>433</v>
      </c>
      <c r="DM114" s="145" t="s">
        <v>160</v>
      </c>
      <c r="DN114" s="129" t="s">
        <v>434</v>
      </c>
      <c r="DO114" s="129">
        <v>39.606780000000001</v>
      </c>
      <c r="DP114" s="129" t="s">
        <v>160</v>
      </c>
      <c r="DQ114" s="129">
        <v>3.1899999999964734E-3</v>
      </c>
      <c r="DR114" s="129" t="s">
        <v>435</v>
      </c>
      <c r="DS114" s="129" t="s">
        <v>212</v>
      </c>
      <c r="DT114" s="129" t="s">
        <v>213</v>
      </c>
      <c r="DU114" s="129">
        <v>1.0271999999999999</v>
      </c>
      <c r="DV114" s="129" t="s">
        <v>160</v>
      </c>
      <c r="DW114" s="129" t="s">
        <v>160</v>
      </c>
      <c r="DX114" s="129" t="s">
        <v>436</v>
      </c>
      <c r="DY114" s="129" t="s">
        <v>158</v>
      </c>
      <c r="DZ114" s="129" t="s">
        <v>158</v>
      </c>
      <c r="EA114" s="129" t="s">
        <v>216</v>
      </c>
      <c r="EB114" s="129" t="s">
        <v>212</v>
      </c>
      <c r="EC114" s="129" t="s">
        <v>212</v>
      </c>
      <c r="ED114" s="129" t="s">
        <v>212</v>
      </c>
      <c r="EE114" s="129" t="s">
        <v>217</v>
      </c>
      <c r="EF114" s="147" t="s">
        <v>213</v>
      </c>
      <c r="EG114" s="148" t="s">
        <v>213</v>
      </c>
      <c r="EH114" s="129" t="s">
        <v>218</v>
      </c>
      <c r="EI114" s="129" t="s">
        <v>417</v>
      </c>
      <c r="EJ114" s="129" t="s">
        <v>160</v>
      </c>
      <c r="EK114" s="129">
        <v>1999.819</v>
      </c>
      <c r="EL114" s="129" t="s">
        <v>163</v>
      </c>
      <c r="EM114" s="129">
        <v>0.1530000000001322</v>
      </c>
      <c r="EN114" s="129">
        <v>0.15299999999969852</v>
      </c>
      <c r="EO114" s="129" t="s">
        <v>160</v>
      </c>
      <c r="EP114" s="129" t="s">
        <v>160</v>
      </c>
      <c r="EQ114" s="129" t="s">
        <v>160</v>
      </c>
      <c r="ER114" s="129" t="s">
        <v>160</v>
      </c>
      <c r="ES114" s="201">
        <v>8.1503399999999999</v>
      </c>
      <c r="ET114" s="129" t="s">
        <v>165</v>
      </c>
      <c r="EU114" s="151">
        <v>3.0229999999999535E-2</v>
      </c>
      <c r="EV114" s="151">
        <v>2.9330999999999108E-2</v>
      </c>
      <c r="EW114" s="142" t="s">
        <v>160</v>
      </c>
      <c r="EX114" s="129" t="s">
        <v>160</v>
      </c>
      <c r="EY114" s="129" t="s">
        <v>160</v>
      </c>
      <c r="EZ114" s="191">
        <v>266.08429999999998</v>
      </c>
      <c r="FA114" s="191">
        <v>23.102399999999989</v>
      </c>
      <c r="FB114" s="191">
        <v>21.822499999999962</v>
      </c>
      <c r="FC114" s="129" t="s">
        <v>220</v>
      </c>
      <c r="FD114" s="129" t="s">
        <v>221</v>
      </c>
      <c r="FE114" s="129">
        <v>2350.5909999999999</v>
      </c>
      <c r="FF114" s="129">
        <v>28.704999999999927</v>
      </c>
      <c r="FG114" s="129">
        <v>27.971000000000004</v>
      </c>
      <c r="FH114" s="129" t="s">
        <v>160</v>
      </c>
      <c r="FI114" s="129" t="s">
        <v>160</v>
      </c>
      <c r="FJ114" s="129" t="s">
        <v>160</v>
      </c>
      <c r="FK114" s="129" t="s">
        <v>160</v>
      </c>
      <c r="FL114" s="129" t="s">
        <v>160</v>
      </c>
      <c r="FM114" s="129" t="s">
        <v>160</v>
      </c>
      <c r="FN114" s="151">
        <v>4.6072009999999999</v>
      </c>
      <c r="FO114" s="151">
        <v>0.20418800000000026</v>
      </c>
      <c r="FP114" s="151">
        <v>0.19278999999999957</v>
      </c>
      <c r="FQ114" s="178" t="s">
        <v>419</v>
      </c>
      <c r="FR114" s="129" t="s">
        <v>415</v>
      </c>
      <c r="FS114" s="129">
        <v>2017</v>
      </c>
      <c r="FT114" s="131" t="s">
        <v>416</v>
      </c>
    </row>
    <row r="115" spans="1:176" s="129" customFormat="1">
      <c r="A115" s="129" t="s">
        <v>152</v>
      </c>
      <c r="B115" s="166" t="s">
        <v>183</v>
      </c>
      <c r="C115" s="166">
        <v>2018</v>
      </c>
      <c r="D115" s="166" t="s">
        <v>184</v>
      </c>
      <c r="E115" s="145">
        <f t="shared" si="14"/>
        <v>10.32</v>
      </c>
      <c r="F115" s="129">
        <f t="shared" si="15"/>
        <v>2</v>
      </c>
      <c r="G115" s="129">
        <f t="shared" si="15"/>
        <v>2</v>
      </c>
      <c r="H115" s="191">
        <v>240.78870000000001</v>
      </c>
      <c r="I115" s="191">
        <v>22.812600000000032</v>
      </c>
      <c r="J115" s="191">
        <v>21.493600000000015</v>
      </c>
      <c r="K115" s="129" t="s">
        <v>457</v>
      </c>
      <c r="L115" s="131" t="s">
        <v>185</v>
      </c>
      <c r="M115" s="132" t="s">
        <v>186</v>
      </c>
      <c r="N115" s="129" t="s">
        <v>184</v>
      </c>
      <c r="O115" s="129" t="s">
        <v>420</v>
      </c>
      <c r="P115" s="129" t="s">
        <v>156</v>
      </c>
      <c r="Q115" s="129">
        <v>1</v>
      </c>
      <c r="R115" s="129">
        <v>1</v>
      </c>
      <c r="S115" s="129">
        <v>43</v>
      </c>
      <c r="T115" s="129">
        <v>45</v>
      </c>
      <c r="U115" s="199">
        <v>0.43</v>
      </c>
      <c r="V115" s="199">
        <v>0.43</v>
      </c>
      <c r="W115" s="129" t="s">
        <v>160</v>
      </c>
      <c r="X115" s="129" t="s">
        <v>421</v>
      </c>
      <c r="Y115" s="200">
        <v>12.74</v>
      </c>
      <c r="Z115" s="200">
        <v>-78.739999999999995</v>
      </c>
      <c r="AA115" s="129" t="s">
        <v>160</v>
      </c>
      <c r="AB115" s="129" t="s">
        <v>160</v>
      </c>
      <c r="AC115" s="129">
        <v>-2839</v>
      </c>
      <c r="AD115" s="129" t="s">
        <v>160</v>
      </c>
      <c r="AE115" s="129" t="s">
        <v>160</v>
      </c>
      <c r="AF115" s="129" t="s">
        <v>160</v>
      </c>
      <c r="AG115" s="145">
        <v>10.32</v>
      </c>
      <c r="AH115" s="129" t="s">
        <v>163</v>
      </c>
      <c r="AI115" s="129">
        <v>2</v>
      </c>
      <c r="AJ115" s="129">
        <v>2</v>
      </c>
      <c r="AK115" s="129" t="s">
        <v>160</v>
      </c>
      <c r="AL115" s="129" t="s">
        <v>422</v>
      </c>
      <c r="AM115" s="129" t="s">
        <v>160</v>
      </c>
      <c r="AN115" s="129" t="s">
        <v>160</v>
      </c>
      <c r="AO115" s="129" t="s">
        <v>160</v>
      </c>
      <c r="AP115" s="129" t="s">
        <v>160</v>
      </c>
      <c r="AQ115" s="129" t="s">
        <v>160</v>
      </c>
      <c r="AR115" s="129" t="s">
        <v>160</v>
      </c>
      <c r="AS115" s="129" t="s">
        <v>160</v>
      </c>
      <c r="AT115" s="129" t="s">
        <v>160</v>
      </c>
      <c r="AU115" s="129" t="s">
        <v>423</v>
      </c>
      <c r="AV115" s="129" t="s">
        <v>161</v>
      </c>
      <c r="AW115" s="129" t="s">
        <v>424</v>
      </c>
      <c r="AX115" s="178">
        <v>2</v>
      </c>
      <c r="AY115" s="129" t="s">
        <v>194</v>
      </c>
      <c r="AZ115" s="129" t="s">
        <v>195</v>
      </c>
      <c r="BA115" s="129" t="s">
        <v>425</v>
      </c>
      <c r="BB115" s="129" t="s">
        <v>160</v>
      </c>
      <c r="BC115" s="178">
        <v>2</v>
      </c>
      <c r="BD115" s="129" t="s">
        <v>160</v>
      </c>
      <c r="BE115" s="199">
        <v>20.93</v>
      </c>
      <c r="BF115" s="129" t="s">
        <v>426</v>
      </c>
      <c r="BG115" s="151">
        <v>0.24</v>
      </c>
      <c r="BH115" s="129">
        <v>0.64</v>
      </c>
      <c r="BI115" s="129" t="s">
        <v>427</v>
      </c>
      <c r="BJ115" s="129">
        <v>3.4000000000000002E-2</v>
      </c>
      <c r="BK115" s="129">
        <v>9.1</v>
      </c>
      <c r="BL115" s="129" t="s">
        <v>163</v>
      </c>
      <c r="BM115" s="129">
        <v>0.56000000000000005</v>
      </c>
      <c r="BN115" s="129" t="s">
        <v>428</v>
      </c>
      <c r="BO115" s="129" t="s">
        <v>429</v>
      </c>
      <c r="BP115" s="151">
        <f t="shared" si="16"/>
        <v>20.100000000000001</v>
      </c>
      <c r="BQ115" s="129" t="s">
        <v>202</v>
      </c>
      <c r="BR115" s="217"/>
      <c r="BS115" s="129" t="s">
        <v>160</v>
      </c>
      <c r="BT115" s="129" t="s">
        <v>160</v>
      </c>
      <c r="BU115" s="129">
        <v>10</v>
      </c>
      <c r="BV115" s="129" t="s">
        <v>159</v>
      </c>
      <c r="BW115" s="129">
        <v>10</v>
      </c>
      <c r="BX115" s="145">
        <v>27.45</v>
      </c>
      <c r="BY115" s="129" t="s">
        <v>159</v>
      </c>
      <c r="BZ115" s="129">
        <v>1</v>
      </c>
      <c r="CA115" s="129">
        <v>1</v>
      </c>
      <c r="CB115" s="129" t="s">
        <v>160</v>
      </c>
      <c r="CC115" s="151">
        <v>3.9670000000000001</v>
      </c>
      <c r="CD115" s="129" t="s">
        <v>430</v>
      </c>
      <c r="CE115" s="151">
        <v>0.15868000000000002</v>
      </c>
      <c r="CF115" s="151">
        <v>0.15868000000000002</v>
      </c>
      <c r="CG115" s="178" t="s">
        <v>160</v>
      </c>
      <c r="CH115" s="129" t="s">
        <v>431</v>
      </c>
      <c r="CI115" s="129" t="s">
        <v>160</v>
      </c>
      <c r="CJ115" s="129" t="s">
        <v>432</v>
      </c>
      <c r="CK115" s="129" t="s">
        <v>158</v>
      </c>
      <c r="CL115" s="129" t="s">
        <v>158</v>
      </c>
      <c r="CM115" s="129" t="s">
        <v>158</v>
      </c>
      <c r="CN115" s="129" t="s">
        <v>160</v>
      </c>
      <c r="CO115" s="129" t="s">
        <v>160</v>
      </c>
      <c r="CP115" s="129" t="s">
        <v>160</v>
      </c>
      <c r="CQ115" s="129" t="s">
        <v>160</v>
      </c>
      <c r="CR115" s="129" t="s">
        <v>160</v>
      </c>
      <c r="CS115" s="129" t="s">
        <v>160</v>
      </c>
      <c r="CT115" s="129" t="s">
        <v>160</v>
      </c>
      <c r="CU115" s="129">
        <v>35</v>
      </c>
      <c r="CV115" s="129" t="s">
        <v>393</v>
      </c>
      <c r="CW115" s="146">
        <v>1</v>
      </c>
      <c r="CX115" s="129" t="s">
        <v>207</v>
      </c>
      <c r="CY115" s="129">
        <v>1.06E-2</v>
      </c>
      <c r="CZ115" s="129" t="s">
        <v>159</v>
      </c>
      <c r="DA115" s="146">
        <v>0</v>
      </c>
      <c r="DB115" s="129" t="s">
        <v>208</v>
      </c>
      <c r="DC115" s="129">
        <v>5.5100000000000003E-2</v>
      </c>
      <c r="DD115" s="129" t="s">
        <v>159</v>
      </c>
      <c r="DE115" s="146">
        <v>0</v>
      </c>
      <c r="DF115" s="129" t="s">
        <v>208</v>
      </c>
      <c r="DG115" s="129" t="s">
        <v>160</v>
      </c>
      <c r="DH115" s="129" t="s">
        <v>160</v>
      </c>
      <c r="DI115" s="129" t="s">
        <v>160</v>
      </c>
      <c r="DJ115" s="129" t="s">
        <v>160</v>
      </c>
      <c r="DK115" s="145">
        <v>432.56244218316402</v>
      </c>
      <c r="DL115" s="129" t="s">
        <v>433</v>
      </c>
      <c r="DM115" s="145" t="s">
        <v>160</v>
      </c>
      <c r="DN115" s="129" t="s">
        <v>434</v>
      </c>
      <c r="DO115" s="129">
        <v>39.606969999999997</v>
      </c>
      <c r="DP115" s="129" t="s">
        <v>160</v>
      </c>
      <c r="DQ115" s="129">
        <v>2.990000000004045E-3</v>
      </c>
      <c r="DR115" s="129" t="s">
        <v>435</v>
      </c>
      <c r="DS115" s="129" t="s">
        <v>212</v>
      </c>
      <c r="DT115" s="129" t="s">
        <v>213</v>
      </c>
      <c r="DU115" s="129">
        <v>1.0271999999999999</v>
      </c>
      <c r="DV115" s="129" t="s">
        <v>160</v>
      </c>
      <c r="DW115" s="129" t="s">
        <v>160</v>
      </c>
      <c r="DX115" s="129" t="s">
        <v>436</v>
      </c>
      <c r="DY115" s="129" t="s">
        <v>158</v>
      </c>
      <c r="DZ115" s="129" t="s">
        <v>158</v>
      </c>
      <c r="EA115" s="129" t="s">
        <v>216</v>
      </c>
      <c r="EB115" s="129" t="s">
        <v>212</v>
      </c>
      <c r="EC115" s="129" t="s">
        <v>212</v>
      </c>
      <c r="ED115" s="129" t="s">
        <v>212</v>
      </c>
      <c r="EE115" s="129" t="s">
        <v>217</v>
      </c>
      <c r="EF115" s="147" t="s">
        <v>213</v>
      </c>
      <c r="EG115" s="148" t="s">
        <v>213</v>
      </c>
      <c r="EH115" s="129" t="s">
        <v>218</v>
      </c>
      <c r="EI115" s="129" t="s">
        <v>417</v>
      </c>
      <c r="EJ115" s="129" t="s">
        <v>160</v>
      </c>
      <c r="EK115" s="129">
        <v>1999.798</v>
      </c>
      <c r="EL115" s="129" t="s">
        <v>163</v>
      </c>
      <c r="EM115" s="129">
        <v>0.16599999999979478</v>
      </c>
      <c r="EN115" s="129">
        <v>0.17100000000019877</v>
      </c>
      <c r="EO115" s="129" t="s">
        <v>160</v>
      </c>
      <c r="EP115" s="129" t="s">
        <v>160</v>
      </c>
      <c r="EQ115" s="129" t="s">
        <v>160</v>
      </c>
      <c r="ER115" s="129" t="s">
        <v>160</v>
      </c>
      <c r="ES115" s="201">
        <v>8.1843380000000003</v>
      </c>
      <c r="ET115" s="129" t="s">
        <v>165</v>
      </c>
      <c r="EU115" s="151">
        <v>3.2116000000000255E-2</v>
      </c>
      <c r="EV115" s="151">
        <v>3.1767999999999574E-2</v>
      </c>
      <c r="EW115" s="142" t="s">
        <v>160</v>
      </c>
      <c r="EX115" s="129" t="s">
        <v>160</v>
      </c>
      <c r="EY115" s="129" t="s">
        <v>160</v>
      </c>
      <c r="EZ115" s="191">
        <v>240.78870000000001</v>
      </c>
      <c r="FA115" s="191">
        <v>22.812600000000032</v>
      </c>
      <c r="FB115" s="191">
        <v>21.493600000000015</v>
      </c>
      <c r="FC115" s="129" t="s">
        <v>220</v>
      </c>
      <c r="FD115" s="129" t="s">
        <v>221</v>
      </c>
      <c r="FE115" s="129">
        <v>2377.3420000000001</v>
      </c>
      <c r="FF115" s="129">
        <v>30.105000000000018</v>
      </c>
      <c r="FG115" s="129">
        <v>31.121000000000095</v>
      </c>
      <c r="FH115" s="129" t="s">
        <v>160</v>
      </c>
      <c r="FI115" s="129" t="s">
        <v>160</v>
      </c>
      <c r="FJ115" s="129" t="s">
        <v>160</v>
      </c>
      <c r="FK115" s="129" t="s">
        <v>160</v>
      </c>
      <c r="FL115" s="129" t="s">
        <v>160</v>
      </c>
      <c r="FM115" s="129" t="s">
        <v>160</v>
      </c>
      <c r="FN115" s="151">
        <v>4.9215900000000001</v>
      </c>
      <c r="FO115" s="151">
        <v>0.2436670000000003</v>
      </c>
      <c r="FP115" s="151">
        <v>0.23456200000000038</v>
      </c>
      <c r="FQ115" s="178" t="s">
        <v>419</v>
      </c>
      <c r="FR115" s="129" t="s">
        <v>415</v>
      </c>
      <c r="FS115" s="129">
        <v>2017</v>
      </c>
      <c r="FT115" s="131" t="s">
        <v>416</v>
      </c>
    </row>
    <row r="116" spans="1:176" s="129" customFormat="1">
      <c r="A116" s="129" t="s">
        <v>152</v>
      </c>
      <c r="B116" s="166" t="s">
        <v>183</v>
      </c>
      <c r="C116" s="166">
        <v>2018</v>
      </c>
      <c r="D116" s="166" t="s">
        <v>184</v>
      </c>
      <c r="E116" s="145">
        <f t="shared" si="14"/>
        <v>11.65</v>
      </c>
      <c r="F116" s="129">
        <f t="shared" si="15"/>
        <v>2</v>
      </c>
      <c r="G116" s="129">
        <f t="shared" si="15"/>
        <v>2</v>
      </c>
      <c r="H116" s="191">
        <v>256.26389999999998</v>
      </c>
      <c r="I116" s="191">
        <v>22.780500000000018</v>
      </c>
      <c r="J116" s="191">
        <v>21.642899999999997</v>
      </c>
      <c r="K116" s="129" t="s">
        <v>457</v>
      </c>
      <c r="L116" s="131" t="s">
        <v>185</v>
      </c>
      <c r="M116" s="132" t="s">
        <v>186</v>
      </c>
      <c r="N116" s="129" t="s">
        <v>184</v>
      </c>
      <c r="O116" s="129" t="s">
        <v>420</v>
      </c>
      <c r="P116" s="129" t="s">
        <v>156</v>
      </c>
      <c r="Q116" s="129">
        <v>1</v>
      </c>
      <c r="R116" s="129">
        <v>1</v>
      </c>
      <c r="S116" s="129">
        <v>48</v>
      </c>
      <c r="T116" s="129">
        <v>50</v>
      </c>
      <c r="U116" s="199">
        <v>0.48</v>
      </c>
      <c r="V116" s="199">
        <v>0.48</v>
      </c>
      <c r="W116" s="129" t="s">
        <v>160</v>
      </c>
      <c r="X116" s="129" t="s">
        <v>421</v>
      </c>
      <c r="Y116" s="200">
        <v>12.74</v>
      </c>
      <c r="Z116" s="200">
        <v>-78.739999999999995</v>
      </c>
      <c r="AA116" s="129" t="s">
        <v>160</v>
      </c>
      <c r="AB116" s="129" t="s">
        <v>160</v>
      </c>
      <c r="AC116" s="129">
        <v>-2839</v>
      </c>
      <c r="AD116" s="129" t="s">
        <v>160</v>
      </c>
      <c r="AE116" s="129" t="s">
        <v>160</v>
      </c>
      <c r="AF116" s="129" t="s">
        <v>160</v>
      </c>
      <c r="AG116" s="145">
        <v>11.65</v>
      </c>
      <c r="AH116" s="129" t="s">
        <v>163</v>
      </c>
      <c r="AI116" s="129">
        <v>2</v>
      </c>
      <c r="AJ116" s="129">
        <v>2</v>
      </c>
      <c r="AK116" s="129" t="s">
        <v>160</v>
      </c>
      <c r="AL116" s="129" t="s">
        <v>422</v>
      </c>
      <c r="AM116" s="129" t="s">
        <v>160</v>
      </c>
      <c r="AN116" s="129" t="s">
        <v>160</v>
      </c>
      <c r="AO116" s="129" t="s">
        <v>160</v>
      </c>
      <c r="AP116" s="129" t="s">
        <v>160</v>
      </c>
      <c r="AQ116" s="129" t="s">
        <v>160</v>
      </c>
      <c r="AR116" s="129" t="s">
        <v>160</v>
      </c>
      <c r="AS116" s="129" t="s">
        <v>160</v>
      </c>
      <c r="AT116" s="129" t="s">
        <v>160</v>
      </c>
      <c r="AU116" s="129" t="s">
        <v>423</v>
      </c>
      <c r="AV116" s="129" t="s">
        <v>161</v>
      </c>
      <c r="AW116" s="129" t="s">
        <v>424</v>
      </c>
      <c r="AX116" s="178">
        <v>2</v>
      </c>
      <c r="AY116" s="129" t="s">
        <v>194</v>
      </c>
      <c r="AZ116" s="129" t="s">
        <v>195</v>
      </c>
      <c r="BA116" s="129" t="s">
        <v>425</v>
      </c>
      <c r="BB116" s="129" t="s">
        <v>160</v>
      </c>
      <c r="BC116" s="178">
        <v>2</v>
      </c>
      <c r="BD116" s="129" t="s">
        <v>160</v>
      </c>
      <c r="BE116" s="199">
        <v>20.72</v>
      </c>
      <c r="BF116" s="129" t="s">
        <v>426</v>
      </c>
      <c r="BG116" s="151">
        <v>0.2</v>
      </c>
      <c r="BH116" s="129">
        <v>0.64</v>
      </c>
      <c r="BI116" s="129" t="s">
        <v>427</v>
      </c>
      <c r="BJ116" s="129">
        <v>3.4000000000000002E-2</v>
      </c>
      <c r="BK116" s="129">
        <v>9.1</v>
      </c>
      <c r="BL116" s="129" t="s">
        <v>163</v>
      </c>
      <c r="BM116" s="129">
        <v>0.56000000000000005</v>
      </c>
      <c r="BN116" s="129" t="s">
        <v>428</v>
      </c>
      <c r="BO116" s="129" t="s">
        <v>429</v>
      </c>
      <c r="BP116" s="151">
        <f t="shared" si="16"/>
        <v>19.75</v>
      </c>
      <c r="BQ116" s="129" t="s">
        <v>202</v>
      </c>
      <c r="BR116" s="217"/>
      <c r="BS116" s="129" t="s">
        <v>160</v>
      </c>
      <c r="BT116" s="129" t="s">
        <v>160</v>
      </c>
      <c r="BU116" s="129">
        <v>10</v>
      </c>
      <c r="BV116" s="129" t="s">
        <v>159</v>
      </c>
      <c r="BW116" s="129">
        <v>10</v>
      </c>
      <c r="BX116" s="145">
        <v>26.91</v>
      </c>
      <c r="BY116" s="129" t="s">
        <v>159</v>
      </c>
      <c r="BZ116" s="129">
        <v>1</v>
      </c>
      <c r="CA116" s="129">
        <v>1</v>
      </c>
      <c r="CB116" s="129" t="s">
        <v>160</v>
      </c>
      <c r="CC116" s="151">
        <v>4.1470000000000002</v>
      </c>
      <c r="CD116" s="129" t="s">
        <v>430</v>
      </c>
      <c r="CE116" s="151">
        <v>0.16588</v>
      </c>
      <c r="CF116" s="151">
        <v>0.16588</v>
      </c>
      <c r="CG116" s="178" t="s">
        <v>160</v>
      </c>
      <c r="CH116" s="129" t="s">
        <v>431</v>
      </c>
      <c r="CI116" s="129" t="s">
        <v>160</v>
      </c>
      <c r="CJ116" s="129" t="s">
        <v>432</v>
      </c>
      <c r="CK116" s="129" t="s">
        <v>158</v>
      </c>
      <c r="CL116" s="129" t="s">
        <v>158</v>
      </c>
      <c r="CM116" s="129" t="s">
        <v>158</v>
      </c>
      <c r="CN116" s="129" t="s">
        <v>160</v>
      </c>
      <c r="CO116" s="129" t="s">
        <v>160</v>
      </c>
      <c r="CP116" s="129" t="s">
        <v>160</v>
      </c>
      <c r="CQ116" s="129" t="s">
        <v>160</v>
      </c>
      <c r="CR116" s="129" t="s">
        <v>160</v>
      </c>
      <c r="CS116" s="129" t="s">
        <v>160</v>
      </c>
      <c r="CT116" s="129" t="s">
        <v>160</v>
      </c>
      <c r="CU116" s="129">
        <v>35</v>
      </c>
      <c r="CV116" s="129" t="s">
        <v>393</v>
      </c>
      <c r="CW116" s="146">
        <v>1</v>
      </c>
      <c r="CX116" s="129" t="s">
        <v>207</v>
      </c>
      <c r="CY116" s="129">
        <v>1.06E-2</v>
      </c>
      <c r="CZ116" s="129" t="s">
        <v>159</v>
      </c>
      <c r="DA116" s="146">
        <v>0</v>
      </c>
      <c r="DB116" s="129" t="s">
        <v>208</v>
      </c>
      <c r="DC116" s="129">
        <v>5.5100000000000003E-2</v>
      </c>
      <c r="DD116" s="129" t="s">
        <v>159</v>
      </c>
      <c r="DE116" s="146">
        <v>0</v>
      </c>
      <c r="DF116" s="129" t="s">
        <v>208</v>
      </c>
      <c r="DG116" s="129" t="s">
        <v>160</v>
      </c>
      <c r="DH116" s="129" t="s">
        <v>160</v>
      </c>
      <c r="DI116" s="129" t="s">
        <v>160</v>
      </c>
      <c r="DJ116" s="129" t="s">
        <v>160</v>
      </c>
      <c r="DK116" s="145">
        <v>432.56244218316402</v>
      </c>
      <c r="DL116" s="129" t="s">
        <v>433</v>
      </c>
      <c r="DM116" s="145" t="s">
        <v>160</v>
      </c>
      <c r="DN116" s="129" t="s">
        <v>434</v>
      </c>
      <c r="DO116" s="129">
        <v>39.607320000000001</v>
      </c>
      <c r="DP116" s="129" t="s">
        <v>160</v>
      </c>
      <c r="DQ116" s="129">
        <v>2.6700000000019486E-3</v>
      </c>
      <c r="DR116" s="129" t="s">
        <v>435</v>
      </c>
      <c r="DS116" s="129" t="s">
        <v>212</v>
      </c>
      <c r="DT116" s="129" t="s">
        <v>213</v>
      </c>
      <c r="DU116" s="129">
        <v>1.0271999999999999</v>
      </c>
      <c r="DV116" s="129" t="s">
        <v>160</v>
      </c>
      <c r="DW116" s="129" t="s">
        <v>160</v>
      </c>
      <c r="DX116" s="129" t="s">
        <v>436</v>
      </c>
      <c r="DY116" s="129" t="s">
        <v>158</v>
      </c>
      <c r="DZ116" s="129" t="s">
        <v>158</v>
      </c>
      <c r="EA116" s="129" t="s">
        <v>216</v>
      </c>
      <c r="EB116" s="129" t="s">
        <v>212</v>
      </c>
      <c r="EC116" s="129" t="s">
        <v>212</v>
      </c>
      <c r="ED116" s="129" t="s">
        <v>212</v>
      </c>
      <c r="EE116" s="129" t="s">
        <v>217</v>
      </c>
      <c r="EF116" s="147" t="s">
        <v>213</v>
      </c>
      <c r="EG116" s="148" t="s">
        <v>213</v>
      </c>
      <c r="EH116" s="129" t="s">
        <v>218</v>
      </c>
      <c r="EI116" s="129" t="s">
        <v>417</v>
      </c>
      <c r="EJ116" s="129" t="s">
        <v>160</v>
      </c>
      <c r="EK116" s="129">
        <v>1999.7550000000001</v>
      </c>
      <c r="EL116" s="129" t="s">
        <v>163</v>
      </c>
      <c r="EM116" s="129">
        <v>0.19799999999986495</v>
      </c>
      <c r="EN116" s="129">
        <v>0.20400000000017626</v>
      </c>
      <c r="EO116" s="129" t="s">
        <v>160</v>
      </c>
      <c r="EP116" s="129" t="s">
        <v>160</v>
      </c>
      <c r="EQ116" s="129" t="s">
        <v>160</v>
      </c>
      <c r="ER116" s="129" t="s">
        <v>160</v>
      </c>
      <c r="ES116" s="201">
        <v>8.1630719999999997</v>
      </c>
      <c r="ET116" s="129" t="s">
        <v>165</v>
      </c>
      <c r="EU116" s="151">
        <v>3.1323999999999685E-2</v>
      </c>
      <c r="EV116" s="151">
        <v>3.0009999999998982E-2</v>
      </c>
      <c r="EW116" s="142" t="s">
        <v>160</v>
      </c>
      <c r="EX116" s="129" t="s">
        <v>160</v>
      </c>
      <c r="EY116" s="129" t="s">
        <v>160</v>
      </c>
      <c r="EZ116" s="191">
        <v>256.26389999999998</v>
      </c>
      <c r="FA116" s="191">
        <v>22.780500000000018</v>
      </c>
      <c r="FB116" s="191">
        <v>21.642899999999997</v>
      </c>
      <c r="FC116" s="129" t="s">
        <v>220</v>
      </c>
      <c r="FD116" s="129" t="s">
        <v>221</v>
      </c>
      <c r="FE116" s="129">
        <v>2353.3159999999998</v>
      </c>
      <c r="FF116" s="129">
        <v>28.96100000000024</v>
      </c>
      <c r="FG116" s="129">
        <v>28.651999999999589</v>
      </c>
      <c r="FH116" s="129" t="s">
        <v>160</v>
      </c>
      <c r="FI116" s="129" t="s">
        <v>160</v>
      </c>
      <c r="FJ116" s="129" t="s">
        <v>160</v>
      </c>
      <c r="FK116" s="129" t="s">
        <v>160</v>
      </c>
      <c r="FL116" s="129" t="s">
        <v>160</v>
      </c>
      <c r="FM116" s="129" t="s">
        <v>160</v>
      </c>
      <c r="FN116" s="151">
        <v>4.6210889999999996</v>
      </c>
      <c r="FO116" s="151">
        <v>0.21033000000000079</v>
      </c>
      <c r="FP116" s="151">
        <v>0.20207999999999959</v>
      </c>
      <c r="FQ116" s="178" t="s">
        <v>419</v>
      </c>
      <c r="FR116" s="129" t="s">
        <v>415</v>
      </c>
      <c r="FS116" s="129">
        <v>2017</v>
      </c>
      <c r="FT116" s="131" t="s">
        <v>416</v>
      </c>
    </row>
    <row r="117" spans="1:176" s="129" customFormat="1">
      <c r="A117" s="129" t="s">
        <v>152</v>
      </c>
      <c r="B117" s="166" t="s">
        <v>183</v>
      </c>
      <c r="C117" s="166">
        <v>2018</v>
      </c>
      <c r="D117" s="166" t="s">
        <v>184</v>
      </c>
      <c r="E117" s="145">
        <f t="shared" si="14"/>
        <v>14.01</v>
      </c>
      <c r="F117" s="129">
        <f t="shared" si="15"/>
        <v>2</v>
      </c>
      <c r="G117" s="129">
        <f t="shared" si="15"/>
        <v>2</v>
      </c>
      <c r="H117" s="191">
        <v>234.3151</v>
      </c>
      <c r="I117" s="191">
        <v>20.442199999999985</v>
      </c>
      <c r="J117" s="191">
        <v>18.769599999999997</v>
      </c>
      <c r="K117" s="129" t="s">
        <v>457</v>
      </c>
      <c r="L117" s="131" t="s">
        <v>185</v>
      </c>
      <c r="M117" s="132" t="s">
        <v>186</v>
      </c>
      <c r="N117" s="129" t="s">
        <v>184</v>
      </c>
      <c r="O117" s="129" t="s">
        <v>420</v>
      </c>
      <c r="P117" s="129" t="s">
        <v>156</v>
      </c>
      <c r="Q117" s="129">
        <v>1</v>
      </c>
      <c r="R117" s="129">
        <v>1</v>
      </c>
      <c r="S117" s="129">
        <v>57</v>
      </c>
      <c r="T117" s="129">
        <v>59</v>
      </c>
      <c r="U117" s="199">
        <v>0.56999999999999995</v>
      </c>
      <c r="V117" s="199">
        <v>0.56999999999999995</v>
      </c>
      <c r="W117" s="129" t="s">
        <v>160</v>
      </c>
      <c r="X117" s="129" t="s">
        <v>421</v>
      </c>
      <c r="Y117" s="200">
        <v>12.74</v>
      </c>
      <c r="Z117" s="200">
        <v>-78.739999999999995</v>
      </c>
      <c r="AA117" s="129" t="s">
        <v>160</v>
      </c>
      <c r="AB117" s="129" t="s">
        <v>160</v>
      </c>
      <c r="AC117" s="129">
        <v>-2839</v>
      </c>
      <c r="AD117" s="129" t="s">
        <v>160</v>
      </c>
      <c r="AE117" s="129" t="s">
        <v>160</v>
      </c>
      <c r="AF117" s="129" t="s">
        <v>160</v>
      </c>
      <c r="AG117" s="145">
        <v>14.01</v>
      </c>
      <c r="AH117" s="129" t="s">
        <v>163</v>
      </c>
      <c r="AI117" s="129">
        <v>2</v>
      </c>
      <c r="AJ117" s="129">
        <v>2</v>
      </c>
      <c r="AK117" s="129" t="s">
        <v>160</v>
      </c>
      <c r="AL117" s="129" t="s">
        <v>422</v>
      </c>
      <c r="AM117" s="129" t="s">
        <v>160</v>
      </c>
      <c r="AN117" s="129" t="s">
        <v>160</v>
      </c>
      <c r="AO117" s="129" t="s">
        <v>160</v>
      </c>
      <c r="AP117" s="129" t="s">
        <v>160</v>
      </c>
      <c r="AQ117" s="129" t="s">
        <v>160</v>
      </c>
      <c r="AR117" s="129" t="s">
        <v>160</v>
      </c>
      <c r="AS117" s="129" t="s">
        <v>160</v>
      </c>
      <c r="AT117" s="129" t="s">
        <v>160</v>
      </c>
      <c r="AU117" s="129" t="s">
        <v>423</v>
      </c>
      <c r="AV117" s="129" t="s">
        <v>161</v>
      </c>
      <c r="AW117" s="129" t="s">
        <v>424</v>
      </c>
      <c r="AX117" s="178">
        <v>2</v>
      </c>
      <c r="AY117" s="129" t="s">
        <v>194</v>
      </c>
      <c r="AZ117" s="129" t="s">
        <v>195</v>
      </c>
      <c r="BA117" s="129" t="s">
        <v>425</v>
      </c>
      <c r="BB117" s="129" t="s">
        <v>160</v>
      </c>
      <c r="BC117" s="178">
        <v>2</v>
      </c>
      <c r="BD117" s="129" t="s">
        <v>160</v>
      </c>
      <c r="BE117" s="199">
        <v>20.98</v>
      </c>
      <c r="BF117" s="129" t="s">
        <v>426</v>
      </c>
      <c r="BG117" s="151">
        <v>0.18</v>
      </c>
      <c r="BH117" s="129">
        <v>0.64</v>
      </c>
      <c r="BI117" s="129" t="s">
        <v>427</v>
      </c>
      <c r="BJ117" s="129">
        <v>3.4000000000000002E-2</v>
      </c>
      <c r="BK117" s="129">
        <v>9.1</v>
      </c>
      <c r="BL117" s="129" t="s">
        <v>163</v>
      </c>
      <c r="BM117" s="129">
        <v>0.56000000000000005</v>
      </c>
      <c r="BN117" s="129" t="s">
        <v>428</v>
      </c>
      <c r="BO117" s="129" t="s">
        <v>429</v>
      </c>
      <c r="BP117" s="151">
        <f t="shared" si="16"/>
        <v>20.183333333333337</v>
      </c>
      <c r="BQ117" s="129" t="s">
        <v>202</v>
      </c>
      <c r="BR117" s="217"/>
      <c r="BS117" s="129" t="s">
        <v>160</v>
      </c>
      <c r="BT117" s="129" t="s">
        <v>160</v>
      </c>
      <c r="BU117" s="129">
        <v>10</v>
      </c>
      <c r="BV117" s="129" t="s">
        <v>159</v>
      </c>
      <c r="BW117" s="129">
        <v>10</v>
      </c>
      <c r="BX117" s="145">
        <v>27.33</v>
      </c>
      <c r="BY117" s="129" t="s">
        <v>159</v>
      </c>
      <c r="BZ117" s="129">
        <v>1</v>
      </c>
      <c r="CA117" s="129">
        <v>1</v>
      </c>
      <c r="CB117" s="129" t="s">
        <v>160</v>
      </c>
      <c r="CC117" s="151">
        <v>4.1550000000000002</v>
      </c>
      <c r="CD117" s="129" t="s">
        <v>430</v>
      </c>
      <c r="CE117" s="151">
        <v>0.16620000000000001</v>
      </c>
      <c r="CF117" s="151">
        <v>0.16620000000000001</v>
      </c>
      <c r="CG117" s="178" t="s">
        <v>160</v>
      </c>
      <c r="CH117" s="129" t="s">
        <v>431</v>
      </c>
      <c r="CI117" s="129" t="s">
        <v>160</v>
      </c>
      <c r="CJ117" s="129" t="s">
        <v>432</v>
      </c>
      <c r="CK117" s="129" t="s">
        <v>158</v>
      </c>
      <c r="CL117" s="129" t="s">
        <v>158</v>
      </c>
      <c r="CM117" s="129" t="s">
        <v>158</v>
      </c>
      <c r="CN117" s="129" t="s">
        <v>160</v>
      </c>
      <c r="CO117" s="129" t="s">
        <v>160</v>
      </c>
      <c r="CP117" s="129" t="s">
        <v>160</v>
      </c>
      <c r="CQ117" s="129" t="s">
        <v>160</v>
      </c>
      <c r="CR117" s="129" t="s">
        <v>160</v>
      </c>
      <c r="CS117" s="129" t="s">
        <v>160</v>
      </c>
      <c r="CT117" s="129" t="s">
        <v>160</v>
      </c>
      <c r="CU117" s="129">
        <v>35</v>
      </c>
      <c r="CV117" s="129" t="s">
        <v>393</v>
      </c>
      <c r="CW117" s="146">
        <v>1</v>
      </c>
      <c r="CX117" s="129" t="s">
        <v>207</v>
      </c>
      <c r="CY117" s="129">
        <v>1.06E-2</v>
      </c>
      <c r="CZ117" s="129" t="s">
        <v>159</v>
      </c>
      <c r="DA117" s="146">
        <v>0</v>
      </c>
      <c r="DB117" s="129" t="s">
        <v>208</v>
      </c>
      <c r="DC117" s="129">
        <v>5.5100000000000003E-2</v>
      </c>
      <c r="DD117" s="129" t="s">
        <v>159</v>
      </c>
      <c r="DE117" s="146">
        <v>0</v>
      </c>
      <c r="DF117" s="129" t="s">
        <v>208</v>
      </c>
      <c r="DG117" s="129" t="s">
        <v>160</v>
      </c>
      <c r="DH117" s="129" t="s">
        <v>160</v>
      </c>
      <c r="DI117" s="129" t="s">
        <v>160</v>
      </c>
      <c r="DJ117" s="129" t="s">
        <v>160</v>
      </c>
      <c r="DK117" s="145">
        <v>432.56244218316402</v>
      </c>
      <c r="DL117" s="129" t="s">
        <v>433</v>
      </c>
      <c r="DM117" s="145" t="s">
        <v>160</v>
      </c>
      <c r="DN117" s="129" t="s">
        <v>434</v>
      </c>
      <c r="DO117" s="129">
        <v>39.60774</v>
      </c>
      <c r="DP117" s="129" t="s">
        <v>160</v>
      </c>
      <c r="DQ117" s="129">
        <v>2.250000000003638E-3</v>
      </c>
      <c r="DR117" s="129" t="s">
        <v>435</v>
      </c>
      <c r="DS117" s="129" t="s">
        <v>212</v>
      </c>
      <c r="DT117" s="129" t="s">
        <v>213</v>
      </c>
      <c r="DU117" s="129">
        <v>1.0271999999999999</v>
      </c>
      <c r="DV117" s="129" t="s">
        <v>160</v>
      </c>
      <c r="DW117" s="129" t="s">
        <v>160</v>
      </c>
      <c r="DX117" s="129" t="s">
        <v>436</v>
      </c>
      <c r="DY117" s="129" t="s">
        <v>158</v>
      </c>
      <c r="DZ117" s="129" t="s">
        <v>158</v>
      </c>
      <c r="EA117" s="129" t="s">
        <v>216</v>
      </c>
      <c r="EB117" s="129" t="s">
        <v>212</v>
      </c>
      <c r="EC117" s="129" t="s">
        <v>212</v>
      </c>
      <c r="ED117" s="129" t="s">
        <v>212</v>
      </c>
      <c r="EE117" s="129" t="s">
        <v>217</v>
      </c>
      <c r="EF117" s="147" t="s">
        <v>213</v>
      </c>
      <c r="EG117" s="148" t="s">
        <v>213</v>
      </c>
      <c r="EH117" s="129" t="s">
        <v>218</v>
      </c>
      <c r="EI117" s="129" t="s">
        <v>417</v>
      </c>
      <c r="EJ117" s="129" t="s">
        <v>160</v>
      </c>
      <c r="EK117" s="129">
        <v>1999.7180000000001</v>
      </c>
      <c r="EL117" s="129" t="s">
        <v>163</v>
      </c>
      <c r="EM117" s="129">
        <v>0.23299999999965709</v>
      </c>
      <c r="EN117" s="129">
        <v>0.2339999999999981</v>
      </c>
      <c r="EO117" s="129" t="s">
        <v>160</v>
      </c>
      <c r="EP117" s="129" t="s">
        <v>160</v>
      </c>
      <c r="EQ117" s="129" t="s">
        <v>160</v>
      </c>
      <c r="ER117" s="129" t="s">
        <v>160</v>
      </c>
      <c r="ES117" s="201">
        <v>8.1932869999999998</v>
      </c>
      <c r="ET117" s="129" t="s">
        <v>165</v>
      </c>
      <c r="EU117" s="151">
        <v>2.9103000000000989E-2</v>
      </c>
      <c r="EV117" s="151">
        <v>2.9156000000000404E-2</v>
      </c>
      <c r="EW117" s="142" t="s">
        <v>160</v>
      </c>
      <c r="EX117" s="129" t="s">
        <v>160</v>
      </c>
      <c r="EY117" s="129" t="s">
        <v>160</v>
      </c>
      <c r="EZ117" s="191">
        <v>234.3151</v>
      </c>
      <c r="FA117" s="191">
        <v>20.442199999999985</v>
      </c>
      <c r="FB117" s="191">
        <v>18.769599999999997</v>
      </c>
      <c r="FC117" s="129" t="s">
        <v>220</v>
      </c>
      <c r="FD117" s="129" t="s">
        <v>221</v>
      </c>
      <c r="FE117" s="129">
        <v>2381.8969999999999</v>
      </c>
      <c r="FF117" s="129">
        <v>29.360999999999876</v>
      </c>
      <c r="FG117" s="129">
        <v>29.264999999999873</v>
      </c>
      <c r="FH117" s="129" t="s">
        <v>160</v>
      </c>
      <c r="FI117" s="129" t="s">
        <v>160</v>
      </c>
      <c r="FJ117" s="129" t="s">
        <v>160</v>
      </c>
      <c r="FK117" s="129" t="s">
        <v>160</v>
      </c>
      <c r="FL117" s="129" t="s">
        <v>160</v>
      </c>
      <c r="FM117" s="129" t="s">
        <v>160</v>
      </c>
      <c r="FN117" s="151">
        <v>4.9678459999999998</v>
      </c>
      <c r="FO117" s="151">
        <v>0.20994600000000041</v>
      </c>
      <c r="FP117" s="151">
        <v>0.20094199999999951</v>
      </c>
      <c r="FQ117" s="178" t="s">
        <v>419</v>
      </c>
      <c r="FR117" s="129" t="s">
        <v>415</v>
      </c>
      <c r="FS117" s="129">
        <v>2017</v>
      </c>
      <c r="FT117" s="131" t="s">
        <v>416</v>
      </c>
    </row>
    <row r="118" spans="1:176" s="129" customFormat="1">
      <c r="A118" s="129" t="s">
        <v>152</v>
      </c>
      <c r="B118" s="166" t="s">
        <v>183</v>
      </c>
      <c r="C118" s="166">
        <v>2018</v>
      </c>
      <c r="D118" s="166" t="s">
        <v>184</v>
      </c>
      <c r="E118" s="145">
        <f t="shared" si="14"/>
        <v>15.07</v>
      </c>
      <c r="F118" s="129">
        <f t="shared" si="15"/>
        <v>2</v>
      </c>
      <c r="G118" s="129">
        <f t="shared" si="15"/>
        <v>2</v>
      </c>
      <c r="H118" s="191">
        <v>231.41479999999999</v>
      </c>
      <c r="I118" s="191">
        <v>20.269700000000029</v>
      </c>
      <c r="J118" s="191">
        <v>18.714399999999983</v>
      </c>
      <c r="K118" s="129" t="s">
        <v>457</v>
      </c>
      <c r="L118" s="131" t="s">
        <v>185</v>
      </c>
      <c r="M118" s="132" t="s">
        <v>186</v>
      </c>
      <c r="N118" s="129" t="s">
        <v>184</v>
      </c>
      <c r="O118" s="129" t="s">
        <v>420</v>
      </c>
      <c r="P118" s="129" t="s">
        <v>156</v>
      </c>
      <c r="Q118" s="129">
        <v>1</v>
      </c>
      <c r="R118" s="129">
        <v>1</v>
      </c>
      <c r="S118" s="129">
        <v>61</v>
      </c>
      <c r="T118" s="129">
        <v>63</v>
      </c>
      <c r="U118" s="199">
        <v>0.61</v>
      </c>
      <c r="V118" s="199">
        <v>0.61</v>
      </c>
      <c r="W118" s="129" t="s">
        <v>160</v>
      </c>
      <c r="X118" s="129" t="s">
        <v>421</v>
      </c>
      <c r="Y118" s="200">
        <v>12.74</v>
      </c>
      <c r="Z118" s="200">
        <v>-78.739999999999995</v>
      </c>
      <c r="AA118" s="129" t="s">
        <v>160</v>
      </c>
      <c r="AB118" s="129" t="s">
        <v>160</v>
      </c>
      <c r="AC118" s="129">
        <v>-2839</v>
      </c>
      <c r="AD118" s="129" t="s">
        <v>160</v>
      </c>
      <c r="AE118" s="129" t="s">
        <v>160</v>
      </c>
      <c r="AF118" s="129" t="s">
        <v>160</v>
      </c>
      <c r="AG118" s="145">
        <v>15.07</v>
      </c>
      <c r="AH118" s="129" t="s">
        <v>163</v>
      </c>
      <c r="AI118" s="129">
        <v>2</v>
      </c>
      <c r="AJ118" s="129">
        <v>2</v>
      </c>
      <c r="AK118" s="129" t="s">
        <v>160</v>
      </c>
      <c r="AL118" s="129" t="s">
        <v>422</v>
      </c>
      <c r="AM118" s="129" t="s">
        <v>160</v>
      </c>
      <c r="AN118" s="129" t="s">
        <v>160</v>
      </c>
      <c r="AO118" s="129" t="s">
        <v>160</v>
      </c>
      <c r="AP118" s="129" t="s">
        <v>160</v>
      </c>
      <c r="AQ118" s="129" t="s">
        <v>160</v>
      </c>
      <c r="AR118" s="129" t="s">
        <v>160</v>
      </c>
      <c r="AS118" s="129" t="s">
        <v>160</v>
      </c>
      <c r="AT118" s="129" t="s">
        <v>160</v>
      </c>
      <c r="AU118" s="129" t="s">
        <v>423</v>
      </c>
      <c r="AV118" s="129" t="s">
        <v>161</v>
      </c>
      <c r="AW118" s="129" t="s">
        <v>424</v>
      </c>
      <c r="AX118" s="178">
        <v>2</v>
      </c>
      <c r="AY118" s="129" t="s">
        <v>194</v>
      </c>
      <c r="AZ118" s="129" t="s">
        <v>195</v>
      </c>
      <c r="BA118" s="129" t="s">
        <v>425</v>
      </c>
      <c r="BB118" s="129" t="s">
        <v>160</v>
      </c>
      <c r="BC118" s="178">
        <v>2</v>
      </c>
      <c r="BD118" s="129" t="s">
        <v>160</v>
      </c>
      <c r="BE118" s="199">
        <v>21.02</v>
      </c>
      <c r="BF118" s="129" t="s">
        <v>426</v>
      </c>
      <c r="BG118" s="151">
        <v>0.18</v>
      </c>
      <c r="BH118" s="129">
        <v>0.64</v>
      </c>
      <c r="BI118" s="129" t="s">
        <v>427</v>
      </c>
      <c r="BJ118" s="129">
        <v>3.4000000000000002E-2</v>
      </c>
      <c r="BK118" s="129">
        <v>9.1</v>
      </c>
      <c r="BL118" s="129" t="s">
        <v>163</v>
      </c>
      <c r="BM118" s="129">
        <v>0.56000000000000005</v>
      </c>
      <c r="BN118" s="129" t="s">
        <v>428</v>
      </c>
      <c r="BO118" s="129" t="s">
        <v>429</v>
      </c>
      <c r="BP118" s="151">
        <f t="shared" si="16"/>
        <v>20.25</v>
      </c>
      <c r="BQ118" s="129" t="s">
        <v>202</v>
      </c>
      <c r="BR118" s="217"/>
      <c r="BS118" s="129" t="s">
        <v>160</v>
      </c>
      <c r="BT118" s="129" t="s">
        <v>160</v>
      </c>
      <c r="BU118" s="129">
        <v>10</v>
      </c>
      <c r="BV118" s="129" t="s">
        <v>159</v>
      </c>
      <c r="BW118" s="129">
        <v>10</v>
      </c>
      <c r="BX118" s="145">
        <v>27.35</v>
      </c>
      <c r="BY118" s="129" t="s">
        <v>159</v>
      </c>
      <c r="BZ118" s="129">
        <v>1</v>
      </c>
      <c r="CA118" s="129">
        <v>1</v>
      </c>
      <c r="CB118" s="129" t="s">
        <v>160</v>
      </c>
      <c r="CC118" s="151">
        <v>4.1449999999999996</v>
      </c>
      <c r="CD118" s="129" t="s">
        <v>430</v>
      </c>
      <c r="CE118" s="151">
        <v>0.16579999999999998</v>
      </c>
      <c r="CF118" s="151">
        <v>0.16579999999999998</v>
      </c>
      <c r="CG118" s="178" t="s">
        <v>160</v>
      </c>
      <c r="CH118" s="129" t="s">
        <v>431</v>
      </c>
      <c r="CI118" s="129" t="s">
        <v>160</v>
      </c>
      <c r="CJ118" s="129" t="s">
        <v>432</v>
      </c>
      <c r="CK118" s="129" t="s">
        <v>158</v>
      </c>
      <c r="CL118" s="129" t="s">
        <v>158</v>
      </c>
      <c r="CM118" s="129" t="s">
        <v>158</v>
      </c>
      <c r="CN118" s="129" t="s">
        <v>160</v>
      </c>
      <c r="CO118" s="129" t="s">
        <v>160</v>
      </c>
      <c r="CP118" s="129" t="s">
        <v>160</v>
      </c>
      <c r="CQ118" s="129" t="s">
        <v>160</v>
      </c>
      <c r="CR118" s="129" t="s">
        <v>160</v>
      </c>
      <c r="CS118" s="129" t="s">
        <v>160</v>
      </c>
      <c r="CT118" s="129" t="s">
        <v>160</v>
      </c>
      <c r="CU118" s="129">
        <v>35</v>
      </c>
      <c r="CV118" s="129" t="s">
        <v>393</v>
      </c>
      <c r="CW118" s="146">
        <v>1</v>
      </c>
      <c r="CX118" s="129" t="s">
        <v>207</v>
      </c>
      <c r="CY118" s="129">
        <v>1.06E-2</v>
      </c>
      <c r="CZ118" s="129" t="s">
        <v>159</v>
      </c>
      <c r="DA118" s="146">
        <v>0</v>
      </c>
      <c r="DB118" s="129" t="s">
        <v>208</v>
      </c>
      <c r="DC118" s="129">
        <v>5.5100000000000003E-2</v>
      </c>
      <c r="DD118" s="129" t="s">
        <v>159</v>
      </c>
      <c r="DE118" s="146">
        <v>0</v>
      </c>
      <c r="DF118" s="129" t="s">
        <v>208</v>
      </c>
      <c r="DG118" s="129" t="s">
        <v>160</v>
      </c>
      <c r="DH118" s="129" t="s">
        <v>160</v>
      </c>
      <c r="DI118" s="129" t="s">
        <v>160</v>
      </c>
      <c r="DJ118" s="129" t="s">
        <v>160</v>
      </c>
      <c r="DK118" s="145">
        <v>432.56244218316402</v>
      </c>
      <c r="DL118" s="129" t="s">
        <v>433</v>
      </c>
      <c r="DM118" s="145" t="s">
        <v>160</v>
      </c>
      <c r="DN118" s="129" t="s">
        <v>434</v>
      </c>
      <c r="DO118" s="129">
        <v>39.607959999999999</v>
      </c>
      <c r="DP118" s="129" t="s">
        <v>160</v>
      </c>
      <c r="DQ118" s="129">
        <v>2.0799999999994156E-3</v>
      </c>
      <c r="DR118" s="129" t="s">
        <v>435</v>
      </c>
      <c r="DS118" s="129" t="s">
        <v>212</v>
      </c>
      <c r="DT118" s="129" t="s">
        <v>213</v>
      </c>
      <c r="DU118" s="129">
        <v>1.0271999999999999</v>
      </c>
      <c r="DV118" s="129" t="s">
        <v>160</v>
      </c>
      <c r="DW118" s="129" t="s">
        <v>160</v>
      </c>
      <c r="DX118" s="129" t="s">
        <v>436</v>
      </c>
      <c r="DY118" s="129" t="s">
        <v>158</v>
      </c>
      <c r="DZ118" s="129" t="s">
        <v>158</v>
      </c>
      <c r="EA118" s="129" t="s">
        <v>216</v>
      </c>
      <c r="EB118" s="129" t="s">
        <v>212</v>
      </c>
      <c r="EC118" s="129" t="s">
        <v>212</v>
      </c>
      <c r="ED118" s="129" t="s">
        <v>212</v>
      </c>
      <c r="EE118" s="129" t="s">
        <v>217</v>
      </c>
      <c r="EF118" s="147" t="s">
        <v>213</v>
      </c>
      <c r="EG118" s="148" t="s">
        <v>213</v>
      </c>
      <c r="EH118" s="129" t="s">
        <v>218</v>
      </c>
      <c r="EI118" s="129" t="s">
        <v>417</v>
      </c>
      <c r="EJ118" s="129" t="s">
        <v>160</v>
      </c>
      <c r="EK118" s="129">
        <v>1999.6969999999999</v>
      </c>
      <c r="EL118" s="129" t="s">
        <v>163</v>
      </c>
      <c r="EM118" s="129">
        <v>0.26000000000019063</v>
      </c>
      <c r="EN118" s="129">
        <v>0.25200000000006467</v>
      </c>
      <c r="EO118" s="129" t="s">
        <v>160</v>
      </c>
      <c r="EP118" s="129" t="s">
        <v>160</v>
      </c>
      <c r="EQ118" s="129" t="s">
        <v>160</v>
      </c>
      <c r="ER118" s="129" t="s">
        <v>160</v>
      </c>
      <c r="ES118" s="201">
        <v>8.1975060000000006</v>
      </c>
      <c r="ET118" s="129" t="s">
        <v>165</v>
      </c>
      <c r="EU118" s="151">
        <v>2.924900000000008E-2</v>
      </c>
      <c r="EV118" s="151">
        <v>2.912400000000126E-2</v>
      </c>
      <c r="EW118" s="142" t="s">
        <v>160</v>
      </c>
      <c r="EX118" s="129" t="s">
        <v>160</v>
      </c>
      <c r="EY118" s="129" t="s">
        <v>160</v>
      </c>
      <c r="EZ118" s="191">
        <v>231.41479999999999</v>
      </c>
      <c r="FA118" s="191">
        <v>20.269700000000029</v>
      </c>
      <c r="FB118" s="191">
        <v>18.714399999999983</v>
      </c>
      <c r="FC118" s="129" t="s">
        <v>220</v>
      </c>
      <c r="FD118" s="129" t="s">
        <v>221</v>
      </c>
      <c r="FE118" s="129">
        <v>2386.6010000000001</v>
      </c>
      <c r="FF118" s="129">
        <v>29.423000000000229</v>
      </c>
      <c r="FG118" s="129">
        <v>28.943000000000211</v>
      </c>
      <c r="FH118" s="129" t="s">
        <v>160</v>
      </c>
      <c r="FI118" s="129" t="s">
        <v>160</v>
      </c>
      <c r="FJ118" s="129" t="s">
        <v>160</v>
      </c>
      <c r="FK118" s="129" t="s">
        <v>160</v>
      </c>
      <c r="FL118" s="129" t="s">
        <v>160</v>
      </c>
      <c r="FM118" s="129" t="s">
        <v>160</v>
      </c>
      <c r="FN118" s="151">
        <v>5.0280300000000002</v>
      </c>
      <c r="FO118" s="151">
        <v>0.2118859999999998</v>
      </c>
      <c r="FP118" s="151">
        <v>0.20115200000000044</v>
      </c>
      <c r="FQ118" s="178" t="s">
        <v>419</v>
      </c>
      <c r="FR118" s="129" t="s">
        <v>415</v>
      </c>
      <c r="FS118" s="129">
        <v>2017</v>
      </c>
      <c r="FT118" s="131" t="s">
        <v>416</v>
      </c>
    </row>
    <row r="119" spans="1:176" s="129" customFormat="1">
      <c r="A119" s="129" t="s">
        <v>152</v>
      </c>
      <c r="B119" s="166" t="s">
        <v>183</v>
      </c>
      <c r="C119" s="166">
        <v>2018</v>
      </c>
      <c r="D119" s="166" t="s">
        <v>184</v>
      </c>
      <c r="E119" s="145">
        <f t="shared" si="14"/>
        <v>15.07</v>
      </c>
      <c r="F119" s="129">
        <f t="shared" si="15"/>
        <v>2</v>
      </c>
      <c r="G119" s="129">
        <f t="shared" si="15"/>
        <v>2</v>
      </c>
      <c r="H119" s="191">
        <v>220.21519999999998</v>
      </c>
      <c r="I119" s="191">
        <v>19.346300000000014</v>
      </c>
      <c r="J119" s="191">
        <v>18.307099999999991</v>
      </c>
      <c r="K119" s="129" t="s">
        <v>457</v>
      </c>
      <c r="L119" s="131" t="s">
        <v>185</v>
      </c>
      <c r="M119" s="132" t="s">
        <v>186</v>
      </c>
      <c r="N119" s="129" t="s">
        <v>184</v>
      </c>
      <c r="O119" s="129" t="s">
        <v>420</v>
      </c>
      <c r="P119" s="129" t="s">
        <v>156</v>
      </c>
      <c r="Q119" s="129">
        <v>1</v>
      </c>
      <c r="R119" s="129">
        <v>1</v>
      </c>
      <c r="S119" s="129">
        <v>61</v>
      </c>
      <c r="T119" s="129">
        <v>63</v>
      </c>
      <c r="U119" s="199">
        <v>0.61</v>
      </c>
      <c r="V119" s="199">
        <v>0.61</v>
      </c>
      <c r="W119" s="129" t="s">
        <v>160</v>
      </c>
      <c r="X119" s="129" t="s">
        <v>421</v>
      </c>
      <c r="Y119" s="200">
        <v>12.74</v>
      </c>
      <c r="Z119" s="200">
        <v>-78.739999999999995</v>
      </c>
      <c r="AA119" s="129" t="s">
        <v>160</v>
      </c>
      <c r="AB119" s="129" t="s">
        <v>160</v>
      </c>
      <c r="AC119" s="129">
        <v>-2839</v>
      </c>
      <c r="AD119" s="129" t="s">
        <v>160</v>
      </c>
      <c r="AE119" s="129" t="s">
        <v>160</v>
      </c>
      <c r="AF119" s="129" t="s">
        <v>160</v>
      </c>
      <c r="AG119" s="145">
        <v>15.07</v>
      </c>
      <c r="AH119" s="129" t="s">
        <v>163</v>
      </c>
      <c r="AI119" s="129">
        <v>2</v>
      </c>
      <c r="AJ119" s="129">
        <v>2</v>
      </c>
      <c r="AK119" s="129" t="s">
        <v>160</v>
      </c>
      <c r="AL119" s="129" t="s">
        <v>422</v>
      </c>
      <c r="AM119" s="129" t="s">
        <v>160</v>
      </c>
      <c r="AN119" s="129" t="s">
        <v>160</v>
      </c>
      <c r="AO119" s="129" t="s">
        <v>160</v>
      </c>
      <c r="AP119" s="129" t="s">
        <v>160</v>
      </c>
      <c r="AQ119" s="129" t="s">
        <v>160</v>
      </c>
      <c r="AR119" s="129" t="s">
        <v>160</v>
      </c>
      <c r="AS119" s="129" t="s">
        <v>160</v>
      </c>
      <c r="AT119" s="129" t="s">
        <v>160</v>
      </c>
      <c r="AU119" s="129" t="s">
        <v>423</v>
      </c>
      <c r="AV119" s="129" t="s">
        <v>161</v>
      </c>
      <c r="AW119" s="129" t="s">
        <v>424</v>
      </c>
      <c r="AX119" s="178">
        <v>2</v>
      </c>
      <c r="AY119" s="129" t="s">
        <v>194</v>
      </c>
      <c r="AZ119" s="129" t="s">
        <v>195</v>
      </c>
      <c r="BA119" s="129" t="s">
        <v>425</v>
      </c>
      <c r="BB119" s="129" t="s">
        <v>160</v>
      </c>
      <c r="BC119" s="178">
        <v>2</v>
      </c>
      <c r="BD119" s="129" t="s">
        <v>160</v>
      </c>
      <c r="BE119" s="199">
        <v>21.15</v>
      </c>
      <c r="BF119" s="129" t="s">
        <v>426</v>
      </c>
      <c r="BG119" s="151">
        <v>0.2</v>
      </c>
      <c r="BH119" s="129">
        <v>0.64</v>
      </c>
      <c r="BI119" s="129" t="s">
        <v>427</v>
      </c>
      <c r="BJ119" s="129">
        <v>3.4000000000000002E-2</v>
      </c>
      <c r="BK119" s="129">
        <v>9.1</v>
      </c>
      <c r="BL119" s="129" t="s">
        <v>163</v>
      </c>
      <c r="BM119" s="129">
        <v>0.56000000000000005</v>
      </c>
      <c r="BN119" s="129" t="s">
        <v>428</v>
      </c>
      <c r="BO119" s="129" t="s">
        <v>429</v>
      </c>
      <c r="BP119" s="151">
        <f t="shared" si="16"/>
        <v>20.466666666666665</v>
      </c>
      <c r="BQ119" s="129" t="s">
        <v>202</v>
      </c>
      <c r="BR119" s="217"/>
      <c r="BS119" s="129" t="s">
        <v>160</v>
      </c>
      <c r="BT119" s="129" t="s">
        <v>160</v>
      </c>
      <c r="BU119" s="129">
        <v>10</v>
      </c>
      <c r="BV119" s="129" t="s">
        <v>159</v>
      </c>
      <c r="BW119" s="129">
        <v>10</v>
      </c>
      <c r="BX119" s="145">
        <v>27.35</v>
      </c>
      <c r="BY119" s="129" t="s">
        <v>159</v>
      </c>
      <c r="BZ119" s="129">
        <v>1</v>
      </c>
      <c r="CA119" s="129">
        <v>1</v>
      </c>
      <c r="CB119" s="129" t="s">
        <v>160</v>
      </c>
      <c r="CC119" s="151">
        <v>3.891</v>
      </c>
      <c r="CD119" s="129" t="s">
        <v>430</v>
      </c>
      <c r="CE119" s="151">
        <v>0.15564</v>
      </c>
      <c r="CF119" s="151">
        <v>0.15564</v>
      </c>
      <c r="CG119" s="178" t="s">
        <v>160</v>
      </c>
      <c r="CH119" s="129" t="s">
        <v>431</v>
      </c>
      <c r="CI119" s="129" t="s">
        <v>160</v>
      </c>
      <c r="CJ119" s="129" t="s">
        <v>432</v>
      </c>
      <c r="CK119" s="129" t="s">
        <v>158</v>
      </c>
      <c r="CL119" s="129" t="s">
        <v>158</v>
      </c>
      <c r="CM119" s="129" t="s">
        <v>158</v>
      </c>
      <c r="CN119" s="129" t="s">
        <v>160</v>
      </c>
      <c r="CO119" s="129" t="s">
        <v>160</v>
      </c>
      <c r="CP119" s="129" t="s">
        <v>160</v>
      </c>
      <c r="CQ119" s="129" t="s">
        <v>160</v>
      </c>
      <c r="CR119" s="129" t="s">
        <v>160</v>
      </c>
      <c r="CS119" s="129" t="s">
        <v>160</v>
      </c>
      <c r="CT119" s="129" t="s">
        <v>160</v>
      </c>
      <c r="CU119" s="129">
        <v>35</v>
      </c>
      <c r="CV119" s="129" t="s">
        <v>393</v>
      </c>
      <c r="CW119" s="146">
        <v>1</v>
      </c>
      <c r="CX119" s="129" t="s">
        <v>207</v>
      </c>
      <c r="CY119" s="129">
        <v>1.06E-2</v>
      </c>
      <c r="CZ119" s="129" t="s">
        <v>159</v>
      </c>
      <c r="DA119" s="146">
        <v>0</v>
      </c>
      <c r="DB119" s="129" t="s">
        <v>208</v>
      </c>
      <c r="DC119" s="129">
        <v>5.5100000000000003E-2</v>
      </c>
      <c r="DD119" s="129" t="s">
        <v>159</v>
      </c>
      <c r="DE119" s="146">
        <v>0</v>
      </c>
      <c r="DF119" s="129" t="s">
        <v>208</v>
      </c>
      <c r="DG119" s="129" t="s">
        <v>160</v>
      </c>
      <c r="DH119" s="129" t="s">
        <v>160</v>
      </c>
      <c r="DI119" s="129" t="s">
        <v>160</v>
      </c>
      <c r="DJ119" s="129" t="s">
        <v>160</v>
      </c>
      <c r="DK119" s="145">
        <v>432.56244218316402</v>
      </c>
      <c r="DL119" s="129" t="s">
        <v>433</v>
      </c>
      <c r="DM119" s="145" t="s">
        <v>160</v>
      </c>
      <c r="DN119" s="129" t="s">
        <v>434</v>
      </c>
      <c r="DO119" s="129">
        <v>39.607930000000003</v>
      </c>
      <c r="DP119" s="129" t="s">
        <v>160</v>
      </c>
      <c r="DQ119" s="129">
        <v>2.0399999999938245E-3</v>
      </c>
      <c r="DR119" s="129" t="s">
        <v>435</v>
      </c>
      <c r="DS119" s="129" t="s">
        <v>212</v>
      </c>
      <c r="DT119" s="129" t="s">
        <v>213</v>
      </c>
      <c r="DU119" s="129">
        <v>1.0271999999999999</v>
      </c>
      <c r="DV119" s="129" t="s">
        <v>160</v>
      </c>
      <c r="DW119" s="129" t="s">
        <v>160</v>
      </c>
      <c r="DX119" s="129" t="s">
        <v>436</v>
      </c>
      <c r="DY119" s="129" t="s">
        <v>158</v>
      </c>
      <c r="DZ119" s="129" t="s">
        <v>158</v>
      </c>
      <c r="EA119" s="129" t="s">
        <v>216</v>
      </c>
      <c r="EB119" s="129" t="s">
        <v>212</v>
      </c>
      <c r="EC119" s="129" t="s">
        <v>212</v>
      </c>
      <c r="ED119" s="129" t="s">
        <v>212</v>
      </c>
      <c r="EE119" s="129" t="s">
        <v>217</v>
      </c>
      <c r="EF119" s="147" t="s">
        <v>213</v>
      </c>
      <c r="EG119" s="148" t="s">
        <v>213</v>
      </c>
      <c r="EH119" s="129" t="s">
        <v>218</v>
      </c>
      <c r="EI119" s="129" t="s">
        <v>417</v>
      </c>
      <c r="EJ119" s="129" t="s">
        <v>160</v>
      </c>
      <c r="EK119" s="129">
        <v>1999.6950000000002</v>
      </c>
      <c r="EL119" s="129" t="s">
        <v>163</v>
      </c>
      <c r="EM119" s="129">
        <v>0.25499999999978662</v>
      </c>
      <c r="EN119" s="129">
        <v>0.25600000000012768</v>
      </c>
      <c r="EO119" s="129" t="s">
        <v>160</v>
      </c>
      <c r="EP119" s="129" t="s">
        <v>160</v>
      </c>
      <c r="EQ119" s="129" t="s">
        <v>160</v>
      </c>
      <c r="ER119" s="129" t="s">
        <v>160</v>
      </c>
      <c r="ES119" s="201">
        <v>8.2138899999999992</v>
      </c>
      <c r="ET119" s="129" t="s">
        <v>165</v>
      </c>
      <c r="EU119" s="151">
        <v>3.020400000000123E-2</v>
      </c>
      <c r="EV119" s="151">
        <v>2.9805999999998889E-2</v>
      </c>
      <c r="EW119" s="142" t="s">
        <v>160</v>
      </c>
      <c r="EX119" s="129" t="s">
        <v>160</v>
      </c>
      <c r="EY119" s="129" t="s">
        <v>160</v>
      </c>
      <c r="EZ119" s="191">
        <v>220.21519999999998</v>
      </c>
      <c r="FA119" s="191">
        <v>19.346300000000014</v>
      </c>
      <c r="FB119" s="191">
        <v>18.307099999999991</v>
      </c>
      <c r="FC119" s="129" t="s">
        <v>220</v>
      </c>
      <c r="FD119" s="129" t="s">
        <v>221</v>
      </c>
      <c r="FE119" s="129">
        <v>2400.5070000000001</v>
      </c>
      <c r="FF119" s="129">
        <v>30.03899999999976</v>
      </c>
      <c r="FG119" s="129">
        <v>29.998000000000047</v>
      </c>
      <c r="FH119" s="129" t="s">
        <v>160</v>
      </c>
      <c r="FI119" s="129" t="s">
        <v>160</v>
      </c>
      <c r="FJ119" s="129" t="s">
        <v>160</v>
      </c>
      <c r="FK119" s="129" t="s">
        <v>160</v>
      </c>
      <c r="FL119" s="129" t="s">
        <v>160</v>
      </c>
      <c r="FM119" s="129" t="s">
        <v>160</v>
      </c>
      <c r="FN119" s="151">
        <v>5.1928989999999997</v>
      </c>
      <c r="FO119" s="151">
        <v>0.22568100000000069</v>
      </c>
      <c r="FP119" s="151">
        <v>0.21297500000000014</v>
      </c>
      <c r="FQ119" s="178" t="s">
        <v>419</v>
      </c>
      <c r="FR119" s="129" t="s">
        <v>415</v>
      </c>
      <c r="FS119" s="129">
        <v>2017</v>
      </c>
      <c r="FT119" s="131" t="s">
        <v>416</v>
      </c>
    </row>
    <row r="120" spans="1:176" s="129" customFormat="1">
      <c r="A120" s="129" t="s">
        <v>152</v>
      </c>
      <c r="B120" s="166" t="s">
        <v>183</v>
      </c>
      <c r="C120" s="166">
        <v>2018</v>
      </c>
      <c r="D120" s="166" t="s">
        <v>184</v>
      </c>
      <c r="E120" s="145">
        <f t="shared" si="14"/>
        <v>17.260000000000002</v>
      </c>
      <c r="F120" s="129">
        <f t="shared" si="15"/>
        <v>2</v>
      </c>
      <c r="G120" s="129">
        <f t="shared" si="15"/>
        <v>2</v>
      </c>
      <c r="H120" s="191">
        <v>223.2302</v>
      </c>
      <c r="I120" s="191">
        <v>19.113</v>
      </c>
      <c r="J120" s="191">
        <v>17.475500000000011</v>
      </c>
      <c r="K120" s="129" t="s">
        <v>457</v>
      </c>
      <c r="L120" s="131" t="s">
        <v>185</v>
      </c>
      <c r="M120" s="132" t="s">
        <v>186</v>
      </c>
      <c r="N120" s="129" t="s">
        <v>184</v>
      </c>
      <c r="O120" s="129" t="s">
        <v>420</v>
      </c>
      <c r="P120" s="129" t="s">
        <v>156</v>
      </c>
      <c r="Q120" s="129">
        <v>1</v>
      </c>
      <c r="R120" s="129">
        <v>1</v>
      </c>
      <c r="S120" s="129">
        <v>71</v>
      </c>
      <c r="T120" s="129">
        <v>73</v>
      </c>
      <c r="U120" s="199">
        <v>0.71</v>
      </c>
      <c r="V120" s="199">
        <v>0.71</v>
      </c>
      <c r="W120" s="129" t="s">
        <v>160</v>
      </c>
      <c r="X120" s="129" t="s">
        <v>421</v>
      </c>
      <c r="Y120" s="200">
        <v>12.74</v>
      </c>
      <c r="Z120" s="200">
        <v>-78.739999999999995</v>
      </c>
      <c r="AA120" s="129" t="s">
        <v>160</v>
      </c>
      <c r="AB120" s="129" t="s">
        <v>160</v>
      </c>
      <c r="AC120" s="129">
        <v>-2839</v>
      </c>
      <c r="AD120" s="129" t="s">
        <v>160</v>
      </c>
      <c r="AE120" s="129" t="s">
        <v>160</v>
      </c>
      <c r="AF120" s="129" t="s">
        <v>160</v>
      </c>
      <c r="AG120" s="145">
        <v>17.260000000000002</v>
      </c>
      <c r="AH120" s="129" t="s">
        <v>163</v>
      </c>
      <c r="AI120" s="129">
        <v>2</v>
      </c>
      <c r="AJ120" s="129">
        <v>2</v>
      </c>
      <c r="AK120" s="129" t="s">
        <v>160</v>
      </c>
      <c r="AL120" s="129" t="s">
        <v>422</v>
      </c>
      <c r="AM120" s="129" t="s">
        <v>160</v>
      </c>
      <c r="AN120" s="129" t="s">
        <v>160</v>
      </c>
      <c r="AO120" s="129" t="s">
        <v>160</v>
      </c>
      <c r="AP120" s="129" t="s">
        <v>160</v>
      </c>
      <c r="AQ120" s="129" t="s">
        <v>160</v>
      </c>
      <c r="AR120" s="129" t="s">
        <v>160</v>
      </c>
      <c r="AS120" s="129" t="s">
        <v>160</v>
      </c>
      <c r="AT120" s="129" t="s">
        <v>160</v>
      </c>
      <c r="AU120" s="129" t="s">
        <v>423</v>
      </c>
      <c r="AV120" s="129" t="s">
        <v>161</v>
      </c>
      <c r="AW120" s="129" t="s">
        <v>424</v>
      </c>
      <c r="AX120" s="178">
        <v>2</v>
      </c>
      <c r="AY120" s="129" t="s">
        <v>194</v>
      </c>
      <c r="AZ120" s="129" t="s">
        <v>195</v>
      </c>
      <c r="BA120" s="129" t="s">
        <v>425</v>
      </c>
      <c r="BB120" s="129" t="s">
        <v>160</v>
      </c>
      <c r="BC120" s="178">
        <v>2</v>
      </c>
      <c r="BD120" s="129" t="s">
        <v>160</v>
      </c>
      <c r="BE120" s="199">
        <v>21.04</v>
      </c>
      <c r="BF120" s="129" t="s">
        <v>426</v>
      </c>
      <c r="BG120" s="151">
        <v>0.16</v>
      </c>
      <c r="BH120" s="129">
        <v>0.64</v>
      </c>
      <c r="BI120" s="129" t="s">
        <v>427</v>
      </c>
      <c r="BJ120" s="129">
        <v>3.4000000000000002E-2</v>
      </c>
      <c r="BK120" s="129">
        <v>9.1</v>
      </c>
      <c r="BL120" s="129" t="s">
        <v>163</v>
      </c>
      <c r="BM120" s="129">
        <v>0.56000000000000005</v>
      </c>
      <c r="BN120" s="129" t="s">
        <v>428</v>
      </c>
      <c r="BO120" s="129" t="s">
        <v>429</v>
      </c>
      <c r="BP120" s="151">
        <f t="shared" si="16"/>
        <v>20.283333333333335</v>
      </c>
      <c r="BQ120" s="129" t="s">
        <v>202</v>
      </c>
      <c r="BR120" s="217"/>
      <c r="BS120" s="129" t="s">
        <v>160</v>
      </c>
      <c r="BT120" s="129" t="s">
        <v>160</v>
      </c>
      <c r="BU120" s="129">
        <v>10</v>
      </c>
      <c r="BV120" s="129" t="s">
        <v>159</v>
      </c>
      <c r="BW120" s="129">
        <v>10</v>
      </c>
      <c r="BX120" s="145">
        <v>26.5</v>
      </c>
      <c r="BY120" s="129" t="s">
        <v>159</v>
      </c>
      <c r="BZ120" s="129">
        <v>1</v>
      </c>
      <c r="CA120" s="129">
        <v>1</v>
      </c>
      <c r="CB120" s="129" t="s">
        <v>160</v>
      </c>
      <c r="CC120" s="151">
        <v>3.8540000000000001</v>
      </c>
      <c r="CD120" s="129" t="s">
        <v>430</v>
      </c>
      <c r="CE120" s="151">
        <v>0.15416000000000002</v>
      </c>
      <c r="CF120" s="151">
        <v>0.15416000000000002</v>
      </c>
      <c r="CG120" s="178" t="s">
        <v>160</v>
      </c>
      <c r="CH120" s="129" t="s">
        <v>431</v>
      </c>
      <c r="CI120" s="129" t="s">
        <v>160</v>
      </c>
      <c r="CJ120" s="129" t="s">
        <v>432</v>
      </c>
      <c r="CK120" s="129" t="s">
        <v>158</v>
      </c>
      <c r="CL120" s="129" t="s">
        <v>158</v>
      </c>
      <c r="CM120" s="129" t="s">
        <v>158</v>
      </c>
      <c r="CN120" s="129" t="s">
        <v>160</v>
      </c>
      <c r="CO120" s="129" t="s">
        <v>160</v>
      </c>
      <c r="CP120" s="129" t="s">
        <v>160</v>
      </c>
      <c r="CQ120" s="129" t="s">
        <v>160</v>
      </c>
      <c r="CR120" s="129" t="s">
        <v>160</v>
      </c>
      <c r="CS120" s="129" t="s">
        <v>160</v>
      </c>
      <c r="CT120" s="129" t="s">
        <v>160</v>
      </c>
      <c r="CU120" s="129">
        <v>35</v>
      </c>
      <c r="CV120" s="129" t="s">
        <v>393</v>
      </c>
      <c r="CW120" s="146">
        <v>1</v>
      </c>
      <c r="CX120" s="129" t="s">
        <v>207</v>
      </c>
      <c r="CY120" s="129">
        <v>1.06E-2</v>
      </c>
      <c r="CZ120" s="129" t="s">
        <v>159</v>
      </c>
      <c r="DA120" s="146">
        <v>0</v>
      </c>
      <c r="DB120" s="129" t="s">
        <v>208</v>
      </c>
      <c r="DC120" s="129">
        <v>5.5100000000000003E-2</v>
      </c>
      <c r="DD120" s="129" t="s">
        <v>159</v>
      </c>
      <c r="DE120" s="146">
        <v>0</v>
      </c>
      <c r="DF120" s="129" t="s">
        <v>208</v>
      </c>
      <c r="DG120" s="129" t="s">
        <v>160</v>
      </c>
      <c r="DH120" s="129" t="s">
        <v>160</v>
      </c>
      <c r="DI120" s="129" t="s">
        <v>160</v>
      </c>
      <c r="DJ120" s="129" t="s">
        <v>160</v>
      </c>
      <c r="DK120" s="145">
        <v>432.56244218316402</v>
      </c>
      <c r="DL120" s="129" t="s">
        <v>433</v>
      </c>
      <c r="DM120" s="145" t="s">
        <v>160</v>
      </c>
      <c r="DN120" s="129" t="s">
        <v>434</v>
      </c>
      <c r="DO120" s="129">
        <v>39.607709999999997</v>
      </c>
      <c r="DP120" s="129" t="s">
        <v>160</v>
      </c>
      <c r="DQ120" s="129">
        <v>2.3100000000013665E-3</v>
      </c>
      <c r="DR120" s="129" t="s">
        <v>435</v>
      </c>
      <c r="DS120" s="129" t="s">
        <v>212</v>
      </c>
      <c r="DT120" s="129" t="s">
        <v>213</v>
      </c>
      <c r="DU120" s="129">
        <v>1.0271999999999999</v>
      </c>
      <c r="DV120" s="129" t="s">
        <v>160</v>
      </c>
      <c r="DW120" s="129" t="s">
        <v>160</v>
      </c>
      <c r="DX120" s="129" t="s">
        <v>436</v>
      </c>
      <c r="DY120" s="129" t="s">
        <v>158</v>
      </c>
      <c r="DZ120" s="129" t="s">
        <v>158</v>
      </c>
      <c r="EA120" s="129" t="s">
        <v>216</v>
      </c>
      <c r="EB120" s="129" t="s">
        <v>212</v>
      </c>
      <c r="EC120" s="129" t="s">
        <v>212</v>
      </c>
      <c r="ED120" s="129" t="s">
        <v>212</v>
      </c>
      <c r="EE120" s="129" t="s">
        <v>217</v>
      </c>
      <c r="EF120" s="147" t="s">
        <v>213</v>
      </c>
      <c r="EG120" s="148" t="s">
        <v>213</v>
      </c>
      <c r="EH120" s="129" t="s">
        <v>218</v>
      </c>
      <c r="EI120" s="129" t="s">
        <v>417</v>
      </c>
      <c r="EJ120" s="129" t="s">
        <v>160</v>
      </c>
      <c r="EK120" s="129">
        <v>1999.654</v>
      </c>
      <c r="EL120" s="129" t="s">
        <v>163</v>
      </c>
      <c r="EM120" s="129">
        <v>0.28500000000004216</v>
      </c>
      <c r="EN120" s="129">
        <v>0.28500000000004216</v>
      </c>
      <c r="EO120" s="129" t="s">
        <v>160</v>
      </c>
      <c r="EP120" s="129" t="s">
        <v>160</v>
      </c>
      <c r="EQ120" s="129" t="s">
        <v>160</v>
      </c>
      <c r="ER120" s="129" t="s">
        <v>160</v>
      </c>
      <c r="ES120" s="201">
        <v>8.2094609999999992</v>
      </c>
      <c r="ET120" s="129" t="s">
        <v>165</v>
      </c>
      <c r="EU120" s="151">
        <v>2.8602000000001127E-2</v>
      </c>
      <c r="EV120" s="151">
        <v>2.8972999999998805E-2</v>
      </c>
      <c r="EW120" s="142" t="s">
        <v>160</v>
      </c>
      <c r="EX120" s="129" t="s">
        <v>160</v>
      </c>
      <c r="EY120" s="129" t="s">
        <v>160</v>
      </c>
      <c r="EZ120" s="191">
        <v>223.2302</v>
      </c>
      <c r="FA120" s="191">
        <v>19.113</v>
      </c>
      <c r="FB120" s="191">
        <v>17.475500000000011</v>
      </c>
      <c r="FC120" s="129" t="s">
        <v>220</v>
      </c>
      <c r="FD120" s="129" t="s">
        <v>221</v>
      </c>
      <c r="FE120" s="129">
        <v>2386.1260000000002</v>
      </c>
      <c r="FF120" s="129">
        <v>27.504999999999654</v>
      </c>
      <c r="FG120" s="129">
        <v>28.191000000000258</v>
      </c>
      <c r="FH120" s="129" t="s">
        <v>160</v>
      </c>
      <c r="FI120" s="129" t="s">
        <v>160</v>
      </c>
      <c r="FJ120" s="129" t="s">
        <v>160</v>
      </c>
      <c r="FK120" s="129" t="s">
        <v>160</v>
      </c>
      <c r="FL120" s="129" t="s">
        <v>160</v>
      </c>
      <c r="FM120" s="129" t="s">
        <v>160</v>
      </c>
      <c r="FN120" s="151">
        <v>4.9904500000000001</v>
      </c>
      <c r="FO120" s="151">
        <v>0.19537599999999955</v>
      </c>
      <c r="FP120" s="151">
        <v>0.19280000000000008</v>
      </c>
      <c r="FQ120" s="178" t="s">
        <v>419</v>
      </c>
      <c r="FR120" s="129" t="s">
        <v>415</v>
      </c>
      <c r="FS120" s="129">
        <v>2017</v>
      </c>
      <c r="FT120" s="131" t="s">
        <v>416</v>
      </c>
    </row>
    <row r="121" spans="1:176" s="129" customFormat="1">
      <c r="A121" s="129" t="s">
        <v>152</v>
      </c>
      <c r="B121" s="166" t="s">
        <v>183</v>
      </c>
      <c r="C121" s="166">
        <v>2018</v>
      </c>
      <c r="D121" s="166" t="s">
        <v>184</v>
      </c>
      <c r="E121" s="145">
        <f t="shared" si="14"/>
        <v>19.190000000000001</v>
      </c>
      <c r="F121" s="129">
        <f t="shared" si="15"/>
        <v>2</v>
      </c>
      <c r="G121" s="129">
        <f t="shared" si="15"/>
        <v>2</v>
      </c>
      <c r="H121" s="191">
        <v>166.35940000000002</v>
      </c>
      <c r="I121" s="191">
        <v>15.315299999999979</v>
      </c>
      <c r="J121" s="191">
        <v>14.081200000000024</v>
      </c>
      <c r="K121" s="129" t="s">
        <v>457</v>
      </c>
      <c r="L121" s="131" t="s">
        <v>185</v>
      </c>
      <c r="M121" s="132" t="s">
        <v>186</v>
      </c>
      <c r="N121" s="129" t="s">
        <v>184</v>
      </c>
      <c r="O121" s="129" t="s">
        <v>420</v>
      </c>
      <c r="P121" s="129" t="s">
        <v>156</v>
      </c>
      <c r="Q121" s="129">
        <v>1</v>
      </c>
      <c r="R121" s="129">
        <v>1</v>
      </c>
      <c r="S121" s="129">
        <v>82</v>
      </c>
      <c r="T121" s="129">
        <v>84</v>
      </c>
      <c r="U121" s="199">
        <v>0.82</v>
      </c>
      <c r="V121" s="199">
        <v>0.82</v>
      </c>
      <c r="W121" s="129" t="s">
        <v>160</v>
      </c>
      <c r="X121" s="129" t="s">
        <v>421</v>
      </c>
      <c r="Y121" s="200">
        <v>12.74</v>
      </c>
      <c r="Z121" s="200">
        <v>-78.739999999999995</v>
      </c>
      <c r="AA121" s="129" t="s">
        <v>160</v>
      </c>
      <c r="AB121" s="129" t="s">
        <v>160</v>
      </c>
      <c r="AC121" s="129">
        <v>-2839</v>
      </c>
      <c r="AD121" s="129" t="s">
        <v>160</v>
      </c>
      <c r="AE121" s="129" t="s">
        <v>160</v>
      </c>
      <c r="AF121" s="129" t="s">
        <v>160</v>
      </c>
      <c r="AG121" s="145">
        <v>19.190000000000001</v>
      </c>
      <c r="AH121" s="129" t="s">
        <v>163</v>
      </c>
      <c r="AI121" s="129">
        <v>2</v>
      </c>
      <c r="AJ121" s="129">
        <v>2</v>
      </c>
      <c r="AK121" s="129" t="s">
        <v>160</v>
      </c>
      <c r="AL121" s="129" t="s">
        <v>422</v>
      </c>
      <c r="AM121" s="129" t="s">
        <v>160</v>
      </c>
      <c r="AN121" s="129" t="s">
        <v>160</v>
      </c>
      <c r="AO121" s="129" t="s">
        <v>160</v>
      </c>
      <c r="AP121" s="129" t="s">
        <v>160</v>
      </c>
      <c r="AQ121" s="129" t="s">
        <v>160</v>
      </c>
      <c r="AR121" s="129" t="s">
        <v>160</v>
      </c>
      <c r="AS121" s="129" t="s">
        <v>160</v>
      </c>
      <c r="AT121" s="129" t="s">
        <v>160</v>
      </c>
      <c r="AU121" s="129" t="s">
        <v>423</v>
      </c>
      <c r="AV121" s="129" t="s">
        <v>161</v>
      </c>
      <c r="AW121" s="129" t="s">
        <v>424</v>
      </c>
      <c r="AX121" s="178">
        <v>2</v>
      </c>
      <c r="AY121" s="129" t="s">
        <v>194</v>
      </c>
      <c r="AZ121" s="129" t="s">
        <v>195</v>
      </c>
      <c r="BA121" s="129" t="s">
        <v>425</v>
      </c>
      <c r="BB121" s="129" t="s">
        <v>160</v>
      </c>
      <c r="BC121" s="178">
        <v>2</v>
      </c>
      <c r="BD121" s="129" t="s">
        <v>160</v>
      </c>
      <c r="BE121" s="199">
        <v>21.75</v>
      </c>
      <c r="BF121" s="129" t="s">
        <v>426</v>
      </c>
      <c r="BG121" s="151">
        <v>0.2</v>
      </c>
      <c r="BH121" s="129">
        <v>0.64</v>
      </c>
      <c r="BI121" s="129" t="s">
        <v>427</v>
      </c>
      <c r="BJ121" s="129">
        <v>3.4000000000000002E-2</v>
      </c>
      <c r="BK121" s="129">
        <v>9.1</v>
      </c>
      <c r="BL121" s="129" t="s">
        <v>163</v>
      </c>
      <c r="BM121" s="129">
        <v>0.56000000000000005</v>
      </c>
      <c r="BN121" s="129" t="s">
        <v>428</v>
      </c>
      <c r="BO121" s="129" t="s">
        <v>429</v>
      </c>
      <c r="BP121" s="151">
        <f t="shared" si="16"/>
        <v>21.466666666666669</v>
      </c>
      <c r="BQ121" s="129" t="s">
        <v>202</v>
      </c>
      <c r="BR121" s="217"/>
      <c r="BS121" s="129" t="s">
        <v>160</v>
      </c>
      <c r="BT121" s="129" t="s">
        <v>160</v>
      </c>
      <c r="BU121" s="129">
        <v>10</v>
      </c>
      <c r="BV121" s="129" t="s">
        <v>159</v>
      </c>
      <c r="BW121" s="129">
        <v>10</v>
      </c>
      <c r="BX121" s="145">
        <v>25.99</v>
      </c>
      <c r="BY121" s="129" t="s">
        <v>159</v>
      </c>
      <c r="BZ121" s="129">
        <v>1</v>
      </c>
      <c r="CA121" s="129">
        <v>1</v>
      </c>
      <c r="CB121" s="129" t="s">
        <v>160</v>
      </c>
      <c r="CC121" s="151">
        <v>3.6720000000000002</v>
      </c>
      <c r="CD121" s="129" t="s">
        <v>430</v>
      </c>
      <c r="CE121" s="151">
        <v>0.14688000000000001</v>
      </c>
      <c r="CF121" s="151">
        <v>0.14688000000000001</v>
      </c>
      <c r="CG121" s="178" t="s">
        <v>160</v>
      </c>
      <c r="CH121" s="129" t="s">
        <v>431</v>
      </c>
      <c r="CI121" s="129" t="s">
        <v>160</v>
      </c>
      <c r="CJ121" s="129" t="s">
        <v>432</v>
      </c>
      <c r="CK121" s="129" t="s">
        <v>158</v>
      </c>
      <c r="CL121" s="129" t="s">
        <v>158</v>
      </c>
      <c r="CM121" s="129" t="s">
        <v>158</v>
      </c>
      <c r="CN121" s="129" t="s">
        <v>160</v>
      </c>
      <c r="CO121" s="129" t="s">
        <v>160</v>
      </c>
      <c r="CP121" s="129" t="s">
        <v>160</v>
      </c>
      <c r="CQ121" s="129" t="s">
        <v>160</v>
      </c>
      <c r="CR121" s="129" t="s">
        <v>160</v>
      </c>
      <c r="CS121" s="129" t="s">
        <v>160</v>
      </c>
      <c r="CT121" s="129" t="s">
        <v>160</v>
      </c>
      <c r="CU121" s="129">
        <v>35</v>
      </c>
      <c r="CV121" s="129" t="s">
        <v>393</v>
      </c>
      <c r="CW121" s="146">
        <v>1</v>
      </c>
      <c r="CX121" s="129" t="s">
        <v>207</v>
      </c>
      <c r="CY121" s="129">
        <v>1.06E-2</v>
      </c>
      <c r="CZ121" s="129" t="s">
        <v>159</v>
      </c>
      <c r="DA121" s="146">
        <v>0</v>
      </c>
      <c r="DB121" s="129" t="s">
        <v>208</v>
      </c>
      <c r="DC121" s="129">
        <v>5.5100000000000003E-2</v>
      </c>
      <c r="DD121" s="129" t="s">
        <v>159</v>
      </c>
      <c r="DE121" s="146">
        <v>0</v>
      </c>
      <c r="DF121" s="129" t="s">
        <v>208</v>
      </c>
      <c r="DG121" s="129" t="s">
        <v>160</v>
      </c>
      <c r="DH121" s="129" t="s">
        <v>160</v>
      </c>
      <c r="DI121" s="129" t="s">
        <v>160</v>
      </c>
      <c r="DJ121" s="129" t="s">
        <v>160</v>
      </c>
      <c r="DK121" s="145">
        <v>432.56244218316402</v>
      </c>
      <c r="DL121" s="129" t="s">
        <v>433</v>
      </c>
      <c r="DM121" s="145" t="s">
        <v>160</v>
      </c>
      <c r="DN121" s="129" t="s">
        <v>434</v>
      </c>
      <c r="DO121" s="129">
        <v>39.607410000000002</v>
      </c>
      <c r="DP121" s="129" t="s">
        <v>160</v>
      </c>
      <c r="DQ121" s="129">
        <v>2.6000000000010459E-3</v>
      </c>
      <c r="DR121" s="129" t="s">
        <v>435</v>
      </c>
      <c r="DS121" s="129" t="s">
        <v>212</v>
      </c>
      <c r="DT121" s="129" t="s">
        <v>213</v>
      </c>
      <c r="DU121" s="129">
        <v>1.0271999999999999</v>
      </c>
      <c r="DV121" s="129" t="s">
        <v>160</v>
      </c>
      <c r="DW121" s="129" t="s">
        <v>160</v>
      </c>
      <c r="DX121" s="129" t="s">
        <v>436</v>
      </c>
      <c r="DY121" s="129" t="s">
        <v>158</v>
      </c>
      <c r="DZ121" s="129" t="s">
        <v>158</v>
      </c>
      <c r="EA121" s="129" t="s">
        <v>216</v>
      </c>
      <c r="EB121" s="129" t="s">
        <v>212</v>
      </c>
      <c r="EC121" s="129" t="s">
        <v>212</v>
      </c>
      <c r="ED121" s="129" t="s">
        <v>212</v>
      </c>
      <c r="EE121" s="129" t="s">
        <v>217</v>
      </c>
      <c r="EF121" s="147" t="s">
        <v>213</v>
      </c>
      <c r="EG121" s="148" t="s">
        <v>213</v>
      </c>
      <c r="EH121" s="129" t="s">
        <v>218</v>
      </c>
      <c r="EI121" s="129" t="s">
        <v>417</v>
      </c>
      <c r="EJ121" s="129" t="s">
        <v>160</v>
      </c>
      <c r="EK121" s="129">
        <v>1999.6110000000001</v>
      </c>
      <c r="EL121" s="129" t="s">
        <v>163</v>
      </c>
      <c r="EM121" s="129">
        <v>0.32299999999998996</v>
      </c>
      <c r="EN121" s="129">
        <v>0.31200000000014205</v>
      </c>
      <c r="EO121" s="129" t="s">
        <v>160</v>
      </c>
      <c r="EP121" s="129" t="s">
        <v>160</v>
      </c>
      <c r="EQ121" s="129" t="s">
        <v>160</v>
      </c>
      <c r="ER121" s="129" t="s">
        <v>160</v>
      </c>
      <c r="ES121" s="201">
        <v>8.3042029999999993</v>
      </c>
      <c r="ET121" s="129" t="s">
        <v>165</v>
      </c>
      <c r="EU121" s="151">
        <v>2.9367000000000587E-2</v>
      </c>
      <c r="EV121" s="151">
        <v>2.9361999999999E-2</v>
      </c>
      <c r="EW121" s="142" t="s">
        <v>160</v>
      </c>
      <c r="EX121" s="129" t="s">
        <v>160</v>
      </c>
      <c r="EY121" s="129" t="s">
        <v>160</v>
      </c>
      <c r="EZ121" s="191">
        <v>166.35940000000002</v>
      </c>
      <c r="FA121" s="191">
        <v>15.315299999999979</v>
      </c>
      <c r="FB121" s="191">
        <v>14.081200000000024</v>
      </c>
      <c r="FC121" s="129" t="s">
        <v>220</v>
      </c>
      <c r="FD121" s="129" t="s">
        <v>221</v>
      </c>
      <c r="FE121" s="129">
        <v>2462.1849999999999</v>
      </c>
      <c r="FF121" s="129">
        <v>31.024000000000342</v>
      </c>
      <c r="FG121" s="129">
        <v>30.718999999999596</v>
      </c>
      <c r="FH121" s="129" t="s">
        <v>160</v>
      </c>
      <c r="FI121" s="129" t="s">
        <v>160</v>
      </c>
      <c r="FJ121" s="129" t="s">
        <v>160</v>
      </c>
      <c r="FK121" s="129" t="s">
        <v>160</v>
      </c>
      <c r="FL121" s="129" t="s">
        <v>160</v>
      </c>
      <c r="FM121" s="129" t="s">
        <v>160</v>
      </c>
      <c r="FN121" s="151">
        <v>5.873767</v>
      </c>
      <c r="FO121" s="151">
        <v>0.23515900000000034</v>
      </c>
      <c r="FP121" s="151">
        <v>0.22959900000000033</v>
      </c>
      <c r="FQ121" s="178" t="s">
        <v>419</v>
      </c>
      <c r="FR121" s="129" t="s">
        <v>415</v>
      </c>
      <c r="FS121" s="129">
        <v>2017</v>
      </c>
      <c r="FT121" s="131" t="s">
        <v>416</v>
      </c>
    </row>
    <row r="122" spans="1:176" s="129" customFormat="1">
      <c r="A122" s="129" t="s">
        <v>152</v>
      </c>
      <c r="B122" s="166" t="s">
        <v>183</v>
      </c>
      <c r="C122" s="166">
        <v>2018</v>
      </c>
      <c r="D122" s="166" t="s">
        <v>184</v>
      </c>
      <c r="E122" s="145">
        <f t="shared" si="14"/>
        <v>21.12</v>
      </c>
      <c r="F122" s="129">
        <f t="shared" si="15"/>
        <v>2</v>
      </c>
      <c r="G122" s="129">
        <f t="shared" si="15"/>
        <v>2</v>
      </c>
      <c r="H122" s="191">
        <v>201.24610000000001</v>
      </c>
      <c r="I122" s="191">
        <v>16.660799999999995</v>
      </c>
      <c r="J122" s="191">
        <v>15.533700000000039</v>
      </c>
      <c r="K122" s="129" t="s">
        <v>457</v>
      </c>
      <c r="L122" s="131" t="s">
        <v>185</v>
      </c>
      <c r="M122" s="132" t="s">
        <v>186</v>
      </c>
      <c r="N122" s="129" t="s">
        <v>184</v>
      </c>
      <c r="O122" s="129" t="s">
        <v>420</v>
      </c>
      <c r="P122" s="129" t="s">
        <v>156</v>
      </c>
      <c r="Q122" s="129">
        <v>1</v>
      </c>
      <c r="R122" s="129">
        <v>1</v>
      </c>
      <c r="S122" s="129">
        <v>93</v>
      </c>
      <c r="T122" s="129">
        <v>95</v>
      </c>
      <c r="U122" s="199">
        <v>0.93</v>
      </c>
      <c r="V122" s="199">
        <v>0.93</v>
      </c>
      <c r="W122" s="129" t="s">
        <v>160</v>
      </c>
      <c r="X122" s="129" t="s">
        <v>421</v>
      </c>
      <c r="Y122" s="200">
        <v>12.74</v>
      </c>
      <c r="Z122" s="200">
        <v>-78.739999999999995</v>
      </c>
      <c r="AA122" s="129" t="s">
        <v>160</v>
      </c>
      <c r="AB122" s="129" t="s">
        <v>160</v>
      </c>
      <c r="AC122" s="129">
        <v>-2839</v>
      </c>
      <c r="AD122" s="129" t="s">
        <v>160</v>
      </c>
      <c r="AE122" s="129" t="s">
        <v>160</v>
      </c>
      <c r="AF122" s="129" t="s">
        <v>160</v>
      </c>
      <c r="AG122" s="145">
        <v>21.12</v>
      </c>
      <c r="AH122" s="129" t="s">
        <v>163</v>
      </c>
      <c r="AI122" s="129">
        <v>2</v>
      </c>
      <c r="AJ122" s="129">
        <v>2</v>
      </c>
      <c r="AK122" s="129" t="s">
        <v>160</v>
      </c>
      <c r="AL122" s="129" t="s">
        <v>422</v>
      </c>
      <c r="AM122" s="129" t="s">
        <v>160</v>
      </c>
      <c r="AN122" s="129" t="s">
        <v>160</v>
      </c>
      <c r="AO122" s="129" t="s">
        <v>160</v>
      </c>
      <c r="AP122" s="129" t="s">
        <v>160</v>
      </c>
      <c r="AQ122" s="129" t="s">
        <v>160</v>
      </c>
      <c r="AR122" s="129" t="s">
        <v>160</v>
      </c>
      <c r="AS122" s="129" t="s">
        <v>160</v>
      </c>
      <c r="AT122" s="129" t="s">
        <v>160</v>
      </c>
      <c r="AU122" s="129" t="s">
        <v>423</v>
      </c>
      <c r="AV122" s="129" t="s">
        <v>161</v>
      </c>
      <c r="AW122" s="129" t="s">
        <v>424</v>
      </c>
      <c r="AX122" s="178">
        <v>2</v>
      </c>
      <c r="AY122" s="129" t="s">
        <v>194</v>
      </c>
      <c r="AZ122" s="129" t="s">
        <v>195</v>
      </c>
      <c r="BA122" s="129" t="s">
        <v>425</v>
      </c>
      <c r="BB122" s="129" t="s">
        <v>160</v>
      </c>
      <c r="BC122" s="178">
        <v>2</v>
      </c>
      <c r="BD122" s="129" t="s">
        <v>160</v>
      </c>
      <c r="BE122" s="199">
        <v>21.23</v>
      </c>
      <c r="BF122" s="129" t="s">
        <v>426</v>
      </c>
      <c r="BG122" s="151">
        <v>0.14000000000000001</v>
      </c>
      <c r="BH122" s="129">
        <v>0.64</v>
      </c>
      <c r="BI122" s="129" t="s">
        <v>427</v>
      </c>
      <c r="BJ122" s="129">
        <v>3.4000000000000002E-2</v>
      </c>
      <c r="BK122" s="129">
        <v>9.1</v>
      </c>
      <c r="BL122" s="129" t="s">
        <v>163</v>
      </c>
      <c r="BM122" s="129">
        <v>0.56000000000000005</v>
      </c>
      <c r="BN122" s="129" t="s">
        <v>428</v>
      </c>
      <c r="BO122" s="129" t="s">
        <v>429</v>
      </c>
      <c r="BP122" s="151">
        <f t="shared" si="16"/>
        <v>20.6</v>
      </c>
      <c r="BQ122" s="129" t="s">
        <v>202</v>
      </c>
      <c r="BR122" s="217"/>
      <c r="BS122" s="129" t="s">
        <v>160</v>
      </c>
      <c r="BT122" s="129" t="s">
        <v>160</v>
      </c>
      <c r="BU122" s="129">
        <v>10</v>
      </c>
      <c r="BV122" s="129" t="s">
        <v>159</v>
      </c>
      <c r="BW122" s="129">
        <v>10</v>
      </c>
      <c r="BX122" s="145">
        <v>25.68</v>
      </c>
      <c r="BY122" s="129" t="s">
        <v>159</v>
      </c>
      <c r="BZ122" s="129">
        <v>1</v>
      </c>
      <c r="CA122" s="129">
        <v>1</v>
      </c>
      <c r="CB122" s="129" t="s">
        <v>160</v>
      </c>
      <c r="CC122" s="151">
        <v>3.718</v>
      </c>
      <c r="CD122" s="129" t="s">
        <v>430</v>
      </c>
      <c r="CE122" s="151">
        <v>0.14871999999999999</v>
      </c>
      <c r="CF122" s="151">
        <v>0.14871999999999999</v>
      </c>
      <c r="CG122" s="178" t="s">
        <v>160</v>
      </c>
      <c r="CH122" s="129" t="s">
        <v>431</v>
      </c>
      <c r="CI122" s="129" t="s">
        <v>160</v>
      </c>
      <c r="CJ122" s="129" t="s">
        <v>432</v>
      </c>
      <c r="CK122" s="129" t="s">
        <v>158</v>
      </c>
      <c r="CL122" s="129" t="s">
        <v>158</v>
      </c>
      <c r="CM122" s="129" t="s">
        <v>158</v>
      </c>
      <c r="CN122" s="129" t="s">
        <v>160</v>
      </c>
      <c r="CO122" s="129" t="s">
        <v>160</v>
      </c>
      <c r="CP122" s="129" t="s">
        <v>160</v>
      </c>
      <c r="CQ122" s="129" t="s">
        <v>160</v>
      </c>
      <c r="CR122" s="129" t="s">
        <v>160</v>
      </c>
      <c r="CS122" s="129" t="s">
        <v>160</v>
      </c>
      <c r="CT122" s="129" t="s">
        <v>160</v>
      </c>
      <c r="CU122" s="129">
        <v>35</v>
      </c>
      <c r="CV122" s="129" t="s">
        <v>393</v>
      </c>
      <c r="CW122" s="146">
        <v>1</v>
      </c>
      <c r="CX122" s="129" t="s">
        <v>207</v>
      </c>
      <c r="CY122" s="129">
        <v>1.06E-2</v>
      </c>
      <c r="CZ122" s="129" t="s">
        <v>159</v>
      </c>
      <c r="DA122" s="146">
        <v>0</v>
      </c>
      <c r="DB122" s="129" t="s">
        <v>208</v>
      </c>
      <c r="DC122" s="129">
        <v>5.5100000000000003E-2</v>
      </c>
      <c r="DD122" s="129" t="s">
        <v>159</v>
      </c>
      <c r="DE122" s="146">
        <v>0</v>
      </c>
      <c r="DF122" s="129" t="s">
        <v>208</v>
      </c>
      <c r="DG122" s="129" t="s">
        <v>160</v>
      </c>
      <c r="DH122" s="129" t="s">
        <v>160</v>
      </c>
      <c r="DI122" s="129" t="s">
        <v>160</v>
      </c>
      <c r="DJ122" s="129" t="s">
        <v>160</v>
      </c>
      <c r="DK122" s="145">
        <v>432.56244218316402</v>
      </c>
      <c r="DL122" s="129" t="s">
        <v>433</v>
      </c>
      <c r="DM122" s="145" t="s">
        <v>160</v>
      </c>
      <c r="DN122" s="129" t="s">
        <v>434</v>
      </c>
      <c r="DO122" s="129">
        <v>39.607149999999997</v>
      </c>
      <c r="DP122" s="129" t="s">
        <v>160</v>
      </c>
      <c r="DQ122" s="129">
        <v>2.9000000000038995E-3</v>
      </c>
      <c r="DR122" s="129" t="s">
        <v>435</v>
      </c>
      <c r="DS122" s="129" t="s">
        <v>212</v>
      </c>
      <c r="DT122" s="129" t="s">
        <v>213</v>
      </c>
      <c r="DU122" s="129">
        <v>1.0271999999999999</v>
      </c>
      <c r="DV122" s="129" t="s">
        <v>160</v>
      </c>
      <c r="DW122" s="129" t="s">
        <v>160</v>
      </c>
      <c r="DX122" s="129" t="s">
        <v>436</v>
      </c>
      <c r="DY122" s="129" t="s">
        <v>158</v>
      </c>
      <c r="DZ122" s="129" t="s">
        <v>158</v>
      </c>
      <c r="EA122" s="129" t="s">
        <v>216</v>
      </c>
      <c r="EB122" s="129" t="s">
        <v>212</v>
      </c>
      <c r="EC122" s="129" t="s">
        <v>212</v>
      </c>
      <c r="ED122" s="129" t="s">
        <v>212</v>
      </c>
      <c r="EE122" s="129" t="s">
        <v>217</v>
      </c>
      <c r="EF122" s="147" t="s">
        <v>213</v>
      </c>
      <c r="EG122" s="148" t="s">
        <v>213</v>
      </c>
      <c r="EH122" s="129" t="s">
        <v>218</v>
      </c>
      <c r="EI122" s="129" t="s">
        <v>417</v>
      </c>
      <c r="EJ122" s="129" t="s">
        <v>160</v>
      </c>
      <c r="EK122" s="129">
        <v>1999.5730000000001</v>
      </c>
      <c r="EL122" s="129" t="s">
        <v>163</v>
      </c>
      <c r="EM122" s="129">
        <v>0.36099999999993776</v>
      </c>
      <c r="EN122" s="129">
        <v>0.35800000000021581</v>
      </c>
      <c r="EO122" s="129" t="s">
        <v>160</v>
      </c>
      <c r="EP122" s="129" t="s">
        <v>160</v>
      </c>
      <c r="EQ122" s="129" t="s">
        <v>160</v>
      </c>
      <c r="ER122" s="129" t="s">
        <v>160</v>
      </c>
      <c r="ES122" s="201">
        <v>8.2436120000000006</v>
      </c>
      <c r="ET122" s="129" t="s">
        <v>165</v>
      </c>
      <c r="EU122" s="151">
        <v>2.7580999999999634E-2</v>
      </c>
      <c r="EV122" s="151">
        <v>2.7305000000000135E-2</v>
      </c>
      <c r="EW122" s="142" t="s">
        <v>160</v>
      </c>
      <c r="EX122" s="129" t="s">
        <v>160</v>
      </c>
      <c r="EY122" s="129" t="s">
        <v>160</v>
      </c>
      <c r="EZ122" s="191">
        <v>201.24610000000001</v>
      </c>
      <c r="FA122" s="191">
        <v>16.660799999999995</v>
      </c>
      <c r="FB122" s="191">
        <v>15.533700000000039</v>
      </c>
      <c r="FC122" s="129" t="s">
        <v>220</v>
      </c>
      <c r="FD122" s="129" t="s">
        <v>221</v>
      </c>
      <c r="FE122" s="129">
        <v>2404.7840000000001</v>
      </c>
      <c r="FF122" s="129">
        <v>29.10799999999972</v>
      </c>
      <c r="FG122" s="129">
        <v>27.84900000000016</v>
      </c>
      <c r="FH122" s="129" t="s">
        <v>160</v>
      </c>
      <c r="FI122" s="129" t="s">
        <v>160</v>
      </c>
      <c r="FJ122" s="129" t="s">
        <v>160</v>
      </c>
      <c r="FK122" s="129" t="s">
        <v>160</v>
      </c>
      <c r="FL122" s="129" t="s">
        <v>160</v>
      </c>
      <c r="FM122" s="129" t="s">
        <v>160</v>
      </c>
      <c r="FN122" s="151">
        <v>5.1815670000000003</v>
      </c>
      <c r="FO122" s="151">
        <v>0.19372399999999956</v>
      </c>
      <c r="FP122" s="151">
        <v>0.18408800000000003</v>
      </c>
      <c r="FQ122" s="178" t="s">
        <v>419</v>
      </c>
      <c r="FR122" s="129" t="s">
        <v>415</v>
      </c>
      <c r="FS122" s="129">
        <v>2017</v>
      </c>
      <c r="FT122" s="131" t="s">
        <v>416</v>
      </c>
    </row>
    <row r="123" spans="1:176" s="129" customFormat="1">
      <c r="A123" s="129" t="s">
        <v>152</v>
      </c>
      <c r="B123" s="166" t="s">
        <v>183</v>
      </c>
      <c r="C123" s="166">
        <v>2018</v>
      </c>
      <c r="D123" s="166" t="s">
        <v>184</v>
      </c>
      <c r="E123" s="145">
        <f t="shared" si="14"/>
        <v>22.61</v>
      </c>
      <c r="F123" s="129">
        <f t="shared" si="15"/>
        <v>2</v>
      </c>
      <c r="G123" s="129">
        <f t="shared" si="15"/>
        <v>2</v>
      </c>
      <c r="H123" s="191">
        <v>203.89510000000001</v>
      </c>
      <c r="I123" s="191">
        <v>17.341700000000003</v>
      </c>
      <c r="J123" s="191">
        <v>16.33250000000001</v>
      </c>
      <c r="K123" s="129" t="s">
        <v>457</v>
      </c>
      <c r="L123" s="131" t="s">
        <v>185</v>
      </c>
      <c r="M123" s="132" t="s">
        <v>186</v>
      </c>
      <c r="N123" s="129" t="s">
        <v>184</v>
      </c>
      <c r="O123" s="129" t="s">
        <v>420</v>
      </c>
      <c r="P123" s="129" t="s">
        <v>156</v>
      </c>
      <c r="Q123" s="129">
        <v>1</v>
      </c>
      <c r="R123" s="129">
        <v>1</v>
      </c>
      <c r="S123" s="129">
        <v>102</v>
      </c>
      <c r="T123" s="129">
        <v>104</v>
      </c>
      <c r="U123" s="199">
        <v>1.02</v>
      </c>
      <c r="V123" s="199">
        <v>1.02</v>
      </c>
      <c r="W123" s="129" t="s">
        <v>160</v>
      </c>
      <c r="X123" s="129" t="s">
        <v>421</v>
      </c>
      <c r="Y123" s="200">
        <v>12.74</v>
      </c>
      <c r="Z123" s="200">
        <v>-78.739999999999995</v>
      </c>
      <c r="AA123" s="129" t="s">
        <v>160</v>
      </c>
      <c r="AB123" s="129" t="s">
        <v>160</v>
      </c>
      <c r="AC123" s="129">
        <v>-2839</v>
      </c>
      <c r="AD123" s="129" t="s">
        <v>160</v>
      </c>
      <c r="AE123" s="129" t="s">
        <v>160</v>
      </c>
      <c r="AF123" s="129" t="s">
        <v>160</v>
      </c>
      <c r="AG123" s="145">
        <v>22.61</v>
      </c>
      <c r="AH123" s="129" t="s">
        <v>163</v>
      </c>
      <c r="AI123" s="129">
        <v>2</v>
      </c>
      <c r="AJ123" s="129">
        <v>2</v>
      </c>
      <c r="AK123" s="129" t="s">
        <v>160</v>
      </c>
      <c r="AL123" s="129" t="s">
        <v>422</v>
      </c>
      <c r="AM123" s="129" t="s">
        <v>160</v>
      </c>
      <c r="AN123" s="129" t="s">
        <v>160</v>
      </c>
      <c r="AO123" s="129" t="s">
        <v>160</v>
      </c>
      <c r="AP123" s="129" t="s">
        <v>160</v>
      </c>
      <c r="AQ123" s="129" t="s">
        <v>160</v>
      </c>
      <c r="AR123" s="129" t="s">
        <v>160</v>
      </c>
      <c r="AS123" s="129" t="s">
        <v>160</v>
      </c>
      <c r="AT123" s="129" t="s">
        <v>160</v>
      </c>
      <c r="AU123" s="129" t="s">
        <v>423</v>
      </c>
      <c r="AV123" s="129" t="s">
        <v>161</v>
      </c>
      <c r="AW123" s="129" t="s">
        <v>424</v>
      </c>
      <c r="AX123" s="178">
        <v>2</v>
      </c>
      <c r="AY123" s="129" t="s">
        <v>194</v>
      </c>
      <c r="AZ123" s="129" t="s">
        <v>195</v>
      </c>
      <c r="BA123" s="129" t="s">
        <v>425</v>
      </c>
      <c r="BB123" s="129" t="s">
        <v>160</v>
      </c>
      <c r="BC123" s="178">
        <v>2</v>
      </c>
      <c r="BD123" s="129" t="s">
        <v>160</v>
      </c>
      <c r="BE123" s="199">
        <v>21.26</v>
      </c>
      <c r="BF123" s="129" t="s">
        <v>426</v>
      </c>
      <c r="BG123" s="151">
        <v>0.16</v>
      </c>
      <c r="BH123" s="129">
        <v>0.64</v>
      </c>
      <c r="BI123" s="129" t="s">
        <v>427</v>
      </c>
      <c r="BJ123" s="129">
        <v>3.4000000000000002E-2</v>
      </c>
      <c r="BK123" s="129">
        <v>9.1</v>
      </c>
      <c r="BL123" s="129" t="s">
        <v>163</v>
      </c>
      <c r="BM123" s="129">
        <v>0.56000000000000005</v>
      </c>
      <c r="BN123" s="129" t="s">
        <v>428</v>
      </c>
      <c r="BO123" s="129" t="s">
        <v>429</v>
      </c>
      <c r="BP123" s="151">
        <f t="shared" si="16"/>
        <v>20.650000000000006</v>
      </c>
      <c r="BQ123" s="129" t="s">
        <v>202</v>
      </c>
      <c r="BR123" s="217"/>
      <c r="BS123" s="129" t="s">
        <v>160</v>
      </c>
      <c r="BT123" s="129" t="s">
        <v>160</v>
      </c>
      <c r="BU123" s="129">
        <v>10</v>
      </c>
      <c r="BV123" s="129" t="s">
        <v>159</v>
      </c>
      <c r="BW123" s="129">
        <v>10</v>
      </c>
      <c r="BX123" s="145">
        <v>26.43</v>
      </c>
      <c r="BY123" s="129" t="s">
        <v>159</v>
      </c>
      <c r="BZ123" s="129">
        <v>1</v>
      </c>
      <c r="CA123" s="129">
        <v>1</v>
      </c>
      <c r="CB123" s="129" t="s">
        <v>160</v>
      </c>
      <c r="CC123" s="151">
        <v>3.8079999999999998</v>
      </c>
      <c r="CD123" s="129" t="s">
        <v>430</v>
      </c>
      <c r="CE123" s="151">
        <v>0.15231999999999998</v>
      </c>
      <c r="CF123" s="151">
        <v>0.15231999999999998</v>
      </c>
      <c r="CG123" s="178" t="s">
        <v>160</v>
      </c>
      <c r="CH123" s="129" t="s">
        <v>431</v>
      </c>
      <c r="CI123" s="129" t="s">
        <v>160</v>
      </c>
      <c r="CJ123" s="129" t="s">
        <v>432</v>
      </c>
      <c r="CK123" s="129" t="s">
        <v>158</v>
      </c>
      <c r="CL123" s="129" t="s">
        <v>158</v>
      </c>
      <c r="CM123" s="129" t="s">
        <v>158</v>
      </c>
      <c r="CN123" s="129" t="s">
        <v>160</v>
      </c>
      <c r="CO123" s="129" t="s">
        <v>160</v>
      </c>
      <c r="CP123" s="129" t="s">
        <v>160</v>
      </c>
      <c r="CQ123" s="129" t="s">
        <v>160</v>
      </c>
      <c r="CR123" s="129" t="s">
        <v>160</v>
      </c>
      <c r="CS123" s="129" t="s">
        <v>160</v>
      </c>
      <c r="CT123" s="129" t="s">
        <v>160</v>
      </c>
      <c r="CU123" s="129">
        <v>35</v>
      </c>
      <c r="CV123" s="129" t="s">
        <v>393</v>
      </c>
      <c r="CW123" s="146">
        <v>1</v>
      </c>
      <c r="CX123" s="129" t="s">
        <v>207</v>
      </c>
      <c r="CY123" s="129">
        <v>1.06E-2</v>
      </c>
      <c r="CZ123" s="129" t="s">
        <v>159</v>
      </c>
      <c r="DA123" s="146">
        <v>0</v>
      </c>
      <c r="DB123" s="129" t="s">
        <v>208</v>
      </c>
      <c r="DC123" s="129">
        <v>5.5100000000000003E-2</v>
      </c>
      <c r="DD123" s="129" t="s">
        <v>159</v>
      </c>
      <c r="DE123" s="146">
        <v>0</v>
      </c>
      <c r="DF123" s="129" t="s">
        <v>208</v>
      </c>
      <c r="DG123" s="129" t="s">
        <v>160</v>
      </c>
      <c r="DH123" s="129" t="s">
        <v>160</v>
      </c>
      <c r="DI123" s="129" t="s">
        <v>160</v>
      </c>
      <c r="DJ123" s="129" t="s">
        <v>160</v>
      </c>
      <c r="DK123" s="145">
        <v>432.56244218316402</v>
      </c>
      <c r="DL123" s="129" t="s">
        <v>433</v>
      </c>
      <c r="DM123" s="145" t="s">
        <v>160</v>
      </c>
      <c r="DN123" s="129" t="s">
        <v>434</v>
      </c>
      <c r="DO123" s="129">
        <v>39.606879999999997</v>
      </c>
      <c r="DP123" s="129" t="s">
        <v>160</v>
      </c>
      <c r="DQ123" s="129">
        <v>3.1300000000058503E-3</v>
      </c>
      <c r="DR123" s="129" t="s">
        <v>435</v>
      </c>
      <c r="DS123" s="129" t="s">
        <v>212</v>
      </c>
      <c r="DT123" s="129" t="s">
        <v>213</v>
      </c>
      <c r="DU123" s="129">
        <v>1.0271999999999999</v>
      </c>
      <c r="DV123" s="129" t="s">
        <v>160</v>
      </c>
      <c r="DW123" s="129" t="s">
        <v>160</v>
      </c>
      <c r="DX123" s="129" t="s">
        <v>436</v>
      </c>
      <c r="DY123" s="129" t="s">
        <v>158</v>
      </c>
      <c r="DZ123" s="129" t="s">
        <v>158</v>
      </c>
      <c r="EA123" s="129" t="s">
        <v>216</v>
      </c>
      <c r="EB123" s="129" t="s">
        <v>212</v>
      </c>
      <c r="EC123" s="129" t="s">
        <v>212</v>
      </c>
      <c r="ED123" s="129" t="s">
        <v>212</v>
      </c>
      <c r="EE123" s="129" t="s">
        <v>217</v>
      </c>
      <c r="EF123" s="147" t="s">
        <v>213</v>
      </c>
      <c r="EG123" s="148" t="s">
        <v>213</v>
      </c>
      <c r="EH123" s="129" t="s">
        <v>218</v>
      </c>
      <c r="EI123" s="129" t="s">
        <v>417</v>
      </c>
      <c r="EJ123" s="129" t="s">
        <v>160</v>
      </c>
      <c r="EK123" s="129">
        <v>1999.5350000000003</v>
      </c>
      <c r="EL123" s="129" t="s">
        <v>163</v>
      </c>
      <c r="EM123" s="129">
        <v>0.39199999999966695</v>
      </c>
      <c r="EN123" s="129">
        <v>0.38400000000040835</v>
      </c>
      <c r="EO123" s="129" t="s">
        <v>160</v>
      </c>
      <c r="EP123" s="129" t="s">
        <v>160</v>
      </c>
      <c r="EQ123" s="129" t="s">
        <v>160</v>
      </c>
      <c r="ER123" s="129" t="s">
        <v>160</v>
      </c>
      <c r="ES123" s="201">
        <v>8.2393169999999998</v>
      </c>
      <c r="ET123" s="129" t="s">
        <v>165</v>
      </c>
      <c r="EU123" s="151">
        <v>2.8441000000000827E-2</v>
      </c>
      <c r="EV123" s="151">
        <v>2.8057000000000443E-2</v>
      </c>
      <c r="EW123" s="142" t="s">
        <v>160</v>
      </c>
      <c r="EX123" s="129" t="s">
        <v>160</v>
      </c>
      <c r="EY123" s="129" t="s">
        <v>160</v>
      </c>
      <c r="EZ123" s="191">
        <v>203.89510000000001</v>
      </c>
      <c r="FA123" s="191">
        <v>17.341700000000003</v>
      </c>
      <c r="FB123" s="191">
        <v>16.33250000000001</v>
      </c>
      <c r="FC123" s="129" t="s">
        <v>220</v>
      </c>
      <c r="FD123" s="129" t="s">
        <v>221</v>
      </c>
      <c r="FE123" s="129">
        <v>2409.875</v>
      </c>
      <c r="FF123" s="129">
        <v>29.090999999999894</v>
      </c>
      <c r="FG123" s="129">
        <v>29.275000000000091</v>
      </c>
      <c r="FH123" s="129" t="s">
        <v>160</v>
      </c>
      <c r="FI123" s="129" t="s">
        <v>160</v>
      </c>
      <c r="FJ123" s="129" t="s">
        <v>160</v>
      </c>
      <c r="FK123" s="129" t="s">
        <v>160</v>
      </c>
      <c r="FL123" s="129" t="s">
        <v>160</v>
      </c>
      <c r="FM123" s="129" t="s">
        <v>160</v>
      </c>
      <c r="FN123" s="151">
        <v>5.2679850000000004</v>
      </c>
      <c r="FO123" s="151">
        <v>0.20189699999999977</v>
      </c>
      <c r="FP123" s="151">
        <v>0.19718400000000003</v>
      </c>
      <c r="FQ123" s="178" t="s">
        <v>419</v>
      </c>
      <c r="FR123" s="129" t="s">
        <v>415</v>
      </c>
      <c r="FS123" s="129">
        <v>2017</v>
      </c>
      <c r="FT123" s="131" t="s">
        <v>416</v>
      </c>
    </row>
    <row r="124" spans="1:176" s="129" customFormat="1">
      <c r="A124" s="129" t="s">
        <v>152</v>
      </c>
      <c r="B124" s="166" t="s">
        <v>183</v>
      </c>
      <c r="C124" s="166">
        <v>2018</v>
      </c>
      <c r="D124" s="166" t="s">
        <v>184</v>
      </c>
      <c r="E124" s="145">
        <f t="shared" si="14"/>
        <v>24.38</v>
      </c>
      <c r="F124" s="129">
        <f t="shared" si="15"/>
        <v>2</v>
      </c>
      <c r="G124" s="129">
        <f t="shared" si="15"/>
        <v>2</v>
      </c>
      <c r="H124" s="191">
        <v>183.9195</v>
      </c>
      <c r="I124" s="191">
        <v>15.419900000000013</v>
      </c>
      <c r="J124" s="191">
        <v>14.474500000000006</v>
      </c>
      <c r="K124" s="129" t="s">
        <v>457</v>
      </c>
      <c r="L124" s="131" t="s">
        <v>185</v>
      </c>
      <c r="M124" s="132" t="s">
        <v>186</v>
      </c>
      <c r="N124" s="129" t="s">
        <v>184</v>
      </c>
      <c r="O124" s="129" t="s">
        <v>420</v>
      </c>
      <c r="P124" s="129" t="s">
        <v>156</v>
      </c>
      <c r="Q124" s="129">
        <v>1</v>
      </c>
      <c r="R124" s="129">
        <v>1</v>
      </c>
      <c r="S124" s="129">
        <v>113</v>
      </c>
      <c r="T124" s="129">
        <v>115</v>
      </c>
      <c r="U124" s="199">
        <v>1.1299999999999999</v>
      </c>
      <c r="V124" s="199">
        <v>1.1299999999999999</v>
      </c>
      <c r="W124" s="129" t="s">
        <v>160</v>
      </c>
      <c r="X124" s="129" t="s">
        <v>421</v>
      </c>
      <c r="Y124" s="200">
        <v>12.74</v>
      </c>
      <c r="Z124" s="200">
        <v>-78.739999999999995</v>
      </c>
      <c r="AA124" s="129" t="s">
        <v>160</v>
      </c>
      <c r="AB124" s="129" t="s">
        <v>160</v>
      </c>
      <c r="AC124" s="129">
        <v>-2839</v>
      </c>
      <c r="AD124" s="129" t="s">
        <v>160</v>
      </c>
      <c r="AE124" s="129" t="s">
        <v>160</v>
      </c>
      <c r="AF124" s="129" t="s">
        <v>160</v>
      </c>
      <c r="AG124" s="145">
        <v>24.38</v>
      </c>
      <c r="AH124" s="129" t="s">
        <v>163</v>
      </c>
      <c r="AI124" s="129">
        <v>2</v>
      </c>
      <c r="AJ124" s="129">
        <v>2</v>
      </c>
      <c r="AK124" s="129" t="s">
        <v>160</v>
      </c>
      <c r="AL124" s="129" t="s">
        <v>422</v>
      </c>
      <c r="AM124" s="129" t="s">
        <v>160</v>
      </c>
      <c r="AN124" s="129" t="s">
        <v>160</v>
      </c>
      <c r="AO124" s="129" t="s">
        <v>160</v>
      </c>
      <c r="AP124" s="129" t="s">
        <v>160</v>
      </c>
      <c r="AQ124" s="129" t="s">
        <v>160</v>
      </c>
      <c r="AR124" s="129" t="s">
        <v>160</v>
      </c>
      <c r="AS124" s="129" t="s">
        <v>160</v>
      </c>
      <c r="AT124" s="129" t="s">
        <v>160</v>
      </c>
      <c r="AU124" s="129" t="s">
        <v>423</v>
      </c>
      <c r="AV124" s="129" t="s">
        <v>161</v>
      </c>
      <c r="AW124" s="129" t="s">
        <v>424</v>
      </c>
      <c r="AX124" s="178">
        <v>2</v>
      </c>
      <c r="AY124" s="129" t="s">
        <v>194</v>
      </c>
      <c r="AZ124" s="129" t="s">
        <v>195</v>
      </c>
      <c r="BA124" s="129" t="s">
        <v>425</v>
      </c>
      <c r="BB124" s="129" t="s">
        <v>160</v>
      </c>
      <c r="BC124" s="178">
        <v>2</v>
      </c>
      <c r="BD124" s="129" t="s">
        <v>160</v>
      </c>
      <c r="BE124" s="199">
        <v>21.51</v>
      </c>
      <c r="BF124" s="129" t="s">
        <v>426</v>
      </c>
      <c r="BG124" s="151">
        <v>0.14000000000000001</v>
      </c>
      <c r="BH124" s="129">
        <v>0.64</v>
      </c>
      <c r="BI124" s="129" t="s">
        <v>427</v>
      </c>
      <c r="BJ124" s="129">
        <v>3.4000000000000002E-2</v>
      </c>
      <c r="BK124" s="129">
        <v>9.1</v>
      </c>
      <c r="BL124" s="129" t="s">
        <v>163</v>
      </c>
      <c r="BM124" s="129">
        <v>0.56000000000000005</v>
      </c>
      <c r="BN124" s="129" t="s">
        <v>428</v>
      </c>
      <c r="BO124" s="129" t="s">
        <v>429</v>
      </c>
      <c r="BP124" s="151">
        <f t="shared" si="16"/>
        <v>21.06666666666667</v>
      </c>
      <c r="BQ124" s="129" t="s">
        <v>202</v>
      </c>
      <c r="BR124" s="217"/>
      <c r="BS124" s="129" t="s">
        <v>160</v>
      </c>
      <c r="BT124" s="129" t="s">
        <v>160</v>
      </c>
      <c r="BU124" s="129">
        <v>10</v>
      </c>
      <c r="BV124" s="129" t="s">
        <v>159</v>
      </c>
      <c r="BW124" s="129">
        <v>10</v>
      </c>
      <c r="BX124" s="145">
        <v>26.15</v>
      </c>
      <c r="BY124" s="129" t="s">
        <v>159</v>
      </c>
      <c r="BZ124" s="129">
        <v>1</v>
      </c>
      <c r="CA124" s="129">
        <v>1</v>
      </c>
      <c r="CB124" s="129" t="s">
        <v>160</v>
      </c>
      <c r="CC124" s="151">
        <v>3.819</v>
      </c>
      <c r="CD124" s="129" t="s">
        <v>430</v>
      </c>
      <c r="CE124" s="151">
        <v>0.15276000000000001</v>
      </c>
      <c r="CF124" s="151">
        <v>0.15276000000000001</v>
      </c>
      <c r="CG124" s="178" t="s">
        <v>160</v>
      </c>
      <c r="CH124" s="129" t="s">
        <v>431</v>
      </c>
      <c r="CI124" s="129" t="s">
        <v>160</v>
      </c>
      <c r="CJ124" s="129" t="s">
        <v>432</v>
      </c>
      <c r="CK124" s="129" t="s">
        <v>158</v>
      </c>
      <c r="CL124" s="129" t="s">
        <v>158</v>
      </c>
      <c r="CM124" s="129" t="s">
        <v>158</v>
      </c>
      <c r="CN124" s="129" t="s">
        <v>160</v>
      </c>
      <c r="CO124" s="129" t="s">
        <v>160</v>
      </c>
      <c r="CP124" s="129" t="s">
        <v>160</v>
      </c>
      <c r="CQ124" s="129" t="s">
        <v>160</v>
      </c>
      <c r="CR124" s="129" t="s">
        <v>160</v>
      </c>
      <c r="CS124" s="129" t="s">
        <v>160</v>
      </c>
      <c r="CT124" s="129" t="s">
        <v>160</v>
      </c>
      <c r="CU124" s="129">
        <v>35</v>
      </c>
      <c r="CV124" s="129" t="s">
        <v>393</v>
      </c>
      <c r="CW124" s="146">
        <v>1</v>
      </c>
      <c r="CX124" s="129" t="s">
        <v>207</v>
      </c>
      <c r="CY124" s="129">
        <v>1.06E-2</v>
      </c>
      <c r="CZ124" s="129" t="s">
        <v>159</v>
      </c>
      <c r="DA124" s="146">
        <v>0</v>
      </c>
      <c r="DB124" s="129" t="s">
        <v>208</v>
      </c>
      <c r="DC124" s="129">
        <v>5.5100000000000003E-2</v>
      </c>
      <c r="DD124" s="129" t="s">
        <v>159</v>
      </c>
      <c r="DE124" s="146">
        <v>0</v>
      </c>
      <c r="DF124" s="129" t="s">
        <v>208</v>
      </c>
      <c r="DG124" s="129" t="s">
        <v>160</v>
      </c>
      <c r="DH124" s="129" t="s">
        <v>160</v>
      </c>
      <c r="DI124" s="129" t="s">
        <v>160</v>
      </c>
      <c r="DJ124" s="129" t="s">
        <v>160</v>
      </c>
      <c r="DK124" s="145">
        <v>432.56244218316402</v>
      </c>
      <c r="DL124" s="129" t="s">
        <v>433</v>
      </c>
      <c r="DM124" s="145" t="s">
        <v>160</v>
      </c>
      <c r="DN124" s="129" t="s">
        <v>434</v>
      </c>
      <c r="DO124" s="129">
        <v>39.606749999999998</v>
      </c>
      <c r="DP124" s="129" t="s">
        <v>160</v>
      </c>
      <c r="DQ124" s="129">
        <v>3.3300000000053842E-3</v>
      </c>
      <c r="DR124" s="129" t="s">
        <v>435</v>
      </c>
      <c r="DS124" s="129" t="s">
        <v>212</v>
      </c>
      <c r="DT124" s="129" t="s">
        <v>213</v>
      </c>
      <c r="DU124" s="129">
        <v>1.0271999999999999</v>
      </c>
      <c r="DV124" s="129" t="s">
        <v>160</v>
      </c>
      <c r="DW124" s="129" t="s">
        <v>160</v>
      </c>
      <c r="DX124" s="129" t="s">
        <v>436</v>
      </c>
      <c r="DY124" s="129" t="s">
        <v>158</v>
      </c>
      <c r="DZ124" s="129" t="s">
        <v>158</v>
      </c>
      <c r="EA124" s="129" t="s">
        <v>216</v>
      </c>
      <c r="EB124" s="129" t="s">
        <v>212</v>
      </c>
      <c r="EC124" s="129" t="s">
        <v>212</v>
      </c>
      <c r="ED124" s="129" t="s">
        <v>212</v>
      </c>
      <c r="EE124" s="129" t="s">
        <v>217</v>
      </c>
      <c r="EF124" s="147" t="s">
        <v>213</v>
      </c>
      <c r="EG124" s="148" t="s">
        <v>213</v>
      </c>
      <c r="EH124" s="129" t="s">
        <v>218</v>
      </c>
      <c r="EI124" s="129" t="s">
        <v>417</v>
      </c>
      <c r="EJ124" s="129" t="s">
        <v>160</v>
      </c>
      <c r="EK124" s="129">
        <v>1999.5120000000002</v>
      </c>
      <c r="EL124" s="129" t="s">
        <v>163</v>
      </c>
      <c r="EM124" s="129">
        <v>0.40499999999976322</v>
      </c>
      <c r="EN124" s="129">
        <v>0.40900000000025982</v>
      </c>
      <c r="EO124" s="129" t="s">
        <v>160</v>
      </c>
      <c r="EP124" s="129" t="s">
        <v>160</v>
      </c>
      <c r="EQ124" s="129" t="s">
        <v>160</v>
      </c>
      <c r="ER124" s="129" t="s">
        <v>160</v>
      </c>
      <c r="ES124" s="201">
        <v>8.2725059999999999</v>
      </c>
      <c r="ET124" s="129" t="s">
        <v>165</v>
      </c>
      <c r="EU124" s="151">
        <v>2.7504000000000417E-2</v>
      </c>
      <c r="EV124" s="151">
        <v>2.7915000000000134E-2</v>
      </c>
      <c r="EW124" s="142" t="s">
        <v>160</v>
      </c>
      <c r="EX124" s="129" t="s">
        <v>160</v>
      </c>
      <c r="EY124" s="129" t="s">
        <v>160</v>
      </c>
      <c r="EZ124" s="191">
        <v>183.9195</v>
      </c>
      <c r="FA124" s="191">
        <v>15.419900000000013</v>
      </c>
      <c r="FB124" s="191">
        <v>14.474500000000006</v>
      </c>
      <c r="FC124" s="129" t="s">
        <v>220</v>
      </c>
      <c r="FD124" s="129" t="s">
        <v>221</v>
      </c>
      <c r="FE124" s="129">
        <v>2436.3219999999997</v>
      </c>
      <c r="FF124" s="129">
        <v>28.946000000000367</v>
      </c>
      <c r="FG124" s="129">
        <v>29.360999999999876</v>
      </c>
      <c r="FH124" s="129" t="s">
        <v>160</v>
      </c>
      <c r="FI124" s="129" t="s">
        <v>160</v>
      </c>
      <c r="FJ124" s="129" t="s">
        <v>160</v>
      </c>
      <c r="FK124" s="129" t="s">
        <v>160</v>
      </c>
      <c r="FL124" s="129" t="s">
        <v>160</v>
      </c>
      <c r="FM124" s="129" t="s">
        <v>160</v>
      </c>
      <c r="FN124" s="151">
        <v>5.5722079999999998</v>
      </c>
      <c r="FO124" s="151">
        <v>0.20053600000000049</v>
      </c>
      <c r="FP124" s="151">
        <v>0.19579199999999997</v>
      </c>
      <c r="FQ124" s="178" t="s">
        <v>419</v>
      </c>
      <c r="FR124" s="129" t="s">
        <v>415</v>
      </c>
      <c r="FS124" s="129">
        <v>2017</v>
      </c>
      <c r="FT124" s="131" t="s">
        <v>416</v>
      </c>
    </row>
    <row r="125" spans="1:176" s="129" customFormat="1">
      <c r="A125" s="129" t="s">
        <v>152</v>
      </c>
      <c r="B125" s="166" t="s">
        <v>183</v>
      </c>
      <c r="C125" s="166">
        <v>2018</v>
      </c>
      <c r="D125" s="166" t="s">
        <v>184</v>
      </c>
      <c r="E125" s="145">
        <f t="shared" si="14"/>
        <v>25.51</v>
      </c>
      <c r="F125" s="129">
        <f t="shared" si="15"/>
        <v>2</v>
      </c>
      <c r="G125" s="129">
        <f t="shared" si="15"/>
        <v>2</v>
      </c>
      <c r="H125" s="191">
        <v>175.5531</v>
      </c>
      <c r="I125" s="191">
        <v>16.817499999999995</v>
      </c>
      <c r="J125" s="191">
        <v>15.916300000000007</v>
      </c>
      <c r="K125" s="129" t="s">
        <v>457</v>
      </c>
      <c r="L125" s="131" t="s">
        <v>185</v>
      </c>
      <c r="M125" s="132" t="s">
        <v>186</v>
      </c>
      <c r="N125" s="129" t="s">
        <v>184</v>
      </c>
      <c r="O125" s="129" t="s">
        <v>420</v>
      </c>
      <c r="P125" s="129" t="s">
        <v>156</v>
      </c>
      <c r="Q125" s="129">
        <v>1</v>
      </c>
      <c r="R125" s="129">
        <v>1</v>
      </c>
      <c r="S125" s="129">
        <v>120</v>
      </c>
      <c r="T125" s="129">
        <v>122</v>
      </c>
      <c r="U125" s="199">
        <v>1.2</v>
      </c>
      <c r="V125" s="199">
        <v>1.2</v>
      </c>
      <c r="W125" s="129" t="s">
        <v>160</v>
      </c>
      <c r="X125" s="129" t="s">
        <v>421</v>
      </c>
      <c r="Y125" s="200">
        <v>12.74</v>
      </c>
      <c r="Z125" s="200">
        <v>-78.739999999999995</v>
      </c>
      <c r="AA125" s="129" t="s">
        <v>160</v>
      </c>
      <c r="AB125" s="129" t="s">
        <v>160</v>
      </c>
      <c r="AC125" s="129">
        <v>-2839</v>
      </c>
      <c r="AD125" s="129" t="s">
        <v>160</v>
      </c>
      <c r="AE125" s="129" t="s">
        <v>160</v>
      </c>
      <c r="AF125" s="129" t="s">
        <v>160</v>
      </c>
      <c r="AG125" s="145">
        <v>25.51</v>
      </c>
      <c r="AH125" s="129" t="s">
        <v>163</v>
      </c>
      <c r="AI125" s="129">
        <v>2</v>
      </c>
      <c r="AJ125" s="129">
        <v>2</v>
      </c>
      <c r="AK125" s="129" t="s">
        <v>160</v>
      </c>
      <c r="AL125" s="129" t="s">
        <v>422</v>
      </c>
      <c r="AM125" s="129" t="s">
        <v>160</v>
      </c>
      <c r="AN125" s="129" t="s">
        <v>160</v>
      </c>
      <c r="AO125" s="129" t="s">
        <v>160</v>
      </c>
      <c r="AP125" s="129" t="s">
        <v>160</v>
      </c>
      <c r="AQ125" s="129" t="s">
        <v>160</v>
      </c>
      <c r="AR125" s="129" t="s">
        <v>160</v>
      </c>
      <c r="AS125" s="129" t="s">
        <v>160</v>
      </c>
      <c r="AT125" s="129" t="s">
        <v>160</v>
      </c>
      <c r="AU125" s="129" t="s">
        <v>423</v>
      </c>
      <c r="AV125" s="129" t="s">
        <v>161</v>
      </c>
      <c r="AW125" s="129" t="s">
        <v>424</v>
      </c>
      <c r="AX125" s="178">
        <v>2</v>
      </c>
      <c r="AY125" s="129" t="s">
        <v>194</v>
      </c>
      <c r="AZ125" s="129" t="s">
        <v>195</v>
      </c>
      <c r="BA125" s="129" t="s">
        <v>425</v>
      </c>
      <c r="BB125" s="129" t="s">
        <v>160</v>
      </c>
      <c r="BC125" s="178">
        <v>2</v>
      </c>
      <c r="BD125" s="129" t="s">
        <v>160</v>
      </c>
      <c r="BE125" s="199">
        <v>21.62</v>
      </c>
      <c r="BF125" s="129" t="s">
        <v>426</v>
      </c>
      <c r="BG125" s="151">
        <v>0.24</v>
      </c>
      <c r="BH125" s="129">
        <v>0.64</v>
      </c>
      <c r="BI125" s="129" t="s">
        <v>427</v>
      </c>
      <c r="BJ125" s="129">
        <v>3.4000000000000002E-2</v>
      </c>
      <c r="BK125" s="129">
        <v>9.1</v>
      </c>
      <c r="BL125" s="129" t="s">
        <v>163</v>
      </c>
      <c r="BM125" s="129">
        <v>0.56000000000000005</v>
      </c>
      <c r="BN125" s="129" t="s">
        <v>428</v>
      </c>
      <c r="BO125" s="129" t="s">
        <v>429</v>
      </c>
      <c r="BP125" s="151">
        <f t="shared" si="16"/>
        <v>21.250000000000004</v>
      </c>
      <c r="BQ125" s="129" t="s">
        <v>202</v>
      </c>
      <c r="BR125" s="217"/>
      <c r="BS125" s="129" t="s">
        <v>160</v>
      </c>
      <c r="BT125" s="129" t="s">
        <v>160</v>
      </c>
      <c r="BU125" s="129">
        <v>10</v>
      </c>
      <c r="BV125" s="129" t="s">
        <v>159</v>
      </c>
      <c r="BW125" s="129">
        <v>10</v>
      </c>
      <c r="BX125" s="145">
        <v>26.05</v>
      </c>
      <c r="BY125" s="129" t="s">
        <v>159</v>
      </c>
      <c r="BZ125" s="129">
        <v>1</v>
      </c>
      <c r="CA125" s="129">
        <v>1</v>
      </c>
      <c r="CB125" s="129" t="s">
        <v>160</v>
      </c>
      <c r="CC125" s="151">
        <v>3.7120000000000002</v>
      </c>
      <c r="CD125" s="129" t="s">
        <v>430</v>
      </c>
      <c r="CE125" s="151">
        <v>0.14848</v>
      </c>
      <c r="CF125" s="151">
        <v>0.14848</v>
      </c>
      <c r="CG125" s="178" t="s">
        <v>160</v>
      </c>
      <c r="CH125" s="129" t="s">
        <v>431</v>
      </c>
      <c r="CI125" s="129" t="s">
        <v>160</v>
      </c>
      <c r="CJ125" s="129" t="s">
        <v>432</v>
      </c>
      <c r="CK125" s="129" t="s">
        <v>158</v>
      </c>
      <c r="CL125" s="129" t="s">
        <v>158</v>
      </c>
      <c r="CM125" s="129" t="s">
        <v>158</v>
      </c>
      <c r="CN125" s="129" t="s">
        <v>160</v>
      </c>
      <c r="CO125" s="129" t="s">
        <v>160</v>
      </c>
      <c r="CP125" s="129" t="s">
        <v>160</v>
      </c>
      <c r="CQ125" s="129" t="s">
        <v>160</v>
      </c>
      <c r="CR125" s="129" t="s">
        <v>160</v>
      </c>
      <c r="CS125" s="129" t="s">
        <v>160</v>
      </c>
      <c r="CT125" s="129" t="s">
        <v>160</v>
      </c>
      <c r="CU125" s="129">
        <v>35</v>
      </c>
      <c r="CV125" s="129" t="s">
        <v>393</v>
      </c>
      <c r="CW125" s="146">
        <v>1</v>
      </c>
      <c r="CX125" s="129" t="s">
        <v>207</v>
      </c>
      <c r="CY125" s="129">
        <v>1.06E-2</v>
      </c>
      <c r="CZ125" s="129" t="s">
        <v>159</v>
      </c>
      <c r="DA125" s="146">
        <v>0</v>
      </c>
      <c r="DB125" s="129" t="s">
        <v>208</v>
      </c>
      <c r="DC125" s="129">
        <v>5.5100000000000003E-2</v>
      </c>
      <c r="DD125" s="129" t="s">
        <v>159</v>
      </c>
      <c r="DE125" s="146">
        <v>0</v>
      </c>
      <c r="DF125" s="129" t="s">
        <v>208</v>
      </c>
      <c r="DG125" s="129" t="s">
        <v>160</v>
      </c>
      <c r="DH125" s="129" t="s">
        <v>160</v>
      </c>
      <c r="DI125" s="129" t="s">
        <v>160</v>
      </c>
      <c r="DJ125" s="129" t="s">
        <v>160</v>
      </c>
      <c r="DK125" s="145">
        <v>432.56244218316402</v>
      </c>
      <c r="DL125" s="129" t="s">
        <v>433</v>
      </c>
      <c r="DM125" s="145" t="s">
        <v>160</v>
      </c>
      <c r="DN125" s="129" t="s">
        <v>434</v>
      </c>
      <c r="DO125" s="129">
        <v>39.606490000000001</v>
      </c>
      <c r="DP125" s="129" t="s">
        <v>160</v>
      </c>
      <c r="DQ125" s="129">
        <v>3.5900000000026466E-3</v>
      </c>
      <c r="DR125" s="129" t="s">
        <v>435</v>
      </c>
      <c r="DS125" s="129" t="s">
        <v>212</v>
      </c>
      <c r="DT125" s="129" t="s">
        <v>213</v>
      </c>
      <c r="DU125" s="129">
        <v>1.0271999999999999</v>
      </c>
      <c r="DV125" s="129" t="s">
        <v>160</v>
      </c>
      <c r="DW125" s="129" t="s">
        <v>160</v>
      </c>
      <c r="DX125" s="129" t="s">
        <v>436</v>
      </c>
      <c r="DY125" s="129" t="s">
        <v>158</v>
      </c>
      <c r="DZ125" s="129" t="s">
        <v>158</v>
      </c>
      <c r="EA125" s="129" t="s">
        <v>216</v>
      </c>
      <c r="EB125" s="129" t="s">
        <v>212</v>
      </c>
      <c r="EC125" s="129" t="s">
        <v>212</v>
      </c>
      <c r="ED125" s="129" t="s">
        <v>212</v>
      </c>
      <c r="EE125" s="129" t="s">
        <v>217</v>
      </c>
      <c r="EF125" s="147" t="s">
        <v>213</v>
      </c>
      <c r="EG125" s="148" t="s">
        <v>213</v>
      </c>
      <c r="EH125" s="129" t="s">
        <v>218</v>
      </c>
      <c r="EI125" s="129" t="s">
        <v>417</v>
      </c>
      <c r="EJ125" s="129" t="s">
        <v>160</v>
      </c>
      <c r="EK125" s="129">
        <v>1999.4790000000003</v>
      </c>
      <c r="EL125" s="129" t="s">
        <v>163</v>
      </c>
      <c r="EM125" s="129">
        <v>0.4339999999996777</v>
      </c>
      <c r="EN125" s="129">
        <v>0.44400000000005202</v>
      </c>
      <c r="EO125" s="129" t="s">
        <v>160</v>
      </c>
      <c r="EP125" s="129" t="s">
        <v>160</v>
      </c>
      <c r="EQ125" s="129" t="s">
        <v>160</v>
      </c>
      <c r="ER125" s="129" t="s">
        <v>160</v>
      </c>
      <c r="ES125" s="201">
        <v>8.2872760000000003</v>
      </c>
      <c r="ET125" s="129" t="s">
        <v>165</v>
      </c>
      <c r="EU125" s="151">
        <v>3.2057000000000002E-2</v>
      </c>
      <c r="EV125" s="151">
        <v>3.1036999999999537E-2</v>
      </c>
      <c r="EW125" s="142" t="s">
        <v>160</v>
      </c>
      <c r="EX125" s="129" t="s">
        <v>160</v>
      </c>
      <c r="EY125" s="129" t="s">
        <v>160</v>
      </c>
      <c r="EZ125" s="191">
        <v>175.5531</v>
      </c>
      <c r="FA125" s="191">
        <v>16.817499999999995</v>
      </c>
      <c r="FB125" s="191">
        <v>15.916300000000007</v>
      </c>
      <c r="FC125" s="129" t="s">
        <v>220</v>
      </c>
      <c r="FD125" s="129" t="s">
        <v>221</v>
      </c>
      <c r="FE125" s="129">
        <v>2448.0100000000002</v>
      </c>
      <c r="FF125" s="129">
        <v>32.116999999999734</v>
      </c>
      <c r="FG125" s="129">
        <v>31.914000000000215</v>
      </c>
      <c r="FH125" s="129" t="s">
        <v>160</v>
      </c>
      <c r="FI125" s="129" t="s">
        <v>160</v>
      </c>
      <c r="FJ125" s="129" t="s">
        <v>160</v>
      </c>
      <c r="FK125" s="129" t="s">
        <v>160</v>
      </c>
      <c r="FL125" s="129" t="s">
        <v>160</v>
      </c>
      <c r="FM125" s="129" t="s">
        <v>160</v>
      </c>
      <c r="FN125" s="151">
        <v>5.7111169999999998</v>
      </c>
      <c r="FO125" s="151">
        <v>0.25377399999999994</v>
      </c>
      <c r="FP125" s="151">
        <v>0.24879499999999943</v>
      </c>
      <c r="FQ125" s="178" t="s">
        <v>419</v>
      </c>
      <c r="FR125" s="129" t="s">
        <v>415</v>
      </c>
      <c r="FS125" s="129">
        <v>2017</v>
      </c>
      <c r="FT125" s="131" t="s">
        <v>416</v>
      </c>
    </row>
    <row r="126" spans="1:176" s="129" customFormat="1">
      <c r="A126" s="129" t="s">
        <v>152</v>
      </c>
      <c r="B126" s="166" t="s">
        <v>183</v>
      </c>
      <c r="C126" s="166">
        <v>2018</v>
      </c>
      <c r="D126" s="166" t="s">
        <v>184</v>
      </c>
      <c r="E126" s="145">
        <f t="shared" si="14"/>
        <v>25.51</v>
      </c>
      <c r="F126" s="129">
        <f t="shared" si="15"/>
        <v>2</v>
      </c>
      <c r="G126" s="129">
        <f t="shared" si="15"/>
        <v>2</v>
      </c>
      <c r="H126" s="191">
        <v>170.91470000000001</v>
      </c>
      <c r="I126" s="191">
        <v>14.941000000000003</v>
      </c>
      <c r="J126" s="191">
        <v>13.680499999999995</v>
      </c>
      <c r="K126" s="129" t="s">
        <v>457</v>
      </c>
      <c r="L126" s="131" t="s">
        <v>185</v>
      </c>
      <c r="M126" s="132" t="s">
        <v>186</v>
      </c>
      <c r="N126" s="129" t="s">
        <v>184</v>
      </c>
      <c r="O126" s="129" t="s">
        <v>420</v>
      </c>
      <c r="P126" s="129" t="s">
        <v>156</v>
      </c>
      <c r="Q126" s="129">
        <v>1</v>
      </c>
      <c r="R126" s="129">
        <v>1</v>
      </c>
      <c r="S126" s="129">
        <v>120</v>
      </c>
      <c r="T126" s="129">
        <v>122</v>
      </c>
      <c r="U126" s="199">
        <v>1.2</v>
      </c>
      <c r="V126" s="199">
        <v>1.2</v>
      </c>
      <c r="W126" s="129" t="s">
        <v>160</v>
      </c>
      <c r="X126" s="129" t="s">
        <v>421</v>
      </c>
      <c r="Y126" s="200">
        <v>12.74</v>
      </c>
      <c r="Z126" s="200">
        <v>-78.739999999999995</v>
      </c>
      <c r="AA126" s="129" t="s">
        <v>160</v>
      </c>
      <c r="AB126" s="129" t="s">
        <v>160</v>
      </c>
      <c r="AC126" s="129">
        <v>-2839</v>
      </c>
      <c r="AD126" s="129" t="s">
        <v>160</v>
      </c>
      <c r="AE126" s="129" t="s">
        <v>160</v>
      </c>
      <c r="AF126" s="129" t="s">
        <v>160</v>
      </c>
      <c r="AG126" s="145">
        <v>25.51</v>
      </c>
      <c r="AH126" s="129" t="s">
        <v>163</v>
      </c>
      <c r="AI126" s="129">
        <v>2</v>
      </c>
      <c r="AJ126" s="129">
        <v>2</v>
      </c>
      <c r="AK126" s="129" t="s">
        <v>160</v>
      </c>
      <c r="AL126" s="129" t="s">
        <v>422</v>
      </c>
      <c r="AM126" s="129" t="s">
        <v>160</v>
      </c>
      <c r="AN126" s="129" t="s">
        <v>160</v>
      </c>
      <c r="AO126" s="129" t="s">
        <v>160</v>
      </c>
      <c r="AP126" s="129" t="s">
        <v>160</v>
      </c>
      <c r="AQ126" s="129" t="s">
        <v>160</v>
      </c>
      <c r="AR126" s="129" t="s">
        <v>160</v>
      </c>
      <c r="AS126" s="129" t="s">
        <v>160</v>
      </c>
      <c r="AT126" s="129" t="s">
        <v>160</v>
      </c>
      <c r="AU126" s="129" t="s">
        <v>423</v>
      </c>
      <c r="AV126" s="129" t="s">
        <v>161</v>
      </c>
      <c r="AW126" s="129" t="s">
        <v>424</v>
      </c>
      <c r="AX126" s="178">
        <v>2</v>
      </c>
      <c r="AY126" s="129" t="s">
        <v>194</v>
      </c>
      <c r="AZ126" s="129" t="s">
        <v>195</v>
      </c>
      <c r="BA126" s="129" t="s">
        <v>425</v>
      </c>
      <c r="BB126" s="129" t="s">
        <v>160</v>
      </c>
      <c r="BC126" s="178">
        <v>2</v>
      </c>
      <c r="BD126" s="129" t="s">
        <v>160</v>
      </c>
      <c r="BE126" s="199">
        <v>21.69</v>
      </c>
      <c r="BF126" s="129" t="s">
        <v>426</v>
      </c>
      <c r="BG126" s="151">
        <v>0.16</v>
      </c>
      <c r="BH126" s="129">
        <v>0.64</v>
      </c>
      <c r="BI126" s="129" t="s">
        <v>427</v>
      </c>
      <c r="BJ126" s="129">
        <v>3.4000000000000002E-2</v>
      </c>
      <c r="BK126" s="129">
        <v>9.1</v>
      </c>
      <c r="BL126" s="129" t="s">
        <v>163</v>
      </c>
      <c r="BM126" s="129">
        <v>0.56000000000000005</v>
      </c>
      <c r="BN126" s="129" t="s">
        <v>428</v>
      </c>
      <c r="BO126" s="129" t="s">
        <v>429</v>
      </c>
      <c r="BP126" s="151">
        <f t="shared" si="16"/>
        <v>21.366666666666671</v>
      </c>
      <c r="BQ126" s="129" t="s">
        <v>202</v>
      </c>
      <c r="BR126" s="217"/>
      <c r="BS126" s="129" t="s">
        <v>160</v>
      </c>
      <c r="BT126" s="129" t="s">
        <v>160</v>
      </c>
      <c r="BU126" s="129">
        <v>10</v>
      </c>
      <c r="BV126" s="129" t="s">
        <v>159</v>
      </c>
      <c r="BW126" s="129">
        <v>10</v>
      </c>
      <c r="BX126" s="145">
        <v>26.05</v>
      </c>
      <c r="BY126" s="129" t="s">
        <v>159</v>
      </c>
      <c r="BZ126" s="129">
        <v>1</v>
      </c>
      <c r="CA126" s="129">
        <v>1</v>
      </c>
      <c r="CB126" s="129" t="s">
        <v>160</v>
      </c>
      <c r="CC126" s="151">
        <v>3.5369999999999999</v>
      </c>
      <c r="CD126" s="129" t="s">
        <v>430</v>
      </c>
      <c r="CE126" s="151">
        <v>0.14147999999999999</v>
      </c>
      <c r="CF126" s="151">
        <v>0.14147999999999999</v>
      </c>
      <c r="CG126" s="178" t="s">
        <v>160</v>
      </c>
      <c r="CH126" s="129" t="s">
        <v>431</v>
      </c>
      <c r="CI126" s="129" t="s">
        <v>160</v>
      </c>
      <c r="CJ126" s="129" t="s">
        <v>432</v>
      </c>
      <c r="CK126" s="129" t="s">
        <v>158</v>
      </c>
      <c r="CL126" s="129" t="s">
        <v>158</v>
      </c>
      <c r="CM126" s="129" t="s">
        <v>158</v>
      </c>
      <c r="CN126" s="129" t="s">
        <v>160</v>
      </c>
      <c r="CO126" s="129" t="s">
        <v>160</v>
      </c>
      <c r="CP126" s="129" t="s">
        <v>160</v>
      </c>
      <c r="CQ126" s="129" t="s">
        <v>160</v>
      </c>
      <c r="CR126" s="129" t="s">
        <v>160</v>
      </c>
      <c r="CS126" s="129" t="s">
        <v>160</v>
      </c>
      <c r="CT126" s="129" t="s">
        <v>160</v>
      </c>
      <c r="CU126" s="129">
        <v>35</v>
      </c>
      <c r="CV126" s="129" t="s">
        <v>393</v>
      </c>
      <c r="CW126" s="146">
        <v>1</v>
      </c>
      <c r="CX126" s="129" t="s">
        <v>207</v>
      </c>
      <c r="CY126" s="129">
        <v>1.06E-2</v>
      </c>
      <c r="CZ126" s="129" t="s">
        <v>159</v>
      </c>
      <c r="DA126" s="146">
        <v>0</v>
      </c>
      <c r="DB126" s="129" t="s">
        <v>208</v>
      </c>
      <c r="DC126" s="129">
        <v>5.5100000000000003E-2</v>
      </c>
      <c r="DD126" s="129" t="s">
        <v>159</v>
      </c>
      <c r="DE126" s="146">
        <v>0</v>
      </c>
      <c r="DF126" s="129" t="s">
        <v>208</v>
      </c>
      <c r="DG126" s="129" t="s">
        <v>160</v>
      </c>
      <c r="DH126" s="129" t="s">
        <v>160</v>
      </c>
      <c r="DI126" s="129" t="s">
        <v>160</v>
      </c>
      <c r="DJ126" s="129" t="s">
        <v>160</v>
      </c>
      <c r="DK126" s="145">
        <v>432.56244218316402</v>
      </c>
      <c r="DL126" s="129" t="s">
        <v>433</v>
      </c>
      <c r="DM126" s="145" t="s">
        <v>160</v>
      </c>
      <c r="DN126" s="129" t="s">
        <v>434</v>
      </c>
      <c r="DO126" s="129">
        <v>39.606499999999997</v>
      </c>
      <c r="DP126" s="129" t="s">
        <v>160</v>
      </c>
      <c r="DQ126" s="129">
        <v>3.5500000000041609E-3</v>
      </c>
      <c r="DR126" s="129" t="s">
        <v>435</v>
      </c>
      <c r="DS126" s="129" t="s">
        <v>212</v>
      </c>
      <c r="DT126" s="129" t="s">
        <v>213</v>
      </c>
      <c r="DU126" s="129">
        <v>1.0271999999999999</v>
      </c>
      <c r="DV126" s="129" t="s">
        <v>160</v>
      </c>
      <c r="DW126" s="129" t="s">
        <v>160</v>
      </c>
      <c r="DX126" s="129" t="s">
        <v>436</v>
      </c>
      <c r="DY126" s="129" t="s">
        <v>158</v>
      </c>
      <c r="DZ126" s="129" t="s">
        <v>158</v>
      </c>
      <c r="EA126" s="129" t="s">
        <v>216</v>
      </c>
      <c r="EB126" s="129" t="s">
        <v>212</v>
      </c>
      <c r="EC126" s="129" t="s">
        <v>212</v>
      </c>
      <c r="ED126" s="129" t="s">
        <v>212</v>
      </c>
      <c r="EE126" s="129" t="s">
        <v>217</v>
      </c>
      <c r="EF126" s="147" t="s">
        <v>213</v>
      </c>
      <c r="EG126" s="148" t="s">
        <v>213</v>
      </c>
      <c r="EH126" s="129" t="s">
        <v>218</v>
      </c>
      <c r="EI126" s="129" t="s">
        <v>417</v>
      </c>
      <c r="EJ126" s="129" t="s">
        <v>160</v>
      </c>
      <c r="EK126" s="129">
        <v>1999.4760000000001</v>
      </c>
      <c r="EL126" s="129" t="s">
        <v>163</v>
      </c>
      <c r="EM126" s="129">
        <v>0.43199999999986305</v>
      </c>
      <c r="EN126" s="129">
        <v>0.435999999999926</v>
      </c>
      <c r="EO126" s="129" t="s">
        <v>160</v>
      </c>
      <c r="EP126" s="129" t="s">
        <v>160</v>
      </c>
      <c r="EQ126" s="129" t="s">
        <v>160</v>
      </c>
      <c r="ER126" s="129" t="s">
        <v>160</v>
      </c>
      <c r="ES126" s="201">
        <v>8.2956710000000005</v>
      </c>
      <c r="ET126" s="129" t="s">
        <v>165</v>
      </c>
      <c r="EU126" s="151">
        <v>2.7798999999999907E-2</v>
      </c>
      <c r="EV126" s="151">
        <v>2.8222000000001302E-2</v>
      </c>
      <c r="EW126" s="142" t="s">
        <v>160</v>
      </c>
      <c r="EX126" s="129" t="s">
        <v>160</v>
      </c>
      <c r="EY126" s="129" t="s">
        <v>160</v>
      </c>
      <c r="EZ126" s="191">
        <v>170.91470000000001</v>
      </c>
      <c r="FA126" s="191">
        <v>14.941000000000003</v>
      </c>
      <c r="FB126" s="191">
        <v>13.680499999999995</v>
      </c>
      <c r="FC126" s="129" t="s">
        <v>220</v>
      </c>
      <c r="FD126" s="129" t="s">
        <v>221</v>
      </c>
      <c r="FE126" s="129">
        <v>2455.875</v>
      </c>
      <c r="FF126" s="129">
        <v>30.255000000000109</v>
      </c>
      <c r="FG126" s="129">
        <v>29.255999999999858</v>
      </c>
      <c r="FH126" s="129" t="s">
        <v>160</v>
      </c>
      <c r="FI126" s="129" t="s">
        <v>160</v>
      </c>
      <c r="FJ126" s="129" t="s">
        <v>160</v>
      </c>
      <c r="FK126" s="129" t="s">
        <v>160</v>
      </c>
      <c r="FL126" s="129" t="s">
        <v>160</v>
      </c>
      <c r="FM126" s="129" t="s">
        <v>160</v>
      </c>
      <c r="FN126" s="151">
        <v>5.8039209999999999</v>
      </c>
      <c r="FO126" s="151">
        <v>0.21564600000000045</v>
      </c>
      <c r="FP126" s="151">
        <v>0.20490699999999951</v>
      </c>
      <c r="FQ126" s="178" t="s">
        <v>419</v>
      </c>
      <c r="FR126" s="129" t="s">
        <v>415</v>
      </c>
      <c r="FS126" s="129">
        <v>2017</v>
      </c>
      <c r="FT126" s="131" t="s">
        <v>416</v>
      </c>
    </row>
    <row r="127" spans="1:176" s="129" customFormat="1">
      <c r="A127" s="129" t="s">
        <v>152</v>
      </c>
      <c r="B127" s="166" t="s">
        <v>183</v>
      </c>
      <c r="C127" s="166">
        <v>2018</v>
      </c>
      <c r="D127" s="166" t="s">
        <v>184</v>
      </c>
      <c r="E127" s="145">
        <f t="shared" si="14"/>
        <v>35.82</v>
      </c>
      <c r="F127" s="129">
        <f t="shared" si="15"/>
        <v>2</v>
      </c>
      <c r="G127" s="129">
        <f t="shared" si="15"/>
        <v>2</v>
      </c>
      <c r="H127" s="191">
        <v>214.423</v>
      </c>
      <c r="I127" s="191">
        <v>18.77170000000001</v>
      </c>
      <c r="J127" s="191">
        <v>17.433699999999988</v>
      </c>
      <c r="K127" s="129" t="s">
        <v>457</v>
      </c>
      <c r="L127" s="131" t="s">
        <v>185</v>
      </c>
      <c r="M127" s="132" t="s">
        <v>186</v>
      </c>
      <c r="N127" s="129" t="s">
        <v>184</v>
      </c>
      <c r="O127" s="129" t="s">
        <v>420</v>
      </c>
      <c r="P127" s="129" t="s">
        <v>156</v>
      </c>
      <c r="Q127" s="129">
        <v>1</v>
      </c>
      <c r="R127" s="129">
        <v>2</v>
      </c>
      <c r="S127" s="129">
        <f>T127-2</f>
        <v>20</v>
      </c>
      <c r="T127" s="129">
        <v>22</v>
      </c>
      <c r="U127" s="199">
        <v>1.72</v>
      </c>
      <c r="V127" s="199">
        <v>1.72</v>
      </c>
      <c r="W127" s="129" t="s">
        <v>160</v>
      </c>
      <c r="X127" s="129" t="s">
        <v>421</v>
      </c>
      <c r="Y127" s="200">
        <v>12.74</v>
      </c>
      <c r="Z127" s="200">
        <v>-78.739999999999995</v>
      </c>
      <c r="AA127" s="129" t="s">
        <v>160</v>
      </c>
      <c r="AB127" s="129" t="s">
        <v>160</v>
      </c>
      <c r="AC127" s="129">
        <v>-2839</v>
      </c>
      <c r="AD127" s="129" t="s">
        <v>160</v>
      </c>
      <c r="AE127" s="129" t="s">
        <v>160</v>
      </c>
      <c r="AF127" s="129" t="s">
        <v>160</v>
      </c>
      <c r="AG127" s="145">
        <v>35.82</v>
      </c>
      <c r="AH127" s="129" t="s">
        <v>163</v>
      </c>
      <c r="AI127" s="129">
        <v>2</v>
      </c>
      <c r="AJ127" s="129">
        <v>2</v>
      </c>
      <c r="AK127" s="129" t="s">
        <v>160</v>
      </c>
      <c r="AL127" s="129" t="s">
        <v>422</v>
      </c>
      <c r="AM127" s="129" t="s">
        <v>160</v>
      </c>
      <c r="AN127" s="129" t="s">
        <v>160</v>
      </c>
      <c r="AO127" s="129" t="s">
        <v>160</v>
      </c>
      <c r="AP127" s="129" t="s">
        <v>160</v>
      </c>
      <c r="AQ127" s="129" t="s">
        <v>160</v>
      </c>
      <c r="AR127" s="129" t="s">
        <v>160</v>
      </c>
      <c r="AS127" s="129" t="s">
        <v>160</v>
      </c>
      <c r="AT127" s="129" t="s">
        <v>160</v>
      </c>
      <c r="AU127" s="129" t="s">
        <v>423</v>
      </c>
      <c r="AV127" s="129" t="s">
        <v>161</v>
      </c>
      <c r="AW127" s="129" t="s">
        <v>424</v>
      </c>
      <c r="AX127" s="178">
        <v>2</v>
      </c>
      <c r="AY127" s="129" t="s">
        <v>194</v>
      </c>
      <c r="AZ127" s="129" t="s">
        <v>195</v>
      </c>
      <c r="BA127" s="129" t="s">
        <v>425</v>
      </c>
      <c r="BB127" s="129" t="s">
        <v>160</v>
      </c>
      <c r="BC127" s="178">
        <v>2</v>
      </c>
      <c r="BD127" s="129" t="s">
        <v>160</v>
      </c>
      <c r="BE127" s="199">
        <v>21.12</v>
      </c>
      <c r="BF127" s="129" t="s">
        <v>426</v>
      </c>
      <c r="BG127" s="151">
        <v>0.18</v>
      </c>
      <c r="BH127" s="129">
        <v>0.64</v>
      </c>
      <c r="BI127" s="129" t="s">
        <v>427</v>
      </c>
      <c r="BJ127" s="129">
        <v>3.4000000000000002E-2</v>
      </c>
      <c r="BK127" s="129">
        <v>9.1</v>
      </c>
      <c r="BL127" s="129" t="s">
        <v>163</v>
      </c>
      <c r="BM127" s="129">
        <v>0.56000000000000005</v>
      </c>
      <c r="BN127" s="129" t="s">
        <v>428</v>
      </c>
      <c r="BO127" s="129" t="s">
        <v>429</v>
      </c>
      <c r="BP127" s="151">
        <f t="shared" si="16"/>
        <v>20.416666666666671</v>
      </c>
      <c r="BQ127" s="129" t="s">
        <v>202</v>
      </c>
      <c r="BR127" s="217"/>
      <c r="BS127" s="129" t="s">
        <v>160</v>
      </c>
      <c r="BT127" s="129" t="s">
        <v>160</v>
      </c>
      <c r="BU127" s="129">
        <v>10</v>
      </c>
      <c r="BV127" s="129" t="s">
        <v>159</v>
      </c>
      <c r="BW127" s="129">
        <v>10</v>
      </c>
      <c r="BX127" s="145">
        <v>26.31</v>
      </c>
      <c r="BY127" s="129" t="s">
        <v>159</v>
      </c>
      <c r="BZ127" s="129">
        <v>1</v>
      </c>
      <c r="CA127" s="129">
        <v>1</v>
      </c>
      <c r="CB127" s="129" t="s">
        <v>160</v>
      </c>
      <c r="CC127" s="151">
        <v>3.3730000000000002</v>
      </c>
      <c r="CD127" s="129" t="s">
        <v>430</v>
      </c>
      <c r="CE127" s="151">
        <v>0.13492000000000001</v>
      </c>
      <c r="CF127" s="151">
        <v>0.13492000000000001</v>
      </c>
      <c r="CG127" s="178" t="s">
        <v>160</v>
      </c>
      <c r="CH127" s="129" t="s">
        <v>431</v>
      </c>
      <c r="CI127" s="129" t="s">
        <v>160</v>
      </c>
      <c r="CJ127" s="129" t="s">
        <v>432</v>
      </c>
      <c r="CK127" s="129" t="s">
        <v>158</v>
      </c>
      <c r="CL127" s="129" t="s">
        <v>158</v>
      </c>
      <c r="CM127" s="129" t="s">
        <v>158</v>
      </c>
      <c r="CN127" s="129" t="s">
        <v>160</v>
      </c>
      <c r="CO127" s="129" t="s">
        <v>160</v>
      </c>
      <c r="CP127" s="129" t="s">
        <v>160</v>
      </c>
      <c r="CQ127" s="129" t="s">
        <v>160</v>
      </c>
      <c r="CR127" s="129" t="s">
        <v>160</v>
      </c>
      <c r="CS127" s="129" t="s">
        <v>160</v>
      </c>
      <c r="CT127" s="129" t="s">
        <v>160</v>
      </c>
      <c r="CU127" s="129">
        <v>35</v>
      </c>
      <c r="CV127" s="129" t="s">
        <v>393</v>
      </c>
      <c r="CW127" s="146">
        <v>1</v>
      </c>
      <c r="CX127" s="129" t="s">
        <v>207</v>
      </c>
      <c r="CY127" s="129">
        <v>1.06E-2</v>
      </c>
      <c r="CZ127" s="129" t="s">
        <v>159</v>
      </c>
      <c r="DA127" s="146">
        <v>0</v>
      </c>
      <c r="DB127" s="129" t="s">
        <v>208</v>
      </c>
      <c r="DC127" s="129">
        <v>5.5100000000000003E-2</v>
      </c>
      <c r="DD127" s="129" t="s">
        <v>159</v>
      </c>
      <c r="DE127" s="146">
        <v>0</v>
      </c>
      <c r="DF127" s="129" t="s">
        <v>208</v>
      </c>
      <c r="DG127" s="129" t="s">
        <v>160</v>
      </c>
      <c r="DH127" s="129" t="s">
        <v>160</v>
      </c>
      <c r="DI127" s="129" t="s">
        <v>160</v>
      </c>
      <c r="DJ127" s="129" t="s">
        <v>160</v>
      </c>
      <c r="DK127" s="145">
        <v>432.56244218316402</v>
      </c>
      <c r="DL127" s="129" t="s">
        <v>433</v>
      </c>
      <c r="DM127" s="145" t="s">
        <v>160</v>
      </c>
      <c r="DN127" s="129" t="s">
        <v>434</v>
      </c>
      <c r="DO127" s="129">
        <v>39.607019999999999</v>
      </c>
      <c r="DP127" s="129" t="s">
        <v>160</v>
      </c>
      <c r="DQ127" s="129">
        <v>6.7900000000022942E-3</v>
      </c>
      <c r="DR127" s="129" t="s">
        <v>435</v>
      </c>
      <c r="DS127" s="129" t="s">
        <v>212</v>
      </c>
      <c r="DT127" s="129" t="s">
        <v>213</v>
      </c>
      <c r="DU127" s="129">
        <v>1.0271999999999999</v>
      </c>
      <c r="DV127" s="129" t="s">
        <v>160</v>
      </c>
      <c r="DW127" s="129" t="s">
        <v>160</v>
      </c>
      <c r="DX127" s="129" t="s">
        <v>436</v>
      </c>
      <c r="DY127" s="129" t="s">
        <v>158</v>
      </c>
      <c r="DZ127" s="129" t="s">
        <v>158</v>
      </c>
      <c r="EA127" s="129" t="s">
        <v>216</v>
      </c>
      <c r="EB127" s="129" t="s">
        <v>212</v>
      </c>
      <c r="EC127" s="129" t="s">
        <v>212</v>
      </c>
      <c r="ED127" s="129" t="s">
        <v>212</v>
      </c>
      <c r="EE127" s="129" t="s">
        <v>217</v>
      </c>
      <c r="EF127" s="147" t="s">
        <v>213</v>
      </c>
      <c r="EG127" s="148" t="s">
        <v>213</v>
      </c>
      <c r="EH127" s="129" t="s">
        <v>218</v>
      </c>
      <c r="EI127" s="129" t="s">
        <v>417</v>
      </c>
      <c r="EJ127" s="129" t="s">
        <v>160</v>
      </c>
      <c r="EK127" s="129">
        <v>1999.2740000000001</v>
      </c>
      <c r="EL127" s="129" t="s">
        <v>163</v>
      </c>
      <c r="EM127" s="129">
        <v>0.60399999999996912</v>
      </c>
      <c r="EN127" s="129">
        <v>0.60700000000012477</v>
      </c>
      <c r="EO127" s="129" t="s">
        <v>160</v>
      </c>
      <c r="EP127" s="129" t="s">
        <v>160</v>
      </c>
      <c r="EQ127" s="129" t="s">
        <v>160</v>
      </c>
      <c r="ER127" s="129" t="s">
        <v>160</v>
      </c>
      <c r="ES127" s="201">
        <v>8.2226339999999993</v>
      </c>
      <c r="ET127" s="129" t="s">
        <v>165</v>
      </c>
      <c r="EU127" s="151">
        <v>2.9409000000001129E-2</v>
      </c>
      <c r="EV127" s="151">
        <v>2.9018999999999906E-2</v>
      </c>
      <c r="EW127" s="142" t="s">
        <v>160</v>
      </c>
      <c r="EX127" s="129" t="s">
        <v>160</v>
      </c>
      <c r="EY127" s="129" t="s">
        <v>160</v>
      </c>
      <c r="EZ127" s="191">
        <v>214.423</v>
      </c>
      <c r="FA127" s="191">
        <v>18.77170000000001</v>
      </c>
      <c r="FB127" s="191">
        <v>17.433699999999988</v>
      </c>
      <c r="FC127" s="129" t="s">
        <v>220</v>
      </c>
      <c r="FD127" s="129" t="s">
        <v>221</v>
      </c>
      <c r="FE127" s="129">
        <v>2394.0430000000001</v>
      </c>
      <c r="FF127" s="129">
        <v>29.007999999999811</v>
      </c>
      <c r="FG127" s="129">
        <v>28.159999999999854</v>
      </c>
      <c r="FH127" s="129" t="s">
        <v>160</v>
      </c>
      <c r="FI127" s="129" t="s">
        <v>160</v>
      </c>
      <c r="FJ127" s="129" t="s">
        <v>160</v>
      </c>
      <c r="FK127" s="129" t="s">
        <v>160</v>
      </c>
      <c r="FL127" s="129" t="s">
        <v>160</v>
      </c>
      <c r="FM127" s="129" t="s">
        <v>160</v>
      </c>
      <c r="FN127" s="151">
        <v>5.0817519999999998</v>
      </c>
      <c r="FO127" s="151">
        <v>0.20946599999999993</v>
      </c>
      <c r="FP127" s="151">
        <v>0.20061199999999957</v>
      </c>
      <c r="FQ127" s="178" t="s">
        <v>419</v>
      </c>
      <c r="FR127" s="129" t="s">
        <v>415</v>
      </c>
      <c r="FS127" s="129">
        <v>2017</v>
      </c>
      <c r="FT127" s="131" t="s">
        <v>416</v>
      </c>
    </row>
    <row r="128" spans="1:176" s="129" customFormat="1">
      <c r="A128" s="129" t="s">
        <v>152</v>
      </c>
      <c r="B128" s="166" t="s">
        <v>183</v>
      </c>
      <c r="C128" s="166">
        <v>2018</v>
      </c>
      <c r="D128" s="166" t="s">
        <v>184</v>
      </c>
      <c r="E128" s="145">
        <f t="shared" si="14"/>
        <v>46.61</v>
      </c>
      <c r="F128" s="129">
        <f t="shared" si="15"/>
        <v>2</v>
      </c>
      <c r="G128" s="129">
        <f t="shared" si="15"/>
        <v>2</v>
      </c>
      <c r="H128" s="191">
        <v>210.3135</v>
      </c>
      <c r="I128" s="191">
        <v>17.70920000000001</v>
      </c>
      <c r="J128" s="191">
        <v>16.859499999999997</v>
      </c>
      <c r="K128" s="129" t="s">
        <v>457</v>
      </c>
      <c r="L128" s="131" t="s">
        <v>185</v>
      </c>
      <c r="M128" s="132" t="s">
        <v>186</v>
      </c>
      <c r="N128" s="129" t="s">
        <v>184</v>
      </c>
      <c r="O128" s="129" t="s">
        <v>420</v>
      </c>
      <c r="P128" s="129" t="s">
        <v>156</v>
      </c>
      <c r="Q128" s="129">
        <v>1</v>
      </c>
      <c r="R128" s="129">
        <v>2</v>
      </c>
      <c r="S128" s="129">
        <f t="shared" ref="S128:S135" si="17">T128-2</f>
        <v>61</v>
      </c>
      <c r="T128" s="129">
        <v>63</v>
      </c>
      <c r="U128" s="199">
        <v>2.13</v>
      </c>
      <c r="V128" s="199">
        <v>2.13</v>
      </c>
      <c r="W128" s="129" t="s">
        <v>160</v>
      </c>
      <c r="X128" s="129" t="s">
        <v>421</v>
      </c>
      <c r="Y128" s="200">
        <v>12.74</v>
      </c>
      <c r="Z128" s="200">
        <v>-78.739999999999995</v>
      </c>
      <c r="AA128" s="129" t="s">
        <v>160</v>
      </c>
      <c r="AB128" s="129" t="s">
        <v>160</v>
      </c>
      <c r="AC128" s="129">
        <v>-2839</v>
      </c>
      <c r="AD128" s="129" t="s">
        <v>160</v>
      </c>
      <c r="AE128" s="129" t="s">
        <v>160</v>
      </c>
      <c r="AF128" s="129" t="s">
        <v>160</v>
      </c>
      <c r="AG128" s="145">
        <v>46.61</v>
      </c>
      <c r="AH128" s="129" t="s">
        <v>163</v>
      </c>
      <c r="AI128" s="129">
        <v>2</v>
      </c>
      <c r="AJ128" s="129">
        <v>2</v>
      </c>
      <c r="AK128" s="129" t="s">
        <v>160</v>
      </c>
      <c r="AL128" s="129" t="s">
        <v>422</v>
      </c>
      <c r="AM128" s="129" t="s">
        <v>160</v>
      </c>
      <c r="AN128" s="129" t="s">
        <v>160</v>
      </c>
      <c r="AO128" s="129" t="s">
        <v>160</v>
      </c>
      <c r="AP128" s="129" t="s">
        <v>160</v>
      </c>
      <c r="AQ128" s="129" t="s">
        <v>160</v>
      </c>
      <c r="AR128" s="129" t="s">
        <v>160</v>
      </c>
      <c r="AS128" s="129" t="s">
        <v>160</v>
      </c>
      <c r="AT128" s="129" t="s">
        <v>160</v>
      </c>
      <c r="AU128" s="129" t="s">
        <v>423</v>
      </c>
      <c r="AV128" s="129" t="s">
        <v>161</v>
      </c>
      <c r="AW128" s="129" t="s">
        <v>424</v>
      </c>
      <c r="AX128" s="178">
        <v>2</v>
      </c>
      <c r="AY128" s="129" t="s">
        <v>194</v>
      </c>
      <c r="AZ128" s="129" t="s">
        <v>195</v>
      </c>
      <c r="BA128" s="129" t="s">
        <v>425</v>
      </c>
      <c r="BB128" s="129" t="s">
        <v>160</v>
      </c>
      <c r="BC128" s="178">
        <v>2</v>
      </c>
      <c r="BD128" s="129" t="s">
        <v>160</v>
      </c>
      <c r="BE128" s="199">
        <v>21.16</v>
      </c>
      <c r="BF128" s="129" t="s">
        <v>426</v>
      </c>
      <c r="BG128" s="151">
        <v>0.16</v>
      </c>
      <c r="BH128" s="129">
        <v>0.64</v>
      </c>
      <c r="BI128" s="129" t="s">
        <v>427</v>
      </c>
      <c r="BJ128" s="129">
        <v>3.4000000000000002E-2</v>
      </c>
      <c r="BK128" s="129">
        <v>9.1</v>
      </c>
      <c r="BL128" s="129" t="s">
        <v>163</v>
      </c>
      <c r="BM128" s="129">
        <v>0.56000000000000005</v>
      </c>
      <c r="BN128" s="129" t="s">
        <v>428</v>
      </c>
      <c r="BO128" s="129" t="s">
        <v>429</v>
      </c>
      <c r="BP128" s="151">
        <f t="shared" si="16"/>
        <v>20.483333333333334</v>
      </c>
      <c r="BQ128" s="129" t="s">
        <v>202</v>
      </c>
      <c r="BR128" s="217"/>
      <c r="BS128" s="129" t="s">
        <v>160</v>
      </c>
      <c r="BT128" s="129" t="s">
        <v>160</v>
      </c>
      <c r="BU128" s="129">
        <v>10</v>
      </c>
      <c r="BV128" s="129" t="s">
        <v>159</v>
      </c>
      <c r="BW128" s="129">
        <v>10</v>
      </c>
      <c r="BX128" s="145">
        <v>26.15</v>
      </c>
      <c r="BY128" s="129" t="s">
        <v>159</v>
      </c>
      <c r="BZ128" s="129">
        <v>1</v>
      </c>
      <c r="CA128" s="129">
        <v>1</v>
      </c>
      <c r="CB128" s="129" t="s">
        <v>160</v>
      </c>
      <c r="CC128" s="151">
        <v>3.347</v>
      </c>
      <c r="CD128" s="129" t="s">
        <v>430</v>
      </c>
      <c r="CE128" s="151">
        <v>0.13388</v>
      </c>
      <c r="CF128" s="151">
        <v>0.13388</v>
      </c>
      <c r="CG128" s="178" t="s">
        <v>160</v>
      </c>
      <c r="CH128" s="129" t="s">
        <v>431</v>
      </c>
      <c r="CI128" s="129" t="s">
        <v>160</v>
      </c>
      <c r="CJ128" s="129" t="s">
        <v>432</v>
      </c>
      <c r="CK128" s="129" t="s">
        <v>158</v>
      </c>
      <c r="CL128" s="129" t="s">
        <v>158</v>
      </c>
      <c r="CM128" s="129" t="s">
        <v>158</v>
      </c>
      <c r="CN128" s="129" t="s">
        <v>160</v>
      </c>
      <c r="CO128" s="129" t="s">
        <v>160</v>
      </c>
      <c r="CP128" s="129" t="s">
        <v>160</v>
      </c>
      <c r="CQ128" s="129" t="s">
        <v>160</v>
      </c>
      <c r="CR128" s="129" t="s">
        <v>160</v>
      </c>
      <c r="CS128" s="129" t="s">
        <v>160</v>
      </c>
      <c r="CT128" s="129" t="s">
        <v>160</v>
      </c>
      <c r="CU128" s="129">
        <v>35</v>
      </c>
      <c r="CV128" s="129" t="s">
        <v>393</v>
      </c>
      <c r="CW128" s="146">
        <v>1</v>
      </c>
      <c r="CX128" s="129" t="s">
        <v>207</v>
      </c>
      <c r="CY128" s="129">
        <v>1.06E-2</v>
      </c>
      <c r="CZ128" s="129" t="s">
        <v>159</v>
      </c>
      <c r="DA128" s="146">
        <v>0</v>
      </c>
      <c r="DB128" s="129" t="s">
        <v>208</v>
      </c>
      <c r="DC128" s="129">
        <v>5.5100000000000003E-2</v>
      </c>
      <c r="DD128" s="129" t="s">
        <v>159</v>
      </c>
      <c r="DE128" s="146">
        <v>0</v>
      </c>
      <c r="DF128" s="129" t="s">
        <v>208</v>
      </c>
      <c r="DG128" s="129" t="s">
        <v>160</v>
      </c>
      <c r="DH128" s="129" t="s">
        <v>160</v>
      </c>
      <c r="DI128" s="129" t="s">
        <v>160</v>
      </c>
      <c r="DJ128" s="129" t="s">
        <v>160</v>
      </c>
      <c r="DK128" s="145">
        <v>432.56244218316402</v>
      </c>
      <c r="DL128" s="129" t="s">
        <v>433</v>
      </c>
      <c r="DM128" s="145" t="s">
        <v>160</v>
      </c>
      <c r="DN128" s="129" t="s">
        <v>434</v>
      </c>
      <c r="DO128" s="129">
        <v>39.60772</v>
      </c>
      <c r="DP128" s="129" t="s">
        <v>160</v>
      </c>
      <c r="DQ128" s="129">
        <v>1.0640000000002203E-2</v>
      </c>
      <c r="DR128" s="129" t="s">
        <v>435</v>
      </c>
      <c r="DS128" s="129" t="s">
        <v>212</v>
      </c>
      <c r="DT128" s="129" t="s">
        <v>213</v>
      </c>
      <c r="DU128" s="129">
        <v>1.0271999999999999</v>
      </c>
      <c r="DV128" s="129" t="s">
        <v>160</v>
      </c>
      <c r="DW128" s="129" t="s">
        <v>160</v>
      </c>
      <c r="DX128" s="129" t="s">
        <v>436</v>
      </c>
      <c r="DY128" s="129" t="s">
        <v>158</v>
      </c>
      <c r="DZ128" s="129" t="s">
        <v>158</v>
      </c>
      <c r="EA128" s="129" t="s">
        <v>216</v>
      </c>
      <c r="EB128" s="129" t="s">
        <v>212</v>
      </c>
      <c r="EC128" s="129" t="s">
        <v>212</v>
      </c>
      <c r="ED128" s="129" t="s">
        <v>212</v>
      </c>
      <c r="EE128" s="129" t="s">
        <v>217</v>
      </c>
      <c r="EF128" s="147" t="s">
        <v>213</v>
      </c>
      <c r="EG128" s="148" t="s">
        <v>213</v>
      </c>
      <c r="EH128" s="129" t="s">
        <v>218</v>
      </c>
      <c r="EI128" s="129" t="s">
        <v>417</v>
      </c>
      <c r="EJ128" s="129" t="s">
        <v>160</v>
      </c>
      <c r="EK128" s="129">
        <v>1999.0450000000001</v>
      </c>
      <c r="EL128" s="129" t="s">
        <v>163</v>
      </c>
      <c r="EM128" s="129">
        <v>0.76999999999976398</v>
      </c>
      <c r="EN128" s="129">
        <v>0.78800000000026416</v>
      </c>
      <c r="EO128" s="129" t="s">
        <v>160</v>
      </c>
      <c r="EP128" s="129" t="s">
        <v>160</v>
      </c>
      <c r="EQ128" s="129" t="s">
        <v>160</v>
      </c>
      <c r="ER128" s="129" t="s">
        <v>160</v>
      </c>
      <c r="ES128" s="201">
        <v>8.2289480000000008</v>
      </c>
      <c r="ET128" s="129" t="s">
        <v>165</v>
      </c>
      <c r="EU128" s="151">
        <v>2.8577999999999548E-2</v>
      </c>
      <c r="EV128" s="151">
        <v>2.7915000000000134E-2</v>
      </c>
      <c r="EW128" s="142" t="s">
        <v>160</v>
      </c>
      <c r="EX128" s="129" t="s">
        <v>160</v>
      </c>
      <c r="EY128" s="129" t="s">
        <v>160</v>
      </c>
      <c r="EZ128" s="191">
        <v>210.3135</v>
      </c>
      <c r="FA128" s="191">
        <v>17.70920000000001</v>
      </c>
      <c r="FB128" s="191">
        <v>16.859499999999997</v>
      </c>
      <c r="FC128" s="129" t="s">
        <v>220</v>
      </c>
      <c r="FD128" s="129" t="s">
        <v>221</v>
      </c>
      <c r="FE128" s="129">
        <v>2398.0300000000002</v>
      </c>
      <c r="FF128" s="129">
        <v>28.510999999999967</v>
      </c>
      <c r="FG128" s="129">
        <v>28.764000000000124</v>
      </c>
      <c r="FH128" s="129" t="s">
        <v>160</v>
      </c>
      <c r="FI128" s="129" t="s">
        <v>160</v>
      </c>
      <c r="FJ128" s="129" t="s">
        <v>160</v>
      </c>
      <c r="FK128" s="129" t="s">
        <v>160</v>
      </c>
      <c r="FL128" s="129" t="s">
        <v>160</v>
      </c>
      <c r="FM128" s="129" t="s">
        <v>160</v>
      </c>
      <c r="FN128" s="151">
        <v>5.1275969999999997</v>
      </c>
      <c r="FO128" s="151">
        <v>0.20261200000000024</v>
      </c>
      <c r="FP128" s="151">
        <v>0.19482700000000008</v>
      </c>
      <c r="FQ128" s="178" t="s">
        <v>419</v>
      </c>
      <c r="FR128" s="129" t="s">
        <v>415</v>
      </c>
      <c r="FS128" s="129">
        <v>2017</v>
      </c>
      <c r="FT128" s="131" t="s">
        <v>416</v>
      </c>
    </row>
    <row r="129" spans="1:176" s="129" customFormat="1">
      <c r="A129" s="129" t="s">
        <v>152</v>
      </c>
      <c r="B129" s="166" t="s">
        <v>183</v>
      </c>
      <c r="C129" s="166">
        <v>2018</v>
      </c>
      <c r="D129" s="166" t="s">
        <v>184</v>
      </c>
      <c r="E129" s="145">
        <f t="shared" si="14"/>
        <v>52.14</v>
      </c>
      <c r="F129" s="129">
        <f t="shared" si="15"/>
        <v>2</v>
      </c>
      <c r="G129" s="129">
        <f t="shared" si="15"/>
        <v>2</v>
      </c>
      <c r="H129" s="191">
        <v>200.68430000000001</v>
      </c>
      <c r="I129" s="191">
        <v>18.368200000000002</v>
      </c>
      <c r="J129" s="191">
        <v>16.962799999999987</v>
      </c>
      <c r="K129" s="129" t="s">
        <v>457</v>
      </c>
      <c r="L129" s="131" t="s">
        <v>185</v>
      </c>
      <c r="M129" s="132" t="s">
        <v>186</v>
      </c>
      <c r="N129" s="129" t="s">
        <v>184</v>
      </c>
      <c r="O129" s="129" t="s">
        <v>420</v>
      </c>
      <c r="P129" s="129" t="s">
        <v>156</v>
      </c>
      <c r="Q129" s="129">
        <v>1</v>
      </c>
      <c r="R129" s="129">
        <v>2</v>
      </c>
      <c r="S129" s="129">
        <f t="shared" si="17"/>
        <v>82</v>
      </c>
      <c r="T129" s="129">
        <v>84</v>
      </c>
      <c r="U129" s="199">
        <v>2.34</v>
      </c>
      <c r="V129" s="199">
        <v>2.34</v>
      </c>
      <c r="W129" s="129" t="s">
        <v>160</v>
      </c>
      <c r="X129" s="129" t="s">
        <v>421</v>
      </c>
      <c r="Y129" s="200">
        <v>12.74</v>
      </c>
      <c r="Z129" s="200">
        <v>-78.739999999999995</v>
      </c>
      <c r="AA129" s="129" t="s">
        <v>160</v>
      </c>
      <c r="AB129" s="129" t="s">
        <v>160</v>
      </c>
      <c r="AC129" s="129">
        <v>-2839</v>
      </c>
      <c r="AD129" s="129" t="s">
        <v>160</v>
      </c>
      <c r="AE129" s="129" t="s">
        <v>160</v>
      </c>
      <c r="AF129" s="129" t="s">
        <v>160</v>
      </c>
      <c r="AG129" s="145">
        <v>52.14</v>
      </c>
      <c r="AH129" s="129" t="s">
        <v>163</v>
      </c>
      <c r="AI129" s="129">
        <v>2</v>
      </c>
      <c r="AJ129" s="129">
        <v>2</v>
      </c>
      <c r="AK129" s="129" t="s">
        <v>160</v>
      </c>
      <c r="AL129" s="129" t="s">
        <v>422</v>
      </c>
      <c r="AM129" s="129" t="s">
        <v>160</v>
      </c>
      <c r="AN129" s="129" t="s">
        <v>160</v>
      </c>
      <c r="AO129" s="129" t="s">
        <v>160</v>
      </c>
      <c r="AP129" s="129" t="s">
        <v>160</v>
      </c>
      <c r="AQ129" s="129" t="s">
        <v>160</v>
      </c>
      <c r="AR129" s="129" t="s">
        <v>160</v>
      </c>
      <c r="AS129" s="129" t="s">
        <v>160</v>
      </c>
      <c r="AT129" s="129" t="s">
        <v>160</v>
      </c>
      <c r="AU129" s="129" t="s">
        <v>423</v>
      </c>
      <c r="AV129" s="129" t="s">
        <v>161</v>
      </c>
      <c r="AW129" s="129" t="s">
        <v>424</v>
      </c>
      <c r="AX129" s="178">
        <v>2</v>
      </c>
      <c r="AY129" s="129" t="s">
        <v>194</v>
      </c>
      <c r="AZ129" s="129" t="s">
        <v>195</v>
      </c>
      <c r="BA129" s="129" t="s">
        <v>425</v>
      </c>
      <c r="BB129" s="129" t="s">
        <v>160</v>
      </c>
      <c r="BC129" s="178">
        <v>2</v>
      </c>
      <c r="BD129" s="129" t="s">
        <v>160</v>
      </c>
      <c r="BE129" s="199">
        <v>21.29</v>
      </c>
      <c r="BF129" s="129" t="s">
        <v>426</v>
      </c>
      <c r="BG129" s="151">
        <v>0.2</v>
      </c>
      <c r="BH129" s="129">
        <v>0.64</v>
      </c>
      <c r="BI129" s="129" t="s">
        <v>427</v>
      </c>
      <c r="BJ129" s="129">
        <v>3.4000000000000002E-2</v>
      </c>
      <c r="BK129" s="129">
        <v>9.1</v>
      </c>
      <c r="BL129" s="129" t="s">
        <v>163</v>
      </c>
      <c r="BM129" s="129">
        <v>0.56000000000000005</v>
      </c>
      <c r="BN129" s="129" t="s">
        <v>428</v>
      </c>
      <c r="BO129" s="129" t="s">
        <v>429</v>
      </c>
      <c r="BP129" s="151">
        <f t="shared" si="16"/>
        <v>20.7</v>
      </c>
      <c r="BQ129" s="129" t="s">
        <v>202</v>
      </c>
      <c r="BR129" s="217"/>
      <c r="BS129" s="129" t="s">
        <v>160</v>
      </c>
      <c r="BT129" s="129" t="s">
        <v>160</v>
      </c>
      <c r="BU129" s="129">
        <v>10</v>
      </c>
      <c r="BV129" s="129" t="s">
        <v>159</v>
      </c>
      <c r="BW129" s="129">
        <v>10</v>
      </c>
      <c r="BX129" s="145">
        <v>26.32</v>
      </c>
      <c r="BY129" s="129" t="s">
        <v>159</v>
      </c>
      <c r="BZ129" s="129">
        <v>1</v>
      </c>
      <c r="CA129" s="129">
        <v>1</v>
      </c>
      <c r="CB129" s="129" t="s">
        <v>160</v>
      </c>
      <c r="CC129" s="151">
        <v>3.5089999999999999</v>
      </c>
      <c r="CD129" s="129" t="s">
        <v>430</v>
      </c>
      <c r="CE129" s="151">
        <v>0.14036000000000001</v>
      </c>
      <c r="CF129" s="151">
        <v>0.14036000000000001</v>
      </c>
      <c r="CG129" s="178" t="s">
        <v>160</v>
      </c>
      <c r="CH129" s="129" t="s">
        <v>431</v>
      </c>
      <c r="CI129" s="129" t="s">
        <v>160</v>
      </c>
      <c r="CJ129" s="129" t="s">
        <v>432</v>
      </c>
      <c r="CK129" s="129" t="s">
        <v>158</v>
      </c>
      <c r="CL129" s="129" t="s">
        <v>158</v>
      </c>
      <c r="CM129" s="129" t="s">
        <v>158</v>
      </c>
      <c r="CN129" s="129" t="s">
        <v>160</v>
      </c>
      <c r="CO129" s="129" t="s">
        <v>160</v>
      </c>
      <c r="CP129" s="129" t="s">
        <v>160</v>
      </c>
      <c r="CQ129" s="129" t="s">
        <v>160</v>
      </c>
      <c r="CR129" s="129" t="s">
        <v>160</v>
      </c>
      <c r="CS129" s="129" t="s">
        <v>160</v>
      </c>
      <c r="CT129" s="129" t="s">
        <v>160</v>
      </c>
      <c r="CU129" s="129">
        <v>35</v>
      </c>
      <c r="CV129" s="129" t="s">
        <v>393</v>
      </c>
      <c r="CW129" s="146">
        <v>1</v>
      </c>
      <c r="CX129" s="129" t="s">
        <v>207</v>
      </c>
      <c r="CY129" s="129">
        <v>1.06E-2</v>
      </c>
      <c r="CZ129" s="129" t="s">
        <v>159</v>
      </c>
      <c r="DA129" s="146">
        <v>0</v>
      </c>
      <c r="DB129" s="129" t="s">
        <v>208</v>
      </c>
      <c r="DC129" s="129">
        <v>5.5100000000000003E-2</v>
      </c>
      <c r="DD129" s="129" t="s">
        <v>159</v>
      </c>
      <c r="DE129" s="146">
        <v>0</v>
      </c>
      <c r="DF129" s="129" t="s">
        <v>208</v>
      </c>
      <c r="DG129" s="129" t="s">
        <v>160</v>
      </c>
      <c r="DH129" s="129" t="s">
        <v>160</v>
      </c>
      <c r="DI129" s="129" t="s">
        <v>160</v>
      </c>
      <c r="DJ129" s="129" t="s">
        <v>160</v>
      </c>
      <c r="DK129" s="145">
        <v>432.56244218316402</v>
      </c>
      <c r="DL129" s="129" t="s">
        <v>433</v>
      </c>
      <c r="DM129" s="145" t="s">
        <v>160</v>
      </c>
      <c r="DN129" s="129" t="s">
        <v>434</v>
      </c>
      <c r="DO129" s="129">
        <v>39.607840000000003</v>
      </c>
      <c r="DP129" s="129" t="s">
        <v>160</v>
      </c>
      <c r="DQ129" s="129">
        <v>1.2219999999999231E-2</v>
      </c>
      <c r="DR129" s="129" t="s">
        <v>435</v>
      </c>
      <c r="DS129" s="129" t="s">
        <v>212</v>
      </c>
      <c r="DT129" s="129" t="s">
        <v>213</v>
      </c>
      <c r="DU129" s="129">
        <v>1.0271999999999999</v>
      </c>
      <c r="DV129" s="129" t="s">
        <v>160</v>
      </c>
      <c r="DW129" s="129" t="s">
        <v>160</v>
      </c>
      <c r="DX129" s="129" t="s">
        <v>436</v>
      </c>
      <c r="DY129" s="129" t="s">
        <v>158</v>
      </c>
      <c r="DZ129" s="129" t="s">
        <v>158</v>
      </c>
      <c r="EA129" s="129" t="s">
        <v>216</v>
      </c>
      <c r="EB129" s="129" t="s">
        <v>212</v>
      </c>
      <c r="EC129" s="129" t="s">
        <v>212</v>
      </c>
      <c r="ED129" s="129" t="s">
        <v>212</v>
      </c>
      <c r="EE129" s="129" t="s">
        <v>217</v>
      </c>
      <c r="EF129" s="147" t="s">
        <v>213</v>
      </c>
      <c r="EG129" s="148" t="s">
        <v>213</v>
      </c>
      <c r="EH129" s="129" t="s">
        <v>218</v>
      </c>
      <c r="EI129" s="129" t="s">
        <v>417</v>
      </c>
      <c r="EJ129" s="129" t="s">
        <v>160</v>
      </c>
      <c r="EK129" s="129">
        <v>1998.9460000000001</v>
      </c>
      <c r="EL129" s="129" t="s">
        <v>163</v>
      </c>
      <c r="EM129" s="129">
        <v>0.87000000000003741</v>
      </c>
      <c r="EN129" s="129">
        <v>0.88800000000010404</v>
      </c>
      <c r="EO129" s="129" t="s">
        <v>160</v>
      </c>
      <c r="EP129" s="129" t="s">
        <v>160</v>
      </c>
      <c r="EQ129" s="129" t="s">
        <v>160</v>
      </c>
      <c r="ER129" s="129" t="s">
        <v>160</v>
      </c>
      <c r="ES129" s="201">
        <v>8.2442980000000006</v>
      </c>
      <c r="ET129" s="129" t="s">
        <v>165</v>
      </c>
      <c r="EU129" s="151">
        <v>2.9847000000000179E-2</v>
      </c>
      <c r="EV129" s="151">
        <v>3.0191000000000301E-2</v>
      </c>
      <c r="EW129" s="142" t="s">
        <v>160</v>
      </c>
      <c r="EX129" s="129" t="s">
        <v>160</v>
      </c>
      <c r="EY129" s="129" t="s">
        <v>160</v>
      </c>
      <c r="EZ129" s="191">
        <v>200.68430000000001</v>
      </c>
      <c r="FA129" s="191">
        <v>18.368200000000002</v>
      </c>
      <c r="FB129" s="191">
        <v>16.962799999999987</v>
      </c>
      <c r="FC129" s="129" t="s">
        <v>220</v>
      </c>
      <c r="FD129" s="129" t="s">
        <v>221</v>
      </c>
      <c r="FE129" s="129">
        <v>2411.6590000000001</v>
      </c>
      <c r="FF129" s="129">
        <v>29.751000000000204</v>
      </c>
      <c r="FG129" s="129">
        <v>29.547000000000025</v>
      </c>
      <c r="FH129" s="129" t="s">
        <v>160</v>
      </c>
      <c r="FI129" s="129" t="s">
        <v>160</v>
      </c>
      <c r="FJ129" s="129" t="s">
        <v>160</v>
      </c>
      <c r="FK129" s="129" t="s">
        <v>160</v>
      </c>
      <c r="FL129" s="129" t="s">
        <v>160</v>
      </c>
      <c r="FM129" s="129" t="s">
        <v>160</v>
      </c>
      <c r="FN129" s="151">
        <v>5.298279</v>
      </c>
      <c r="FO129" s="151">
        <v>0.22388100000000044</v>
      </c>
      <c r="FP129" s="151">
        <v>0.21569699999999958</v>
      </c>
      <c r="FQ129" s="178" t="s">
        <v>419</v>
      </c>
      <c r="FR129" s="129" t="s">
        <v>415</v>
      </c>
      <c r="FS129" s="129">
        <v>2017</v>
      </c>
      <c r="FT129" s="131" t="s">
        <v>416</v>
      </c>
    </row>
    <row r="130" spans="1:176" s="129" customFormat="1">
      <c r="A130" s="129" t="s">
        <v>152</v>
      </c>
      <c r="B130" s="166" t="s">
        <v>183</v>
      </c>
      <c r="C130" s="166">
        <v>2018</v>
      </c>
      <c r="D130" s="166" t="s">
        <v>184</v>
      </c>
      <c r="E130" s="145">
        <f t="shared" si="14"/>
        <v>61.28</v>
      </c>
      <c r="F130" s="129">
        <f t="shared" si="15"/>
        <v>2</v>
      </c>
      <c r="G130" s="129">
        <f t="shared" si="15"/>
        <v>2</v>
      </c>
      <c r="H130" s="191">
        <v>201.40469999999999</v>
      </c>
      <c r="I130" s="191">
        <v>21.114600000000024</v>
      </c>
      <c r="J130" s="191">
        <v>18.796099999999996</v>
      </c>
      <c r="K130" s="129" t="s">
        <v>457</v>
      </c>
      <c r="L130" s="131" t="s">
        <v>185</v>
      </c>
      <c r="M130" s="132" t="s">
        <v>186</v>
      </c>
      <c r="N130" s="129" t="s">
        <v>184</v>
      </c>
      <c r="O130" s="129" t="s">
        <v>420</v>
      </c>
      <c r="P130" s="129" t="s">
        <v>156</v>
      </c>
      <c r="Q130" s="129">
        <v>1</v>
      </c>
      <c r="R130" s="129">
        <v>2</v>
      </c>
      <c r="S130" s="129">
        <f t="shared" si="17"/>
        <v>119</v>
      </c>
      <c r="T130" s="129">
        <v>121</v>
      </c>
      <c r="U130" s="199">
        <v>2.71</v>
      </c>
      <c r="V130" s="199">
        <v>2.71</v>
      </c>
      <c r="W130" s="129" t="s">
        <v>160</v>
      </c>
      <c r="X130" s="129" t="s">
        <v>421</v>
      </c>
      <c r="Y130" s="200">
        <v>12.74</v>
      </c>
      <c r="Z130" s="200">
        <v>-78.739999999999995</v>
      </c>
      <c r="AA130" s="129" t="s">
        <v>160</v>
      </c>
      <c r="AB130" s="129" t="s">
        <v>160</v>
      </c>
      <c r="AC130" s="129">
        <v>-2839</v>
      </c>
      <c r="AD130" s="129" t="s">
        <v>160</v>
      </c>
      <c r="AE130" s="129" t="s">
        <v>160</v>
      </c>
      <c r="AF130" s="129" t="s">
        <v>160</v>
      </c>
      <c r="AG130" s="145">
        <v>61.28</v>
      </c>
      <c r="AH130" s="129" t="s">
        <v>163</v>
      </c>
      <c r="AI130" s="129">
        <v>2</v>
      </c>
      <c r="AJ130" s="129">
        <v>2</v>
      </c>
      <c r="AK130" s="129" t="s">
        <v>160</v>
      </c>
      <c r="AL130" s="129" t="s">
        <v>422</v>
      </c>
      <c r="AM130" s="129" t="s">
        <v>160</v>
      </c>
      <c r="AN130" s="129" t="s">
        <v>160</v>
      </c>
      <c r="AO130" s="129" t="s">
        <v>160</v>
      </c>
      <c r="AP130" s="129" t="s">
        <v>160</v>
      </c>
      <c r="AQ130" s="129" t="s">
        <v>160</v>
      </c>
      <c r="AR130" s="129" t="s">
        <v>160</v>
      </c>
      <c r="AS130" s="129" t="s">
        <v>160</v>
      </c>
      <c r="AT130" s="129" t="s">
        <v>160</v>
      </c>
      <c r="AU130" s="129" t="s">
        <v>423</v>
      </c>
      <c r="AV130" s="129" t="s">
        <v>161</v>
      </c>
      <c r="AW130" s="129" t="s">
        <v>424</v>
      </c>
      <c r="AX130" s="178">
        <v>2</v>
      </c>
      <c r="AY130" s="129" t="s">
        <v>194</v>
      </c>
      <c r="AZ130" s="129" t="s">
        <v>195</v>
      </c>
      <c r="BA130" s="129" t="s">
        <v>425</v>
      </c>
      <c r="BB130" s="129" t="s">
        <v>160</v>
      </c>
      <c r="BC130" s="178">
        <v>2</v>
      </c>
      <c r="BD130" s="129" t="s">
        <v>160</v>
      </c>
      <c r="BE130" s="199">
        <v>21.31</v>
      </c>
      <c r="BF130" s="129" t="s">
        <v>426</v>
      </c>
      <c r="BG130" s="151">
        <v>0.28000000000000003</v>
      </c>
      <c r="BH130" s="129">
        <v>0.64</v>
      </c>
      <c r="BI130" s="129" t="s">
        <v>427</v>
      </c>
      <c r="BJ130" s="129">
        <v>3.4000000000000002E-2</v>
      </c>
      <c r="BK130" s="129">
        <v>9.1</v>
      </c>
      <c r="BL130" s="129" t="s">
        <v>163</v>
      </c>
      <c r="BM130" s="129">
        <v>0.56000000000000005</v>
      </c>
      <c r="BN130" s="129" t="s">
        <v>428</v>
      </c>
      <c r="BO130" s="129" t="s">
        <v>429</v>
      </c>
      <c r="BP130" s="151">
        <f t="shared" si="16"/>
        <v>20.733333333333334</v>
      </c>
      <c r="BQ130" s="129" t="s">
        <v>202</v>
      </c>
      <c r="BR130" s="217"/>
      <c r="BS130" s="129" t="s">
        <v>160</v>
      </c>
      <c r="BT130" s="129" t="s">
        <v>160</v>
      </c>
      <c r="BU130" s="129">
        <v>10</v>
      </c>
      <c r="BV130" s="129" t="s">
        <v>159</v>
      </c>
      <c r="BW130" s="129">
        <v>10</v>
      </c>
      <c r="BX130" s="145">
        <v>26.59</v>
      </c>
      <c r="BY130" s="129" t="s">
        <v>159</v>
      </c>
      <c r="BZ130" s="129">
        <v>1</v>
      </c>
      <c r="CA130" s="129">
        <v>1</v>
      </c>
      <c r="CB130" s="129" t="s">
        <v>160</v>
      </c>
      <c r="CC130" s="151">
        <v>3.2250000000000001</v>
      </c>
      <c r="CD130" s="129" t="s">
        <v>430</v>
      </c>
      <c r="CE130" s="151">
        <v>0.129</v>
      </c>
      <c r="CF130" s="151">
        <v>0.129</v>
      </c>
      <c r="CG130" s="178" t="s">
        <v>160</v>
      </c>
      <c r="CH130" s="129" t="s">
        <v>431</v>
      </c>
      <c r="CI130" s="129" t="s">
        <v>160</v>
      </c>
      <c r="CJ130" s="129" t="s">
        <v>432</v>
      </c>
      <c r="CK130" s="129" t="s">
        <v>158</v>
      </c>
      <c r="CL130" s="129" t="s">
        <v>158</v>
      </c>
      <c r="CM130" s="129" t="s">
        <v>158</v>
      </c>
      <c r="CN130" s="129" t="s">
        <v>160</v>
      </c>
      <c r="CO130" s="129" t="s">
        <v>160</v>
      </c>
      <c r="CP130" s="129" t="s">
        <v>160</v>
      </c>
      <c r="CQ130" s="129" t="s">
        <v>160</v>
      </c>
      <c r="CR130" s="129" t="s">
        <v>160</v>
      </c>
      <c r="CS130" s="129" t="s">
        <v>160</v>
      </c>
      <c r="CT130" s="129" t="s">
        <v>160</v>
      </c>
      <c r="CU130" s="129">
        <v>35</v>
      </c>
      <c r="CV130" s="129" t="s">
        <v>393</v>
      </c>
      <c r="CW130" s="146">
        <v>1</v>
      </c>
      <c r="CX130" s="129" t="s">
        <v>207</v>
      </c>
      <c r="CY130" s="129">
        <v>1.06E-2</v>
      </c>
      <c r="CZ130" s="129" t="s">
        <v>159</v>
      </c>
      <c r="DA130" s="146">
        <v>0</v>
      </c>
      <c r="DB130" s="129" t="s">
        <v>208</v>
      </c>
      <c r="DC130" s="129">
        <v>5.5100000000000003E-2</v>
      </c>
      <c r="DD130" s="129" t="s">
        <v>159</v>
      </c>
      <c r="DE130" s="146">
        <v>0</v>
      </c>
      <c r="DF130" s="129" t="s">
        <v>208</v>
      </c>
      <c r="DG130" s="129" t="s">
        <v>160</v>
      </c>
      <c r="DH130" s="129" t="s">
        <v>160</v>
      </c>
      <c r="DI130" s="129" t="s">
        <v>160</v>
      </c>
      <c r="DJ130" s="129" t="s">
        <v>160</v>
      </c>
      <c r="DK130" s="145">
        <v>432.56244218316402</v>
      </c>
      <c r="DL130" s="129" t="s">
        <v>433</v>
      </c>
      <c r="DM130" s="145" t="s">
        <v>160</v>
      </c>
      <c r="DN130" s="129" t="s">
        <v>434</v>
      </c>
      <c r="DO130" s="129">
        <v>39.608460000000001</v>
      </c>
      <c r="DP130" s="129" t="s">
        <v>160</v>
      </c>
      <c r="DQ130" s="129">
        <v>1.5099999999996783E-2</v>
      </c>
      <c r="DR130" s="129" t="s">
        <v>435</v>
      </c>
      <c r="DS130" s="129" t="s">
        <v>212</v>
      </c>
      <c r="DT130" s="129" t="s">
        <v>213</v>
      </c>
      <c r="DU130" s="129">
        <v>1.0271999999999999</v>
      </c>
      <c r="DV130" s="129" t="s">
        <v>160</v>
      </c>
      <c r="DW130" s="129" t="s">
        <v>160</v>
      </c>
      <c r="DX130" s="129" t="s">
        <v>436</v>
      </c>
      <c r="DY130" s="129" t="s">
        <v>158</v>
      </c>
      <c r="DZ130" s="129" t="s">
        <v>158</v>
      </c>
      <c r="EA130" s="129" t="s">
        <v>216</v>
      </c>
      <c r="EB130" s="129" t="s">
        <v>212</v>
      </c>
      <c r="EC130" s="129" t="s">
        <v>212</v>
      </c>
      <c r="ED130" s="129" t="s">
        <v>212</v>
      </c>
      <c r="EE130" s="129" t="s">
        <v>217</v>
      </c>
      <c r="EF130" s="147" t="s">
        <v>213</v>
      </c>
      <c r="EG130" s="148" t="s">
        <v>213</v>
      </c>
      <c r="EH130" s="129" t="s">
        <v>218</v>
      </c>
      <c r="EI130" s="129" t="s">
        <v>417</v>
      </c>
      <c r="EJ130" s="129" t="s">
        <v>160</v>
      </c>
      <c r="EK130" s="129">
        <v>1998.7659999999998</v>
      </c>
      <c r="EL130" s="129" t="s">
        <v>163</v>
      </c>
      <c r="EM130" s="129">
        <v>1.0240000000000768</v>
      </c>
      <c r="EN130" s="129">
        <v>1.0169999999998582</v>
      </c>
      <c r="EO130" s="129" t="s">
        <v>160</v>
      </c>
      <c r="EP130" s="129" t="s">
        <v>160</v>
      </c>
      <c r="EQ130" s="129" t="s">
        <v>160</v>
      </c>
      <c r="ER130" s="129" t="s">
        <v>160</v>
      </c>
      <c r="ES130" s="201">
        <v>8.2430029999999999</v>
      </c>
      <c r="ET130" s="129" t="s">
        <v>165</v>
      </c>
      <c r="EU130" s="151">
        <v>3.2930999999999599E-2</v>
      </c>
      <c r="EV130" s="151">
        <v>3.4235999999999933E-2</v>
      </c>
      <c r="EW130" s="142" t="s">
        <v>160</v>
      </c>
      <c r="EX130" s="129" t="s">
        <v>160</v>
      </c>
      <c r="EY130" s="129" t="s">
        <v>160</v>
      </c>
      <c r="EZ130" s="191">
        <v>201.40469999999999</v>
      </c>
      <c r="FA130" s="191">
        <v>21.114600000000024</v>
      </c>
      <c r="FB130" s="191">
        <v>18.796099999999996</v>
      </c>
      <c r="FC130" s="129" t="s">
        <v>220</v>
      </c>
      <c r="FD130" s="129" t="s">
        <v>221</v>
      </c>
      <c r="FE130" s="129">
        <v>2414.328</v>
      </c>
      <c r="FF130" s="129">
        <v>32.943000000000211</v>
      </c>
      <c r="FG130" s="129">
        <v>32.510000000000218</v>
      </c>
      <c r="FH130" s="129" t="s">
        <v>160</v>
      </c>
      <c r="FI130" s="129" t="s">
        <v>160</v>
      </c>
      <c r="FJ130" s="129" t="s">
        <v>160</v>
      </c>
      <c r="FK130" s="129" t="s">
        <v>160</v>
      </c>
      <c r="FL130" s="129" t="s">
        <v>160</v>
      </c>
      <c r="FM130" s="129" t="s">
        <v>160</v>
      </c>
      <c r="FN130" s="151">
        <v>5.3434970000000002</v>
      </c>
      <c r="FO130" s="151">
        <v>0.27427699999999966</v>
      </c>
      <c r="FP130" s="151">
        <v>0.26514300000000013</v>
      </c>
      <c r="FQ130" s="178" t="s">
        <v>419</v>
      </c>
      <c r="FR130" s="129" t="s">
        <v>415</v>
      </c>
      <c r="FS130" s="129">
        <v>2017</v>
      </c>
      <c r="FT130" s="131" t="s">
        <v>416</v>
      </c>
    </row>
    <row r="131" spans="1:176" s="129" customFormat="1">
      <c r="A131" s="129" t="s">
        <v>152</v>
      </c>
      <c r="B131" s="166" t="s">
        <v>183</v>
      </c>
      <c r="C131" s="166">
        <v>2018</v>
      </c>
      <c r="D131" s="166" t="s">
        <v>184</v>
      </c>
      <c r="E131" s="145">
        <f t="shared" si="14"/>
        <v>77.3</v>
      </c>
      <c r="F131" s="129">
        <f t="shared" si="15"/>
        <v>2</v>
      </c>
      <c r="G131" s="129">
        <f t="shared" si="15"/>
        <v>2</v>
      </c>
      <c r="H131" s="191">
        <v>236.92769999999999</v>
      </c>
      <c r="I131" s="191">
        <v>21.444199999999995</v>
      </c>
      <c r="J131" s="191">
        <v>19.730099999999993</v>
      </c>
      <c r="K131" s="129" t="s">
        <v>457</v>
      </c>
      <c r="L131" s="131" t="s">
        <v>185</v>
      </c>
      <c r="M131" s="132" t="s">
        <v>186</v>
      </c>
      <c r="N131" s="129" t="s">
        <v>184</v>
      </c>
      <c r="O131" s="129" t="s">
        <v>420</v>
      </c>
      <c r="P131" s="129" t="s">
        <v>156</v>
      </c>
      <c r="Q131" s="129">
        <v>1</v>
      </c>
      <c r="R131" s="129">
        <v>3</v>
      </c>
      <c r="S131" s="129">
        <f t="shared" si="17"/>
        <v>29</v>
      </c>
      <c r="T131" s="129">
        <v>31</v>
      </c>
      <c r="U131" s="199">
        <v>3.31</v>
      </c>
      <c r="V131" s="199">
        <v>3.31</v>
      </c>
      <c r="W131" s="129" t="s">
        <v>160</v>
      </c>
      <c r="X131" s="129" t="s">
        <v>421</v>
      </c>
      <c r="Y131" s="200">
        <v>12.74</v>
      </c>
      <c r="Z131" s="200">
        <v>-78.739999999999995</v>
      </c>
      <c r="AA131" s="129" t="s">
        <v>160</v>
      </c>
      <c r="AB131" s="129" t="s">
        <v>160</v>
      </c>
      <c r="AC131" s="129">
        <v>-2839</v>
      </c>
      <c r="AD131" s="129" t="s">
        <v>160</v>
      </c>
      <c r="AE131" s="129" t="s">
        <v>160</v>
      </c>
      <c r="AF131" s="129" t="s">
        <v>160</v>
      </c>
      <c r="AG131" s="145">
        <v>77.3</v>
      </c>
      <c r="AH131" s="129" t="s">
        <v>163</v>
      </c>
      <c r="AI131" s="129">
        <v>2</v>
      </c>
      <c r="AJ131" s="129">
        <v>2</v>
      </c>
      <c r="AK131" s="129" t="s">
        <v>160</v>
      </c>
      <c r="AL131" s="129" t="s">
        <v>422</v>
      </c>
      <c r="AM131" s="129" t="s">
        <v>160</v>
      </c>
      <c r="AN131" s="129" t="s">
        <v>160</v>
      </c>
      <c r="AO131" s="129" t="s">
        <v>160</v>
      </c>
      <c r="AP131" s="129" t="s">
        <v>160</v>
      </c>
      <c r="AQ131" s="129" t="s">
        <v>160</v>
      </c>
      <c r="AR131" s="129" t="s">
        <v>160</v>
      </c>
      <c r="AS131" s="129" t="s">
        <v>160</v>
      </c>
      <c r="AT131" s="129" t="s">
        <v>160</v>
      </c>
      <c r="AU131" s="129" t="s">
        <v>423</v>
      </c>
      <c r="AV131" s="129" t="s">
        <v>161</v>
      </c>
      <c r="AW131" s="129" t="s">
        <v>424</v>
      </c>
      <c r="AX131" s="178">
        <v>2</v>
      </c>
      <c r="AY131" s="129" t="s">
        <v>194</v>
      </c>
      <c r="AZ131" s="129" t="s">
        <v>195</v>
      </c>
      <c r="BA131" s="129" t="s">
        <v>425</v>
      </c>
      <c r="BB131" s="129" t="s">
        <v>160</v>
      </c>
      <c r="BC131" s="178">
        <v>2</v>
      </c>
      <c r="BD131" s="129" t="s">
        <v>160</v>
      </c>
      <c r="BE131" s="199">
        <v>20.89</v>
      </c>
      <c r="BF131" s="129" t="s">
        <v>426</v>
      </c>
      <c r="BG131" s="151">
        <v>0.2</v>
      </c>
      <c r="BH131" s="129">
        <v>0.64</v>
      </c>
      <c r="BI131" s="129" t="s">
        <v>427</v>
      </c>
      <c r="BJ131" s="129">
        <v>3.4000000000000002E-2</v>
      </c>
      <c r="BK131" s="129">
        <v>9.1</v>
      </c>
      <c r="BL131" s="129" t="s">
        <v>163</v>
      </c>
      <c r="BM131" s="129">
        <v>0.56000000000000005</v>
      </c>
      <c r="BN131" s="129" t="s">
        <v>428</v>
      </c>
      <c r="BO131" s="129" t="s">
        <v>429</v>
      </c>
      <c r="BP131" s="151">
        <f t="shared" si="16"/>
        <v>20.033333333333335</v>
      </c>
      <c r="BQ131" s="129" t="s">
        <v>202</v>
      </c>
      <c r="BR131" s="217"/>
      <c r="BS131" s="129" t="s">
        <v>160</v>
      </c>
      <c r="BT131" s="129" t="s">
        <v>160</v>
      </c>
      <c r="BU131" s="129">
        <v>10</v>
      </c>
      <c r="BV131" s="129" t="s">
        <v>159</v>
      </c>
      <c r="BW131" s="129">
        <v>10</v>
      </c>
      <c r="BX131" s="145">
        <v>26.6</v>
      </c>
      <c r="BY131" s="129" t="s">
        <v>159</v>
      </c>
      <c r="BZ131" s="129">
        <v>1</v>
      </c>
      <c r="CA131" s="129">
        <v>1</v>
      </c>
      <c r="CB131" s="129" t="s">
        <v>160</v>
      </c>
      <c r="CC131" s="151">
        <v>3.351</v>
      </c>
      <c r="CD131" s="129" t="s">
        <v>430</v>
      </c>
      <c r="CE131" s="151">
        <v>0.13403999999999999</v>
      </c>
      <c r="CF131" s="151">
        <v>0.13403999999999999</v>
      </c>
      <c r="CG131" s="178" t="s">
        <v>160</v>
      </c>
      <c r="CH131" s="129" t="s">
        <v>431</v>
      </c>
      <c r="CI131" s="129" t="s">
        <v>160</v>
      </c>
      <c r="CJ131" s="129" t="s">
        <v>432</v>
      </c>
      <c r="CK131" s="129" t="s">
        <v>158</v>
      </c>
      <c r="CL131" s="129" t="s">
        <v>158</v>
      </c>
      <c r="CM131" s="129" t="s">
        <v>158</v>
      </c>
      <c r="CN131" s="129" t="s">
        <v>160</v>
      </c>
      <c r="CO131" s="129" t="s">
        <v>160</v>
      </c>
      <c r="CP131" s="129" t="s">
        <v>160</v>
      </c>
      <c r="CQ131" s="129" t="s">
        <v>160</v>
      </c>
      <c r="CR131" s="129" t="s">
        <v>160</v>
      </c>
      <c r="CS131" s="129" t="s">
        <v>160</v>
      </c>
      <c r="CT131" s="129" t="s">
        <v>160</v>
      </c>
      <c r="CU131" s="129">
        <v>35</v>
      </c>
      <c r="CV131" s="129" t="s">
        <v>393</v>
      </c>
      <c r="CW131" s="146">
        <v>1</v>
      </c>
      <c r="CX131" s="129" t="s">
        <v>207</v>
      </c>
      <c r="CY131" s="129">
        <v>1.06E-2</v>
      </c>
      <c r="CZ131" s="129" t="s">
        <v>159</v>
      </c>
      <c r="DA131" s="146">
        <v>0</v>
      </c>
      <c r="DB131" s="129" t="s">
        <v>208</v>
      </c>
      <c r="DC131" s="129">
        <v>5.5100000000000003E-2</v>
      </c>
      <c r="DD131" s="129" t="s">
        <v>159</v>
      </c>
      <c r="DE131" s="146">
        <v>0</v>
      </c>
      <c r="DF131" s="129" t="s">
        <v>208</v>
      </c>
      <c r="DG131" s="129" t="s">
        <v>160</v>
      </c>
      <c r="DH131" s="129" t="s">
        <v>160</v>
      </c>
      <c r="DI131" s="129" t="s">
        <v>160</v>
      </c>
      <c r="DJ131" s="129" t="s">
        <v>160</v>
      </c>
      <c r="DK131" s="145">
        <v>432.56244218316402</v>
      </c>
      <c r="DL131" s="129" t="s">
        <v>433</v>
      </c>
      <c r="DM131" s="145" t="s">
        <v>160</v>
      </c>
      <c r="DN131" s="129" t="s">
        <v>434</v>
      </c>
      <c r="DO131" s="129">
        <v>39.609340000000003</v>
      </c>
      <c r="DP131" s="129" t="s">
        <v>160</v>
      </c>
      <c r="DQ131" s="129">
        <v>2.0119999999998583E-2</v>
      </c>
      <c r="DR131" s="129" t="s">
        <v>435</v>
      </c>
      <c r="DS131" s="129" t="s">
        <v>212</v>
      </c>
      <c r="DT131" s="129" t="s">
        <v>213</v>
      </c>
      <c r="DU131" s="129">
        <v>1.0271999999999999</v>
      </c>
      <c r="DV131" s="129" t="s">
        <v>160</v>
      </c>
      <c r="DW131" s="129" t="s">
        <v>160</v>
      </c>
      <c r="DX131" s="129" t="s">
        <v>436</v>
      </c>
      <c r="DY131" s="129" t="s">
        <v>158</v>
      </c>
      <c r="DZ131" s="129" t="s">
        <v>158</v>
      </c>
      <c r="EA131" s="129" t="s">
        <v>216</v>
      </c>
      <c r="EB131" s="129" t="s">
        <v>212</v>
      </c>
      <c r="EC131" s="129" t="s">
        <v>212</v>
      </c>
      <c r="ED131" s="129" t="s">
        <v>212</v>
      </c>
      <c r="EE131" s="129" t="s">
        <v>217</v>
      </c>
      <c r="EF131" s="147" t="s">
        <v>213</v>
      </c>
      <c r="EG131" s="148" t="s">
        <v>213</v>
      </c>
      <c r="EH131" s="129" t="s">
        <v>218</v>
      </c>
      <c r="EI131" s="129" t="s">
        <v>417</v>
      </c>
      <c r="EJ131" s="129" t="s">
        <v>160</v>
      </c>
      <c r="EK131" s="129">
        <v>1998.4349999999997</v>
      </c>
      <c r="EL131" s="129" t="s">
        <v>163</v>
      </c>
      <c r="EM131" s="129">
        <v>1.325000000000371</v>
      </c>
      <c r="EN131" s="129">
        <v>1.26499999999986</v>
      </c>
      <c r="EO131" s="129" t="s">
        <v>160</v>
      </c>
      <c r="EP131" s="129" t="s">
        <v>160</v>
      </c>
      <c r="EQ131" s="129" t="s">
        <v>160</v>
      </c>
      <c r="ER131" s="129" t="s">
        <v>160</v>
      </c>
      <c r="ES131" s="201">
        <v>8.1894310000000008</v>
      </c>
      <c r="ET131" s="129" t="s">
        <v>165</v>
      </c>
      <c r="EU131" s="151">
        <v>2.9971999999998999E-2</v>
      </c>
      <c r="EV131" s="151">
        <v>3.0430000000000845E-2</v>
      </c>
      <c r="EW131" s="142" t="s">
        <v>160</v>
      </c>
      <c r="EX131" s="129" t="s">
        <v>160</v>
      </c>
      <c r="EY131" s="129" t="s">
        <v>160</v>
      </c>
      <c r="EZ131" s="191">
        <v>236.92769999999999</v>
      </c>
      <c r="FA131" s="191">
        <v>21.444199999999995</v>
      </c>
      <c r="FB131" s="191">
        <v>19.730099999999993</v>
      </c>
      <c r="FC131" s="129" t="s">
        <v>220</v>
      </c>
      <c r="FD131" s="129" t="s">
        <v>221</v>
      </c>
      <c r="FE131" s="129">
        <v>2369.3409999999999</v>
      </c>
      <c r="FF131" s="129">
        <v>29.048000000000229</v>
      </c>
      <c r="FG131" s="129">
        <v>29.224999999999909</v>
      </c>
      <c r="FH131" s="129" t="s">
        <v>160</v>
      </c>
      <c r="FI131" s="129" t="s">
        <v>160</v>
      </c>
      <c r="FJ131" s="129" t="s">
        <v>160</v>
      </c>
      <c r="FK131" s="129" t="s">
        <v>160</v>
      </c>
      <c r="FL131" s="129" t="s">
        <v>160</v>
      </c>
      <c r="FM131" s="129" t="s">
        <v>160</v>
      </c>
      <c r="FN131" s="151">
        <v>4.8167850000000003</v>
      </c>
      <c r="FO131" s="151">
        <v>0.20782800000000012</v>
      </c>
      <c r="FP131" s="151">
        <v>0.20877900000000071</v>
      </c>
      <c r="FQ131" s="178" t="s">
        <v>419</v>
      </c>
      <c r="FR131" s="129" t="s">
        <v>415</v>
      </c>
      <c r="FS131" s="129">
        <v>2017</v>
      </c>
      <c r="FT131" s="131" t="s">
        <v>416</v>
      </c>
    </row>
    <row r="132" spans="1:176" s="129" customFormat="1">
      <c r="A132" s="129" t="s">
        <v>152</v>
      </c>
      <c r="B132" s="166" t="s">
        <v>183</v>
      </c>
      <c r="C132" s="166">
        <v>2018</v>
      </c>
      <c r="D132" s="166" t="s">
        <v>184</v>
      </c>
      <c r="E132" s="145">
        <f t="shared" si="14"/>
        <v>84.33</v>
      </c>
      <c r="F132" s="129">
        <f t="shared" si="15"/>
        <v>2</v>
      </c>
      <c r="G132" s="129">
        <f t="shared" si="15"/>
        <v>2</v>
      </c>
      <c r="H132" s="191">
        <v>238.17619999999999</v>
      </c>
      <c r="I132" s="191">
        <v>23.087400000000002</v>
      </c>
      <c r="J132" s="191">
        <v>21.542099999999976</v>
      </c>
      <c r="K132" s="129" t="s">
        <v>457</v>
      </c>
      <c r="L132" s="131" t="s">
        <v>185</v>
      </c>
      <c r="M132" s="132" t="s">
        <v>186</v>
      </c>
      <c r="N132" s="129" t="s">
        <v>184</v>
      </c>
      <c r="O132" s="129" t="s">
        <v>420</v>
      </c>
      <c r="P132" s="129" t="s">
        <v>156</v>
      </c>
      <c r="Q132" s="129">
        <v>1</v>
      </c>
      <c r="R132" s="129">
        <v>3</v>
      </c>
      <c r="S132" s="129">
        <f t="shared" si="17"/>
        <v>54</v>
      </c>
      <c r="T132" s="129">
        <v>56</v>
      </c>
      <c r="U132" s="199">
        <v>3.56</v>
      </c>
      <c r="V132" s="199">
        <v>3.56</v>
      </c>
      <c r="W132" s="129" t="s">
        <v>160</v>
      </c>
      <c r="X132" s="129" t="s">
        <v>421</v>
      </c>
      <c r="Y132" s="200">
        <v>12.74</v>
      </c>
      <c r="Z132" s="200">
        <v>-78.739999999999995</v>
      </c>
      <c r="AA132" s="129" t="s">
        <v>160</v>
      </c>
      <c r="AB132" s="129" t="s">
        <v>160</v>
      </c>
      <c r="AC132" s="129">
        <v>-2839</v>
      </c>
      <c r="AD132" s="129" t="s">
        <v>160</v>
      </c>
      <c r="AE132" s="129" t="s">
        <v>160</v>
      </c>
      <c r="AF132" s="129" t="s">
        <v>160</v>
      </c>
      <c r="AG132" s="145">
        <v>84.33</v>
      </c>
      <c r="AH132" s="129" t="s">
        <v>163</v>
      </c>
      <c r="AI132" s="129">
        <v>2</v>
      </c>
      <c r="AJ132" s="129">
        <v>2</v>
      </c>
      <c r="AK132" s="129" t="s">
        <v>160</v>
      </c>
      <c r="AL132" s="129" t="s">
        <v>422</v>
      </c>
      <c r="AM132" s="129" t="s">
        <v>160</v>
      </c>
      <c r="AN132" s="129" t="s">
        <v>160</v>
      </c>
      <c r="AO132" s="129" t="s">
        <v>160</v>
      </c>
      <c r="AP132" s="129" t="s">
        <v>160</v>
      </c>
      <c r="AQ132" s="129" t="s">
        <v>160</v>
      </c>
      <c r="AR132" s="129" t="s">
        <v>160</v>
      </c>
      <c r="AS132" s="129" t="s">
        <v>160</v>
      </c>
      <c r="AT132" s="129" t="s">
        <v>160</v>
      </c>
      <c r="AU132" s="129" t="s">
        <v>423</v>
      </c>
      <c r="AV132" s="129" t="s">
        <v>161</v>
      </c>
      <c r="AW132" s="129" t="s">
        <v>424</v>
      </c>
      <c r="AX132" s="178">
        <v>2</v>
      </c>
      <c r="AY132" s="129" t="s">
        <v>194</v>
      </c>
      <c r="AZ132" s="129" t="s">
        <v>195</v>
      </c>
      <c r="BA132" s="129" t="s">
        <v>425</v>
      </c>
      <c r="BB132" s="129" t="s">
        <v>160</v>
      </c>
      <c r="BC132" s="178">
        <v>2</v>
      </c>
      <c r="BD132" s="129" t="s">
        <v>160</v>
      </c>
      <c r="BE132" s="199">
        <v>20.88</v>
      </c>
      <c r="BF132" s="129" t="s">
        <v>426</v>
      </c>
      <c r="BG132" s="151">
        <v>0.26</v>
      </c>
      <c r="BH132" s="129">
        <v>0.64</v>
      </c>
      <c r="BI132" s="129" t="s">
        <v>427</v>
      </c>
      <c r="BJ132" s="129">
        <v>3.4000000000000002E-2</v>
      </c>
      <c r="BK132" s="129">
        <v>9.1</v>
      </c>
      <c r="BL132" s="129" t="s">
        <v>163</v>
      </c>
      <c r="BM132" s="129">
        <v>0.56000000000000005</v>
      </c>
      <c r="BN132" s="129" t="s">
        <v>428</v>
      </c>
      <c r="BO132" s="129" t="s">
        <v>429</v>
      </c>
      <c r="BP132" s="151">
        <f t="shared" si="16"/>
        <v>20.016666666666666</v>
      </c>
      <c r="BQ132" s="129" t="s">
        <v>202</v>
      </c>
      <c r="BR132" s="217"/>
      <c r="BS132" s="129" t="s">
        <v>160</v>
      </c>
      <c r="BT132" s="129" t="s">
        <v>160</v>
      </c>
      <c r="BU132" s="129">
        <v>10</v>
      </c>
      <c r="BV132" s="129" t="s">
        <v>159</v>
      </c>
      <c r="BW132" s="129">
        <v>10</v>
      </c>
      <c r="BX132" s="145">
        <v>26.63</v>
      </c>
      <c r="BY132" s="129" t="s">
        <v>159</v>
      </c>
      <c r="BZ132" s="129">
        <v>1</v>
      </c>
      <c r="CA132" s="129">
        <v>1</v>
      </c>
      <c r="CB132" s="129" t="s">
        <v>160</v>
      </c>
      <c r="CC132" s="151">
        <v>3.5369999999999999</v>
      </c>
      <c r="CD132" s="129" t="s">
        <v>430</v>
      </c>
      <c r="CE132" s="151">
        <v>0.14147999999999999</v>
      </c>
      <c r="CF132" s="151">
        <v>0.14147999999999999</v>
      </c>
      <c r="CG132" s="178" t="s">
        <v>160</v>
      </c>
      <c r="CH132" s="129" t="s">
        <v>431</v>
      </c>
      <c r="CI132" s="129" t="s">
        <v>160</v>
      </c>
      <c r="CJ132" s="129" t="s">
        <v>432</v>
      </c>
      <c r="CK132" s="129" t="s">
        <v>158</v>
      </c>
      <c r="CL132" s="129" t="s">
        <v>158</v>
      </c>
      <c r="CM132" s="129" t="s">
        <v>158</v>
      </c>
      <c r="CN132" s="129" t="s">
        <v>160</v>
      </c>
      <c r="CO132" s="129" t="s">
        <v>160</v>
      </c>
      <c r="CP132" s="129" t="s">
        <v>160</v>
      </c>
      <c r="CQ132" s="129" t="s">
        <v>160</v>
      </c>
      <c r="CR132" s="129" t="s">
        <v>160</v>
      </c>
      <c r="CS132" s="129" t="s">
        <v>160</v>
      </c>
      <c r="CT132" s="129" t="s">
        <v>160</v>
      </c>
      <c r="CU132" s="129">
        <v>35</v>
      </c>
      <c r="CV132" s="129" t="s">
        <v>393</v>
      </c>
      <c r="CW132" s="146">
        <v>1</v>
      </c>
      <c r="CX132" s="129" t="s">
        <v>207</v>
      </c>
      <c r="CY132" s="129">
        <v>1.06E-2</v>
      </c>
      <c r="CZ132" s="129" t="s">
        <v>159</v>
      </c>
      <c r="DA132" s="146">
        <v>0</v>
      </c>
      <c r="DB132" s="129" t="s">
        <v>208</v>
      </c>
      <c r="DC132" s="129">
        <v>5.5100000000000003E-2</v>
      </c>
      <c r="DD132" s="129" t="s">
        <v>159</v>
      </c>
      <c r="DE132" s="146">
        <v>0</v>
      </c>
      <c r="DF132" s="129" t="s">
        <v>208</v>
      </c>
      <c r="DG132" s="129" t="s">
        <v>160</v>
      </c>
      <c r="DH132" s="129" t="s">
        <v>160</v>
      </c>
      <c r="DI132" s="129" t="s">
        <v>160</v>
      </c>
      <c r="DJ132" s="129" t="s">
        <v>160</v>
      </c>
      <c r="DK132" s="145">
        <v>432.56244218316402</v>
      </c>
      <c r="DL132" s="129" t="s">
        <v>433</v>
      </c>
      <c r="DM132" s="145" t="s">
        <v>160</v>
      </c>
      <c r="DN132" s="129" t="s">
        <v>434</v>
      </c>
      <c r="DO132" s="129">
        <v>39.609819999999999</v>
      </c>
      <c r="DP132" s="129" t="s">
        <v>160</v>
      </c>
      <c r="DQ132" s="129">
        <v>2.177000000000362E-2</v>
      </c>
      <c r="DR132" s="129" t="s">
        <v>435</v>
      </c>
      <c r="DS132" s="129" t="s">
        <v>212</v>
      </c>
      <c r="DT132" s="129" t="s">
        <v>213</v>
      </c>
      <c r="DU132" s="129">
        <v>1.0271999999999999</v>
      </c>
      <c r="DV132" s="129" t="s">
        <v>160</v>
      </c>
      <c r="DW132" s="129" t="s">
        <v>160</v>
      </c>
      <c r="DX132" s="129" t="s">
        <v>436</v>
      </c>
      <c r="DY132" s="129" t="s">
        <v>158</v>
      </c>
      <c r="DZ132" s="129" t="s">
        <v>158</v>
      </c>
      <c r="EA132" s="129" t="s">
        <v>216</v>
      </c>
      <c r="EB132" s="129" t="s">
        <v>212</v>
      </c>
      <c r="EC132" s="129" t="s">
        <v>212</v>
      </c>
      <c r="ED132" s="129" t="s">
        <v>212</v>
      </c>
      <c r="EE132" s="129" t="s">
        <v>217</v>
      </c>
      <c r="EF132" s="147" t="s">
        <v>213</v>
      </c>
      <c r="EG132" s="148" t="s">
        <v>213</v>
      </c>
      <c r="EH132" s="129" t="s">
        <v>218</v>
      </c>
      <c r="EI132" s="129" t="s">
        <v>417</v>
      </c>
      <c r="EJ132" s="129" t="s">
        <v>160</v>
      </c>
      <c r="EK132" s="129">
        <v>1998.3109999999999</v>
      </c>
      <c r="EL132" s="129" t="s">
        <v>163</v>
      </c>
      <c r="EM132" s="129">
        <v>1.3940000000000481</v>
      </c>
      <c r="EN132" s="129">
        <v>1.4279999999999329</v>
      </c>
      <c r="EO132" s="129" t="s">
        <v>160</v>
      </c>
      <c r="EP132" s="129" t="s">
        <v>160</v>
      </c>
      <c r="EQ132" s="129" t="s">
        <v>160</v>
      </c>
      <c r="ER132" s="129" t="s">
        <v>160</v>
      </c>
      <c r="ES132" s="201">
        <v>8.1876809999999995</v>
      </c>
      <c r="ET132" s="129" t="s">
        <v>165</v>
      </c>
      <c r="EU132" s="151">
        <v>3.2968999999999582E-2</v>
      </c>
      <c r="EV132" s="151">
        <v>3.2405999999999935E-2</v>
      </c>
      <c r="EW132" s="142" t="s">
        <v>160</v>
      </c>
      <c r="EX132" s="129" t="s">
        <v>160</v>
      </c>
      <c r="EY132" s="129" t="s">
        <v>160</v>
      </c>
      <c r="EZ132" s="191">
        <v>238.17619999999999</v>
      </c>
      <c r="FA132" s="191">
        <v>23.087400000000002</v>
      </c>
      <c r="FB132" s="191">
        <v>21.542099999999976</v>
      </c>
      <c r="FC132" s="129" t="s">
        <v>220</v>
      </c>
      <c r="FD132" s="129" t="s">
        <v>221</v>
      </c>
      <c r="FE132" s="129">
        <v>2367.3989999999999</v>
      </c>
      <c r="FF132" s="129">
        <v>31.86200000000008</v>
      </c>
      <c r="FG132" s="129">
        <v>31.074999999999818</v>
      </c>
      <c r="FH132" s="129" t="s">
        <v>160</v>
      </c>
      <c r="FI132" s="129" t="s">
        <v>160</v>
      </c>
      <c r="FJ132" s="129" t="s">
        <v>160</v>
      </c>
      <c r="FK132" s="129" t="s">
        <v>160</v>
      </c>
      <c r="FL132" s="129" t="s">
        <v>160</v>
      </c>
      <c r="FM132" s="129" t="s">
        <v>160</v>
      </c>
      <c r="FN132" s="151">
        <v>4.7977439999999998</v>
      </c>
      <c r="FO132" s="151">
        <v>0.24761500000000058</v>
      </c>
      <c r="FP132" s="151">
        <v>0.23747499999999988</v>
      </c>
      <c r="FQ132" s="178" t="s">
        <v>419</v>
      </c>
      <c r="FR132" s="129" t="s">
        <v>415</v>
      </c>
      <c r="FS132" s="129">
        <v>2017</v>
      </c>
      <c r="FT132" s="131" t="s">
        <v>416</v>
      </c>
    </row>
    <row r="133" spans="1:176" s="129" customFormat="1">
      <c r="A133" s="129" t="s">
        <v>152</v>
      </c>
      <c r="B133" s="166" t="s">
        <v>183</v>
      </c>
      <c r="C133" s="166">
        <v>2018</v>
      </c>
      <c r="D133" s="166" t="s">
        <v>184</v>
      </c>
      <c r="E133" s="145">
        <f t="shared" si="14"/>
        <v>89.11</v>
      </c>
      <c r="F133" s="129">
        <f t="shared" si="15"/>
        <v>2</v>
      </c>
      <c r="G133" s="129">
        <f t="shared" si="15"/>
        <v>2</v>
      </c>
      <c r="H133" s="191">
        <v>263.21100000000001</v>
      </c>
      <c r="I133" s="191">
        <v>23.691800000000001</v>
      </c>
      <c r="J133" s="191">
        <v>21.810699999999997</v>
      </c>
      <c r="K133" s="129" t="s">
        <v>457</v>
      </c>
      <c r="L133" s="131" t="s">
        <v>185</v>
      </c>
      <c r="M133" s="132" t="s">
        <v>186</v>
      </c>
      <c r="N133" s="129" t="s">
        <v>184</v>
      </c>
      <c r="O133" s="129" t="s">
        <v>420</v>
      </c>
      <c r="P133" s="129" t="s">
        <v>156</v>
      </c>
      <c r="Q133" s="129">
        <v>1</v>
      </c>
      <c r="R133" s="129">
        <v>3</v>
      </c>
      <c r="S133" s="129">
        <f t="shared" si="17"/>
        <v>71</v>
      </c>
      <c r="T133" s="129">
        <v>73</v>
      </c>
      <c r="U133" s="199">
        <v>3.73</v>
      </c>
      <c r="V133" s="199">
        <v>3.73</v>
      </c>
      <c r="W133" s="129" t="s">
        <v>160</v>
      </c>
      <c r="X133" s="129" t="s">
        <v>421</v>
      </c>
      <c r="Y133" s="200">
        <v>12.74</v>
      </c>
      <c r="Z133" s="200">
        <v>-78.739999999999995</v>
      </c>
      <c r="AA133" s="129" t="s">
        <v>160</v>
      </c>
      <c r="AB133" s="129" t="s">
        <v>160</v>
      </c>
      <c r="AC133" s="129">
        <v>-2839</v>
      </c>
      <c r="AD133" s="129" t="s">
        <v>160</v>
      </c>
      <c r="AE133" s="129" t="s">
        <v>160</v>
      </c>
      <c r="AF133" s="129" t="s">
        <v>160</v>
      </c>
      <c r="AG133" s="145">
        <v>89.11</v>
      </c>
      <c r="AH133" s="129" t="s">
        <v>163</v>
      </c>
      <c r="AI133" s="129">
        <v>2</v>
      </c>
      <c r="AJ133" s="129">
        <v>2</v>
      </c>
      <c r="AK133" s="129" t="s">
        <v>160</v>
      </c>
      <c r="AL133" s="129" t="s">
        <v>422</v>
      </c>
      <c r="AM133" s="129" t="s">
        <v>160</v>
      </c>
      <c r="AN133" s="129" t="s">
        <v>160</v>
      </c>
      <c r="AO133" s="129" t="s">
        <v>160</v>
      </c>
      <c r="AP133" s="129" t="s">
        <v>160</v>
      </c>
      <c r="AQ133" s="129" t="s">
        <v>160</v>
      </c>
      <c r="AR133" s="129" t="s">
        <v>160</v>
      </c>
      <c r="AS133" s="129" t="s">
        <v>160</v>
      </c>
      <c r="AT133" s="129" t="s">
        <v>160</v>
      </c>
      <c r="AU133" s="129" t="s">
        <v>423</v>
      </c>
      <c r="AV133" s="129" t="s">
        <v>161</v>
      </c>
      <c r="AW133" s="129" t="s">
        <v>424</v>
      </c>
      <c r="AX133" s="178">
        <v>2</v>
      </c>
      <c r="AY133" s="129" t="s">
        <v>194</v>
      </c>
      <c r="AZ133" s="129" t="s">
        <v>195</v>
      </c>
      <c r="BA133" s="129" t="s">
        <v>425</v>
      </c>
      <c r="BB133" s="129" t="s">
        <v>160</v>
      </c>
      <c r="BC133" s="178">
        <v>2</v>
      </c>
      <c r="BD133" s="129" t="s">
        <v>160</v>
      </c>
      <c r="BE133" s="199">
        <v>20.68</v>
      </c>
      <c r="BF133" s="129" t="s">
        <v>426</v>
      </c>
      <c r="BG133" s="151">
        <v>0.2</v>
      </c>
      <c r="BH133" s="129">
        <v>0.64</v>
      </c>
      <c r="BI133" s="129" t="s">
        <v>427</v>
      </c>
      <c r="BJ133" s="129">
        <v>3.4000000000000002E-2</v>
      </c>
      <c r="BK133" s="129">
        <v>9.1</v>
      </c>
      <c r="BL133" s="129" t="s">
        <v>163</v>
      </c>
      <c r="BM133" s="129">
        <v>0.56000000000000005</v>
      </c>
      <c r="BN133" s="129" t="s">
        <v>428</v>
      </c>
      <c r="BO133" s="129" t="s">
        <v>429</v>
      </c>
      <c r="BP133" s="151">
        <f t="shared" si="16"/>
        <v>19.683333333333334</v>
      </c>
      <c r="BQ133" s="129" t="s">
        <v>202</v>
      </c>
      <c r="BR133" s="217"/>
      <c r="BS133" s="129" t="s">
        <v>160</v>
      </c>
      <c r="BT133" s="129" t="s">
        <v>160</v>
      </c>
      <c r="BU133" s="129">
        <v>10</v>
      </c>
      <c r="BV133" s="129" t="s">
        <v>159</v>
      </c>
      <c r="BW133" s="129">
        <v>10</v>
      </c>
      <c r="BX133" s="145">
        <v>27.18</v>
      </c>
      <c r="BY133" s="129" t="s">
        <v>159</v>
      </c>
      <c r="BZ133" s="129">
        <v>1</v>
      </c>
      <c r="CA133" s="129">
        <v>1</v>
      </c>
      <c r="CB133" s="129" t="s">
        <v>160</v>
      </c>
      <c r="CC133" s="151">
        <v>3.4580000000000002</v>
      </c>
      <c r="CD133" s="129" t="s">
        <v>430</v>
      </c>
      <c r="CE133" s="151">
        <v>0.13832</v>
      </c>
      <c r="CF133" s="151">
        <v>0.13832</v>
      </c>
      <c r="CG133" s="178" t="s">
        <v>160</v>
      </c>
      <c r="CH133" s="129" t="s">
        <v>431</v>
      </c>
      <c r="CI133" s="129" t="s">
        <v>160</v>
      </c>
      <c r="CJ133" s="129" t="s">
        <v>432</v>
      </c>
      <c r="CK133" s="129" t="s">
        <v>158</v>
      </c>
      <c r="CL133" s="129" t="s">
        <v>158</v>
      </c>
      <c r="CM133" s="129" t="s">
        <v>158</v>
      </c>
      <c r="CN133" s="129" t="s">
        <v>160</v>
      </c>
      <c r="CO133" s="129" t="s">
        <v>160</v>
      </c>
      <c r="CP133" s="129" t="s">
        <v>160</v>
      </c>
      <c r="CQ133" s="129" t="s">
        <v>160</v>
      </c>
      <c r="CR133" s="129" t="s">
        <v>160</v>
      </c>
      <c r="CS133" s="129" t="s">
        <v>160</v>
      </c>
      <c r="CT133" s="129" t="s">
        <v>160</v>
      </c>
      <c r="CU133" s="129">
        <v>35</v>
      </c>
      <c r="CV133" s="129" t="s">
        <v>393</v>
      </c>
      <c r="CW133" s="146">
        <v>1</v>
      </c>
      <c r="CX133" s="129" t="s">
        <v>207</v>
      </c>
      <c r="CY133" s="129">
        <v>1.06E-2</v>
      </c>
      <c r="CZ133" s="129" t="s">
        <v>159</v>
      </c>
      <c r="DA133" s="146">
        <v>0</v>
      </c>
      <c r="DB133" s="129" t="s">
        <v>208</v>
      </c>
      <c r="DC133" s="129">
        <v>5.5100000000000003E-2</v>
      </c>
      <c r="DD133" s="129" t="s">
        <v>159</v>
      </c>
      <c r="DE133" s="146">
        <v>0</v>
      </c>
      <c r="DF133" s="129" t="s">
        <v>208</v>
      </c>
      <c r="DG133" s="129" t="s">
        <v>160</v>
      </c>
      <c r="DH133" s="129" t="s">
        <v>160</v>
      </c>
      <c r="DI133" s="129" t="s">
        <v>160</v>
      </c>
      <c r="DJ133" s="129" t="s">
        <v>160</v>
      </c>
      <c r="DK133" s="145">
        <v>432.56244218316402</v>
      </c>
      <c r="DL133" s="129" t="s">
        <v>433</v>
      </c>
      <c r="DM133" s="145" t="s">
        <v>160</v>
      </c>
      <c r="DN133" s="129" t="s">
        <v>434</v>
      </c>
      <c r="DO133" s="129">
        <v>39.609850000000002</v>
      </c>
      <c r="DP133" s="129" t="s">
        <v>160</v>
      </c>
      <c r="DQ133" s="129">
        <v>2.4349999999998317E-2</v>
      </c>
      <c r="DR133" s="129" t="s">
        <v>435</v>
      </c>
      <c r="DS133" s="129" t="s">
        <v>212</v>
      </c>
      <c r="DT133" s="129" t="s">
        <v>213</v>
      </c>
      <c r="DU133" s="129">
        <v>1.0271999999999999</v>
      </c>
      <c r="DV133" s="129" t="s">
        <v>160</v>
      </c>
      <c r="DW133" s="129" t="s">
        <v>160</v>
      </c>
      <c r="DX133" s="129" t="s">
        <v>436</v>
      </c>
      <c r="DY133" s="129" t="s">
        <v>158</v>
      </c>
      <c r="DZ133" s="129" t="s">
        <v>158</v>
      </c>
      <c r="EA133" s="129" t="s">
        <v>216</v>
      </c>
      <c r="EB133" s="129" t="s">
        <v>212</v>
      </c>
      <c r="EC133" s="129" t="s">
        <v>212</v>
      </c>
      <c r="ED133" s="129" t="s">
        <v>212</v>
      </c>
      <c r="EE133" s="129" t="s">
        <v>217</v>
      </c>
      <c r="EF133" s="147" t="s">
        <v>213</v>
      </c>
      <c r="EG133" s="148" t="s">
        <v>213</v>
      </c>
      <c r="EH133" s="129" t="s">
        <v>218</v>
      </c>
      <c r="EI133" s="129" t="s">
        <v>417</v>
      </c>
      <c r="EJ133" s="129" t="s">
        <v>160</v>
      </c>
      <c r="EK133" s="129">
        <v>1998.1909999999998</v>
      </c>
      <c r="EL133" s="129" t="s">
        <v>163</v>
      </c>
      <c r="EM133" s="129">
        <v>1.4600000000000031</v>
      </c>
      <c r="EN133" s="129">
        <v>1.4849999999998544</v>
      </c>
      <c r="EO133" s="129" t="s">
        <v>160</v>
      </c>
      <c r="EP133" s="129" t="s">
        <v>160</v>
      </c>
      <c r="EQ133" s="129" t="s">
        <v>160</v>
      </c>
      <c r="ER133" s="129" t="s">
        <v>160</v>
      </c>
      <c r="ES133" s="201">
        <v>8.1538419999999991</v>
      </c>
      <c r="ET133" s="129" t="s">
        <v>165</v>
      </c>
      <c r="EU133" s="151">
        <v>3.0398000000001701E-2</v>
      </c>
      <c r="EV133" s="151">
        <v>3.0353999999999104E-2</v>
      </c>
      <c r="EW133" s="142" t="s">
        <v>160</v>
      </c>
      <c r="EX133" s="129" t="s">
        <v>160</v>
      </c>
      <c r="EY133" s="129" t="s">
        <v>160</v>
      </c>
      <c r="EZ133" s="191">
        <v>263.21100000000001</v>
      </c>
      <c r="FA133" s="191">
        <v>23.691800000000001</v>
      </c>
      <c r="FB133" s="191">
        <v>21.810699999999997</v>
      </c>
      <c r="FC133" s="129" t="s">
        <v>220</v>
      </c>
      <c r="FD133" s="129" t="s">
        <v>221</v>
      </c>
      <c r="FE133" s="129">
        <v>2347.9230000000002</v>
      </c>
      <c r="FF133" s="129">
        <v>28.943999999999505</v>
      </c>
      <c r="FG133" s="129">
        <v>29.032000000000153</v>
      </c>
      <c r="FH133" s="129" t="s">
        <v>160</v>
      </c>
      <c r="FI133" s="129" t="s">
        <v>160</v>
      </c>
      <c r="FJ133" s="129" t="s">
        <v>160</v>
      </c>
      <c r="FK133" s="129" t="s">
        <v>160</v>
      </c>
      <c r="FL133" s="129" t="s">
        <v>160</v>
      </c>
      <c r="FM133" s="129" t="s">
        <v>160</v>
      </c>
      <c r="FN133" s="151">
        <v>4.5900069999999999</v>
      </c>
      <c r="FO133" s="151">
        <v>0.20751399999999975</v>
      </c>
      <c r="FP133" s="151">
        <v>0.20502799999999954</v>
      </c>
      <c r="FQ133" s="178" t="s">
        <v>419</v>
      </c>
      <c r="FR133" s="129" t="s">
        <v>415</v>
      </c>
      <c r="FS133" s="129">
        <v>2017</v>
      </c>
      <c r="FT133" s="131" t="s">
        <v>416</v>
      </c>
    </row>
    <row r="134" spans="1:176" s="129" customFormat="1">
      <c r="A134" s="129" t="s">
        <v>152</v>
      </c>
      <c r="B134" s="166" t="s">
        <v>183</v>
      </c>
      <c r="C134" s="166">
        <v>2018</v>
      </c>
      <c r="D134" s="166" t="s">
        <v>184</v>
      </c>
      <c r="E134" s="145">
        <f t="shared" si="14"/>
        <v>100.36</v>
      </c>
      <c r="F134" s="129">
        <f t="shared" si="15"/>
        <v>2</v>
      </c>
      <c r="G134" s="129">
        <f t="shared" si="15"/>
        <v>2</v>
      </c>
      <c r="H134" s="191">
        <v>272.10890000000001</v>
      </c>
      <c r="I134" s="191">
        <v>26.485500000000002</v>
      </c>
      <c r="J134" s="191">
        <v>24.542500000000018</v>
      </c>
      <c r="K134" s="129" t="s">
        <v>457</v>
      </c>
      <c r="L134" s="131" t="s">
        <v>185</v>
      </c>
      <c r="M134" s="132" t="s">
        <v>186</v>
      </c>
      <c r="N134" s="129" t="s">
        <v>184</v>
      </c>
      <c r="O134" s="129" t="s">
        <v>420</v>
      </c>
      <c r="P134" s="129" t="s">
        <v>156</v>
      </c>
      <c r="Q134" s="129">
        <v>1</v>
      </c>
      <c r="R134" s="129">
        <v>3</v>
      </c>
      <c r="S134" s="129">
        <f t="shared" si="17"/>
        <v>111</v>
      </c>
      <c r="T134" s="129">
        <v>113</v>
      </c>
      <c r="U134" s="199">
        <v>4.13</v>
      </c>
      <c r="V134" s="199">
        <v>4.13</v>
      </c>
      <c r="W134" s="129" t="s">
        <v>160</v>
      </c>
      <c r="X134" s="129" t="s">
        <v>421</v>
      </c>
      <c r="Y134" s="200">
        <v>12.74</v>
      </c>
      <c r="Z134" s="200">
        <v>-78.739999999999995</v>
      </c>
      <c r="AA134" s="129" t="s">
        <v>160</v>
      </c>
      <c r="AB134" s="129" t="s">
        <v>160</v>
      </c>
      <c r="AC134" s="129">
        <v>-2839</v>
      </c>
      <c r="AD134" s="129" t="s">
        <v>160</v>
      </c>
      <c r="AE134" s="129" t="s">
        <v>160</v>
      </c>
      <c r="AF134" s="129" t="s">
        <v>160</v>
      </c>
      <c r="AG134" s="145">
        <v>100.36</v>
      </c>
      <c r="AH134" s="129" t="s">
        <v>163</v>
      </c>
      <c r="AI134" s="129">
        <v>2</v>
      </c>
      <c r="AJ134" s="129">
        <v>2</v>
      </c>
      <c r="AK134" s="129" t="s">
        <v>160</v>
      </c>
      <c r="AL134" s="129" t="s">
        <v>422</v>
      </c>
      <c r="AM134" s="129" t="s">
        <v>160</v>
      </c>
      <c r="AN134" s="129" t="s">
        <v>160</v>
      </c>
      <c r="AO134" s="129" t="s">
        <v>160</v>
      </c>
      <c r="AP134" s="129" t="s">
        <v>160</v>
      </c>
      <c r="AQ134" s="129" t="s">
        <v>160</v>
      </c>
      <c r="AR134" s="129" t="s">
        <v>160</v>
      </c>
      <c r="AS134" s="129" t="s">
        <v>160</v>
      </c>
      <c r="AT134" s="129" t="s">
        <v>160</v>
      </c>
      <c r="AU134" s="129" t="s">
        <v>423</v>
      </c>
      <c r="AV134" s="129" t="s">
        <v>161</v>
      </c>
      <c r="AW134" s="129" t="s">
        <v>424</v>
      </c>
      <c r="AX134" s="178">
        <v>2</v>
      </c>
      <c r="AY134" s="129" t="s">
        <v>194</v>
      </c>
      <c r="AZ134" s="129" t="s">
        <v>195</v>
      </c>
      <c r="BA134" s="129" t="s">
        <v>425</v>
      </c>
      <c r="BB134" s="129" t="s">
        <v>160</v>
      </c>
      <c r="BC134" s="178">
        <v>2</v>
      </c>
      <c r="BD134" s="129" t="s">
        <v>160</v>
      </c>
      <c r="BE134" s="199">
        <v>20.58</v>
      </c>
      <c r="BF134" s="129" t="s">
        <v>426</v>
      </c>
      <c r="BG134" s="151">
        <v>0.24</v>
      </c>
      <c r="BH134" s="129">
        <v>0.64</v>
      </c>
      <c r="BI134" s="129" t="s">
        <v>427</v>
      </c>
      <c r="BJ134" s="129">
        <v>3.4000000000000002E-2</v>
      </c>
      <c r="BK134" s="129">
        <v>9.1</v>
      </c>
      <c r="BL134" s="129" t="s">
        <v>163</v>
      </c>
      <c r="BM134" s="129">
        <v>0.56000000000000005</v>
      </c>
      <c r="BN134" s="129" t="s">
        <v>428</v>
      </c>
      <c r="BO134" s="129" t="s">
        <v>429</v>
      </c>
      <c r="BP134" s="151">
        <f t="shared" si="16"/>
        <v>19.516666666666666</v>
      </c>
      <c r="BQ134" s="129" t="s">
        <v>202</v>
      </c>
      <c r="BR134" s="217"/>
      <c r="BS134" s="129" t="s">
        <v>160</v>
      </c>
      <c r="BT134" s="129" t="s">
        <v>160</v>
      </c>
      <c r="BU134" s="129">
        <v>10</v>
      </c>
      <c r="BV134" s="129" t="s">
        <v>159</v>
      </c>
      <c r="BW134" s="129">
        <v>10</v>
      </c>
      <c r="BX134" s="145">
        <v>27.02</v>
      </c>
      <c r="BY134" s="129" t="s">
        <v>159</v>
      </c>
      <c r="BZ134" s="129">
        <v>1</v>
      </c>
      <c r="CA134" s="129">
        <v>1</v>
      </c>
      <c r="CB134" s="129" t="s">
        <v>160</v>
      </c>
      <c r="CC134" s="151">
        <v>3.4950000000000001</v>
      </c>
      <c r="CD134" s="129" t="s">
        <v>430</v>
      </c>
      <c r="CE134" s="151">
        <v>0.13980000000000001</v>
      </c>
      <c r="CF134" s="151">
        <v>0.13980000000000001</v>
      </c>
      <c r="CG134" s="178" t="s">
        <v>160</v>
      </c>
      <c r="CH134" s="129" t="s">
        <v>431</v>
      </c>
      <c r="CI134" s="129" t="s">
        <v>160</v>
      </c>
      <c r="CJ134" s="129" t="s">
        <v>432</v>
      </c>
      <c r="CK134" s="129" t="s">
        <v>158</v>
      </c>
      <c r="CL134" s="129" t="s">
        <v>158</v>
      </c>
      <c r="CM134" s="129" t="s">
        <v>158</v>
      </c>
      <c r="CN134" s="129" t="s">
        <v>160</v>
      </c>
      <c r="CO134" s="129" t="s">
        <v>160</v>
      </c>
      <c r="CP134" s="129" t="s">
        <v>160</v>
      </c>
      <c r="CQ134" s="129" t="s">
        <v>160</v>
      </c>
      <c r="CR134" s="129" t="s">
        <v>160</v>
      </c>
      <c r="CS134" s="129" t="s">
        <v>160</v>
      </c>
      <c r="CT134" s="129" t="s">
        <v>160</v>
      </c>
      <c r="CU134" s="129">
        <v>35</v>
      </c>
      <c r="CV134" s="129" t="s">
        <v>393</v>
      </c>
      <c r="CW134" s="146">
        <v>1</v>
      </c>
      <c r="CX134" s="129" t="s">
        <v>207</v>
      </c>
      <c r="CY134" s="129">
        <v>1.06E-2</v>
      </c>
      <c r="CZ134" s="129" t="s">
        <v>159</v>
      </c>
      <c r="DA134" s="146">
        <v>0</v>
      </c>
      <c r="DB134" s="129" t="s">
        <v>208</v>
      </c>
      <c r="DC134" s="129">
        <v>5.5100000000000003E-2</v>
      </c>
      <c r="DD134" s="129" t="s">
        <v>159</v>
      </c>
      <c r="DE134" s="146">
        <v>0</v>
      </c>
      <c r="DF134" s="129" t="s">
        <v>208</v>
      </c>
      <c r="DG134" s="129" t="s">
        <v>160</v>
      </c>
      <c r="DH134" s="129" t="s">
        <v>160</v>
      </c>
      <c r="DI134" s="129" t="s">
        <v>160</v>
      </c>
      <c r="DJ134" s="129" t="s">
        <v>160</v>
      </c>
      <c r="DK134" s="145">
        <v>432.56244218316402</v>
      </c>
      <c r="DL134" s="129" t="s">
        <v>433</v>
      </c>
      <c r="DM134" s="145" t="s">
        <v>160</v>
      </c>
      <c r="DN134" s="129" t="s">
        <v>434</v>
      </c>
      <c r="DO134" s="129">
        <v>39.610599999999998</v>
      </c>
      <c r="DP134" s="129" t="s">
        <v>160</v>
      </c>
      <c r="DQ134" s="129">
        <v>2.7750000000004604E-2</v>
      </c>
      <c r="DR134" s="129" t="s">
        <v>435</v>
      </c>
      <c r="DS134" s="129" t="s">
        <v>212</v>
      </c>
      <c r="DT134" s="129" t="s">
        <v>213</v>
      </c>
      <c r="DU134" s="129">
        <v>1.0271999999999999</v>
      </c>
      <c r="DV134" s="129" t="s">
        <v>160</v>
      </c>
      <c r="DW134" s="129" t="s">
        <v>160</v>
      </c>
      <c r="DX134" s="129" t="s">
        <v>436</v>
      </c>
      <c r="DY134" s="129" t="s">
        <v>158</v>
      </c>
      <c r="DZ134" s="129" t="s">
        <v>158</v>
      </c>
      <c r="EA134" s="129" t="s">
        <v>216</v>
      </c>
      <c r="EB134" s="129" t="s">
        <v>212</v>
      </c>
      <c r="EC134" s="129" t="s">
        <v>212</v>
      </c>
      <c r="ED134" s="129" t="s">
        <v>212</v>
      </c>
      <c r="EE134" s="129" t="s">
        <v>217</v>
      </c>
      <c r="EF134" s="147" t="s">
        <v>213</v>
      </c>
      <c r="EG134" s="148" t="s">
        <v>213</v>
      </c>
      <c r="EH134" s="129" t="s">
        <v>218</v>
      </c>
      <c r="EI134" s="129" t="s">
        <v>417</v>
      </c>
      <c r="EJ134" s="129" t="s">
        <v>160</v>
      </c>
      <c r="EK134" s="129">
        <v>1997.989</v>
      </c>
      <c r="EL134" s="129" t="s">
        <v>163</v>
      </c>
      <c r="EM134" s="129">
        <v>1.6600000000001163</v>
      </c>
      <c r="EN134" s="129">
        <v>1.7120000000000677</v>
      </c>
      <c r="EO134" s="129" t="s">
        <v>160</v>
      </c>
      <c r="EP134" s="129" t="s">
        <v>160</v>
      </c>
      <c r="EQ134" s="129" t="s">
        <v>160</v>
      </c>
      <c r="ER134" s="129" t="s">
        <v>160</v>
      </c>
      <c r="ES134" s="201">
        <v>8.1424079999999996</v>
      </c>
      <c r="ET134" s="129" t="s">
        <v>165</v>
      </c>
      <c r="EU134" s="151">
        <v>3.3614000000000033E-2</v>
      </c>
      <c r="EV134" s="151">
        <v>3.3465999999998886E-2</v>
      </c>
      <c r="EW134" s="142" t="s">
        <v>160</v>
      </c>
      <c r="EX134" s="129" t="s">
        <v>160</v>
      </c>
      <c r="EY134" s="129" t="s">
        <v>160</v>
      </c>
      <c r="EZ134" s="191">
        <v>272.10890000000001</v>
      </c>
      <c r="FA134" s="191">
        <v>26.485500000000002</v>
      </c>
      <c r="FB134" s="191">
        <v>24.542500000000018</v>
      </c>
      <c r="FC134" s="129" t="s">
        <v>220</v>
      </c>
      <c r="FD134" s="129" t="s">
        <v>221</v>
      </c>
      <c r="FE134" s="129">
        <v>2336.453</v>
      </c>
      <c r="FF134" s="129">
        <v>29.958000000000084</v>
      </c>
      <c r="FG134" s="129">
        <v>30.290999999999713</v>
      </c>
      <c r="FH134" s="129" t="s">
        <v>160</v>
      </c>
      <c r="FI134" s="129" t="s">
        <v>160</v>
      </c>
      <c r="FJ134" s="129" t="s">
        <v>160</v>
      </c>
      <c r="FK134" s="129" t="s">
        <v>160</v>
      </c>
      <c r="FL134" s="129" t="s">
        <v>160</v>
      </c>
      <c r="FM134" s="129" t="s">
        <v>160</v>
      </c>
      <c r="FN134" s="151">
        <v>4.4539720000000003</v>
      </c>
      <c r="FO134" s="151">
        <v>0.22450199999999931</v>
      </c>
      <c r="FP134" s="151">
        <v>0.2183970000000004</v>
      </c>
      <c r="FQ134" s="178" t="s">
        <v>419</v>
      </c>
      <c r="FR134" s="129" t="s">
        <v>415</v>
      </c>
      <c r="FS134" s="129">
        <v>2017</v>
      </c>
      <c r="FT134" s="131" t="s">
        <v>416</v>
      </c>
    </row>
    <row r="135" spans="1:176" s="129" customFormat="1">
      <c r="A135" s="129" t="s">
        <v>152</v>
      </c>
      <c r="B135" s="166" t="s">
        <v>183</v>
      </c>
      <c r="C135" s="166">
        <v>2018</v>
      </c>
      <c r="D135" s="166" t="s">
        <v>184</v>
      </c>
      <c r="E135" s="145">
        <f t="shared" si="14"/>
        <v>106.12</v>
      </c>
      <c r="F135" s="129">
        <f t="shared" si="15"/>
        <v>2</v>
      </c>
      <c r="G135" s="129">
        <f t="shared" si="15"/>
        <v>2</v>
      </c>
      <c r="H135" s="191">
        <v>250.38300000000001</v>
      </c>
      <c r="I135" s="191">
        <v>23.256699999999995</v>
      </c>
      <c r="J135" s="191">
        <v>22.135799999999989</v>
      </c>
      <c r="K135" s="129" t="s">
        <v>457</v>
      </c>
      <c r="L135" s="131" t="s">
        <v>185</v>
      </c>
      <c r="M135" s="132" t="s">
        <v>186</v>
      </c>
      <c r="N135" s="129" t="s">
        <v>184</v>
      </c>
      <c r="O135" s="129" t="s">
        <v>420</v>
      </c>
      <c r="P135" s="129" t="s">
        <v>156</v>
      </c>
      <c r="Q135" s="129">
        <v>1</v>
      </c>
      <c r="R135" s="129">
        <v>3</v>
      </c>
      <c r="S135" s="129">
        <f t="shared" si="17"/>
        <v>132</v>
      </c>
      <c r="T135" s="129">
        <v>134</v>
      </c>
      <c r="U135" s="199">
        <v>4.335</v>
      </c>
      <c r="V135" s="199">
        <v>4.335</v>
      </c>
      <c r="W135" s="129" t="s">
        <v>160</v>
      </c>
      <c r="X135" s="129" t="s">
        <v>421</v>
      </c>
      <c r="Y135" s="200">
        <v>12.74</v>
      </c>
      <c r="Z135" s="200">
        <v>-78.739999999999995</v>
      </c>
      <c r="AA135" s="129" t="s">
        <v>160</v>
      </c>
      <c r="AB135" s="129" t="s">
        <v>160</v>
      </c>
      <c r="AC135" s="129">
        <v>-2839</v>
      </c>
      <c r="AD135" s="129" t="s">
        <v>160</v>
      </c>
      <c r="AE135" s="129" t="s">
        <v>160</v>
      </c>
      <c r="AF135" s="129" t="s">
        <v>160</v>
      </c>
      <c r="AG135" s="145">
        <v>106.12</v>
      </c>
      <c r="AH135" s="129" t="s">
        <v>163</v>
      </c>
      <c r="AI135" s="129">
        <v>2</v>
      </c>
      <c r="AJ135" s="129">
        <v>2</v>
      </c>
      <c r="AK135" s="129" t="s">
        <v>160</v>
      </c>
      <c r="AL135" s="129" t="s">
        <v>422</v>
      </c>
      <c r="AM135" s="129" t="s">
        <v>160</v>
      </c>
      <c r="AN135" s="129" t="s">
        <v>160</v>
      </c>
      <c r="AO135" s="129" t="s">
        <v>160</v>
      </c>
      <c r="AP135" s="129" t="s">
        <v>160</v>
      </c>
      <c r="AQ135" s="129" t="s">
        <v>160</v>
      </c>
      <c r="AR135" s="129" t="s">
        <v>160</v>
      </c>
      <c r="AS135" s="129" t="s">
        <v>160</v>
      </c>
      <c r="AT135" s="129" t="s">
        <v>160</v>
      </c>
      <c r="AU135" s="129" t="s">
        <v>423</v>
      </c>
      <c r="AV135" s="129" t="s">
        <v>161</v>
      </c>
      <c r="AW135" s="129" t="s">
        <v>424</v>
      </c>
      <c r="AX135" s="178">
        <v>2</v>
      </c>
      <c r="AY135" s="129" t="s">
        <v>194</v>
      </c>
      <c r="AZ135" s="129" t="s">
        <v>195</v>
      </c>
      <c r="BA135" s="129" t="s">
        <v>425</v>
      </c>
      <c r="BB135" s="129" t="s">
        <v>160</v>
      </c>
      <c r="BC135" s="178">
        <v>2</v>
      </c>
      <c r="BD135" s="129" t="s">
        <v>160</v>
      </c>
      <c r="BE135" s="199">
        <v>20.76</v>
      </c>
      <c r="BF135" s="129" t="s">
        <v>426</v>
      </c>
      <c r="BG135" s="151">
        <v>0.22</v>
      </c>
      <c r="BH135" s="129">
        <v>0.64</v>
      </c>
      <c r="BI135" s="129" t="s">
        <v>427</v>
      </c>
      <c r="BJ135" s="129">
        <v>3.4000000000000002E-2</v>
      </c>
      <c r="BK135" s="129">
        <v>9.1</v>
      </c>
      <c r="BL135" s="129" t="s">
        <v>163</v>
      </c>
      <c r="BM135" s="129">
        <v>0.56000000000000005</v>
      </c>
      <c r="BN135" s="129" t="s">
        <v>428</v>
      </c>
      <c r="BO135" s="129" t="s">
        <v>429</v>
      </c>
      <c r="BP135" s="151">
        <f t="shared" si="16"/>
        <v>19.81666666666667</v>
      </c>
      <c r="BQ135" s="129" t="s">
        <v>202</v>
      </c>
      <c r="BR135" s="217"/>
      <c r="BS135" s="129" t="s">
        <v>160</v>
      </c>
      <c r="BT135" s="129" t="s">
        <v>160</v>
      </c>
      <c r="BU135" s="129">
        <v>10</v>
      </c>
      <c r="BV135" s="129" t="s">
        <v>159</v>
      </c>
      <c r="BW135" s="129">
        <v>10</v>
      </c>
      <c r="BX135" s="145">
        <v>26.72</v>
      </c>
      <c r="BY135" s="129" t="s">
        <v>159</v>
      </c>
      <c r="BZ135" s="129">
        <v>1</v>
      </c>
      <c r="CA135" s="129">
        <v>1</v>
      </c>
      <c r="CB135" s="129" t="s">
        <v>160</v>
      </c>
      <c r="CC135" s="151">
        <v>3.3340000000000001</v>
      </c>
      <c r="CD135" s="129" t="s">
        <v>430</v>
      </c>
      <c r="CE135" s="151">
        <v>0.13336000000000001</v>
      </c>
      <c r="CF135" s="151">
        <v>0.13336000000000001</v>
      </c>
      <c r="CG135" s="178" t="s">
        <v>160</v>
      </c>
      <c r="CH135" s="129" t="s">
        <v>431</v>
      </c>
      <c r="CI135" s="129" t="s">
        <v>160</v>
      </c>
      <c r="CJ135" s="129" t="s">
        <v>432</v>
      </c>
      <c r="CK135" s="129" t="s">
        <v>158</v>
      </c>
      <c r="CL135" s="129" t="s">
        <v>158</v>
      </c>
      <c r="CM135" s="129" t="s">
        <v>158</v>
      </c>
      <c r="CN135" s="129" t="s">
        <v>160</v>
      </c>
      <c r="CO135" s="129" t="s">
        <v>160</v>
      </c>
      <c r="CP135" s="129" t="s">
        <v>160</v>
      </c>
      <c r="CQ135" s="129" t="s">
        <v>160</v>
      </c>
      <c r="CR135" s="129" t="s">
        <v>160</v>
      </c>
      <c r="CS135" s="129" t="s">
        <v>160</v>
      </c>
      <c r="CT135" s="129" t="s">
        <v>160</v>
      </c>
      <c r="CU135" s="129">
        <v>35</v>
      </c>
      <c r="CV135" s="129" t="s">
        <v>393</v>
      </c>
      <c r="CW135" s="146">
        <v>1</v>
      </c>
      <c r="CX135" s="129" t="s">
        <v>207</v>
      </c>
      <c r="CY135" s="129">
        <v>1.06E-2</v>
      </c>
      <c r="CZ135" s="129" t="s">
        <v>159</v>
      </c>
      <c r="DA135" s="146">
        <v>0</v>
      </c>
      <c r="DB135" s="129" t="s">
        <v>208</v>
      </c>
      <c r="DC135" s="129">
        <v>5.5100000000000003E-2</v>
      </c>
      <c r="DD135" s="129" t="s">
        <v>159</v>
      </c>
      <c r="DE135" s="146">
        <v>0</v>
      </c>
      <c r="DF135" s="129" t="s">
        <v>208</v>
      </c>
      <c r="DG135" s="129" t="s">
        <v>160</v>
      </c>
      <c r="DH135" s="129" t="s">
        <v>160</v>
      </c>
      <c r="DI135" s="129" t="s">
        <v>160</v>
      </c>
      <c r="DJ135" s="129" t="s">
        <v>160</v>
      </c>
      <c r="DK135" s="145">
        <v>432.56244218316402</v>
      </c>
      <c r="DL135" s="129" t="s">
        <v>433</v>
      </c>
      <c r="DM135" s="145" t="s">
        <v>160</v>
      </c>
      <c r="DN135" s="129" t="s">
        <v>434</v>
      </c>
      <c r="DO135" s="129">
        <v>39.610880000000002</v>
      </c>
      <c r="DP135" s="129" t="s">
        <v>160</v>
      </c>
      <c r="DQ135" s="129">
        <v>2.996999999999872E-2</v>
      </c>
      <c r="DR135" s="129" t="s">
        <v>435</v>
      </c>
      <c r="DS135" s="129" t="s">
        <v>212</v>
      </c>
      <c r="DT135" s="129" t="s">
        <v>213</v>
      </c>
      <c r="DU135" s="129">
        <v>1.0271999999999999</v>
      </c>
      <c r="DV135" s="129" t="s">
        <v>160</v>
      </c>
      <c r="DW135" s="129" t="s">
        <v>160</v>
      </c>
      <c r="DX135" s="129" t="s">
        <v>436</v>
      </c>
      <c r="DY135" s="129" t="s">
        <v>158</v>
      </c>
      <c r="DZ135" s="129" t="s">
        <v>158</v>
      </c>
      <c r="EA135" s="129" t="s">
        <v>216</v>
      </c>
      <c r="EB135" s="129" t="s">
        <v>212</v>
      </c>
      <c r="EC135" s="129" t="s">
        <v>212</v>
      </c>
      <c r="ED135" s="129" t="s">
        <v>212</v>
      </c>
      <c r="EE135" s="129" t="s">
        <v>217</v>
      </c>
      <c r="EF135" s="147" t="s">
        <v>213</v>
      </c>
      <c r="EG135" s="148" t="s">
        <v>213</v>
      </c>
      <c r="EH135" s="129" t="s">
        <v>218</v>
      </c>
      <c r="EI135" s="129" t="s">
        <v>417</v>
      </c>
      <c r="EJ135" s="129" t="s">
        <v>160</v>
      </c>
      <c r="EK135" s="129">
        <v>1997.8629999999998</v>
      </c>
      <c r="EL135" s="129" t="s">
        <v>163</v>
      </c>
      <c r="EM135" s="129">
        <v>1.7929999999999335</v>
      </c>
      <c r="EN135" s="129">
        <v>1.815000000000063</v>
      </c>
      <c r="EO135" s="129" t="s">
        <v>160</v>
      </c>
      <c r="EP135" s="129" t="s">
        <v>160</v>
      </c>
      <c r="EQ135" s="129" t="s">
        <v>160</v>
      </c>
      <c r="ER135" s="129" t="s">
        <v>160</v>
      </c>
      <c r="ES135" s="201">
        <v>8.1707160000000005</v>
      </c>
      <c r="ET135" s="129" t="s">
        <v>165</v>
      </c>
      <c r="EU135" s="151">
        <v>3.2128999999999408E-2</v>
      </c>
      <c r="EV135" s="151">
        <v>3.1030000000001223E-2</v>
      </c>
      <c r="EW135" s="142" t="s">
        <v>160</v>
      </c>
      <c r="EX135" s="129" t="s">
        <v>160</v>
      </c>
      <c r="EY135" s="129" t="s">
        <v>160</v>
      </c>
      <c r="EZ135" s="191">
        <v>250.38300000000001</v>
      </c>
      <c r="FA135" s="191">
        <v>23.256699999999995</v>
      </c>
      <c r="FB135" s="191">
        <v>22.135799999999989</v>
      </c>
      <c r="FC135" s="129" t="s">
        <v>220</v>
      </c>
      <c r="FD135" s="129" t="s">
        <v>221</v>
      </c>
      <c r="FE135" s="129">
        <v>2354.5139999999997</v>
      </c>
      <c r="FF135" s="129">
        <v>29.848000000000411</v>
      </c>
      <c r="FG135" s="129">
        <v>29.054999999999382</v>
      </c>
      <c r="FH135" s="129" t="s">
        <v>160</v>
      </c>
      <c r="FI135" s="129" t="s">
        <v>160</v>
      </c>
      <c r="FJ135" s="129" t="s">
        <v>160</v>
      </c>
      <c r="FK135" s="129" t="s">
        <v>160</v>
      </c>
      <c r="FL135" s="129" t="s">
        <v>160</v>
      </c>
      <c r="FM135" s="129" t="s">
        <v>160</v>
      </c>
      <c r="FN135" s="151">
        <v>4.6612479999999996</v>
      </c>
      <c r="FO135" s="151">
        <v>0.22130000000000027</v>
      </c>
      <c r="FP135" s="151">
        <v>0.21463799999999988</v>
      </c>
      <c r="FQ135" s="178" t="s">
        <v>419</v>
      </c>
      <c r="FR135" s="129" t="s">
        <v>415</v>
      </c>
      <c r="FS135" s="129">
        <v>2017</v>
      </c>
      <c r="FT135" s="131" t="s">
        <v>416</v>
      </c>
    </row>
    <row r="136" spans="1:176" s="129" customFormat="1">
      <c r="A136" s="129" t="s">
        <v>152</v>
      </c>
      <c r="B136" s="166" t="s">
        <v>183</v>
      </c>
      <c r="C136" s="166">
        <v>2018</v>
      </c>
      <c r="D136" s="166" t="s">
        <v>184</v>
      </c>
      <c r="E136" s="145">
        <f t="shared" si="14"/>
        <v>111.32</v>
      </c>
      <c r="F136" s="129">
        <f t="shared" si="15"/>
        <v>2</v>
      </c>
      <c r="G136" s="129">
        <f t="shared" si="15"/>
        <v>2</v>
      </c>
      <c r="H136" s="191">
        <v>276.43430000000001</v>
      </c>
      <c r="I136" s="191">
        <v>26.055999999999983</v>
      </c>
      <c r="J136" s="191">
        <v>24.779800000000023</v>
      </c>
      <c r="K136" s="129" t="s">
        <v>457</v>
      </c>
      <c r="L136" s="131" t="s">
        <v>185</v>
      </c>
      <c r="M136" s="132" t="s">
        <v>186</v>
      </c>
      <c r="N136" s="129" t="s">
        <v>184</v>
      </c>
      <c r="O136" s="129" t="s">
        <v>420</v>
      </c>
      <c r="P136" s="202" t="s">
        <v>156</v>
      </c>
      <c r="Q136" s="202">
        <v>1</v>
      </c>
      <c r="R136" s="202">
        <v>4</v>
      </c>
      <c r="S136" s="202">
        <v>1</v>
      </c>
      <c r="T136" s="202">
        <f>S136+2</f>
        <v>3</v>
      </c>
      <c r="U136" s="202">
        <v>4.51</v>
      </c>
      <c r="V136" s="202">
        <v>4.51</v>
      </c>
      <c r="W136" s="129" t="s">
        <v>160</v>
      </c>
      <c r="X136" s="129" t="s">
        <v>421</v>
      </c>
      <c r="Y136" s="200">
        <v>12.74</v>
      </c>
      <c r="Z136" s="200">
        <v>-78.739999999999995</v>
      </c>
      <c r="AA136" s="129" t="s">
        <v>160</v>
      </c>
      <c r="AB136" s="129" t="s">
        <v>160</v>
      </c>
      <c r="AC136" s="129">
        <v>-2839</v>
      </c>
      <c r="AD136" s="129" t="s">
        <v>160</v>
      </c>
      <c r="AE136" s="129" t="s">
        <v>160</v>
      </c>
      <c r="AF136" s="129" t="s">
        <v>160</v>
      </c>
      <c r="AG136" s="145">
        <v>111.32</v>
      </c>
      <c r="AH136" s="129" t="s">
        <v>163</v>
      </c>
      <c r="AI136" s="129">
        <v>2</v>
      </c>
      <c r="AJ136" s="129">
        <v>2</v>
      </c>
      <c r="AK136" s="129" t="s">
        <v>160</v>
      </c>
      <c r="AL136" s="129" t="s">
        <v>422</v>
      </c>
      <c r="AM136" s="129" t="s">
        <v>160</v>
      </c>
      <c r="AN136" s="129" t="s">
        <v>160</v>
      </c>
      <c r="AO136" s="129" t="s">
        <v>160</v>
      </c>
      <c r="AP136" s="129" t="s">
        <v>160</v>
      </c>
      <c r="AQ136" s="129" t="s">
        <v>160</v>
      </c>
      <c r="AR136" s="129" t="s">
        <v>160</v>
      </c>
      <c r="AS136" s="129" t="s">
        <v>160</v>
      </c>
      <c r="AT136" s="129" t="s">
        <v>160</v>
      </c>
      <c r="AU136" s="129" t="s">
        <v>423</v>
      </c>
      <c r="AV136" s="129" t="s">
        <v>161</v>
      </c>
      <c r="AW136" s="129" t="s">
        <v>424</v>
      </c>
      <c r="AX136" s="178">
        <v>2</v>
      </c>
      <c r="AY136" s="129" t="s">
        <v>194</v>
      </c>
      <c r="AZ136" s="129" t="s">
        <v>195</v>
      </c>
      <c r="BA136" s="129" t="s">
        <v>425</v>
      </c>
      <c r="BB136" s="129" t="s">
        <v>160</v>
      </c>
      <c r="BC136" s="178">
        <v>2</v>
      </c>
      <c r="BD136" s="129" t="s">
        <v>160</v>
      </c>
      <c r="BE136" s="151">
        <v>20.375989690000001</v>
      </c>
      <c r="BF136" s="129" t="s">
        <v>426</v>
      </c>
      <c r="BG136" s="151">
        <v>0.220508226</v>
      </c>
      <c r="BH136" s="129">
        <v>0.64</v>
      </c>
      <c r="BI136" s="129" t="s">
        <v>427</v>
      </c>
      <c r="BJ136" s="129">
        <v>3.4000000000000002E-2</v>
      </c>
      <c r="BK136" s="129">
        <v>9.1</v>
      </c>
      <c r="BL136" s="129" t="s">
        <v>163</v>
      </c>
      <c r="BM136" s="129">
        <v>0.56000000000000005</v>
      </c>
      <c r="BN136" s="129" t="s">
        <v>428</v>
      </c>
      <c r="BO136" s="129" t="s">
        <v>429</v>
      </c>
      <c r="BP136" s="151">
        <f t="shared" si="16"/>
        <v>19.176649483333335</v>
      </c>
      <c r="BQ136" s="129" t="s">
        <v>202</v>
      </c>
      <c r="BR136" s="217"/>
      <c r="BS136" s="129" t="s">
        <v>160</v>
      </c>
      <c r="BT136" s="129" t="s">
        <v>160</v>
      </c>
      <c r="BU136" s="129">
        <v>10</v>
      </c>
      <c r="BV136" s="129" t="s">
        <v>159</v>
      </c>
      <c r="BW136" s="129">
        <v>10</v>
      </c>
      <c r="BX136" s="145">
        <v>25.14</v>
      </c>
      <c r="BY136" s="129" t="s">
        <v>159</v>
      </c>
      <c r="BZ136" s="129">
        <v>1</v>
      </c>
      <c r="CA136" s="129">
        <v>1</v>
      </c>
      <c r="CB136" s="129" t="s">
        <v>160</v>
      </c>
      <c r="CC136" s="151">
        <v>3.6510940605986253</v>
      </c>
      <c r="CD136" s="129" t="s">
        <v>430</v>
      </c>
      <c r="CE136" s="151">
        <v>0.14604376242394501</v>
      </c>
      <c r="CF136" s="151">
        <v>0.14604376242394501</v>
      </c>
      <c r="CG136" s="178" t="s">
        <v>160</v>
      </c>
      <c r="CH136" s="129" t="s">
        <v>431</v>
      </c>
      <c r="CI136" s="129" t="s">
        <v>160</v>
      </c>
      <c r="CJ136" s="129" t="s">
        <v>432</v>
      </c>
      <c r="CK136" s="129" t="s">
        <v>158</v>
      </c>
      <c r="CL136" s="129" t="s">
        <v>158</v>
      </c>
      <c r="CM136" s="129" t="s">
        <v>158</v>
      </c>
      <c r="CN136" s="129" t="s">
        <v>160</v>
      </c>
      <c r="CO136" s="129" t="s">
        <v>160</v>
      </c>
      <c r="CP136" s="129" t="s">
        <v>160</v>
      </c>
      <c r="CQ136" s="129" t="s">
        <v>160</v>
      </c>
      <c r="CR136" s="129" t="s">
        <v>160</v>
      </c>
      <c r="CS136" s="129" t="s">
        <v>160</v>
      </c>
      <c r="CT136" s="129" t="s">
        <v>160</v>
      </c>
      <c r="CU136" s="129">
        <v>35</v>
      </c>
      <c r="CV136" s="129" t="s">
        <v>393</v>
      </c>
      <c r="CW136" s="146">
        <v>1</v>
      </c>
      <c r="CX136" s="129" t="s">
        <v>207</v>
      </c>
      <c r="CY136" s="129">
        <v>1.06E-2</v>
      </c>
      <c r="CZ136" s="129" t="s">
        <v>159</v>
      </c>
      <c r="DA136" s="146">
        <v>0</v>
      </c>
      <c r="DB136" s="129" t="s">
        <v>208</v>
      </c>
      <c r="DC136" s="129">
        <v>5.5100000000000003E-2</v>
      </c>
      <c r="DD136" s="129" t="s">
        <v>159</v>
      </c>
      <c r="DE136" s="146">
        <v>0</v>
      </c>
      <c r="DF136" s="129" t="s">
        <v>208</v>
      </c>
      <c r="DG136" s="129" t="s">
        <v>160</v>
      </c>
      <c r="DH136" s="129" t="s">
        <v>160</v>
      </c>
      <c r="DI136" s="129" t="s">
        <v>160</v>
      </c>
      <c r="DJ136" s="129" t="s">
        <v>160</v>
      </c>
      <c r="DK136" s="145">
        <v>432.56244218316402</v>
      </c>
      <c r="DL136" s="129" t="s">
        <v>433</v>
      </c>
      <c r="DM136" s="145" t="s">
        <v>160</v>
      </c>
      <c r="DN136" s="129" t="s">
        <v>434</v>
      </c>
      <c r="DO136" s="129">
        <v>39.61101</v>
      </c>
      <c r="DP136" s="129" t="s">
        <v>160</v>
      </c>
      <c r="DQ136" s="129">
        <v>3.1570000000002096E-2</v>
      </c>
      <c r="DR136" s="129" t="s">
        <v>435</v>
      </c>
      <c r="DS136" s="129" t="s">
        <v>212</v>
      </c>
      <c r="DT136" s="129" t="s">
        <v>213</v>
      </c>
      <c r="DU136" s="129">
        <v>1.0271999999999999</v>
      </c>
      <c r="DV136" s="129" t="s">
        <v>160</v>
      </c>
      <c r="DW136" s="129" t="s">
        <v>160</v>
      </c>
      <c r="DX136" s="129" t="s">
        <v>436</v>
      </c>
      <c r="DY136" s="129" t="s">
        <v>158</v>
      </c>
      <c r="DZ136" s="129" t="s">
        <v>158</v>
      </c>
      <c r="EA136" s="129" t="s">
        <v>216</v>
      </c>
      <c r="EB136" s="129" t="s">
        <v>212</v>
      </c>
      <c r="EC136" s="129" t="s">
        <v>212</v>
      </c>
      <c r="ED136" s="129" t="s">
        <v>212</v>
      </c>
      <c r="EE136" s="129" t="s">
        <v>217</v>
      </c>
      <c r="EF136" s="147" t="s">
        <v>213</v>
      </c>
      <c r="EG136" s="148" t="s">
        <v>213</v>
      </c>
      <c r="EH136" s="129" t="s">
        <v>218</v>
      </c>
      <c r="EI136" s="129" t="s">
        <v>417</v>
      </c>
      <c r="EJ136" s="129" t="s">
        <v>160</v>
      </c>
      <c r="EK136" s="129">
        <v>1997.7540000000001</v>
      </c>
      <c r="EL136" s="129" t="s">
        <v>163</v>
      </c>
      <c r="EM136" s="129">
        <v>1.9109999999998399</v>
      </c>
      <c r="EN136" s="129">
        <v>1.9149999999999028</v>
      </c>
      <c r="EO136" s="129" t="s">
        <v>160</v>
      </c>
      <c r="EP136" s="129" t="s">
        <v>160</v>
      </c>
      <c r="EQ136" s="129" t="s">
        <v>160</v>
      </c>
      <c r="ER136" s="129" t="s">
        <v>160</v>
      </c>
      <c r="ES136" s="201">
        <v>8.1361319999999999</v>
      </c>
      <c r="ET136" s="129" t="s">
        <v>165</v>
      </c>
      <c r="EU136" s="151">
        <v>3.2997999999999195E-2</v>
      </c>
      <c r="EV136" s="151">
        <v>3.1914999999999694E-2</v>
      </c>
      <c r="EW136" s="142" t="s">
        <v>160</v>
      </c>
      <c r="EX136" s="129" t="s">
        <v>160</v>
      </c>
      <c r="EY136" s="129" t="s">
        <v>160</v>
      </c>
      <c r="EZ136" s="191">
        <v>276.43430000000001</v>
      </c>
      <c r="FA136" s="191">
        <v>26.055999999999983</v>
      </c>
      <c r="FB136" s="191">
        <v>24.779800000000023</v>
      </c>
      <c r="FC136" s="129" t="s">
        <v>220</v>
      </c>
      <c r="FD136" s="129" t="s">
        <v>221</v>
      </c>
      <c r="FE136" s="129">
        <v>2311.0280000000002</v>
      </c>
      <c r="FF136" s="129">
        <v>29.048999999999523</v>
      </c>
      <c r="FG136" s="129">
        <v>28.904000000000451</v>
      </c>
      <c r="FH136" s="129" t="s">
        <v>160</v>
      </c>
      <c r="FI136" s="129" t="s">
        <v>160</v>
      </c>
      <c r="FJ136" s="129" t="s">
        <v>160</v>
      </c>
      <c r="FK136" s="129" t="s">
        <v>160</v>
      </c>
      <c r="FL136" s="129" t="s">
        <v>160</v>
      </c>
      <c r="FM136" s="129" t="s">
        <v>160</v>
      </c>
      <c r="FN136" s="151">
        <v>4.1049179999999996</v>
      </c>
      <c r="FO136" s="151">
        <v>0.20758900000000047</v>
      </c>
      <c r="FP136" s="151">
        <v>0.20008099999999951</v>
      </c>
      <c r="FQ136" s="178" t="s">
        <v>419</v>
      </c>
      <c r="FR136" s="129" t="s">
        <v>415</v>
      </c>
      <c r="FS136" s="129">
        <v>2017</v>
      </c>
      <c r="FT136" s="131" t="s">
        <v>416</v>
      </c>
    </row>
    <row r="137" spans="1:176" s="129" customFormat="1">
      <c r="A137" s="129" t="s">
        <v>152</v>
      </c>
      <c r="B137" s="166" t="s">
        <v>183</v>
      </c>
      <c r="C137" s="166">
        <v>2018</v>
      </c>
      <c r="D137" s="166" t="s">
        <v>184</v>
      </c>
      <c r="E137" s="145">
        <f t="shared" si="14"/>
        <v>116.82</v>
      </c>
      <c r="F137" s="129">
        <f t="shared" si="15"/>
        <v>2</v>
      </c>
      <c r="G137" s="129">
        <f t="shared" si="15"/>
        <v>2</v>
      </c>
      <c r="H137" s="191">
        <v>305.46099999999996</v>
      </c>
      <c r="I137" s="191">
        <v>33.861500000000035</v>
      </c>
      <c r="J137" s="191">
        <v>31.216299999999933</v>
      </c>
      <c r="K137" s="129" t="s">
        <v>457</v>
      </c>
      <c r="L137" s="131" t="s">
        <v>185</v>
      </c>
      <c r="M137" s="132" t="s">
        <v>186</v>
      </c>
      <c r="N137" s="129" t="s">
        <v>184</v>
      </c>
      <c r="O137" s="129" t="s">
        <v>420</v>
      </c>
      <c r="P137" s="129" t="s">
        <v>156</v>
      </c>
      <c r="Q137" s="129">
        <v>1</v>
      </c>
      <c r="R137" s="129">
        <v>4</v>
      </c>
      <c r="S137" s="129">
        <f>T137-2</f>
        <v>22</v>
      </c>
      <c r="T137" s="129">
        <v>24</v>
      </c>
      <c r="U137" s="199">
        <v>4.74</v>
      </c>
      <c r="V137" s="199">
        <v>4.74</v>
      </c>
      <c r="W137" s="129" t="s">
        <v>160</v>
      </c>
      <c r="X137" s="129" t="s">
        <v>421</v>
      </c>
      <c r="Y137" s="200">
        <v>12.74</v>
      </c>
      <c r="Z137" s="200">
        <v>-78.739999999999995</v>
      </c>
      <c r="AA137" s="129" t="s">
        <v>160</v>
      </c>
      <c r="AB137" s="129" t="s">
        <v>160</v>
      </c>
      <c r="AC137" s="129">
        <v>-2839</v>
      </c>
      <c r="AD137" s="129" t="s">
        <v>160</v>
      </c>
      <c r="AE137" s="129" t="s">
        <v>160</v>
      </c>
      <c r="AF137" s="129" t="s">
        <v>160</v>
      </c>
      <c r="AG137" s="145">
        <v>116.82</v>
      </c>
      <c r="AH137" s="129" t="s">
        <v>163</v>
      </c>
      <c r="AI137" s="129">
        <v>2</v>
      </c>
      <c r="AJ137" s="129">
        <v>2</v>
      </c>
      <c r="AK137" s="129" t="s">
        <v>160</v>
      </c>
      <c r="AL137" s="129" t="s">
        <v>422</v>
      </c>
      <c r="AM137" s="129" t="s">
        <v>160</v>
      </c>
      <c r="AN137" s="129" t="s">
        <v>160</v>
      </c>
      <c r="AO137" s="129" t="s">
        <v>160</v>
      </c>
      <c r="AP137" s="129" t="s">
        <v>160</v>
      </c>
      <c r="AQ137" s="129" t="s">
        <v>160</v>
      </c>
      <c r="AR137" s="129" t="s">
        <v>160</v>
      </c>
      <c r="AS137" s="129" t="s">
        <v>160</v>
      </c>
      <c r="AT137" s="129" t="s">
        <v>160</v>
      </c>
      <c r="AU137" s="129" t="s">
        <v>423</v>
      </c>
      <c r="AV137" s="129" t="s">
        <v>161</v>
      </c>
      <c r="AW137" s="129" t="s">
        <v>424</v>
      </c>
      <c r="AX137" s="178">
        <v>2</v>
      </c>
      <c r="AY137" s="129" t="s">
        <v>194</v>
      </c>
      <c r="AZ137" s="129" t="s">
        <v>195</v>
      </c>
      <c r="BA137" s="129" t="s">
        <v>425</v>
      </c>
      <c r="BB137" s="129" t="s">
        <v>160</v>
      </c>
      <c r="BC137" s="178">
        <v>2</v>
      </c>
      <c r="BD137" s="129" t="s">
        <v>160</v>
      </c>
      <c r="BE137" s="199">
        <v>20.260000000000002</v>
      </c>
      <c r="BF137" s="129" t="s">
        <v>426</v>
      </c>
      <c r="BG137" s="151">
        <v>0.3</v>
      </c>
      <c r="BH137" s="129">
        <v>0.64</v>
      </c>
      <c r="BI137" s="129" t="s">
        <v>427</v>
      </c>
      <c r="BJ137" s="129">
        <v>3.4000000000000002E-2</v>
      </c>
      <c r="BK137" s="129">
        <v>9.1</v>
      </c>
      <c r="BL137" s="129" t="s">
        <v>163</v>
      </c>
      <c r="BM137" s="129">
        <v>0.56000000000000005</v>
      </c>
      <c r="BN137" s="129" t="s">
        <v>428</v>
      </c>
      <c r="BO137" s="129" t="s">
        <v>429</v>
      </c>
      <c r="BP137" s="151">
        <f t="shared" si="16"/>
        <v>18.983333333333338</v>
      </c>
      <c r="BQ137" s="129" t="s">
        <v>202</v>
      </c>
      <c r="BR137" s="217"/>
      <c r="BS137" s="129" t="s">
        <v>160</v>
      </c>
      <c r="BT137" s="129" t="s">
        <v>160</v>
      </c>
      <c r="BU137" s="129">
        <v>10</v>
      </c>
      <c r="BV137" s="129" t="s">
        <v>159</v>
      </c>
      <c r="BW137" s="129">
        <v>10</v>
      </c>
      <c r="BX137" s="145">
        <v>26.56</v>
      </c>
      <c r="BY137" s="129" t="s">
        <v>159</v>
      </c>
      <c r="BZ137" s="129">
        <v>1</v>
      </c>
      <c r="CA137" s="129">
        <v>1</v>
      </c>
      <c r="CB137" s="129" t="s">
        <v>160</v>
      </c>
      <c r="CC137" s="151">
        <v>3.4089999999999998</v>
      </c>
      <c r="CD137" s="129" t="s">
        <v>430</v>
      </c>
      <c r="CE137" s="151">
        <v>0.13636000000000001</v>
      </c>
      <c r="CF137" s="151">
        <v>0.13636000000000001</v>
      </c>
      <c r="CG137" s="178" t="s">
        <v>160</v>
      </c>
      <c r="CH137" s="129" t="s">
        <v>431</v>
      </c>
      <c r="CI137" s="129" t="s">
        <v>160</v>
      </c>
      <c r="CJ137" s="129" t="s">
        <v>432</v>
      </c>
      <c r="CK137" s="129" t="s">
        <v>158</v>
      </c>
      <c r="CL137" s="129" t="s">
        <v>158</v>
      </c>
      <c r="CM137" s="129" t="s">
        <v>158</v>
      </c>
      <c r="CN137" s="129" t="s">
        <v>160</v>
      </c>
      <c r="CO137" s="129" t="s">
        <v>160</v>
      </c>
      <c r="CP137" s="129" t="s">
        <v>160</v>
      </c>
      <c r="CQ137" s="129" t="s">
        <v>160</v>
      </c>
      <c r="CR137" s="129" t="s">
        <v>160</v>
      </c>
      <c r="CS137" s="129" t="s">
        <v>160</v>
      </c>
      <c r="CT137" s="129" t="s">
        <v>160</v>
      </c>
      <c r="CU137" s="129">
        <v>35</v>
      </c>
      <c r="CV137" s="129" t="s">
        <v>393</v>
      </c>
      <c r="CW137" s="146">
        <v>1</v>
      </c>
      <c r="CX137" s="129" t="s">
        <v>207</v>
      </c>
      <c r="CY137" s="129">
        <v>1.06E-2</v>
      </c>
      <c r="CZ137" s="129" t="s">
        <v>159</v>
      </c>
      <c r="DA137" s="146">
        <v>0</v>
      </c>
      <c r="DB137" s="129" t="s">
        <v>208</v>
      </c>
      <c r="DC137" s="129">
        <v>5.5100000000000003E-2</v>
      </c>
      <c r="DD137" s="129" t="s">
        <v>159</v>
      </c>
      <c r="DE137" s="146">
        <v>0</v>
      </c>
      <c r="DF137" s="129" t="s">
        <v>208</v>
      </c>
      <c r="DG137" s="129" t="s">
        <v>160</v>
      </c>
      <c r="DH137" s="129" t="s">
        <v>160</v>
      </c>
      <c r="DI137" s="129" t="s">
        <v>160</v>
      </c>
      <c r="DJ137" s="129" t="s">
        <v>160</v>
      </c>
      <c r="DK137" s="145">
        <v>432.56244218316402</v>
      </c>
      <c r="DL137" s="129" t="s">
        <v>433</v>
      </c>
      <c r="DM137" s="145" t="s">
        <v>160</v>
      </c>
      <c r="DN137" s="129" t="s">
        <v>434</v>
      </c>
      <c r="DO137" s="129">
        <v>39.61159</v>
      </c>
      <c r="DP137" s="129" t="s">
        <v>160</v>
      </c>
      <c r="DQ137" s="129">
        <v>3.2809999999997785E-2</v>
      </c>
      <c r="DR137" s="129" t="s">
        <v>435</v>
      </c>
      <c r="DS137" s="129" t="s">
        <v>212</v>
      </c>
      <c r="DT137" s="129" t="s">
        <v>213</v>
      </c>
      <c r="DU137" s="129">
        <v>1.0271999999999999</v>
      </c>
      <c r="DV137" s="129" t="s">
        <v>160</v>
      </c>
      <c r="DW137" s="129" t="s">
        <v>160</v>
      </c>
      <c r="DX137" s="129" t="s">
        <v>436</v>
      </c>
      <c r="DY137" s="129" t="s">
        <v>158</v>
      </c>
      <c r="DZ137" s="129" t="s">
        <v>158</v>
      </c>
      <c r="EA137" s="129" t="s">
        <v>216</v>
      </c>
      <c r="EB137" s="129" t="s">
        <v>212</v>
      </c>
      <c r="EC137" s="129" t="s">
        <v>212</v>
      </c>
      <c r="ED137" s="129" t="s">
        <v>212</v>
      </c>
      <c r="EE137" s="129" t="s">
        <v>217</v>
      </c>
      <c r="EF137" s="147" t="s">
        <v>213</v>
      </c>
      <c r="EG137" s="148" t="s">
        <v>213</v>
      </c>
      <c r="EH137" s="129" t="s">
        <v>218</v>
      </c>
      <c r="EI137" s="129" t="s">
        <v>417</v>
      </c>
      <c r="EJ137" s="129" t="s">
        <v>160</v>
      </c>
      <c r="EK137" s="129">
        <v>1997.6279999999999</v>
      </c>
      <c r="EL137" s="129" t="s">
        <v>163</v>
      </c>
      <c r="EM137" s="129">
        <v>1.9540000000001916</v>
      </c>
      <c r="EN137" s="129">
        <v>2.0499999999999687</v>
      </c>
      <c r="EO137" s="129" t="s">
        <v>160</v>
      </c>
      <c r="EP137" s="129" t="s">
        <v>160</v>
      </c>
      <c r="EQ137" s="129" t="s">
        <v>160</v>
      </c>
      <c r="ER137" s="129" t="s">
        <v>160</v>
      </c>
      <c r="ES137" s="201">
        <v>8.1018779999999992</v>
      </c>
      <c r="ET137" s="129" t="s">
        <v>165</v>
      </c>
      <c r="EU137" s="151">
        <v>3.7994000000001193E-2</v>
      </c>
      <c r="EV137" s="151">
        <v>3.7891000000000119E-2</v>
      </c>
      <c r="EW137" s="142" t="s">
        <v>160</v>
      </c>
      <c r="EX137" s="129" t="s">
        <v>160</v>
      </c>
      <c r="EY137" s="129" t="s">
        <v>160</v>
      </c>
      <c r="EZ137" s="191">
        <v>305.46099999999996</v>
      </c>
      <c r="FA137" s="191">
        <v>33.861500000000035</v>
      </c>
      <c r="FB137" s="191">
        <v>31.216299999999933</v>
      </c>
      <c r="FC137" s="129" t="s">
        <v>220</v>
      </c>
      <c r="FD137" s="129" t="s">
        <v>221</v>
      </c>
      <c r="FE137" s="129">
        <v>2301.5529999999999</v>
      </c>
      <c r="FF137" s="129">
        <v>33.043999999999869</v>
      </c>
      <c r="FG137" s="129">
        <v>31.389999999999873</v>
      </c>
      <c r="FH137" s="129" t="s">
        <v>160</v>
      </c>
      <c r="FI137" s="129" t="s">
        <v>160</v>
      </c>
      <c r="FJ137" s="129" t="s">
        <v>160</v>
      </c>
      <c r="FK137" s="129" t="s">
        <v>160</v>
      </c>
      <c r="FL137" s="129" t="s">
        <v>160</v>
      </c>
      <c r="FM137" s="129" t="s">
        <v>160</v>
      </c>
      <c r="FN137" s="151">
        <v>4.0486469999999999</v>
      </c>
      <c r="FO137" s="151">
        <v>0.26441599999999976</v>
      </c>
      <c r="FP137" s="151">
        <v>0.25831599999999977</v>
      </c>
      <c r="FQ137" s="178" t="s">
        <v>419</v>
      </c>
      <c r="FR137" s="129" t="s">
        <v>415</v>
      </c>
      <c r="FS137" s="129">
        <v>2017</v>
      </c>
      <c r="FT137" s="131" t="s">
        <v>416</v>
      </c>
    </row>
    <row r="138" spans="1:176" s="129" customFormat="1">
      <c r="A138" s="129" t="s">
        <v>152</v>
      </c>
      <c r="B138" s="166" t="s">
        <v>183</v>
      </c>
      <c r="C138" s="166">
        <v>2018</v>
      </c>
      <c r="D138" s="166" t="s">
        <v>184</v>
      </c>
      <c r="E138" s="145">
        <f t="shared" si="14"/>
        <v>118.81</v>
      </c>
      <c r="F138" s="129">
        <f t="shared" si="15"/>
        <v>2</v>
      </c>
      <c r="G138" s="129">
        <f t="shared" si="15"/>
        <v>2</v>
      </c>
      <c r="H138" s="191">
        <v>320.9194</v>
      </c>
      <c r="I138" s="191">
        <v>36.903599999999983</v>
      </c>
      <c r="J138" s="191">
        <v>32.215700000000027</v>
      </c>
      <c r="K138" s="129" t="s">
        <v>457</v>
      </c>
      <c r="L138" s="131" t="s">
        <v>185</v>
      </c>
      <c r="M138" s="132" t="s">
        <v>186</v>
      </c>
      <c r="N138" s="129" t="s">
        <v>184</v>
      </c>
      <c r="O138" s="129" t="s">
        <v>420</v>
      </c>
      <c r="P138" s="129" t="s">
        <v>156</v>
      </c>
      <c r="Q138" s="129">
        <v>1</v>
      </c>
      <c r="R138" s="129">
        <v>4</v>
      </c>
      <c r="S138" s="129">
        <f>T138-2</f>
        <v>30</v>
      </c>
      <c r="T138" s="129">
        <v>32</v>
      </c>
      <c r="U138" s="199">
        <v>4.82</v>
      </c>
      <c r="V138" s="199">
        <v>4.82</v>
      </c>
      <c r="W138" s="129" t="s">
        <v>160</v>
      </c>
      <c r="X138" s="129" t="s">
        <v>421</v>
      </c>
      <c r="Y138" s="200">
        <v>12.74</v>
      </c>
      <c r="Z138" s="200">
        <v>-78.739999999999995</v>
      </c>
      <c r="AA138" s="129" t="s">
        <v>160</v>
      </c>
      <c r="AB138" s="129" t="s">
        <v>160</v>
      </c>
      <c r="AC138" s="129">
        <v>-2839</v>
      </c>
      <c r="AD138" s="129" t="s">
        <v>160</v>
      </c>
      <c r="AE138" s="129" t="s">
        <v>160</v>
      </c>
      <c r="AF138" s="129" t="s">
        <v>160</v>
      </c>
      <c r="AG138" s="145">
        <v>118.81</v>
      </c>
      <c r="AH138" s="129" t="s">
        <v>163</v>
      </c>
      <c r="AI138" s="129">
        <v>2</v>
      </c>
      <c r="AJ138" s="129">
        <v>2</v>
      </c>
      <c r="AK138" s="129" t="s">
        <v>160</v>
      </c>
      <c r="AL138" s="129" t="s">
        <v>422</v>
      </c>
      <c r="AM138" s="129" t="s">
        <v>160</v>
      </c>
      <c r="AN138" s="129" t="s">
        <v>160</v>
      </c>
      <c r="AO138" s="129" t="s">
        <v>160</v>
      </c>
      <c r="AP138" s="129" t="s">
        <v>160</v>
      </c>
      <c r="AQ138" s="129" t="s">
        <v>160</v>
      </c>
      <c r="AR138" s="129" t="s">
        <v>160</v>
      </c>
      <c r="AS138" s="129" t="s">
        <v>160</v>
      </c>
      <c r="AT138" s="129" t="s">
        <v>160</v>
      </c>
      <c r="AU138" s="129" t="s">
        <v>423</v>
      </c>
      <c r="AV138" s="129" t="s">
        <v>161</v>
      </c>
      <c r="AW138" s="129" t="s">
        <v>424</v>
      </c>
      <c r="AX138" s="178">
        <v>2</v>
      </c>
      <c r="AY138" s="129" t="s">
        <v>194</v>
      </c>
      <c r="AZ138" s="129" t="s">
        <v>195</v>
      </c>
      <c r="BA138" s="129" t="s">
        <v>425</v>
      </c>
      <c r="BB138" s="129" t="s">
        <v>160</v>
      </c>
      <c r="BC138" s="178">
        <v>2</v>
      </c>
      <c r="BD138" s="129" t="s">
        <v>160</v>
      </c>
      <c r="BE138" s="199">
        <v>20.18</v>
      </c>
      <c r="BF138" s="129" t="s">
        <v>426</v>
      </c>
      <c r="BG138" s="151">
        <v>0.3</v>
      </c>
      <c r="BH138" s="129">
        <v>0.64</v>
      </c>
      <c r="BI138" s="129" t="s">
        <v>427</v>
      </c>
      <c r="BJ138" s="129">
        <v>3.4000000000000002E-2</v>
      </c>
      <c r="BK138" s="129">
        <v>9.1</v>
      </c>
      <c r="BL138" s="129" t="s">
        <v>163</v>
      </c>
      <c r="BM138" s="129">
        <v>0.56000000000000005</v>
      </c>
      <c r="BN138" s="129" t="s">
        <v>428</v>
      </c>
      <c r="BO138" s="129" t="s">
        <v>429</v>
      </c>
      <c r="BP138" s="151">
        <f t="shared" si="16"/>
        <v>18.850000000000001</v>
      </c>
      <c r="BQ138" s="129" t="s">
        <v>202</v>
      </c>
      <c r="BR138" s="217"/>
      <c r="BS138" s="129" t="s">
        <v>160</v>
      </c>
      <c r="BT138" s="129" t="s">
        <v>160</v>
      </c>
      <c r="BU138" s="129">
        <v>10</v>
      </c>
      <c r="BV138" s="129" t="s">
        <v>159</v>
      </c>
      <c r="BW138" s="129">
        <v>10</v>
      </c>
      <c r="BX138" s="145">
        <v>27.14</v>
      </c>
      <c r="BY138" s="129" t="s">
        <v>159</v>
      </c>
      <c r="BZ138" s="129">
        <v>1</v>
      </c>
      <c r="CA138" s="129">
        <v>1</v>
      </c>
      <c r="CB138" s="129" t="s">
        <v>160</v>
      </c>
      <c r="CC138" s="151">
        <v>3.7</v>
      </c>
      <c r="CD138" s="129" t="s">
        <v>430</v>
      </c>
      <c r="CE138" s="151">
        <v>0.14800000000000002</v>
      </c>
      <c r="CF138" s="151">
        <v>0.14800000000000002</v>
      </c>
      <c r="CG138" s="178" t="s">
        <v>160</v>
      </c>
      <c r="CH138" s="129" t="s">
        <v>431</v>
      </c>
      <c r="CI138" s="129" t="s">
        <v>160</v>
      </c>
      <c r="CJ138" s="129" t="s">
        <v>432</v>
      </c>
      <c r="CK138" s="129" t="s">
        <v>158</v>
      </c>
      <c r="CL138" s="129" t="s">
        <v>158</v>
      </c>
      <c r="CM138" s="129" t="s">
        <v>158</v>
      </c>
      <c r="CN138" s="129" t="s">
        <v>160</v>
      </c>
      <c r="CO138" s="129" t="s">
        <v>160</v>
      </c>
      <c r="CP138" s="129" t="s">
        <v>160</v>
      </c>
      <c r="CQ138" s="129" t="s">
        <v>160</v>
      </c>
      <c r="CR138" s="129" t="s">
        <v>160</v>
      </c>
      <c r="CS138" s="129" t="s">
        <v>160</v>
      </c>
      <c r="CT138" s="129" t="s">
        <v>160</v>
      </c>
      <c r="CU138" s="129">
        <v>35</v>
      </c>
      <c r="CV138" s="129" t="s">
        <v>393</v>
      </c>
      <c r="CW138" s="146">
        <v>1</v>
      </c>
      <c r="CX138" s="129" t="s">
        <v>207</v>
      </c>
      <c r="CY138" s="129">
        <v>1.06E-2</v>
      </c>
      <c r="CZ138" s="129" t="s">
        <v>159</v>
      </c>
      <c r="DA138" s="146">
        <v>0</v>
      </c>
      <c r="DB138" s="129" t="s">
        <v>208</v>
      </c>
      <c r="DC138" s="129">
        <v>5.5100000000000003E-2</v>
      </c>
      <c r="DD138" s="129" t="s">
        <v>159</v>
      </c>
      <c r="DE138" s="146">
        <v>0</v>
      </c>
      <c r="DF138" s="129" t="s">
        <v>208</v>
      </c>
      <c r="DG138" s="129" t="s">
        <v>160</v>
      </c>
      <c r="DH138" s="129" t="s">
        <v>160</v>
      </c>
      <c r="DI138" s="129" t="s">
        <v>160</v>
      </c>
      <c r="DJ138" s="129" t="s">
        <v>160</v>
      </c>
      <c r="DK138" s="145">
        <v>432.56244218316402</v>
      </c>
      <c r="DL138" s="129" t="s">
        <v>433</v>
      </c>
      <c r="DM138" s="145" t="s">
        <v>160</v>
      </c>
      <c r="DN138" s="129" t="s">
        <v>434</v>
      </c>
      <c r="DO138" s="129">
        <v>39.611829999999998</v>
      </c>
      <c r="DP138" s="129" t="s">
        <v>160</v>
      </c>
      <c r="DQ138" s="129">
        <v>3.3300000000004104E-2</v>
      </c>
      <c r="DR138" s="129" t="s">
        <v>435</v>
      </c>
      <c r="DS138" s="129" t="s">
        <v>212</v>
      </c>
      <c r="DT138" s="129" t="s">
        <v>213</v>
      </c>
      <c r="DU138" s="129">
        <v>1.0271999999999999</v>
      </c>
      <c r="DV138" s="129" t="s">
        <v>160</v>
      </c>
      <c r="DW138" s="129" t="s">
        <v>160</v>
      </c>
      <c r="DX138" s="129" t="s">
        <v>436</v>
      </c>
      <c r="DY138" s="129" t="s">
        <v>158</v>
      </c>
      <c r="DZ138" s="129" t="s">
        <v>158</v>
      </c>
      <c r="EA138" s="129" t="s">
        <v>216</v>
      </c>
      <c r="EB138" s="129" t="s">
        <v>212</v>
      </c>
      <c r="EC138" s="129" t="s">
        <v>212</v>
      </c>
      <c r="ED138" s="129" t="s">
        <v>212</v>
      </c>
      <c r="EE138" s="129" t="s">
        <v>217</v>
      </c>
      <c r="EF138" s="147" t="s">
        <v>213</v>
      </c>
      <c r="EG138" s="148" t="s">
        <v>213</v>
      </c>
      <c r="EH138" s="129" t="s">
        <v>218</v>
      </c>
      <c r="EI138" s="129" t="s">
        <v>417</v>
      </c>
      <c r="EJ138" s="129" t="s">
        <v>160</v>
      </c>
      <c r="EK138" s="129">
        <v>1997.576</v>
      </c>
      <c r="EL138" s="129" t="s">
        <v>163</v>
      </c>
      <c r="EM138" s="129">
        <v>2.0670000000001276</v>
      </c>
      <c r="EN138" s="129">
        <v>1.9360000000001252</v>
      </c>
      <c r="EO138" s="129" t="s">
        <v>160</v>
      </c>
      <c r="EP138" s="129" t="s">
        <v>160</v>
      </c>
      <c r="EQ138" s="129" t="s">
        <v>160</v>
      </c>
      <c r="ER138" s="129" t="s">
        <v>160</v>
      </c>
      <c r="ES138" s="201">
        <v>8.0845970000000005</v>
      </c>
      <c r="ET138" s="129" t="s">
        <v>165</v>
      </c>
      <c r="EU138" s="151">
        <v>3.7603999999999971E-2</v>
      </c>
      <c r="EV138" s="151">
        <v>3.9227000000000345E-2</v>
      </c>
      <c r="EW138" s="142" t="s">
        <v>160</v>
      </c>
      <c r="EX138" s="129" t="s">
        <v>160</v>
      </c>
      <c r="EY138" s="129" t="s">
        <v>160</v>
      </c>
      <c r="EZ138" s="191">
        <v>320.9194</v>
      </c>
      <c r="FA138" s="191">
        <v>36.903599999999983</v>
      </c>
      <c r="FB138" s="191">
        <v>32.215700000000027</v>
      </c>
      <c r="FC138" s="129" t="s">
        <v>220</v>
      </c>
      <c r="FD138" s="129" t="s">
        <v>221</v>
      </c>
      <c r="FE138" s="129">
        <v>2294.4430000000002</v>
      </c>
      <c r="FF138" s="129">
        <v>32.547999999999774</v>
      </c>
      <c r="FG138" s="129">
        <v>31.042000000000371</v>
      </c>
      <c r="FH138" s="129" t="s">
        <v>160</v>
      </c>
      <c r="FI138" s="129" t="s">
        <v>160</v>
      </c>
      <c r="FJ138" s="129" t="s">
        <v>160</v>
      </c>
      <c r="FK138" s="129" t="s">
        <v>160</v>
      </c>
      <c r="FL138" s="129" t="s">
        <v>160</v>
      </c>
      <c r="FM138" s="129" t="s">
        <v>160</v>
      </c>
      <c r="FN138" s="151">
        <v>3.9809570000000001</v>
      </c>
      <c r="FO138" s="151">
        <v>0.26679399999999998</v>
      </c>
      <c r="FP138" s="151">
        <v>0.25967600000000024</v>
      </c>
      <c r="FQ138" s="178" t="s">
        <v>419</v>
      </c>
      <c r="FR138" s="129" t="s">
        <v>415</v>
      </c>
      <c r="FS138" s="129">
        <v>2017</v>
      </c>
      <c r="FT138" s="131" t="s">
        <v>416</v>
      </c>
    </row>
    <row r="139" spans="1:176" s="129" customFormat="1">
      <c r="A139" s="129" t="s">
        <v>152</v>
      </c>
      <c r="B139" s="166" t="s">
        <v>183</v>
      </c>
      <c r="C139" s="166">
        <v>2018</v>
      </c>
      <c r="D139" s="166" t="s">
        <v>184</v>
      </c>
      <c r="E139" s="145">
        <f t="shared" si="14"/>
        <v>119.06</v>
      </c>
      <c r="F139" s="129">
        <f t="shared" si="15"/>
        <v>2</v>
      </c>
      <c r="G139" s="129">
        <f t="shared" si="15"/>
        <v>2</v>
      </c>
      <c r="H139" s="191">
        <v>297.43130000000002</v>
      </c>
      <c r="I139" s="191">
        <v>31.516500000000008</v>
      </c>
      <c r="J139" s="191">
        <v>28.121700000000033</v>
      </c>
      <c r="K139" s="129" t="s">
        <v>457</v>
      </c>
      <c r="L139" s="131" t="s">
        <v>185</v>
      </c>
      <c r="M139" s="132" t="s">
        <v>186</v>
      </c>
      <c r="N139" s="129" t="s">
        <v>184</v>
      </c>
      <c r="O139" s="129" t="s">
        <v>420</v>
      </c>
      <c r="P139" s="202" t="s">
        <v>156</v>
      </c>
      <c r="Q139" s="202">
        <v>1</v>
      </c>
      <c r="R139" s="202">
        <v>4</v>
      </c>
      <c r="S139" s="202">
        <v>32</v>
      </c>
      <c r="T139" s="202">
        <f>S139+2</f>
        <v>34</v>
      </c>
      <c r="U139" s="202">
        <v>4.82</v>
      </c>
      <c r="V139" s="202">
        <v>4.82</v>
      </c>
      <c r="W139" s="129" t="s">
        <v>160</v>
      </c>
      <c r="X139" s="129" t="s">
        <v>421</v>
      </c>
      <c r="Y139" s="200">
        <v>12.74</v>
      </c>
      <c r="Z139" s="200">
        <v>-78.739999999999995</v>
      </c>
      <c r="AA139" s="129" t="s">
        <v>160</v>
      </c>
      <c r="AB139" s="129" t="s">
        <v>160</v>
      </c>
      <c r="AC139" s="129">
        <v>-2839</v>
      </c>
      <c r="AD139" s="129" t="s">
        <v>160</v>
      </c>
      <c r="AE139" s="129" t="s">
        <v>160</v>
      </c>
      <c r="AF139" s="129" t="s">
        <v>160</v>
      </c>
      <c r="AG139" s="145">
        <v>119.06</v>
      </c>
      <c r="AH139" s="129" t="s">
        <v>163</v>
      </c>
      <c r="AI139" s="129">
        <v>2</v>
      </c>
      <c r="AJ139" s="129">
        <v>2</v>
      </c>
      <c r="AK139" s="129" t="s">
        <v>160</v>
      </c>
      <c r="AL139" s="129" t="s">
        <v>422</v>
      </c>
      <c r="AM139" s="129" t="s">
        <v>160</v>
      </c>
      <c r="AN139" s="129" t="s">
        <v>160</v>
      </c>
      <c r="AO139" s="129" t="s">
        <v>160</v>
      </c>
      <c r="AP139" s="129" t="s">
        <v>160</v>
      </c>
      <c r="AQ139" s="129" t="s">
        <v>160</v>
      </c>
      <c r="AR139" s="129" t="s">
        <v>160</v>
      </c>
      <c r="AS139" s="129" t="s">
        <v>160</v>
      </c>
      <c r="AT139" s="129" t="s">
        <v>160</v>
      </c>
      <c r="AU139" s="129" t="s">
        <v>423</v>
      </c>
      <c r="AV139" s="129" t="s">
        <v>161</v>
      </c>
      <c r="AW139" s="129" t="s">
        <v>424</v>
      </c>
      <c r="AX139" s="178">
        <v>2</v>
      </c>
      <c r="AY139" s="129" t="s">
        <v>194</v>
      </c>
      <c r="AZ139" s="129" t="s">
        <v>195</v>
      </c>
      <c r="BA139" s="129" t="s">
        <v>425</v>
      </c>
      <c r="BB139" s="129" t="s">
        <v>160</v>
      </c>
      <c r="BC139" s="178">
        <v>2</v>
      </c>
      <c r="BD139" s="129" t="s">
        <v>160</v>
      </c>
      <c r="BE139" s="151">
        <v>20.308739240000001</v>
      </c>
      <c r="BF139" s="129" t="s">
        <v>426</v>
      </c>
      <c r="BG139" s="151">
        <v>0.27101699600000001</v>
      </c>
      <c r="BH139" s="129">
        <v>0.64</v>
      </c>
      <c r="BI139" s="129" t="s">
        <v>427</v>
      </c>
      <c r="BJ139" s="129">
        <v>3.4000000000000002E-2</v>
      </c>
      <c r="BK139" s="129">
        <v>9.1</v>
      </c>
      <c r="BL139" s="129" t="s">
        <v>163</v>
      </c>
      <c r="BM139" s="129">
        <v>0.56000000000000005</v>
      </c>
      <c r="BN139" s="129" t="s">
        <v>428</v>
      </c>
      <c r="BO139" s="129" t="s">
        <v>429</v>
      </c>
      <c r="BP139" s="151">
        <f t="shared" si="16"/>
        <v>19.064565400000003</v>
      </c>
      <c r="BQ139" s="129" t="s">
        <v>202</v>
      </c>
      <c r="BR139" s="217"/>
      <c r="BS139" s="129" t="s">
        <v>160</v>
      </c>
      <c r="BT139" s="129" t="s">
        <v>160</v>
      </c>
      <c r="BU139" s="129">
        <v>10</v>
      </c>
      <c r="BV139" s="129" t="s">
        <v>159</v>
      </c>
      <c r="BW139" s="129">
        <v>10</v>
      </c>
      <c r="BX139" s="145">
        <v>26.43</v>
      </c>
      <c r="BY139" s="129" t="s">
        <v>159</v>
      </c>
      <c r="BZ139" s="129">
        <v>1</v>
      </c>
      <c r="CA139" s="129">
        <v>1</v>
      </c>
      <c r="CB139" s="129" t="s">
        <v>160</v>
      </c>
      <c r="CC139" s="151">
        <v>4.1007913793754991</v>
      </c>
      <c r="CD139" s="129" t="s">
        <v>430</v>
      </c>
      <c r="CE139" s="151">
        <v>0.16403165517501997</v>
      </c>
      <c r="CF139" s="151">
        <v>0.16403165517501997</v>
      </c>
      <c r="CG139" s="178" t="s">
        <v>160</v>
      </c>
      <c r="CH139" s="129" t="s">
        <v>431</v>
      </c>
      <c r="CI139" s="129" t="s">
        <v>160</v>
      </c>
      <c r="CJ139" s="129" t="s">
        <v>432</v>
      </c>
      <c r="CK139" s="129" t="s">
        <v>158</v>
      </c>
      <c r="CL139" s="129" t="s">
        <v>158</v>
      </c>
      <c r="CM139" s="129" t="s">
        <v>158</v>
      </c>
      <c r="CN139" s="129" t="s">
        <v>160</v>
      </c>
      <c r="CO139" s="129" t="s">
        <v>160</v>
      </c>
      <c r="CP139" s="129" t="s">
        <v>160</v>
      </c>
      <c r="CQ139" s="129" t="s">
        <v>160</v>
      </c>
      <c r="CR139" s="129" t="s">
        <v>160</v>
      </c>
      <c r="CS139" s="129" t="s">
        <v>160</v>
      </c>
      <c r="CT139" s="129" t="s">
        <v>160</v>
      </c>
      <c r="CU139" s="129">
        <v>35</v>
      </c>
      <c r="CV139" s="129" t="s">
        <v>393</v>
      </c>
      <c r="CW139" s="146">
        <v>1</v>
      </c>
      <c r="CX139" s="129" t="s">
        <v>207</v>
      </c>
      <c r="CY139" s="129">
        <v>1.06E-2</v>
      </c>
      <c r="CZ139" s="129" t="s">
        <v>159</v>
      </c>
      <c r="DA139" s="146">
        <v>0</v>
      </c>
      <c r="DB139" s="129" t="s">
        <v>208</v>
      </c>
      <c r="DC139" s="129">
        <v>5.5100000000000003E-2</v>
      </c>
      <c r="DD139" s="129" t="s">
        <v>159</v>
      </c>
      <c r="DE139" s="146">
        <v>0</v>
      </c>
      <c r="DF139" s="129" t="s">
        <v>208</v>
      </c>
      <c r="DG139" s="129" t="s">
        <v>160</v>
      </c>
      <c r="DH139" s="129" t="s">
        <v>160</v>
      </c>
      <c r="DI139" s="129" t="s">
        <v>160</v>
      </c>
      <c r="DJ139" s="129" t="s">
        <v>160</v>
      </c>
      <c r="DK139" s="145">
        <v>432.56244218316402</v>
      </c>
      <c r="DL139" s="129" t="s">
        <v>433</v>
      </c>
      <c r="DM139" s="145" t="s">
        <v>160</v>
      </c>
      <c r="DN139" s="129" t="s">
        <v>434</v>
      </c>
      <c r="DO139" s="129">
        <v>39.612130000000001</v>
      </c>
      <c r="DP139" s="129" t="s">
        <v>160</v>
      </c>
      <c r="DQ139" s="129">
        <v>3.3889999999999532E-2</v>
      </c>
      <c r="DR139" s="129" t="s">
        <v>435</v>
      </c>
      <c r="DS139" s="129" t="s">
        <v>212</v>
      </c>
      <c r="DT139" s="129" t="s">
        <v>213</v>
      </c>
      <c r="DU139" s="129">
        <v>1.0271999999999999</v>
      </c>
      <c r="DV139" s="129" t="s">
        <v>160</v>
      </c>
      <c r="DW139" s="129" t="s">
        <v>160</v>
      </c>
      <c r="DX139" s="129" t="s">
        <v>436</v>
      </c>
      <c r="DY139" s="129" t="s">
        <v>158</v>
      </c>
      <c r="DZ139" s="129" t="s">
        <v>158</v>
      </c>
      <c r="EA139" s="129" t="s">
        <v>216</v>
      </c>
      <c r="EB139" s="129" t="s">
        <v>212</v>
      </c>
      <c r="EC139" s="129" t="s">
        <v>212</v>
      </c>
      <c r="ED139" s="129" t="s">
        <v>212</v>
      </c>
      <c r="EE139" s="129" t="s">
        <v>217</v>
      </c>
      <c r="EF139" s="147" t="s">
        <v>213</v>
      </c>
      <c r="EG139" s="148" t="s">
        <v>213</v>
      </c>
      <c r="EH139" s="129" t="s">
        <v>218</v>
      </c>
      <c r="EI139" s="129" t="s">
        <v>417</v>
      </c>
      <c r="EJ139" s="129" t="s">
        <v>160</v>
      </c>
      <c r="EK139" s="129">
        <v>1997.5729999999999</v>
      </c>
      <c r="EL139" s="129" t="s">
        <v>163</v>
      </c>
      <c r="EM139" s="129">
        <v>2.0309999999999948</v>
      </c>
      <c r="EN139" s="129">
        <v>2.016999999999991</v>
      </c>
      <c r="EO139" s="129" t="s">
        <v>160</v>
      </c>
      <c r="EP139" s="129" t="s">
        <v>160</v>
      </c>
      <c r="EQ139" s="129" t="s">
        <v>160</v>
      </c>
      <c r="ER139" s="129" t="s">
        <v>160</v>
      </c>
      <c r="ES139" s="201">
        <v>8.1109570000000009</v>
      </c>
      <c r="ET139" s="129" t="s">
        <v>165</v>
      </c>
      <c r="EU139" s="151">
        <v>3.4710999999999714E-2</v>
      </c>
      <c r="EV139" s="151">
        <v>3.5821000000000325E-2</v>
      </c>
      <c r="EW139" s="142" t="s">
        <v>160</v>
      </c>
      <c r="EX139" s="129" t="s">
        <v>160</v>
      </c>
      <c r="EY139" s="129" t="s">
        <v>160</v>
      </c>
      <c r="EZ139" s="191">
        <v>297.43130000000002</v>
      </c>
      <c r="FA139" s="191">
        <v>31.516500000000008</v>
      </c>
      <c r="FB139" s="191">
        <v>28.121700000000033</v>
      </c>
      <c r="FC139" s="129" t="s">
        <v>220</v>
      </c>
      <c r="FD139" s="129" t="s">
        <v>221</v>
      </c>
      <c r="FE139" s="129">
        <v>2306.451</v>
      </c>
      <c r="FF139" s="129">
        <v>30.376999999999953</v>
      </c>
      <c r="FG139" s="129">
        <v>30.088999999999942</v>
      </c>
      <c r="FH139" s="129" t="s">
        <v>160</v>
      </c>
      <c r="FI139" s="129" t="s">
        <v>160</v>
      </c>
      <c r="FJ139" s="129" t="s">
        <v>160</v>
      </c>
      <c r="FK139" s="129" t="s">
        <v>160</v>
      </c>
      <c r="FL139" s="129" t="s">
        <v>160</v>
      </c>
      <c r="FM139" s="129" t="s">
        <v>160</v>
      </c>
      <c r="FN139" s="151">
        <v>4.0935379999999997</v>
      </c>
      <c r="FO139" s="151">
        <v>0.24223700000000026</v>
      </c>
      <c r="FP139" s="151">
        <v>0.23069899999999954</v>
      </c>
      <c r="FQ139" s="178" t="s">
        <v>419</v>
      </c>
      <c r="FR139" s="129" t="s">
        <v>415</v>
      </c>
      <c r="FS139" s="129">
        <v>2017</v>
      </c>
      <c r="FT139" s="131" t="s">
        <v>416</v>
      </c>
    </row>
    <row r="140" spans="1:176" s="129" customFormat="1">
      <c r="A140" s="129" t="s">
        <v>152</v>
      </c>
      <c r="B140" s="166" t="s">
        <v>183</v>
      </c>
      <c r="C140" s="166">
        <v>2018</v>
      </c>
      <c r="D140" s="166" t="s">
        <v>184</v>
      </c>
      <c r="E140" s="145">
        <f t="shared" si="14"/>
        <v>121.79</v>
      </c>
      <c r="F140" s="129">
        <f t="shared" si="15"/>
        <v>2</v>
      </c>
      <c r="G140" s="129">
        <f t="shared" si="15"/>
        <v>2</v>
      </c>
      <c r="H140" s="191">
        <v>331.35489999999999</v>
      </c>
      <c r="I140" s="191">
        <v>30.156999999999982</v>
      </c>
      <c r="J140" s="191">
        <v>28.425599999999974</v>
      </c>
      <c r="K140" s="129" t="s">
        <v>457</v>
      </c>
      <c r="L140" s="131" t="s">
        <v>185</v>
      </c>
      <c r="M140" s="132" t="s">
        <v>186</v>
      </c>
      <c r="N140" s="129" t="s">
        <v>184</v>
      </c>
      <c r="O140" s="129" t="s">
        <v>420</v>
      </c>
      <c r="P140" s="129" t="s">
        <v>156</v>
      </c>
      <c r="Q140" s="129">
        <v>1</v>
      </c>
      <c r="R140" s="129">
        <v>4</v>
      </c>
      <c r="S140" s="129">
        <v>42</v>
      </c>
      <c r="T140" s="129">
        <v>44</v>
      </c>
      <c r="U140" s="199">
        <v>4.9400000000000004</v>
      </c>
      <c r="V140" s="199">
        <v>4.9400000000000004</v>
      </c>
      <c r="W140" s="129" t="s">
        <v>160</v>
      </c>
      <c r="X140" s="129" t="s">
        <v>421</v>
      </c>
      <c r="Y140" s="200">
        <v>12.74</v>
      </c>
      <c r="Z140" s="200">
        <v>-78.739999999999995</v>
      </c>
      <c r="AA140" s="129" t="s">
        <v>160</v>
      </c>
      <c r="AB140" s="129" t="s">
        <v>160</v>
      </c>
      <c r="AC140" s="129">
        <v>-2839</v>
      </c>
      <c r="AD140" s="129" t="s">
        <v>160</v>
      </c>
      <c r="AE140" s="129" t="s">
        <v>160</v>
      </c>
      <c r="AF140" s="129" t="s">
        <v>160</v>
      </c>
      <c r="AG140" s="145">
        <v>121.79</v>
      </c>
      <c r="AH140" s="129" t="s">
        <v>163</v>
      </c>
      <c r="AI140" s="129">
        <v>2</v>
      </c>
      <c r="AJ140" s="129">
        <v>2</v>
      </c>
      <c r="AK140" s="129" t="s">
        <v>160</v>
      </c>
      <c r="AL140" s="129" t="s">
        <v>422</v>
      </c>
      <c r="AM140" s="129" t="s">
        <v>160</v>
      </c>
      <c r="AN140" s="129" t="s">
        <v>160</v>
      </c>
      <c r="AO140" s="129" t="s">
        <v>160</v>
      </c>
      <c r="AP140" s="129" t="s">
        <v>160</v>
      </c>
      <c r="AQ140" s="129" t="s">
        <v>160</v>
      </c>
      <c r="AR140" s="129" t="s">
        <v>160</v>
      </c>
      <c r="AS140" s="129" t="s">
        <v>160</v>
      </c>
      <c r="AT140" s="129" t="s">
        <v>160</v>
      </c>
      <c r="AU140" s="129" t="s">
        <v>423</v>
      </c>
      <c r="AV140" s="129" t="s">
        <v>161</v>
      </c>
      <c r="AW140" s="129" t="s">
        <v>424</v>
      </c>
      <c r="AX140" s="178">
        <v>2</v>
      </c>
      <c r="AY140" s="129" t="s">
        <v>194</v>
      </c>
      <c r="AZ140" s="129" t="s">
        <v>195</v>
      </c>
      <c r="BA140" s="129" t="s">
        <v>425</v>
      </c>
      <c r="BB140" s="129" t="s">
        <v>160</v>
      </c>
      <c r="BC140" s="178">
        <v>2</v>
      </c>
      <c r="BD140" s="129" t="s">
        <v>160</v>
      </c>
      <c r="BE140" s="199">
        <v>20.12</v>
      </c>
      <c r="BF140" s="129" t="s">
        <v>426</v>
      </c>
      <c r="BG140" s="151">
        <v>0.2</v>
      </c>
      <c r="BH140" s="129">
        <v>0.64</v>
      </c>
      <c r="BI140" s="129" t="s">
        <v>427</v>
      </c>
      <c r="BJ140" s="129">
        <v>3.4000000000000002E-2</v>
      </c>
      <c r="BK140" s="129">
        <v>9.1</v>
      </c>
      <c r="BL140" s="129" t="s">
        <v>163</v>
      </c>
      <c r="BM140" s="129">
        <v>0.56000000000000005</v>
      </c>
      <c r="BN140" s="129" t="s">
        <v>428</v>
      </c>
      <c r="BO140" s="129" t="s">
        <v>429</v>
      </c>
      <c r="BP140" s="151">
        <f t="shared" si="16"/>
        <v>18.750000000000004</v>
      </c>
      <c r="BQ140" s="129" t="s">
        <v>202</v>
      </c>
      <c r="BR140" s="217"/>
      <c r="BS140" s="129" t="s">
        <v>160</v>
      </c>
      <c r="BT140" s="129" t="s">
        <v>160</v>
      </c>
      <c r="BU140" s="129">
        <v>10</v>
      </c>
      <c r="BV140" s="129" t="s">
        <v>159</v>
      </c>
      <c r="BW140" s="129">
        <v>10</v>
      </c>
      <c r="BX140" s="145">
        <v>27.33</v>
      </c>
      <c r="BY140" s="129" t="s">
        <v>159</v>
      </c>
      <c r="BZ140" s="129">
        <v>1</v>
      </c>
      <c r="CA140" s="129">
        <v>1</v>
      </c>
      <c r="CB140" s="129" t="s">
        <v>160</v>
      </c>
      <c r="CC140" s="151">
        <v>3.5939999999999999</v>
      </c>
      <c r="CD140" s="129" t="s">
        <v>430</v>
      </c>
      <c r="CE140" s="151">
        <v>0.14376</v>
      </c>
      <c r="CF140" s="151">
        <v>0.14376</v>
      </c>
      <c r="CG140" s="178" t="s">
        <v>160</v>
      </c>
      <c r="CH140" s="129" t="s">
        <v>431</v>
      </c>
      <c r="CI140" s="129" t="s">
        <v>160</v>
      </c>
      <c r="CJ140" s="129" t="s">
        <v>432</v>
      </c>
      <c r="CK140" s="129" t="s">
        <v>158</v>
      </c>
      <c r="CL140" s="129" t="s">
        <v>158</v>
      </c>
      <c r="CM140" s="129" t="s">
        <v>158</v>
      </c>
      <c r="CN140" s="129" t="s">
        <v>160</v>
      </c>
      <c r="CO140" s="129" t="s">
        <v>160</v>
      </c>
      <c r="CP140" s="129" t="s">
        <v>160</v>
      </c>
      <c r="CQ140" s="129" t="s">
        <v>160</v>
      </c>
      <c r="CR140" s="129" t="s">
        <v>160</v>
      </c>
      <c r="CS140" s="129" t="s">
        <v>160</v>
      </c>
      <c r="CT140" s="129" t="s">
        <v>160</v>
      </c>
      <c r="CU140" s="129">
        <v>35</v>
      </c>
      <c r="CV140" s="129" t="s">
        <v>393</v>
      </c>
      <c r="CW140" s="146">
        <v>1</v>
      </c>
      <c r="CX140" s="129" t="s">
        <v>207</v>
      </c>
      <c r="CY140" s="129">
        <v>1.06E-2</v>
      </c>
      <c r="CZ140" s="129" t="s">
        <v>159</v>
      </c>
      <c r="DA140" s="146">
        <v>0</v>
      </c>
      <c r="DB140" s="129" t="s">
        <v>208</v>
      </c>
      <c r="DC140" s="129">
        <v>5.5100000000000003E-2</v>
      </c>
      <c r="DD140" s="129" t="s">
        <v>159</v>
      </c>
      <c r="DE140" s="146">
        <v>0</v>
      </c>
      <c r="DF140" s="129" t="s">
        <v>208</v>
      </c>
      <c r="DG140" s="129" t="s">
        <v>160</v>
      </c>
      <c r="DH140" s="129" t="s">
        <v>160</v>
      </c>
      <c r="DI140" s="129" t="s">
        <v>160</v>
      </c>
      <c r="DJ140" s="129" t="s">
        <v>160</v>
      </c>
      <c r="DK140" s="145">
        <v>432.56244218316402</v>
      </c>
      <c r="DL140" s="129" t="s">
        <v>433</v>
      </c>
      <c r="DM140" s="145" t="s">
        <v>160</v>
      </c>
      <c r="DN140" s="129" t="s">
        <v>434</v>
      </c>
      <c r="DO140" s="129">
        <v>39.611829999999998</v>
      </c>
      <c r="DP140" s="129" t="s">
        <v>160</v>
      </c>
      <c r="DQ140" s="129">
        <v>3.4990000000000521E-2</v>
      </c>
      <c r="DR140" s="129" t="s">
        <v>435</v>
      </c>
      <c r="DS140" s="129" t="s">
        <v>212</v>
      </c>
      <c r="DT140" s="129" t="s">
        <v>213</v>
      </c>
      <c r="DU140" s="129">
        <v>1.0271999999999999</v>
      </c>
      <c r="DV140" s="129" t="s">
        <v>160</v>
      </c>
      <c r="DW140" s="129" t="s">
        <v>160</v>
      </c>
      <c r="DX140" s="129" t="s">
        <v>436</v>
      </c>
      <c r="DY140" s="129" t="s">
        <v>158</v>
      </c>
      <c r="DZ140" s="129" t="s">
        <v>158</v>
      </c>
      <c r="EA140" s="129" t="s">
        <v>216</v>
      </c>
      <c r="EB140" s="129" t="s">
        <v>212</v>
      </c>
      <c r="EC140" s="129" t="s">
        <v>212</v>
      </c>
      <c r="ED140" s="129" t="s">
        <v>212</v>
      </c>
      <c r="EE140" s="129" t="s">
        <v>217</v>
      </c>
      <c r="EF140" s="147" t="s">
        <v>213</v>
      </c>
      <c r="EG140" s="148" t="s">
        <v>213</v>
      </c>
      <c r="EH140" s="129" t="s">
        <v>218</v>
      </c>
      <c r="EI140" s="129" t="s">
        <v>417</v>
      </c>
      <c r="EJ140" s="129" t="s">
        <v>160</v>
      </c>
      <c r="EK140" s="129">
        <v>1997.547</v>
      </c>
      <c r="EL140" s="129" t="s">
        <v>163</v>
      </c>
      <c r="EM140" s="129">
        <v>2.0649999999998796</v>
      </c>
      <c r="EN140" s="129">
        <v>2.1420000000001158</v>
      </c>
      <c r="EO140" s="129" t="s">
        <v>160</v>
      </c>
      <c r="EP140" s="129" t="s">
        <v>160</v>
      </c>
      <c r="EQ140" s="129" t="s">
        <v>160</v>
      </c>
      <c r="ER140" s="129" t="s">
        <v>160</v>
      </c>
      <c r="ES140" s="201">
        <v>8.0731760000000001</v>
      </c>
      <c r="ET140" s="129" t="s">
        <v>165</v>
      </c>
      <c r="EU140" s="151">
        <v>3.2486000000000459E-2</v>
      </c>
      <c r="EV140" s="151">
        <v>3.1555000000000888E-2</v>
      </c>
      <c r="EW140" s="142" t="s">
        <v>160</v>
      </c>
      <c r="EX140" s="129" t="s">
        <v>160</v>
      </c>
      <c r="EY140" s="129" t="s">
        <v>160</v>
      </c>
      <c r="EZ140" s="191">
        <v>331.35489999999999</v>
      </c>
      <c r="FA140" s="191">
        <v>30.156999999999982</v>
      </c>
      <c r="FB140" s="191">
        <v>28.425599999999974</v>
      </c>
      <c r="FC140" s="129" t="s">
        <v>220</v>
      </c>
      <c r="FD140" s="129" t="s">
        <v>221</v>
      </c>
      <c r="FE140" s="129">
        <v>2288.864</v>
      </c>
      <c r="FF140" s="129">
        <v>27.840000000000146</v>
      </c>
      <c r="FG140" s="129">
        <v>28.145999999999731</v>
      </c>
      <c r="FH140" s="129" t="s">
        <v>160</v>
      </c>
      <c r="FI140" s="129" t="s">
        <v>160</v>
      </c>
      <c r="FJ140" s="129" t="s">
        <v>160</v>
      </c>
      <c r="FK140" s="129" t="s">
        <v>160</v>
      </c>
      <c r="FL140" s="129" t="s">
        <v>160</v>
      </c>
      <c r="FM140" s="129" t="s">
        <v>160</v>
      </c>
      <c r="FN140" s="151">
        <v>3.9209990000000001</v>
      </c>
      <c r="FO140" s="151">
        <v>0.19463700000000017</v>
      </c>
      <c r="FP140" s="151">
        <v>0.18599000000000032</v>
      </c>
      <c r="FQ140" s="178" t="s">
        <v>419</v>
      </c>
      <c r="FR140" s="129" t="s">
        <v>415</v>
      </c>
      <c r="FS140" s="129">
        <v>2017</v>
      </c>
      <c r="FT140" s="131" t="s">
        <v>416</v>
      </c>
    </row>
    <row r="141" spans="1:176" s="129" customFormat="1">
      <c r="A141" s="129" t="s">
        <v>152</v>
      </c>
      <c r="B141" s="166" t="s">
        <v>183</v>
      </c>
      <c r="C141" s="166">
        <v>2018</v>
      </c>
      <c r="D141" s="166" t="s">
        <v>184</v>
      </c>
      <c r="E141" s="145">
        <f t="shared" si="14"/>
        <v>123.77</v>
      </c>
      <c r="F141" s="129">
        <f t="shared" si="15"/>
        <v>2</v>
      </c>
      <c r="G141" s="129">
        <f t="shared" si="15"/>
        <v>2</v>
      </c>
      <c r="H141" s="191">
        <v>267.1866</v>
      </c>
      <c r="I141" s="191">
        <v>23.671899999999994</v>
      </c>
      <c r="J141" s="191">
        <v>21.97829999999999</v>
      </c>
      <c r="K141" s="129" t="s">
        <v>457</v>
      </c>
      <c r="L141" s="131" t="s">
        <v>185</v>
      </c>
      <c r="M141" s="132" t="s">
        <v>186</v>
      </c>
      <c r="N141" s="129" t="s">
        <v>184</v>
      </c>
      <c r="O141" s="129" t="s">
        <v>420</v>
      </c>
      <c r="P141" s="202" t="s">
        <v>156</v>
      </c>
      <c r="Q141" s="202">
        <v>1</v>
      </c>
      <c r="R141" s="202">
        <v>4</v>
      </c>
      <c r="S141" s="202">
        <v>51</v>
      </c>
      <c r="T141" s="202">
        <f>S141+2</f>
        <v>53</v>
      </c>
      <c r="U141" s="202">
        <v>5.01</v>
      </c>
      <c r="V141" s="202">
        <v>5.01</v>
      </c>
      <c r="W141" s="129" t="s">
        <v>160</v>
      </c>
      <c r="X141" s="129" t="s">
        <v>421</v>
      </c>
      <c r="Y141" s="200">
        <v>12.74</v>
      </c>
      <c r="Z141" s="200">
        <v>-78.739999999999995</v>
      </c>
      <c r="AA141" s="129" t="s">
        <v>160</v>
      </c>
      <c r="AB141" s="129" t="s">
        <v>160</v>
      </c>
      <c r="AC141" s="129">
        <v>-2839</v>
      </c>
      <c r="AD141" s="129" t="s">
        <v>160</v>
      </c>
      <c r="AE141" s="129" t="s">
        <v>160</v>
      </c>
      <c r="AF141" s="129" t="s">
        <v>160</v>
      </c>
      <c r="AG141" s="145">
        <v>123.77</v>
      </c>
      <c r="AH141" s="129" t="s">
        <v>163</v>
      </c>
      <c r="AI141" s="129">
        <v>2</v>
      </c>
      <c r="AJ141" s="129">
        <v>2</v>
      </c>
      <c r="AK141" s="129" t="s">
        <v>160</v>
      </c>
      <c r="AL141" s="129" t="s">
        <v>422</v>
      </c>
      <c r="AM141" s="129" t="s">
        <v>160</v>
      </c>
      <c r="AN141" s="129" t="s">
        <v>160</v>
      </c>
      <c r="AO141" s="129" t="s">
        <v>160</v>
      </c>
      <c r="AP141" s="129" t="s">
        <v>160</v>
      </c>
      <c r="AQ141" s="129" t="s">
        <v>160</v>
      </c>
      <c r="AR141" s="129" t="s">
        <v>160</v>
      </c>
      <c r="AS141" s="129" t="s">
        <v>160</v>
      </c>
      <c r="AT141" s="129" t="s">
        <v>160</v>
      </c>
      <c r="AU141" s="129" t="s">
        <v>423</v>
      </c>
      <c r="AV141" s="129" t="s">
        <v>161</v>
      </c>
      <c r="AW141" s="129" t="s">
        <v>424</v>
      </c>
      <c r="AX141" s="178">
        <v>2</v>
      </c>
      <c r="AY141" s="129" t="s">
        <v>194</v>
      </c>
      <c r="AZ141" s="129" t="s">
        <v>195</v>
      </c>
      <c r="BA141" s="129" t="s">
        <v>425</v>
      </c>
      <c r="BB141" s="129" t="s">
        <v>160</v>
      </c>
      <c r="BC141" s="178">
        <v>2</v>
      </c>
      <c r="BD141" s="129" t="s">
        <v>160</v>
      </c>
      <c r="BE141" s="151">
        <v>20.552247770000001</v>
      </c>
      <c r="BF141" s="129" t="s">
        <v>426</v>
      </c>
      <c r="BG141" s="151">
        <v>0.18916951800000001</v>
      </c>
      <c r="BH141" s="129">
        <v>0.64</v>
      </c>
      <c r="BI141" s="129" t="s">
        <v>427</v>
      </c>
      <c r="BJ141" s="129">
        <v>3.4000000000000002E-2</v>
      </c>
      <c r="BK141" s="129">
        <v>9.1</v>
      </c>
      <c r="BL141" s="129" t="s">
        <v>163</v>
      </c>
      <c r="BM141" s="129">
        <v>0.56000000000000005</v>
      </c>
      <c r="BN141" s="129" t="s">
        <v>428</v>
      </c>
      <c r="BO141" s="129" t="s">
        <v>429</v>
      </c>
      <c r="BP141" s="151">
        <f t="shared" si="16"/>
        <v>19.470412950000004</v>
      </c>
      <c r="BQ141" s="129" t="s">
        <v>202</v>
      </c>
      <c r="BR141" s="217"/>
      <c r="BS141" s="129" t="s">
        <v>160</v>
      </c>
      <c r="BT141" s="129" t="s">
        <v>160</v>
      </c>
      <c r="BU141" s="129">
        <v>10</v>
      </c>
      <c r="BV141" s="129" t="s">
        <v>159</v>
      </c>
      <c r="BW141" s="129">
        <v>10</v>
      </c>
      <c r="BX141" s="145">
        <v>27.69</v>
      </c>
      <c r="BY141" s="129" t="s">
        <v>159</v>
      </c>
      <c r="BZ141" s="129">
        <v>1</v>
      </c>
      <c r="CA141" s="129">
        <v>1</v>
      </c>
      <c r="CB141" s="129" t="s">
        <v>160</v>
      </c>
      <c r="CC141" s="151">
        <v>4.5916679796012279</v>
      </c>
      <c r="CD141" s="129" t="s">
        <v>430</v>
      </c>
      <c r="CE141" s="151">
        <v>0.18366671918404912</v>
      </c>
      <c r="CF141" s="151">
        <v>0.18366671918404912</v>
      </c>
      <c r="CG141" s="178" t="s">
        <v>160</v>
      </c>
      <c r="CH141" s="129" t="s">
        <v>431</v>
      </c>
      <c r="CI141" s="129" t="s">
        <v>160</v>
      </c>
      <c r="CJ141" s="129" t="s">
        <v>432</v>
      </c>
      <c r="CK141" s="129" t="s">
        <v>158</v>
      </c>
      <c r="CL141" s="129" t="s">
        <v>158</v>
      </c>
      <c r="CM141" s="129" t="s">
        <v>158</v>
      </c>
      <c r="CN141" s="129" t="s">
        <v>160</v>
      </c>
      <c r="CO141" s="129" t="s">
        <v>160</v>
      </c>
      <c r="CP141" s="129" t="s">
        <v>160</v>
      </c>
      <c r="CQ141" s="129" t="s">
        <v>160</v>
      </c>
      <c r="CR141" s="129" t="s">
        <v>160</v>
      </c>
      <c r="CS141" s="129" t="s">
        <v>160</v>
      </c>
      <c r="CT141" s="129" t="s">
        <v>160</v>
      </c>
      <c r="CU141" s="129">
        <v>35</v>
      </c>
      <c r="CV141" s="129" t="s">
        <v>393</v>
      </c>
      <c r="CW141" s="146">
        <v>1</v>
      </c>
      <c r="CX141" s="129" t="s">
        <v>207</v>
      </c>
      <c r="CY141" s="129">
        <v>1.06E-2</v>
      </c>
      <c r="CZ141" s="129" t="s">
        <v>159</v>
      </c>
      <c r="DA141" s="146">
        <v>0</v>
      </c>
      <c r="DB141" s="129" t="s">
        <v>208</v>
      </c>
      <c r="DC141" s="129">
        <v>5.5100000000000003E-2</v>
      </c>
      <c r="DD141" s="129" t="s">
        <v>159</v>
      </c>
      <c r="DE141" s="146">
        <v>0</v>
      </c>
      <c r="DF141" s="129" t="s">
        <v>208</v>
      </c>
      <c r="DG141" s="129" t="s">
        <v>160</v>
      </c>
      <c r="DH141" s="129" t="s">
        <v>160</v>
      </c>
      <c r="DI141" s="129" t="s">
        <v>160</v>
      </c>
      <c r="DJ141" s="129" t="s">
        <v>160</v>
      </c>
      <c r="DK141" s="145">
        <v>432.56244218316402</v>
      </c>
      <c r="DL141" s="129" t="s">
        <v>433</v>
      </c>
      <c r="DM141" s="145" t="s">
        <v>160</v>
      </c>
      <c r="DN141" s="129" t="s">
        <v>434</v>
      </c>
      <c r="DO141" s="129">
        <v>39.61148</v>
      </c>
      <c r="DP141" s="129" t="s">
        <v>160</v>
      </c>
      <c r="DQ141" s="129">
        <v>3.6079999999998336E-2</v>
      </c>
      <c r="DR141" s="129" t="s">
        <v>435</v>
      </c>
      <c r="DS141" s="129" t="s">
        <v>212</v>
      </c>
      <c r="DT141" s="129" t="s">
        <v>213</v>
      </c>
      <c r="DU141" s="129">
        <v>1.0271999999999999</v>
      </c>
      <c r="DV141" s="129" t="s">
        <v>160</v>
      </c>
      <c r="DW141" s="129" t="s">
        <v>160</v>
      </c>
      <c r="DX141" s="129" t="s">
        <v>436</v>
      </c>
      <c r="DY141" s="129" t="s">
        <v>158</v>
      </c>
      <c r="DZ141" s="129" t="s">
        <v>158</v>
      </c>
      <c r="EA141" s="129" t="s">
        <v>216</v>
      </c>
      <c r="EB141" s="129" t="s">
        <v>212</v>
      </c>
      <c r="EC141" s="129" t="s">
        <v>212</v>
      </c>
      <c r="ED141" s="129" t="s">
        <v>212</v>
      </c>
      <c r="EE141" s="129" t="s">
        <v>217</v>
      </c>
      <c r="EF141" s="147" t="s">
        <v>213</v>
      </c>
      <c r="EG141" s="148" t="s">
        <v>213</v>
      </c>
      <c r="EH141" s="129" t="s">
        <v>218</v>
      </c>
      <c r="EI141" s="129" t="s">
        <v>417</v>
      </c>
      <c r="EJ141" s="129" t="s">
        <v>160</v>
      </c>
      <c r="EK141" s="129">
        <v>1997.473</v>
      </c>
      <c r="EL141" s="129" t="s">
        <v>163</v>
      </c>
      <c r="EM141" s="129">
        <v>2.0639999999999721</v>
      </c>
      <c r="EN141" s="129">
        <v>2.1199999999999863</v>
      </c>
      <c r="EO141" s="129" t="s">
        <v>160</v>
      </c>
      <c r="EP141" s="129" t="s">
        <v>160</v>
      </c>
      <c r="EQ141" s="129" t="s">
        <v>160</v>
      </c>
      <c r="ER141" s="129" t="s">
        <v>160</v>
      </c>
      <c r="ES141" s="201">
        <v>8.1487309999999997</v>
      </c>
      <c r="ET141" s="129" t="s">
        <v>165</v>
      </c>
      <c r="EU141" s="151">
        <v>3.0312000000000339E-2</v>
      </c>
      <c r="EV141" s="151">
        <v>3.0300999999999689E-2</v>
      </c>
      <c r="EW141" s="142" t="s">
        <v>160</v>
      </c>
      <c r="EX141" s="129" t="s">
        <v>160</v>
      </c>
      <c r="EY141" s="129" t="s">
        <v>160</v>
      </c>
      <c r="EZ141" s="191">
        <v>267.1866</v>
      </c>
      <c r="FA141" s="191">
        <v>23.671899999999994</v>
      </c>
      <c r="FB141" s="191">
        <v>21.97829999999999</v>
      </c>
      <c r="FC141" s="129" t="s">
        <v>220</v>
      </c>
      <c r="FD141" s="129" t="s">
        <v>221</v>
      </c>
      <c r="FE141" s="129">
        <v>2357.268</v>
      </c>
      <c r="FF141" s="129">
        <v>29.372000000000298</v>
      </c>
      <c r="FG141" s="129">
        <v>28.985999999999876</v>
      </c>
      <c r="FH141" s="129" t="s">
        <v>160</v>
      </c>
      <c r="FI141" s="129" t="s">
        <v>160</v>
      </c>
      <c r="FJ141" s="129" t="s">
        <v>160</v>
      </c>
      <c r="FK141" s="129" t="s">
        <v>160</v>
      </c>
      <c r="FL141" s="129" t="s">
        <v>160</v>
      </c>
      <c r="FM141" s="129" t="s">
        <v>160</v>
      </c>
      <c r="FN141" s="151">
        <v>4.760516</v>
      </c>
      <c r="FO141" s="151">
        <v>0.21455999999999964</v>
      </c>
      <c r="FP141" s="151">
        <v>0.21287900000000004</v>
      </c>
      <c r="FQ141" s="178" t="s">
        <v>419</v>
      </c>
      <c r="FR141" s="129" t="s">
        <v>415</v>
      </c>
      <c r="FS141" s="129">
        <v>2017</v>
      </c>
      <c r="FT141" s="131" t="s">
        <v>416</v>
      </c>
    </row>
    <row r="142" spans="1:176" s="129" customFormat="1">
      <c r="A142" s="129" t="s">
        <v>152</v>
      </c>
      <c r="B142" s="166" t="s">
        <v>183</v>
      </c>
      <c r="C142" s="166">
        <v>2018</v>
      </c>
      <c r="D142" s="166" t="s">
        <v>184</v>
      </c>
      <c r="E142" s="145">
        <f t="shared" si="14"/>
        <v>124.37</v>
      </c>
      <c r="F142" s="129">
        <f t="shared" si="15"/>
        <v>2</v>
      </c>
      <c r="G142" s="129">
        <f t="shared" si="15"/>
        <v>2</v>
      </c>
      <c r="H142" s="191">
        <v>281.17689999999999</v>
      </c>
      <c r="I142" s="191">
        <v>24.674900000000036</v>
      </c>
      <c r="J142" s="191">
        <v>23.063400000000001</v>
      </c>
      <c r="K142" s="129" t="s">
        <v>457</v>
      </c>
      <c r="L142" s="131" t="s">
        <v>185</v>
      </c>
      <c r="M142" s="132" t="s">
        <v>186</v>
      </c>
      <c r="N142" s="129" t="s">
        <v>184</v>
      </c>
      <c r="O142" s="129" t="s">
        <v>420</v>
      </c>
      <c r="P142" s="129" t="s">
        <v>156</v>
      </c>
      <c r="Q142" s="129">
        <v>1</v>
      </c>
      <c r="R142" s="129">
        <v>4</v>
      </c>
      <c r="S142" s="129">
        <v>52</v>
      </c>
      <c r="T142" s="129">
        <v>54</v>
      </c>
      <c r="U142" s="199">
        <v>5.04</v>
      </c>
      <c r="V142" s="199">
        <v>5.04</v>
      </c>
      <c r="W142" s="129" t="s">
        <v>160</v>
      </c>
      <c r="X142" s="129" t="s">
        <v>421</v>
      </c>
      <c r="Y142" s="200">
        <v>12.74</v>
      </c>
      <c r="Z142" s="200">
        <v>-78.739999999999995</v>
      </c>
      <c r="AA142" s="129" t="s">
        <v>160</v>
      </c>
      <c r="AB142" s="129" t="s">
        <v>160</v>
      </c>
      <c r="AC142" s="129">
        <v>-2839</v>
      </c>
      <c r="AD142" s="129" t="s">
        <v>160</v>
      </c>
      <c r="AE142" s="129" t="s">
        <v>160</v>
      </c>
      <c r="AF142" s="129" t="s">
        <v>160</v>
      </c>
      <c r="AG142" s="145">
        <v>124.37</v>
      </c>
      <c r="AH142" s="129" t="s">
        <v>163</v>
      </c>
      <c r="AI142" s="129">
        <v>2</v>
      </c>
      <c r="AJ142" s="129">
        <v>2</v>
      </c>
      <c r="AK142" s="129" t="s">
        <v>160</v>
      </c>
      <c r="AL142" s="129" t="s">
        <v>422</v>
      </c>
      <c r="AM142" s="129" t="s">
        <v>160</v>
      </c>
      <c r="AN142" s="129" t="s">
        <v>160</v>
      </c>
      <c r="AO142" s="129" t="s">
        <v>160</v>
      </c>
      <c r="AP142" s="129" t="s">
        <v>160</v>
      </c>
      <c r="AQ142" s="129" t="s">
        <v>160</v>
      </c>
      <c r="AR142" s="129" t="s">
        <v>160</v>
      </c>
      <c r="AS142" s="129" t="s">
        <v>160</v>
      </c>
      <c r="AT142" s="129" t="s">
        <v>160</v>
      </c>
      <c r="AU142" s="129" t="s">
        <v>423</v>
      </c>
      <c r="AV142" s="129" t="s">
        <v>161</v>
      </c>
      <c r="AW142" s="129" t="s">
        <v>424</v>
      </c>
      <c r="AX142" s="178">
        <v>2</v>
      </c>
      <c r="AY142" s="129" t="s">
        <v>194</v>
      </c>
      <c r="AZ142" s="129" t="s">
        <v>195</v>
      </c>
      <c r="BA142" s="129" t="s">
        <v>425</v>
      </c>
      <c r="BB142" s="129" t="s">
        <v>160</v>
      </c>
      <c r="BC142" s="178">
        <v>2</v>
      </c>
      <c r="BD142" s="129" t="s">
        <v>160</v>
      </c>
      <c r="BE142" s="199">
        <v>20.75</v>
      </c>
      <c r="BF142" s="129" t="s">
        <v>426</v>
      </c>
      <c r="BG142" s="151">
        <v>0.2</v>
      </c>
      <c r="BH142" s="129">
        <v>0.64</v>
      </c>
      <c r="BI142" s="129" t="s">
        <v>427</v>
      </c>
      <c r="BJ142" s="129">
        <v>3.4000000000000002E-2</v>
      </c>
      <c r="BK142" s="129">
        <v>9.1</v>
      </c>
      <c r="BL142" s="129" t="s">
        <v>163</v>
      </c>
      <c r="BM142" s="129">
        <v>0.56000000000000005</v>
      </c>
      <c r="BN142" s="129" t="s">
        <v>428</v>
      </c>
      <c r="BO142" s="129" t="s">
        <v>429</v>
      </c>
      <c r="BP142" s="151">
        <f t="shared" si="16"/>
        <v>19.8</v>
      </c>
      <c r="BQ142" s="129" t="s">
        <v>202</v>
      </c>
      <c r="BR142" s="217"/>
      <c r="BS142" s="129" t="s">
        <v>160</v>
      </c>
      <c r="BT142" s="129" t="s">
        <v>160</v>
      </c>
      <c r="BU142" s="129">
        <v>10</v>
      </c>
      <c r="BV142" s="129" t="s">
        <v>159</v>
      </c>
      <c r="BW142" s="129">
        <v>10</v>
      </c>
      <c r="BX142" s="145">
        <v>28.47</v>
      </c>
      <c r="BY142" s="129" t="s">
        <v>159</v>
      </c>
      <c r="BZ142" s="129">
        <v>1</v>
      </c>
      <c r="CA142" s="129">
        <v>1</v>
      </c>
      <c r="CB142" s="129" t="s">
        <v>160</v>
      </c>
      <c r="CC142" s="151">
        <v>3.4710000000000001</v>
      </c>
      <c r="CD142" s="129" t="s">
        <v>430</v>
      </c>
      <c r="CE142" s="151">
        <v>0.13884000000000002</v>
      </c>
      <c r="CF142" s="151">
        <v>0.13884000000000002</v>
      </c>
      <c r="CG142" s="178" t="s">
        <v>160</v>
      </c>
      <c r="CH142" s="129" t="s">
        <v>431</v>
      </c>
      <c r="CI142" s="129" t="s">
        <v>160</v>
      </c>
      <c r="CJ142" s="129" t="s">
        <v>432</v>
      </c>
      <c r="CK142" s="129" t="s">
        <v>158</v>
      </c>
      <c r="CL142" s="129" t="s">
        <v>158</v>
      </c>
      <c r="CM142" s="129" t="s">
        <v>158</v>
      </c>
      <c r="CN142" s="129" t="s">
        <v>160</v>
      </c>
      <c r="CO142" s="129" t="s">
        <v>160</v>
      </c>
      <c r="CP142" s="129" t="s">
        <v>160</v>
      </c>
      <c r="CQ142" s="129" t="s">
        <v>160</v>
      </c>
      <c r="CR142" s="129" t="s">
        <v>160</v>
      </c>
      <c r="CS142" s="129" t="s">
        <v>160</v>
      </c>
      <c r="CT142" s="129" t="s">
        <v>160</v>
      </c>
      <c r="CU142" s="129">
        <v>35</v>
      </c>
      <c r="CV142" s="129" t="s">
        <v>393</v>
      </c>
      <c r="CW142" s="146">
        <v>1</v>
      </c>
      <c r="CX142" s="129" t="s">
        <v>207</v>
      </c>
      <c r="CY142" s="129">
        <v>1.06E-2</v>
      </c>
      <c r="CZ142" s="129" t="s">
        <v>159</v>
      </c>
      <c r="DA142" s="146">
        <v>0</v>
      </c>
      <c r="DB142" s="129" t="s">
        <v>208</v>
      </c>
      <c r="DC142" s="129">
        <v>5.5100000000000003E-2</v>
      </c>
      <c r="DD142" s="129" t="s">
        <v>159</v>
      </c>
      <c r="DE142" s="146">
        <v>0</v>
      </c>
      <c r="DF142" s="129" t="s">
        <v>208</v>
      </c>
      <c r="DG142" s="129" t="s">
        <v>160</v>
      </c>
      <c r="DH142" s="129" t="s">
        <v>160</v>
      </c>
      <c r="DI142" s="129" t="s">
        <v>160</v>
      </c>
      <c r="DJ142" s="129" t="s">
        <v>160</v>
      </c>
      <c r="DK142" s="145">
        <v>432.56244218316402</v>
      </c>
      <c r="DL142" s="129" t="s">
        <v>433</v>
      </c>
      <c r="DM142" s="145" t="s">
        <v>160</v>
      </c>
      <c r="DN142" s="129" t="s">
        <v>434</v>
      </c>
      <c r="DO142" s="129">
        <v>39.61186</v>
      </c>
      <c r="DP142" s="129" t="s">
        <v>160</v>
      </c>
      <c r="DQ142" s="129">
        <v>3.5649999999996851E-2</v>
      </c>
      <c r="DR142" s="129" t="s">
        <v>435</v>
      </c>
      <c r="DS142" s="129" t="s">
        <v>212</v>
      </c>
      <c r="DT142" s="129" t="s">
        <v>213</v>
      </c>
      <c r="DU142" s="129">
        <v>1.0271999999999999</v>
      </c>
      <c r="DV142" s="129" t="s">
        <v>160</v>
      </c>
      <c r="DW142" s="129" t="s">
        <v>160</v>
      </c>
      <c r="DX142" s="129" t="s">
        <v>436</v>
      </c>
      <c r="DY142" s="129" t="s">
        <v>158</v>
      </c>
      <c r="DZ142" s="129" t="s">
        <v>158</v>
      </c>
      <c r="EA142" s="129" t="s">
        <v>216</v>
      </c>
      <c r="EB142" s="129" t="s">
        <v>212</v>
      </c>
      <c r="EC142" s="129" t="s">
        <v>212</v>
      </c>
      <c r="ED142" s="129" t="s">
        <v>212</v>
      </c>
      <c r="EE142" s="129" t="s">
        <v>217</v>
      </c>
      <c r="EF142" s="147" t="s">
        <v>213</v>
      </c>
      <c r="EG142" s="148" t="s">
        <v>213</v>
      </c>
      <c r="EH142" s="129" t="s">
        <v>218</v>
      </c>
      <c r="EI142" s="129" t="s">
        <v>417</v>
      </c>
      <c r="EJ142" s="129" t="s">
        <v>160</v>
      </c>
      <c r="EK142" s="129">
        <v>1997.501</v>
      </c>
      <c r="EL142" s="129" t="s">
        <v>163</v>
      </c>
      <c r="EM142" s="129">
        <v>2.0910000000000721</v>
      </c>
      <c r="EN142" s="129">
        <v>2.1619999999999973</v>
      </c>
      <c r="EO142" s="129" t="s">
        <v>160</v>
      </c>
      <c r="EP142" s="129" t="s">
        <v>160</v>
      </c>
      <c r="EQ142" s="129" t="s">
        <v>160</v>
      </c>
      <c r="ER142" s="129" t="s">
        <v>160</v>
      </c>
      <c r="ES142" s="201">
        <v>8.1310439999999993</v>
      </c>
      <c r="ET142" s="129" t="s">
        <v>165</v>
      </c>
      <c r="EU142" s="151">
        <v>3.003400000000056E-2</v>
      </c>
      <c r="EV142" s="151">
        <v>2.9769999999999186E-2</v>
      </c>
      <c r="EW142" s="142" t="s">
        <v>160</v>
      </c>
      <c r="EX142" s="129" t="s">
        <v>160</v>
      </c>
      <c r="EY142" s="129" t="s">
        <v>160</v>
      </c>
      <c r="EZ142" s="191">
        <v>281.17689999999999</v>
      </c>
      <c r="FA142" s="191">
        <v>24.674900000000036</v>
      </c>
      <c r="FB142" s="191">
        <v>23.063400000000001</v>
      </c>
      <c r="FC142" s="129" t="s">
        <v>220</v>
      </c>
      <c r="FD142" s="129" t="s">
        <v>221</v>
      </c>
      <c r="FE142" s="129">
        <v>2334.7060000000001</v>
      </c>
      <c r="FF142" s="129">
        <v>27.947000000000116</v>
      </c>
      <c r="FG142" s="129">
        <v>28.687000000000353</v>
      </c>
      <c r="FH142" s="129" t="s">
        <v>160</v>
      </c>
      <c r="FI142" s="129" t="s">
        <v>160</v>
      </c>
      <c r="FJ142" s="129" t="s">
        <v>160</v>
      </c>
      <c r="FK142" s="129" t="s">
        <v>160</v>
      </c>
      <c r="FL142" s="129" t="s">
        <v>160</v>
      </c>
      <c r="FM142" s="129" t="s">
        <v>160</v>
      </c>
      <c r="FN142" s="151">
        <v>4.4682360000000001</v>
      </c>
      <c r="FO142" s="151">
        <v>0.19788599999999956</v>
      </c>
      <c r="FP142" s="151">
        <v>0.19075099999999967</v>
      </c>
      <c r="FQ142" s="178" t="s">
        <v>419</v>
      </c>
      <c r="FR142" s="129" t="s">
        <v>415</v>
      </c>
      <c r="FS142" s="129">
        <v>2017</v>
      </c>
      <c r="FT142" s="131" t="s">
        <v>416</v>
      </c>
    </row>
    <row r="143" spans="1:176" s="129" customFormat="1">
      <c r="A143" s="129" t="s">
        <v>152</v>
      </c>
      <c r="B143" s="166" t="s">
        <v>183</v>
      </c>
      <c r="C143" s="166">
        <v>2018</v>
      </c>
      <c r="D143" s="166" t="s">
        <v>184</v>
      </c>
      <c r="E143" s="145">
        <f t="shared" si="14"/>
        <v>127.48</v>
      </c>
      <c r="F143" s="129">
        <f t="shared" si="15"/>
        <v>2</v>
      </c>
      <c r="G143" s="129">
        <f t="shared" si="15"/>
        <v>2</v>
      </c>
      <c r="H143" s="191">
        <v>271.51349999999996</v>
      </c>
      <c r="I143" s="191">
        <v>26.205000000000041</v>
      </c>
      <c r="J143" s="191">
        <v>23.280099999999948</v>
      </c>
      <c r="K143" s="129" t="s">
        <v>457</v>
      </c>
      <c r="L143" s="131" t="s">
        <v>185</v>
      </c>
      <c r="M143" s="132" t="s">
        <v>186</v>
      </c>
      <c r="N143" s="129" t="s">
        <v>184</v>
      </c>
      <c r="O143" s="129" t="s">
        <v>420</v>
      </c>
      <c r="P143" s="202" t="s">
        <v>156</v>
      </c>
      <c r="Q143" s="202">
        <v>1</v>
      </c>
      <c r="R143" s="202">
        <v>4</v>
      </c>
      <c r="S143" s="202">
        <v>62</v>
      </c>
      <c r="T143" s="202">
        <f>S143+2</f>
        <v>64</v>
      </c>
      <c r="U143" s="202">
        <v>5.12</v>
      </c>
      <c r="V143" s="202">
        <v>5.12</v>
      </c>
      <c r="W143" s="129" t="s">
        <v>160</v>
      </c>
      <c r="X143" s="129" t="s">
        <v>421</v>
      </c>
      <c r="Y143" s="200">
        <v>12.74</v>
      </c>
      <c r="Z143" s="200">
        <v>-78.739999999999995</v>
      </c>
      <c r="AA143" s="129" t="s">
        <v>160</v>
      </c>
      <c r="AB143" s="129" t="s">
        <v>160</v>
      </c>
      <c r="AC143" s="129">
        <v>-2839</v>
      </c>
      <c r="AD143" s="129" t="s">
        <v>160</v>
      </c>
      <c r="AE143" s="129" t="s">
        <v>160</v>
      </c>
      <c r="AF143" s="129" t="s">
        <v>160</v>
      </c>
      <c r="AG143" s="145">
        <v>127.48</v>
      </c>
      <c r="AH143" s="129" t="s">
        <v>163</v>
      </c>
      <c r="AI143" s="129">
        <v>2</v>
      </c>
      <c r="AJ143" s="129">
        <v>2</v>
      </c>
      <c r="AK143" s="129" t="s">
        <v>160</v>
      </c>
      <c r="AL143" s="129" t="s">
        <v>422</v>
      </c>
      <c r="AM143" s="129" t="s">
        <v>160</v>
      </c>
      <c r="AN143" s="129" t="s">
        <v>160</v>
      </c>
      <c r="AO143" s="129" t="s">
        <v>160</v>
      </c>
      <c r="AP143" s="129" t="s">
        <v>160</v>
      </c>
      <c r="AQ143" s="129" t="s">
        <v>160</v>
      </c>
      <c r="AR143" s="129" t="s">
        <v>160</v>
      </c>
      <c r="AS143" s="129" t="s">
        <v>160</v>
      </c>
      <c r="AT143" s="129" t="s">
        <v>160</v>
      </c>
      <c r="AU143" s="129" t="s">
        <v>423</v>
      </c>
      <c r="AV143" s="129" t="s">
        <v>161</v>
      </c>
      <c r="AW143" s="129" t="s">
        <v>424</v>
      </c>
      <c r="AX143" s="178">
        <v>2</v>
      </c>
      <c r="AY143" s="129" t="s">
        <v>194</v>
      </c>
      <c r="AZ143" s="129" t="s">
        <v>195</v>
      </c>
      <c r="BA143" s="129" t="s">
        <v>425</v>
      </c>
      <c r="BB143" s="129" t="s">
        <v>160</v>
      </c>
      <c r="BC143" s="178">
        <v>2</v>
      </c>
      <c r="BD143" s="129" t="s">
        <v>160</v>
      </c>
      <c r="BE143" s="151">
        <v>20.669563589999999</v>
      </c>
      <c r="BF143" s="129" t="s">
        <v>426</v>
      </c>
      <c r="BG143" s="151">
        <v>0.22489237200000001</v>
      </c>
      <c r="BH143" s="129">
        <v>0.64</v>
      </c>
      <c r="BI143" s="129" t="s">
        <v>427</v>
      </c>
      <c r="BJ143" s="129">
        <v>3.4000000000000002E-2</v>
      </c>
      <c r="BK143" s="129">
        <v>9.1</v>
      </c>
      <c r="BL143" s="129" t="s">
        <v>163</v>
      </c>
      <c r="BM143" s="129">
        <v>0.56000000000000005</v>
      </c>
      <c r="BN143" s="129" t="s">
        <v>428</v>
      </c>
      <c r="BO143" s="129" t="s">
        <v>429</v>
      </c>
      <c r="BP143" s="151">
        <f t="shared" si="16"/>
        <v>19.665939316666666</v>
      </c>
      <c r="BQ143" s="129" t="s">
        <v>202</v>
      </c>
      <c r="BR143" s="217"/>
      <c r="BS143" s="129" t="s">
        <v>160</v>
      </c>
      <c r="BT143" s="129" t="s">
        <v>160</v>
      </c>
      <c r="BU143" s="129">
        <v>10</v>
      </c>
      <c r="BV143" s="129" t="s">
        <v>159</v>
      </c>
      <c r="BW143" s="129">
        <v>10</v>
      </c>
      <c r="BX143" s="145">
        <v>28.14</v>
      </c>
      <c r="BY143" s="129" t="s">
        <v>159</v>
      </c>
      <c r="BZ143" s="129">
        <v>1</v>
      </c>
      <c r="CA143" s="129">
        <v>1</v>
      </c>
      <c r="CB143" s="129" t="s">
        <v>160</v>
      </c>
      <c r="CC143" s="151">
        <v>4.7818327517917174</v>
      </c>
      <c r="CD143" s="129" t="s">
        <v>430</v>
      </c>
      <c r="CE143" s="151">
        <v>0.1912733100716687</v>
      </c>
      <c r="CF143" s="151">
        <v>0.1912733100716687</v>
      </c>
      <c r="CG143" s="178" t="s">
        <v>160</v>
      </c>
      <c r="CH143" s="129" t="s">
        <v>431</v>
      </c>
      <c r="CI143" s="129" t="s">
        <v>160</v>
      </c>
      <c r="CJ143" s="129" t="s">
        <v>432</v>
      </c>
      <c r="CK143" s="129" t="s">
        <v>158</v>
      </c>
      <c r="CL143" s="129" t="s">
        <v>158</v>
      </c>
      <c r="CM143" s="129" t="s">
        <v>158</v>
      </c>
      <c r="CN143" s="129" t="s">
        <v>160</v>
      </c>
      <c r="CO143" s="129" t="s">
        <v>160</v>
      </c>
      <c r="CP143" s="129" t="s">
        <v>160</v>
      </c>
      <c r="CQ143" s="129" t="s">
        <v>160</v>
      </c>
      <c r="CR143" s="129" t="s">
        <v>160</v>
      </c>
      <c r="CS143" s="129" t="s">
        <v>160</v>
      </c>
      <c r="CT143" s="129" t="s">
        <v>160</v>
      </c>
      <c r="CU143" s="129">
        <v>35</v>
      </c>
      <c r="CV143" s="129" t="s">
        <v>393</v>
      </c>
      <c r="CW143" s="146">
        <v>1</v>
      </c>
      <c r="CX143" s="129" t="s">
        <v>207</v>
      </c>
      <c r="CY143" s="129">
        <v>1.06E-2</v>
      </c>
      <c r="CZ143" s="129" t="s">
        <v>159</v>
      </c>
      <c r="DA143" s="146">
        <v>0</v>
      </c>
      <c r="DB143" s="129" t="s">
        <v>208</v>
      </c>
      <c r="DC143" s="129">
        <v>5.5100000000000003E-2</v>
      </c>
      <c r="DD143" s="129" t="s">
        <v>159</v>
      </c>
      <c r="DE143" s="146">
        <v>0</v>
      </c>
      <c r="DF143" s="129" t="s">
        <v>208</v>
      </c>
      <c r="DG143" s="129" t="s">
        <v>160</v>
      </c>
      <c r="DH143" s="129" t="s">
        <v>160</v>
      </c>
      <c r="DI143" s="129" t="s">
        <v>160</v>
      </c>
      <c r="DJ143" s="129" t="s">
        <v>160</v>
      </c>
      <c r="DK143" s="145">
        <v>432.56244218316402</v>
      </c>
      <c r="DL143" s="129" t="s">
        <v>433</v>
      </c>
      <c r="DM143" s="145" t="s">
        <v>160</v>
      </c>
      <c r="DN143" s="129" t="s">
        <v>434</v>
      </c>
      <c r="DO143" s="129">
        <v>39.611919999999998</v>
      </c>
      <c r="DP143" s="129" t="s">
        <v>160</v>
      </c>
      <c r="DQ143" s="129">
        <v>3.6790000000003431E-2</v>
      </c>
      <c r="DR143" s="129" t="s">
        <v>435</v>
      </c>
      <c r="DS143" s="129" t="s">
        <v>212</v>
      </c>
      <c r="DT143" s="129" t="s">
        <v>213</v>
      </c>
      <c r="DU143" s="129">
        <v>1.0271999999999999</v>
      </c>
      <c r="DV143" s="129" t="s">
        <v>160</v>
      </c>
      <c r="DW143" s="129" t="s">
        <v>160</v>
      </c>
      <c r="DX143" s="129" t="s">
        <v>436</v>
      </c>
      <c r="DY143" s="129" t="s">
        <v>158</v>
      </c>
      <c r="DZ143" s="129" t="s">
        <v>158</v>
      </c>
      <c r="EA143" s="129" t="s">
        <v>216</v>
      </c>
      <c r="EB143" s="129" t="s">
        <v>212</v>
      </c>
      <c r="EC143" s="129" t="s">
        <v>212</v>
      </c>
      <c r="ED143" s="129" t="s">
        <v>212</v>
      </c>
      <c r="EE143" s="129" t="s">
        <v>217</v>
      </c>
      <c r="EF143" s="147" t="s">
        <v>213</v>
      </c>
      <c r="EG143" s="148" t="s">
        <v>213</v>
      </c>
      <c r="EH143" s="129" t="s">
        <v>218</v>
      </c>
      <c r="EI143" s="129" t="s">
        <v>417</v>
      </c>
      <c r="EJ143" s="129" t="s">
        <v>160</v>
      </c>
      <c r="EK143" s="129">
        <v>1997.44</v>
      </c>
      <c r="EL143" s="129" t="s">
        <v>163</v>
      </c>
      <c r="EM143" s="129">
        <v>2.148999999999901</v>
      </c>
      <c r="EN143" s="129">
        <v>2.1420000000001158</v>
      </c>
      <c r="EO143" s="129" t="s">
        <v>160</v>
      </c>
      <c r="EP143" s="129" t="s">
        <v>160</v>
      </c>
      <c r="EQ143" s="129" t="s">
        <v>160</v>
      </c>
      <c r="ER143" s="129" t="s">
        <v>160</v>
      </c>
      <c r="ES143" s="201">
        <v>8.1431579999999997</v>
      </c>
      <c r="ET143" s="129" t="s">
        <v>165</v>
      </c>
      <c r="EU143" s="151">
        <v>3.1461000000000183E-2</v>
      </c>
      <c r="EV143" s="151">
        <v>3.2897999999999428E-2</v>
      </c>
      <c r="EW143" s="142" t="s">
        <v>160</v>
      </c>
      <c r="EX143" s="129" t="s">
        <v>160</v>
      </c>
      <c r="EY143" s="129" t="s">
        <v>160</v>
      </c>
      <c r="EZ143" s="191">
        <v>271.51349999999996</v>
      </c>
      <c r="FA143" s="191">
        <v>26.205000000000041</v>
      </c>
      <c r="FB143" s="191">
        <v>23.280099999999948</v>
      </c>
      <c r="FC143" s="129" t="s">
        <v>220</v>
      </c>
      <c r="FD143" s="129" t="s">
        <v>221</v>
      </c>
      <c r="FE143" s="129">
        <v>2348.3190000000004</v>
      </c>
      <c r="FF143" s="129">
        <v>29.42699999999968</v>
      </c>
      <c r="FG143" s="129">
        <v>29.817000000000462</v>
      </c>
      <c r="FH143" s="129" t="s">
        <v>160</v>
      </c>
      <c r="FI143" s="129" t="s">
        <v>160</v>
      </c>
      <c r="FJ143" s="129" t="s">
        <v>160</v>
      </c>
      <c r="FK143" s="129" t="s">
        <v>160</v>
      </c>
      <c r="FL143" s="129" t="s">
        <v>160</v>
      </c>
      <c r="FM143" s="129" t="s">
        <v>160</v>
      </c>
      <c r="FN143" s="151">
        <v>4.6397640000000004</v>
      </c>
      <c r="FO143" s="151">
        <v>0.22100099999999934</v>
      </c>
      <c r="FP143" s="151">
        <v>0.22239100000000001</v>
      </c>
      <c r="FQ143" s="178" t="s">
        <v>419</v>
      </c>
      <c r="FR143" s="129" t="s">
        <v>415</v>
      </c>
      <c r="FS143" s="129">
        <v>2017</v>
      </c>
      <c r="FT143" s="131" t="s">
        <v>416</v>
      </c>
    </row>
    <row r="144" spans="1:176" s="129" customFormat="1">
      <c r="A144" s="129" t="s">
        <v>152</v>
      </c>
      <c r="B144" s="166" t="s">
        <v>183</v>
      </c>
      <c r="C144" s="166">
        <v>2018</v>
      </c>
      <c r="D144" s="166" t="s">
        <v>184</v>
      </c>
      <c r="E144" s="145">
        <f t="shared" si="14"/>
        <v>130.86000000000001</v>
      </c>
      <c r="F144" s="129">
        <f t="shared" si="15"/>
        <v>2</v>
      </c>
      <c r="G144" s="129">
        <f t="shared" si="15"/>
        <v>2</v>
      </c>
      <c r="H144" s="191">
        <v>281.49979999999999</v>
      </c>
      <c r="I144" s="191">
        <v>30.643799999999999</v>
      </c>
      <c r="J144" s="191">
        <v>28.564099999999996</v>
      </c>
      <c r="K144" s="129" t="s">
        <v>457</v>
      </c>
      <c r="L144" s="131" t="s">
        <v>185</v>
      </c>
      <c r="M144" s="132" t="s">
        <v>186</v>
      </c>
      <c r="N144" s="129" t="s">
        <v>184</v>
      </c>
      <c r="O144" s="129" t="s">
        <v>420</v>
      </c>
      <c r="P144" s="129" t="s">
        <v>156</v>
      </c>
      <c r="Q144" s="129">
        <v>1</v>
      </c>
      <c r="R144" s="129">
        <v>4</v>
      </c>
      <c r="S144" s="129">
        <v>71</v>
      </c>
      <c r="T144" s="129">
        <v>73</v>
      </c>
      <c r="U144" s="199">
        <v>5.23</v>
      </c>
      <c r="V144" s="199">
        <v>5.23</v>
      </c>
      <c r="W144" s="129" t="s">
        <v>160</v>
      </c>
      <c r="X144" s="129" t="s">
        <v>421</v>
      </c>
      <c r="Y144" s="200">
        <v>12.74</v>
      </c>
      <c r="Z144" s="200">
        <v>-78.739999999999995</v>
      </c>
      <c r="AA144" s="129" t="s">
        <v>160</v>
      </c>
      <c r="AB144" s="129" t="s">
        <v>160</v>
      </c>
      <c r="AC144" s="129">
        <v>-2839</v>
      </c>
      <c r="AD144" s="129" t="s">
        <v>160</v>
      </c>
      <c r="AE144" s="129" t="s">
        <v>160</v>
      </c>
      <c r="AF144" s="129" t="s">
        <v>160</v>
      </c>
      <c r="AG144" s="145">
        <v>130.86000000000001</v>
      </c>
      <c r="AH144" s="129" t="s">
        <v>163</v>
      </c>
      <c r="AI144" s="129">
        <v>2</v>
      </c>
      <c r="AJ144" s="129">
        <v>2</v>
      </c>
      <c r="AK144" s="129" t="s">
        <v>160</v>
      </c>
      <c r="AL144" s="129" t="s">
        <v>422</v>
      </c>
      <c r="AM144" s="129" t="s">
        <v>160</v>
      </c>
      <c r="AN144" s="129" t="s">
        <v>160</v>
      </c>
      <c r="AO144" s="129" t="s">
        <v>160</v>
      </c>
      <c r="AP144" s="129" t="s">
        <v>160</v>
      </c>
      <c r="AQ144" s="129" t="s">
        <v>160</v>
      </c>
      <c r="AR144" s="129" t="s">
        <v>160</v>
      </c>
      <c r="AS144" s="129" t="s">
        <v>160</v>
      </c>
      <c r="AT144" s="129" t="s">
        <v>160</v>
      </c>
      <c r="AU144" s="129" t="s">
        <v>423</v>
      </c>
      <c r="AV144" s="129" t="s">
        <v>161</v>
      </c>
      <c r="AW144" s="129" t="s">
        <v>424</v>
      </c>
      <c r="AX144" s="178">
        <v>2</v>
      </c>
      <c r="AY144" s="129" t="s">
        <v>194</v>
      </c>
      <c r="AZ144" s="129" t="s">
        <v>195</v>
      </c>
      <c r="BA144" s="129" t="s">
        <v>425</v>
      </c>
      <c r="BB144" s="129" t="s">
        <v>160</v>
      </c>
      <c r="BC144" s="178">
        <v>2</v>
      </c>
      <c r="BD144" s="129" t="s">
        <v>160</v>
      </c>
      <c r="BE144" s="199">
        <v>20.67</v>
      </c>
      <c r="BF144" s="129" t="s">
        <v>426</v>
      </c>
      <c r="BG144" s="151">
        <v>0.3</v>
      </c>
      <c r="BH144" s="129">
        <v>0.64</v>
      </c>
      <c r="BI144" s="129" t="s">
        <v>427</v>
      </c>
      <c r="BJ144" s="129">
        <v>3.4000000000000002E-2</v>
      </c>
      <c r="BK144" s="129">
        <v>9.1</v>
      </c>
      <c r="BL144" s="129" t="s">
        <v>163</v>
      </c>
      <c r="BM144" s="129">
        <v>0.56000000000000005</v>
      </c>
      <c r="BN144" s="129" t="s">
        <v>428</v>
      </c>
      <c r="BO144" s="129" t="s">
        <v>429</v>
      </c>
      <c r="BP144" s="151">
        <f t="shared" si="16"/>
        <v>19.666666666666671</v>
      </c>
      <c r="BQ144" s="129" t="s">
        <v>202</v>
      </c>
      <c r="BR144" s="217"/>
      <c r="BS144" s="129" t="s">
        <v>160</v>
      </c>
      <c r="BT144" s="129" t="s">
        <v>160</v>
      </c>
      <c r="BU144" s="129">
        <v>10</v>
      </c>
      <c r="BV144" s="129" t="s">
        <v>159</v>
      </c>
      <c r="BW144" s="129">
        <v>10</v>
      </c>
      <c r="BX144" s="145">
        <v>29.14</v>
      </c>
      <c r="BY144" s="129" t="s">
        <v>159</v>
      </c>
      <c r="BZ144" s="129">
        <v>1</v>
      </c>
      <c r="CA144" s="129">
        <v>1</v>
      </c>
      <c r="CB144" s="129" t="s">
        <v>160</v>
      </c>
      <c r="CC144" s="151">
        <v>3.415</v>
      </c>
      <c r="CD144" s="129" t="s">
        <v>430</v>
      </c>
      <c r="CE144" s="151">
        <v>0.1366</v>
      </c>
      <c r="CF144" s="151">
        <v>0.1366</v>
      </c>
      <c r="CG144" s="178" t="s">
        <v>160</v>
      </c>
      <c r="CH144" s="129" t="s">
        <v>431</v>
      </c>
      <c r="CI144" s="129" t="s">
        <v>160</v>
      </c>
      <c r="CJ144" s="129" t="s">
        <v>432</v>
      </c>
      <c r="CK144" s="129" t="s">
        <v>158</v>
      </c>
      <c r="CL144" s="129" t="s">
        <v>158</v>
      </c>
      <c r="CM144" s="129" t="s">
        <v>158</v>
      </c>
      <c r="CN144" s="129" t="s">
        <v>160</v>
      </c>
      <c r="CO144" s="129" t="s">
        <v>160</v>
      </c>
      <c r="CP144" s="129" t="s">
        <v>160</v>
      </c>
      <c r="CQ144" s="129" t="s">
        <v>160</v>
      </c>
      <c r="CR144" s="129" t="s">
        <v>160</v>
      </c>
      <c r="CS144" s="129" t="s">
        <v>160</v>
      </c>
      <c r="CT144" s="129" t="s">
        <v>160</v>
      </c>
      <c r="CU144" s="129">
        <v>35</v>
      </c>
      <c r="CV144" s="129" t="s">
        <v>393</v>
      </c>
      <c r="CW144" s="146">
        <v>1</v>
      </c>
      <c r="CX144" s="129" t="s">
        <v>207</v>
      </c>
      <c r="CY144" s="129">
        <v>1.06E-2</v>
      </c>
      <c r="CZ144" s="129" t="s">
        <v>159</v>
      </c>
      <c r="DA144" s="146">
        <v>0</v>
      </c>
      <c r="DB144" s="129" t="s">
        <v>208</v>
      </c>
      <c r="DC144" s="129">
        <v>5.5100000000000003E-2</v>
      </c>
      <c r="DD144" s="129" t="s">
        <v>159</v>
      </c>
      <c r="DE144" s="146">
        <v>0</v>
      </c>
      <c r="DF144" s="129" t="s">
        <v>208</v>
      </c>
      <c r="DG144" s="129" t="s">
        <v>160</v>
      </c>
      <c r="DH144" s="129" t="s">
        <v>160</v>
      </c>
      <c r="DI144" s="129" t="s">
        <v>160</v>
      </c>
      <c r="DJ144" s="129" t="s">
        <v>160</v>
      </c>
      <c r="DK144" s="145">
        <v>432.56244218316402</v>
      </c>
      <c r="DL144" s="129" t="s">
        <v>433</v>
      </c>
      <c r="DM144" s="145" t="s">
        <v>160</v>
      </c>
      <c r="DN144" s="129" t="s">
        <v>434</v>
      </c>
      <c r="DO144" s="129">
        <v>39.6126</v>
      </c>
      <c r="DP144" s="129" t="s">
        <v>160</v>
      </c>
      <c r="DQ144" s="129">
        <v>3.8159999999997751E-2</v>
      </c>
      <c r="DR144" s="129" t="s">
        <v>435</v>
      </c>
      <c r="DS144" s="129" t="s">
        <v>212</v>
      </c>
      <c r="DT144" s="129" t="s">
        <v>213</v>
      </c>
      <c r="DU144" s="129">
        <v>1.0271999999999999</v>
      </c>
      <c r="DV144" s="129" t="s">
        <v>160</v>
      </c>
      <c r="DW144" s="129" t="s">
        <v>160</v>
      </c>
      <c r="DX144" s="129" t="s">
        <v>436</v>
      </c>
      <c r="DY144" s="129" t="s">
        <v>158</v>
      </c>
      <c r="DZ144" s="129" t="s">
        <v>158</v>
      </c>
      <c r="EA144" s="129" t="s">
        <v>216</v>
      </c>
      <c r="EB144" s="129" t="s">
        <v>212</v>
      </c>
      <c r="EC144" s="129" t="s">
        <v>212</v>
      </c>
      <c r="ED144" s="129" t="s">
        <v>212</v>
      </c>
      <c r="EE144" s="129" t="s">
        <v>217</v>
      </c>
      <c r="EF144" s="147" t="s">
        <v>213</v>
      </c>
      <c r="EG144" s="148" t="s">
        <v>213</v>
      </c>
      <c r="EH144" s="129" t="s">
        <v>218</v>
      </c>
      <c r="EI144" s="129" t="s">
        <v>417</v>
      </c>
      <c r="EJ144" s="129" t="s">
        <v>160</v>
      </c>
      <c r="EK144" s="129">
        <v>1997.3410000000001</v>
      </c>
      <c r="EL144" s="129" t="s">
        <v>163</v>
      </c>
      <c r="EM144" s="129">
        <v>2.2209999999997336</v>
      </c>
      <c r="EN144" s="129">
        <v>2.2170000000001044</v>
      </c>
      <c r="EO144" s="129" t="s">
        <v>160</v>
      </c>
      <c r="EP144" s="129" t="s">
        <v>160</v>
      </c>
      <c r="EQ144" s="129" t="s">
        <v>160</v>
      </c>
      <c r="ER144" s="129" t="s">
        <v>160</v>
      </c>
      <c r="ES144" s="201">
        <v>8.1309590000000007</v>
      </c>
      <c r="ET144" s="129" t="s">
        <v>165</v>
      </c>
      <c r="EU144" s="151">
        <v>3.7621999999998934E-2</v>
      </c>
      <c r="EV144" s="151">
        <v>3.6440999999999946E-2</v>
      </c>
      <c r="EW144" s="142" t="s">
        <v>160</v>
      </c>
      <c r="EX144" s="129" t="s">
        <v>160</v>
      </c>
      <c r="EY144" s="129" t="s">
        <v>160</v>
      </c>
      <c r="EZ144" s="191">
        <v>281.49979999999999</v>
      </c>
      <c r="FA144" s="191">
        <v>30.643799999999999</v>
      </c>
      <c r="FB144" s="191">
        <v>28.564099999999996</v>
      </c>
      <c r="FC144" s="129" t="s">
        <v>220</v>
      </c>
      <c r="FD144" s="129" t="s">
        <v>221</v>
      </c>
      <c r="FE144" s="129">
        <v>2350.422</v>
      </c>
      <c r="FF144" s="129">
        <v>33.596999999999753</v>
      </c>
      <c r="FG144" s="129">
        <v>32.655999999999949</v>
      </c>
      <c r="FH144" s="129" t="s">
        <v>160</v>
      </c>
      <c r="FI144" s="129" t="s">
        <v>160</v>
      </c>
      <c r="FJ144" s="129" t="s">
        <v>160</v>
      </c>
      <c r="FK144" s="129" t="s">
        <v>160</v>
      </c>
      <c r="FL144" s="129" t="s">
        <v>160</v>
      </c>
      <c r="FM144" s="129" t="s">
        <v>160</v>
      </c>
      <c r="FN144" s="151">
        <v>4.7001309999999998</v>
      </c>
      <c r="FO144" s="151">
        <v>0.28532400000000013</v>
      </c>
      <c r="FP144" s="151">
        <v>0.27411299999999983</v>
      </c>
      <c r="FQ144" s="178" t="s">
        <v>419</v>
      </c>
      <c r="FR144" s="129" t="s">
        <v>415</v>
      </c>
      <c r="FS144" s="129">
        <v>2017</v>
      </c>
      <c r="FT144" s="131" t="s">
        <v>416</v>
      </c>
    </row>
    <row r="145" spans="1:176" s="129" customFormat="1">
      <c r="A145" s="129" t="s">
        <v>152</v>
      </c>
      <c r="B145" s="166" t="s">
        <v>183</v>
      </c>
      <c r="C145" s="166">
        <v>2018</v>
      </c>
      <c r="D145" s="166" t="s">
        <v>184</v>
      </c>
      <c r="E145" s="145">
        <f t="shared" si="14"/>
        <v>131.91</v>
      </c>
      <c r="F145" s="129">
        <f t="shared" si="15"/>
        <v>2</v>
      </c>
      <c r="G145" s="129">
        <f t="shared" si="15"/>
        <v>2</v>
      </c>
      <c r="H145" s="191">
        <v>248.65789999999998</v>
      </c>
      <c r="I145" s="191">
        <v>22.794800000000009</v>
      </c>
      <c r="J145" s="191">
        <v>21.568999999999988</v>
      </c>
      <c r="K145" s="129" t="s">
        <v>457</v>
      </c>
      <c r="L145" s="131" t="s">
        <v>185</v>
      </c>
      <c r="M145" s="132" t="s">
        <v>186</v>
      </c>
      <c r="N145" s="129" t="s">
        <v>184</v>
      </c>
      <c r="O145" s="129" t="s">
        <v>420</v>
      </c>
      <c r="P145" s="202" t="s">
        <v>156</v>
      </c>
      <c r="Q145" s="202">
        <v>1</v>
      </c>
      <c r="R145" s="202">
        <v>4</v>
      </c>
      <c r="S145" s="202">
        <v>76</v>
      </c>
      <c r="T145" s="202">
        <f t="shared" ref="T145:T157" si="18">S145+2</f>
        <v>78</v>
      </c>
      <c r="U145" s="202">
        <v>5.26</v>
      </c>
      <c r="V145" s="202">
        <v>5.26</v>
      </c>
      <c r="W145" s="129" t="s">
        <v>160</v>
      </c>
      <c r="X145" s="129" t="s">
        <v>421</v>
      </c>
      <c r="Y145" s="200">
        <v>12.74</v>
      </c>
      <c r="Z145" s="200">
        <v>-78.739999999999995</v>
      </c>
      <c r="AA145" s="129" t="s">
        <v>160</v>
      </c>
      <c r="AB145" s="129" t="s">
        <v>160</v>
      </c>
      <c r="AC145" s="129">
        <v>-2839</v>
      </c>
      <c r="AD145" s="129" t="s">
        <v>160</v>
      </c>
      <c r="AE145" s="129" t="s">
        <v>160</v>
      </c>
      <c r="AF145" s="129" t="s">
        <v>160</v>
      </c>
      <c r="AG145" s="145">
        <v>131.91</v>
      </c>
      <c r="AH145" s="129" t="s">
        <v>163</v>
      </c>
      <c r="AI145" s="129">
        <v>2</v>
      </c>
      <c r="AJ145" s="129">
        <v>2</v>
      </c>
      <c r="AK145" s="129" t="s">
        <v>160</v>
      </c>
      <c r="AL145" s="129" t="s">
        <v>422</v>
      </c>
      <c r="AM145" s="129" t="s">
        <v>160</v>
      </c>
      <c r="AN145" s="129" t="s">
        <v>160</v>
      </c>
      <c r="AO145" s="129" t="s">
        <v>160</v>
      </c>
      <c r="AP145" s="129" t="s">
        <v>160</v>
      </c>
      <c r="AQ145" s="129" t="s">
        <v>160</v>
      </c>
      <c r="AR145" s="129" t="s">
        <v>160</v>
      </c>
      <c r="AS145" s="129" t="s">
        <v>160</v>
      </c>
      <c r="AT145" s="129" t="s">
        <v>160</v>
      </c>
      <c r="AU145" s="129" t="s">
        <v>423</v>
      </c>
      <c r="AV145" s="129" t="s">
        <v>161</v>
      </c>
      <c r="AW145" s="129" t="s">
        <v>424</v>
      </c>
      <c r="AX145" s="178">
        <v>2</v>
      </c>
      <c r="AY145" s="129" t="s">
        <v>194</v>
      </c>
      <c r="AZ145" s="129" t="s">
        <v>195</v>
      </c>
      <c r="BA145" s="129" t="s">
        <v>425</v>
      </c>
      <c r="BB145" s="129" t="s">
        <v>160</v>
      </c>
      <c r="BC145" s="178">
        <v>2</v>
      </c>
      <c r="BD145" s="129" t="s">
        <v>160</v>
      </c>
      <c r="BE145" s="151">
        <v>20.88489985</v>
      </c>
      <c r="BF145" s="129" t="s">
        <v>426</v>
      </c>
      <c r="BG145" s="151">
        <v>0.21843262399999999</v>
      </c>
      <c r="BH145" s="129">
        <v>0.64</v>
      </c>
      <c r="BI145" s="129" t="s">
        <v>427</v>
      </c>
      <c r="BJ145" s="129">
        <v>3.4000000000000002E-2</v>
      </c>
      <c r="BK145" s="129">
        <v>9.1</v>
      </c>
      <c r="BL145" s="129" t="s">
        <v>163</v>
      </c>
      <c r="BM145" s="129">
        <v>0.56000000000000005</v>
      </c>
      <c r="BN145" s="129" t="s">
        <v>428</v>
      </c>
      <c r="BO145" s="129" t="s">
        <v>429</v>
      </c>
      <c r="BP145" s="151">
        <f t="shared" si="16"/>
        <v>20.024833083333334</v>
      </c>
      <c r="BQ145" s="129" t="s">
        <v>202</v>
      </c>
      <c r="BR145" s="217"/>
      <c r="BS145" s="129" t="s">
        <v>160</v>
      </c>
      <c r="BT145" s="129" t="s">
        <v>160</v>
      </c>
      <c r="BU145" s="129">
        <v>10</v>
      </c>
      <c r="BV145" s="129" t="s">
        <v>159</v>
      </c>
      <c r="BW145" s="129">
        <v>10</v>
      </c>
      <c r="BX145" s="145">
        <v>27.87</v>
      </c>
      <c r="BY145" s="129" t="s">
        <v>159</v>
      </c>
      <c r="BZ145" s="129">
        <v>1</v>
      </c>
      <c r="CA145" s="129">
        <v>1</v>
      </c>
      <c r="CB145" s="129" t="s">
        <v>160</v>
      </c>
      <c r="CC145" s="151">
        <v>4.6681489613817631</v>
      </c>
      <c r="CD145" s="129" t="s">
        <v>430</v>
      </c>
      <c r="CE145" s="151">
        <v>0.18672595845527051</v>
      </c>
      <c r="CF145" s="151">
        <v>0.18672595845527051</v>
      </c>
      <c r="CG145" s="178" t="s">
        <v>160</v>
      </c>
      <c r="CH145" s="129" t="s">
        <v>431</v>
      </c>
      <c r="CI145" s="129" t="s">
        <v>160</v>
      </c>
      <c r="CJ145" s="129" t="s">
        <v>432</v>
      </c>
      <c r="CK145" s="129" t="s">
        <v>158</v>
      </c>
      <c r="CL145" s="129" t="s">
        <v>158</v>
      </c>
      <c r="CM145" s="129" t="s">
        <v>158</v>
      </c>
      <c r="CN145" s="129" t="s">
        <v>160</v>
      </c>
      <c r="CO145" s="129" t="s">
        <v>160</v>
      </c>
      <c r="CP145" s="129" t="s">
        <v>160</v>
      </c>
      <c r="CQ145" s="129" t="s">
        <v>160</v>
      </c>
      <c r="CR145" s="129" t="s">
        <v>160</v>
      </c>
      <c r="CS145" s="129" t="s">
        <v>160</v>
      </c>
      <c r="CT145" s="129" t="s">
        <v>160</v>
      </c>
      <c r="CU145" s="129">
        <v>35</v>
      </c>
      <c r="CV145" s="129" t="s">
        <v>393</v>
      </c>
      <c r="CW145" s="146">
        <v>1</v>
      </c>
      <c r="CX145" s="129" t="s">
        <v>207</v>
      </c>
      <c r="CY145" s="129">
        <v>1.06E-2</v>
      </c>
      <c r="CZ145" s="129" t="s">
        <v>159</v>
      </c>
      <c r="DA145" s="146">
        <v>0</v>
      </c>
      <c r="DB145" s="129" t="s">
        <v>208</v>
      </c>
      <c r="DC145" s="129">
        <v>5.5100000000000003E-2</v>
      </c>
      <c r="DD145" s="129" t="s">
        <v>159</v>
      </c>
      <c r="DE145" s="146">
        <v>0</v>
      </c>
      <c r="DF145" s="129" t="s">
        <v>208</v>
      </c>
      <c r="DG145" s="129" t="s">
        <v>160</v>
      </c>
      <c r="DH145" s="129" t="s">
        <v>160</v>
      </c>
      <c r="DI145" s="129" t="s">
        <v>160</v>
      </c>
      <c r="DJ145" s="129" t="s">
        <v>160</v>
      </c>
      <c r="DK145" s="145">
        <v>432.56244218316402</v>
      </c>
      <c r="DL145" s="129" t="s">
        <v>433</v>
      </c>
      <c r="DM145" s="145" t="s">
        <v>160</v>
      </c>
      <c r="DN145" s="129" t="s">
        <v>434</v>
      </c>
      <c r="DO145" s="129">
        <v>39.612450000000003</v>
      </c>
      <c r="DP145" s="129" t="s">
        <v>160</v>
      </c>
      <c r="DQ145" s="129">
        <v>3.7059999999996762E-2</v>
      </c>
      <c r="DR145" s="129" t="s">
        <v>435</v>
      </c>
      <c r="DS145" s="129" t="s">
        <v>212</v>
      </c>
      <c r="DT145" s="129" t="s">
        <v>213</v>
      </c>
      <c r="DU145" s="129">
        <v>1.0271999999999999</v>
      </c>
      <c r="DV145" s="129" t="s">
        <v>160</v>
      </c>
      <c r="DW145" s="129" t="s">
        <v>160</v>
      </c>
      <c r="DX145" s="129" t="s">
        <v>436</v>
      </c>
      <c r="DY145" s="129" t="s">
        <v>158</v>
      </c>
      <c r="DZ145" s="129" t="s">
        <v>158</v>
      </c>
      <c r="EA145" s="129" t="s">
        <v>216</v>
      </c>
      <c r="EB145" s="129" t="s">
        <v>212</v>
      </c>
      <c r="EC145" s="129" t="s">
        <v>212</v>
      </c>
      <c r="ED145" s="129" t="s">
        <v>212</v>
      </c>
      <c r="EE145" s="129" t="s">
        <v>217</v>
      </c>
      <c r="EF145" s="147" t="s">
        <v>213</v>
      </c>
      <c r="EG145" s="148" t="s">
        <v>213</v>
      </c>
      <c r="EH145" s="129" t="s">
        <v>218</v>
      </c>
      <c r="EI145" s="129" t="s">
        <v>417</v>
      </c>
      <c r="EJ145" s="129" t="s">
        <v>160</v>
      </c>
      <c r="EK145" s="129">
        <v>1997.3510000000001</v>
      </c>
      <c r="EL145" s="129" t="s">
        <v>163</v>
      </c>
      <c r="EM145" s="129">
        <v>2.2130000000000414</v>
      </c>
      <c r="EN145" s="129">
        <v>2.2889999999999371</v>
      </c>
      <c r="EO145" s="129" t="s">
        <v>160</v>
      </c>
      <c r="EP145" s="129" t="s">
        <v>160</v>
      </c>
      <c r="EQ145" s="129" t="s">
        <v>160</v>
      </c>
      <c r="ER145" s="129" t="s">
        <v>160</v>
      </c>
      <c r="ES145" s="201">
        <v>8.1730420000000006</v>
      </c>
      <c r="ET145" s="129" t="s">
        <v>165</v>
      </c>
      <c r="EU145" s="151">
        <v>3.1451999999999813E-2</v>
      </c>
      <c r="EV145" s="151">
        <v>3.093900000000005E-2</v>
      </c>
      <c r="EW145" s="142" t="s">
        <v>160</v>
      </c>
      <c r="EX145" s="129" t="s">
        <v>160</v>
      </c>
      <c r="EY145" s="129" t="s">
        <v>160</v>
      </c>
      <c r="EZ145" s="191">
        <v>248.65789999999998</v>
      </c>
      <c r="FA145" s="191">
        <v>22.794800000000009</v>
      </c>
      <c r="FB145" s="191">
        <v>21.568999999999988</v>
      </c>
      <c r="FC145" s="129" t="s">
        <v>220</v>
      </c>
      <c r="FD145" s="129" t="s">
        <v>221</v>
      </c>
      <c r="FE145" s="129">
        <v>2370.3539999999998</v>
      </c>
      <c r="FF145" s="129">
        <v>29.565999999999804</v>
      </c>
      <c r="FG145" s="129">
        <v>30.012999999999465</v>
      </c>
      <c r="FH145" s="129" t="s">
        <v>160</v>
      </c>
      <c r="FI145" s="129" t="s">
        <v>160</v>
      </c>
      <c r="FJ145" s="129" t="s">
        <v>160</v>
      </c>
      <c r="FK145" s="129" t="s">
        <v>160</v>
      </c>
      <c r="FL145" s="129" t="s">
        <v>160</v>
      </c>
      <c r="FM145" s="129" t="s">
        <v>160</v>
      </c>
      <c r="FN145" s="151">
        <v>4.8910270000000002</v>
      </c>
      <c r="FO145" s="151">
        <v>0.22940999999999967</v>
      </c>
      <c r="FP145" s="151">
        <v>0.22037500000000065</v>
      </c>
      <c r="FQ145" s="178" t="s">
        <v>419</v>
      </c>
      <c r="FR145" s="129" t="s">
        <v>415</v>
      </c>
      <c r="FS145" s="129">
        <v>2017</v>
      </c>
      <c r="FT145" s="131" t="s">
        <v>416</v>
      </c>
    </row>
    <row r="146" spans="1:176" s="129" customFormat="1">
      <c r="A146" s="129" t="s">
        <v>152</v>
      </c>
      <c r="B146" s="166" t="s">
        <v>183</v>
      </c>
      <c r="C146" s="166">
        <v>2018</v>
      </c>
      <c r="D146" s="166" t="s">
        <v>184</v>
      </c>
      <c r="E146" s="145">
        <f t="shared" si="14"/>
        <v>133.22</v>
      </c>
      <c r="F146" s="129">
        <f t="shared" si="15"/>
        <v>2</v>
      </c>
      <c r="G146" s="129">
        <f t="shared" si="15"/>
        <v>2</v>
      </c>
      <c r="H146" s="191">
        <v>236.4648</v>
      </c>
      <c r="I146" s="191">
        <v>22.091500000000025</v>
      </c>
      <c r="J146" s="191">
        <v>20.24430000000001</v>
      </c>
      <c r="K146" s="129" t="s">
        <v>457</v>
      </c>
      <c r="L146" s="131" t="s">
        <v>185</v>
      </c>
      <c r="M146" s="132" t="s">
        <v>186</v>
      </c>
      <c r="N146" s="129" t="s">
        <v>184</v>
      </c>
      <c r="O146" s="129" t="s">
        <v>420</v>
      </c>
      <c r="P146" s="202" t="s">
        <v>156</v>
      </c>
      <c r="Q146" s="202">
        <v>1</v>
      </c>
      <c r="R146" s="202">
        <v>4</v>
      </c>
      <c r="S146" s="202">
        <v>81</v>
      </c>
      <c r="T146" s="202">
        <f t="shared" si="18"/>
        <v>83</v>
      </c>
      <c r="U146" s="202">
        <v>5.31</v>
      </c>
      <c r="V146" s="202">
        <v>5.31</v>
      </c>
      <c r="W146" s="129" t="s">
        <v>160</v>
      </c>
      <c r="X146" s="129" t="s">
        <v>421</v>
      </c>
      <c r="Y146" s="200">
        <v>12.74</v>
      </c>
      <c r="Z146" s="200">
        <v>-78.739999999999995</v>
      </c>
      <c r="AA146" s="129" t="s">
        <v>160</v>
      </c>
      <c r="AB146" s="129" t="s">
        <v>160</v>
      </c>
      <c r="AC146" s="129">
        <v>-2839</v>
      </c>
      <c r="AD146" s="129" t="s">
        <v>160</v>
      </c>
      <c r="AE146" s="129" t="s">
        <v>160</v>
      </c>
      <c r="AF146" s="129" t="s">
        <v>160</v>
      </c>
      <c r="AG146" s="145">
        <v>133.22</v>
      </c>
      <c r="AH146" s="129" t="s">
        <v>163</v>
      </c>
      <c r="AI146" s="129">
        <v>2</v>
      </c>
      <c r="AJ146" s="129">
        <v>2</v>
      </c>
      <c r="AK146" s="129" t="s">
        <v>160</v>
      </c>
      <c r="AL146" s="129" t="s">
        <v>422</v>
      </c>
      <c r="AM146" s="129" t="s">
        <v>160</v>
      </c>
      <c r="AN146" s="129" t="s">
        <v>160</v>
      </c>
      <c r="AO146" s="129" t="s">
        <v>160</v>
      </c>
      <c r="AP146" s="129" t="s">
        <v>160</v>
      </c>
      <c r="AQ146" s="129" t="s">
        <v>160</v>
      </c>
      <c r="AR146" s="129" t="s">
        <v>160</v>
      </c>
      <c r="AS146" s="129" t="s">
        <v>160</v>
      </c>
      <c r="AT146" s="129" t="s">
        <v>160</v>
      </c>
      <c r="AU146" s="129" t="s">
        <v>423</v>
      </c>
      <c r="AV146" s="129" t="s">
        <v>161</v>
      </c>
      <c r="AW146" s="129" t="s">
        <v>424</v>
      </c>
      <c r="AX146" s="178">
        <v>2</v>
      </c>
      <c r="AY146" s="129" t="s">
        <v>194</v>
      </c>
      <c r="AZ146" s="129" t="s">
        <v>195</v>
      </c>
      <c r="BA146" s="129" t="s">
        <v>425</v>
      </c>
      <c r="BB146" s="129" t="s">
        <v>160</v>
      </c>
      <c r="BC146" s="178">
        <v>2</v>
      </c>
      <c r="BD146" s="129" t="s">
        <v>160</v>
      </c>
      <c r="BE146" s="151">
        <v>20.92334602</v>
      </c>
      <c r="BF146" s="129" t="s">
        <v>426</v>
      </c>
      <c r="BG146" s="151">
        <v>0.21858277400000001</v>
      </c>
      <c r="BH146" s="129">
        <v>0.64</v>
      </c>
      <c r="BI146" s="129" t="s">
        <v>427</v>
      </c>
      <c r="BJ146" s="129">
        <v>3.4000000000000002E-2</v>
      </c>
      <c r="BK146" s="129">
        <v>9.1</v>
      </c>
      <c r="BL146" s="129" t="s">
        <v>163</v>
      </c>
      <c r="BM146" s="129">
        <v>0.56000000000000005</v>
      </c>
      <c r="BN146" s="129" t="s">
        <v>428</v>
      </c>
      <c r="BO146" s="129" t="s">
        <v>429</v>
      </c>
      <c r="BP146" s="151">
        <f t="shared" si="16"/>
        <v>20.088910033333335</v>
      </c>
      <c r="BQ146" s="129" t="s">
        <v>202</v>
      </c>
      <c r="BR146" s="217"/>
      <c r="BS146" s="129" t="s">
        <v>160</v>
      </c>
      <c r="BT146" s="129" t="s">
        <v>160</v>
      </c>
      <c r="BU146" s="129">
        <v>10</v>
      </c>
      <c r="BV146" s="129" t="s">
        <v>159</v>
      </c>
      <c r="BW146" s="129">
        <v>10</v>
      </c>
      <c r="BX146" s="145">
        <v>26.88</v>
      </c>
      <c r="BY146" s="129" t="s">
        <v>159</v>
      </c>
      <c r="BZ146" s="129">
        <v>1</v>
      </c>
      <c r="CA146" s="129">
        <v>1</v>
      </c>
      <c r="CB146" s="129" t="s">
        <v>160</v>
      </c>
      <c r="CC146" s="151">
        <v>4.2684156122318786</v>
      </c>
      <c r="CD146" s="129" t="s">
        <v>430</v>
      </c>
      <c r="CE146" s="151">
        <v>0.17073662448927515</v>
      </c>
      <c r="CF146" s="151">
        <v>0.17073662448927515</v>
      </c>
      <c r="CG146" s="178" t="s">
        <v>160</v>
      </c>
      <c r="CH146" s="129" t="s">
        <v>431</v>
      </c>
      <c r="CI146" s="129" t="s">
        <v>160</v>
      </c>
      <c r="CJ146" s="129" t="s">
        <v>432</v>
      </c>
      <c r="CK146" s="129" t="s">
        <v>158</v>
      </c>
      <c r="CL146" s="129" t="s">
        <v>158</v>
      </c>
      <c r="CM146" s="129" t="s">
        <v>158</v>
      </c>
      <c r="CN146" s="129" t="s">
        <v>160</v>
      </c>
      <c r="CO146" s="129" t="s">
        <v>160</v>
      </c>
      <c r="CP146" s="129" t="s">
        <v>160</v>
      </c>
      <c r="CQ146" s="129" t="s">
        <v>160</v>
      </c>
      <c r="CR146" s="129" t="s">
        <v>160</v>
      </c>
      <c r="CS146" s="129" t="s">
        <v>160</v>
      </c>
      <c r="CT146" s="129" t="s">
        <v>160</v>
      </c>
      <c r="CU146" s="129">
        <v>35</v>
      </c>
      <c r="CV146" s="129" t="s">
        <v>393</v>
      </c>
      <c r="CW146" s="146">
        <v>1</v>
      </c>
      <c r="CX146" s="129" t="s">
        <v>207</v>
      </c>
      <c r="CY146" s="129">
        <v>1.06E-2</v>
      </c>
      <c r="CZ146" s="129" t="s">
        <v>159</v>
      </c>
      <c r="DA146" s="146">
        <v>0</v>
      </c>
      <c r="DB146" s="129" t="s">
        <v>208</v>
      </c>
      <c r="DC146" s="129">
        <v>5.5100000000000003E-2</v>
      </c>
      <c r="DD146" s="129" t="s">
        <v>159</v>
      </c>
      <c r="DE146" s="146">
        <v>0</v>
      </c>
      <c r="DF146" s="129" t="s">
        <v>208</v>
      </c>
      <c r="DG146" s="129" t="s">
        <v>160</v>
      </c>
      <c r="DH146" s="129" t="s">
        <v>160</v>
      </c>
      <c r="DI146" s="129" t="s">
        <v>160</v>
      </c>
      <c r="DJ146" s="129" t="s">
        <v>160</v>
      </c>
      <c r="DK146" s="145">
        <v>432.56244218316402</v>
      </c>
      <c r="DL146" s="129" t="s">
        <v>433</v>
      </c>
      <c r="DM146" s="145" t="s">
        <v>160</v>
      </c>
      <c r="DN146" s="129" t="s">
        <v>434</v>
      </c>
      <c r="DO146" s="129">
        <v>39.612870000000001</v>
      </c>
      <c r="DP146" s="129" t="s">
        <v>160</v>
      </c>
      <c r="DQ146" s="129">
        <v>3.7950000000002149E-2</v>
      </c>
      <c r="DR146" s="129" t="s">
        <v>435</v>
      </c>
      <c r="DS146" s="129" t="s">
        <v>212</v>
      </c>
      <c r="DT146" s="129" t="s">
        <v>213</v>
      </c>
      <c r="DU146" s="129">
        <v>1.0271999999999999</v>
      </c>
      <c r="DV146" s="129" t="s">
        <v>160</v>
      </c>
      <c r="DW146" s="129" t="s">
        <v>160</v>
      </c>
      <c r="DX146" s="129" t="s">
        <v>436</v>
      </c>
      <c r="DY146" s="129" t="s">
        <v>158</v>
      </c>
      <c r="DZ146" s="129" t="s">
        <v>158</v>
      </c>
      <c r="EA146" s="129" t="s">
        <v>216</v>
      </c>
      <c r="EB146" s="129" t="s">
        <v>212</v>
      </c>
      <c r="EC146" s="129" t="s">
        <v>212</v>
      </c>
      <c r="ED146" s="129" t="s">
        <v>212</v>
      </c>
      <c r="EE146" s="129" t="s">
        <v>217</v>
      </c>
      <c r="EF146" s="147" t="s">
        <v>213</v>
      </c>
      <c r="EG146" s="148" t="s">
        <v>213</v>
      </c>
      <c r="EH146" s="129" t="s">
        <v>218</v>
      </c>
      <c r="EI146" s="129" t="s">
        <v>417</v>
      </c>
      <c r="EJ146" s="129" t="s">
        <v>160</v>
      </c>
      <c r="EK146" s="129">
        <v>1997.3040000000001</v>
      </c>
      <c r="EL146" s="129" t="s">
        <v>163</v>
      </c>
      <c r="EM146" s="129">
        <v>2.1890000000000973</v>
      </c>
      <c r="EN146" s="129">
        <v>2.2740000000000258</v>
      </c>
      <c r="EO146" s="129" t="s">
        <v>160</v>
      </c>
      <c r="EP146" s="129" t="s">
        <v>160</v>
      </c>
      <c r="EQ146" s="129" t="s">
        <v>160</v>
      </c>
      <c r="ER146" s="129" t="s">
        <v>160</v>
      </c>
      <c r="ES146" s="201">
        <v>8.1899169999999994</v>
      </c>
      <c r="ET146" s="129" t="s">
        <v>165</v>
      </c>
      <c r="EU146" s="151">
        <v>3.0858000000000274E-2</v>
      </c>
      <c r="EV146" s="151">
        <v>3.0989999999999185E-2</v>
      </c>
      <c r="EW146" s="142" t="s">
        <v>160</v>
      </c>
      <c r="EX146" s="129" t="s">
        <v>160</v>
      </c>
      <c r="EY146" s="129" t="s">
        <v>160</v>
      </c>
      <c r="EZ146" s="191">
        <v>236.4648</v>
      </c>
      <c r="FA146" s="191">
        <v>22.091500000000025</v>
      </c>
      <c r="FB146" s="191">
        <v>20.24430000000001</v>
      </c>
      <c r="FC146" s="129" t="s">
        <v>220</v>
      </c>
      <c r="FD146" s="129" t="s">
        <v>221</v>
      </c>
      <c r="FE146" s="129">
        <v>2371.9560000000001</v>
      </c>
      <c r="FF146" s="129">
        <v>30.258000000000266</v>
      </c>
      <c r="FG146" s="129">
        <v>29.98700000000008</v>
      </c>
      <c r="FH146" s="129" t="s">
        <v>160</v>
      </c>
      <c r="FI146" s="129" t="s">
        <v>160</v>
      </c>
      <c r="FJ146" s="129" t="s">
        <v>160</v>
      </c>
      <c r="FK146" s="129" t="s">
        <v>160</v>
      </c>
      <c r="FL146" s="129" t="s">
        <v>160</v>
      </c>
      <c r="FM146" s="129" t="s">
        <v>160</v>
      </c>
      <c r="FN146" s="151">
        <v>4.8778139999999999</v>
      </c>
      <c r="FO146" s="151">
        <v>0.22611600000000021</v>
      </c>
      <c r="FP146" s="151">
        <v>0.22688199999999981</v>
      </c>
      <c r="FQ146" s="178" t="s">
        <v>419</v>
      </c>
      <c r="FR146" s="129" t="s">
        <v>415</v>
      </c>
      <c r="FS146" s="129">
        <v>2017</v>
      </c>
      <c r="FT146" s="131" t="s">
        <v>416</v>
      </c>
    </row>
    <row r="147" spans="1:176" s="129" customFormat="1">
      <c r="A147" s="129" t="s">
        <v>152</v>
      </c>
      <c r="B147" s="166" t="s">
        <v>183</v>
      </c>
      <c r="C147" s="166">
        <v>2018</v>
      </c>
      <c r="D147" s="166" t="s">
        <v>184</v>
      </c>
      <c r="E147" s="145">
        <f t="shared" si="14"/>
        <v>134</v>
      </c>
      <c r="F147" s="129">
        <f t="shared" si="15"/>
        <v>2</v>
      </c>
      <c r="G147" s="129">
        <f t="shared" si="15"/>
        <v>2</v>
      </c>
      <c r="H147" s="191">
        <v>210.9348</v>
      </c>
      <c r="I147" s="191">
        <v>20.368500000000012</v>
      </c>
      <c r="J147" s="191">
        <v>19.109899999999982</v>
      </c>
      <c r="K147" s="129" t="s">
        <v>457</v>
      </c>
      <c r="L147" s="131" t="s">
        <v>185</v>
      </c>
      <c r="M147" s="132" t="s">
        <v>186</v>
      </c>
      <c r="N147" s="129" t="s">
        <v>184</v>
      </c>
      <c r="O147" s="129" t="s">
        <v>420</v>
      </c>
      <c r="P147" s="202" t="s">
        <v>156</v>
      </c>
      <c r="Q147" s="202">
        <v>1</v>
      </c>
      <c r="R147" s="202">
        <v>4</v>
      </c>
      <c r="S147" s="202">
        <v>84</v>
      </c>
      <c r="T147" s="202">
        <f t="shared" si="18"/>
        <v>86</v>
      </c>
      <c r="U147" s="202">
        <v>5.34</v>
      </c>
      <c r="V147" s="202">
        <v>5.34</v>
      </c>
      <c r="W147" s="129" t="s">
        <v>160</v>
      </c>
      <c r="X147" s="129" t="s">
        <v>421</v>
      </c>
      <c r="Y147" s="200">
        <v>12.74</v>
      </c>
      <c r="Z147" s="200">
        <v>-78.739999999999995</v>
      </c>
      <c r="AA147" s="129" t="s">
        <v>160</v>
      </c>
      <c r="AB147" s="129" t="s">
        <v>160</v>
      </c>
      <c r="AC147" s="129">
        <v>-2839</v>
      </c>
      <c r="AD147" s="129" t="s">
        <v>160</v>
      </c>
      <c r="AE147" s="129" t="s">
        <v>160</v>
      </c>
      <c r="AF147" s="129" t="s">
        <v>160</v>
      </c>
      <c r="AG147" s="145">
        <v>134</v>
      </c>
      <c r="AH147" s="129" t="s">
        <v>163</v>
      </c>
      <c r="AI147" s="129">
        <v>2</v>
      </c>
      <c r="AJ147" s="129">
        <v>2</v>
      </c>
      <c r="AK147" s="129" t="s">
        <v>160</v>
      </c>
      <c r="AL147" s="129" t="s">
        <v>422</v>
      </c>
      <c r="AM147" s="129" t="s">
        <v>160</v>
      </c>
      <c r="AN147" s="129" t="s">
        <v>160</v>
      </c>
      <c r="AO147" s="129" t="s">
        <v>160</v>
      </c>
      <c r="AP147" s="129" t="s">
        <v>160</v>
      </c>
      <c r="AQ147" s="129" t="s">
        <v>160</v>
      </c>
      <c r="AR147" s="129" t="s">
        <v>160</v>
      </c>
      <c r="AS147" s="129" t="s">
        <v>160</v>
      </c>
      <c r="AT147" s="129" t="s">
        <v>160</v>
      </c>
      <c r="AU147" s="129" t="s">
        <v>423</v>
      </c>
      <c r="AV147" s="129" t="s">
        <v>161</v>
      </c>
      <c r="AW147" s="129" t="s">
        <v>424</v>
      </c>
      <c r="AX147" s="178">
        <v>2</v>
      </c>
      <c r="AY147" s="129" t="s">
        <v>194</v>
      </c>
      <c r="AZ147" s="129" t="s">
        <v>195</v>
      </c>
      <c r="BA147" s="129" t="s">
        <v>425</v>
      </c>
      <c r="BB147" s="129" t="s">
        <v>160</v>
      </c>
      <c r="BC147" s="178">
        <v>2</v>
      </c>
      <c r="BD147" s="129" t="s">
        <v>160</v>
      </c>
      <c r="BE147" s="151">
        <v>21.237615470000001</v>
      </c>
      <c r="BF147" s="129" t="s">
        <v>426</v>
      </c>
      <c r="BG147" s="151">
        <v>0.244205006</v>
      </c>
      <c r="BH147" s="129">
        <v>0.64</v>
      </c>
      <c r="BI147" s="129" t="s">
        <v>427</v>
      </c>
      <c r="BJ147" s="129">
        <v>3.4000000000000002E-2</v>
      </c>
      <c r="BK147" s="129">
        <v>9.1</v>
      </c>
      <c r="BL147" s="129" t="s">
        <v>163</v>
      </c>
      <c r="BM147" s="129">
        <v>0.56000000000000005</v>
      </c>
      <c r="BN147" s="129" t="s">
        <v>428</v>
      </c>
      <c r="BO147" s="129" t="s">
        <v>429</v>
      </c>
      <c r="BP147" s="151">
        <f t="shared" si="16"/>
        <v>20.612692450000004</v>
      </c>
      <c r="BQ147" s="129" t="s">
        <v>202</v>
      </c>
      <c r="BR147" s="217"/>
      <c r="BS147" s="129" t="s">
        <v>160</v>
      </c>
      <c r="BT147" s="129" t="s">
        <v>160</v>
      </c>
      <c r="BU147" s="129">
        <v>10</v>
      </c>
      <c r="BV147" s="129" t="s">
        <v>159</v>
      </c>
      <c r="BW147" s="129">
        <v>10</v>
      </c>
      <c r="BX147" s="145">
        <v>27.06</v>
      </c>
      <c r="BY147" s="129" t="s">
        <v>159</v>
      </c>
      <c r="BZ147" s="129">
        <v>1</v>
      </c>
      <c r="CA147" s="129">
        <v>1</v>
      </c>
      <c r="CB147" s="129" t="s">
        <v>160</v>
      </c>
      <c r="CC147" s="151">
        <v>4.3379812921258623</v>
      </c>
      <c r="CD147" s="129" t="s">
        <v>430</v>
      </c>
      <c r="CE147" s="151">
        <v>0.17351925168503449</v>
      </c>
      <c r="CF147" s="151">
        <v>0.17351925168503449</v>
      </c>
      <c r="CG147" s="178" t="s">
        <v>160</v>
      </c>
      <c r="CH147" s="129" t="s">
        <v>431</v>
      </c>
      <c r="CI147" s="129" t="s">
        <v>160</v>
      </c>
      <c r="CJ147" s="129" t="s">
        <v>432</v>
      </c>
      <c r="CK147" s="129" t="s">
        <v>158</v>
      </c>
      <c r="CL147" s="129" t="s">
        <v>158</v>
      </c>
      <c r="CM147" s="129" t="s">
        <v>158</v>
      </c>
      <c r="CN147" s="129" t="s">
        <v>160</v>
      </c>
      <c r="CO147" s="129" t="s">
        <v>160</v>
      </c>
      <c r="CP147" s="129" t="s">
        <v>160</v>
      </c>
      <c r="CQ147" s="129" t="s">
        <v>160</v>
      </c>
      <c r="CR147" s="129" t="s">
        <v>160</v>
      </c>
      <c r="CS147" s="129" t="s">
        <v>160</v>
      </c>
      <c r="CT147" s="129" t="s">
        <v>160</v>
      </c>
      <c r="CU147" s="129">
        <v>35</v>
      </c>
      <c r="CV147" s="129" t="s">
        <v>393</v>
      </c>
      <c r="CW147" s="146">
        <v>1</v>
      </c>
      <c r="CX147" s="129" t="s">
        <v>207</v>
      </c>
      <c r="CY147" s="129">
        <v>1.06E-2</v>
      </c>
      <c r="CZ147" s="129" t="s">
        <v>159</v>
      </c>
      <c r="DA147" s="146">
        <v>0</v>
      </c>
      <c r="DB147" s="129" t="s">
        <v>208</v>
      </c>
      <c r="DC147" s="129">
        <v>5.5100000000000003E-2</v>
      </c>
      <c r="DD147" s="129" t="s">
        <v>159</v>
      </c>
      <c r="DE147" s="146">
        <v>0</v>
      </c>
      <c r="DF147" s="129" t="s">
        <v>208</v>
      </c>
      <c r="DG147" s="129" t="s">
        <v>160</v>
      </c>
      <c r="DH147" s="129" t="s">
        <v>160</v>
      </c>
      <c r="DI147" s="129" t="s">
        <v>160</v>
      </c>
      <c r="DJ147" s="129" t="s">
        <v>160</v>
      </c>
      <c r="DK147" s="145">
        <v>432.56244218316402</v>
      </c>
      <c r="DL147" s="129" t="s">
        <v>433</v>
      </c>
      <c r="DM147" s="145" t="s">
        <v>160</v>
      </c>
      <c r="DN147" s="129" t="s">
        <v>434</v>
      </c>
      <c r="DO147" s="129">
        <v>39.613</v>
      </c>
      <c r="DP147" s="129" t="s">
        <v>160</v>
      </c>
      <c r="DQ147" s="129">
        <v>3.8539999999997576E-2</v>
      </c>
      <c r="DR147" s="129" t="s">
        <v>435</v>
      </c>
      <c r="DS147" s="129" t="s">
        <v>212</v>
      </c>
      <c r="DT147" s="129" t="s">
        <v>213</v>
      </c>
      <c r="DU147" s="129">
        <v>1.0271999999999999</v>
      </c>
      <c r="DV147" s="129" t="s">
        <v>160</v>
      </c>
      <c r="DW147" s="129" t="s">
        <v>160</v>
      </c>
      <c r="DX147" s="129" t="s">
        <v>436</v>
      </c>
      <c r="DY147" s="129" t="s">
        <v>158</v>
      </c>
      <c r="DZ147" s="129" t="s">
        <v>158</v>
      </c>
      <c r="EA147" s="129" t="s">
        <v>216</v>
      </c>
      <c r="EB147" s="129" t="s">
        <v>212</v>
      </c>
      <c r="EC147" s="129" t="s">
        <v>212</v>
      </c>
      <c r="ED147" s="129" t="s">
        <v>212</v>
      </c>
      <c r="EE147" s="129" t="s">
        <v>217</v>
      </c>
      <c r="EF147" s="147" t="s">
        <v>213</v>
      </c>
      <c r="EG147" s="148" t="s">
        <v>213</v>
      </c>
      <c r="EH147" s="129" t="s">
        <v>218</v>
      </c>
      <c r="EI147" s="129" t="s">
        <v>417</v>
      </c>
      <c r="EJ147" s="129" t="s">
        <v>160</v>
      </c>
      <c r="EK147" s="129">
        <v>1997.2710000000002</v>
      </c>
      <c r="EL147" s="129" t="s">
        <v>163</v>
      </c>
      <c r="EM147" s="129">
        <v>2.2839999999999665</v>
      </c>
      <c r="EN147" s="129">
        <v>2.3020000000000334</v>
      </c>
      <c r="EO147" s="129" t="s">
        <v>160</v>
      </c>
      <c r="EP147" s="129" t="s">
        <v>160</v>
      </c>
      <c r="EQ147" s="129" t="s">
        <v>160</v>
      </c>
      <c r="ER147" s="129" t="s">
        <v>160</v>
      </c>
      <c r="ES147" s="201">
        <v>8.2278140000000004</v>
      </c>
      <c r="ET147" s="129" t="s">
        <v>165</v>
      </c>
      <c r="EU147" s="151">
        <v>3.1886000000000081E-2</v>
      </c>
      <c r="EV147" s="151">
        <v>3.1603999999999743E-2</v>
      </c>
      <c r="EW147" s="142" t="s">
        <v>160</v>
      </c>
      <c r="EX147" s="129" t="s">
        <v>160</v>
      </c>
      <c r="EY147" s="129" t="s">
        <v>160</v>
      </c>
      <c r="EZ147" s="191">
        <v>210.9348</v>
      </c>
      <c r="FA147" s="191">
        <v>20.368500000000012</v>
      </c>
      <c r="FB147" s="191">
        <v>19.109899999999982</v>
      </c>
      <c r="FC147" s="129" t="s">
        <v>220</v>
      </c>
      <c r="FD147" s="129" t="s">
        <v>221</v>
      </c>
      <c r="FE147" s="129">
        <v>2405.8989999999999</v>
      </c>
      <c r="FF147" s="129">
        <v>31.722999999999956</v>
      </c>
      <c r="FG147" s="129">
        <v>31.101999999999862</v>
      </c>
      <c r="FH147" s="129" t="s">
        <v>160</v>
      </c>
      <c r="FI147" s="129" t="s">
        <v>160</v>
      </c>
      <c r="FJ147" s="129" t="s">
        <v>160</v>
      </c>
      <c r="FK147" s="129" t="s">
        <v>160</v>
      </c>
      <c r="FL147" s="129" t="s">
        <v>160</v>
      </c>
      <c r="FM147" s="129" t="s">
        <v>160</v>
      </c>
      <c r="FN147" s="151">
        <v>5.2859670000000003</v>
      </c>
      <c r="FO147" s="151">
        <v>0.24956899999999926</v>
      </c>
      <c r="FP147" s="151">
        <v>0.2432129999999999</v>
      </c>
      <c r="FQ147" s="178" t="s">
        <v>419</v>
      </c>
      <c r="FR147" s="129" t="s">
        <v>415</v>
      </c>
      <c r="FS147" s="129">
        <v>2017</v>
      </c>
      <c r="FT147" s="131" t="s">
        <v>416</v>
      </c>
    </row>
    <row r="148" spans="1:176" s="129" customFormat="1">
      <c r="A148" s="129" t="s">
        <v>152</v>
      </c>
      <c r="B148" s="166" t="s">
        <v>183</v>
      </c>
      <c r="C148" s="166">
        <v>2018</v>
      </c>
      <c r="D148" s="166" t="s">
        <v>184</v>
      </c>
      <c r="E148" s="145">
        <f t="shared" si="14"/>
        <v>135.57</v>
      </c>
      <c r="F148" s="129">
        <f t="shared" si="15"/>
        <v>2</v>
      </c>
      <c r="G148" s="129">
        <f t="shared" si="15"/>
        <v>2</v>
      </c>
      <c r="H148" s="191">
        <v>208.7193</v>
      </c>
      <c r="I148" s="191">
        <v>20.196899999999999</v>
      </c>
      <c r="J148" s="191">
        <v>18.597200000000015</v>
      </c>
      <c r="K148" s="129" t="s">
        <v>457</v>
      </c>
      <c r="L148" s="131" t="s">
        <v>185</v>
      </c>
      <c r="M148" s="132" t="s">
        <v>186</v>
      </c>
      <c r="N148" s="129" t="s">
        <v>184</v>
      </c>
      <c r="O148" s="129" t="s">
        <v>420</v>
      </c>
      <c r="P148" s="202" t="s">
        <v>156</v>
      </c>
      <c r="Q148" s="202">
        <v>1</v>
      </c>
      <c r="R148" s="202">
        <v>4</v>
      </c>
      <c r="S148" s="202">
        <v>90</v>
      </c>
      <c r="T148" s="202">
        <f t="shared" si="18"/>
        <v>92</v>
      </c>
      <c r="U148" s="202">
        <v>5.4</v>
      </c>
      <c r="V148" s="202">
        <v>5.4</v>
      </c>
      <c r="W148" s="129" t="s">
        <v>160</v>
      </c>
      <c r="X148" s="129" t="s">
        <v>421</v>
      </c>
      <c r="Y148" s="200">
        <v>12.74</v>
      </c>
      <c r="Z148" s="200">
        <v>-78.739999999999995</v>
      </c>
      <c r="AA148" s="129" t="s">
        <v>160</v>
      </c>
      <c r="AB148" s="129" t="s">
        <v>160</v>
      </c>
      <c r="AC148" s="129">
        <v>-2839</v>
      </c>
      <c r="AD148" s="129" t="s">
        <v>160</v>
      </c>
      <c r="AE148" s="129" t="s">
        <v>160</v>
      </c>
      <c r="AF148" s="129" t="s">
        <v>160</v>
      </c>
      <c r="AG148" s="145">
        <v>135.57</v>
      </c>
      <c r="AH148" s="129" t="s">
        <v>163</v>
      </c>
      <c r="AI148" s="129">
        <v>2</v>
      </c>
      <c r="AJ148" s="129">
        <v>2</v>
      </c>
      <c r="AK148" s="129" t="s">
        <v>160</v>
      </c>
      <c r="AL148" s="129" t="s">
        <v>422</v>
      </c>
      <c r="AM148" s="129" t="s">
        <v>160</v>
      </c>
      <c r="AN148" s="129" t="s">
        <v>160</v>
      </c>
      <c r="AO148" s="129" t="s">
        <v>160</v>
      </c>
      <c r="AP148" s="129" t="s">
        <v>160</v>
      </c>
      <c r="AQ148" s="129" t="s">
        <v>160</v>
      </c>
      <c r="AR148" s="129" t="s">
        <v>160</v>
      </c>
      <c r="AS148" s="129" t="s">
        <v>160</v>
      </c>
      <c r="AT148" s="129" t="s">
        <v>160</v>
      </c>
      <c r="AU148" s="129" t="s">
        <v>423</v>
      </c>
      <c r="AV148" s="129" t="s">
        <v>161</v>
      </c>
      <c r="AW148" s="129" t="s">
        <v>424</v>
      </c>
      <c r="AX148" s="178">
        <v>2</v>
      </c>
      <c r="AY148" s="129" t="s">
        <v>194</v>
      </c>
      <c r="AZ148" s="129" t="s">
        <v>195</v>
      </c>
      <c r="BA148" s="129" t="s">
        <v>425</v>
      </c>
      <c r="BB148" s="129" t="s">
        <v>160</v>
      </c>
      <c r="BC148" s="178">
        <v>2</v>
      </c>
      <c r="BD148" s="129" t="s">
        <v>160</v>
      </c>
      <c r="BE148" s="151">
        <v>21.178281080000001</v>
      </c>
      <c r="BF148" s="129" t="s">
        <v>426</v>
      </c>
      <c r="BG148" s="151">
        <v>0.240849178</v>
      </c>
      <c r="BH148" s="129">
        <v>0.64</v>
      </c>
      <c r="BI148" s="129" t="s">
        <v>427</v>
      </c>
      <c r="BJ148" s="129">
        <v>3.4000000000000002E-2</v>
      </c>
      <c r="BK148" s="129">
        <v>9.1</v>
      </c>
      <c r="BL148" s="129" t="s">
        <v>163</v>
      </c>
      <c r="BM148" s="129">
        <v>0.56000000000000005</v>
      </c>
      <c r="BN148" s="129" t="s">
        <v>428</v>
      </c>
      <c r="BO148" s="129" t="s">
        <v>429</v>
      </c>
      <c r="BP148" s="151">
        <f t="shared" si="16"/>
        <v>20.513801800000003</v>
      </c>
      <c r="BQ148" s="129" t="s">
        <v>202</v>
      </c>
      <c r="BR148" s="217"/>
      <c r="BS148" s="129" t="s">
        <v>160</v>
      </c>
      <c r="BT148" s="129" t="s">
        <v>160</v>
      </c>
      <c r="BU148" s="129">
        <v>10</v>
      </c>
      <c r="BV148" s="129" t="s">
        <v>159</v>
      </c>
      <c r="BW148" s="129">
        <v>10</v>
      </c>
      <c r="BX148" s="145">
        <v>26.24</v>
      </c>
      <c r="BY148" s="129" t="s">
        <v>159</v>
      </c>
      <c r="BZ148" s="129">
        <v>1</v>
      </c>
      <c r="CA148" s="129">
        <v>1</v>
      </c>
      <c r="CB148" s="129" t="s">
        <v>160</v>
      </c>
      <c r="CC148" s="151">
        <v>4.0294234512177605</v>
      </c>
      <c r="CD148" s="129" t="s">
        <v>430</v>
      </c>
      <c r="CE148" s="151">
        <v>0.16117693804871042</v>
      </c>
      <c r="CF148" s="151">
        <v>0.16117693804871042</v>
      </c>
      <c r="CG148" s="178" t="s">
        <v>160</v>
      </c>
      <c r="CH148" s="129" t="s">
        <v>431</v>
      </c>
      <c r="CI148" s="129" t="s">
        <v>160</v>
      </c>
      <c r="CJ148" s="129" t="s">
        <v>432</v>
      </c>
      <c r="CK148" s="129" t="s">
        <v>158</v>
      </c>
      <c r="CL148" s="129" t="s">
        <v>158</v>
      </c>
      <c r="CM148" s="129" t="s">
        <v>158</v>
      </c>
      <c r="CN148" s="129" t="s">
        <v>160</v>
      </c>
      <c r="CO148" s="129" t="s">
        <v>160</v>
      </c>
      <c r="CP148" s="129" t="s">
        <v>160</v>
      </c>
      <c r="CQ148" s="129" t="s">
        <v>160</v>
      </c>
      <c r="CR148" s="129" t="s">
        <v>160</v>
      </c>
      <c r="CS148" s="129" t="s">
        <v>160</v>
      </c>
      <c r="CT148" s="129" t="s">
        <v>160</v>
      </c>
      <c r="CU148" s="129">
        <v>35</v>
      </c>
      <c r="CV148" s="129" t="s">
        <v>393</v>
      </c>
      <c r="CW148" s="146">
        <v>1</v>
      </c>
      <c r="CX148" s="129" t="s">
        <v>207</v>
      </c>
      <c r="CY148" s="129">
        <v>1.06E-2</v>
      </c>
      <c r="CZ148" s="129" t="s">
        <v>159</v>
      </c>
      <c r="DA148" s="146">
        <v>0</v>
      </c>
      <c r="DB148" s="129" t="s">
        <v>208</v>
      </c>
      <c r="DC148" s="129">
        <v>5.5100000000000003E-2</v>
      </c>
      <c r="DD148" s="129" t="s">
        <v>159</v>
      </c>
      <c r="DE148" s="146">
        <v>0</v>
      </c>
      <c r="DF148" s="129" t="s">
        <v>208</v>
      </c>
      <c r="DG148" s="129" t="s">
        <v>160</v>
      </c>
      <c r="DH148" s="129" t="s">
        <v>160</v>
      </c>
      <c r="DI148" s="129" t="s">
        <v>160</v>
      </c>
      <c r="DJ148" s="129" t="s">
        <v>160</v>
      </c>
      <c r="DK148" s="145">
        <v>432.56244218316402</v>
      </c>
      <c r="DL148" s="129" t="s">
        <v>433</v>
      </c>
      <c r="DM148" s="145" t="s">
        <v>160</v>
      </c>
      <c r="DN148" s="129" t="s">
        <v>434</v>
      </c>
      <c r="DO148" s="129">
        <v>39.61253</v>
      </c>
      <c r="DP148" s="129" t="s">
        <v>160</v>
      </c>
      <c r="DQ148" s="129">
        <v>3.9450000000002206E-2</v>
      </c>
      <c r="DR148" s="129" t="s">
        <v>435</v>
      </c>
      <c r="DS148" s="129" t="s">
        <v>212</v>
      </c>
      <c r="DT148" s="129" t="s">
        <v>213</v>
      </c>
      <c r="DU148" s="129">
        <v>1.0271999999999999</v>
      </c>
      <c r="DV148" s="129" t="s">
        <v>160</v>
      </c>
      <c r="DW148" s="129" t="s">
        <v>160</v>
      </c>
      <c r="DX148" s="129" t="s">
        <v>436</v>
      </c>
      <c r="DY148" s="129" t="s">
        <v>158</v>
      </c>
      <c r="DZ148" s="129" t="s">
        <v>158</v>
      </c>
      <c r="EA148" s="129" t="s">
        <v>216</v>
      </c>
      <c r="EB148" s="129" t="s">
        <v>212</v>
      </c>
      <c r="EC148" s="129" t="s">
        <v>212</v>
      </c>
      <c r="ED148" s="129" t="s">
        <v>212</v>
      </c>
      <c r="EE148" s="129" t="s">
        <v>217</v>
      </c>
      <c r="EF148" s="147" t="s">
        <v>213</v>
      </c>
      <c r="EG148" s="148" t="s">
        <v>213</v>
      </c>
      <c r="EH148" s="129" t="s">
        <v>218</v>
      </c>
      <c r="EI148" s="129" t="s">
        <v>417</v>
      </c>
      <c r="EJ148" s="129" t="s">
        <v>160</v>
      </c>
      <c r="EK148" s="129">
        <v>1997.231</v>
      </c>
      <c r="EL148" s="129" t="s">
        <v>163</v>
      </c>
      <c r="EM148" s="129">
        <v>2.3510000000002624</v>
      </c>
      <c r="EN148" s="129">
        <v>2.2999999999997849</v>
      </c>
      <c r="EO148" s="129" t="s">
        <v>160</v>
      </c>
      <c r="EP148" s="129" t="s">
        <v>160</v>
      </c>
      <c r="EQ148" s="129" t="s">
        <v>160</v>
      </c>
      <c r="ER148" s="129" t="s">
        <v>160</v>
      </c>
      <c r="ES148" s="201">
        <v>8.2311829999999997</v>
      </c>
      <c r="ET148" s="129" t="s">
        <v>165</v>
      </c>
      <c r="EU148" s="151">
        <v>3.1512000000001095E-2</v>
      </c>
      <c r="EV148" s="151">
        <v>3.1895999999999702E-2</v>
      </c>
      <c r="EW148" s="142" t="s">
        <v>160</v>
      </c>
      <c r="EX148" s="129" t="s">
        <v>160</v>
      </c>
      <c r="EY148" s="129" t="s">
        <v>160</v>
      </c>
      <c r="EZ148" s="191">
        <v>208.7193</v>
      </c>
      <c r="FA148" s="191">
        <v>20.196899999999999</v>
      </c>
      <c r="FB148" s="191">
        <v>18.597200000000015</v>
      </c>
      <c r="FC148" s="129" t="s">
        <v>220</v>
      </c>
      <c r="FD148" s="129" t="s">
        <v>221</v>
      </c>
      <c r="FE148" s="129">
        <v>2397.3789999999999</v>
      </c>
      <c r="FF148" s="129">
        <v>31.230000000000018</v>
      </c>
      <c r="FG148" s="129">
        <v>30.489000000000033</v>
      </c>
      <c r="FH148" s="129" t="s">
        <v>160</v>
      </c>
      <c r="FI148" s="129" t="s">
        <v>160</v>
      </c>
      <c r="FJ148" s="129" t="s">
        <v>160</v>
      </c>
      <c r="FK148" s="129" t="s">
        <v>160</v>
      </c>
      <c r="FL148" s="129" t="s">
        <v>160</v>
      </c>
      <c r="FM148" s="129" t="s">
        <v>160</v>
      </c>
      <c r="FN148" s="151">
        <v>5.1485750000000001</v>
      </c>
      <c r="FO148" s="151">
        <v>0.248977</v>
      </c>
      <c r="FP148" s="151">
        <v>0.23245499999999986</v>
      </c>
      <c r="FQ148" s="178" t="s">
        <v>419</v>
      </c>
      <c r="FR148" s="129" t="s">
        <v>415</v>
      </c>
      <c r="FS148" s="129">
        <v>2017</v>
      </c>
      <c r="FT148" s="131" t="s">
        <v>416</v>
      </c>
    </row>
    <row r="149" spans="1:176" s="129" customFormat="1">
      <c r="A149" s="129" t="s">
        <v>152</v>
      </c>
      <c r="B149" s="166" t="s">
        <v>183</v>
      </c>
      <c r="C149" s="166">
        <v>2018</v>
      </c>
      <c r="D149" s="166" t="s">
        <v>184</v>
      </c>
      <c r="E149" s="145">
        <f t="shared" si="14"/>
        <v>138.97</v>
      </c>
      <c r="F149" s="129">
        <f t="shared" si="15"/>
        <v>2</v>
      </c>
      <c r="G149" s="129">
        <f t="shared" si="15"/>
        <v>2</v>
      </c>
      <c r="H149" s="191">
        <v>208.6122</v>
      </c>
      <c r="I149" s="191">
        <v>19.280499999999989</v>
      </c>
      <c r="J149" s="191">
        <v>18.26260000000002</v>
      </c>
      <c r="K149" s="129" t="s">
        <v>457</v>
      </c>
      <c r="L149" s="131" t="s">
        <v>185</v>
      </c>
      <c r="M149" s="132" t="s">
        <v>186</v>
      </c>
      <c r="N149" s="129" t="s">
        <v>184</v>
      </c>
      <c r="O149" s="129" t="s">
        <v>420</v>
      </c>
      <c r="P149" s="202" t="s">
        <v>156</v>
      </c>
      <c r="Q149" s="202">
        <v>1</v>
      </c>
      <c r="R149" s="202">
        <v>4</v>
      </c>
      <c r="S149" s="202">
        <v>103</v>
      </c>
      <c r="T149" s="202">
        <f t="shared" si="18"/>
        <v>105</v>
      </c>
      <c r="U149" s="202">
        <v>5.53</v>
      </c>
      <c r="V149" s="202">
        <v>5.53</v>
      </c>
      <c r="W149" s="129" t="s">
        <v>160</v>
      </c>
      <c r="X149" s="129" t="s">
        <v>421</v>
      </c>
      <c r="Y149" s="200">
        <v>12.74</v>
      </c>
      <c r="Z149" s="200">
        <v>-78.739999999999995</v>
      </c>
      <c r="AA149" s="129" t="s">
        <v>160</v>
      </c>
      <c r="AB149" s="129" t="s">
        <v>160</v>
      </c>
      <c r="AC149" s="129">
        <v>-2839</v>
      </c>
      <c r="AD149" s="129" t="s">
        <v>160</v>
      </c>
      <c r="AE149" s="129" t="s">
        <v>160</v>
      </c>
      <c r="AF149" s="129" t="s">
        <v>160</v>
      </c>
      <c r="AG149" s="145">
        <v>138.97</v>
      </c>
      <c r="AH149" s="129" t="s">
        <v>163</v>
      </c>
      <c r="AI149" s="129">
        <v>2</v>
      </c>
      <c r="AJ149" s="129">
        <v>2</v>
      </c>
      <c r="AK149" s="129" t="s">
        <v>160</v>
      </c>
      <c r="AL149" s="129" t="s">
        <v>422</v>
      </c>
      <c r="AM149" s="129" t="s">
        <v>160</v>
      </c>
      <c r="AN149" s="129" t="s">
        <v>160</v>
      </c>
      <c r="AO149" s="129" t="s">
        <v>160</v>
      </c>
      <c r="AP149" s="129" t="s">
        <v>160</v>
      </c>
      <c r="AQ149" s="129" t="s">
        <v>160</v>
      </c>
      <c r="AR149" s="129" t="s">
        <v>160</v>
      </c>
      <c r="AS149" s="129" t="s">
        <v>160</v>
      </c>
      <c r="AT149" s="129" t="s">
        <v>160</v>
      </c>
      <c r="AU149" s="129" t="s">
        <v>423</v>
      </c>
      <c r="AV149" s="129" t="s">
        <v>161</v>
      </c>
      <c r="AW149" s="129" t="s">
        <v>424</v>
      </c>
      <c r="AX149" s="178">
        <v>2</v>
      </c>
      <c r="AY149" s="129" t="s">
        <v>194</v>
      </c>
      <c r="AZ149" s="129" t="s">
        <v>195</v>
      </c>
      <c r="BA149" s="129" t="s">
        <v>425</v>
      </c>
      <c r="BB149" s="129" t="s">
        <v>160</v>
      </c>
      <c r="BC149" s="178">
        <v>2</v>
      </c>
      <c r="BD149" s="129" t="s">
        <v>160</v>
      </c>
      <c r="BE149" s="151">
        <v>21.189326770000001</v>
      </c>
      <c r="BF149" s="129" t="s">
        <v>426</v>
      </c>
      <c r="BG149" s="151">
        <v>0.22262501400000001</v>
      </c>
      <c r="BH149" s="129">
        <v>0.64</v>
      </c>
      <c r="BI149" s="129" t="s">
        <v>427</v>
      </c>
      <c r="BJ149" s="129">
        <v>3.4000000000000002E-2</v>
      </c>
      <c r="BK149" s="129">
        <v>9.1</v>
      </c>
      <c r="BL149" s="129" t="s">
        <v>163</v>
      </c>
      <c r="BM149" s="129">
        <v>0.56000000000000005</v>
      </c>
      <c r="BN149" s="129" t="s">
        <v>428</v>
      </c>
      <c r="BO149" s="129" t="s">
        <v>429</v>
      </c>
      <c r="BP149" s="151">
        <f t="shared" si="16"/>
        <v>20.532211283333336</v>
      </c>
      <c r="BQ149" s="129" t="s">
        <v>202</v>
      </c>
      <c r="BR149" s="217"/>
      <c r="BS149" s="129" t="s">
        <v>160</v>
      </c>
      <c r="BT149" s="129" t="s">
        <v>160</v>
      </c>
      <c r="BU149" s="129">
        <v>10</v>
      </c>
      <c r="BV149" s="129" t="s">
        <v>159</v>
      </c>
      <c r="BW149" s="129">
        <v>10</v>
      </c>
      <c r="BX149" s="145">
        <v>26.27</v>
      </c>
      <c r="BY149" s="129" t="s">
        <v>159</v>
      </c>
      <c r="BZ149" s="129">
        <v>1</v>
      </c>
      <c r="CA149" s="129">
        <v>1</v>
      </c>
      <c r="CB149" s="129" t="s">
        <v>160</v>
      </c>
      <c r="CC149" s="151">
        <v>4.0403349274829319</v>
      </c>
      <c r="CD149" s="129" t="s">
        <v>430</v>
      </c>
      <c r="CE149" s="151">
        <v>0.16161339709931727</v>
      </c>
      <c r="CF149" s="151">
        <v>0.16161339709931727</v>
      </c>
      <c r="CG149" s="178" t="s">
        <v>160</v>
      </c>
      <c r="CH149" s="129" t="s">
        <v>431</v>
      </c>
      <c r="CI149" s="129" t="s">
        <v>160</v>
      </c>
      <c r="CJ149" s="129" t="s">
        <v>432</v>
      </c>
      <c r="CK149" s="129" t="s">
        <v>158</v>
      </c>
      <c r="CL149" s="129" t="s">
        <v>158</v>
      </c>
      <c r="CM149" s="129" t="s">
        <v>158</v>
      </c>
      <c r="CN149" s="129" t="s">
        <v>160</v>
      </c>
      <c r="CO149" s="129" t="s">
        <v>160</v>
      </c>
      <c r="CP149" s="129" t="s">
        <v>160</v>
      </c>
      <c r="CQ149" s="129" t="s">
        <v>160</v>
      </c>
      <c r="CR149" s="129" t="s">
        <v>160</v>
      </c>
      <c r="CS149" s="129" t="s">
        <v>160</v>
      </c>
      <c r="CT149" s="129" t="s">
        <v>160</v>
      </c>
      <c r="CU149" s="129">
        <v>35</v>
      </c>
      <c r="CV149" s="129" t="s">
        <v>393</v>
      </c>
      <c r="CW149" s="146">
        <v>1</v>
      </c>
      <c r="CX149" s="129" t="s">
        <v>207</v>
      </c>
      <c r="CY149" s="129">
        <v>1.06E-2</v>
      </c>
      <c r="CZ149" s="129" t="s">
        <v>159</v>
      </c>
      <c r="DA149" s="146">
        <v>0</v>
      </c>
      <c r="DB149" s="129" t="s">
        <v>208</v>
      </c>
      <c r="DC149" s="129">
        <v>5.5100000000000003E-2</v>
      </c>
      <c r="DD149" s="129" t="s">
        <v>159</v>
      </c>
      <c r="DE149" s="146">
        <v>0</v>
      </c>
      <c r="DF149" s="129" t="s">
        <v>208</v>
      </c>
      <c r="DG149" s="129" t="s">
        <v>160</v>
      </c>
      <c r="DH149" s="129" t="s">
        <v>160</v>
      </c>
      <c r="DI149" s="129" t="s">
        <v>160</v>
      </c>
      <c r="DJ149" s="129" t="s">
        <v>160</v>
      </c>
      <c r="DK149" s="145">
        <v>432.56244218316402</v>
      </c>
      <c r="DL149" s="129" t="s">
        <v>433</v>
      </c>
      <c r="DM149" s="145" t="s">
        <v>160</v>
      </c>
      <c r="DN149" s="129" t="s">
        <v>434</v>
      </c>
      <c r="DO149" s="129">
        <v>39.612929999999999</v>
      </c>
      <c r="DP149" s="129" t="s">
        <v>160</v>
      </c>
      <c r="DQ149" s="129">
        <v>4.059000000000168E-2</v>
      </c>
      <c r="DR149" s="129" t="s">
        <v>435</v>
      </c>
      <c r="DS149" s="129" t="s">
        <v>212</v>
      </c>
      <c r="DT149" s="129" t="s">
        <v>213</v>
      </c>
      <c r="DU149" s="129">
        <v>1.0271999999999999</v>
      </c>
      <c r="DV149" s="129" t="s">
        <v>160</v>
      </c>
      <c r="DW149" s="129" t="s">
        <v>160</v>
      </c>
      <c r="DX149" s="129" t="s">
        <v>436</v>
      </c>
      <c r="DY149" s="129" t="s">
        <v>158</v>
      </c>
      <c r="DZ149" s="129" t="s">
        <v>158</v>
      </c>
      <c r="EA149" s="129" t="s">
        <v>216</v>
      </c>
      <c r="EB149" s="129" t="s">
        <v>212</v>
      </c>
      <c r="EC149" s="129" t="s">
        <v>212</v>
      </c>
      <c r="ED149" s="129" t="s">
        <v>212</v>
      </c>
      <c r="EE149" s="129" t="s">
        <v>217</v>
      </c>
      <c r="EF149" s="147" t="s">
        <v>213</v>
      </c>
      <c r="EG149" s="148" t="s">
        <v>213</v>
      </c>
      <c r="EH149" s="129" t="s">
        <v>218</v>
      </c>
      <c r="EI149" s="129" t="s">
        <v>417</v>
      </c>
      <c r="EJ149" s="129" t="s">
        <v>160</v>
      </c>
      <c r="EK149" s="129">
        <v>1997.2060000000001</v>
      </c>
      <c r="EL149" s="129" t="s">
        <v>163</v>
      </c>
      <c r="EM149" s="129">
        <v>2.2989999999998774</v>
      </c>
      <c r="EN149" s="129">
        <v>2.3210000000000073</v>
      </c>
      <c r="EO149" s="129" t="s">
        <v>160</v>
      </c>
      <c r="EP149" s="129" t="s">
        <v>160</v>
      </c>
      <c r="EQ149" s="129" t="s">
        <v>160</v>
      </c>
      <c r="ER149" s="129" t="s">
        <v>160</v>
      </c>
      <c r="ES149" s="201">
        <v>8.2311709999999998</v>
      </c>
      <c r="ET149" s="129" t="s">
        <v>165</v>
      </c>
      <c r="EU149" s="151">
        <v>3.1451000000000562E-2</v>
      </c>
      <c r="EV149" s="151">
        <v>3.0234000000000094E-2</v>
      </c>
      <c r="EW149" s="142" t="s">
        <v>160</v>
      </c>
      <c r="EX149" s="129" t="s">
        <v>160</v>
      </c>
      <c r="EY149" s="129" t="s">
        <v>160</v>
      </c>
      <c r="EZ149" s="191">
        <v>208.6122</v>
      </c>
      <c r="FA149" s="191">
        <v>19.280499999999989</v>
      </c>
      <c r="FB149" s="191">
        <v>18.26260000000002</v>
      </c>
      <c r="FC149" s="129" t="s">
        <v>220</v>
      </c>
      <c r="FD149" s="129" t="s">
        <v>221</v>
      </c>
      <c r="FE149" s="129">
        <v>2398.4739999999997</v>
      </c>
      <c r="FF149" s="129">
        <v>30.669000000000324</v>
      </c>
      <c r="FG149" s="129">
        <v>29.861999999999625</v>
      </c>
      <c r="FH149" s="129" t="s">
        <v>160</v>
      </c>
      <c r="FI149" s="129" t="s">
        <v>160</v>
      </c>
      <c r="FJ149" s="129" t="s">
        <v>160</v>
      </c>
      <c r="FK149" s="129" t="s">
        <v>160</v>
      </c>
      <c r="FL149" s="129" t="s">
        <v>160</v>
      </c>
      <c r="FM149" s="129" t="s">
        <v>160</v>
      </c>
      <c r="FN149" s="151">
        <v>5.1702880000000002</v>
      </c>
      <c r="FO149" s="151">
        <v>0.23437099999999944</v>
      </c>
      <c r="FP149" s="151">
        <v>0.22782400000000003</v>
      </c>
      <c r="FQ149" s="178" t="s">
        <v>419</v>
      </c>
      <c r="FR149" s="129" t="s">
        <v>415</v>
      </c>
      <c r="FS149" s="129">
        <v>2017</v>
      </c>
      <c r="FT149" s="131" t="s">
        <v>416</v>
      </c>
    </row>
    <row r="150" spans="1:176" s="129" customFormat="1">
      <c r="A150" s="129" t="s">
        <v>152</v>
      </c>
      <c r="B150" s="166" t="s">
        <v>183</v>
      </c>
      <c r="C150" s="166">
        <v>2018</v>
      </c>
      <c r="D150" s="166" t="s">
        <v>184</v>
      </c>
      <c r="E150" s="145">
        <f t="shared" si="14"/>
        <v>146.69</v>
      </c>
      <c r="F150" s="129">
        <f t="shared" si="15"/>
        <v>2</v>
      </c>
      <c r="G150" s="129">
        <f t="shared" si="15"/>
        <v>2</v>
      </c>
      <c r="H150" s="191">
        <v>216.62630000000001</v>
      </c>
      <c r="I150" s="191">
        <v>20.432199999999966</v>
      </c>
      <c r="J150" s="191">
        <v>19.240400000000022</v>
      </c>
      <c r="K150" s="129" t="s">
        <v>457</v>
      </c>
      <c r="L150" s="131" t="s">
        <v>185</v>
      </c>
      <c r="M150" s="132" t="s">
        <v>186</v>
      </c>
      <c r="N150" s="129" t="s">
        <v>184</v>
      </c>
      <c r="O150" s="129" t="s">
        <v>420</v>
      </c>
      <c r="P150" s="202" t="s">
        <v>156</v>
      </c>
      <c r="Q150" s="202">
        <v>1</v>
      </c>
      <c r="R150" s="202">
        <v>4</v>
      </c>
      <c r="S150" s="202">
        <v>132</v>
      </c>
      <c r="T150" s="202">
        <f t="shared" si="18"/>
        <v>134</v>
      </c>
      <c r="U150" s="202">
        <v>5.82</v>
      </c>
      <c r="V150" s="202">
        <v>5.82</v>
      </c>
      <c r="W150" s="129" t="s">
        <v>160</v>
      </c>
      <c r="X150" s="129" t="s">
        <v>421</v>
      </c>
      <c r="Y150" s="200">
        <v>12.74</v>
      </c>
      <c r="Z150" s="200">
        <v>-78.739999999999995</v>
      </c>
      <c r="AA150" s="129" t="s">
        <v>160</v>
      </c>
      <c r="AB150" s="129" t="s">
        <v>160</v>
      </c>
      <c r="AC150" s="129">
        <v>-2839</v>
      </c>
      <c r="AD150" s="129" t="s">
        <v>160</v>
      </c>
      <c r="AE150" s="129" t="s">
        <v>160</v>
      </c>
      <c r="AF150" s="129" t="s">
        <v>160</v>
      </c>
      <c r="AG150" s="145">
        <v>146.69</v>
      </c>
      <c r="AH150" s="129" t="s">
        <v>163</v>
      </c>
      <c r="AI150" s="129">
        <v>2</v>
      </c>
      <c r="AJ150" s="129">
        <v>2</v>
      </c>
      <c r="AK150" s="129" t="s">
        <v>160</v>
      </c>
      <c r="AL150" s="129" t="s">
        <v>422</v>
      </c>
      <c r="AM150" s="129" t="s">
        <v>160</v>
      </c>
      <c r="AN150" s="129" t="s">
        <v>160</v>
      </c>
      <c r="AO150" s="129" t="s">
        <v>160</v>
      </c>
      <c r="AP150" s="129" t="s">
        <v>160</v>
      </c>
      <c r="AQ150" s="129" t="s">
        <v>160</v>
      </c>
      <c r="AR150" s="129" t="s">
        <v>160</v>
      </c>
      <c r="AS150" s="129" t="s">
        <v>160</v>
      </c>
      <c r="AT150" s="129" t="s">
        <v>160</v>
      </c>
      <c r="AU150" s="129" t="s">
        <v>423</v>
      </c>
      <c r="AV150" s="129" t="s">
        <v>161</v>
      </c>
      <c r="AW150" s="129" t="s">
        <v>424</v>
      </c>
      <c r="AX150" s="178">
        <v>2</v>
      </c>
      <c r="AY150" s="129" t="s">
        <v>194</v>
      </c>
      <c r="AZ150" s="129" t="s">
        <v>195</v>
      </c>
      <c r="BA150" s="129" t="s">
        <v>425</v>
      </c>
      <c r="BB150" s="129" t="s">
        <v>160</v>
      </c>
      <c r="BC150" s="178">
        <v>2</v>
      </c>
      <c r="BD150" s="129" t="s">
        <v>160</v>
      </c>
      <c r="BE150" s="151">
        <v>21.114847619999999</v>
      </c>
      <c r="BF150" s="129" t="s">
        <v>426</v>
      </c>
      <c r="BG150" s="151">
        <v>0.230114186</v>
      </c>
      <c r="BH150" s="129">
        <v>0.64</v>
      </c>
      <c r="BI150" s="129" t="s">
        <v>427</v>
      </c>
      <c r="BJ150" s="129">
        <v>3.4000000000000002E-2</v>
      </c>
      <c r="BK150" s="129">
        <v>9.1</v>
      </c>
      <c r="BL150" s="129" t="s">
        <v>163</v>
      </c>
      <c r="BM150" s="129">
        <v>0.56000000000000005</v>
      </c>
      <c r="BN150" s="129" t="s">
        <v>428</v>
      </c>
      <c r="BO150" s="129" t="s">
        <v>429</v>
      </c>
      <c r="BP150" s="151">
        <f t="shared" si="16"/>
        <v>20.408079366666666</v>
      </c>
      <c r="BQ150" s="129" t="s">
        <v>202</v>
      </c>
      <c r="BR150" s="217"/>
      <c r="BS150" s="129" t="s">
        <v>160</v>
      </c>
      <c r="BT150" s="129" t="s">
        <v>160</v>
      </c>
      <c r="BU150" s="129">
        <v>10</v>
      </c>
      <c r="BV150" s="129" t="s">
        <v>159</v>
      </c>
      <c r="BW150" s="129">
        <v>10</v>
      </c>
      <c r="BX150" s="145">
        <v>26.46</v>
      </c>
      <c r="BY150" s="129" t="s">
        <v>159</v>
      </c>
      <c r="BZ150" s="129">
        <v>1</v>
      </c>
      <c r="CA150" s="129">
        <v>1</v>
      </c>
      <c r="CB150" s="129" t="s">
        <v>160</v>
      </c>
      <c r="CC150" s="151">
        <v>4.1110209496363677</v>
      </c>
      <c r="CD150" s="129" t="s">
        <v>430</v>
      </c>
      <c r="CE150" s="151">
        <v>0.1644408379854547</v>
      </c>
      <c r="CF150" s="151">
        <v>0.1644408379854547</v>
      </c>
      <c r="CG150" s="178" t="s">
        <v>160</v>
      </c>
      <c r="CH150" s="129" t="s">
        <v>431</v>
      </c>
      <c r="CI150" s="129" t="s">
        <v>160</v>
      </c>
      <c r="CJ150" s="129" t="s">
        <v>432</v>
      </c>
      <c r="CK150" s="129" t="s">
        <v>158</v>
      </c>
      <c r="CL150" s="129" t="s">
        <v>158</v>
      </c>
      <c r="CM150" s="129" t="s">
        <v>158</v>
      </c>
      <c r="CN150" s="129" t="s">
        <v>160</v>
      </c>
      <c r="CO150" s="129" t="s">
        <v>160</v>
      </c>
      <c r="CP150" s="129" t="s">
        <v>160</v>
      </c>
      <c r="CQ150" s="129" t="s">
        <v>160</v>
      </c>
      <c r="CR150" s="129" t="s">
        <v>160</v>
      </c>
      <c r="CS150" s="129" t="s">
        <v>160</v>
      </c>
      <c r="CT150" s="129" t="s">
        <v>160</v>
      </c>
      <c r="CU150" s="129">
        <v>35</v>
      </c>
      <c r="CV150" s="129" t="s">
        <v>393</v>
      </c>
      <c r="CW150" s="146">
        <v>1</v>
      </c>
      <c r="CX150" s="129" t="s">
        <v>207</v>
      </c>
      <c r="CY150" s="129">
        <v>1.06E-2</v>
      </c>
      <c r="CZ150" s="129" t="s">
        <v>159</v>
      </c>
      <c r="DA150" s="146">
        <v>0</v>
      </c>
      <c r="DB150" s="129" t="s">
        <v>208</v>
      </c>
      <c r="DC150" s="129">
        <v>5.5100000000000003E-2</v>
      </c>
      <c r="DD150" s="129" t="s">
        <v>159</v>
      </c>
      <c r="DE150" s="146">
        <v>0</v>
      </c>
      <c r="DF150" s="129" t="s">
        <v>208</v>
      </c>
      <c r="DG150" s="129" t="s">
        <v>160</v>
      </c>
      <c r="DH150" s="129" t="s">
        <v>160</v>
      </c>
      <c r="DI150" s="129" t="s">
        <v>160</v>
      </c>
      <c r="DJ150" s="129" t="s">
        <v>160</v>
      </c>
      <c r="DK150" s="145">
        <v>432.56244218316402</v>
      </c>
      <c r="DL150" s="129" t="s">
        <v>433</v>
      </c>
      <c r="DM150" s="145" t="s">
        <v>160</v>
      </c>
      <c r="DN150" s="129" t="s">
        <v>434</v>
      </c>
      <c r="DO150" s="129">
        <v>39.613259999999997</v>
      </c>
      <c r="DP150" s="129" t="s">
        <v>160</v>
      </c>
      <c r="DQ150" s="129">
        <v>4.2470000000001562E-2</v>
      </c>
      <c r="DR150" s="129" t="s">
        <v>435</v>
      </c>
      <c r="DS150" s="129" t="s">
        <v>212</v>
      </c>
      <c r="DT150" s="129" t="s">
        <v>213</v>
      </c>
      <c r="DU150" s="129">
        <v>1.0271999999999999</v>
      </c>
      <c r="DV150" s="129" t="s">
        <v>160</v>
      </c>
      <c r="DW150" s="129" t="s">
        <v>160</v>
      </c>
      <c r="DX150" s="129" t="s">
        <v>436</v>
      </c>
      <c r="DY150" s="129" t="s">
        <v>158</v>
      </c>
      <c r="DZ150" s="129" t="s">
        <v>158</v>
      </c>
      <c r="EA150" s="129" t="s">
        <v>216</v>
      </c>
      <c r="EB150" s="129" t="s">
        <v>212</v>
      </c>
      <c r="EC150" s="129" t="s">
        <v>212</v>
      </c>
      <c r="ED150" s="129" t="s">
        <v>212</v>
      </c>
      <c r="EE150" s="129" t="s">
        <v>217</v>
      </c>
      <c r="EF150" s="147" t="s">
        <v>213</v>
      </c>
      <c r="EG150" s="148" t="s">
        <v>213</v>
      </c>
      <c r="EH150" s="129" t="s">
        <v>218</v>
      </c>
      <c r="EI150" s="129" t="s">
        <v>417</v>
      </c>
      <c r="EJ150" s="129" t="s">
        <v>160</v>
      </c>
      <c r="EK150" s="129">
        <v>1997.0040000000001</v>
      </c>
      <c r="EL150" s="129" t="s">
        <v>163</v>
      </c>
      <c r="EM150" s="129">
        <v>2.5009999999998054</v>
      </c>
      <c r="EN150" s="129">
        <v>2.4830000000001724</v>
      </c>
      <c r="EO150" s="129" t="s">
        <v>160</v>
      </c>
      <c r="EP150" s="129" t="s">
        <v>160</v>
      </c>
      <c r="EQ150" s="129" t="s">
        <v>160</v>
      </c>
      <c r="ER150" s="129" t="s">
        <v>160</v>
      </c>
      <c r="ES150" s="201">
        <v>8.2190080000000005</v>
      </c>
      <c r="ET150" s="129" t="s">
        <v>165</v>
      </c>
      <c r="EU150" s="151">
        <v>3.1739999999999213E-2</v>
      </c>
      <c r="EV150" s="151">
        <v>3.1711000000001377E-2</v>
      </c>
      <c r="EW150" s="142" t="s">
        <v>160</v>
      </c>
      <c r="EX150" s="129" t="s">
        <v>160</v>
      </c>
      <c r="EY150" s="129" t="s">
        <v>160</v>
      </c>
      <c r="EZ150" s="191">
        <v>216.62630000000001</v>
      </c>
      <c r="FA150" s="191">
        <v>20.432199999999966</v>
      </c>
      <c r="FB150" s="191">
        <v>19.240400000000022</v>
      </c>
      <c r="FC150" s="129" t="s">
        <v>220</v>
      </c>
      <c r="FD150" s="129" t="s">
        <v>221</v>
      </c>
      <c r="FE150" s="129">
        <v>2390.7960000000003</v>
      </c>
      <c r="FF150" s="129">
        <v>31.516999999999825</v>
      </c>
      <c r="FG150" s="129">
        <v>30.942000000000007</v>
      </c>
      <c r="FH150" s="129" t="s">
        <v>160</v>
      </c>
      <c r="FI150" s="129" t="s">
        <v>160</v>
      </c>
      <c r="FJ150" s="129" t="s">
        <v>160</v>
      </c>
      <c r="FK150" s="129" t="s">
        <v>160</v>
      </c>
      <c r="FL150" s="129" t="s">
        <v>160</v>
      </c>
      <c r="FM150" s="129" t="s">
        <v>160</v>
      </c>
      <c r="FN150" s="151">
        <v>5.0890469999999999</v>
      </c>
      <c r="FO150" s="151">
        <v>0.24762100000000054</v>
      </c>
      <c r="FP150" s="151">
        <v>0.23466699999999996</v>
      </c>
      <c r="FQ150" s="178" t="s">
        <v>419</v>
      </c>
      <c r="FR150" s="129" t="s">
        <v>415</v>
      </c>
      <c r="FS150" s="129">
        <v>2017</v>
      </c>
      <c r="FT150" s="131" t="s">
        <v>416</v>
      </c>
    </row>
    <row r="151" spans="1:176" s="129" customFormat="1">
      <c r="A151" s="129" t="s">
        <v>152</v>
      </c>
      <c r="B151" s="166" t="s">
        <v>183</v>
      </c>
      <c r="C151" s="166">
        <v>2018</v>
      </c>
      <c r="D151" s="166" t="s">
        <v>184</v>
      </c>
      <c r="E151" s="145">
        <f t="shared" si="14"/>
        <v>150.04</v>
      </c>
      <c r="F151" s="129">
        <f t="shared" si="15"/>
        <v>2</v>
      </c>
      <c r="G151" s="129">
        <f t="shared" si="15"/>
        <v>2</v>
      </c>
      <c r="H151" s="191">
        <v>209.7877</v>
      </c>
      <c r="I151" s="191">
        <v>19.955600000000004</v>
      </c>
      <c r="J151" s="191">
        <v>18.361199999999997</v>
      </c>
      <c r="K151" s="129" t="s">
        <v>457</v>
      </c>
      <c r="L151" s="131" t="s">
        <v>185</v>
      </c>
      <c r="M151" s="132" t="s">
        <v>186</v>
      </c>
      <c r="N151" s="129" t="s">
        <v>184</v>
      </c>
      <c r="O151" s="129" t="s">
        <v>420</v>
      </c>
      <c r="P151" s="202" t="s">
        <v>156</v>
      </c>
      <c r="Q151" s="202">
        <v>1</v>
      </c>
      <c r="R151" s="202">
        <v>4</v>
      </c>
      <c r="S151" s="202">
        <v>142</v>
      </c>
      <c r="T151" s="202">
        <f t="shared" si="18"/>
        <v>144</v>
      </c>
      <c r="U151" s="202">
        <v>5.92</v>
      </c>
      <c r="V151" s="202">
        <v>5.92</v>
      </c>
      <c r="W151" s="129" t="s">
        <v>160</v>
      </c>
      <c r="X151" s="129" t="s">
        <v>421</v>
      </c>
      <c r="Y151" s="200">
        <v>12.74</v>
      </c>
      <c r="Z151" s="200">
        <v>-78.739999999999995</v>
      </c>
      <c r="AA151" s="129" t="s">
        <v>160</v>
      </c>
      <c r="AB151" s="129" t="s">
        <v>160</v>
      </c>
      <c r="AC151" s="129">
        <v>-2839</v>
      </c>
      <c r="AD151" s="129" t="s">
        <v>160</v>
      </c>
      <c r="AE151" s="129" t="s">
        <v>160</v>
      </c>
      <c r="AF151" s="129" t="s">
        <v>160</v>
      </c>
      <c r="AG151" s="145">
        <v>150.04</v>
      </c>
      <c r="AH151" s="129" t="s">
        <v>163</v>
      </c>
      <c r="AI151" s="129">
        <v>2</v>
      </c>
      <c r="AJ151" s="129">
        <v>2</v>
      </c>
      <c r="AK151" s="129" t="s">
        <v>160</v>
      </c>
      <c r="AL151" s="129" t="s">
        <v>422</v>
      </c>
      <c r="AM151" s="129" t="s">
        <v>160</v>
      </c>
      <c r="AN151" s="129" t="s">
        <v>160</v>
      </c>
      <c r="AO151" s="129" t="s">
        <v>160</v>
      </c>
      <c r="AP151" s="129" t="s">
        <v>160</v>
      </c>
      <c r="AQ151" s="129" t="s">
        <v>160</v>
      </c>
      <c r="AR151" s="129" t="s">
        <v>160</v>
      </c>
      <c r="AS151" s="129" t="s">
        <v>160</v>
      </c>
      <c r="AT151" s="129" t="s">
        <v>160</v>
      </c>
      <c r="AU151" s="129" t="s">
        <v>423</v>
      </c>
      <c r="AV151" s="129" t="s">
        <v>161</v>
      </c>
      <c r="AW151" s="129" t="s">
        <v>424</v>
      </c>
      <c r="AX151" s="178">
        <v>2</v>
      </c>
      <c r="AY151" s="129" t="s">
        <v>194</v>
      </c>
      <c r="AZ151" s="129" t="s">
        <v>195</v>
      </c>
      <c r="BA151" s="129" t="s">
        <v>425</v>
      </c>
      <c r="BB151" s="129" t="s">
        <v>160</v>
      </c>
      <c r="BC151" s="178">
        <v>2</v>
      </c>
      <c r="BD151" s="129" t="s">
        <v>160</v>
      </c>
      <c r="BE151" s="151">
        <v>21.215300419999998</v>
      </c>
      <c r="BF151" s="129" t="s">
        <v>426</v>
      </c>
      <c r="BG151" s="151">
        <v>0.22095936399999999</v>
      </c>
      <c r="BH151" s="129">
        <v>0.64</v>
      </c>
      <c r="BI151" s="129" t="s">
        <v>427</v>
      </c>
      <c r="BJ151" s="129">
        <v>3.4000000000000002E-2</v>
      </c>
      <c r="BK151" s="129">
        <v>9.1</v>
      </c>
      <c r="BL151" s="129" t="s">
        <v>163</v>
      </c>
      <c r="BM151" s="129">
        <v>0.56000000000000005</v>
      </c>
      <c r="BN151" s="129" t="s">
        <v>428</v>
      </c>
      <c r="BO151" s="129" t="s">
        <v>429</v>
      </c>
      <c r="BP151" s="151">
        <f t="shared" si="16"/>
        <v>20.575500699999999</v>
      </c>
      <c r="BQ151" s="129" t="s">
        <v>202</v>
      </c>
      <c r="BR151" s="217"/>
      <c r="BS151" s="129" t="s">
        <v>160</v>
      </c>
      <c r="BT151" s="129" t="s">
        <v>160</v>
      </c>
      <c r="BU151" s="129">
        <v>10</v>
      </c>
      <c r="BV151" s="129" t="s">
        <v>159</v>
      </c>
      <c r="BW151" s="129">
        <v>10</v>
      </c>
      <c r="BX151" s="145">
        <v>26.68</v>
      </c>
      <c r="BY151" s="129" t="s">
        <v>159</v>
      </c>
      <c r="BZ151" s="129">
        <v>1</v>
      </c>
      <c r="CA151" s="129">
        <v>1</v>
      </c>
      <c r="CB151" s="129" t="s">
        <v>160</v>
      </c>
      <c r="CC151" s="151">
        <v>4.1921817060858855</v>
      </c>
      <c r="CD151" s="129" t="s">
        <v>430</v>
      </c>
      <c r="CE151" s="151">
        <v>0.16768726824343541</v>
      </c>
      <c r="CF151" s="151">
        <v>0.16768726824343541</v>
      </c>
      <c r="CG151" s="178" t="s">
        <v>160</v>
      </c>
      <c r="CH151" s="129" t="s">
        <v>431</v>
      </c>
      <c r="CI151" s="129" t="s">
        <v>160</v>
      </c>
      <c r="CJ151" s="129" t="s">
        <v>432</v>
      </c>
      <c r="CK151" s="129" t="s">
        <v>158</v>
      </c>
      <c r="CL151" s="129" t="s">
        <v>158</v>
      </c>
      <c r="CM151" s="129" t="s">
        <v>158</v>
      </c>
      <c r="CN151" s="129" t="s">
        <v>160</v>
      </c>
      <c r="CO151" s="129" t="s">
        <v>160</v>
      </c>
      <c r="CP151" s="129" t="s">
        <v>160</v>
      </c>
      <c r="CQ151" s="129" t="s">
        <v>160</v>
      </c>
      <c r="CR151" s="129" t="s">
        <v>160</v>
      </c>
      <c r="CS151" s="129" t="s">
        <v>160</v>
      </c>
      <c r="CT151" s="129" t="s">
        <v>160</v>
      </c>
      <c r="CU151" s="129">
        <v>35</v>
      </c>
      <c r="CV151" s="129" t="s">
        <v>393</v>
      </c>
      <c r="CW151" s="146">
        <v>1</v>
      </c>
      <c r="CX151" s="129" t="s">
        <v>207</v>
      </c>
      <c r="CY151" s="129">
        <v>1.06E-2</v>
      </c>
      <c r="CZ151" s="129" t="s">
        <v>159</v>
      </c>
      <c r="DA151" s="146">
        <v>0</v>
      </c>
      <c r="DB151" s="129" t="s">
        <v>208</v>
      </c>
      <c r="DC151" s="129">
        <v>5.5100000000000003E-2</v>
      </c>
      <c r="DD151" s="129" t="s">
        <v>159</v>
      </c>
      <c r="DE151" s="146">
        <v>0</v>
      </c>
      <c r="DF151" s="129" t="s">
        <v>208</v>
      </c>
      <c r="DG151" s="129" t="s">
        <v>160</v>
      </c>
      <c r="DH151" s="129" t="s">
        <v>160</v>
      </c>
      <c r="DI151" s="129" t="s">
        <v>160</v>
      </c>
      <c r="DJ151" s="129" t="s">
        <v>160</v>
      </c>
      <c r="DK151" s="145">
        <v>432.56244218316402</v>
      </c>
      <c r="DL151" s="129" t="s">
        <v>433</v>
      </c>
      <c r="DM151" s="145" t="s">
        <v>160</v>
      </c>
      <c r="DN151" s="129" t="s">
        <v>434</v>
      </c>
      <c r="DO151" s="129">
        <v>39.614260000000002</v>
      </c>
      <c r="DP151" s="129" t="s">
        <v>160</v>
      </c>
      <c r="DQ151" s="129">
        <v>4.3269999999999698E-2</v>
      </c>
      <c r="DR151" s="129" t="s">
        <v>435</v>
      </c>
      <c r="DS151" s="129" t="s">
        <v>212</v>
      </c>
      <c r="DT151" s="129" t="s">
        <v>213</v>
      </c>
      <c r="DU151" s="129">
        <v>1.0271999999999999</v>
      </c>
      <c r="DV151" s="129" t="s">
        <v>160</v>
      </c>
      <c r="DW151" s="129" t="s">
        <v>160</v>
      </c>
      <c r="DX151" s="129" t="s">
        <v>436</v>
      </c>
      <c r="DY151" s="129" t="s">
        <v>158</v>
      </c>
      <c r="DZ151" s="129" t="s">
        <v>158</v>
      </c>
      <c r="EA151" s="129" t="s">
        <v>216</v>
      </c>
      <c r="EB151" s="129" t="s">
        <v>212</v>
      </c>
      <c r="EC151" s="129" t="s">
        <v>212</v>
      </c>
      <c r="ED151" s="129" t="s">
        <v>212</v>
      </c>
      <c r="EE151" s="129" t="s">
        <v>217</v>
      </c>
      <c r="EF151" s="147" t="s">
        <v>213</v>
      </c>
      <c r="EG151" s="148" t="s">
        <v>213</v>
      </c>
      <c r="EH151" s="129" t="s">
        <v>218</v>
      </c>
      <c r="EI151" s="129" t="s">
        <v>417</v>
      </c>
      <c r="EJ151" s="129" t="s">
        <v>160</v>
      </c>
      <c r="EK151" s="129">
        <v>1996.9680000000001</v>
      </c>
      <c r="EL151" s="129" t="s">
        <v>163</v>
      </c>
      <c r="EM151" s="129">
        <v>2.5160000000001501</v>
      </c>
      <c r="EN151" s="129">
        <v>2.5810000000001976</v>
      </c>
      <c r="EO151" s="129" t="s">
        <v>160</v>
      </c>
      <c r="EP151" s="129" t="s">
        <v>160</v>
      </c>
      <c r="EQ151" s="129" t="s">
        <v>160</v>
      </c>
      <c r="ER151" s="129" t="s">
        <v>160</v>
      </c>
      <c r="ES151" s="201">
        <v>8.2295200000000008</v>
      </c>
      <c r="ET151" s="129" t="s">
        <v>165</v>
      </c>
      <c r="EU151" s="151">
        <v>3.0837000000000003E-2</v>
      </c>
      <c r="EV151" s="151">
        <v>3.1147000000000702E-2</v>
      </c>
      <c r="EW151" s="142" t="s">
        <v>160</v>
      </c>
      <c r="EX151" s="129" t="s">
        <v>160</v>
      </c>
      <c r="EY151" s="129" t="s">
        <v>160</v>
      </c>
      <c r="EZ151" s="191">
        <v>209.7877</v>
      </c>
      <c r="FA151" s="191">
        <v>19.955600000000004</v>
      </c>
      <c r="FB151" s="191">
        <v>18.361199999999997</v>
      </c>
      <c r="FC151" s="129" t="s">
        <v>220</v>
      </c>
      <c r="FD151" s="129" t="s">
        <v>221</v>
      </c>
      <c r="FE151" s="129">
        <v>2402.0650000000001</v>
      </c>
      <c r="FF151" s="129">
        <v>31.231999999999971</v>
      </c>
      <c r="FG151" s="129">
        <v>30.626999999999953</v>
      </c>
      <c r="FH151" s="129" t="s">
        <v>160</v>
      </c>
      <c r="FI151" s="129" t="s">
        <v>160</v>
      </c>
      <c r="FJ151" s="129" t="s">
        <v>160</v>
      </c>
      <c r="FK151" s="129" t="s">
        <v>160</v>
      </c>
      <c r="FL151" s="129" t="s">
        <v>160</v>
      </c>
      <c r="FM151" s="129" t="s">
        <v>160</v>
      </c>
      <c r="FN151" s="151">
        <v>5.22919</v>
      </c>
      <c r="FO151" s="151">
        <v>0.24029200000000017</v>
      </c>
      <c r="FP151" s="151">
        <v>0.23223000000000038</v>
      </c>
      <c r="FQ151" s="178" t="s">
        <v>419</v>
      </c>
      <c r="FR151" s="129" t="s">
        <v>415</v>
      </c>
      <c r="FS151" s="129">
        <v>2017</v>
      </c>
      <c r="FT151" s="131" t="s">
        <v>416</v>
      </c>
    </row>
    <row r="152" spans="1:176" s="129" customFormat="1">
      <c r="A152" s="129" t="s">
        <v>152</v>
      </c>
      <c r="B152" s="166" t="s">
        <v>183</v>
      </c>
      <c r="C152" s="166">
        <v>2018</v>
      </c>
      <c r="D152" s="166" t="s">
        <v>184</v>
      </c>
      <c r="E152" s="145">
        <f t="shared" si="14"/>
        <v>169.76</v>
      </c>
      <c r="F152" s="129">
        <f t="shared" si="15"/>
        <v>2</v>
      </c>
      <c r="G152" s="129">
        <f t="shared" si="15"/>
        <v>2</v>
      </c>
      <c r="H152" s="191">
        <v>209.5797</v>
      </c>
      <c r="I152" s="191">
        <v>19.410600000000017</v>
      </c>
      <c r="J152" s="191">
        <v>18.182299999999998</v>
      </c>
      <c r="K152" s="129" t="s">
        <v>457</v>
      </c>
      <c r="L152" s="131" t="s">
        <v>185</v>
      </c>
      <c r="M152" s="132" t="s">
        <v>186</v>
      </c>
      <c r="N152" s="129" t="s">
        <v>184</v>
      </c>
      <c r="O152" s="129" t="s">
        <v>420</v>
      </c>
      <c r="P152" s="203" t="s">
        <v>156</v>
      </c>
      <c r="Q152" s="203">
        <v>1</v>
      </c>
      <c r="R152" s="203">
        <v>5</v>
      </c>
      <c r="S152" s="203">
        <v>51</v>
      </c>
      <c r="T152" s="203">
        <f t="shared" si="18"/>
        <v>53</v>
      </c>
      <c r="U152" s="203">
        <v>6.51</v>
      </c>
      <c r="V152" s="203">
        <v>6.51</v>
      </c>
      <c r="W152" s="129" t="s">
        <v>160</v>
      </c>
      <c r="X152" s="129" t="s">
        <v>421</v>
      </c>
      <c r="Y152" s="200">
        <v>12.74</v>
      </c>
      <c r="Z152" s="200">
        <v>-78.739999999999995</v>
      </c>
      <c r="AA152" s="129" t="s">
        <v>160</v>
      </c>
      <c r="AB152" s="129" t="s">
        <v>160</v>
      </c>
      <c r="AC152" s="129">
        <v>-2839</v>
      </c>
      <c r="AD152" s="129" t="s">
        <v>160</v>
      </c>
      <c r="AE152" s="129" t="s">
        <v>160</v>
      </c>
      <c r="AF152" s="129" t="s">
        <v>160</v>
      </c>
      <c r="AG152" s="145">
        <v>169.76</v>
      </c>
      <c r="AH152" s="129" t="s">
        <v>163</v>
      </c>
      <c r="AI152" s="129">
        <v>2</v>
      </c>
      <c r="AJ152" s="129">
        <v>2</v>
      </c>
      <c r="AK152" s="129" t="s">
        <v>160</v>
      </c>
      <c r="AL152" s="129" t="s">
        <v>422</v>
      </c>
      <c r="AM152" s="129" t="s">
        <v>160</v>
      </c>
      <c r="AN152" s="129" t="s">
        <v>160</v>
      </c>
      <c r="AO152" s="129" t="s">
        <v>160</v>
      </c>
      <c r="AP152" s="129" t="s">
        <v>160</v>
      </c>
      <c r="AQ152" s="129" t="s">
        <v>160</v>
      </c>
      <c r="AR152" s="129" t="s">
        <v>160</v>
      </c>
      <c r="AS152" s="129" t="s">
        <v>160</v>
      </c>
      <c r="AT152" s="129" t="s">
        <v>160</v>
      </c>
      <c r="AU152" s="129" t="s">
        <v>423</v>
      </c>
      <c r="AV152" s="129" t="s">
        <v>161</v>
      </c>
      <c r="AW152" s="129" t="s">
        <v>424</v>
      </c>
      <c r="AX152" s="178">
        <v>2</v>
      </c>
      <c r="AY152" s="129" t="s">
        <v>194</v>
      </c>
      <c r="AZ152" s="129" t="s">
        <v>195</v>
      </c>
      <c r="BA152" s="129" t="s">
        <v>425</v>
      </c>
      <c r="BB152" s="129" t="s">
        <v>160</v>
      </c>
      <c r="BC152" s="178">
        <v>2</v>
      </c>
      <c r="BD152" s="129" t="s">
        <v>160</v>
      </c>
      <c r="BE152" s="151">
        <v>21.22</v>
      </c>
      <c r="BF152" s="129" t="s">
        <v>426</v>
      </c>
      <c r="BG152" s="151">
        <v>0.22295688599999999</v>
      </c>
      <c r="BH152" s="129">
        <v>0.64</v>
      </c>
      <c r="BI152" s="129" t="s">
        <v>427</v>
      </c>
      <c r="BJ152" s="129">
        <v>3.4000000000000002E-2</v>
      </c>
      <c r="BK152" s="129">
        <v>9.1</v>
      </c>
      <c r="BL152" s="129" t="s">
        <v>163</v>
      </c>
      <c r="BM152" s="129">
        <v>0.56000000000000005</v>
      </c>
      <c r="BN152" s="129" t="s">
        <v>428</v>
      </c>
      <c r="BO152" s="129" t="s">
        <v>429</v>
      </c>
      <c r="BP152" s="151">
        <f t="shared" si="16"/>
        <v>20.583333333333332</v>
      </c>
      <c r="BQ152" s="129" t="s">
        <v>202</v>
      </c>
      <c r="BR152" s="217"/>
      <c r="BS152" s="129" t="s">
        <v>160</v>
      </c>
      <c r="BT152" s="129" t="s">
        <v>160</v>
      </c>
      <c r="BU152" s="129">
        <v>10</v>
      </c>
      <c r="BV152" s="129" t="s">
        <v>159</v>
      </c>
      <c r="BW152" s="129">
        <v>10</v>
      </c>
      <c r="BX152" s="145">
        <v>26.72</v>
      </c>
      <c r="BY152" s="129" t="s">
        <v>159</v>
      </c>
      <c r="BZ152" s="129">
        <v>1</v>
      </c>
      <c r="CA152" s="129">
        <v>1</v>
      </c>
      <c r="CB152" s="129" t="s">
        <v>160</v>
      </c>
      <c r="CC152" s="151">
        <v>4.2106314230804109</v>
      </c>
      <c r="CD152" s="129" t="s">
        <v>430</v>
      </c>
      <c r="CE152" s="151">
        <v>0.16842525692321644</v>
      </c>
      <c r="CF152" s="151">
        <v>0.16842525692321644</v>
      </c>
      <c r="CG152" s="178" t="s">
        <v>160</v>
      </c>
      <c r="CH152" s="129" t="s">
        <v>431</v>
      </c>
      <c r="CI152" s="129" t="s">
        <v>160</v>
      </c>
      <c r="CJ152" s="129" t="s">
        <v>432</v>
      </c>
      <c r="CK152" s="129" t="s">
        <v>158</v>
      </c>
      <c r="CL152" s="129" t="s">
        <v>158</v>
      </c>
      <c r="CM152" s="129" t="s">
        <v>158</v>
      </c>
      <c r="CN152" s="129" t="s">
        <v>160</v>
      </c>
      <c r="CO152" s="129" t="s">
        <v>160</v>
      </c>
      <c r="CP152" s="129" t="s">
        <v>160</v>
      </c>
      <c r="CQ152" s="129" t="s">
        <v>160</v>
      </c>
      <c r="CR152" s="129" t="s">
        <v>160</v>
      </c>
      <c r="CS152" s="129" t="s">
        <v>160</v>
      </c>
      <c r="CT152" s="129" t="s">
        <v>160</v>
      </c>
      <c r="CU152" s="129">
        <v>35</v>
      </c>
      <c r="CV152" s="129" t="s">
        <v>393</v>
      </c>
      <c r="CW152" s="146">
        <v>1</v>
      </c>
      <c r="CX152" s="129" t="s">
        <v>207</v>
      </c>
      <c r="CY152" s="129">
        <v>1.06E-2</v>
      </c>
      <c r="CZ152" s="129" t="s">
        <v>159</v>
      </c>
      <c r="DA152" s="146">
        <v>0</v>
      </c>
      <c r="DB152" s="129" t="s">
        <v>208</v>
      </c>
      <c r="DC152" s="129">
        <v>5.5100000000000003E-2</v>
      </c>
      <c r="DD152" s="129" t="s">
        <v>159</v>
      </c>
      <c r="DE152" s="146">
        <v>0</v>
      </c>
      <c r="DF152" s="129" t="s">
        <v>208</v>
      </c>
      <c r="DG152" s="129" t="s">
        <v>160</v>
      </c>
      <c r="DH152" s="129" t="s">
        <v>160</v>
      </c>
      <c r="DI152" s="129" t="s">
        <v>160</v>
      </c>
      <c r="DJ152" s="129" t="s">
        <v>160</v>
      </c>
      <c r="DK152" s="145">
        <v>432.56244218316402</v>
      </c>
      <c r="DL152" s="129" t="s">
        <v>433</v>
      </c>
      <c r="DM152" s="145" t="s">
        <v>160</v>
      </c>
      <c r="DN152" s="129" t="s">
        <v>434</v>
      </c>
      <c r="DO152" s="129">
        <v>39.61515</v>
      </c>
      <c r="DP152" s="129" t="s">
        <v>160</v>
      </c>
      <c r="DQ152" s="129">
        <v>4.9759999999999138E-2</v>
      </c>
      <c r="DR152" s="129" t="s">
        <v>435</v>
      </c>
      <c r="DS152" s="129" t="s">
        <v>212</v>
      </c>
      <c r="DT152" s="129" t="s">
        <v>213</v>
      </c>
      <c r="DU152" s="129">
        <v>1.0271999999999999</v>
      </c>
      <c r="DV152" s="129" t="s">
        <v>160</v>
      </c>
      <c r="DW152" s="129" t="s">
        <v>160</v>
      </c>
      <c r="DX152" s="129" t="s">
        <v>436</v>
      </c>
      <c r="DY152" s="129" t="s">
        <v>158</v>
      </c>
      <c r="DZ152" s="129" t="s">
        <v>158</v>
      </c>
      <c r="EA152" s="129" t="s">
        <v>216</v>
      </c>
      <c r="EB152" s="129" t="s">
        <v>212</v>
      </c>
      <c r="EC152" s="129" t="s">
        <v>212</v>
      </c>
      <c r="ED152" s="129" t="s">
        <v>212</v>
      </c>
      <c r="EE152" s="129" t="s">
        <v>217</v>
      </c>
      <c r="EF152" s="147" t="s">
        <v>213</v>
      </c>
      <c r="EG152" s="148" t="s">
        <v>213</v>
      </c>
      <c r="EH152" s="129" t="s">
        <v>218</v>
      </c>
      <c r="EI152" s="129" t="s">
        <v>417</v>
      </c>
      <c r="EJ152" s="129" t="s">
        <v>160</v>
      </c>
      <c r="EK152" s="129">
        <v>1996.5719999999999</v>
      </c>
      <c r="EL152" s="129" t="s">
        <v>163</v>
      </c>
      <c r="EM152" s="129">
        <v>2.7939999999999734</v>
      </c>
      <c r="EN152" s="129">
        <v>2.8929999999999061</v>
      </c>
      <c r="EO152" s="129" t="s">
        <v>160</v>
      </c>
      <c r="EP152" s="129" t="s">
        <v>160</v>
      </c>
      <c r="EQ152" s="129" t="s">
        <v>160</v>
      </c>
      <c r="ER152" s="129" t="s">
        <v>160</v>
      </c>
      <c r="ES152" s="201">
        <v>8.2298150000000003</v>
      </c>
      <c r="ET152" s="129" t="s">
        <v>165</v>
      </c>
      <c r="EU152" s="151">
        <v>3.0573999999999657E-2</v>
      </c>
      <c r="EV152" s="151">
        <v>3.035400000000088E-2</v>
      </c>
      <c r="EW152" s="142" t="s">
        <v>160</v>
      </c>
      <c r="EX152" s="129" t="s">
        <v>160</v>
      </c>
      <c r="EY152" s="129" t="s">
        <v>160</v>
      </c>
      <c r="EZ152" s="191">
        <v>209.5797</v>
      </c>
      <c r="FA152" s="191">
        <v>19.410600000000017</v>
      </c>
      <c r="FB152" s="191">
        <v>18.182299999999998</v>
      </c>
      <c r="FC152" s="129" t="s">
        <v>220</v>
      </c>
      <c r="FD152" s="129" t="s">
        <v>221</v>
      </c>
      <c r="FE152" s="129">
        <v>2401.8510000000001</v>
      </c>
      <c r="FF152" s="129">
        <v>30.85799999999972</v>
      </c>
      <c r="FG152" s="129">
        <v>30.695000000000164</v>
      </c>
      <c r="FH152" s="129" t="s">
        <v>160</v>
      </c>
      <c r="FI152" s="129" t="s">
        <v>160</v>
      </c>
      <c r="FJ152" s="129" t="s">
        <v>160</v>
      </c>
      <c r="FK152" s="129" t="s">
        <v>160</v>
      </c>
      <c r="FL152" s="129" t="s">
        <v>160</v>
      </c>
      <c r="FM152" s="129" t="s">
        <v>160</v>
      </c>
      <c r="FN152" s="151">
        <v>5.2336349999999996</v>
      </c>
      <c r="FO152" s="151">
        <v>0.23692000000000046</v>
      </c>
      <c r="FP152" s="151">
        <v>0.22758099999999981</v>
      </c>
      <c r="FQ152" s="178" t="s">
        <v>419</v>
      </c>
      <c r="FR152" s="129" t="s">
        <v>415</v>
      </c>
      <c r="FS152" s="129">
        <v>2017</v>
      </c>
      <c r="FT152" s="131" t="s">
        <v>416</v>
      </c>
    </row>
    <row r="153" spans="1:176" s="129" customFormat="1">
      <c r="A153" s="129" t="s">
        <v>152</v>
      </c>
      <c r="B153" s="166" t="s">
        <v>183</v>
      </c>
      <c r="C153" s="166">
        <v>2018</v>
      </c>
      <c r="D153" s="166" t="s">
        <v>184</v>
      </c>
      <c r="E153" s="145">
        <f t="shared" si="14"/>
        <v>179.94</v>
      </c>
      <c r="F153" s="129">
        <f t="shared" si="15"/>
        <v>2</v>
      </c>
      <c r="G153" s="129">
        <f t="shared" si="15"/>
        <v>2</v>
      </c>
      <c r="H153" s="191">
        <v>206.54319999999998</v>
      </c>
      <c r="I153" s="191">
        <v>19.658999999999992</v>
      </c>
      <c r="J153" s="191">
        <v>17.693899999999985</v>
      </c>
      <c r="K153" s="129" t="s">
        <v>457</v>
      </c>
      <c r="L153" s="131" t="s">
        <v>185</v>
      </c>
      <c r="M153" s="132" t="s">
        <v>186</v>
      </c>
      <c r="N153" s="129" t="s">
        <v>184</v>
      </c>
      <c r="O153" s="129" t="s">
        <v>420</v>
      </c>
      <c r="P153" s="202" t="s">
        <v>156</v>
      </c>
      <c r="Q153" s="202">
        <v>1</v>
      </c>
      <c r="R153" s="202">
        <v>5</v>
      </c>
      <c r="S153" s="202">
        <v>91</v>
      </c>
      <c r="T153" s="202">
        <f t="shared" si="18"/>
        <v>93</v>
      </c>
      <c r="U153" s="202">
        <v>6.91</v>
      </c>
      <c r="V153" s="202">
        <v>6.91</v>
      </c>
      <c r="W153" s="129" t="s">
        <v>160</v>
      </c>
      <c r="X153" s="129" t="s">
        <v>421</v>
      </c>
      <c r="Y153" s="200">
        <v>12.74</v>
      </c>
      <c r="Z153" s="200">
        <v>-78.739999999999995</v>
      </c>
      <c r="AA153" s="129" t="s">
        <v>160</v>
      </c>
      <c r="AB153" s="129" t="s">
        <v>160</v>
      </c>
      <c r="AC153" s="129">
        <v>-2839</v>
      </c>
      <c r="AD153" s="129" t="s">
        <v>160</v>
      </c>
      <c r="AE153" s="129" t="s">
        <v>160</v>
      </c>
      <c r="AF153" s="129" t="s">
        <v>160</v>
      </c>
      <c r="AG153" s="145">
        <v>179.94</v>
      </c>
      <c r="AH153" s="129" t="s">
        <v>163</v>
      </c>
      <c r="AI153" s="129">
        <v>2</v>
      </c>
      <c r="AJ153" s="129">
        <v>2</v>
      </c>
      <c r="AK153" s="129" t="s">
        <v>160</v>
      </c>
      <c r="AL153" s="129" t="s">
        <v>422</v>
      </c>
      <c r="AM153" s="129" t="s">
        <v>160</v>
      </c>
      <c r="AN153" s="129" t="s">
        <v>160</v>
      </c>
      <c r="AO153" s="129" t="s">
        <v>160</v>
      </c>
      <c r="AP153" s="129" t="s">
        <v>160</v>
      </c>
      <c r="AQ153" s="129" t="s">
        <v>160</v>
      </c>
      <c r="AR153" s="129" t="s">
        <v>160</v>
      </c>
      <c r="AS153" s="129" t="s">
        <v>160</v>
      </c>
      <c r="AT153" s="129" t="s">
        <v>160</v>
      </c>
      <c r="AU153" s="129" t="s">
        <v>423</v>
      </c>
      <c r="AV153" s="129" t="s">
        <v>161</v>
      </c>
      <c r="AW153" s="129" t="s">
        <v>424</v>
      </c>
      <c r="AX153" s="178">
        <v>2</v>
      </c>
      <c r="AY153" s="129" t="s">
        <v>194</v>
      </c>
      <c r="AZ153" s="129" t="s">
        <v>195</v>
      </c>
      <c r="BA153" s="129" t="s">
        <v>425</v>
      </c>
      <c r="BB153" s="129" t="s">
        <v>160</v>
      </c>
      <c r="BC153" s="178">
        <v>2</v>
      </c>
      <c r="BD153" s="129" t="s">
        <v>160</v>
      </c>
      <c r="BE153" s="151">
        <v>21.171794030000001</v>
      </c>
      <c r="BF153" s="129" t="s">
        <v>426</v>
      </c>
      <c r="BG153" s="151">
        <v>0.21674748399999999</v>
      </c>
      <c r="BH153" s="129">
        <v>0.64</v>
      </c>
      <c r="BI153" s="129" t="s">
        <v>427</v>
      </c>
      <c r="BJ153" s="129">
        <v>3.4000000000000002E-2</v>
      </c>
      <c r="BK153" s="129">
        <v>9.1</v>
      </c>
      <c r="BL153" s="129" t="s">
        <v>163</v>
      </c>
      <c r="BM153" s="129">
        <v>0.56000000000000005</v>
      </c>
      <c r="BN153" s="129" t="s">
        <v>428</v>
      </c>
      <c r="BO153" s="129" t="s">
        <v>429</v>
      </c>
      <c r="BP153" s="151">
        <f t="shared" si="16"/>
        <v>20.502990050000005</v>
      </c>
      <c r="BQ153" s="129" t="s">
        <v>202</v>
      </c>
      <c r="BR153" s="217"/>
      <c r="BS153" s="129" t="s">
        <v>160</v>
      </c>
      <c r="BT153" s="129" t="s">
        <v>160</v>
      </c>
      <c r="BU153" s="129">
        <v>10</v>
      </c>
      <c r="BV153" s="129" t="s">
        <v>159</v>
      </c>
      <c r="BW153" s="129">
        <v>10</v>
      </c>
      <c r="BX153" s="145">
        <v>25.78</v>
      </c>
      <c r="BY153" s="129" t="s">
        <v>159</v>
      </c>
      <c r="BZ153" s="129">
        <v>1</v>
      </c>
      <c r="CA153" s="129">
        <v>1</v>
      </c>
      <c r="CB153" s="129" t="s">
        <v>160</v>
      </c>
      <c r="CC153" s="151">
        <v>3.8672554900378255</v>
      </c>
      <c r="CD153" s="129" t="s">
        <v>430</v>
      </c>
      <c r="CE153" s="151">
        <v>0.15469021960151302</v>
      </c>
      <c r="CF153" s="151">
        <v>0.15469021960151302</v>
      </c>
      <c r="CG153" s="178" t="s">
        <v>160</v>
      </c>
      <c r="CH153" s="129" t="s">
        <v>431</v>
      </c>
      <c r="CI153" s="129" t="s">
        <v>160</v>
      </c>
      <c r="CJ153" s="129" t="s">
        <v>432</v>
      </c>
      <c r="CK153" s="129" t="s">
        <v>158</v>
      </c>
      <c r="CL153" s="129" t="s">
        <v>158</v>
      </c>
      <c r="CM153" s="129" t="s">
        <v>158</v>
      </c>
      <c r="CN153" s="129" t="s">
        <v>160</v>
      </c>
      <c r="CO153" s="129" t="s">
        <v>160</v>
      </c>
      <c r="CP153" s="129" t="s">
        <v>160</v>
      </c>
      <c r="CQ153" s="129" t="s">
        <v>160</v>
      </c>
      <c r="CR153" s="129" t="s">
        <v>160</v>
      </c>
      <c r="CS153" s="129" t="s">
        <v>160</v>
      </c>
      <c r="CT153" s="129" t="s">
        <v>160</v>
      </c>
      <c r="CU153" s="129">
        <v>35</v>
      </c>
      <c r="CV153" s="129" t="s">
        <v>393</v>
      </c>
      <c r="CW153" s="146">
        <v>1</v>
      </c>
      <c r="CX153" s="129" t="s">
        <v>207</v>
      </c>
      <c r="CY153" s="129">
        <v>1.06E-2</v>
      </c>
      <c r="CZ153" s="129" t="s">
        <v>159</v>
      </c>
      <c r="DA153" s="146">
        <v>0</v>
      </c>
      <c r="DB153" s="129" t="s">
        <v>208</v>
      </c>
      <c r="DC153" s="129">
        <v>5.5100000000000003E-2</v>
      </c>
      <c r="DD153" s="129" t="s">
        <v>159</v>
      </c>
      <c r="DE153" s="146">
        <v>0</v>
      </c>
      <c r="DF153" s="129" t="s">
        <v>208</v>
      </c>
      <c r="DG153" s="129" t="s">
        <v>160</v>
      </c>
      <c r="DH153" s="129" t="s">
        <v>160</v>
      </c>
      <c r="DI153" s="129" t="s">
        <v>160</v>
      </c>
      <c r="DJ153" s="129" t="s">
        <v>160</v>
      </c>
      <c r="DK153" s="145">
        <v>432.56244218316402</v>
      </c>
      <c r="DL153" s="129" t="s">
        <v>433</v>
      </c>
      <c r="DM153" s="145" t="s">
        <v>160</v>
      </c>
      <c r="DN153" s="129" t="s">
        <v>434</v>
      </c>
      <c r="DO153" s="129">
        <v>39.615459999999999</v>
      </c>
      <c r="DP153" s="129" t="s">
        <v>160</v>
      </c>
      <c r="DQ153" s="129">
        <v>5.3930000000001144E-2</v>
      </c>
      <c r="DR153" s="129" t="s">
        <v>435</v>
      </c>
      <c r="DS153" s="129" t="s">
        <v>212</v>
      </c>
      <c r="DT153" s="129" t="s">
        <v>213</v>
      </c>
      <c r="DU153" s="129">
        <v>1.0271999999999999</v>
      </c>
      <c r="DV153" s="129" t="s">
        <v>160</v>
      </c>
      <c r="DW153" s="129" t="s">
        <v>160</v>
      </c>
      <c r="DX153" s="129" t="s">
        <v>436</v>
      </c>
      <c r="DY153" s="129" t="s">
        <v>158</v>
      </c>
      <c r="DZ153" s="129" t="s">
        <v>158</v>
      </c>
      <c r="EA153" s="129" t="s">
        <v>216</v>
      </c>
      <c r="EB153" s="129" t="s">
        <v>212</v>
      </c>
      <c r="EC153" s="129" t="s">
        <v>212</v>
      </c>
      <c r="ED153" s="129" t="s">
        <v>212</v>
      </c>
      <c r="EE153" s="129" t="s">
        <v>217</v>
      </c>
      <c r="EF153" s="147" t="s">
        <v>213</v>
      </c>
      <c r="EG153" s="148" t="s">
        <v>213</v>
      </c>
      <c r="EH153" s="129" t="s">
        <v>218</v>
      </c>
      <c r="EI153" s="129" t="s">
        <v>417</v>
      </c>
      <c r="EJ153" s="129" t="s">
        <v>160</v>
      </c>
      <c r="EK153" s="129">
        <v>1996.364</v>
      </c>
      <c r="EL153" s="129" t="s">
        <v>163</v>
      </c>
      <c r="EM153" s="129">
        <v>3.0629999999997639</v>
      </c>
      <c r="EN153" s="129">
        <v>3.0289999999998791</v>
      </c>
      <c r="EO153" s="129" t="s">
        <v>160</v>
      </c>
      <c r="EP153" s="129" t="s">
        <v>160</v>
      </c>
      <c r="EQ153" s="129" t="s">
        <v>160</v>
      </c>
      <c r="ER153" s="129" t="s">
        <v>160</v>
      </c>
      <c r="ES153" s="201">
        <v>8.2345089999999992</v>
      </c>
      <c r="ET153" s="129" t="s">
        <v>165</v>
      </c>
      <c r="EU153" s="151">
        <v>3.0311000000001087E-2</v>
      </c>
      <c r="EV153" s="151">
        <v>3.1229999999998981E-2</v>
      </c>
      <c r="EW153" s="142" t="s">
        <v>160</v>
      </c>
      <c r="EX153" s="129" t="s">
        <v>160</v>
      </c>
      <c r="EY153" s="129" t="s">
        <v>160</v>
      </c>
      <c r="EZ153" s="191">
        <v>206.54319999999998</v>
      </c>
      <c r="FA153" s="191">
        <v>19.658999999999992</v>
      </c>
      <c r="FB153" s="191">
        <v>17.693899999999985</v>
      </c>
      <c r="FC153" s="129" t="s">
        <v>220</v>
      </c>
      <c r="FD153" s="129" t="s">
        <v>221</v>
      </c>
      <c r="FE153" s="129">
        <v>2394.52</v>
      </c>
      <c r="FF153" s="129">
        <v>31.145999999999731</v>
      </c>
      <c r="FG153" s="129">
        <v>31.356999999999971</v>
      </c>
      <c r="FH153" s="129" t="s">
        <v>160</v>
      </c>
      <c r="FI153" s="129" t="s">
        <v>160</v>
      </c>
      <c r="FJ153" s="129" t="s">
        <v>160</v>
      </c>
      <c r="FK153" s="129" t="s">
        <v>160</v>
      </c>
      <c r="FL153" s="129" t="s">
        <v>160</v>
      </c>
      <c r="FM153" s="129" t="s">
        <v>160</v>
      </c>
      <c r="FN153" s="151">
        <v>5.1171509999999998</v>
      </c>
      <c r="FO153" s="151">
        <v>0.23343399999999992</v>
      </c>
      <c r="FP153" s="151">
        <v>0.22970799999999958</v>
      </c>
      <c r="FQ153" s="178" t="s">
        <v>419</v>
      </c>
      <c r="FR153" s="129" t="s">
        <v>415</v>
      </c>
      <c r="FS153" s="129">
        <v>2017</v>
      </c>
      <c r="FT153" s="131" t="s">
        <v>416</v>
      </c>
    </row>
    <row r="154" spans="1:176" s="129" customFormat="1">
      <c r="A154" s="129" t="s">
        <v>152</v>
      </c>
      <c r="B154" s="166" t="s">
        <v>183</v>
      </c>
      <c r="C154" s="166">
        <v>2018</v>
      </c>
      <c r="D154" s="166" t="s">
        <v>184</v>
      </c>
      <c r="E154" s="145">
        <f t="shared" si="14"/>
        <v>184.37</v>
      </c>
      <c r="F154" s="129">
        <f t="shared" si="15"/>
        <v>2</v>
      </c>
      <c r="G154" s="129">
        <f t="shared" si="15"/>
        <v>2</v>
      </c>
      <c r="H154" s="191">
        <v>214.37140000000002</v>
      </c>
      <c r="I154" s="191">
        <v>20.897799999999961</v>
      </c>
      <c r="J154" s="191">
        <v>19.204200000000014</v>
      </c>
      <c r="K154" s="129" t="s">
        <v>457</v>
      </c>
      <c r="L154" s="131" t="s">
        <v>185</v>
      </c>
      <c r="M154" s="132" t="s">
        <v>186</v>
      </c>
      <c r="N154" s="129" t="s">
        <v>184</v>
      </c>
      <c r="O154" s="129" t="s">
        <v>420</v>
      </c>
      <c r="P154" s="202" t="s">
        <v>156</v>
      </c>
      <c r="Q154" s="202">
        <v>1</v>
      </c>
      <c r="R154" s="202">
        <v>6</v>
      </c>
      <c r="S154" s="202">
        <v>12</v>
      </c>
      <c r="T154" s="202">
        <f t="shared" si="18"/>
        <v>14</v>
      </c>
      <c r="U154" s="202">
        <v>7.12</v>
      </c>
      <c r="V154" s="202">
        <v>7.12</v>
      </c>
      <c r="W154" s="129" t="s">
        <v>160</v>
      </c>
      <c r="X154" s="129" t="s">
        <v>421</v>
      </c>
      <c r="Y154" s="200">
        <v>12.74</v>
      </c>
      <c r="Z154" s="200">
        <v>-78.739999999999995</v>
      </c>
      <c r="AA154" s="129" t="s">
        <v>160</v>
      </c>
      <c r="AB154" s="129" t="s">
        <v>160</v>
      </c>
      <c r="AC154" s="129">
        <v>-2839</v>
      </c>
      <c r="AD154" s="129" t="s">
        <v>160</v>
      </c>
      <c r="AE154" s="129" t="s">
        <v>160</v>
      </c>
      <c r="AF154" s="129" t="s">
        <v>160</v>
      </c>
      <c r="AG154" s="145">
        <v>184.37</v>
      </c>
      <c r="AH154" s="129" t="s">
        <v>163</v>
      </c>
      <c r="AI154" s="129">
        <v>2</v>
      </c>
      <c r="AJ154" s="129">
        <v>2</v>
      </c>
      <c r="AK154" s="129" t="s">
        <v>160</v>
      </c>
      <c r="AL154" s="129" t="s">
        <v>422</v>
      </c>
      <c r="AM154" s="129" t="s">
        <v>160</v>
      </c>
      <c r="AN154" s="129" t="s">
        <v>160</v>
      </c>
      <c r="AO154" s="129" t="s">
        <v>160</v>
      </c>
      <c r="AP154" s="129" t="s">
        <v>160</v>
      </c>
      <c r="AQ154" s="129" t="s">
        <v>160</v>
      </c>
      <c r="AR154" s="129" t="s">
        <v>160</v>
      </c>
      <c r="AS154" s="129" t="s">
        <v>160</v>
      </c>
      <c r="AT154" s="129" t="s">
        <v>160</v>
      </c>
      <c r="AU154" s="129" t="s">
        <v>423</v>
      </c>
      <c r="AV154" s="129" t="s">
        <v>161</v>
      </c>
      <c r="AW154" s="129" t="s">
        <v>424</v>
      </c>
      <c r="AX154" s="178">
        <v>2</v>
      </c>
      <c r="AY154" s="129" t="s">
        <v>194</v>
      </c>
      <c r="AZ154" s="129" t="s">
        <v>195</v>
      </c>
      <c r="BA154" s="129" t="s">
        <v>425</v>
      </c>
      <c r="BB154" s="129" t="s">
        <v>160</v>
      </c>
      <c r="BC154" s="178">
        <v>2</v>
      </c>
      <c r="BD154" s="129" t="s">
        <v>160</v>
      </c>
      <c r="BE154" s="151">
        <v>21.06374018</v>
      </c>
      <c r="BF154" s="129" t="s">
        <v>426</v>
      </c>
      <c r="BG154" s="151">
        <v>0.234692072</v>
      </c>
      <c r="BH154" s="129">
        <v>0.64</v>
      </c>
      <c r="BI154" s="129" t="s">
        <v>427</v>
      </c>
      <c r="BJ154" s="129">
        <v>3.4000000000000002E-2</v>
      </c>
      <c r="BK154" s="129">
        <v>9.1</v>
      </c>
      <c r="BL154" s="129" t="s">
        <v>163</v>
      </c>
      <c r="BM154" s="129">
        <v>0.56000000000000005</v>
      </c>
      <c r="BN154" s="129" t="s">
        <v>428</v>
      </c>
      <c r="BO154" s="129" t="s">
        <v>429</v>
      </c>
      <c r="BP154" s="151">
        <f t="shared" si="16"/>
        <v>20.322900300000001</v>
      </c>
      <c r="BQ154" s="129" t="s">
        <v>202</v>
      </c>
      <c r="BR154" s="217"/>
      <c r="BS154" s="129" t="s">
        <v>160</v>
      </c>
      <c r="BT154" s="129" t="s">
        <v>160</v>
      </c>
      <c r="BU154" s="129">
        <v>10</v>
      </c>
      <c r="BV154" s="129" t="s">
        <v>159</v>
      </c>
      <c r="BW154" s="129">
        <v>10</v>
      </c>
      <c r="BX154" s="145">
        <v>25.7</v>
      </c>
      <c r="BY154" s="129" t="s">
        <v>159</v>
      </c>
      <c r="BZ154" s="129">
        <v>1</v>
      </c>
      <c r="CA154" s="129">
        <v>1</v>
      </c>
      <c r="CB154" s="129" t="s">
        <v>160</v>
      </c>
      <c r="CC154" s="151">
        <v>3.8409433527776882</v>
      </c>
      <c r="CD154" s="129" t="s">
        <v>430</v>
      </c>
      <c r="CE154" s="151">
        <v>0.15363773411110754</v>
      </c>
      <c r="CF154" s="151">
        <v>0.15363773411110754</v>
      </c>
      <c r="CG154" s="178" t="s">
        <v>160</v>
      </c>
      <c r="CH154" s="129" t="s">
        <v>431</v>
      </c>
      <c r="CI154" s="129" t="s">
        <v>160</v>
      </c>
      <c r="CJ154" s="129" t="s">
        <v>432</v>
      </c>
      <c r="CK154" s="129" t="s">
        <v>158</v>
      </c>
      <c r="CL154" s="129" t="s">
        <v>158</v>
      </c>
      <c r="CM154" s="129" t="s">
        <v>158</v>
      </c>
      <c r="CN154" s="129" t="s">
        <v>160</v>
      </c>
      <c r="CO154" s="129" t="s">
        <v>160</v>
      </c>
      <c r="CP154" s="129" t="s">
        <v>160</v>
      </c>
      <c r="CQ154" s="129" t="s">
        <v>160</v>
      </c>
      <c r="CR154" s="129" t="s">
        <v>160</v>
      </c>
      <c r="CS154" s="129" t="s">
        <v>160</v>
      </c>
      <c r="CT154" s="129" t="s">
        <v>160</v>
      </c>
      <c r="CU154" s="129">
        <v>35</v>
      </c>
      <c r="CV154" s="129" t="s">
        <v>393</v>
      </c>
      <c r="CW154" s="146">
        <v>1</v>
      </c>
      <c r="CX154" s="129" t="s">
        <v>207</v>
      </c>
      <c r="CY154" s="129">
        <v>1.06E-2</v>
      </c>
      <c r="CZ154" s="129" t="s">
        <v>159</v>
      </c>
      <c r="DA154" s="146">
        <v>0</v>
      </c>
      <c r="DB154" s="129" t="s">
        <v>208</v>
      </c>
      <c r="DC154" s="129">
        <v>5.5100000000000003E-2</v>
      </c>
      <c r="DD154" s="129" t="s">
        <v>159</v>
      </c>
      <c r="DE154" s="146">
        <v>0</v>
      </c>
      <c r="DF154" s="129" t="s">
        <v>208</v>
      </c>
      <c r="DG154" s="129" t="s">
        <v>160</v>
      </c>
      <c r="DH154" s="129" t="s">
        <v>160</v>
      </c>
      <c r="DI154" s="129" t="s">
        <v>160</v>
      </c>
      <c r="DJ154" s="129" t="s">
        <v>160</v>
      </c>
      <c r="DK154" s="145">
        <v>432.56244218316402</v>
      </c>
      <c r="DL154" s="129" t="s">
        <v>433</v>
      </c>
      <c r="DM154" s="145" t="s">
        <v>160</v>
      </c>
      <c r="DN154" s="129" t="s">
        <v>434</v>
      </c>
      <c r="DO154" s="129">
        <v>39.616109999999999</v>
      </c>
      <c r="DP154" s="129" t="s">
        <v>160</v>
      </c>
      <c r="DQ154" s="129">
        <v>5.3930000000001144E-2</v>
      </c>
      <c r="DR154" s="129" t="s">
        <v>435</v>
      </c>
      <c r="DS154" s="129" t="s">
        <v>212</v>
      </c>
      <c r="DT154" s="129" t="s">
        <v>213</v>
      </c>
      <c r="DU154" s="129">
        <v>1.0271999999999999</v>
      </c>
      <c r="DV154" s="129" t="s">
        <v>160</v>
      </c>
      <c r="DW154" s="129" t="s">
        <v>160</v>
      </c>
      <c r="DX154" s="129" t="s">
        <v>436</v>
      </c>
      <c r="DY154" s="129" t="s">
        <v>158</v>
      </c>
      <c r="DZ154" s="129" t="s">
        <v>158</v>
      </c>
      <c r="EA154" s="129" t="s">
        <v>216</v>
      </c>
      <c r="EB154" s="129" t="s">
        <v>212</v>
      </c>
      <c r="EC154" s="129" t="s">
        <v>212</v>
      </c>
      <c r="ED154" s="129" t="s">
        <v>212</v>
      </c>
      <c r="EE154" s="129" t="s">
        <v>217</v>
      </c>
      <c r="EF154" s="147" t="s">
        <v>213</v>
      </c>
      <c r="EG154" s="148" t="s">
        <v>213</v>
      </c>
      <c r="EH154" s="129" t="s">
        <v>218</v>
      </c>
      <c r="EI154" s="129" t="s">
        <v>417</v>
      </c>
      <c r="EJ154" s="129" t="s">
        <v>160</v>
      </c>
      <c r="EK154" s="129">
        <v>1996.2600000000002</v>
      </c>
      <c r="EL154" s="129" t="s">
        <v>163</v>
      </c>
      <c r="EM154" s="129">
        <v>3.0279999999999716</v>
      </c>
      <c r="EN154" s="129">
        <v>3.0870000000001419</v>
      </c>
      <c r="EO154" s="129" t="s">
        <v>160</v>
      </c>
      <c r="EP154" s="129" t="s">
        <v>160</v>
      </c>
      <c r="EQ154" s="129" t="s">
        <v>160</v>
      </c>
      <c r="ER154" s="129" t="s">
        <v>160</v>
      </c>
      <c r="ES154" s="201">
        <v>8.2222770000000001</v>
      </c>
      <c r="ET154" s="129" t="s">
        <v>165</v>
      </c>
      <c r="EU154" s="151">
        <v>3.1634999999999636E-2</v>
      </c>
      <c r="EV154" s="151">
        <v>3.1878000000000739E-2</v>
      </c>
      <c r="EW154" s="142" t="s">
        <v>160</v>
      </c>
      <c r="EX154" s="129" t="s">
        <v>160</v>
      </c>
      <c r="EY154" s="129" t="s">
        <v>160</v>
      </c>
      <c r="EZ154" s="191">
        <v>214.37140000000002</v>
      </c>
      <c r="FA154" s="191">
        <v>20.897799999999961</v>
      </c>
      <c r="FB154" s="191">
        <v>19.204200000000014</v>
      </c>
      <c r="FC154" s="129" t="s">
        <v>220</v>
      </c>
      <c r="FD154" s="129" t="s">
        <v>221</v>
      </c>
      <c r="FE154" s="129">
        <v>2382.6970000000001</v>
      </c>
      <c r="FF154" s="129">
        <v>30.922000000000025</v>
      </c>
      <c r="FG154" s="129">
        <v>30.445000000000164</v>
      </c>
      <c r="FH154" s="129" t="s">
        <v>160</v>
      </c>
      <c r="FI154" s="129" t="s">
        <v>160</v>
      </c>
      <c r="FJ154" s="129" t="s">
        <v>160</v>
      </c>
      <c r="FK154" s="129" t="s">
        <v>160</v>
      </c>
      <c r="FL154" s="129" t="s">
        <v>160</v>
      </c>
      <c r="FM154" s="129" t="s">
        <v>160</v>
      </c>
      <c r="FN154" s="151">
        <v>4.9748299999999999</v>
      </c>
      <c r="FO154" s="151">
        <v>0.24229500000000037</v>
      </c>
      <c r="FP154" s="151">
        <v>0.23338400000000004</v>
      </c>
      <c r="FQ154" s="178" t="s">
        <v>419</v>
      </c>
      <c r="FR154" s="129" t="s">
        <v>415</v>
      </c>
      <c r="FS154" s="129">
        <v>2017</v>
      </c>
      <c r="FT154" s="131" t="s">
        <v>416</v>
      </c>
    </row>
    <row r="155" spans="1:176" s="129" customFormat="1">
      <c r="A155" s="129" t="s">
        <v>152</v>
      </c>
      <c r="B155" s="166" t="s">
        <v>183</v>
      </c>
      <c r="C155" s="166">
        <v>2018</v>
      </c>
      <c r="D155" s="166" t="s">
        <v>184</v>
      </c>
      <c r="E155" s="145">
        <f t="shared" si="14"/>
        <v>190.01</v>
      </c>
      <c r="F155" s="129">
        <f t="shared" si="15"/>
        <v>2</v>
      </c>
      <c r="G155" s="129">
        <f t="shared" si="15"/>
        <v>2</v>
      </c>
      <c r="H155" s="191">
        <v>223.74549999999999</v>
      </c>
      <c r="I155" s="191">
        <v>21.379599999999982</v>
      </c>
      <c r="J155" s="191">
        <v>19.213600000000014</v>
      </c>
      <c r="K155" s="129" t="s">
        <v>457</v>
      </c>
      <c r="L155" s="131" t="s">
        <v>185</v>
      </c>
      <c r="M155" s="132" t="s">
        <v>186</v>
      </c>
      <c r="N155" s="129" t="s">
        <v>184</v>
      </c>
      <c r="O155" s="129" t="s">
        <v>420</v>
      </c>
      <c r="P155" s="202" t="s">
        <v>156</v>
      </c>
      <c r="Q155" s="202">
        <v>1</v>
      </c>
      <c r="R155" s="202">
        <v>6</v>
      </c>
      <c r="S155" s="202">
        <v>33</v>
      </c>
      <c r="T155" s="202">
        <f t="shared" si="18"/>
        <v>35</v>
      </c>
      <c r="U155" s="202">
        <v>7.33</v>
      </c>
      <c r="V155" s="202">
        <v>7.33</v>
      </c>
      <c r="W155" s="129" t="s">
        <v>160</v>
      </c>
      <c r="X155" s="129" t="s">
        <v>421</v>
      </c>
      <c r="Y155" s="200">
        <v>12.74</v>
      </c>
      <c r="Z155" s="200">
        <v>-78.739999999999995</v>
      </c>
      <c r="AA155" s="129" t="s">
        <v>160</v>
      </c>
      <c r="AB155" s="129" t="s">
        <v>160</v>
      </c>
      <c r="AC155" s="129">
        <v>-2839</v>
      </c>
      <c r="AD155" s="129" t="s">
        <v>160</v>
      </c>
      <c r="AE155" s="129" t="s">
        <v>160</v>
      </c>
      <c r="AF155" s="129" t="s">
        <v>160</v>
      </c>
      <c r="AG155" s="145">
        <v>190.01</v>
      </c>
      <c r="AH155" s="129" t="s">
        <v>163</v>
      </c>
      <c r="AI155" s="129">
        <v>2</v>
      </c>
      <c r="AJ155" s="129">
        <v>2</v>
      </c>
      <c r="AK155" s="129" t="s">
        <v>160</v>
      </c>
      <c r="AL155" s="129" t="s">
        <v>422</v>
      </c>
      <c r="AM155" s="129" t="s">
        <v>160</v>
      </c>
      <c r="AN155" s="129" t="s">
        <v>160</v>
      </c>
      <c r="AO155" s="129" t="s">
        <v>160</v>
      </c>
      <c r="AP155" s="129" t="s">
        <v>160</v>
      </c>
      <c r="AQ155" s="129" t="s">
        <v>160</v>
      </c>
      <c r="AR155" s="129" t="s">
        <v>160</v>
      </c>
      <c r="AS155" s="129" t="s">
        <v>160</v>
      </c>
      <c r="AT155" s="129" t="s">
        <v>160</v>
      </c>
      <c r="AU155" s="129" t="s">
        <v>423</v>
      </c>
      <c r="AV155" s="129" t="s">
        <v>161</v>
      </c>
      <c r="AW155" s="129" t="s">
        <v>424</v>
      </c>
      <c r="AX155" s="178">
        <v>2</v>
      </c>
      <c r="AY155" s="129" t="s">
        <v>194</v>
      </c>
      <c r="AZ155" s="129" t="s">
        <v>195</v>
      </c>
      <c r="BA155" s="129" t="s">
        <v>425</v>
      </c>
      <c r="BB155" s="129" t="s">
        <v>160</v>
      </c>
      <c r="BC155" s="178">
        <v>2</v>
      </c>
      <c r="BD155" s="129" t="s">
        <v>160</v>
      </c>
      <c r="BE155" s="151">
        <v>20.95412232</v>
      </c>
      <c r="BF155" s="129" t="s">
        <v>426</v>
      </c>
      <c r="BG155" s="151">
        <v>0.20921177799999999</v>
      </c>
      <c r="BH155" s="129">
        <v>0.64</v>
      </c>
      <c r="BI155" s="129" t="s">
        <v>427</v>
      </c>
      <c r="BJ155" s="129">
        <v>3.4000000000000002E-2</v>
      </c>
      <c r="BK155" s="129">
        <v>9.1</v>
      </c>
      <c r="BL155" s="129" t="s">
        <v>163</v>
      </c>
      <c r="BM155" s="129">
        <v>0.56000000000000005</v>
      </c>
      <c r="BN155" s="129" t="s">
        <v>428</v>
      </c>
      <c r="BO155" s="129" t="s">
        <v>429</v>
      </c>
      <c r="BP155" s="151">
        <f t="shared" si="16"/>
        <v>20.140203866666667</v>
      </c>
      <c r="BQ155" s="129" t="s">
        <v>202</v>
      </c>
      <c r="BR155" s="217"/>
      <c r="BS155" s="129" t="s">
        <v>160</v>
      </c>
      <c r="BT155" s="129" t="s">
        <v>160</v>
      </c>
      <c r="BU155" s="129">
        <v>10</v>
      </c>
      <c r="BV155" s="129" t="s">
        <v>159</v>
      </c>
      <c r="BW155" s="129">
        <v>10</v>
      </c>
      <c r="BX155" s="145">
        <v>25.69</v>
      </c>
      <c r="BY155" s="129" t="s">
        <v>159</v>
      </c>
      <c r="BZ155" s="129">
        <v>1</v>
      </c>
      <c r="CA155" s="129">
        <v>1</v>
      </c>
      <c r="CB155" s="129" t="s">
        <v>160</v>
      </c>
      <c r="CC155" s="151">
        <v>3.8361325927454173</v>
      </c>
      <c r="CD155" s="129" t="s">
        <v>430</v>
      </c>
      <c r="CE155" s="151">
        <v>0.15344530370981668</v>
      </c>
      <c r="CF155" s="151">
        <v>0.15344530370981668</v>
      </c>
      <c r="CG155" s="178" t="s">
        <v>160</v>
      </c>
      <c r="CH155" s="129" t="s">
        <v>431</v>
      </c>
      <c r="CI155" s="129" t="s">
        <v>160</v>
      </c>
      <c r="CJ155" s="129" t="s">
        <v>432</v>
      </c>
      <c r="CK155" s="129" t="s">
        <v>158</v>
      </c>
      <c r="CL155" s="129" t="s">
        <v>158</v>
      </c>
      <c r="CM155" s="129" t="s">
        <v>158</v>
      </c>
      <c r="CN155" s="129" t="s">
        <v>160</v>
      </c>
      <c r="CO155" s="129" t="s">
        <v>160</v>
      </c>
      <c r="CP155" s="129" t="s">
        <v>160</v>
      </c>
      <c r="CQ155" s="129" t="s">
        <v>160</v>
      </c>
      <c r="CR155" s="129" t="s">
        <v>160</v>
      </c>
      <c r="CS155" s="129" t="s">
        <v>160</v>
      </c>
      <c r="CT155" s="129" t="s">
        <v>160</v>
      </c>
      <c r="CU155" s="129">
        <v>35</v>
      </c>
      <c r="CV155" s="129" t="s">
        <v>393</v>
      </c>
      <c r="CW155" s="146">
        <v>1</v>
      </c>
      <c r="CX155" s="129" t="s">
        <v>207</v>
      </c>
      <c r="CY155" s="129">
        <v>1.06E-2</v>
      </c>
      <c r="CZ155" s="129" t="s">
        <v>159</v>
      </c>
      <c r="DA155" s="146">
        <v>0</v>
      </c>
      <c r="DB155" s="129" t="s">
        <v>208</v>
      </c>
      <c r="DC155" s="129">
        <v>5.5100000000000003E-2</v>
      </c>
      <c r="DD155" s="129" t="s">
        <v>159</v>
      </c>
      <c r="DE155" s="146">
        <v>0</v>
      </c>
      <c r="DF155" s="129" t="s">
        <v>208</v>
      </c>
      <c r="DG155" s="129" t="s">
        <v>160</v>
      </c>
      <c r="DH155" s="129" t="s">
        <v>160</v>
      </c>
      <c r="DI155" s="129" t="s">
        <v>160</v>
      </c>
      <c r="DJ155" s="129" t="s">
        <v>160</v>
      </c>
      <c r="DK155" s="145">
        <v>432.56244218316402</v>
      </c>
      <c r="DL155" s="129" t="s">
        <v>433</v>
      </c>
      <c r="DM155" s="145" t="s">
        <v>160</v>
      </c>
      <c r="DN155" s="129" t="s">
        <v>434</v>
      </c>
      <c r="DO155" s="129">
        <v>39.616019999999999</v>
      </c>
      <c r="DP155" s="129" t="s">
        <v>160</v>
      </c>
      <c r="DQ155" s="129">
        <v>5.5550000000003763E-2</v>
      </c>
      <c r="DR155" s="129" t="s">
        <v>435</v>
      </c>
      <c r="DS155" s="129" t="s">
        <v>212</v>
      </c>
      <c r="DT155" s="129" t="s">
        <v>213</v>
      </c>
      <c r="DU155" s="129">
        <v>1.0271999999999999</v>
      </c>
      <c r="DV155" s="129" t="s">
        <v>160</v>
      </c>
      <c r="DW155" s="129" t="s">
        <v>160</v>
      </c>
      <c r="DX155" s="129" t="s">
        <v>436</v>
      </c>
      <c r="DY155" s="129" t="s">
        <v>158</v>
      </c>
      <c r="DZ155" s="129" t="s">
        <v>158</v>
      </c>
      <c r="EA155" s="129" t="s">
        <v>216</v>
      </c>
      <c r="EB155" s="129" t="s">
        <v>212</v>
      </c>
      <c r="EC155" s="129" t="s">
        <v>212</v>
      </c>
      <c r="ED155" s="129" t="s">
        <v>212</v>
      </c>
      <c r="EE155" s="129" t="s">
        <v>217</v>
      </c>
      <c r="EF155" s="147" t="s">
        <v>213</v>
      </c>
      <c r="EG155" s="148" t="s">
        <v>213</v>
      </c>
      <c r="EH155" s="129" t="s">
        <v>218</v>
      </c>
      <c r="EI155" s="129" t="s">
        <v>417</v>
      </c>
      <c r="EJ155" s="129" t="s">
        <v>160</v>
      </c>
      <c r="EK155" s="129">
        <v>1996.182</v>
      </c>
      <c r="EL155" s="129" t="s">
        <v>163</v>
      </c>
      <c r="EM155" s="129">
        <v>3.181000000000104</v>
      </c>
      <c r="EN155" s="129">
        <v>3.1910000000000447</v>
      </c>
      <c r="EO155" s="129" t="s">
        <v>160</v>
      </c>
      <c r="EP155" s="129" t="s">
        <v>160</v>
      </c>
      <c r="EQ155" s="129" t="s">
        <v>160</v>
      </c>
      <c r="ER155" s="129" t="s">
        <v>160</v>
      </c>
      <c r="ES155" s="201">
        <v>8.2079029999999999</v>
      </c>
      <c r="ET155" s="129" t="s">
        <v>165</v>
      </c>
      <c r="EU155" s="151">
        <v>3.0554999999999666E-2</v>
      </c>
      <c r="EV155" s="151">
        <v>3.1223000000000667E-2</v>
      </c>
      <c r="EW155" s="142" t="s">
        <v>160</v>
      </c>
      <c r="EX155" s="129" t="s">
        <v>160</v>
      </c>
      <c r="EY155" s="129" t="s">
        <v>160</v>
      </c>
      <c r="EZ155" s="191">
        <v>223.74549999999999</v>
      </c>
      <c r="FA155" s="191">
        <v>21.379599999999982</v>
      </c>
      <c r="FB155" s="191">
        <v>19.213600000000014</v>
      </c>
      <c r="FC155" s="129" t="s">
        <v>220</v>
      </c>
      <c r="FD155" s="129" t="s">
        <v>221</v>
      </c>
      <c r="FE155" s="129">
        <v>2370.7550000000001</v>
      </c>
      <c r="FF155" s="129">
        <v>29.95699999999988</v>
      </c>
      <c r="FG155" s="129">
        <v>29.519000000000233</v>
      </c>
      <c r="FH155" s="129" t="s">
        <v>160</v>
      </c>
      <c r="FI155" s="129" t="s">
        <v>160</v>
      </c>
      <c r="FJ155" s="129" t="s">
        <v>160</v>
      </c>
      <c r="FK155" s="129" t="s">
        <v>160</v>
      </c>
      <c r="FL155" s="129" t="s">
        <v>160</v>
      </c>
      <c r="FM155" s="129" t="s">
        <v>160</v>
      </c>
      <c r="FN155" s="151">
        <v>4.8355579999999998</v>
      </c>
      <c r="FO155" s="151">
        <v>0.22646299999999986</v>
      </c>
      <c r="FP155" s="151">
        <v>0.21448899999999949</v>
      </c>
      <c r="FQ155" s="178" t="s">
        <v>419</v>
      </c>
      <c r="FR155" s="129" t="s">
        <v>415</v>
      </c>
      <c r="FS155" s="129">
        <v>2017</v>
      </c>
      <c r="FT155" s="131" t="s">
        <v>416</v>
      </c>
    </row>
    <row r="156" spans="1:176" s="129" customFormat="1">
      <c r="A156" s="129" t="s">
        <v>152</v>
      </c>
      <c r="B156" s="166" t="s">
        <v>183</v>
      </c>
      <c r="C156" s="166">
        <v>2018</v>
      </c>
      <c r="D156" s="166" t="s">
        <v>184</v>
      </c>
      <c r="E156" s="145">
        <f t="shared" si="14"/>
        <v>191.68</v>
      </c>
      <c r="F156" s="129">
        <f t="shared" si="15"/>
        <v>2</v>
      </c>
      <c r="G156" s="129">
        <f t="shared" si="15"/>
        <v>2</v>
      </c>
      <c r="H156" s="191">
        <v>223.8134</v>
      </c>
      <c r="I156" s="191">
        <v>20.950199999999995</v>
      </c>
      <c r="J156" s="191">
        <v>19.830700000000007</v>
      </c>
      <c r="K156" s="129" t="s">
        <v>457</v>
      </c>
      <c r="L156" s="131" t="s">
        <v>185</v>
      </c>
      <c r="M156" s="132" t="s">
        <v>186</v>
      </c>
      <c r="N156" s="129" t="s">
        <v>184</v>
      </c>
      <c r="O156" s="129" t="s">
        <v>420</v>
      </c>
      <c r="P156" s="202" t="s">
        <v>156</v>
      </c>
      <c r="Q156" s="202">
        <v>1</v>
      </c>
      <c r="R156" s="202">
        <v>6</v>
      </c>
      <c r="S156" s="202">
        <v>39</v>
      </c>
      <c r="T156" s="202">
        <f t="shared" si="18"/>
        <v>41</v>
      </c>
      <c r="U156" s="202">
        <v>7.39</v>
      </c>
      <c r="V156" s="202">
        <v>7.39</v>
      </c>
      <c r="W156" s="129" t="s">
        <v>160</v>
      </c>
      <c r="X156" s="129" t="s">
        <v>421</v>
      </c>
      <c r="Y156" s="200">
        <v>12.74</v>
      </c>
      <c r="Z156" s="200">
        <v>-78.739999999999995</v>
      </c>
      <c r="AA156" s="129" t="s">
        <v>160</v>
      </c>
      <c r="AB156" s="129" t="s">
        <v>160</v>
      </c>
      <c r="AC156" s="129">
        <v>-2839</v>
      </c>
      <c r="AD156" s="129" t="s">
        <v>160</v>
      </c>
      <c r="AE156" s="129" t="s">
        <v>160</v>
      </c>
      <c r="AF156" s="129" t="s">
        <v>160</v>
      </c>
      <c r="AG156" s="145">
        <v>191.68</v>
      </c>
      <c r="AH156" s="129" t="s">
        <v>163</v>
      </c>
      <c r="AI156" s="129">
        <v>2</v>
      </c>
      <c r="AJ156" s="129">
        <v>2</v>
      </c>
      <c r="AK156" s="129" t="s">
        <v>160</v>
      </c>
      <c r="AL156" s="129" t="s">
        <v>422</v>
      </c>
      <c r="AM156" s="129" t="s">
        <v>160</v>
      </c>
      <c r="AN156" s="129" t="s">
        <v>160</v>
      </c>
      <c r="AO156" s="129" t="s">
        <v>160</v>
      </c>
      <c r="AP156" s="129" t="s">
        <v>160</v>
      </c>
      <c r="AQ156" s="129" t="s">
        <v>160</v>
      </c>
      <c r="AR156" s="129" t="s">
        <v>160</v>
      </c>
      <c r="AS156" s="129" t="s">
        <v>160</v>
      </c>
      <c r="AT156" s="129" t="s">
        <v>160</v>
      </c>
      <c r="AU156" s="129" t="s">
        <v>423</v>
      </c>
      <c r="AV156" s="129" t="s">
        <v>161</v>
      </c>
      <c r="AW156" s="129" t="s">
        <v>424</v>
      </c>
      <c r="AX156" s="178">
        <v>2</v>
      </c>
      <c r="AY156" s="129" t="s">
        <v>194</v>
      </c>
      <c r="AZ156" s="129" t="s">
        <v>195</v>
      </c>
      <c r="BA156" s="129" t="s">
        <v>425</v>
      </c>
      <c r="BB156" s="129" t="s">
        <v>160</v>
      </c>
      <c r="BC156" s="178">
        <v>2</v>
      </c>
      <c r="BD156" s="129" t="s">
        <v>160</v>
      </c>
      <c r="BE156" s="151">
        <v>20.860167669999999</v>
      </c>
      <c r="BF156" s="129" t="s">
        <v>426</v>
      </c>
      <c r="BG156" s="151">
        <v>0.22631095200000001</v>
      </c>
      <c r="BH156" s="129">
        <v>0.64</v>
      </c>
      <c r="BI156" s="129" t="s">
        <v>427</v>
      </c>
      <c r="BJ156" s="129">
        <v>3.4000000000000002E-2</v>
      </c>
      <c r="BK156" s="129">
        <v>9.1</v>
      </c>
      <c r="BL156" s="129" t="s">
        <v>163</v>
      </c>
      <c r="BM156" s="129">
        <v>0.56000000000000005</v>
      </c>
      <c r="BN156" s="129" t="s">
        <v>428</v>
      </c>
      <c r="BO156" s="129" t="s">
        <v>429</v>
      </c>
      <c r="BP156" s="151">
        <f t="shared" si="16"/>
        <v>19.983612783333335</v>
      </c>
      <c r="BQ156" s="129" t="s">
        <v>202</v>
      </c>
      <c r="BR156" s="217"/>
      <c r="BS156" s="129" t="s">
        <v>160</v>
      </c>
      <c r="BT156" s="129" t="s">
        <v>160</v>
      </c>
      <c r="BU156" s="129">
        <v>10</v>
      </c>
      <c r="BV156" s="129" t="s">
        <v>159</v>
      </c>
      <c r="BW156" s="129">
        <v>10</v>
      </c>
      <c r="BX156" s="145">
        <v>24.56</v>
      </c>
      <c r="BY156" s="129" t="s">
        <v>159</v>
      </c>
      <c r="BZ156" s="129">
        <v>1</v>
      </c>
      <c r="CA156" s="129">
        <v>1</v>
      </c>
      <c r="CB156" s="129" t="s">
        <v>160</v>
      </c>
      <c r="CC156" s="151">
        <v>3.465334334167177</v>
      </c>
      <c r="CD156" s="129" t="s">
        <v>430</v>
      </c>
      <c r="CE156" s="151">
        <v>0.13861337336668708</v>
      </c>
      <c r="CF156" s="151">
        <v>0.13861337336668708</v>
      </c>
      <c r="CG156" s="178" t="s">
        <v>160</v>
      </c>
      <c r="CH156" s="129" t="s">
        <v>431</v>
      </c>
      <c r="CI156" s="129" t="s">
        <v>160</v>
      </c>
      <c r="CJ156" s="129" t="s">
        <v>432</v>
      </c>
      <c r="CK156" s="129" t="s">
        <v>158</v>
      </c>
      <c r="CL156" s="129" t="s">
        <v>158</v>
      </c>
      <c r="CM156" s="129" t="s">
        <v>158</v>
      </c>
      <c r="CN156" s="129" t="s">
        <v>160</v>
      </c>
      <c r="CO156" s="129" t="s">
        <v>160</v>
      </c>
      <c r="CP156" s="129" t="s">
        <v>160</v>
      </c>
      <c r="CQ156" s="129" t="s">
        <v>160</v>
      </c>
      <c r="CR156" s="129" t="s">
        <v>160</v>
      </c>
      <c r="CS156" s="129" t="s">
        <v>160</v>
      </c>
      <c r="CT156" s="129" t="s">
        <v>160</v>
      </c>
      <c r="CU156" s="129">
        <v>35</v>
      </c>
      <c r="CV156" s="129" t="s">
        <v>393</v>
      </c>
      <c r="CW156" s="146">
        <v>1</v>
      </c>
      <c r="CX156" s="129" t="s">
        <v>207</v>
      </c>
      <c r="CY156" s="129">
        <v>1.06E-2</v>
      </c>
      <c r="CZ156" s="129" t="s">
        <v>159</v>
      </c>
      <c r="DA156" s="146">
        <v>0</v>
      </c>
      <c r="DB156" s="129" t="s">
        <v>208</v>
      </c>
      <c r="DC156" s="129">
        <v>5.5100000000000003E-2</v>
      </c>
      <c r="DD156" s="129" t="s">
        <v>159</v>
      </c>
      <c r="DE156" s="146">
        <v>0</v>
      </c>
      <c r="DF156" s="129" t="s">
        <v>208</v>
      </c>
      <c r="DG156" s="129" t="s">
        <v>160</v>
      </c>
      <c r="DH156" s="129" t="s">
        <v>160</v>
      </c>
      <c r="DI156" s="129" t="s">
        <v>160</v>
      </c>
      <c r="DJ156" s="129" t="s">
        <v>160</v>
      </c>
      <c r="DK156" s="145">
        <v>432.56244218316402</v>
      </c>
      <c r="DL156" s="129" t="s">
        <v>433</v>
      </c>
      <c r="DM156" s="145" t="s">
        <v>160</v>
      </c>
      <c r="DN156" s="129" t="s">
        <v>434</v>
      </c>
      <c r="DO156" s="129">
        <v>39.616129999999998</v>
      </c>
      <c r="DP156" s="129" t="s">
        <v>160</v>
      </c>
      <c r="DQ156" s="129">
        <v>5.724000000000018E-2</v>
      </c>
      <c r="DR156" s="129" t="s">
        <v>435</v>
      </c>
      <c r="DS156" s="129" t="s">
        <v>212</v>
      </c>
      <c r="DT156" s="129" t="s">
        <v>213</v>
      </c>
      <c r="DU156" s="129">
        <v>1.0271999999999999</v>
      </c>
      <c r="DV156" s="129" t="s">
        <v>160</v>
      </c>
      <c r="DW156" s="129" t="s">
        <v>160</v>
      </c>
      <c r="DX156" s="129" t="s">
        <v>436</v>
      </c>
      <c r="DY156" s="129" t="s">
        <v>158</v>
      </c>
      <c r="DZ156" s="129" t="s">
        <v>158</v>
      </c>
      <c r="EA156" s="129" t="s">
        <v>216</v>
      </c>
      <c r="EB156" s="129" t="s">
        <v>212</v>
      </c>
      <c r="EC156" s="129" t="s">
        <v>212</v>
      </c>
      <c r="ED156" s="129" t="s">
        <v>212</v>
      </c>
      <c r="EE156" s="129" t="s">
        <v>217</v>
      </c>
      <c r="EF156" s="147" t="s">
        <v>213</v>
      </c>
      <c r="EG156" s="148" t="s">
        <v>213</v>
      </c>
      <c r="EH156" s="129" t="s">
        <v>218</v>
      </c>
      <c r="EI156" s="129" t="s">
        <v>417</v>
      </c>
      <c r="EJ156" s="129" t="s">
        <v>160</v>
      </c>
      <c r="EK156" s="129">
        <v>1996.116</v>
      </c>
      <c r="EL156" s="129" t="s">
        <v>163</v>
      </c>
      <c r="EM156" s="129">
        <v>3.2560000000000922</v>
      </c>
      <c r="EN156" s="129">
        <v>3.2769999999998807</v>
      </c>
      <c r="EO156" s="129" t="s">
        <v>160</v>
      </c>
      <c r="EP156" s="129" t="s">
        <v>160</v>
      </c>
      <c r="EQ156" s="129" t="s">
        <v>160</v>
      </c>
      <c r="ER156" s="129" t="s">
        <v>160</v>
      </c>
      <c r="ES156" s="201">
        <v>8.2077679999999997</v>
      </c>
      <c r="ET156" s="129" t="s">
        <v>165</v>
      </c>
      <c r="EU156" s="151">
        <v>3.186700000000009E-2</v>
      </c>
      <c r="EV156" s="151">
        <v>3.0747999999999109E-2</v>
      </c>
      <c r="EW156" s="142" t="s">
        <v>160</v>
      </c>
      <c r="EX156" s="129" t="s">
        <v>160</v>
      </c>
      <c r="EY156" s="129" t="s">
        <v>160</v>
      </c>
      <c r="EZ156" s="191">
        <v>223.8134</v>
      </c>
      <c r="FA156" s="191">
        <v>20.950199999999995</v>
      </c>
      <c r="FB156" s="191">
        <v>19.830700000000007</v>
      </c>
      <c r="FC156" s="129" t="s">
        <v>220</v>
      </c>
      <c r="FD156" s="129" t="s">
        <v>221</v>
      </c>
      <c r="FE156" s="129">
        <v>2357.9120000000003</v>
      </c>
      <c r="FF156" s="129">
        <v>30.15099999999984</v>
      </c>
      <c r="FG156" s="129">
        <v>29.346000000000458</v>
      </c>
      <c r="FH156" s="129" t="s">
        <v>160</v>
      </c>
      <c r="FI156" s="129" t="s">
        <v>160</v>
      </c>
      <c r="FJ156" s="129" t="s">
        <v>160</v>
      </c>
      <c r="FK156" s="129" t="s">
        <v>160</v>
      </c>
      <c r="FL156" s="129" t="s">
        <v>160</v>
      </c>
      <c r="FM156" s="129" t="s">
        <v>160</v>
      </c>
      <c r="FN156" s="151">
        <v>4.6542209999999997</v>
      </c>
      <c r="FO156" s="151">
        <v>0.2144320000000004</v>
      </c>
      <c r="FP156" s="151">
        <v>0.21326399999999968</v>
      </c>
      <c r="FQ156" s="178" t="s">
        <v>419</v>
      </c>
      <c r="FR156" s="129" t="s">
        <v>415</v>
      </c>
      <c r="FS156" s="129">
        <v>2017</v>
      </c>
      <c r="FT156" s="131" t="s">
        <v>416</v>
      </c>
    </row>
    <row r="157" spans="1:176" s="129" customFormat="1">
      <c r="A157" s="129" t="s">
        <v>152</v>
      </c>
      <c r="B157" s="166" t="s">
        <v>183</v>
      </c>
      <c r="C157" s="166">
        <v>2018</v>
      </c>
      <c r="D157" s="166" t="s">
        <v>184</v>
      </c>
      <c r="E157" s="145">
        <f t="shared" si="14"/>
        <v>198.07</v>
      </c>
      <c r="F157" s="129">
        <f t="shared" si="15"/>
        <v>2</v>
      </c>
      <c r="G157" s="129">
        <f t="shared" si="15"/>
        <v>2</v>
      </c>
      <c r="H157" s="191">
        <v>246.2276</v>
      </c>
      <c r="I157" s="191">
        <v>22.467600000000004</v>
      </c>
      <c r="J157" s="191">
        <v>21.830099999999987</v>
      </c>
      <c r="K157" s="129" t="s">
        <v>457</v>
      </c>
      <c r="L157" s="131" t="s">
        <v>185</v>
      </c>
      <c r="M157" s="132" t="s">
        <v>186</v>
      </c>
      <c r="N157" s="129" t="s">
        <v>184</v>
      </c>
      <c r="O157" s="129" t="s">
        <v>420</v>
      </c>
      <c r="P157" s="203" t="s">
        <v>156</v>
      </c>
      <c r="Q157" s="203">
        <v>1</v>
      </c>
      <c r="R157" s="204" t="s">
        <v>293</v>
      </c>
      <c r="S157" s="203">
        <v>7</v>
      </c>
      <c r="T157" s="203">
        <f t="shared" si="18"/>
        <v>9</v>
      </c>
      <c r="U157" s="203">
        <v>7.62</v>
      </c>
      <c r="V157" s="203">
        <v>7.62</v>
      </c>
      <c r="W157" s="129" t="s">
        <v>160</v>
      </c>
      <c r="X157" s="129" t="s">
        <v>421</v>
      </c>
      <c r="Y157" s="200">
        <v>12.74</v>
      </c>
      <c r="Z157" s="200">
        <v>-78.739999999999995</v>
      </c>
      <c r="AA157" s="129" t="s">
        <v>160</v>
      </c>
      <c r="AB157" s="129" t="s">
        <v>160</v>
      </c>
      <c r="AC157" s="129">
        <v>-2839</v>
      </c>
      <c r="AD157" s="129" t="s">
        <v>160</v>
      </c>
      <c r="AE157" s="129" t="s">
        <v>160</v>
      </c>
      <c r="AF157" s="129" t="s">
        <v>160</v>
      </c>
      <c r="AG157" s="145">
        <v>198.07</v>
      </c>
      <c r="AH157" s="129" t="s">
        <v>163</v>
      </c>
      <c r="AI157" s="129">
        <v>2</v>
      </c>
      <c r="AJ157" s="129">
        <v>2</v>
      </c>
      <c r="AK157" s="129" t="s">
        <v>160</v>
      </c>
      <c r="AL157" s="129" t="s">
        <v>422</v>
      </c>
      <c r="AM157" s="129" t="s">
        <v>160</v>
      </c>
      <c r="AN157" s="129" t="s">
        <v>160</v>
      </c>
      <c r="AO157" s="129" t="s">
        <v>160</v>
      </c>
      <c r="AP157" s="129" t="s">
        <v>160</v>
      </c>
      <c r="AQ157" s="129" t="s">
        <v>160</v>
      </c>
      <c r="AR157" s="129" t="s">
        <v>160</v>
      </c>
      <c r="AS157" s="129" t="s">
        <v>160</v>
      </c>
      <c r="AT157" s="129" t="s">
        <v>160</v>
      </c>
      <c r="AU157" s="129" t="s">
        <v>423</v>
      </c>
      <c r="AV157" s="129" t="s">
        <v>161</v>
      </c>
      <c r="AW157" s="129" t="s">
        <v>424</v>
      </c>
      <c r="AX157" s="178">
        <v>2</v>
      </c>
      <c r="AY157" s="129" t="s">
        <v>194</v>
      </c>
      <c r="AZ157" s="129" t="s">
        <v>195</v>
      </c>
      <c r="BA157" s="129" t="s">
        <v>425</v>
      </c>
      <c r="BB157" s="129" t="s">
        <v>160</v>
      </c>
      <c r="BC157" s="178">
        <v>2</v>
      </c>
      <c r="BD157" s="129" t="s">
        <v>160</v>
      </c>
      <c r="BE157" s="151">
        <v>20.56</v>
      </c>
      <c r="BF157" s="129" t="s">
        <v>426</v>
      </c>
      <c r="BG157" s="151">
        <v>0.198417126</v>
      </c>
      <c r="BH157" s="129">
        <v>0.64</v>
      </c>
      <c r="BI157" s="129" t="s">
        <v>427</v>
      </c>
      <c r="BJ157" s="129">
        <v>3.4000000000000002E-2</v>
      </c>
      <c r="BK157" s="129">
        <v>9.1</v>
      </c>
      <c r="BL157" s="129" t="s">
        <v>163</v>
      </c>
      <c r="BM157" s="129">
        <v>0.56000000000000005</v>
      </c>
      <c r="BN157" s="129" t="s">
        <v>428</v>
      </c>
      <c r="BO157" s="129" t="s">
        <v>429</v>
      </c>
      <c r="BP157" s="151">
        <f t="shared" si="16"/>
        <v>19.483333333333334</v>
      </c>
      <c r="BQ157" s="129" t="s">
        <v>202</v>
      </c>
      <c r="BR157" s="217"/>
      <c r="BS157" s="129" t="s">
        <v>160</v>
      </c>
      <c r="BT157" s="129" t="s">
        <v>160</v>
      </c>
      <c r="BU157" s="129">
        <v>10</v>
      </c>
      <c r="BV157" s="129" t="s">
        <v>159</v>
      </c>
      <c r="BW157" s="129">
        <v>10</v>
      </c>
      <c r="BX157" s="145">
        <v>23.87</v>
      </c>
      <c r="BY157" s="129" t="s">
        <v>159</v>
      </c>
      <c r="BZ157" s="129">
        <v>1</v>
      </c>
      <c r="CA157" s="129">
        <v>1</v>
      </c>
      <c r="CB157" s="129" t="s">
        <v>160</v>
      </c>
      <c r="CC157" s="151">
        <v>3.2579561031465376</v>
      </c>
      <c r="CD157" s="129" t="s">
        <v>430</v>
      </c>
      <c r="CE157" s="151">
        <v>0.13031824412586152</v>
      </c>
      <c r="CF157" s="151">
        <v>0.13031824412586152</v>
      </c>
      <c r="CG157" s="178" t="s">
        <v>160</v>
      </c>
      <c r="CH157" s="129" t="s">
        <v>431</v>
      </c>
      <c r="CI157" s="129" t="s">
        <v>160</v>
      </c>
      <c r="CJ157" s="129" t="s">
        <v>432</v>
      </c>
      <c r="CK157" s="129" t="s">
        <v>158</v>
      </c>
      <c r="CL157" s="129" t="s">
        <v>158</v>
      </c>
      <c r="CM157" s="129" t="s">
        <v>158</v>
      </c>
      <c r="CN157" s="129" t="s">
        <v>160</v>
      </c>
      <c r="CO157" s="129" t="s">
        <v>160</v>
      </c>
      <c r="CP157" s="129" t="s">
        <v>160</v>
      </c>
      <c r="CQ157" s="129" t="s">
        <v>160</v>
      </c>
      <c r="CR157" s="129" t="s">
        <v>160</v>
      </c>
      <c r="CS157" s="129" t="s">
        <v>160</v>
      </c>
      <c r="CT157" s="129" t="s">
        <v>160</v>
      </c>
      <c r="CU157" s="129">
        <v>35</v>
      </c>
      <c r="CV157" s="129" t="s">
        <v>393</v>
      </c>
      <c r="CW157" s="146">
        <v>1</v>
      </c>
      <c r="CX157" s="129" t="s">
        <v>207</v>
      </c>
      <c r="CY157" s="129">
        <v>1.06E-2</v>
      </c>
      <c r="CZ157" s="129" t="s">
        <v>159</v>
      </c>
      <c r="DA157" s="146">
        <v>0</v>
      </c>
      <c r="DB157" s="129" t="s">
        <v>208</v>
      </c>
      <c r="DC157" s="129">
        <v>5.5100000000000003E-2</v>
      </c>
      <c r="DD157" s="129" t="s">
        <v>159</v>
      </c>
      <c r="DE157" s="146">
        <v>0</v>
      </c>
      <c r="DF157" s="129" t="s">
        <v>208</v>
      </c>
      <c r="DG157" s="129" t="s">
        <v>160</v>
      </c>
      <c r="DH157" s="129" t="s">
        <v>160</v>
      </c>
      <c r="DI157" s="129" t="s">
        <v>160</v>
      </c>
      <c r="DJ157" s="129" t="s">
        <v>160</v>
      </c>
      <c r="DK157" s="145">
        <v>432.56244218316402</v>
      </c>
      <c r="DL157" s="129" t="s">
        <v>433</v>
      </c>
      <c r="DM157" s="145" t="s">
        <v>160</v>
      </c>
      <c r="DN157" s="129" t="s">
        <v>434</v>
      </c>
      <c r="DO157" s="129">
        <v>39.617420000000003</v>
      </c>
      <c r="DP157" s="129" t="s">
        <v>160</v>
      </c>
      <c r="DQ157" s="129">
        <v>5.9959999999996683E-2</v>
      </c>
      <c r="DR157" s="129" t="s">
        <v>435</v>
      </c>
      <c r="DS157" s="129" t="s">
        <v>212</v>
      </c>
      <c r="DT157" s="129" t="s">
        <v>213</v>
      </c>
      <c r="DU157" s="129">
        <v>1.0271999999999999</v>
      </c>
      <c r="DV157" s="129" t="s">
        <v>160</v>
      </c>
      <c r="DW157" s="129" t="s">
        <v>160</v>
      </c>
      <c r="DX157" s="129" t="s">
        <v>436</v>
      </c>
      <c r="DY157" s="129" t="s">
        <v>158</v>
      </c>
      <c r="DZ157" s="129" t="s">
        <v>158</v>
      </c>
      <c r="EA157" s="129" t="s">
        <v>216</v>
      </c>
      <c r="EB157" s="129" t="s">
        <v>212</v>
      </c>
      <c r="EC157" s="129" t="s">
        <v>212</v>
      </c>
      <c r="ED157" s="129" t="s">
        <v>212</v>
      </c>
      <c r="EE157" s="129" t="s">
        <v>217</v>
      </c>
      <c r="EF157" s="147" t="s">
        <v>213</v>
      </c>
      <c r="EG157" s="148" t="s">
        <v>213</v>
      </c>
      <c r="EH157" s="129" t="s">
        <v>218</v>
      </c>
      <c r="EI157" s="129" t="s">
        <v>417</v>
      </c>
      <c r="EJ157" s="129" t="s">
        <v>160</v>
      </c>
      <c r="EK157" s="129">
        <v>1995.9959999999999</v>
      </c>
      <c r="EL157" s="129" t="s">
        <v>163</v>
      </c>
      <c r="EM157" s="129">
        <v>3.3620000000002435</v>
      </c>
      <c r="EN157" s="129">
        <v>3.3769999999997204</v>
      </c>
      <c r="EO157" s="129" t="s">
        <v>160</v>
      </c>
      <c r="EP157" s="129" t="s">
        <v>160</v>
      </c>
      <c r="EQ157" s="129" t="s">
        <v>160</v>
      </c>
      <c r="ER157" s="129" t="s">
        <v>160</v>
      </c>
      <c r="ES157" s="201">
        <v>8.1753689999999999</v>
      </c>
      <c r="ET157" s="129" t="s">
        <v>165</v>
      </c>
      <c r="EU157" s="151">
        <v>3.2441999999999638E-2</v>
      </c>
      <c r="EV157" s="151">
        <v>3.0791999999999931E-2</v>
      </c>
      <c r="EW157" s="142" t="s">
        <v>160</v>
      </c>
      <c r="EX157" s="129" t="s">
        <v>160</v>
      </c>
      <c r="EY157" s="129" t="s">
        <v>160</v>
      </c>
      <c r="EZ157" s="191">
        <v>246.2276</v>
      </c>
      <c r="FA157" s="191">
        <v>22.467600000000004</v>
      </c>
      <c r="FB157" s="191">
        <v>21.830099999999987</v>
      </c>
      <c r="FC157" s="129" t="s">
        <v>220</v>
      </c>
      <c r="FD157" s="129" t="s">
        <v>221</v>
      </c>
      <c r="FE157" s="129">
        <v>2325.1010000000001</v>
      </c>
      <c r="FF157" s="129">
        <v>28.735999999999876</v>
      </c>
      <c r="FG157" s="129">
        <v>28.996000000000095</v>
      </c>
      <c r="FH157" s="129" t="s">
        <v>160</v>
      </c>
      <c r="FI157" s="129" t="s">
        <v>160</v>
      </c>
      <c r="FJ157" s="129" t="s">
        <v>160</v>
      </c>
      <c r="FK157" s="129" t="s">
        <v>160</v>
      </c>
      <c r="FL157" s="129" t="s">
        <v>160</v>
      </c>
      <c r="FM157" s="129" t="s">
        <v>160</v>
      </c>
      <c r="FN157" s="151">
        <v>4.253298</v>
      </c>
      <c r="FO157" s="151">
        <v>0.19948500000000013</v>
      </c>
      <c r="FP157" s="151">
        <v>0.1930430000000003</v>
      </c>
      <c r="FQ157" s="178" t="s">
        <v>419</v>
      </c>
      <c r="FR157" s="129" t="s">
        <v>415</v>
      </c>
      <c r="FS157" s="129">
        <v>2017</v>
      </c>
      <c r="FT157" s="131" t="s">
        <v>416</v>
      </c>
    </row>
    <row r="158" spans="1:176" s="129" customFormat="1">
      <c r="A158" s="129" t="s">
        <v>152</v>
      </c>
      <c r="B158" s="166" t="s">
        <v>183</v>
      </c>
      <c r="C158" s="166">
        <v>2018</v>
      </c>
      <c r="D158" s="166" t="s">
        <v>184</v>
      </c>
      <c r="E158" s="145">
        <f t="shared" si="14"/>
        <v>211.57</v>
      </c>
      <c r="F158" s="129">
        <f t="shared" si="15"/>
        <v>2</v>
      </c>
      <c r="G158" s="129">
        <f t="shared" si="15"/>
        <v>2</v>
      </c>
      <c r="H158" s="191">
        <v>274.42059999999998</v>
      </c>
      <c r="I158" s="191">
        <v>27.412800000000061</v>
      </c>
      <c r="J158" s="191">
        <v>24.916200000000003</v>
      </c>
      <c r="K158" s="129" t="s">
        <v>457</v>
      </c>
      <c r="L158" s="131" t="s">
        <v>185</v>
      </c>
      <c r="M158" s="132" t="s">
        <v>186</v>
      </c>
      <c r="N158" s="129" t="s">
        <v>184</v>
      </c>
      <c r="O158" s="129" t="s">
        <v>420</v>
      </c>
      <c r="P158" s="203" t="s">
        <v>156</v>
      </c>
      <c r="Q158" s="203">
        <v>2</v>
      </c>
      <c r="R158" s="203">
        <v>1</v>
      </c>
      <c r="S158" s="203">
        <v>39</v>
      </c>
      <c r="T158" s="203">
        <v>40</v>
      </c>
      <c r="U158" s="203">
        <v>7.99</v>
      </c>
      <c r="V158" s="203">
        <v>7.99</v>
      </c>
      <c r="W158" s="129" t="s">
        <v>160</v>
      </c>
      <c r="X158" s="129" t="s">
        <v>421</v>
      </c>
      <c r="Y158" s="200">
        <v>12.74</v>
      </c>
      <c r="Z158" s="200">
        <v>-78.739999999999995</v>
      </c>
      <c r="AA158" s="129" t="s">
        <v>160</v>
      </c>
      <c r="AB158" s="129" t="s">
        <v>160</v>
      </c>
      <c r="AC158" s="129">
        <v>-2839</v>
      </c>
      <c r="AD158" s="129" t="s">
        <v>160</v>
      </c>
      <c r="AE158" s="129" t="s">
        <v>160</v>
      </c>
      <c r="AF158" s="129" t="s">
        <v>160</v>
      </c>
      <c r="AG158" s="145">
        <v>211.57</v>
      </c>
      <c r="AH158" s="129" t="s">
        <v>163</v>
      </c>
      <c r="AI158" s="129">
        <v>2</v>
      </c>
      <c r="AJ158" s="129">
        <v>2</v>
      </c>
      <c r="AK158" s="129" t="s">
        <v>160</v>
      </c>
      <c r="AL158" s="129" t="s">
        <v>422</v>
      </c>
      <c r="AM158" s="129" t="s">
        <v>160</v>
      </c>
      <c r="AN158" s="129" t="s">
        <v>160</v>
      </c>
      <c r="AO158" s="129" t="s">
        <v>160</v>
      </c>
      <c r="AP158" s="129" t="s">
        <v>160</v>
      </c>
      <c r="AQ158" s="129" t="s">
        <v>160</v>
      </c>
      <c r="AR158" s="129" t="s">
        <v>160</v>
      </c>
      <c r="AS158" s="129" t="s">
        <v>160</v>
      </c>
      <c r="AT158" s="129" t="s">
        <v>160</v>
      </c>
      <c r="AU158" s="129" t="s">
        <v>423</v>
      </c>
      <c r="AV158" s="129" t="s">
        <v>161</v>
      </c>
      <c r="AW158" s="129" t="s">
        <v>424</v>
      </c>
      <c r="AX158" s="178">
        <v>2</v>
      </c>
      <c r="AY158" s="129" t="s">
        <v>194</v>
      </c>
      <c r="AZ158" s="129" t="s">
        <v>195</v>
      </c>
      <c r="BA158" s="129" t="s">
        <v>425</v>
      </c>
      <c r="BB158" s="129" t="s">
        <v>160</v>
      </c>
      <c r="BC158" s="178">
        <v>2</v>
      </c>
      <c r="BD158" s="129" t="s">
        <v>160</v>
      </c>
      <c r="BE158" s="151">
        <v>20.36</v>
      </c>
      <c r="BF158" s="129" t="s">
        <v>426</v>
      </c>
      <c r="BG158" s="151">
        <v>0.230040258</v>
      </c>
      <c r="BH158" s="129">
        <v>0.64</v>
      </c>
      <c r="BI158" s="129" t="s">
        <v>427</v>
      </c>
      <c r="BJ158" s="129">
        <v>3.4000000000000002E-2</v>
      </c>
      <c r="BK158" s="129">
        <v>9.1</v>
      </c>
      <c r="BL158" s="129" t="s">
        <v>163</v>
      </c>
      <c r="BM158" s="129">
        <v>0.56000000000000005</v>
      </c>
      <c r="BN158" s="129" t="s">
        <v>428</v>
      </c>
      <c r="BO158" s="129" t="s">
        <v>429</v>
      </c>
      <c r="BP158" s="151">
        <f t="shared" si="16"/>
        <v>19.150000000000002</v>
      </c>
      <c r="BQ158" s="129" t="s">
        <v>202</v>
      </c>
      <c r="BR158" s="217"/>
      <c r="BS158" s="129" t="s">
        <v>160</v>
      </c>
      <c r="BT158" s="129" t="s">
        <v>160</v>
      </c>
      <c r="BU158" s="129">
        <v>10</v>
      </c>
      <c r="BV158" s="129" t="s">
        <v>159</v>
      </c>
      <c r="BW158" s="129">
        <v>10</v>
      </c>
      <c r="BX158" s="145">
        <v>24.7</v>
      </c>
      <c r="BY158" s="129" t="s">
        <v>159</v>
      </c>
      <c r="BZ158" s="129">
        <v>1</v>
      </c>
      <c r="CA158" s="129">
        <v>1</v>
      </c>
      <c r="CB158" s="129" t="s">
        <v>160</v>
      </c>
      <c r="CC158" s="151">
        <v>3.5087407198133413</v>
      </c>
      <c r="CD158" s="129" t="s">
        <v>430</v>
      </c>
      <c r="CE158" s="151">
        <v>0.14034962879253365</v>
      </c>
      <c r="CF158" s="151">
        <v>0.14034962879253365</v>
      </c>
      <c r="CG158" s="178" t="s">
        <v>160</v>
      </c>
      <c r="CH158" s="129" t="s">
        <v>431</v>
      </c>
      <c r="CI158" s="129" t="s">
        <v>160</v>
      </c>
      <c r="CJ158" s="129" t="s">
        <v>432</v>
      </c>
      <c r="CK158" s="129" t="s">
        <v>158</v>
      </c>
      <c r="CL158" s="129" t="s">
        <v>158</v>
      </c>
      <c r="CM158" s="129" t="s">
        <v>158</v>
      </c>
      <c r="CN158" s="129" t="s">
        <v>160</v>
      </c>
      <c r="CO158" s="129" t="s">
        <v>160</v>
      </c>
      <c r="CP158" s="129" t="s">
        <v>160</v>
      </c>
      <c r="CQ158" s="129" t="s">
        <v>160</v>
      </c>
      <c r="CR158" s="129" t="s">
        <v>160</v>
      </c>
      <c r="CS158" s="129" t="s">
        <v>160</v>
      </c>
      <c r="CT158" s="129" t="s">
        <v>160</v>
      </c>
      <c r="CU158" s="129">
        <v>35</v>
      </c>
      <c r="CV158" s="129" t="s">
        <v>393</v>
      </c>
      <c r="CW158" s="146">
        <v>1</v>
      </c>
      <c r="CX158" s="129" t="s">
        <v>207</v>
      </c>
      <c r="CY158" s="129">
        <v>1.06E-2</v>
      </c>
      <c r="CZ158" s="129" t="s">
        <v>159</v>
      </c>
      <c r="DA158" s="146">
        <v>0</v>
      </c>
      <c r="DB158" s="129" t="s">
        <v>208</v>
      </c>
      <c r="DC158" s="129">
        <v>5.5100000000000003E-2</v>
      </c>
      <c r="DD158" s="129" t="s">
        <v>159</v>
      </c>
      <c r="DE158" s="146">
        <v>0</v>
      </c>
      <c r="DF158" s="129" t="s">
        <v>208</v>
      </c>
      <c r="DG158" s="129" t="s">
        <v>160</v>
      </c>
      <c r="DH158" s="129" t="s">
        <v>160</v>
      </c>
      <c r="DI158" s="129" t="s">
        <v>160</v>
      </c>
      <c r="DJ158" s="129" t="s">
        <v>160</v>
      </c>
      <c r="DK158" s="145">
        <v>432.56244218316402</v>
      </c>
      <c r="DL158" s="129" t="s">
        <v>433</v>
      </c>
      <c r="DM158" s="145" t="s">
        <v>160</v>
      </c>
      <c r="DN158" s="129" t="s">
        <v>434</v>
      </c>
      <c r="DO158" s="129">
        <v>39.616500000000002</v>
      </c>
      <c r="DP158" s="129" t="s">
        <v>160</v>
      </c>
      <c r="DQ158" s="129">
        <v>6.5329999999995891E-2</v>
      </c>
      <c r="DR158" s="129" t="s">
        <v>435</v>
      </c>
      <c r="DS158" s="129" t="s">
        <v>212</v>
      </c>
      <c r="DT158" s="129" t="s">
        <v>213</v>
      </c>
      <c r="DU158" s="129">
        <v>1.0271999999999999</v>
      </c>
      <c r="DV158" s="129" t="s">
        <v>160</v>
      </c>
      <c r="DW158" s="129" t="s">
        <v>160</v>
      </c>
      <c r="DX158" s="129" t="s">
        <v>436</v>
      </c>
      <c r="DY158" s="129" t="s">
        <v>158</v>
      </c>
      <c r="DZ158" s="129" t="s">
        <v>158</v>
      </c>
      <c r="EA158" s="129" t="s">
        <v>216</v>
      </c>
      <c r="EB158" s="129" t="s">
        <v>212</v>
      </c>
      <c r="EC158" s="129" t="s">
        <v>212</v>
      </c>
      <c r="ED158" s="129" t="s">
        <v>212</v>
      </c>
      <c r="EE158" s="129" t="s">
        <v>217</v>
      </c>
      <c r="EF158" s="147" t="s">
        <v>213</v>
      </c>
      <c r="EG158" s="148" t="s">
        <v>213</v>
      </c>
      <c r="EH158" s="129" t="s">
        <v>218</v>
      </c>
      <c r="EI158" s="129" t="s">
        <v>417</v>
      </c>
      <c r="EJ158" s="129" t="s">
        <v>160</v>
      </c>
      <c r="EK158" s="129">
        <v>1995.6949999999999</v>
      </c>
      <c r="EL158" s="129" t="s">
        <v>163</v>
      </c>
      <c r="EM158" s="129">
        <v>3.5140000000000344</v>
      </c>
      <c r="EN158" s="129">
        <v>3.5659999999999856</v>
      </c>
      <c r="EO158" s="129" t="s">
        <v>160</v>
      </c>
      <c r="EP158" s="129" t="s">
        <v>160</v>
      </c>
      <c r="EQ158" s="129" t="s">
        <v>160</v>
      </c>
      <c r="ER158" s="129" t="s">
        <v>160</v>
      </c>
      <c r="ES158" s="201">
        <v>8.1382349999999999</v>
      </c>
      <c r="ET158" s="129" t="s">
        <v>165</v>
      </c>
      <c r="EU158" s="151">
        <v>3.3046000000000575E-2</v>
      </c>
      <c r="EV158" s="151">
        <v>3.3853999999999829E-2</v>
      </c>
      <c r="EW158" s="142" t="s">
        <v>160</v>
      </c>
      <c r="EX158" s="129" t="s">
        <v>160</v>
      </c>
      <c r="EY158" s="129" t="s">
        <v>160</v>
      </c>
      <c r="EZ158" s="191">
        <v>274.42059999999998</v>
      </c>
      <c r="FA158" s="191">
        <v>27.412800000000061</v>
      </c>
      <c r="FB158" s="191">
        <v>24.916200000000003</v>
      </c>
      <c r="FC158" s="129" t="s">
        <v>220</v>
      </c>
      <c r="FD158" s="129" t="s">
        <v>221</v>
      </c>
      <c r="FE158" s="129">
        <v>2305.9399999999996</v>
      </c>
      <c r="FF158" s="129">
        <v>28.46100000000024</v>
      </c>
      <c r="FG158" s="129">
        <v>29.414999999999509</v>
      </c>
      <c r="FH158" s="129" t="s">
        <v>160</v>
      </c>
      <c r="FI158" s="129" t="s">
        <v>160</v>
      </c>
      <c r="FJ158" s="129" t="s">
        <v>160</v>
      </c>
      <c r="FK158" s="129" t="s">
        <v>160</v>
      </c>
      <c r="FL158" s="129" t="s">
        <v>160</v>
      </c>
      <c r="FM158" s="129" t="s">
        <v>160</v>
      </c>
      <c r="FN158" s="151">
        <v>4.0642240000000003</v>
      </c>
      <c r="FO158" s="151">
        <v>0.21606399999999937</v>
      </c>
      <c r="FP158" s="151">
        <v>0.21044500000000044</v>
      </c>
      <c r="FQ158" s="178" t="s">
        <v>419</v>
      </c>
      <c r="FR158" s="129" t="s">
        <v>415</v>
      </c>
      <c r="FS158" s="129">
        <v>2017</v>
      </c>
      <c r="FT158" s="131" t="s">
        <v>416</v>
      </c>
    </row>
    <row r="159" spans="1:176" s="129" customFormat="1">
      <c r="A159" s="129" t="s">
        <v>152</v>
      </c>
      <c r="B159" s="166" t="s">
        <v>183</v>
      </c>
      <c r="C159" s="166">
        <v>2018</v>
      </c>
      <c r="D159" s="166" t="s">
        <v>184</v>
      </c>
      <c r="E159" s="145">
        <f t="shared" si="14"/>
        <v>220.44</v>
      </c>
      <c r="F159" s="129">
        <f t="shared" si="15"/>
        <v>2</v>
      </c>
      <c r="G159" s="129">
        <f t="shared" si="15"/>
        <v>2</v>
      </c>
      <c r="H159" s="191">
        <v>261.02539999999999</v>
      </c>
      <c r="I159" s="191">
        <v>24.349300000000028</v>
      </c>
      <c r="J159" s="191">
        <v>22.289599999999979</v>
      </c>
      <c r="K159" s="129" t="s">
        <v>457</v>
      </c>
      <c r="L159" s="131" t="s">
        <v>185</v>
      </c>
      <c r="M159" s="132" t="s">
        <v>186</v>
      </c>
      <c r="N159" s="129" t="s">
        <v>184</v>
      </c>
      <c r="O159" s="129" t="s">
        <v>420</v>
      </c>
      <c r="P159" s="202" t="s">
        <v>156</v>
      </c>
      <c r="Q159" s="202">
        <v>2</v>
      </c>
      <c r="R159" s="202">
        <v>1</v>
      </c>
      <c r="S159" s="202">
        <v>59</v>
      </c>
      <c r="T159" s="202">
        <f t="shared" ref="T159:T165" si="19">S159+2</f>
        <v>61</v>
      </c>
      <c r="U159" s="202">
        <v>8.19</v>
      </c>
      <c r="V159" s="202">
        <v>8.19</v>
      </c>
      <c r="W159" s="129" t="s">
        <v>160</v>
      </c>
      <c r="X159" s="129" t="s">
        <v>421</v>
      </c>
      <c r="Y159" s="200">
        <v>12.74</v>
      </c>
      <c r="Z159" s="200">
        <v>-78.739999999999995</v>
      </c>
      <c r="AA159" s="129" t="s">
        <v>160</v>
      </c>
      <c r="AB159" s="129" t="s">
        <v>160</v>
      </c>
      <c r="AC159" s="129">
        <v>-2839</v>
      </c>
      <c r="AD159" s="129" t="s">
        <v>160</v>
      </c>
      <c r="AE159" s="129" t="s">
        <v>160</v>
      </c>
      <c r="AF159" s="129" t="s">
        <v>160</v>
      </c>
      <c r="AG159" s="145">
        <v>220.44</v>
      </c>
      <c r="AH159" s="129" t="s">
        <v>163</v>
      </c>
      <c r="AI159" s="129">
        <v>2</v>
      </c>
      <c r="AJ159" s="129">
        <v>2</v>
      </c>
      <c r="AK159" s="129" t="s">
        <v>160</v>
      </c>
      <c r="AL159" s="129" t="s">
        <v>422</v>
      </c>
      <c r="AM159" s="129" t="s">
        <v>160</v>
      </c>
      <c r="AN159" s="129" t="s">
        <v>160</v>
      </c>
      <c r="AO159" s="129" t="s">
        <v>160</v>
      </c>
      <c r="AP159" s="129" t="s">
        <v>160</v>
      </c>
      <c r="AQ159" s="129" t="s">
        <v>160</v>
      </c>
      <c r="AR159" s="129" t="s">
        <v>160</v>
      </c>
      <c r="AS159" s="129" t="s">
        <v>160</v>
      </c>
      <c r="AT159" s="129" t="s">
        <v>160</v>
      </c>
      <c r="AU159" s="129" t="s">
        <v>423</v>
      </c>
      <c r="AV159" s="129" t="s">
        <v>161</v>
      </c>
      <c r="AW159" s="129" t="s">
        <v>424</v>
      </c>
      <c r="AX159" s="178">
        <v>2</v>
      </c>
      <c r="AY159" s="129" t="s">
        <v>194</v>
      </c>
      <c r="AZ159" s="129" t="s">
        <v>195</v>
      </c>
      <c r="BA159" s="129" t="s">
        <v>425</v>
      </c>
      <c r="BB159" s="129" t="s">
        <v>160</v>
      </c>
      <c r="BC159" s="178">
        <v>2</v>
      </c>
      <c r="BD159" s="129" t="s">
        <v>160</v>
      </c>
      <c r="BE159" s="151">
        <v>20.668151049999999</v>
      </c>
      <c r="BF159" s="129" t="s">
        <v>426</v>
      </c>
      <c r="BG159" s="151">
        <v>0.19394533799999999</v>
      </c>
      <c r="BH159" s="129">
        <v>0.64</v>
      </c>
      <c r="BI159" s="129" t="s">
        <v>427</v>
      </c>
      <c r="BJ159" s="129">
        <v>3.4000000000000002E-2</v>
      </c>
      <c r="BK159" s="129">
        <v>9.1</v>
      </c>
      <c r="BL159" s="129" t="s">
        <v>163</v>
      </c>
      <c r="BM159" s="129">
        <v>0.56000000000000005</v>
      </c>
      <c r="BN159" s="129" t="s">
        <v>428</v>
      </c>
      <c r="BO159" s="129" t="s">
        <v>429</v>
      </c>
      <c r="BP159" s="151">
        <f t="shared" si="16"/>
        <v>19.663585083333334</v>
      </c>
      <c r="BQ159" s="129" t="s">
        <v>202</v>
      </c>
      <c r="BR159" s="217"/>
      <c r="BS159" s="129" t="s">
        <v>160</v>
      </c>
      <c r="BT159" s="129" t="s">
        <v>160</v>
      </c>
      <c r="BU159" s="129">
        <v>10</v>
      </c>
      <c r="BV159" s="129" t="s">
        <v>159</v>
      </c>
      <c r="BW159" s="129">
        <v>10</v>
      </c>
      <c r="BX159" s="145">
        <v>26.81</v>
      </c>
      <c r="BY159" s="129" t="s">
        <v>159</v>
      </c>
      <c r="BZ159" s="129">
        <v>1</v>
      </c>
      <c r="CA159" s="129">
        <v>1</v>
      </c>
      <c r="CB159" s="129" t="s">
        <v>160</v>
      </c>
      <c r="CC159" s="151">
        <v>4.2431889571484911</v>
      </c>
      <c r="CD159" s="129" t="s">
        <v>430</v>
      </c>
      <c r="CE159" s="151">
        <v>0.16972755828593963</v>
      </c>
      <c r="CF159" s="151">
        <v>0.16972755828593963</v>
      </c>
      <c r="CG159" s="178" t="s">
        <v>160</v>
      </c>
      <c r="CH159" s="129" t="s">
        <v>431</v>
      </c>
      <c r="CI159" s="129" t="s">
        <v>160</v>
      </c>
      <c r="CJ159" s="129" t="s">
        <v>432</v>
      </c>
      <c r="CK159" s="129" t="s">
        <v>158</v>
      </c>
      <c r="CL159" s="129" t="s">
        <v>158</v>
      </c>
      <c r="CM159" s="129" t="s">
        <v>158</v>
      </c>
      <c r="CN159" s="129" t="s">
        <v>160</v>
      </c>
      <c r="CO159" s="129" t="s">
        <v>160</v>
      </c>
      <c r="CP159" s="129" t="s">
        <v>160</v>
      </c>
      <c r="CQ159" s="129" t="s">
        <v>160</v>
      </c>
      <c r="CR159" s="129" t="s">
        <v>160</v>
      </c>
      <c r="CS159" s="129" t="s">
        <v>160</v>
      </c>
      <c r="CT159" s="129" t="s">
        <v>160</v>
      </c>
      <c r="CU159" s="129">
        <v>35</v>
      </c>
      <c r="CV159" s="129" t="s">
        <v>393</v>
      </c>
      <c r="CW159" s="146">
        <v>1</v>
      </c>
      <c r="CX159" s="129" t="s">
        <v>207</v>
      </c>
      <c r="CY159" s="129">
        <v>1.06E-2</v>
      </c>
      <c r="CZ159" s="129" t="s">
        <v>159</v>
      </c>
      <c r="DA159" s="146">
        <v>0</v>
      </c>
      <c r="DB159" s="129" t="s">
        <v>208</v>
      </c>
      <c r="DC159" s="129">
        <v>5.5100000000000003E-2</v>
      </c>
      <c r="DD159" s="129" t="s">
        <v>159</v>
      </c>
      <c r="DE159" s="146">
        <v>0</v>
      </c>
      <c r="DF159" s="129" t="s">
        <v>208</v>
      </c>
      <c r="DG159" s="129" t="s">
        <v>160</v>
      </c>
      <c r="DH159" s="129" t="s">
        <v>160</v>
      </c>
      <c r="DI159" s="129" t="s">
        <v>160</v>
      </c>
      <c r="DJ159" s="129" t="s">
        <v>160</v>
      </c>
      <c r="DK159" s="145">
        <v>432.56244218316402</v>
      </c>
      <c r="DL159" s="129" t="s">
        <v>433</v>
      </c>
      <c r="DM159" s="145" t="s">
        <v>160</v>
      </c>
      <c r="DN159" s="129" t="s">
        <v>434</v>
      </c>
      <c r="DO159" s="129">
        <v>39.618110000000001</v>
      </c>
      <c r="DP159" s="129" t="s">
        <v>160</v>
      </c>
      <c r="DQ159" s="129">
        <v>6.6130000000001132E-2</v>
      </c>
      <c r="DR159" s="129" t="s">
        <v>435</v>
      </c>
      <c r="DS159" s="129" t="s">
        <v>212</v>
      </c>
      <c r="DT159" s="129" t="s">
        <v>213</v>
      </c>
      <c r="DU159" s="129">
        <v>1.0271999999999999</v>
      </c>
      <c r="DV159" s="129" t="s">
        <v>160</v>
      </c>
      <c r="DW159" s="129" t="s">
        <v>160</v>
      </c>
      <c r="DX159" s="129" t="s">
        <v>436</v>
      </c>
      <c r="DY159" s="129" t="s">
        <v>158</v>
      </c>
      <c r="DZ159" s="129" t="s">
        <v>158</v>
      </c>
      <c r="EA159" s="129" t="s">
        <v>216</v>
      </c>
      <c r="EB159" s="129" t="s">
        <v>212</v>
      </c>
      <c r="EC159" s="129" t="s">
        <v>212</v>
      </c>
      <c r="ED159" s="129" t="s">
        <v>212</v>
      </c>
      <c r="EE159" s="129" t="s">
        <v>217</v>
      </c>
      <c r="EF159" s="147" t="s">
        <v>213</v>
      </c>
      <c r="EG159" s="148" t="s">
        <v>213</v>
      </c>
      <c r="EH159" s="129" t="s">
        <v>218</v>
      </c>
      <c r="EI159" s="129" t="s">
        <v>417</v>
      </c>
      <c r="EJ159" s="129" t="s">
        <v>160</v>
      </c>
      <c r="EK159" s="129">
        <v>1995.5620000000001</v>
      </c>
      <c r="EL159" s="129" t="s">
        <v>163</v>
      </c>
      <c r="EM159" s="129">
        <v>3.7259999999999032</v>
      </c>
      <c r="EN159" s="129">
        <v>3.7140000000001478</v>
      </c>
      <c r="EO159" s="129" t="s">
        <v>160</v>
      </c>
      <c r="EP159" s="129" t="s">
        <v>160</v>
      </c>
      <c r="EQ159" s="129" t="s">
        <v>160</v>
      </c>
      <c r="ER159" s="129" t="s">
        <v>160</v>
      </c>
      <c r="ES159" s="201">
        <v>8.1562570000000001</v>
      </c>
      <c r="ET159" s="129" t="s">
        <v>165</v>
      </c>
      <c r="EU159" s="151">
        <v>3.1235999999999819E-2</v>
      </c>
      <c r="EV159" s="151">
        <v>3.1950000000000145E-2</v>
      </c>
      <c r="EW159" s="142" t="s">
        <v>160</v>
      </c>
      <c r="EX159" s="129" t="s">
        <v>160</v>
      </c>
      <c r="EY159" s="129" t="s">
        <v>160</v>
      </c>
      <c r="EZ159" s="191">
        <v>261.02539999999999</v>
      </c>
      <c r="FA159" s="191">
        <v>24.349300000000028</v>
      </c>
      <c r="FB159" s="191">
        <v>22.289599999999979</v>
      </c>
      <c r="FC159" s="129" t="s">
        <v>220</v>
      </c>
      <c r="FD159" s="129" t="s">
        <v>221</v>
      </c>
      <c r="FE159" s="129">
        <v>2342.1800000000003</v>
      </c>
      <c r="FF159" s="129">
        <v>29.804999999999836</v>
      </c>
      <c r="FG159" s="129">
        <v>29.210000000000036</v>
      </c>
      <c r="FH159" s="129" t="s">
        <v>160</v>
      </c>
      <c r="FI159" s="129" t="s">
        <v>160</v>
      </c>
      <c r="FJ159" s="129" t="s">
        <v>160</v>
      </c>
      <c r="FK159" s="129" t="s">
        <v>160</v>
      </c>
      <c r="FL159" s="129" t="s">
        <v>160</v>
      </c>
      <c r="FM159" s="129" t="s">
        <v>160</v>
      </c>
      <c r="FN159" s="151">
        <v>4.5492900000000001</v>
      </c>
      <c r="FO159" s="151">
        <v>0.20967000000000002</v>
      </c>
      <c r="FP159" s="151">
        <v>0.2059470000000001</v>
      </c>
      <c r="FQ159" s="178" t="s">
        <v>419</v>
      </c>
      <c r="FR159" s="129" t="s">
        <v>415</v>
      </c>
      <c r="FS159" s="129">
        <v>2017</v>
      </c>
      <c r="FT159" s="131" t="s">
        <v>416</v>
      </c>
    </row>
    <row r="160" spans="1:176" s="129" customFormat="1">
      <c r="A160" s="129" t="s">
        <v>152</v>
      </c>
      <c r="B160" s="166" t="s">
        <v>183</v>
      </c>
      <c r="C160" s="166">
        <v>2018</v>
      </c>
      <c r="D160" s="166" t="s">
        <v>184</v>
      </c>
      <c r="E160" s="145">
        <f t="shared" si="14"/>
        <v>223.66</v>
      </c>
      <c r="F160" s="129">
        <f t="shared" si="15"/>
        <v>2</v>
      </c>
      <c r="G160" s="129">
        <f t="shared" si="15"/>
        <v>2</v>
      </c>
      <c r="H160" s="191">
        <v>259.32499999999999</v>
      </c>
      <c r="I160" s="191">
        <v>27.23399999999998</v>
      </c>
      <c r="J160" s="191">
        <v>24.373899999999992</v>
      </c>
      <c r="K160" s="129" t="s">
        <v>457</v>
      </c>
      <c r="L160" s="131" t="s">
        <v>185</v>
      </c>
      <c r="M160" s="132" t="s">
        <v>186</v>
      </c>
      <c r="N160" s="129" t="s">
        <v>184</v>
      </c>
      <c r="O160" s="129" t="s">
        <v>420</v>
      </c>
      <c r="P160" s="202" t="s">
        <v>156</v>
      </c>
      <c r="Q160" s="202">
        <v>2</v>
      </c>
      <c r="R160" s="202">
        <v>1</v>
      </c>
      <c r="S160" s="202">
        <v>69</v>
      </c>
      <c r="T160" s="202">
        <f t="shared" si="19"/>
        <v>71</v>
      </c>
      <c r="U160" s="202">
        <v>8.2899999999999991</v>
      </c>
      <c r="V160" s="202">
        <v>8.2899999999999991</v>
      </c>
      <c r="W160" s="129" t="s">
        <v>160</v>
      </c>
      <c r="X160" s="129" t="s">
        <v>421</v>
      </c>
      <c r="Y160" s="200">
        <v>12.74</v>
      </c>
      <c r="Z160" s="200">
        <v>-78.739999999999995</v>
      </c>
      <c r="AA160" s="129" t="s">
        <v>160</v>
      </c>
      <c r="AB160" s="129" t="s">
        <v>160</v>
      </c>
      <c r="AC160" s="129">
        <v>-2839</v>
      </c>
      <c r="AD160" s="129" t="s">
        <v>160</v>
      </c>
      <c r="AE160" s="129" t="s">
        <v>160</v>
      </c>
      <c r="AF160" s="129" t="s">
        <v>160</v>
      </c>
      <c r="AG160" s="145">
        <v>223.66</v>
      </c>
      <c r="AH160" s="129" t="s">
        <v>163</v>
      </c>
      <c r="AI160" s="129">
        <v>2</v>
      </c>
      <c r="AJ160" s="129">
        <v>2</v>
      </c>
      <c r="AK160" s="129" t="s">
        <v>160</v>
      </c>
      <c r="AL160" s="129" t="s">
        <v>422</v>
      </c>
      <c r="AM160" s="129" t="s">
        <v>160</v>
      </c>
      <c r="AN160" s="129" t="s">
        <v>160</v>
      </c>
      <c r="AO160" s="129" t="s">
        <v>160</v>
      </c>
      <c r="AP160" s="129" t="s">
        <v>160</v>
      </c>
      <c r="AQ160" s="129" t="s">
        <v>160</v>
      </c>
      <c r="AR160" s="129" t="s">
        <v>160</v>
      </c>
      <c r="AS160" s="129" t="s">
        <v>160</v>
      </c>
      <c r="AT160" s="129" t="s">
        <v>160</v>
      </c>
      <c r="AU160" s="129" t="s">
        <v>423</v>
      </c>
      <c r="AV160" s="129" t="s">
        <v>161</v>
      </c>
      <c r="AW160" s="129" t="s">
        <v>424</v>
      </c>
      <c r="AX160" s="178">
        <v>2</v>
      </c>
      <c r="AY160" s="129" t="s">
        <v>194</v>
      </c>
      <c r="AZ160" s="129" t="s">
        <v>195</v>
      </c>
      <c r="BA160" s="129" t="s">
        <v>425</v>
      </c>
      <c r="BB160" s="129" t="s">
        <v>160</v>
      </c>
      <c r="BC160" s="178">
        <v>2</v>
      </c>
      <c r="BD160" s="129" t="s">
        <v>160</v>
      </c>
      <c r="BE160" s="151">
        <v>20.67404603</v>
      </c>
      <c r="BF160" s="129" t="s">
        <v>426</v>
      </c>
      <c r="BG160" s="151">
        <v>0.26760005199999998</v>
      </c>
      <c r="BH160" s="129">
        <v>0.64</v>
      </c>
      <c r="BI160" s="129" t="s">
        <v>427</v>
      </c>
      <c r="BJ160" s="129">
        <v>3.4000000000000002E-2</v>
      </c>
      <c r="BK160" s="129">
        <v>9.1</v>
      </c>
      <c r="BL160" s="129" t="s">
        <v>163</v>
      </c>
      <c r="BM160" s="129">
        <v>0.56000000000000005</v>
      </c>
      <c r="BN160" s="129" t="s">
        <v>428</v>
      </c>
      <c r="BO160" s="129" t="s">
        <v>429</v>
      </c>
      <c r="BP160" s="151">
        <f t="shared" si="16"/>
        <v>19.673410050000001</v>
      </c>
      <c r="BQ160" s="129" t="s">
        <v>202</v>
      </c>
      <c r="BR160" s="217"/>
      <c r="BS160" s="129" t="s">
        <v>160</v>
      </c>
      <c r="BT160" s="129" t="s">
        <v>160</v>
      </c>
      <c r="BU160" s="129">
        <v>10</v>
      </c>
      <c r="BV160" s="129" t="s">
        <v>159</v>
      </c>
      <c r="BW160" s="129">
        <v>10</v>
      </c>
      <c r="BX160" s="145">
        <v>26.67</v>
      </c>
      <c r="BY160" s="129" t="s">
        <v>159</v>
      </c>
      <c r="BZ160" s="129">
        <v>1</v>
      </c>
      <c r="CA160" s="129">
        <v>1</v>
      </c>
      <c r="CB160" s="129" t="s">
        <v>160</v>
      </c>
      <c r="CC160" s="151">
        <v>4.1891310946354992</v>
      </c>
      <c r="CD160" s="129" t="s">
        <v>430</v>
      </c>
      <c r="CE160" s="151">
        <v>0.16756524378541998</v>
      </c>
      <c r="CF160" s="151">
        <v>0.16756524378541998</v>
      </c>
      <c r="CG160" s="178" t="s">
        <v>160</v>
      </c>
      <c r="CH160" s="129" t="s">
        <v>431</v>
      </c>
      <c r="CI160" s="129" t="s">
        <v>160</v>
      </c>
      <c r="CJ160" s="129" t="s">
        <v>432</v>
      </c>
      <c r="CK160" s="129" t="s">
        <v>158</v>
      </c>
      <c r="CL160" s="129" t="s">
        <v>158</v>
      </c>
      <c r="CM160" s="129" t="s">
        <v>158</v>
      </c>
      <c r="CN160" s="129" t="s">
        <v>160</v>
      </c>
      <c r="CO160" s="129" t="s">
        <v>160</v>
      </c>
      <c r="CP160" s="129" t="s">
        <v>160</v>
      </c>
      <c r="CQ160" s="129" t="s">
        <v>160</v>
      </c>
      <c r="CR160" s="129" t="s">
        <v>160</v>
      </c>
      <c r="CS160" s="129" t="s">
        <v>160</v>
      </c>
      <c r="CT160" s="129" t="s">
        <v>160</v>
      </c>
      <c r="CU160" s="129">
        <v>35</v>
      </c>
      <c r="CV160" s="129" t="s">
        <v>393</v>
      </c>
      <c r="CW160" s="146">
        <v>1</v>
      </c>
      <c r="CX160" s="129" t="s">
        <v>207</v>
      </c>
      <c r="CY160" s="129">
        <v>1.06E-2</v>
      </c>
      <c r="CZ160" s="129" t="s">
        <v>159</v>
      </c>
      <c r="DA160" s="146">
        <v>0</v>
      </c>
      <c r="DB160" s="129" t="s">
        <v>208</v>
      </c>
      <c r="DC160" s="129">
        <v>5.5100000000000003E-2</v>
      </c>
      <c r="DD160" s="129" t="s">
        <v>159</v>
      </c>
      <c r="DE160" s="146">
        <v>0</v>
      </c>
      <c r="DF160" s="129" t="s">
        <v>208</v>
      </c>
      <c r="DG160" s="129" t="s">
        <v>160</v>
      </c>
      <c r="DH160" s="129" t="s">
        <v>160</v>
      </c>
      <c r="DI160" s="129" t="s">
        <v>160</v>
      </c>
      <c r="DJ160" s="129" t="s">
        <v>160</v>
      </c>
      <c r="DK160" s="145">
        <v>432.56244218316402</v>
      </c>
      <c r="DL160" s="129" t="s">
        <v>433</v>
      </c>
      <c r="DM160" s="145" t="s">
        <v>160</v>
      </c>
      <c r="DN160" s="129" t="s">
        <v>434</v>
      </c>
      <c r="DO160" s="129">
        <v>39.617469999999997</v>
      </c>
      <c r="DP160" s="129" t="s">
        <v>160</v>
      </c>
      <c r="DQ160" s="129">
        <v>6.6970000000004859E-2</v>
      </c>
      <c r="DR160" s="129" t="s">
        <v>435</v>
      </c>
      <c r="DS160" s="129" t="s">
        <v>212</v>
      </c>
      <c r="DT160" s="129" t="s">
        <v>213</v>
      </c>
      <c r="DU160" s="129">
        <v>1.0271999999999999</v>
      </c>
      <c r="DV160" s="129" t="s">
        <v>160</v>
      </c>
      <c r="DW160" s="129" t="s">
        <v>160</v>
      </c>
      <c r="DX160" s="129" t="s">
        <v>436</v>
      </c>
      <c r="DY160" s="129" t="s">
        <v>158</v>
      </c>
      <c r="DZ160" s="129" t="s">
        <v>158</v>
      </c>
      <c r="EA160" s="129" t="s">
        <v>216</v>
      </c>
      <c r="EB160" s="129" t="s">
        <v>212</v>
      </c>
      <c r="EC160" s="129" t="s">
        <v>212</v>
      </c>
      <c r="ED160" s="129" t="s">
        <v>212</v>
      </c>
      <c r="EE160" s="129" t="s">
        <v>217</v>
      </c>
      <c r="EF160" s="147" t="s">
        <v>213</v>
      </c>
      <c r="EG160" s="148" t="s">
        <v>213</v>
      </c>
      <c r="EH160" s="129" t="s">
        <v>218</v>
      </c>
      <c r="EI160" s="129" t="s">
        <v>417</v>
      </c>
      <c r="EJ160" s="129" t="s">
        <v>160</v>
      </c>
      <c r="EK160" s="129">
        <v>1995.48</v>
      </c>
      <c r="EL160" s="129" t="s">
        <v>163</v>
      </c>
      <c r="EM160" s="129">
        <v>3.6810000000001701</v>
      </c>
      <c r="EN160" s="129">
        <v>3.763999999999851</v>
      </c>
      <c r="EO160" s="129" t="s">
        <v>160</v>
      </c>
      <c r="EP160" s="129" t="s">
        <v>160</v>
      </c>
      <c r="EQ160" s="129" t="s">
        <v>160</v>
      </c>
      <c r="ER160" s="129" t="s">
        <v>160</v>
      </c>
      <c r="ES160" s="201">
        <v>8.1583690000000004</v>
      </c>
      <c r="ET160" s="129" t="s">
        <v>165</v>
      </c>
      <c r="EU160" s="151">
        <v>3.4412999999998917E-2</v>
      </c>
      <c r="EV160" s="151">
        <v>3.5156999999999883E-2</v>
      </c>
      <c r="EW160" s="142" t="s">
        <v>160</v>
      </c>
      <c r="EX160" s="129" t="s">
        <v>160</v>
      </c>
      <c r="EY160" s="129" t="s">
        <v>160</v>
      </c>
      <c r="EZ160" s="191">
        <v>259.32499999999999</v>
      </c>
      <c r="FA160" s="191">
        <v>27.23399999999998</v>
      </c>
      <c r="FB160" s="191">
        <v>24.373899999999992</v>
      </c>
      <c r="FC160" s="129" t="s">
        <v>220</v>
      </c>
      <c r="FD160" s="129" t="s">
        <v>221</v>
      </c>
      <c r="FE160" s="129">
        <v>2342.0819999999999</v>
      </c>
      <c r="FF160" s="129">
        <v>32.235999999999876</v>
      </c>
      <c r="FG160" s="129">
        <v>31.048999999999978</v>
      </c>
      <c r="FH160" s="129" t="s">
        <v>160</v>
      </c>
      <c r="FI160" s="129" t="s">
        <v>160</v>
      </c>
      <c r="FJ160" s="129" t="s">
        <v>160</v>
      </c>
      <c r="FK160" s="129" t="s">
        <v>160</v>
      </c>
      <c r="FL160" s="129" t="s">
        <v>160</v>
      </c>
      <c r="FM160" s="129" t="s">
        <v>160</v>
      </c>
      <c r="FN160" s="151">
        <v>4.5497040000000002</v>
      </c>
      <c r="FO160" s="151">
        <v>0.25342600000000015</v>
      </c>
      <c r="FP160" s="151">
        <v>0.24631700000000034</v>
      </c>
      <c r="FQ160" s="178" t="s">
        <v>419</v>
      </c>
      <c r="FR160" s="129" t="s">
        <v>415</v>
      </c>
      <c r="FS160" s="129">
        <v>2017</v>
      </c>
      <c r="FT160" s="131" t="s">
        <v>416</v>
      </c>
    </row>
    <row r="161" spans="1:176" s="129" customFormat="1">
      <c r="A161" s="129" t="s">
        <v>152</v>
      </c>
      <c r="B161" s="166" t="s">
        <v>183</v>
      </c>
      <c r="C161" s="166">
        <v>2018</v>
      </c>
      <c r="D161" s="166" t="s">
        <v>184</v>
      </c>
      <c r="E161" s="145">
        <f t="shared" si="14"/>
        <v>227.1</v>
      </c>
      <c r="F161" s="129">
        <f t="shared" si="15"/>
        <v>2</v>
      </c>
      <c r="G161" s="129">
        <f t="shared" si="15"/>
        <v>2</v>
      </c>
      <c r="H161" s="191">
        <v>232.53139999999999</v>
      </c>
      <c r="I161" s="191">
        <v>22.175300000000021</v>
      </c>
      <c r="J161" s="191">
        <v>21.188499999999976</v>
      </c>
      <c r="K161" s="129" t="s">
        <v>457</v>
      </c>
      <c r="L161" s="131" t="s">
        <v>185</v>
      </c>
      <c r="M161" s="132" t="s">
        <v>186</v>
      </c>
      <c r="N161" s="129" t="s">
        <v>184</v>
      </c>
      <c r="O161" s="129" t="s">
        <v>420</v>
      </c>
      <c r="P161" s="202" t="s">
        <v>156</v>
      </c>
      <c r="Q161" s="202">
        <v>2</v>
      </c>
      <c r="R161" s="202">
        <v>1</v>
      </c>
      <c r="S161" s="202">
        <v>91</v>
      </c>
      <c r="T161" s="202">
        <f t="shared" si="19"/>
        <v>93</v>
      </c>
      <c r="U161" s="202">
        <v>8.51</v>
      </c>
      <c r="V161" s="202">
        <v>8.51</v>
      </c>
      <c r="W161" s="129" t="s">
        <v>160</v>
      </c>
      <c r="X161" s="129" t="s">
        <v>421</v>
      </c>
      <c r="Y161" s="200">
        <v>12.74</v>
      </c>
      <c r="Z161" s="200">
        <v>-78.739999999999995</v>
      </c>
      <c r="AA161" s="129" t="s">
        <v>160</v>
      </c>
      <c r="AB161" s="129" t="s">
        <v>160</v>
      </c>
      <c r="AC161" s="129">
        <v>-2839</v>
      </c>
      <c r="AD161" s="129" t="s">
        <v>160</v>
      </c>
      <c r="AE161" s="129" t="s">
        <v>160</v>
      </c>
      <c r="AF161" s="129" t="s">
        <v>160</v>
      </c>
      <c r="AG161" s="145">
        <v>227.1</v>
      </c>
      <c r="AH161" s="129" t="s">
        <v>163</v>
      </c>
      <c r="AI161" s="129">
        <v>2</v>
      </c>
      <c r="AJ161" s="129">
        <v>2</v>
      </c>
      <c r="AK161" s="129" t="s">
        <v>160</v>
      </c>
      <c r="AL161" s="129" t="s">
        <v>422</v>
      </c>
      <c r="AM161" s="129" t="s">
        <v>160</v>
      </c>
      <c r="AN161" s="129" t="s">
        <v>160</v>
      </c>
      <c r="AO161" s="129" t="s">
        <v>160</v>
      </c>
      <c r="AP161" s="129" t="s">
        <v>160</v>
      </c>
      <c r="AQ161" s="129" t="s">
        <v>160</v>
      </c>
      <c r="AR161" s="129" t="s">
        <v>160</v>
      </c>
      <c r="AS161" s="129" t="s">
        <v>160</v>
      </c>
      <c r="AT161" s="129" t="s">
        <v>160</v>
      </c>
      <c r="AU161" s="129" t="s">
        <v>423</v>
      </c>
      <c r="AV161" s="129" t="s">
        <v>161</v>
      </c>
      <c r="AW161" s="129" t="s">
        <v>424</v>
      </c>
      <c r="AX161" s="178">
        <v>2</v>
      </c>
      <c r="AY161" s="129" t="s">
        <v>194</v>
      </c>
      <c r="AZ161" s="129" t="s">
        <v>195</v>
      </c>
      <c r="BA161" s="129" t="s">
        <v>425</v>
      </c>
      <c r="BB161" s="129" t="s">
        <v>160</v>
      </c>
      <c r="BC161" s="178">
        <v>2</v>
      </c>
      <c r="BD161" s="129" t="s">
        <v>160</v>
      </c>
      <c r="BE161" s="151">
        <v>20.822770420000001</v>
      </c>
      <c r="BF161" s="129" t="s">
        <v>426</v>
      </c>
      <c r="BG161" s="151">
        <v>0.235569734</v>
      </c>
      <c r="BH161" s="129">
        <v>0.64</v>
      </c>
      <c r="BI161" s="129" t="s">
        <v>427</v>
      </c>
      <c r="BJ161" s="129">
        <v>3.4000000000000002E-2</v>
      </c>
      <c r="BK161" s="129">
        <v>9.1</v>
      </c>
      <c r="BL161" s="129" t="s">
        <v>163</v>
      </c>
      <c r="BM161" s="129">
        <v>0.56000000000000005</v>
      </c>
      <c r="BN161" s="129" t="s">
        <v>428</v>
      </c>
      <c r="BO161" s="129" t="s">
        <v>429</v>
      </c>
      <c r="BP161" s="151">
        <f t="shared" si="16"/>
        <v>19.921284033333336</v>
      </c>
      <c r="BQ161" s="129" t="s">
        <v>202</v>
      </c>
      <c r="BR161" s="217"/>
      <c r="BS161" s="129" t="s">
        <v>160</v>
      </c>
      <c r="BT161" s="129" t="s">
        <v>160</v>
      </c>
      <c r="BU161" s="129">
        <v>10</v>
      </c>
      <c r="BV161" s="129" t="s">
        <v>159</v>
      </c>
      <c r="BW161" s="129">
        <v>10</v>
      </c>
      <c r="BX161" s="145">
        <v>25.31</v>
      </c>
      <c r="BY161" s="129" t="s">
        <v>159</v>
      </c>
      <c r="BZ161" s="129">
        <v>1</v>
      </c>
      <c r="CA161" s="129">
        <v>1</v>
      </c>
      <c r="CB161" s="129" t="s">
        <v>160</v>
      </c>
      <c r="CC161" s="151">
        <v>3.7072720722499999</v>
      </c>
      <c r="CD161" s="129" t="s">
        <v>430</v>
      </c>
      <c r="CE161" s="151">
        <v>0.14829088289</v>
      </c>
      <c r="CF161" s="151">
        <v>0.14829088289</v>
      </c>
      <c r="CG161" s="178" t="s">
        <v>160</v>
      </c>
      <c r="CH161" s="129" t="s">
        <v>431</v>
      </c>
      <c r="CI161" s="129" t="s">
        <v>160</v>
      </c>
      <c r="CJ161" s="129" t="s">
        <v>432</v>
      </c>
      <c r="CK161" s="129" t="s">
        <v>158</v>
      </c>
      <c r="CL161" s="129" t="s">
        <v>158</v>
      </c>
      <c r="CM161" s="129" t="s">
        <v>158</v>
      </c>
      <c r="CN161" s="129" t="s">
        <v>160</v>
      </c>
      <c r="CO161" s="129" t="s">
        <v>160</v>
      </c>
      <c r="CP161" s="129" t="s">
        <v>160</v>
      </c>
      <c r="CQ161" s="129" t="s">
        <v>160</v>
      </c>
      <c r="CR161" s="129" t="s">
        <v>160</v>
      </c>
      <c r="CS161" s="129" t="s">
        <v>160</v>
      </c>
      <c r="CT161" s="129" t="s">
        <v>160</v>
      </c>
      <c r="CU161" s="129">
        <v>35</v>
      </c>
      <c r="CV161" s="129" t="s">
        <v>393</v>
      </c>
      <c r="CW161" s="146">
        <v>1</v>
      </c>
      <c r="CX161" s="129" t="s">
        <v>207</v>
      </c>
      <c r="CY161" s="129">
        <v>1.06E-2</v>
      </c>
      <c r="CZ161" s="129" t="s">
        <v>159</v>
      </c>
      <c r="DA161" s="146">
        <v>0</v>
      </c>
      <c r="DB161" s="129" t="s">
        <v>208</v>
      </c>
      <c r="DC161" s="129">
        <v>5.5100000000000003E-2</v>
      </c>
      <c r="DD161" s="129" t="s">
        <v>159</v>
      </c>
      <c r="DE161" s="146">
        <v>0</v>
      </c>
      <c r="DF161" s="129" t="s">
        <v>208</v>
      </c>
      <c r="DG161" s="129" t="s">
        <v>160</v>
      </c>
      <c r="DH161" s="129" t="s">
        <v>160</v>
      </c>
      <c r="DI161" s="129" t="s">
        <v>160</v>
      </c>
      <c r="DJ161" s="129" t="s">
        <v>160</v>
      </c>
      <c r="DK161" s="145">
        <v>432.56244218316402</v>
      </c>
      <c r="DL161" s="129" t="s">
        <v>433</v>
      </c>
      <c r="DM161" s="145" t="s">
        <v>160</v>
      </c>
      <c r="DN161" s="129" t="s">
        <v>434</v>
      </c>
      <c r="DO161" s="129">
        <v>39.61759</v>
      </c>
      <c r="DP161" s="129" t="s">
        <v>160</v>
      </c>
      <c r="DQ161" s="129">
        <v>7.014000000000209E-2</v>
      </c>
      <c r="DR161" s="129" t="s">
        <v>435</v>
      </c>
      <c r="DS161" s="129" t="s">
        <v>212</v>
      </c>
      <c r="DT161" s="129" t="s">
        <v>213</v>
      </c>
      <c r="DU161" s="129">
        <v>1.0271999999999999</v>
      </c>
      <c r="DV161" s="129" t="s">
        <v>160</v>
      </c>
      <c r="DW161" s="129" t="s">
        <v>160</v>
      </c>
      <c r="DX161" s="129" t="s">
        <v>436</v>
      </c>
      <c r="DY161" s="129" t="s">
        <v>158</v>
      </c>
      <c r="DZ161" s="129" t="s">
        <v>158</v>
      </c>
      <c r="EA161" s="129" t="s">
        <v>216</v>
      </c>
      <c r="EB161" s="129" t="s">
        <v>212</v>
      </c>
      <c r="EC161" s="129" t="s">
        <v>212</v>
      </c>
      <c r="ED161" s="129" t="s">
        <v>212</v>
      </c>
      <c r="EE161" s="129" t="s">
        <v>217</v>
      </c>
      <c r="EF161" s="147" t="s">
        <v>213</v>
      </c>
      <c r="EG161" s="148" t="s">
        <v>213</v>
      </c>
      <c r="EH161" s="129" t="s">
        <v>218</v>
      </c>
      <c r="EI161" s="129" t="s">
        <v>417</v>
      </c>
      <c r="EJ161" s="129" t="s">
        <v>160</v>
      </c>
      <c r="EK161" s="129">
        <v>1995.4009999999998</v>
      </c>
      <c r="EL161" s="129" t="s">
        <v>163</v>
      </c>
      <c r="EM161" s="129">
        <v>3.8030000000001394</v>
      </c>
      <c r="EN161" s="129">
        <v>3.832000000000054</v>
      </c>
      <c r="EO161" s="129" t="s">
        <v>160</v>
      </c>
      <c r="EP161" s="129" t="s">
        <v>160</v>
      </c>
      <c r="EQ161" s="129" t="s">
        <v>160</v>
      </c>
      <c r="ER161" s="129" t="s">
        <v>160</v>
      </c>
      <c r="ES161" s="201">
        <v>8.1949550000000002</v>
      </c>
      <c r="ET161" s="129" t="s">
        <v>165</v>
      </c>
      <c r="EU161" s="151">
        <v>3.2930999999999599E-2</v>
      </c>
      <c r="EV161" s="151">
        <v>3.1978000000000506E-2</v>
      </c>
      <c r="EW161" s="142" t="s">
        <v>160</v>
      </c>
      <c r="EX161" s="129" t="s">
        <v>160</v>
      </c>
      <c r="EY161" s="129" t="s">
        <v>160</v>
      </c>
      <c r="EZ161" s="191">
        <v>232.53139999999999</v>
      </c>
      <c r="FA161" s="191">
        <v>22.175300000000021</v>
      </c>
      <c r="FB161" s="191">
        <v>21.188499999999976</v>
      </c>
      <c r="FC161" s="129" t="s">
        <v>220</v>
      </c>
      <c r="FD161" s="129" t="s">
        <v>221</v>
      </c>
      <c r="FE161" s="129">
        <v>2354.8789999999999</v>
      </c>
      <c r="FF161" s="129">
        <v>31.478000000000065</v>
      </c>
      <c r="FG161" s="129">
        <v>29.374000000000251</v>
      </c>
      <c r="FH161" s="129" t="s">
        <v>160</v>
      </c>
      <c r="FI161" s="129" t="s">
        <v>160</v>
      </c>
      <c r="FJ161" s="129" t="s">
        <v>160</v>
      </c>
      <c r="FK161" s="129" t="s">
        <v>160</v>
      </c>
      <c r="FL161" s="129" t="s">
        <v>160</v>
      </c>
      <c r="FM161" s="129" t="s">
        <v>160</v>
      </c>
      <c r="FN161" s="151">
        <v>4.6515139999999997</v>
      </c>
      <c r="FO161" s="151">
        <v>0.23262200000000011</v>
      </c>
      <c r="FP161" s="151">
        <v>0.22250699999999934</v>
      </c>
      <c r="FQ161" s="178" t="s">
        <v>419</v>
      </c>
      <c r="FR161" s="129" t="s">
        <v>415</v>
      </c>
      <c r="FS161" s="129">
        <v>2017</v>
      </c>
      <c r="FT161" s="131" t="s">
        <v>416</v>
      </c>
    </row>
    <row r="162" spans="1:176" s="129" customFormat="1">
      <c r="A162" s="129" t="s">
        <v>152</v>
      </c>
      <c r="B162" s="166" t="s">
        <v>183</v>
      </c>
      <c r="C162" s="166">
        <v>2018</v>
      </c>
      <c r="D162" s="166" t="s">
        <v>184</v>
      </c>
      <c r="E162" s="145">
        <f t="shared" si="14"/>
        <v>235.76</v>
      </c>
      <c r="F162" s="129">
        <f t="shared" si="15"/>
        <v>2</v>
      </c>
      <c r="G162" s="129">
        <f t="shared" si="15"/>
        <v>2</v>
      </c>
      <c r="H162" s="191">
        <v>259.56010000000003</v>
      </c>
      <c r="I162" s="191">
        <v>26.103700000000003</v>
      </c>
      <c r="J162" s="191">
        <v>23.765800000000041</v>
      </c>
      <c r="K162" s="129" t="s">
        <v>457</v>
      </c>
      <c r="L162" s="131" t="s">
        <v>185</v>
      </c>
      <c r="M162" s="132" t="s">
        <v>186</v>
      </c>
      <c r="N162" s="129" t="s">
        <v>184</v>
      </c>
      <c r="O162" s="129" t="s">
        <v>420</v>
      </c>
      <c r="P162" s="202" t="s">
        <v>156</v>
      </c>
      <c r="Q162" s="202">
        <v>2</v>
      </c>
      <c r="R162" s="202">
        <v>1</v>
      </c>
      <c r="S162" s="202">
        <v>111</v>
      </c>
      <c r="T162" s="202">
        <f t="shared" si="19"/>
        <v>113</v>
      </c>
      <c r="U162" s="202">
        <v>8.7100000000000009</v>
      </c>
      <c r="V162" s="202">
        <v>8.7100000000000009</v>
      </c>
      <c r="W162" s="129" t="s">
        <v>160</v>
      </c>
      <c r="X162" s="129" t="s">
        <v>421</v>
      </c>
      <c r="Y162" s="200">
        <v>12.74</v>
      </c>
      <c r="Z162" s="200">
        <v>-78.739999999999995</v>
      </c>
      <c r="AA162" s="129" t="s">
        <v>160</v>
      </c>
      <c r="AB162" s="129" t="s">
        <v>160</v>
      </c>
      <c r="AC162" s="129">
        <v>-2839</v>
      </c>
      <c r="AD162" s="129" t="s">
        <v>160</v>
      </c>
      <c r="AE162" s="129" t="s">
        <v>160</v>
      </c>
      <c r="AF162" s="129" t="s">
        <v>160</v>
      </c>
      <c r="AG162" s="145">
        <v>235.76</v>
      </c>
      <c r="AH162" s="129" t="s">
        <v>163</v>
      </c>
      <c r="AI162" s="129">
        <v>2</v>
      </c>
      <c r="AJ162" s="129">
        <v>2</v>
      </c>
      <c r="AK162" s="129" t="s">
        <v>160</v>
      </c>
      <c r="AL162" s="129" t="s">
        <v>422</v>
      </c>
      <c r="AM162" s="129" t="s">
        <v>160</v>
      </c>
      <c r="AN162" s="129" t="s">
        <v>160</v>
      </c>
      <c r="AO162" s="129" t="s">
        <v>160</v>
      </c>
      <c r="AP162" s="129" t="s">
        <v>160</v>
      </c>
      <c r="AQ162" s="129" t="s">
        <v>160</v>
      </c>
      <c r="AR162" s="129" t="s">
        <v>160</v>
      </c>
      <c r="AS162" s="129" t="s">
        <v>160</v>
      </c>
      <c r="AT162" s="129" t="s">
        <v>160</v>
      </c>
      <c r="AU162" s="129" t="s">
        <v>423</v>
      </c>
      <c r="AV162" s="129" t="s">
        <v>161</v>
      </c>
      <c r="AW162" s="129" t="s">
        <v>424</v>
      </c>
      <c r="AX162" s="178">
        <v>2</v>
      </c>
      <c r="AY162" s="129" t="s">
        <v>194</v>
      </c>
      <c r="AZ162" s="129" t="s">
        <v>195</v>
      </c>
      <c r="BA162" s="129" t="s">
        <v>425</v>
      </c>
      <c r="BB162" s="129" t="s">
        <v>160</v>
      </c>
      <c r="BC162" s="178">
        <v>2</v>
      </c>
      <c r="BD162" s="129" t="s">
        <v>160</v>
      </c>
      <c r="BE162" s="151">
        <v>20.470820450000002</v>
      </c>
      <c r="BF162" s="129" t="s">
        <v>426</v>
      </c>
      <c r="BG162" s="151">
        <v>0.244505476</v>
      </c>
      <c r="BH162" s="129">
        <v>0.64</v>
      </c>
      <c r="BI162" s="129" t="s">
        <v>427</v>
      </c>
      <c r="BJ162" s="129">
        <v>3.4000000000000002E-2</v>
      </c>
      <c r="BK162" s="129">
        <v>9.1</v>
      </c>
      <c r="BL162" s="129" t="s">
        <v>163</v>
      </c>
      <c r="BM162" s="129">
        <v>0.56000000000000005</v>
      </c>
      <c r="BN162" s="129" t="s">
        <v>428</v>
      </c>
      <c r="BO162" s="129" t="s">
        <v>429</v>
      </c>
      <c r="BP162" s="151">
        <f t="shared" si="16"/>
        <v>19.334700750000003</v>
      </c>
      <c r="BQ162" s="129" t="s">
        <v>202</v>
      </c>
      <c r="BR162" s="217"/>
      <c r="BS162" s="129" t="s">
        <v>160</v>
      </c>
      <c r="BT162" s="129" t="s">
        <v>160</v>
      </c>
      <c r="BU162" s="129">
        <v>10</v>
      </c>
      <c r="BV162" s="129" t="s">
        <v>159</v>
      </c>
      <c r="BW162" s="129">
        <v>10</v>
      </c>
      <c r="BX162" s="145">
        <v>24.38</v>
      </c>
      <c r="BY162" s="129" t="s">
        <v>159</v>
      </c>
      <c r="BZ162" s="129">
        <v>1</v>
      </c>
      <c r="CA162" s="129">
        <v>1</v>
      </c>
      <c r="CB162" s="129" t="s">
        <v>160</v>
      </c>
      <c r="CC162" s="151">
        <v>3.4087062644453012</v>
      </c>
      <c r="CD162" s="129" t="s">
        <v>430</v>
      </c>
      <c r="CE162" s="151">
        <v>0.13634825057781205</v>
      </c>
      <c r="CF162" s="151">
        <v>0.13634825057781205</v>
      </c>
      <c r="CG162" s="178" t="s">
        <v>160</v>
      </c>
      <c r="CH162" s="129" t="s">
        <v>431</v>
      </c>
      <c r="CI162" s="129" t="s">
        <v>160</v>
      </c>
      <c r="CJ162" s="129" t="s">
        <v>432</v>
      </c>
      <c r="CK162" s="129" t="s">
        <v>158</v>
      </c>
      <c r="CL162" s="129" t="s">
        <v>158</v>
      </c>
      <c r="CM162" s="129" t="s">
        <v>158</v>
      </c>
      <c r="CN162" s="129" t="s">
        <v>160</v>
      </c>
      <c r="CO162" s="129" t="s">
        <v>160</v>
      </c>
      <c r="CP162" s="129" t="s">
        <v>160</v>
      </c>
      <c r="CQ162" s="129" t="s">
        <v>160</v>
      </c>
      <c r="CR162" s="129" t="s">
        <v>160</v>
      </c>
      <c r="CS162" s="129" t="s">
        <v>160</v>
      </c>
      <c r="CT162" s="129" t="s">
        <v>160</v>
      </c>
      <c r="CU162" s="129">
        <v>35</v>
      </c>
      <c r="CV162" s="129" t="s">
        <v>393</v>
      </c>
      <c r="CW162" s="146">
        <v>1</v>
      </c>
      <c r="CX162" s="129" t="s">
        <v>207</v>
      </c>
      <c r="CY162" s="129">
        <v>1.06E-2</v>
      </c>
      <c r="CZ162" s="129" t="s">
        <v>159</v>
      </c>
      <c r="DA162" s="146">
        <v>0</v>
      </c>
      <c r="DB162" s="129" t="s">
        <v>208</v>
      </c>
      <c r="DC162" s="129">
        <v>5.5100000000000003E-2</v>
      </c>
      <c r="DD162" s="129" t="s">
        <v>159</v>
      </c>
      <c r="DE162" s="146">
        <v>0</v>
      </c>
      <c r="DF162" s="129" t="s">
        <v>208</v>
      </c>
      <c r="DG162" s="129" t="s">
        <v>160</v>
      </c>
      <c r="DH162" s="129" t="s">
        <v>160</v>
      </c>
      <c r="DI162" s="129" t="s">
        <v>160</v>
      </c>
      <c r="DJ162" s="129" t="s">
        <v>160</v>
      </c>
      <c r="DK162" s="145">
        <v>432.56244218316402</v>
      </c>
      <c r="DL162" s="129" t="s">
        <v>433</v>
      </c>
      <c r="DM162" s="145" t="s">
        <v>160</v>
      </c>
      <c r="DN162" s="129" t="s">
        <v>434</v>
      </c>
      <c r="DO162" s="129">
        <v>39.618160000000003</v>
      </c>
      <c r="DP162" s="129" t="s">
        <v>160</v>
      </c>
      <c r="DQ162" s="129">
        <v>7.3000000000000398E-2</v>
      </c>
      <c r="DR162" s="129" t="s">
        <v>435</v>
      </c>
      <c r="DS162" s="129" t="s">
        <v>212</v>
      </c>
      <c r="DT162" s="129" t="s">
        <v>213</v>
      </c>
      <c r="DU162" s="129">
        <v>1.0271999999999999</v>
      </c>
      <c r="DV162" s="129" t="s">
        <v>160</v>
      </c>
      <c r="DW162" s="129" t="s">
        <v>160</v>
      </c>
      <c r="DX162" s="129" t="s">
        <v>436</v>
      </c>
      <c r="DY162" s="129" t="s">
        <v>158</v>
      </c>
      <c r="DZ162" s="129" t="s">
        <v>158</v>
      </c>
      <c r="EA162" s="129" t="s">
        <v>216</v>
      </c>
      <c r="EB162" s="129" t="s">
        <v>212</v>
      </c>
      <c r="EC162" s="129" t="s">
        <v>212</v>
      </c>
      <c r="ED162" s="129" t="s">
        <v>212</v>
      </c>
      <c r="EE162" s="129" t="s">
        <v>217</v>
      </c>
      <c r="EF162" s="147" t="s">
        <v>213</v>
      </c>
      <c r="EG162" s="148" t="s">
        <v>213</v>
      </c>
      <c r="EH162" s="129" t="s">
        <v>218</v>
      </c>
      <c r="EI162" s="129" t="s">
        <v>417</v>
      </c>
      <c r="EJ162" s="129" t="s">
        <v>160</v>
      </c>
      <c r="EK162" s="129">
        <v>1995.213</v>
      </c>
      <c r="EL162" s="129" t="s">
        <v>163</v>
      </c>
      <c r="EM162" s="129">
        <v>3.9260000000000161</v>
      </c>
      <c r="EN162" s="129">
        <v>4.0109999999999451</v>
      </c>
      <c r="EO162" s="129" t="s">
        <v>160</v>
      </c>
      <c r="EP162" s="129" t="s">
        <v>160</v>
      </c>
      <c r="EQ162" s="129" t="s">
        <v>160</v>
      </c>
      <c r="ER162" s="129" t="s">
        <v>160</v>
      </c>
      <c r="ES162" s="201">
        <v>8.1571479999999994</v>
      </c>
      <c r="ET162" s="129" t="s">
        <v>165</v>
      </c>
      <c r="EU162" s="151">
        <v>3.32990000000013E-2</v>
      </c>
      <c r="EV162" s="151">
        <v>3.3493999999999247E-2</v>
      </c>
      <c r="EW162" s="142" t="s">
        <v>160</v>
      </c>
      <c r="EX162" s="129" t="s">
        <v>160</v>
      </c>
      <c r="EY162" s="129" t="s">
        <v>160</v>
      </c>
      <c r="EZ162" s="191">
        <v>259.56010000000003</v>
      </c>
      <c r="FA162" s="191">
        <v>26.103700000000003</v>
      </c>
      <c r="FB162" s="191">
        <v>23.765800000000041</v>
      </c>
      <c r="FC162" s="129" t="s">
        <v>220</v>
      </c>
      <c r="FD162" s="129" t="s">
        <v>221</v>
      </c>
      <c r="FE162" s="129">
        <v>2316.0740000000001</v>
      </c>
      <c r="FF162" s="129">
        <v>29.623999999999796</v>
      </c>
      <c r="FG162" s="129">
        <v>30.44800000000032</v>
      </c>
      <c r="FH162" s="129" t="s">
        <v>160</v>
      </c>
      <c r="FI162" s="129" t="s">
        <v>160</v>
      </c>
      <c r="FJ162" s="129" t="s">
        <v>160</v>
      </c>
      <c r="FK162" s="129" t="s">
        <v>160</v>
      </c>
      <c r="FL162" s="129" t="s">
        <v>160</v>
      </c>
      <c r="FM162" s="129" t="s">
        <v>160</v>
      </c>
      <c r="FN162" s="151">
        <v>4.1788499999999997</v>
      </c>
      <c r="FO162" s="151">
        <v>0.2236830000000003</v>
      </c>
      <c r="FP162" s="151">
        <v>0.2207359999999996</v>
      </c>
      <c r="FQ162" s="178" t="s">
        <v>419</v>
      </c>
      <c r="FR162" s="129" t="s">
        <v>415</v>
      </c>
      <c r="FS162" s="129">
        <v>2017</v>
      </c>
      <c r="FT162" s="131" t="s">
        <v>416</v>
      </c>
    </row>
    <row r="163" spans="1:176" s="129" customFormat="1">
      <c r="A163" s="129" t="s">
        <v>152</v>
      </c>
      <c r="B163" s="166" t="s">
        <v>183</v>
      </c>
      <c r="C163" s="166">
        <v>2018</v>
      </c>
      <c r="D163" s="166" t="s">
        <v>184</v>
      </c>
      <c r="E163" s="145">
        <f t="shared" si="14"/>
        <v>239.48</v>
      </c>
      <c r="F163" s="129">
        <f t="shared" si="15"/>
        <v>2</v>
      </c>
      <c r="G163" s="129">
        <f t="shared" si="15"/>
        <v>2</v>
      </c>
      <c r="H163" s="191">
        <v>242.21350000000001</v>
      </c>
      <c r="I163" s="191">
        <v>23.05680000000001</v>
      </c>
      <c r="J163" s="191">
        <v>21.252400000000023</v>
      </c>
      <c r="K163" s="129" t="s">
        <v>457</v>
      </c>
      <c r="L163" s="131" t="s">
        <v>185</v>
      </c>
      <c r="M163" s="132" t="s">
        <v>186</v>
      </c>
      <c r="N163" s="129" t="s">
        <v>184</v>
      </c>
      <c r="O163" s="129" t="s">
        <v>420</v>
      </c>
      <c r="P163" s="202" t="s">
        <v>156</v>
      </c>
      <c r="Q163" s="202">
        <v>2</v>
      </c>
      <c r="R163" s="202">
        <v>1</v>
      </c>
      <c r="S163" s="202">
        <v>123</v>
      </c>
      <c r="T163" s="202">
        <f t="shared" si="19"/>
        <v>125</v>
      </c>
      <c r="U163" s="202">
        <v>8.83</v>
      </c>
      <c r="V163" s="202">
        <v>8.83</v>
      </c>
      <c r="W163" s="129" t="s">
        <v>160</v>
      </c>
      <c r="X163" s="129" t="s">
        <v>421</v>
      </c>
      <c r="Y163" s="200">
        <v>12.74</v>
      </c>
      <c r="Z163" s="200">
        <v>-78.739999999999995</v>
      </c>
      <c r="AA163" s="129" t="s">
        <v>160</v>
      </c>
      <c r="AB163" s="129" t="s">
        <v>160</v>
      </c>
      <c r="AC163" s="129">
        <v>-2839</v>
      </c>
      <c r="AD163" s="129" t="s">
        <v>160</v>
      </c>
      <c r="AE163" s="129" t="s">
        <v>160</v>
      </c>
      <c r="AF163" s="129" t="s">
        <v>160</v>
      </c>
      <c r="AG163" s="145">
        <v>239.48</v>
      </c>
      <c r="AH163" s="129" t="s">
        <v>163</v>
      </c>
      <c r="AI163" s="129">
        <v>2</v>
      </c>
      <c r="AJ163" s="129">
        <v>2</v>
      </c>
      <c r="AK163" s="129" t="s">
        <v>160</v>
      </c>
      <c r="AL163" s="129" t="s">
        <v>422</v>
      </c>
      <c r="AM163" s="129" t="s">
        <v>160</v>
      </c>
      <c r="AN163" s="129" t="s">
        <v>160</v>
      </c>
      <c r="AO163" s="129" t="s">
        <v>160</v>
      </c>
      <c r="AP163" s="129" t="s">
        <v>160</v>
      </c>
      <c r="AQ163" s="129" t="s">
        <v>160</v>
      </c>
      <c r="AR163" s="129" t="s">
        <v>160</v>
      </c>
      <c r="AS163" s="129" t="s">
        <v>160</v>
      </c>
      <c r="AT163" s="129" t="s">
        <v>160</v>
      </c>
      <c r="AU163" s="129" t="s">
        <v>423</v>
      </c>
      <c r="AV163" s="129" t="s">
        <v>161</v>
      </c>
      <c r="AW163" s="129" t="s">
        <v>424</v>
      </c>
      <c r="AX163" s="178">
        <v>2</v>
      </c>
      <c r="AY163" s="129" t="s">
        <v>194</v>
      </c>
      <c r="AZ163" s="129" t="s">
        <v>195</v>
      </c>
      <c r="BA163" s="129" t="s">
        <v>425</v>
      </c>
      <c r="BB163" s="129" t="s">
        <v>160</v>
      </c>
      <c r="BC163" s="178">
        <v>2</v>
      </c>
      <c r="BD163" s="129" t="s">
        <v>160</v>
      </c>
      <c r="BE163" s="151">
        <v>20.698681969999999</v>
      </c>
      <c r="BF163" s="129" t="s">
        <v>426</v>
      </c>
      <c r="BG163" s="151">
        <v>0.22005977400000001</v>
      </c>
      <c r="BH163" s="129">
        <v>0.64</v>
      </c>
      <c r="BI163" s="129" t="s">
        <v>427</v>
      </c>
      <c r="BJ163" s="129">
        <v>3.4000000000000002E-2</v>
      </c>
      <c r="BK163" s="129">
        <v>9.1</v>
      </c>
      <c r="BL163" s="129" t="s">
        <v>163</v>
      </c>
      <c r="BM163" s="129">
        <v>0.56000000000000005</v>
      </c>
      <c r="BN163" s="129" t="s">
        <v>428</v>
      </c>
      <c r="BO163" s="129" t="s">
        <v>429</v>
      </c>
      <c r="BP163" s="151">
        <f t="shared" si="16"/>
        <v>19.714469950000002</v>
      </c>
      <c r="BQ163" s="129" t="s">
        <v>202</v>
      </c>
      <c r="BR163" s="217"/>
      <c r="BS163" s="129" t="s">
        <v>160</v>
      </c>
      <c r="BT163" s="129" t="s">
        <v>160</v>
      </c>
      <c r="BU163" s="129">
        <v>10</v>
      </c>
      <c r="BV163" s="129" t="s">
        <v>159</v>
      </c>
      <c r="BW163" s="129">
        <v>10</v>
      </c>
      <c r="BX163" s="145">
        <v>24.99</v>
      </c>
      <c r="BY163" s="129" t="s">
        <v>159</v>
      </c>
      <c r="BZ163" s="129">
        <v>1</v>
      </c>
      <c r="CA163" s="129">
        <v>1</v>
      </c>
      <c r="CB163" s="129" t="s">
        <v>160</v>
      </c>
      <c r="CC163" s="151">
        <v>3.6023171111269114</v>
      </c>
      <c r="CD163" s="129" t="s">
        <v>430</v>
      </c>
      <c r="CE163" s="151">
        <v>0.14409268444507647</v>
      </c>
      <c r="CF163" s="151">
        <v>0.14409268444507647</v>
      </c>
      <c r="CG163" s="178" t="s">
        <v>160</v>
      </c>
      <c r="CH163" s="129" t="s">
        <v>431</v>
      </c>
      <c r="CI163" s="129" t="s">
        <v>160</v>
      </c>
      <c r="CJ163" s="129" t="s">
        <v>432</v>
      </c>
      <c r="CK163" s="129" t="s">
        <v>158</v>
      </c>
      <c r="CL163" s="129" t="s">
        <v>158</v>
      </c>
      <c r="CM163" s="129" t="s">
        <v>158</v>
      </c>
      <c r="CN163" s="129" t="s">
        <v>160</v>
      </c>
      <c r="CO163" s="129" t="s">
        <v>160</v>
      </c>
      <c r="CP163" s="129" t="s">
        <v>160</v>
      </c>
      <c r="CQ163" s="129" t="s">
        <v>160</v>
      </c>
      <c r="CR163" s="129" t="s">
        <v>160</v>
      </c>
      <c r="CS163" s="129" t="s">
        <v>160</v>
      </c>
      <c r="CT163" s="129" t="s">
        <v>160</v>
      </c>
      <c r="CU163" s="129">
        <v>35</v>
      </c>
      <c r="CV163" s="129" t="s">
        <v>393</v>
      </c>
      <c r="CW163" s="146">
        <v>1</v>
      </c>
      <c r="CX163" s="129" t="s">
        <v>207</v>
      </c>
      <c r="CY163" s="129">
        <v>1.06E-2</v>
      </c>
      <c r="CZ163" s="129" t="s">
        <v>159</v>
      </c>
      <c r="DA163" s="146">
        <v>0</v>
      </c>
      <c r="DB163" s="129" t="s">
        <v>208</v>
      </c>
      <c r="DC163" s="129">
        <v>5.5100000000000003E-2</v>
      </c>
      <c r="DD163" s="129" t="s">
        <v>159</v>
      </c>
      <c r="DE163" s="146">
        <v>0</v>
      </c>
      <c r="DF163" s="129" t="s">
        <v>208</v>
      </c>
      <c r="DG163" s="129" t="s">
        <v>160</v>
      </c>
      <c r="DH163" s="129" t="s">
        <v>160</v>
      </c>
      <c r="DI163" s="129" t="s">
        <v>160</v>
      </c>
      <c r="DJ163" s="129" t="s">
        <v>160</v>
      </c>
      <c r="DK163" s="145">
        <v>432.56244218316402</v>
      </c>
      <c r="DL163" s="129" t="s">
        <v>433</v>
      </c>
      <c r="DM163" s="145" t="s">
        <v>160</v>
      </c>
      <c r="DN163" s="129" t="s">
        <v>434</v>
      </c>
      <c r="DO163" s="129">
        <v>39.618729999999999</v>
      </c>
      <c r="DP163" s="129" t="s">
        <v>160</v>
      </c>
      <c r="DQ163" s="129">
        <v>7.3770000000003222E-2</v>
      </c>
      <c r="DR163" s="129" t="s">
        <v>435</v>
      </c>
      <c r="DS163" s="129" t="s">
        <v>212</v>
      </c>
      <c r="DT163" s="129" t="s">
        <v>213</v>
      </c>
      <c r="DU163" s="129">
        <v>1.0271999999999999</v>
      </c>
      <c r="DV163" s="129" t="s">
        <v>160</v>
      </c>
      <c r="DW163" s="129" t="s">
        <v>160</v>
      </c>
      <c r="DX163" s="129" t="s">
        <v>436</v>
      </c>
      <c r="DY163" s="129" t="s">
        <v>158</v>
      </c>
      <c r="DZ163" s="129" t="s">
        <v>158</v>
      </c>
      <c r="EA163" s="129" t="s">
        <v>216</v>
      </c>
      <c r="EB163" s="129" t="s">
        <v>212</v>
      </c>
      <c r="EC163" s="129" t="s">
        <v>212</v>
      </c>
      <c r="ED163" s="129" t="s">
        <v>212</v>
      </c>
      <c r="EE163" s="129" t="s">
        <v>217</v>
      </c>
      <c r="EF163" s="147" t="s">
        <v>213</v>
      </c>
      <c r="EG163" s="148" t="s">
        <v>213</v>
      </c>
      <c r="EH163" s="129" t="s">
        <v>218</v>
      </c>
      <c r="EI163" s="129" t="s">
        <v>417</v>
      </c>
      <c r="EJ163" s="129" t="s">
        <v>160</v>
      </c>
      <c r="EK163" s="129">
        <v>1995.181</v>
      </c>
      <c r="EL163" s="129" t="s">
        <v>163</v>
      </c>
      <c r="EM163" s="129">
        <v>4.0399999999998597</v>
      </c>
      <c r="EN163" s="129">
        <v>4.1389999999997924</v>
      </c>
      <c r="EO163" s="129" t="s">
        <v>160</v>
      </c>
      <c r="EP163" s="129" t="s">
        <v>160</v>
      </c>
      <c r="EQ163" s="129" t="s">
        <v>160</v>
      </c>
      <c r="ER163" s="129" t="s">
        <v>160</v>
      </c>
      <c r="ES163" s="201">
        <v>8.1809689999999993</v>
      </c>
      <c r="ET163" s="129" t="s">
        <v>165</v>
      </c>
      <c r="EU163" s="151">
        <v>3.1958000000001263E-2</v>
      </c>
      <c r="EV163" s="151">
        <v>3.1746999999999304E-2</v>
      </c>
      <c r="EW163" s="142" t="s">
        <v>160</v>
      </c>
      <c r="EX163" s="129" t="s">
        <v>160</v>
      </c>
      <c r="EY163" s="129" t="s">
        <v>160</v>
      </c>
      <c r="EZ163" s="191">
        <v>242.21350000000001</v>
      </c>
      <c r="FA163" s="191">
        <v>23.05680000000001</v>
      </c>
      <c r="FB163" s="191">
        <v>21.252400000000023</v>
      </c>
      <c r="FC163" s="129" t="s">
        <v>220</v>
      </c>
      <c r="FD163" s="129" t="s">
        <v>221</v>
      </c>
      <c r="FE163" s="129">
        <v>2340.2380000000003</v>
      </c>
      <c r="FF163" s="129">
        <v>29.701000000000022</v>
      </c>
      <c r="FG163" s="129">
        <v>29.625000000000455</v>
      </c>
      <c r="FH163" s="129" t="s">
        <v>160</v>
      </c>
      <c r="FI163" s="129" t="s">
        <v>160</v>
      </c>
      <c r="FJ163" s="129" t="s">
        <v>160</v>
      </c>
      <c r="FK163" s="129" t="s">
        <v>160</v>
      </c>
      <c r="FL163" s="129" t="s">
        <v>160</v>
      </c>
      <c r="FM163" s="129" t="s">
        <v>160</v>
      </c>
      <c r="FN163" s="151">
        <v>4.4787489999999996</v>
      </c>
      <c r="FO163" s="151">
        <v>0.21312400000000054</v>
      </c>
      <c r="FP163" s="151">
        <v>0.21714900000000004</v>
      </c>
      <c r="FQ163" s="178" t="s">
        <v>419</v>
      </c>
      <c r="FR163" s="129" t="s">
        <v>415</v>
      </c>
      <c r="FS163" s="129">
        <v>2017</v>
      </c>
      <c r="FT163" s="131" t="s">
        <v>416</v>
      </c>
    </row>
    <row r="164" spans="1:176" s="129" customFormat="1">
      <c r="A164" s="129" t="s">
        <v>152</v>
      </c>
      <c r="B164" s="166" t="s">
        <v>183</v>
      </c>
      <c r="C164" s="166">
        <v>2018</v>
      </c>
      <c r="D164" s="166" t="s">
        <v>184</v>
      </c>
      <c r="E164" s="145">
        <f t="shared" si="14"/>
        <v>242.9</v>
      </c>
      <c r="F164" s="129">
        <f t="shared" si="15"/>
        <v>2</v>
      </c>
      <c r="G164" s="129">
        <f t="shared" si="15"/>
        <v>2</v>
      </c>
      <c r="H164" s="191">
        <v>274.6782</v>
      </c>
      <c r="I164" s="191">
        <v>27.8245</v>
      </c>
      <c r="J164" s="191">
        <v>25.799300000000017</v>
      </c>
      <c r="K164" s="129" t="s">
        <v>457</v>
      </c>
      <c r="L164" s="131" t="s">
        <v>185</v>
      </c>
      <c r="M164" s="132" t="s">
        <v>186</v>
      </c>
      <c r="N164" s="129" t="s">
        <v>184</v>
      </c>
      <c r="O164" s="129" t="s">
        <v>420</v>
      </c>
      <c r="P164" s="203" t="s">
        <v>156</v>
      </c>
      <c r="Q164" s="203">
        <v>2</v>
      </c>
      <c r="R164" s="203">
        <v>1</v>
      </c>
      <c r="S164" s="203">
        <v>139</v>
      </c>
      <c r="T164" s="203">
        <f t="shared" si="19"/>
        <v>141</v>
      </c>
      <c r="U164" s="203">
        <v>8.99</v>
      </c>
      <c r="V164" s="203">
        <v>8.99</v>
      </c>
      <c r="W164" s="129" t="s">
        <v>160</v>
      </c>
      <c r="X164" s="129" t="s">
        <v>421</v>
      </c>
      <c r="Y164" s="200">
        <v>12.74</v>
      </c>
      <c r="Z164" s="200">
        <v>-78.739999999999995</v>
      </c>
      <c r="AA164" s="129" t="s">
        <v>160</v>
      </c>
      <c r="AB164" s="129" t="s">
        <v>160</v>
      </c>
      <c r="AC164" s="129">
        <v>-2839</v>
      </c>
      <c r="AD164" s="129" t="s">
        <v>160</v>
      </c>
      <c r="AE164" s="129" t="s">
        <v>160</v>
      </c>
      <c r="AF164" s="129" t="s">
        <v>160</v>
      </c>
      <c r="AG164" s="145">
        <v>242.9</v>
      </c>
      <c r="AH164" s="129" t="s">
        <v>163</v>
      </c>
      <c r="AI164" s="129">
        <v>2</v>
      </c>
      <c r="AJ164" s="129">
        <v>2</v>
      </c>
      <c r="AK164" s="129" t="s">
        <v>160</v>
      </c>
      <c r="AL164" s="129" t="s">
        <v>422</v>
      </c>
      <c r="AM164" s="129" t="s">
        <v>160</v>
      </c>
      <c r="AN164" s="129" t="s">
        <v>160</v>
      </c>
      <c r="AO164" s="129" t="s">
        <v>160</v>
      </c>
      <c r="AP164" s="129" t="s">
        <v>160</v>
      </c>
      <c r="AQ164" s="129" t="s">
        <v>160</v>
      </c>
      <c r="AR164" s="129" t="s">
        <v>160</v>
      </c>
      <c r="AS164" s="129" t="s">
        <v>160</v>
      </c>
      <c r="AT164" s="129" t="s">
        <v>160</v>
      </c>
      <c r="AU164" s="129" t="s">
        <v>423</v>
      </c>
      <c r="AV164" s="129" t="s">
        <v>161</v>
      </c>
      <c r="AW164" s="129" t="s">
        <v>424</v>
      </c>
      <c r="AX164" s="178">
        <v>2</v>
      </c>
      <c r="AY164" s="129" t="s">
        <v>194</v>
      </c>
      <c r="AZ164" s="129" t="s">
        <v>195</v>
      </c>
      <c r="BA164" s="129" t="s">
        <v>425</v>
      </c>
      <c r="BB164" s="129" t="s">
        <v>160</v>
      </c>
      <c r="BC164" s="178">
        <v>2</v>
      </c>
      <c r="BD164" s="129" t="s">
        <v>160</v>
      </c>
      <c r="BE164" s="151">
        <v>20.4421857</v>
      </c>
      <c r="BF164" s="129" t="s">
        <v>426</v>
      </c>
      <c r="BG164" s="151">
        <v>0.25098974200000002</v>
      </c>
      <c r="BH164" s="129">
        <v>0.64</v>
      </c>
      <c r="BI164" s="129" t="s">
        <v>427</v>
      </c>
      <c r="BJ164" s="129">
        <v>3.4000000000000002E-2</v>
      </c>
      <c r="BK164" s="129">
        <v>9.1</v>
      </c>
      <c r="BL164" s="129" t="s">
        <v>163</v>
      </c>
      <c r="BM164" s="129">
        <v>0.56000000000000005</v>
      </c>
      <c r="BN164" s="129" t="s">
        <v>428</v>
      </c>
      <c r="BO164" s="129" t="s">
        <v>429</v>
      </c>
      <c r="BP164" s="151">
        <f t="shared" si="16"/>
        <v>19.286976166666669</v>
      </c>
      <c r="BQ164" s="129" t="s">
        <v>202</v>
      </c>
      <c r="BR164" s="217"/>
      <c r="BS164" s="129" t="s">
        <v>160</v>
      </c>
      <c r="BT164" s="129" t="s">
        <v>160</v>
      </c>
      <c r="BU164" s="129">
        <v>10</v>
      </c>
      <c r="BV164" s="129" t="s">
        <v>159</v>
      </c>
      <c r="BW164" s="129">
        <v>10</v>
      </c>
      <c r="BX164" s="145">
        <v>25.71</v>
      </c>
      <c r="BY164" s="129" t="s">
        <v>159</v>
      </c>
      <c r="BZ164" s="129">
        <v>1</v>
      </c>
      <c r="CA164" s="129">
        <v>1</v>
      </c>
      <c r="CB164" s="129" t="s">
        <v>160</v>
      </c>
      <c r="CC164" s="151">
        <v>3.8437638013574587</v>
      </c>
      <c r="CD164" s="129" t="s">
        <v>430</v>
      </c>
      <c r="CE164" s="151">
        <v>0.15375055205429836</v>
      </c>
      <c r="CF164" s="151">
        <v>0.15375055205429836</v>
      </c>
      <c r="CG164" s="178" t="s">
        <v>160</v>
      </c>
      <c r="CH164" s="129" t="s">
        <v>431</v>
      </c>
      <c r="CI164" s="129" t="s">
        <v>160</v>
      </c>
      <c r="CJ164" s="129" t="s">
        <v>432</v>
      </c>
      <c r="CK164" s="129" t="s">
        <v>158</v>
      </c>
      <c r="CL164" s="129" t="s">
        <v>158</v>
      </c>
      <c r="CM164" s="129" t="s">
        <v>158</v>
      </c>
      <c r="CN164" s="129" t="s">
        <v>160</v>
      </c>
      <c r="CO164" s="129" t="s">
        <v>160</v>
      </c>
      <c r="CP164" s="129" t="s">
        <v>160</v>
      </c>
      <c r="CQ164" s="129" t="s">
        <v>160</v>
      </c>
      <c r="CR164" s="129" t="s">
        <v>160</v>
      </c>
      <c r="CS164" s="129" t="s">
        <v>160</v>
      </c>
      <c r="CT164" s="129" t="s">
        <v>160</v>
      </c>
      <c r="CU164" s="129">
        <v>35</v>
      </c>
      <c r="CV164" s="129" t="s">
        <v>393</v>
      </c>
      <c r="CW164" s="146">
        <v>1</v>
      </c>
      <c r="CX164" s="129" t="s">
        <v>207</v>
      </c>
      <c r="CY164" s="129">
        <v>1.06E-2</v>
      </c>
      <c r="CZ164" s="129" t="s">
        <v>159</v>
      </c>
      <c r="DA164" s="146">
        <v>0</v>
      </c>
      <c r="DB164" s="129" t="s">
        <v>208</v>
      </c>
      <c r="DC164" s="129">
        <v>5.5100000000000003E-2</v>
      </c>
      <c r="DD164" s="129" t="s">
        <v>159</v>
      </c>
      <c r="DE164" s="146">
        <v>0</v>
      </c>
      <c r="DF164" s="129" t="s">
        <v>208</v>
      </c>
      <c r="DG164" s="129" t="s">
        <v>160</v>
      </c>
      <c r="DH164" s="129" t="s">
        <v>160</v>
      </c>
      <c r="DI164" s="129" t="s">
        <v>160</v>
      </c>
      <c r="DJ164" s="129" t="s">
        <v>160</v>
      </c>
      <c r="DK164" s="145">
        <v>432.56244218316402</v>
      </c>
      <c r="DL164" s="129" t="s">
        <v>433</v>
      </c>
      <c r="DM164" s="145" t="s">
        <v>160</v>
      </c>
      <c r="DN164" s="129" t="s">
        <v>434</v>
      </c>
      <c r="DO164" s="129">
        <v>39.618729999999999</v>
      </c>
      <c r="DP164" s="129" t="s">
        <v>160</v>
      </c>
      <c r="DQ164" s="129">
        <v>7.2820000000000107E-2</v>
      </c>
      <c r="DR164" s="129" t="s">
        <v>435</v>
      </c>
      <c r="DS164" s="129" t="s">
        <v>212</v>
      </c>
      <c r="DT164" s="129" t="s">
        <v>213</v>
      </c>
      <c r="DU164" s="129">
        <v>1.0271999999999999</v>
      </c>
      <c r="DV164" s="129" t="s">
        <v>160</v>
      </c>
      <c r="DW164" s="129" t="s">
        <v>160</v>
      </c>
      <c r="DX164" s="129" t="s">
        <v>436</v>
      </c>
      <c r="DY164" s="129" t="s">
        <v>158</v>
      </c>
      <c r="DZ164" s="129" t="s">
        <v>158</v>
      </c>
      <c r="EA164" s="129" t="s">
        <v>216</v>
      </c>
      <c r="EB164" s="129" t="s">
        <v>212</v>
      </c>
      <c r="EC164" s="129" t="s">
        <v>212</v>
      </c>
      <c r="ED164" s="129" t="s">
        <v>212</v>
      </c>
      <c r="EE164" s="129" t="s">
        <v>217</v>
      </c>
      <c r="EF164" s="147" t="s">
        <v>213</v>
      </c>
      <c r="EG164" s="148" t="s">
        <v>213</v>
      </c>
      <c r="EH164" s="129" t="s">
        <v>218</v>
      </c>
      <c r="EI164" s="129" t="s">
        <v>417</v>
      </c>
      <c r="EJ164" s="129" t="s">
        <v>160</v>
      </c>
      <c r="EK164" s="129">
        <v>1995.0380000000002</v>
      </c>
      <c r="EL164" s="129" t="s">
        <v>163</v>
      </c>
      <c r="EM164" s="129">
        <v>4.1479999999998256</v>
      </c>
      <c r="EN164" s="129">
        <v>4.0899999999999963</v>
      </c>
      <c r="EO164" s="129" t="s">
        <v>160</v>
      </c>
      <c r="EP164" s="129" t="s">
        <v>160</v>
      </c>
      <c r="EQ164" s="129" t="s">
        <v>160</v>
      </c>
      <c r="ER164" s="129" t="s">
        <v>160</v>
      </c>
      <c r="ES164" s="201">
        <v>8.1380529999999993</v>
      </c>
      <c r="ET164" s="129" t="s">
        <v>165</v>
      </c>
      <c r="EU164" s="151">
        <v>3.4867000000000203E-2</v>
      </c>
      <c r="EV164" s="151">
        <v>3.4304999999999808E-2</v>
      </c>
      <c r="EW164" s="142" t="s">
        <v>160</v>
      </c>
      <c r="EX164" s="129" t="s">
        <v>160</v>
      </c>
      <c r="EY164" s="129" t="s">
        <v>160</v>
      </c>
      <c r="EZ164" s="191">
        <v>274.6782</v>
      </c>
      <c r="FA164" s="191">
        <v>27.8245</v>
      </c>
      <c r="FB164" s="191">
        <v>25.799300000000017</v>
      </c>
      <c r="FC164" s="129" t="s">
        <v>220</v>
      </c>
      <c r="FD164" s="129" t="s">
        <v>221</v>
      </c>
      <c r="FE164" s="129">
        <v>2315.4880000000003</v>
      </c>
      <c r="FF164" s="129">
        <v>30.908999999999651</v>
      </c>
      <c r="FG164" s="129">
        <v>30.460000000000036</v>
      </c>
      <c r="FH164" s="129" t="s">
        <v>160</v>
      </c>
      <c r="FI164" s="129" t="s">
        <v>160</v>
      </c>
      <c r="FJ164" s="129" t="s">
        <v>160</v>
      </c>
      <c r="FK164" s="129" t="s">
        <v>160</v>
      </c>
      <c r="FL164" s="129" t="s">
        <v>160</v>
      </c>
      <c r="FM164" s="129" t="s">
        <v>160</v>
      </c>
      <c r="FN164" s="151">
        <v>4.2141299999999999</v>
      </c>
      <c r="FO164" s="151">
        <v>0.23345299999999991</v>
      </c>
      <c r="FP164" s="151">
        <v>0.22724499999999992</v>
      </c>
      <c r="FQ164" s="178" t="s">
        <v>419</v>
      </c>
      <c r="FR164" s="129" t="s">
        <v>415</v>
      </c>
      <c r="FS164" s="129">
        <v>2017</v>
      </c>
      <c r="FT164" s="131" t="s">
        <v>416</v>
      </c>
    </row>
    <row r="165" spans="1:176" s="129" customFormat="1">
      <c r="A165" s="129" t="s">
        <v>152</v>
      </c>
      <c r="B165" s="166" t="s">
        <v>183</v>
      </c>
      <c r="C165" s="166">
        <v>2018</v>
      </c>
      <c r="D165" s="166" t="s">
        <v>184</v>
      </c>
      <c r="E165" s="145">
        <f t="shared" si="14"/>
        <v>247.18</v>
      </c>
      <c r="F165" s="129">
        <f t="shared" si="15"/>
        <v>2</v>
      </c>
      <c r="G165" s="129">
        <f t="shared" si="15"/>
        <v>2</v>
      </c>
      <c r="H165" s="191">
        <v>259.75830000000002</v>
      </c>
      <c r="I165" s="191">
        <v>24.621699999999976</v>
      </c>
      <c r="J165" s="191">
        <v>22.661300000000011</v>
      </c>
      <c r="K165" s="129" t="s">
        <v>457</v>
      </c>
      <c r="L165" s="131" t="s">
        <v>185</v>
      </c>
      <c r="M165" s="132" t="s">
        <v>186</v>
      </c>
      <c r="N165" s="129" t="s">
        <v>184</v>
      </c>
      <c r="O165" s="129" t="s">
        <v>420</v>
      </c>
      <c r="P165" s="202" t="s">
        <v>156</v>
      </c>
      <c r="Q165" s="202">
        <v>2</v>
      </c>
      <c r="R165" s="202">
        <v>2</v>
      </c>
      <c r="S165" s="202">
        <v>9</v>
      </c>
      <c r="T165" s="202">
        <f t="shared" si="19"/>
        <v>11</v>
      </c>
      <c r="U165" s="202">
        <v>9.19</v>
      </c>
      <c r="V165" s="202">
        <v>9.19</v>
      </c>
      <c r="W165" s="129" t="s">
        <v>160</v>
      </c>
      <c r="X165" s="129" t="s">
        <v>421</v>
      </c>
      <c r="Y165" s="200">
        <v>12.74</v>
      </c>
      <c r="Z165" s="200">
        <v>-78.739999999999995</v>
      </c>
      <c r="AA165" s="129" t="s">
        <v>160</v>
      </c>
      <c r="AB165" s="129" t="s">
        <v>160</v>
      </c>
      <c r="AC165" s="129">
        <v>-2839</v>
      </c>
      <c r="AD165" s="129" t="s">
        <v>160</v>
      </c>
      <c r="AE165" s="129" t="s">
        <v>160</v>
      </c>
      <c r="AF165" s="129" t="s">
        <v>160</v>
      </c>
      <c r="AG165" s="145">
        <v>247.18</v>
      </c>
      <c r="AH165" s="129" t="s">
        <v>163</v>
      </c>
      <c r="AI165" s="129">
        <v>2</v>
      </c>
      <c r="AJ165" s="129">
        <v>2</v>
      </c>
      <c r="AK165" s="129" t="s">
        <v>160</v>
      </c>
      <c r="AL165" s="129" t="s">
        <v>422</v>
      </c>
      <c r="AM165" s="129" t="s">
        <v>160</v>
      </c>
      <c r="AN165" s="129" t="s">
        <v>160</v>
      </c>
      <c r="AO165" s="129" t="s">
        <v>160</v>
      </c>
      <c r="AP165" s="129" t="s">
        <v>160</v>
      </c>
      <c r="AQ165" s="129" t="s">
        <v>160</v>
      </c>
      <c r="AR165" s="129" t="s">
        <v>160</v>
      </c>
      <c r="AS165" s="129" t="s">
        <v>160</v>
      </c>
      <c r="AT165" s="129" t="s">
        <v>160</v>
      </c>
      <c r="AU165" s="129" t="s">
        <v>423</v>
      </c>
      <c r="AV165" s="129" t="s">
        <v>161</v>
      </c>
      <c r="AW165" s="129" t="s">
        <v>424</v>
      </c>
      <c r="AX165" s="178">
        <v>2</v>
      </c>
      <c r="AY165" s="129" t="s">
        <v>194</v>
      </c>
      <c r="AZ165" s="129" t="s">
        <v>195</v>
      </c>
      <c r="BA165" s="129" t="s">
        <v>425</v>
      </c>
      <c r="BB165" s="129" t="s">
        <v>160</v>
      </c>
      <c r="BC165" s="178">
        <v>2</v>
      </c>
      <c r="BD165" s="129" t="s">
        <v>160</v>
      </c>
      <c r="BE165" s="151">
        <v>20.587352240000001</v>
      </c>
      <c r="BF165" s="129" t="s">
        <v>426</v>
      </c>
      <c r="BG165" s="151">
        <v>0.21625272200000001</v>
      </c>
      <c r="BH165" s="129">
        <v>0.64</v>
      </c>
      <c r="BI165" s="129" t="s">
        <v>427</v>
      </c>
      <c r="BJ165" s="129">
        <v>3.4000000000000002E-2</v>
      </c>
      <c r="BK165" s="129">
        <v>9.1</v>
      </c>
      <c r="BL165" s="129" t="s">
        <v>163</v>
      </c>
      <c r="BM165" s="129">
        <v>0.56000000000000005</v>
      </c>
      <c r="BN165" s="129" t="s">
        <v>428</v>
      </c>
      <c r="BO165" s="129" t="s">
        <v>429</v>
      </c>
      <c r="BP165" s="151">
        <f t="shared" si="16"/>
        <v>19.528920400000004</v>
      </c>
      <c r="BQ165" s="129" t="s">
        <v>202</v>
      </c>
      <c r="BR165" s="217"/>
      <c r="BS165" s="129" t="s">
        <v>160</v>
      </c>
      <c r="BT165" s="129" t="s">
        <v>160</v>
      </c>
      <c r="BU165" s="129">
        <v>10</v>
      </c>
      <c r="BV165" s="129" t="s">
        <v>159</v>
      </c>
      <c r="BW165" s="129">
        <v>10</v>
      </c>
      <c r="BX165" s="145">
        <v>25.83</v>
      </c>
      <c r="BY165" s="129" t="s">
        <v>159</v>
      </c>
      <c r="BZ165" s="129">
        <v>1</v>
      </c>
      <c r="CA165" s="129">
        <v>1</v>
      </c>
      <c r="CB165" s="129" t="s">
        <v>160</v>
      </c>
      <c r="CC165" s="151">
        <v>3.8858090860767556</v>
      </c>
      <c r="CD165" s="129" t="s">
        <v>430</v>
      </c>
      <c r="CE165" s="151">
        <v>0.15543236344307024</v>
      </c>
      <c r="CF165" s="151">
        <v>0.15543236344307024</v>
      </c>
      <c r="CG165" s="178" t="s">
        <v>160</v>
      </c>
      <c r="CH165" s="129" t="s">
        <v>431</v>
      </c>
      <c r="CI165" s="129" t="s">
        <v>160</v>
      </c>
      <c r="CJ165" s="129" t="s">
        <v>432</v>
      </c>
      <c r="CK165" s="129" t="s">
        <v>158</v>
      </c>
      <c r="CL165" s="129" t="s">
        <v>158</v>
      </c>
      <c r="CM165" s="129" t="s">
        <v>158</v>
      </c>
      <c r="CN165" s="129" t="s">
        <v>160</v>
      </c>
      <c r="CO165" s="129" t="s">
        <v>160</v>
      </c>
      <c r="CP165" s="129" t="s">
        <v>160</v>
      </c>
      <c r="CQ165" s="129" t="s">
        <v>160</v>
      </c>
      <c r="CR165" s="129" t="s">
        <v>160</v>
      </c>
      <c r="CS165" s="129" t="s">
        <v>160</v>
      </c>
      <c r="CT165" s="129" t="s">
        <v>160</v>
      </c>
      <c r="CU165" s="129">
        <v>35</v>
      </c>
      <c r="CV165" s="129" t="s">
        <v>393</v>
      </c>
      <c r="CW165" s="146">
        <v>1</v>
      </c>
      <c r="CX165" s="129" t="s">
        <v>207</v>
      </c>
      <c r="CY165" s="129">
        <v>1.06E-2</v>
      </c>
      <c r="CZ165" s="129" t="s">
        <v>159</v>
      </c>
      <c r="DA165" s="146">
        <v>0</v>
      </c>
      <c r="DB165" s="129" t="s">
        <v>208</v>
      </c>
      <c r="DC165" s="129">
        <v>5.5100000000000003E-2</v>
      </c>
      <c r="DD165" s="129" t="s">
        <v>159</v>
      </c>
      <c r="DE165" s="146">
        <v>0</v>
      </c>
      <c r="DF165" s="129" t="s">
        <v>208</v>
      </c>
      <c r="DG165" s="129" t="s">
        <v>160</v>
      </c>
      <c r="DH165" s="129" t="s">
        <v>160</v>
      </c>
      <c r="DI165" s="129" t="s">
        <v>160</v>
      </c>
      <c r="DJ165" s="129" t="s">
        <v>160</v>
      </c>
      <c r="DK165" s="145">
        <v>432.56244218316402</v>
      </c>
      <c r="DL165" s="129" t="s">
        <v>433</v>
      </c>
      <c r="DM165" s="145" t="s">
        <v>160</v>
      </c>
      <c r="DN165" s="129" t="s">
        <v>434</v>
      </c>
      <c r="DO165" s="129">
        <v>39.618980000000001</v>
      </c>
      <c r="DP165" s="129" t="s">
        <v>160</v>
      </c>
      <c r="DQ165" s="129">
        <v>7.4840000000001794E-2</v>
      </c>
      <c r="DR165" s="129" t="s">
        <v>435</v>
      </c>
      <c r="DS165" s="129" t="s">
        <v>212</v>
      </c>
      <c r="DT165" s="129" t="s">
        <v>213</v>
      </c>
      <c r="DU165" s="129">
        <v>1.0271999999999999</v>
      </c>
      <c r="DV165" s="129" t="s">
        <v>160</v>
      </c>
      <c r="DW165" s="129" t="s">
        <v>160</v>
      </c>
      <c r="DX165" s="129" t="s">
        <v>436</v>
      </c>
      <c r="DY165" s="129" t="s">
        <v>158</v>
      </c>
      <c r="DZ165" s="129" t="s">
        <v>158</v>
      </c>
      <c r="EA165" s="129" t="s">
        <v>216</v>
      </c>
      <c r="EB165" s="129" t="s">
        <v>212</v>
      </c>
      <c r="EC165" s="129" t="s">
        <v>212</v>
      </c>
      <c r="ED165" s="129" t="s">
        <v>212</v>
      </c>
      <c r="EE165" s="129" t="s">
        <v>217</v>
      </c>
      <c r="EF165" s="147" t="s">
        <v>213</v>
      </c>
      <c r="EG165" s="148" t="s">
        <v>213</v>
      </c>
      <c r="EH165" s="129" t="s">
        <v>218</v>
      </c>
      <c r="EI165" s="129" t="s">
        <v>417</v>
      </c>
      <c r="EJ165" s="129" t="s">
        <v>160</v>
      </c>
      <c r="EK165" s="129">
        <v>1994.9740000000002</v>
      </c>
      <c r="EL165" s="129" t="s">
        <v>163</v>
      </c>
      <c r="EM165" s="129">
        <v>4.142999999999855</v>
      </c>
      <c r="EN165" s="129">
        <v>4.2179999999998437</v>
      </c>
      <c r="EO165" s="129" t="s">
        <v>160</v>
      </c>
      <c r="EP165" s="129" t="s">
        <v>160</v>
      </c>
      <c r="EQ165" s="129" t="s">
        <v>160</v>
      </c>
      <c r="ER165" s="129" t="s">
        <v>160</v>
      </c>
      <c r="ES165" s="201">
        <v>8.1574489999999997</v>
      </c>
      <c r="ET165" s="129" t="s">
        <v>165</v>
      </c>
      <c r="EU165" s="151">
        <v>3.1534999999999869E-2</v>
      </c>
      <c r="EV165" s="151">
        <v>3.2142999999999589E-2</v>
      </c>
      <c r="EW165" s="142" t="s">
        <v>160</v>
      </c>
      <c r="EX165" s="129" t="s">
        <v>160</v>
      </c>
      <c r="EY165" s="129" t="s">
        <v>160</v>
      </c>
      <c r="EZ165" s="191">
        <v>259.75830000000002</v>
      </c>
      <c r="FA165" s="191">
        <v>24.621699999999976</v>
      </c>
      <c r="FB165" s="191">
        <v>22.661300000000011</v>
      </c>
      <c r="FC165" s="129" t="s">
        <v>220</v>
      </c>
      <c r="FD165" s="129" t="s">
        <v>221</v>
      </c>
      <c r="FE165" s="129">
        <v>2330.8560000000002</v>
      </c>
      <c r="FF165" s="129">
        <v>30.206000000000131</v>
      </c>
      <c r="FG165" s="129">
        <v>29.89200000000028</v>
      </c>
      <c r="FH165" s="129" t="s">
        <v>160</v>
      </c>
      <c r="FI165" s="129" t="s">
        <v>160</v>
      </c>
      <c r="FJ165" s="129" t="s">
        <v>160</v>
      </c>
      <c r="FK165" s="129" t="s">
        <v>160</v>
      </c>
      <c r="FL165" s="129" t="s">
        <v>160</v>
      </c>
      <c r="FM165" s="129" t="s">
        <v>160</v>
      </c>
      <c r="FN165" s="151">
        <v>4.3966950000000002</v>
      </c>
      <c r="FO165" s="151">
        <v>0.22083500000000011</v>
      </c>
      <c r="FP165" s="151">
        <v>0.21591000000000005</v>
      </c>
      <c r="FQ165" s="178" t="s">
        <v>419</v>
      </c>
      <c r="FR165" s="129" t="s">
        <v>415</v>
      </c>
      <c r="FS165" s="129">
        <v>2017</v>
      </c>
      <c r="FT165" s="131" t="s">
        <v>416</v>
      </c>
    </row>
    <row r="166" spans="1:176" s="129" customFormat="1">
      <c r="A166" s="129" t="s">
        <v>152</v>
      </c>
      <c r="B166" s="166" t="s">
        <v>183</v>
      </c>
      <c r="C166" s="166">
        <v>2018</v>
      </c>
      <c r="D166" s="166" t="s">
        <v>184</v>
      </c>
      <c r="E166" s="145">
        <f t="shared" si="14"/>
        <v>250.07</v>
      </c>
      <c r="F166" s="129">
        <f t="shared" si="15"/>
        <v>2</v>
      </c>
      <c r="G166" s="129">
        <f t="shared" si="15"/>
        <v>2</v>
      </c>
      <c r="H166" s="191">
        <v>224.9674</v>
      </c>
      <c r="I166" s="191">
        <v>21.626899999999978</v>
      </c>
      <c r="J166" s="191">
        <v>19.767299999999977</v>
      </c>
      <c r="K166" s="129" t="s">
        <v>457</v>
      </c>
      <c r="L166" s="131" t="s">
        <v>185</v>
      </c>
      <c r="M166" s="132" t="s">
        <v>186</v>
      </c>
      <c r="N166" s="129" t="s">
        <v>184</v>
      </c>
      <c r="O166" s="129" t="s">
        <v>420</v>
      </c>
      <c r="P166" s="202" t="s">
        <v>156</v>
      </c>
      <c r="Q166" s="202">
        <v>2</v>
      </c>
      <c r="R166" s="202">
        <v>2</v>
      </c>
      <c r="S166" s="202">
        <v>23</v>
      </c>
      <c r="T166" s="202">
        <v>24</v>
      </c>
      <c r="U166" s="202">
        <v>9.33</v>
      </c>
      <c r="V166" s="202">
        <v>9.33</v>
      </c>
      <c r="W166" s="129" t="s">
        <v>160</v>
      </c>
      <c r="X166" s="129" t="s">
        <v>421</v>
      </c>
      <c r="Y166" s="200">
        <v>12.74</v>
      </c>
      <c r="Z166" s="200">
        <v>-78.739999999999995</v>
      </c>
      <c r="AA166" s="129" t="s">
        <v>160</v>
      </c>
      <c r="AB166" s="129" t="s">
        <v>160</v>
      </c>
      <c r="AC166" s="129">
        <v>-2839</v>
      </c>
      <c r="AD166" s="129" t="s">
        <v>160</v>
      </c>
      <c r="AE166" s="129" t="s">
        <v>160</v>
      </c>
      <c r="AF166" s="129" t="s">
        <v>160</v>
      </c>
      <c r="AG166" s="145">
        <v>250.07</v>
      </c>
      <c r="AH166" s="129" t="s">
        <v>163</v>
      </c>
      <c r="AI166" s="129">
        <v>2</v>
      </c>
      <c r="AJ166" s="129">
        <v>2</v>
      </c>
      <c r="AK166" s="129" t="s">
        <v>160</v>
      </c>
      <c r="AL166" s="129" t="s">
        <v>422</v>
      </c>
      <c r="AM166" s="129" t="s">
        <v>160</v>
      </c>
      <c r="AN166" s="129" t="s">
        <v>160</v>
      </c>
      <c r="AO166" s="129" t="s">
        <v>160</v>
      </c>
      <c r="AP166" s="129" t="s">
        <v>160</v>
      </c>
      <c r="AQ166" s="129" t="s">
        <v>160</v>
      </c>
      <c r="AR166" s="129" t="s">
        <v>160</v>
      </c>
      <c r="AS166" s="129" t="s">
        <v>160</v>
      </c>
      <c r="AT166" s="129" t="s">
        <v>160</v>
      </c>
      <c r="AU166" s="129" t="s">
        <v>423</v>
      </c>
      <c r="AV166" s="129" t="s">
        <v>161</v>
      </c>
      <c r="AW166" s="129" t="s">
        <v>424</v>
      </c>
      <c r="AX166" s="178">
        <v>2</v>
      </c>
      <c r="AY166" s="129" t="s">
        <v>194</v>
      </c>
      <c r="AZ166" s="129" t="s">
        <v>195</v>
      </c>
      <c r="BA166" s="129" t="s">
        <v>425</v>
      </c>
      <c r="BB166" s="129" t="s">
        <v>160</v>
      </c>
      <c r="BC166" s="178">
        <v>2</v>
      </c>
      <c r="BD166" s="129" t="s">
        <v>160</v>
      </c>
      <c r="BE166" s="151">
        <v>21.001365960000001</v>
      </c>
      <c r="BF166" s="129" t="s">
        <v>426</v>
      </c>
      <c r="BG166" s="151">
        <v>0.21711803800000001</v>
      </c>
      <c r="BH166" s="129">
        <v>0.64</v>
      </c>
      <c r="BI166" s="129" t="s">
        <v>427</v>
      </c>
      <c r="BJ166" s="129">
        <v>3.4000000000000002E-2</v>
      </c>
      <c r="BK166" s="129">
        <v>9.1</v>
      </c>
      <c r="BL166" s="129" t="s">
        <v>163</v>
      </c>
      <c r="BM166" s="129">
        <v>0.56000000000000005</v>
      </c>
      <c r="BN166" s="129" t="s">
        <v>428</v>
      </c>
      <c r="BO166" s="129" t="s">
        <v>429</v>
      </c>
      <c r="BP166" s="151">
        <f t="shared" si="16"/>
        <v>20.21894326666667</v>
      </c>
      <c r="BQ166" s="129" t="s">
        <v>202</v>
      </c>
      <c r="BR166" s="217"/>
      <c r="BS166" s="129" t="s">
        <v>160</v>
      </c>
      <c r="BT166" s="129" t="s">
        <v>160</v>
      </c>
      <c r="BU166" s="129">
        <v>10</v>
      </c>
      <c r="BV166" s="129" t="s">
        <v>159</v>
      </c>
      <c r="BW166" s="129">
        <v>10</v>
      </c>
      <c r="BX166" s="145">
        <v>26.36</v>
      </c>
      <c r="BY166" s="129" t="s">
        <v>159</v>
      </c>
      <c r="BZ166" s="129">
        <v>1</v>
      </c>
      <c r="CA166" s="129">
        <v>1</v>
      </c>
      <c r="CB166" s="129" t="s">
        <v>160</v>
      </c>
      <c r="CC166" s="151">
        <v>4.0729728930561304</v>
      </c>
      <c r="CD166" s="129" t="s">
        <v>430</v>
      </c>
      <c r="CE166" s="151">
        <v>0.16291891572224523</v>
      </c>
      <c r="CF166" s="151">
        <v>0.16291891572224523</v>
      </c>
      <c r="CG166" s="178" t="s">
        <v>160</v>
      </c>
      <c r="CH166" s="129" t="s">
        <v>431</v>
      </c>
      <c r="CI166" s="129" t="s">
        <v>160</v>
      </c>
      <c r="CJ166" s="129" t="s">
        <v>432</v>
      </c>
      <c r="CK166" s="129" t="s">
        <v>158</v>
      </c>
      <c r="CL166" s="129" t="s">
        <v>158</v>
      </c>
      <c r="CM166" s="129" t="s">
        <v>158</v>
      </c>
      <c r="CN166" s="129" t="s">
        <v>160</v>
      </c>
      <c r="CO166" s="129" t="s">
        <v>160</v>
      </c>
      <c r="CP166" s="129" t="s">
        <v>160</v>
      </c>
      <c r="CQ166" s="129" t="s">
        <v>160</v>
      </c>
      <c r="CR166" s="129" t="s">
        <v>160</v>
      </c>
      <c r="CS166" s="129" t="s">
        <v>160</v>
      </c>
      <c r="CT166" s="129" t="s">
        <v>160</v>
      </c>
      <c r="CU166" s="129">
        <v>35</v>
      </c>
      <c r="CV166" s="129" t="s">
        <v>393</v>
      </c>
      <c r="CW166" s="146">
        <v>1</v>
      </c>
      <c r="CX166" s="129" t="s">
        <v>207</v>
      </c>
      <c r="CY166" s="129">
        <v>1.06E-2</v>
      </c>
      <c r="CZ166" s="129" t="s">
        <v>159</v>
      </c>
      <c r="DA166" s="146">
        <v>0</v>
      </c>
      <c r="DB166" s="129" t="s">
        <v>208</v>
      </c>
      <c r="DC166" s="129">
        <v>5.5100000000000003E-2</v>
      </c>
      <c r="DD166" s="129" t="s">
        <v>159</v>
      </c>
      <c r="DE166" s="146">
        <v>0</v>
      </c>
      <c r="DF166" s="129" t="s">
        <v>208</v>
      </c>
      <c r="DG166" s="129" t="s">
        <v>160</v>
      </c>
      <c r="DH166" s="129" t="s">
        <v>160</v>
      </c>
      <c r="DI166" s="129" t="s">
        <v>160</v>
      </c>
      <c r="DJ166" s="129" t="s">
        <v>160</v>
      </c>
      <c r="DK166" s="145">
        <v>432.56244218316402</v>
      </c>
      <c r="DL166" s="129" t="s">
        <v>433</v>
      </c>
      <c r="DM166" s="145" t="s">
        <v>160</v>
      </c>
      <c r="DN166" s="129" t="s">
        <v>434</v>
      </c>
      <c r="DO166" s="129">
        <v>39.618630000000003</v>
      </c>
      <c r="DP166" s="129" t="s">
        <v>160</v>
      </c>
      <c r="DQ166" s="129">
        <v>7.7869999999997219E-2</v>
      </c>
      <c r="DR166" s="129" t="s">
        <v>435</v>
      </c>
      <c r="DS166" s="129" t="s">
        <v>212</v>
      </c>
      <c r="DT166" s="129" t="s">
        <v>213</v>
      </c>
      <c r="DU166" s="129">
        <v>1.0271999999999999</v>
      </c>
      <c r="DV166" s="129" t="s">
        <v>160</v>
      </c>
      <c r="DW166" s="129" t="s">
        <v>160</v>
      </c>
      <c r="DX166" s="129" t="s">
        <v>436</v>
      </c>
      <c r="DY166" s="129" t="s">
        <v>158</v>
      </c>
      <c r="DZ166" s="129" t="s">
        <v>158</v>
      </c>
      <c r="EA166" s="129" t="s">
        <v>216</v>
      </c>
      <c r="EB166" s="129" t="s">
        <v>212</v>
      </c>
      <c r="EC166" s="129" t="s">
        <v>212</v>
      </c>
      <c r="ED166" s="129" t="s">
        <v>212</v>
      </c>
      <c r="EE166" s="129" t="s">
        <v>217</v>
      </c>
      <c r="EF166" s="147" t="s">
        <v>213</v>
      </c>
      <c r="EG166" s="148" t="s">
        <v>213</v>
      </c>
      <c r="EH166" s="129" t="s">
        <v>218</v>
      </c>
      <c r="EI166" s="129" t="s">
        <v>417</v>
      </c>
      <c r="EJ166" s="129" t="s">
        <v>160</v>
      </c>
      <c r="EK166" s="129">
        <v>1994.9450000000002</v>
      </c>
      <c r="EL166" s="129" t="s">
        <v>163</v>
      </c>
      <c r="EM166" s="129">
        <v>4.188999999999929</v>
      </c>
      <c r="EN166" s="129">
        <v>4.3180000000001169</v>
      </c>
      <c r="EO166" s="129" t="s">
        <v>160</v>
      </c>
      <c r="EP166" s="129" t="s">
        <v>160</v>
      </c>
      <c r="EQ166" s="129" t="s">
        <v>160</v>
      </c>
      <c r="ER166" s="129" t="s">
        <v>160</v>
      </c>
      <c r="ES166" s="201">
        <v>8.2059960000000007</v>
      </c>
      <c r="ET166" s="129" t="s">
        <v>165</v>
      </c>
      <c r="EU166" s="151">
        <v>3.1426999999998984E-2</v>
      </c>
      <c r="EV166" s="151">
        <v>3.1951000000001173E-2</v>
      </c>
      <c r="EW166" s="142" t="s">
        <v>160</v>
      </c>
      <c r="EX166" s="129" t="s">
        <v>160</v>
      </c>
      <c r="EY166" s="129" t="s">
        <v>160</v>
      </c>
      <c r="EZ166" s="191">
        <v>224.9674</v>
      </c>
      <c r="FA166" s="191">
        <v>21.626899999999978</v>
      </c>
      <c r="FB166" s="191">
        <v>19.767299999999977</v>
      </c>
      <c r="FC166" s="129" t="s">
        <v>220</v>
      </c>
      <c r="FD166" s="129" t="s">
        <v>221</v>
      </c>
      <c r="FE166" s="129">
        <v>2375.643</v>
      </c>
      <c r="FF166" s="129">
        <v>30.110999999999876</v>
      </c>
      <c r="FG166" s="129">
        <v>30.753999999999905</v>
      </c>
      <c r="FH166" s="129" t="s">
        <v>160</v>
      </c>
      <c r="FI166" s="129" t="s">
        <v>160</v>
      </c>
      <c r="FJ166" s="129" t="s">
        <v>160</v>
      </c>
      <c r="FK166" s="129" t="s">
        <v>160</v>
      </c>
      <c r="FL166" s="129" t="s">
        <v>160</v>
      </c>
      <c r="FM166" s="129" t="s">
        <v>160</v>
      </c>
      <c r="FN166" s="151">
        <v>4.9377069999999996</v>
      </c>
      <c r="FO166" s="151">
        <v>0.23631200000000074</v>
      </c>
      <c r="FP166" s="151">
        <v>0.22750499999999985</v>
      </c>
      <c r="FQ166" s="178" t="s">
        <v>419</v>
      </c>
      <c r="FR166" s="129" t="s">
        <v>415</v>
      </c>
      <c r="FS166" s="129">
        <v>2017</v>
      </c>
      <c r="FT166" s="131" t="s">
        <v>416</v>
      </c>
    </row>
    <row r="167" spans="1:176" s="129" customFormat="1">
      <c r="A167" s="129" t="s">
        <v>152</v>
      </c>
      <c r="B167" s="166" t="s">
        <v>183</v>
      </c>
      <c r="C167" s="166">
        <v>2018</v>
      </c>
      <c r="D167" s="166" t="s">
        <v>184</v>
      </c>
      <c r="E167" s="145">
        <f t="shared" si="14"/>
        <v>257.83999999999997</v>
      </c>
      <c r="F167" s="129">
        <f t="shared" si="15"/>
        <v>2</v>
      </c>
      <c r="G167" s="129">
        <f t="shared" si="15"/>
        <v>2</v>
      </c>
      <c r="H167" s="191">
        <v>233.39279999999999</v>
      </c>
      <c r="I167" s="191">
        <v>21.614200000000039</v>
      </c>
      <c r="J167" s="191">
        <v>20.004799999999989</v>
      </c>
      <c r="K167" s="129" t="s">
        <v>457</v>
      </c>
      <c r="L167" s="131" t="s">
        <v>185</v>
      </c>
      <c r="M167" s="132" t="s">
        <v>186</v>
      </c>
      <c r="N167" s="129" t="s">
        <v>184</v>
      </c>
      <c r="O167" s="129" t="s">
        <v>420</v>
      </c>
      <c r="P167" s="202" t="s">
        <v>156</v>
      </c>
      <c r="Q167" s="202">
        <v>2</v>
      </c>
      <c r="R167" s="202">
        <v>2</v>
      </c>
      <c r="S167" s="202">
        <v>63</v>
      </c>
      <c r="T167" s="202">
        <f>S167+2</f>
        <v>65</v>
      </c>
      <c r="U167" s="202">
        <v>9.73</v>
      </c>
      <c r="V167" s="202">
        <v>9.73</v>
      </c>
      <c r="W167" s="129" t="s">
        <v>160</v>
      </c>
      <c r="X167" s="129" t="s">
        <v>421</v>
      </c>
      <c r="Y167" s="200">
        <v>12.74</v>
      </c>
      <c r="Z167" s="200">
        <v>-78.739999999999995</v>
      </c>
      <c r="AA167" s="129" t="s">
        <v>160</v>
      </c>
      <c r="AB167" s="129" t="s">
        <v>160</v>
      </c>
      <c r="AC167" s="129">
        <v>-2839</v>
      </c>
      <c r="AD167" s="129" t="s">
        <v>160</v>
      </c>
      <c r="AE167" s="129" t="s">
        <v>160</v>
      </c>
      <c r="AF167" s="129" t="s">
        <v>160</v>
      </c>
      <c r="AG167" s="145">
        <v>257.83999999999997</v>
      </c>
      <c r="AH167" s="129" t="s">
        <v>163</v>
      </c>
      <c r="AI167" s="129">
        <v>2</v>
      </c>
      <c r="AJ167" s="129">
        <v>2</v>
      </c>
      <c r="AK167" s="129" t="s">
        <v>160</v>
      </c>
      <c r="AL167" s="129" t="s">
        <v>422</v>
      </c>
      <c r="AM167" s="129" t="s">
        <v>160</v>
      </c>
      <c r="AN167" s="129" t="s">
        <v>160</v>
      </c>
      <c r="AO167" s="129" t="s">
        <v>160</v>
      </c>
      <c r="AP167" s="129" t="s">
        <v>160</v>
      </c>
      <c r="AQ167" s="129" t="s">
        <v>160</v>
      </c>
      <c r="AR167" s="129" t="s">
        <v>160</v>
      </c>
      <c r="AS167" s="129" t="s">
        <v>160</v>
      </c>
      <c r="AT167" s="129" t="s">
        <v>160</v>
      </c>
      <c r="AU167" s="129" t="s">
        <v>423</v>
      </c>
      <c r="AV167" s="129" t="s">
        <v>161</v>
      </c>
      <c r="AW167" s="129" t="s">
        <v>424</v>
      </c>
      <c r="AX167" s="178">
        <v>2</v>
      </c>
      <c r="AY167" s="129" t="s">
        <v>194</v>
      </c>
      <c r="AZ167" s="129" t="s">
        <v>195</v>
      </c>
      <c r="BA167" s="129" t="s">
        <v>425</v>
      </c>
      <c r="BB167" s="129" t="s">
        <v>160</v>
      </c>
      <c r="BC167" s="178">
        <v>2</v>
      </c>
      <c r="BD167" s="129" t="s">
        <v>160</v>
      </c>
      <c r="BE167" s="151">
        <v>20.843040089999999</v>
      </c>
      <c r="BF167" s="129" t="s">
        <v>426</v>
      </c>
      <c r="BG167" s="151">
        <v>0.19765560400000001</v>
      </c>
      <c r="BH167" s="129">
        <v>0.64</v>
      </c>
      <c r="BI167" s="129" t="s">
        <v>427</v>
      </c>
      <c r="BJ167" s="129">
        <v>3.4000000000000002E-2</v>
      </c>
      <c r="BK167" s="129">
        <v>9.1</v>
      </c>
      <c r="BL167" s="129" t="s">
        <v>163</v>
      </c>
      <c r="BM167" s="129">
        <v>0.56000000000000005</v>
      </c>
      <c r="BN167" s="129" t="s">
        <v>428</v>
      </c>
      <c r="BO167" s="129" t="s">
        <v>429</v>
      </c>
      <c r="BP167" s="151">
        <f t="shared" si="16"/>
        <v>19.955066816666665</v>
      </c>
      <c r="BQ167" s="129" t="s">
        <v>202</v>
      </c>
      <c r="BR167" s="217"/>
      <c r="BS167" s="129" t="s">
        <v>160</v>
      </c>
      <c r="BT167" s="129" t="s">
        <v>160</v>
      </c>
      <c r="BU167" s="129">
        <v>10</v>
      </c>
      <c r="BV167" s="129" t="s">
        <v>159</v>
      </c>
      <c r="BW167" s="129">
        <v>10</v>
      </c>
      <c r="BX167" s="145">
        <v>25.55</v>
      </c>
      <c r="BY167" s="129" t="s">
        <v>159</v>
      </c>
      <c r="BZ167" s="129">
        <v>1</v>
      </c>
      <c r="CA167" s="129">
        <v>1</v>
      </c>
      <c r="CB167" s="129" t="s">
        <v>160</v>
      </c>
      <c r="CC167" s="151">
        <v>3.7879258128868036</v>
      </c>
      <c r="CD167" s="129" t="s">
        <v>430</v>
      </c>
      <c r="CE167" s="151">
        <v>0.15151703251547216</v>
      </c>
      <c r="CF167" s="151">
        <v>0.15151703251547216</v>
      </c>
      <c r="CG167" s="178" t="s">
        <v>160</v>
      </c>
      <c r="CH167" s="129" t="s">
        <v>431</v>
      </c>
      <c r="CI167" s="129" t="s">
        <v>160</v>
      </c>
      <c r="CJ167" s="129" t="s">
        <v>432</v>
      </c>
      <c r="CK167" s="129" t="s">
        <v>158</v>
      </c>
      <c r="CL167" s="129" t="s">
        <v>158</v>
      </c>
      <c r="CM167" s="129" t="s">
        <v>158</v>
      </c>
      <c r="CN167" s="129" t="s">
        <v>160</v>
      </c>
      <c r="CO167" s="129" t="s">
        <v>160</v>
      </c>
      <c r="CP167" s="129" t="s">
        <v>160</v>
      </c>
      <c r="CQ167" s="129" t="s">
        <v>160</v>
      </c>
      <c r="CR167" s="129" t="s">
        <v>160</v>
      </c>
      <c r="CS167" s="129" t="s">
        <v>160</v>
      </c>
      <c r="CT167" s="129" t="s">
        <v>160</v>
      </c>
      <c r="CU167" s="129">
        <v>35</v>
      </c>
      <c r="CV167" s="129" t="s">
        <v>393</v>
      </c>
      <c r="CW167" s="146">
        <v>1</v>
      </c>
      <c r="CX167" s="129" t="s">
        <v>207</v>
      </c>
      <c r="CY167" s="129">
        <v>1.06E-2</v>
      </c>
      <c r="CZ167" s="129" t="s">
        <v>159</v>
      </c>
      <c r="DA167" s="146">
        <v>0</v>
      </c>
      <c r="DB167" s="129" t="s">
        <v>208</v>
      </c>
      <c r="DC167" s="129">
        <v>5.5100000000000003E-2</v>
      </c>
      <c r="DD167" s="129" t="s">
        <v>159</v>
      </c>
      <c r="DE167" s="146">
        <v>0</v>
      </c>
      <c r="DF167" s="129" t="s">
        <v>208</v>
      </c>
      <c r="DG167" s="129" t="s">
        <v>160</v>
      </c>
      <c r="DH167" s="129" t="s">
        <v>160</v>
      </c>
      <c r="DI167" s="129" t="s">
        <v>160</v>
      </c>
      <c r="DJ167" s="129" t="s">
        <v>160</v>
      </c>
      <c r="DK167" s="145">
        <v>432.56244218316402</v>
      </c>
      <c r="DL167" s="129" t="s">
        <v>433</v>
      </c>
      <c r="DM167" s="145" t="s">
        <v>160</v>
      </c>
      <c r="DN167" s="129" t="s">
        <v>434</v>
      </c>
      <c r="DO167" s="129">
        <v>39.61918</v>
      </c>
      <c r="DP167" s="129" t="s">
        <v>160</v>
      </c>
      <c r="DQ167" s="129">
        <v>8.0449999999999022E-2</v>
      </c>
      <c r="DR167" s="129" t="s">
        <v>435</v>
      </c>
      <c r="DS167" s="129" t="s">
        <v>212</v>
      </c>
      <c r="DT167" s="129" t="s">
        <v>213</v>
      </c>
      <c r="DU167" s="129">
        <v>1.0271999999999999</v>
      </c>
      <c r="DV167" s="129" t="s">
        <v>160</v>
      </c>
      <c r="DW167" s="129" t="s">
        <v>160</v>
      </c>
      <c r="DX167" s="129" t="s">
        <v>436</v>
      </c>
      <c r="DY167" s="129" t="s">
        <v>158</v>
      </c>
      <c r="DZ167" s="129" t="s">
        <v>158</v>
      </c>
      <c r="EA167" s="129" t="s">
        <v>216</v>
      </c>
      <c r="EB167" s="129" t="s">
        <v>212</v>
      </c>
      <c r="EC167" s="129" t="s">
        <v>212</v>
      </c>
      <c r="ED167" s="129" t="s">
        <v>212</v>
      </c>
      <c r="EE167" s="129" t="s">
        <v>217</v>
      </c>
      <c r="EF167" s="147" t="s">
        <v>213</v>
      </c>
      <c r="EG167" s="148" t="s">
        <v>213</v>
      </c>
      <c r="EH167" s="129" t="s">
        <v>218</v>
      </c>
      <c r="EI167" s="129" t="s">
        <v>417</v>
      </c>
      <c r="EJ167" s="129" t="s">
        <v>160</v>
      </c>
      <c r="EK167" s="129">
        <v>1994.7570000000003</v>
      </c>
      <c r="EL167" s="129" t="s">
        <v>163</v>
      </c>
      <c r="EM167" s="129">
        <v>4.3889999999996085</v>
      </c>
      <c r="EN167" s="129">
        <v>4.305000000000021</v>
      </c>
      <c r="EO167" s="129" t="s">
        <v>160</v>
      </c>
      <c r="EP167" s="129" t="s">
        <v>160</v>
      </c>
      <c r="EQ167" s="129" t="s">
        <v>160</v>
      </c>
      <c r="ER167" s="129" t="s">
        <v>160</v>
      </c>
      <c r="ES167" s="201">
        <v>8.1936359999999997</v>
      </c>
      <c r="ET167" s="129" t="s">
        <v>165</v>
      </c>
      <c r="EU167" s="151">
        <v>3.0770000000000408E-2</v>
      </c>
      <c r="EV167" s="151">
        <v>3.0590000000000117E-2</v>
      </c>
      <c r="EW167" s="142" t="s">
        <v>160</v>
      </c>
      <c r="EX167" s="129" t="s">
        <v>160</v>
      </c>
      <c r="EY167" s="129" t="s">
        <v>160</v>
      </c>
      <c r="EZ167" s="191">
        <v>233.39279999999999</v>
      </c>
      <c r="FA167" s="191">
        <v>21.614200000000039</v>
      </c>
      <c r="FB167" s="191">
        <v>20.004799999999989</v>
      </c>
      <c r="FC167" s="129" t="s">
        <v>220</v>
      </c>
      <c r="FD167" s="129" t="s">
        <v>221</v>
      </c>
      <c r="FE167" s="129">
        <v>2356.7440000000001</v>
      </c>
      <c r="FF167" s="129">
        <v>29.527000000000044</v>
      </c>
      <c r="FG167" s="129">
        <v>29.51700000000028</v>
      </c>
      <c r="FH167" s="129" t="s">
        <v>160</v>
      </c>
      <c r="FI167" s="129" t="s">
        <v>160</v>
      </c>
      <c r="FJ167" s="129" t="s">
        <v>160</v>
      </c>
      <c r="FK167" s="129" t="s">
        <v>160</v>
      </c>
      <c r="FL167" s="129" t="s">
        <v>160</v>
      </c>
      <c r="FM167" s="129" t="s">
        <v>160</v>
      </c>
      <c r="FN167" s="151">
        <v>4.6905020000000004</v>
      </c>
      <c r="FO167" s="151">
        <v>0.21941299999999941</v>
      </c>
      <c r="FP167" s="151">
        <v>0.20758800000000033</v>
      </c>
      <c r="FQ167" s="178" t="s">
        <v>419</v>
      </c>
      <c r="FR167" s="129" t="s">
        <v>415</v>
      </c>
      <c r="FS167" s="129">
        <v>2017</v>
      </c>
      <c r="FT167" s="131" t="s">
        <v>416</v>
      </c>
    </row>
    <row r="168" spans="1:176" s="129" customFormat="1">
      <c r="A168" s="129" t="s">
        <v>152</v>
      </c>
      <c r="B168" s="166" t="s">
        <v>183</v>
      </c>
      <c r="C168" s="166">
        <v>2018</v>
      </c>
      <c r="D168" s="166" t="s">
        <v>184</v>
      </c>
      <c r="E168" s="145">
        <f t="shared" si="14"/>
        <v>1087.26</v>
      </c>
      <c r="F168" s="129">
        <f t="shared" si="15"/>
        <v>2</v>
      </c>
      <c r="G168" s="129">
        <f t="shared" si="15"/>
        <v>2</v>
      </c>
      <c r="H168" s="191">
        <v>232.85750000000002</v>
      </c>
      <c r="I168" s="191">
        <v>27.37360000000001</v>
      </c>
      <c r="J168" s="191">
        <v>24.957999999999998</v>
      </c>
      <c r="K168" s="129" t="s">
        <v>457</v>
      </c>
      <c r="L168" s="131" t="s">
        <v>185</v>
      </c>
      <c r="M168" s="132" t="s">
        <v>186</v>
      </c>
      <c r="N168" s="129" t="s">
        <v>184</v>
      </c>
      <c r="O168" s="129" t="s">
        <v>420</v>
      </c>
      <c r="P168" s="205" t="s">
        <v>438</v>
      </c>
      <c r="Q168" s="205">
        <v>4</v>
      </c>
      <c r="R168" s="205">
        <v>7</v>
      </c>
      <c r="S168" s="206">
        <v>22</v>
      </c>
      <c r="T168" s="206">
        <f t="shared" ref="T168:T218" si="20">S168+2</f>
        <v>24</v>
      </c>
      <c r="U168" s="207">
        <v>35.82</v>
      </c>
      <c r="V168" s="207">
        <v>35.82</v>
      </c>
      <c r="W168" s="129" t="s">
        <v>160</v>
      </c>
      <c r="X168" s="129" t="s">
        <v>421</v>
      </c>
      <c r="Y168" s="200">
        <v>12.74</v>
      </c>
      <c r="Z168" s="200">
        <v>-78.739999999999995</v>
      </c>
      <c r="AA168" s="129" t="s">
        <v>160</v>
      </c>
      <c r="AB168" s="129" t="s">
        <v>160</v>
      </c>
      <c r="AC168" s="129">
        <v>-2839</v>
      </c>
      <c r="AD168" s="129" t="s">
        <v>160</v>
      </c>
      <c r="AE168" s="129" t="s">
        <v>160</v>
      </c>
      <c r="AF168" s="129" t="s">
        <v>160</v>
      </c>
      <c r="AG168" s="129">
        <v>1087.26</v>
      </c>
      <c r="AH168" s="129" t="s">
        <v>163</v>
      </c>
      <c r="AI168" s="129">
        <v>2</v>
      </c>
      <c r="AJ168" s="129">
        <v>2</v>
      </c>
      <c r="AK168" s="129" t="s">
        <v>160</v>
      </c>
      <c r="AL168" s="129" t="s">
        <v>422</v>
      </c>
      <c r="AM168" s="129" t="s">
        <v>160</v>
      </c>
      <c r="AN168" s="129" t="s">
        <v>160</v>
      </c>
      <c r="AO168" s="129" t="s">
        <v>160</v>
      </c>
      <c r="AP168" s="129" t="s">
        <v>160</v>
      </c>
      <c r="AQ168" s="129" t="s">
        <v>160</v>
      </c>
      <c r="AR168" s="129" t="s">
        <v>160</v>
      </c>
      <c r="AS168" s="129" t="s">
        <v>160</v>
      </c>
      <c r="AT168" s="129" t="s">
        <v>160</v>
      </c>
      <c r="AU168" s="129" t="s">
        <v>423</v>
      </c>
      <c r="AV168" s="129" t="s">
        <v>161</v>
      </c>
      <c r="AW168" s="129" t="s">
        <v>424</v>
      </c>
      <c r="AX168" s="178">
        <v>2</v>
      </c>
      <c r="AY168" s="129" t="s">
        <v>194</v>
      </c>
      <c r="AZ168" s="129" t="s">
        <v>195</v>
      </c>
      <c r="BA168" s="129" t="s">
        <v>425</v>
      </c>
      <c r="BB168" s="129" t="s">
        <v>160</v>
      </c>
      <c r="BC168" s="178">
        <v>2</v>
      </c>
      <c r="BD168" s="129" t="s">
        <v>160</v>
      </c>
      <c r="BE168" s="151">
        <v>20.82</v>
      </c>
      <c r="BF168" s="129" t="s">
        <v>426</v>
      </c>
      <c r="BG168" s="151">
        <v>0.18918473</v>
      </c>
      <c r="BH168" s="129">
        <v>0.64</v>
      </c>
      <c r="BI168" s="129" t="s">
        <v>427</v>
      </c>
      <c r="BJ168" s="129">
        <v>3.4000000000000002E-2</v>
      </c>
      <c r="BK168" s="129">
        <v>9.1</v>
      </c>
      <c r="BL168" s="129" t="s">
        <v>163</v>
      </c>
      <c r="BM168" s="129">
        <v>0.56000000000000005</v>
      </c>
      <c r="BN168" s="129" t="s">
        <v>428</v>
      </c>
      <c r="BO168" s="129" t="s">
        <v>429</v>
      </c>
      <c r="BP168" s="151">
        <f t="shared" si="16"/>
        <v>19.916666666666668</v>
      </c>
      <c r="BQ168" s="129" t="s">
        <v>202</v>
      </c>
      <c r="BR168" s="217"/>
      <c r="BS168" s="129" t="s">
        <v>160</v>
      </c>
      <c r="BT168" s="129" t="s">
        <v>160</v>
      </c>
      <c r="BU168" s="129">
        <v>10</v>
      </c>
      <c r="BV168" s="129" t="s">
        <v>159</v>
      </c>
      <c r="BW168" s="129">
        <v>10</v>
      </c>
      <c r="BX168" s="145">
        <v>25.57223978</v>
      </c>
      <c r="BY168" s="129" t="s">
        <v>159</v>
      </c>
      <c r="BZ168" s="129">
        <v>1</v>
      </c>
      <c r="CA168" s="129">
        <v>1</v>
      </c>
      <c r="CB168" s="129" t="s">
        <v>160</v>
      </c>
      <c r="CC168" s="151">
        <v>3.5943873383134841</v>
      </c>
      <c r="CD168" s="129" t="s">
        <v>430</v>
      </c>
      <c r="CE168" s="151">
        <f>CC168*0.04</f>
        <v>0.14377549353253938</v>
      </c>
      <c r="CF168" s="151">
        <v>0.14377549353253938</v>
      </c>
      <c r="CG168" s="178" t="s">
        <v>160</v>
      </c>
      <c r="CH168" s="129" t="s">
        <v>431</v>
      </c>
      <c r="CI168" s="129" t="s">
        <v>160</v>
      </c>
      <c r="CJ168" s="129" t="s">
        <v>432</v>
      </c>
      <c r="CK168" s="129" t="s">
        <v>158</v>
      </c>
      <c r="CL168" s="129" t="s">
        <v>158</v>
      </c>
      <c r="CM168" s="129" t="s">
        <v>158</v>
      </c>
      <c r="CN168" s="129" t="s">
        <v>160</v>
      </c>
      <c r="CO168" s="129" t="s">
        <v>160</v>
      </c>
      <c r="CP168" s="129" t="s">
        <v>160</v>
      </c>
      <c r="CQ168" s="129" t="s">
        <v>160</v>
      </c>
      <c r="CR168" s="129" t="s">
        <v>160</v>
      </c>
      <c r="CS168" s="129" t="s">
        <v>160</v>
      </c>
      <c r="CT168" s="129" t="s">
        <v>160</v>
      </c>
      <c r="CU168" s="129">
        <v>35</v>
      </c>
      <c r="CV168" s="129" t="s">
        <v>393</v>
      </c>
      <c r="CW168" s="146">
        <v>1</v>
      </c>
      <c r="CX168" s="129" t="s">
        <v>207</v>
      </c>
      <c r="CY168" s="129">
        <v>1.06E-2</v>
      </c>
      <c r="CZ168" s="129" t="s">
        <v>159</v>
      </c>
      <c r="DA168" s="146">
        <v>0</v>
      </c>
      <c r="DB168" s="129" t="s">
        <v>208</v>
      </c>
      <c r="DC168" s="129">
        <v>5.5100000000000003E-2</v>
      </c>
      <c r="DD168" s="129" t="s">
        <v>159</v>
      </c>
      <c r="DE168" s="146">
        <v>0</v>
      </c>
      <c r="DF168" s="129" t="s">
        <v>208</v>
      </c>
      <c r="DG168" s="129" t="s">
        <v>160</v>
      </c>
      <c r="DH168" s="129" t="s">
        <v>160</v>
      </c>
      <c r="DI168" s="129" t="s">
        <v>160</v>
      </c>
      <c r="DJ168" s="129" t="s">
        <v>160</v>
      </c>
      <c r="DK168" s="145">
        <v>432.56244218316402</v>
      </c>
      <c r="DL168" s="129" t="s">
        <v>433</v>
      </c>
      <c r="DM168" s="145" t="s">
        <v>160</v>
      </c>
      <c r="DN168" s="129" t="s">
        <v>434</v>
      </c>
      <c r="DO168" s="129">
        <v>39.613750000000003</v>
      </c>
      <c r="DP168" s="129" t="s">
        <v>160</v>
      </c>
      <c r="DQ168" s="129">
        <v>0.29755999999999716</v>
      </c>
      <c r="DR168" s="129" t="s">
        <v>435</v>
      </c>
      <c r="DS168" s="129" t="s">
        <v>212</v>
      </c>
      <c r="DT168" s="129" t="s">
        <v>213</v>
      </c>
      <c r="DU168" s="129">
        <v>1.0271999999999999</v>
      </c>
      <c r="DV168" s="129" t="s">
        <v>160</v>
      </c>
      <c r="DW168" s="129" t="s">
        <v>160</v>
      </c>
      <c r="DX168" s="129" t="s">
        <v>436</v>
      </c>
      <c r="DY168" s="129" t="s">
        <v>158</v>
      </c>
      <c r="DZ168" s="129" t="s">
        <v>158</v>
      </c>
      <c r="EA168" s="129" t="s">
        <v>216</v>
      </c>
      <c r="EB168" s="129" t="s">
        <v>212</v>
      </c>
      <c r="EC168" s="129" t="s">
        <v>212</v>
      </c>
      <c r="ED168" s="129" t="s">
        <v>212</v>
      </c>
      <c r="EE168" s="129" t="s">
        <v>217</v>
      </c>
      <c r="EF168" s="147" t="s">
        <v>213</v>
      </c>
      <c r="EG168" s="148" t="s">
        <v>213</v>
      </c>
      <c r="EH168" s="129" t="s">
        <v>218</v>
      </c>
      <c r="EI168" s="129" t="s">
        <v>417</v>
      </c>
      <c r="EJ168" s="129" t="s">
        <v>160</v>
      </c>
      <c r="EK168" s="129">
        <v>1977.875</v>
      </c>
      <c r="EL168" s="129" t="s">
        <v>163</v>
      </c>
      <c r="EM168" s="129">
        <v>18.302999999999894</v>
      </c>
      <c r="EN168" s="129">
        <v>18.231999999999971</v>
      </c>
      <c r="EO168" s="129" t="s">
        <v>160</v>
      </c>
      <c r="EP168" s="129" t="s">
        <v>160</v>
      </c>
      <c r="EQ168" s="129" t="s">
        <v>160</v>
      </c>
      <c r="ER168" s="129" t="s">
        <v>160</v>
      </c>
      <c r="ES168" s="201">
        <v>8.1912789999999998</v>
      </c>
      <c r="ET168" s="129" t="s">
        <v>165</v>
      </c>
      <c r="EU168" s="151">
        <v>3.7917000000000201E-2</v>
      </c>
      <c r="EV168" s="151">
        <v>3.8076999999999472E-2</v>
      </c>
      <c r="EW168" s="142" t="s">
        <v>160</v>
      </c>
      <c r="EX168" s="129" t="s">
        <v>160</v>
      </c>
      <c r="EY168" s="129" t="s">
        <v>160</v>
      </c>
      <c r="EZ168" s="208">
        <v>232.85750000000002</v>
      </c>
      <c r="FA168" s="209">
        <v>27.37360000000001</v>
      </c>
      <c r="FB168" s="209">
        <v>24.957999999999998</v>
      </c>
      <c r="FC168" s="129" t="s">
        <v>220</v>
      </c>
      <c r="FD168" s="129" t="s">
        <v>221</v>
      </c>
      <c r="FE168" s="129">
        <v>2335.047</v>
      </c>
      <c r="FF168" s="129">
        <v>39.498000000000047</v>
      </c>
      <c r="FG168" s="129">
        <v>40.371000000000095</v>
      </c>
      <c r="FH168" s="129" t="s">
        <v>160</v>
      </c>
      <c r="FI168" s="129" t="s">
        <v>160</v>
      </c>
      <c r="FJ168" s="129" t="s">
        <v>160</v>
      </c>
      <c r="FK168" s="129" t="s">
        <v>160</v>
      </c>
      <c r="FL168" s="129" t="s">
        <v>160</v>
      </c>
      <c r="FM168" s="129" t="s">
        <v>160</v>
      </c>
      <c r="FN168" s="151">
        <v>4.692329</v>
      </c>
      <c r="FO168" s="151">
        <v>0.30323800000000034</v>
      </c>
      <c r="FP168" s="151">
        <v>0.2848790000000001</v>
      </c>
      <c r="FQ168" s="178" t="s">
        <v>419</v>
      </c>
      <c r="FR168" s="129" t="s">
        <v>415</v>
      </c>
      <c r="FS168" s="129">
        <v>2017</v>
      </c>
      <c r="FT168" s="131" t="s">
        <v>416</v>
      </c>
    </row>
    <row r="169" spans="1:176" s="129" customFormat="1">
      <c r="A169" s="129" t="s">
        <v>152</v>
      </c>
      <c r="B169" s="166" t="s">
        <v>183</v>
      </c>
      <c r="C169" s="166">
        <v>2018</v>
      </c>
      <c r="D169" s="166" t="s">
        <v>184</v>
      </c>
      <c r="E169" s="145">
        <f t="shared" si="14"/>
        <v>1088.69</v>
      </c>
      <c r="F169" s="129">
        <f t="shared" si="15"/>
        <v>2</v>
      </c>
      <c r="G169" s="129">
        <f t="shared" si="15"/>
        <v>2</v>
      </c>
      <c r="H169" s="191">
        <v>257.79310000000004</v>
      </c>
      <c r="I169" s="191">
        <v>31.047399999999982</v>
      </c>
      <c r="J169" s="191">
        <v>27.12020000000004</v>
      </c>
      <c r="K169" s="129" t="s">
        <v>457</v>
      </c>
      <c r="L169" s="131" t="s">
        <v>185</v>
      </c>
      <c r="M169" s="132" t="s">
        <v>186</v>
      </c>
      <c r="N169" s="129" t="s">
        <v>184</v>
      </c>
      <c r="O169" s="129" t="s">
        <v>420</v>
      </c>
      <c r="P169" s="205" t="s">
        <v>438</v>
      </c>
      <c r="Q169" s="205">
        <v>4</v>
      </c>
      <c r="R169" s="205">
        <v>7</v>
      </c>
      <c r="S169" s="206">
        <v>32.888376999999849</v>
      </c>
      <c r="T169" s="206">
        <f t="shared" si="20"/>
        <v>34.888376999999849</v>
      </c>
      <c r="U169" s="207">
        <v>35.929602459999998</v>
      </c>
      <c r="V169" s="207">
        <v>35.929602459999998</v>
      </c>
      <c r="W169" s="129" t="s">
        <v>160</v>
      </c>
      <c r="X169" s="129" t="s">
        <v>421</v>
      </c>
      <c r="Y169" s="200">
        <v>12.74</v>
      </c>
      <c r="Z169" s="200">
        <v>-78.739999999999995</v>
      </c>
      <c r="AA169" s="129" t="s">
        <v>160</v>
      </c>
      <c r="AB169" s="129" t="s">
        <v>160</v>
      </c>
      <c r="AC169" s="129">
        <v>-2839</v>
      </c>
      <c r="AD169" s="129" t="s">
        <v>160</v>
      </c>
      <c r="AE169" s="129" t="s">
        <v>160</v>
      </c>
      <c r="AF169" s="129" t="s">
        <v>160</v>
      </c>
      <c r="AG169" s="129">
        <v>1088.69</v>
      </c>
      <c r="AH169" s="129" t="s">
        <v>163</v>
      </c>
      <c r="AI169" s="129">
        <v>2</v>
      </c>
      <c r="AJ169" s="129">
        <v>2</v>
      </c>
      <c r="AK169" s="129" t="s">
        <v>160</v>
      </c>
      <c r="AL169" s="129" t="s">
        <v>422</v>
      </c>
      <c r="AM169" s="129" t="s">
        <v>160</v>
      </c>
      <c r="AN169" s="129" t="s">
        <v>160</v>
      </c>
      <c r="AO169" s="129" t="s">
        <v>160</v>
      </c>
      <c r="AP169" s="129" t="s">
        <v>160</v>
      </c>
      <c r="AQ169" s="129" t="s">
        <v>160</v>
      </c>
      <c r="AR169" s="129" t="s">
        <v>160</v>
      </c>
      <c r="AS169" s="129" t="s">
        <v>160</v>
      </c>
      <c r="AT169" s="129" t="s">
        <v>160</v>
      </c>
      <c r="AU169" s="129" t="s">
        <v>423</v>
      </c>
      <c r="AV169" s="129" t="s">
        <v>161</v>
      </c>
      <c r="AW169" s="129" t="s">
        <v>424</v>
      </c>
      <c r="AX169" s="178">
        <v>2</v>
      </c>
      <c r="AY169" s="129" t="s">
        <v>194</v>
      </c>
      <c r="AZ169" s="129" t="s">
        <v>195</v>
      </c>
      <c r="BA169" s="129" t="s">
        <v>425</v>
      </c>
      <c r="BB169" s="129" t="s">
        <v>160</v>
      </c>
      <c r="BC169" s="178">
        <v>2</v>
      </c>
      <c r="BD169" s="129" t="s">
        <v>160</v>
      </c>
      <c r="BE169" s="151">
        <v>20.565830420000001</v>
      </c>
      <c r="BF169" s="129" t="s">
        <v>426</v>
      </c>
      <c r="BG169" s="151">
        <v>0.195735082</v>
      </c>
      <c r="BH169" s="129">
        <v>0.64</v>
      </c>
      <c r="BI169" s="129" t="s">
        <v>427</v>
      </c>
      <c r="BJ169" s="129">
        <v>3.4000000000000002E-2</v>
      </c>
      <c r="BK169" s="129">
        <v>9.1</v>
      </c>
      <c r="BL169" s="129" t="s">
        <v>163</v>
      </c>
      <c r="BM169" s="129">
        <v>0.56000000000000005</v>
      </c>
      <c r="BN169" s="129" t="s">
        <v>428</v>
      </c>
      <c r="BO169" s="129" t="s">
        <v>429</v>
      </c>
      <c r="BP169" s="151">
        <f t="shared" si="16"/>
        <v>19.493050700000005</v>
      </c>
      <c r="BQ169" s="129" t="s">
        <v>202</v>
      </c>
      <c r="BR169" s="217"/>
      <c r="BS169" s="129" t="s">
        <v>160</v>
      </c>
      <c r="BT169" s="129" t="s">
        <v>160</v>
      </c>
      <c r="BU169" s="129">
        <v>10</v>
      </c>
      <c r="BV169" s="129" t="s">
        <v>159</v>
      </c>
      <c r="BW169" s="129">
        <v>10</v>
      </c>
      <c r="BX169" s="145">
        <v>25.579986550000001</v>
      </c>
      <c r="BY169" s="129" t="s">
        <v>159</v>
      </c>
      <c r="BZ169" s="129">
        <v>1</v>
      </c>
      <c r="CA169" s="129">
        <v>1</v>
      </c>
      <c r="CB169" s="129" t="s">
        <v>160</v>
      </c>
      <c r="CC169" s="151">
        <v>3.5967313293933518</v>
      </c>
      <c r="CD169" s="129" t="s">
        <v>430</v>
      </c>
      <c r="CE169" s="151">
        <f t="shared" ref="CE169:CE218" si="21">CC169*0.04</f>
        <v>0.14386925317573407</v>
      </c>
      <c r="CF169" s="151">
        <v>0.14386925317573407</v>
      </c>
      <c r="CG169" s="178" t="s">
        <v>160</v>
      </c>
      <c r="CH169" s="129" t="s">
        <v>431</v>
      </c>
      <c r="CI169" s="129" t="s">
        <v>160</v>
      </c>
      <c r="CJ169" s="129" t="s">
        <v>432</v>
      </c>
      <c r="CK169" s="129" t="s">
        <v>158</v>
      </c>
      <c r="CL169" s="129" t="s">
        <v>158</v>
      </c>
      <c r="CM169" s="129" t="s">
        <v>158</v>
      </c>
      <c r="CN169" s="129" t="s">
        <v>160</v>
      </c>
      <c r="CO169" s="129" t="s">
        <v>160</v>
      </c>
      <c r="CP169" s="129" t="s">
        <v>160</v>
      </c>
      <c r="CQ169" s="129" t="s">
        <v>160</v>
      </c>
      <c r="CR169" s="129" t="s">
        <v>160</v>
      </c>
      <c r="CS169" s="129" t="s">
        <v>160</v>
      </c>
      <c r="CT169" s="129" t="s">
        <v>160</v>
      </c>
      <c r="CU169" s="129">
        <v>35</v>
      </c>
      <c r="CV169" s="129" t="s">
        <v>393</v>
      </c>
      <c r="CW169" s="146">
        <v>1</v>
      </c>
      <c r="CX169" s="129" t="s">
        <v>207</v>
      </c>
      <c r="CY169" s="129">
        <v>1.06E-2</v>
      </c>
      <c r="CZ169" s="129" t="s">
        <v>159</v>
      </c>
      <c r="DA169" s="146">
        <v>0</v>
      </c>
      <c r="DB169" s="129" t="s">
        <v>208</v>
      </c>
      <c r="DC169" s="129">
        <v>5.5100000000000003E-2</v>
      </c>
      <c r="DD169" s="129" t="s">
        <v>159</v>
      </c>
      <c r="DE169" s="146">
        <v>0</v>
      </c>
      <c r="DF169" s="129" t="s">
        <v>208</v>
      </c>
      <c r="DG169" s="129" t="s">
        <v>160</v>
      </c>
      <c r="DH169" s="129" t="s">
        <v>160</v>
      </c>
      <c r="DI169" s="129" t="s">
        <v>160</v>
      </c>
      <c r="DJ169" s="129" t="s">
        <v>160</v>
      </c>
      <c r="DK169" s="145">
        <v>432.56244218316402</v>
      </c>
      <c r="DL169" s="129" t="s">
        <v>433</v>
      </c>
      <c r="DM169" s="145" t="s">
        <v>160</v>
      </c>
      <c r="DN169" s="129" t="s">
        <v>434</v>
      </c>
      <c r="DO169" s="129">
        <v>39.613030000000002</v>
      </c>
      <c r="DP169" s="129" t="s">
        <v>160</v>
      </c>
      <c r="DQ169" s="129">
        <v>0.29540000000000077</v>
      </c>
      <c r="DR169" s="129" t="s">
        <v>435</v>
      </c>
      <c r="DS169" s="129" t="s">
        <v>212</v>
      </c>
      <c r="DT169" s="129" t="s">
        <v>213</v>
      </c>
      <c r="DU169" s="129">
        <v>1.0271999999999999</v>
      </c>
      <c r="DV169" s="129" t="s">
        <v>160</v>
      </c>
      <c r="DW169" s="129" t="s">
        <v>160</v>
      </c>
      <c r="DX169" s="129" t="s">
        <v>436</v>
      </c>
      <c r="DY169" s="129" t="s">
        <v>158</v>
      </c>
      <c r="DZ169" s="129" t="s">
        <v>158</v>
      </c>
      <c r="EA169" s="129" t="s">
        <v>216</v>
      </c>
      <c r="EB169" s="129" t="s">
        <v>212</v>
      </c>
      <c r="EC169" s="129" t="s">
        <v>212</v>
      </c>
      <c r="ED169" s="129" t="s">
        <v>212</v>
      </c>
      <c r="EE169" s="129" t="s">
        <v>217</v>
      </c>
      <c r="EF169" s="147" t="s">
        <v>213</v>
      </c>
      <c r="EG169" s="148" t="s">
        <v>213</v>
      </c>
      <c r="EH169" s="129" t="s">
        <v>218</v>
      </c>
      <c r="EI169" s="129" t="s">
        <v>417</v>
      </c>
      <c r="EJ169" s="129" t="s">
        <v>160</v>
      </c>
      <c r="EK169" s="129">
        <v>1978.0330000000001</v>
      </c>
      <c r="EL169" s="129" t="s">
        <v>163</v>
      </c>
      <c r="EM169" s="129">
        <v>17.960000000000026</v>
      </c>
      <c r="EN169" s="129">
        <v>18.46000000000009</v>
      </c>
      <c r="EO169" s="129" t="s">
        <v>160</v>
      </c>
      <c r="EP169" s="129" t="s">
        <v>160</v>
      </c>
      <c r="EQ169" s="129" t="s">
        <v>160</v>
      </c>
      <c r="ER169" s="129" t="s">
        <v>160</v>
      </c>
      <c r="ES169" s="201">
        <v>8.1566650000000003</v>
      </c>
      <c r="ET169" s="129" t="s">
        <v>165</v>
      </c>
      <c r="EU169" s="151">
        <v>3.8869000000000042E-2</v>
      </c>
      <c r="EV169" s="151">
        <v>3.9366000000001122E-2</v>
      </c>
      <c r="EW169" s="142" t="s">
        <v>160</v>
      </c>
      <c r="EX169" s="129" t="s">
        <v>160</v>
      </c>
      <c r="EY169" s="129" t="s">
        <v>160</v>
      </c>
      <c r="EZ169" s="208">
        <v>257.79310000000004</v>
      </c>
      <c r="FA169" s="209">
        <v>31.047399999999982</v>
      </c>
      <c r="FB169" s="209">
        <v>27.12020000000004</v>
      </c>
      <c r="FC169" s="129" t="s">
        <v>220</v>
      </c>
      <c r="FD169" s="129" t="s">
        <v>221</v>
      </c>
      <c r="FE169" s="129">
        <v>2308.1239999999998</v>
      </c>
      <c r="FF169" s="129">
        <v>39.972999999999956</v>
      </c>
      <c r="FG169" s="129">
        <v>38.94399999999996</v>
      </c>
      <c r="FH169" s="129" t="s">
        <v>160</v>
      </c>
      <c r="FI169" s="129" t="s">
        <v>160</v>
      </c>
      <c r="FJ169" s="129" t="s">
        <v>160</v>
      </c>
      <c r="FK169" s="129" t="s">
        <v>160</v>
      </c>
      <c r="FL169" s="129" t="s">
        <v>160</v>
      </c>
      <c r="FM169" s="129" t="s">
        <v>160</v>
      </c>
      <c r="FN169" s="151">
        <v>4.3815759999999999</v>
      </c>
      <c r="FO169" s="151">
        <v>0.28787400000000041</v>
      </c>
      <c r="FP169" s="151">
        <v>0.28358799999999995</v>
      </c>
      <c r="FQ169" s="178" t="s">
        <v>419</v>
      </c>
      <c r="FR169" s="129" t="s">
        <v>415</v>
      </c>
      <c r="FS169" s="129">
        <v>2017</v>
      </c>
      <c r="FT169" s="131" t="s">
        <v>416</v>
      </c>
    </row>
    <row r="170" spans="1:176" s="129" customFormat="1">
      <c r="A170" s="129" t="s">
        <v>152</v>
      </c>
      <c r="B170" s="166" t="s">
        <v>183</v>
      </c>
      <c r="C170" s="166">
        <v>2018</v>
      </c>
      <c r="D170" s="166" t="s">
        <v>184</v>
      </c>
      <c r="E170" s="145">
        <f t="shared" si="14"/>
        <v>1090.03</v>
      </c>
      <c r="F170" s="129">
        <f t="shared" si="15"/>
        <v>2</v>
      </c>
      <c r="G170" s="129">
        <f t="shared" si="15"/>
        <v>2</v>
      </c>
      <c r="H170" s="191">
        <v>223.46260000000001</v>
      </c>
      <c r="I170" s="191">
        <v>24.856599999999986</v>
      </c>
      <c r="J170" s="191">
        <v>22.667700000000025</v>
      </c>
      <c r="K170" s="129" t="s">
        <v>457</v>
      </c>
      <c r="L170" s="131" t="s">
        <v>185</v>
      </c>
      <c r="M170" s="132" t="s">
        <v>186</v>
      </c>
      <c r="N170" s="129" t="s">
        <v>184</v>
      </c>
      <c r="O170" s="129" t="s">
        <v>420</v>
      </c>
      <c r="P170" s="205" t="s">
        <v>438</v>
      </c>
      <c r="Q170" s="205">
        <v>4</v>
      </c>
      <c r="R170" s="205">
        <v>7</v>
      </c>
      <c r="S170" s="206">
        <v>41.694102999999785</v>
      </c>
      <c r="T170" s="206">
        <f t="shared" si="20"/>
        <v>43.694102999999785</v>
      </c>
      <c r="U170" s="207">
        <v>36.017659719999997</v>
      </c>
      <c r="V170" s="207">
        <v>36.017659719999997</v>
      </c>
      <c r="W170" s="129" t="s">
        <v>160</v>
      </c>
      <c r="X170" s="129" t="s">
        <v>421</v>
      </c>
      <c r="Y170" s="200">
        <v>12.74</v>
      </c>
      <c r="Z170" s="200">
        <v>-78.739999999999995</v>
      </c>
      <c r="AA170" s="129" t="s">
        <v>160</v>
      </c>
      <c r="AB170" s="129" t="s">
        <v>160</v>
      </c>
      <c r="AC170" s="129">
        <v>-2839</v>
      </c>
      <c r="AD170" s="129" t="s">
        <v>160</v>
      </c>
      <c r="AE170" s="129" t="s">
        <v>160</v>
      </c>
      <c r="AF170" s="129" t="s">
        <v>160</v>
      </c>
      <c r="AG170" s="129">
        <v>1090.03</v>
      </c>
      <c r="AH170" s="129" t="s">
        <v>163</v>
      </c>
      <c r="AI170" s="129">
        <v>2</v>
      </c>
      <c r="AJ170" s="129">
        <v>2</v>
      </c>
      <c r="AK170" s="129" t="s">
        <v>160</v>
      </c>
      <c r="AL170" s="129" t="s">
        <v>422</v>
      </c>
      <c r="AM170" s="129" t="s">
        <v>160</v>
      </c>
      <c r="AN170" s="129" t="s">
        <v>160</v>
      </c>
      <c r="AO170" s="129" t="s">
        <v>160</v>
      </c>
      <c r="AP170" s="129" t="s">
        <v>160</v>
      </c>
      <c r="AQ170" s="129" t="s">
        <v>160</v>
      </c>
      <c r="AR170" s="129" t="s">
        <v>160</v>
      </c>
      <c r="AS170" s="129" t="s">
        <v>160</v>
      </c>
      <c r="AT170" s="129" t="s">
        <v>160</v>
      </c>
      <c r="AU170" s="129" t="s">
        <v>423</v>
      </c>
      <c r="AV170" s="129" t="s">
        <v>161</v>
      </c>
      <c r="AW170" s="129" t="s">
        <v>424</v>
      </c>
      <c r="AX170" s="178">
        <v>2</v>
      </c>
      <c r="AY170" s="129" t="s">
        <v>194</v>
      </c>
      <c r="AZ170" s="129" t="s">
        <v>195</v>
      </c>
      <c r="BA170" s="129" t="s">
        <v>425</v>
      </c>
      <c r="BB170" s="129" t="s">
        <v>160</v>
      </c>
      <c r="BC170" s="178">
        <v>2</v>
      </c>
      <c r="BD170" s="129" t="s">
        <v>160</v>
      </c>
      <c r="BE170" s="151">
        <v>20.925000000000001</v>
      </c>
      <c r="BF170" s="129" t="s">
        <v>426</v>
      </c>
      <c r="BG170" s="151">
        <v>0.17149326400000001</v>
      </c>
      <c r="BH170" s="129">
        <v>0.64</v>
      </c>
      <c r="BI170" s="129" t="s">
        <v>427</v>
      </c>
      <c r="BJ170" s="129">
        <v>3.4000000000000002E-2</v>
      </c>
      <c r="BK170" s="129">
        <v>9.1</v>
      </c>
      <c r="BL170" s="129" t="s">
        <v>163</v>
      </c>
      <c r="BM170" s="129">
        <v>0.56000000000000005</v>
      </c>
      <c r="BN170" s="129" t="s">
        <v>428</v>
      </c>
      <c r="BO170" s="129" t="s">
        <v>429</v>
      </c>
      <c r="BP170" s="151">
        <f t="shared" si="16"/>
        <v>20.091666666666669</v>
      </c>
      <c r="BQ170" s="129" t="s">
        <v>202</v>
      </c>
      <c r="BR170" s="217"/>
      <c r="BS170" s="129" t="s">
        <v>160</v>
      </c>
      <c r="BT170" s="129" t="s">
        <v>160</v>
      </c>
      <c r="BU170" s="129">
        <v>10</v>
      </c>
      <c r="BV170" s="129" t="s">
        <v>159</v>
      </c>
      <c r="BW170" s="129">
        <v>10</v>
      </c>
      <c r="BX170" s="145">
        <v>25.58146369</v>
      </c>
      <c r="BY170" s="129" t="s">
        <v>159</v>
      </c>
      <c r="BZ170" s="129">
        <v>1</v>
      </c>
      <c r="CA170" s="129">
        <v>1</v>
      </c>
      <c r="CB170" s="129" t="s">
        <v>160</v>
      </c>
      <c r="CC170" s="151">
        <v>3.5970465654206052</v>
      </c>
      <c r="CD170" s="129" t="s">
        <v>430</v>
      </c>
      <c r="CE170" s="151">
        <f t="shared" si="21"/>
        <v>0.1438818626168242</v>
      </c>
      <c r="CF170" s="151">
        <v>0.1438818626168242</v>
      </c>
      <c r="CG170" s="178" t="s">
        <v>160</v>
      </c>
      <c r="CH170" s="129" t="s">
        <v>431</v>
      </c>
      <c r="CI170" s="129" t="s">
        <v>160</v>
      </c>
      <c r="CJ170" s="129" t="s">
        <v>432</v>
      </c>
      <c r="CK170" s="129" t="s">
        <v>158</v>
      </c>
      <c r="CL170" s="129" t="s">
        <v>158</v>
      </c>
      <c r="CM170" s="129" t="s">
        <v>158</v>
      </c>
      <c r="CN170" s="129" t="s">
        <v>160</v>
      </c>
      <c r="CO170" s="129" t="s">
        <v>160</v>
      </c>
      <c r="CP170" s="129" t="s">
        <v>160</v>
      </c>
      <c r="CQ170" s="129" t="s">
        <v>160</v>
      </c>
      <c r="CR170" s="129" t="s">
        <v>160</v>
      </c>
      <c r="CS170" s="129" t="s">
        <v>160</v>
      </c>
      <c r="CT170" s="129" t="s">
        <v>160</v>
      </c>
      <c r="CU170" s="129">
        <v>35</v>
      </c>
      <c r="CV170" s="129" t="s">
        <v>393</v>
      </c>
      <c r="CW170" s="146">
        <v>1</v>
      </c>
      <c r="CX170" s="129" t="s">
        <v>207</v>
      </c>
      <c r="CY170" s="129">
        <v>1.06E-2</v>
      </c>
      <c r="CZ170" s="129" t="s">
        <v>159</v>
      </c>
      <c r="DA170" s="146">
        <v>0</v>
      </c>
      <c r="DB170" s="129" t="s">
        <v>208</v>
      </c>
      <c r="DC170" s="129">
        <v>5.5100000000000003E-2</v>
      </c>
      <c r="DD170" s="129" t="s">
        <v>159</v>
      </c>
      <c r="DE170" s="146">
        <v>0</v>
      </c>
      <c r="DF170" s="129" t="s">
        <v>208</v>
      </c>
      <c r="DG170" s="129" t="s">
        <v>160</v>
      </c>
      <c r="DH170" s="129" t="s">
        <v>160</v>
      </c>
      <c r="DI170" s="129" t="s">
        <v>160</v>
      </c>
      <c r="DJ170" s="129" t="s">
        <v>160</v>
      </c>
      <c r="DK170" s="145">
        <v>432.56244218316402</v>
      </c>
      <c r="DL170" s="129" t="s">
        <v>433</v>
      </c>
      <c r="DM170" s="145" t="s">
        <v>160</v>
      </c>
      <c r="DN170" s="129" t="s">
        <v>434</v>
      </c>
      <c r="DO170" s="129">
        <v>39.612589999999997</v>
      </c>
      <c r="DP170" s="129" t="s">
        <v>160</v>
      </c>
      <c r="DQ170" s="129">
        <v>0.29044999999999987</v>
      </c>
      <c r="DR170" s="129" t="s">
        <v>435</v>
      </c>
      <c r="DS170" s="129" t="s">
        <v>212</v>
      </c>
      <c r="DT170" s="129" t="s">
        <v>213</v>
      </c>
      <c r="DU170" s="129">
        <v>1.0271999999999999</v>
      </c>
      <c r="DV170" s="129" t="s">
        <v>160</v>
      </c>
      <c r="DW170" s="129" t="s">
        <v>160</v>
      </c>
      <c r="DX170" s="129" t="s">
        <v>436</v>
      </c>
      <c r="DY170" s="129" t="s">
        <v>158</v>
      </c>
      <c r="DZ170" s="129" t="s">
        <v>158</v>
      </c>
      <c r="EA170" s="129" t="s">
        <v>216</v>
      </c>
      <c r="EB170" s="129" t="s">
        <v>212</v>
      </c>
      <c r="EC170" s="129" t="s">
        <v>212</v>
      </c>
      <c r="ED170" s="129" t="s">
        <v>212</v>
      </c>
      <c r="EE170" s="129" t="s">
        <v>217</v>
      </c>
      <c r="EF170" s="147" t="s">
        <v>213</v>
      </c>
      <c r="EG170" s="148" t="s">
        <v>213</v>
      </c>
      <c r="EH170" s="129" t="s">
        <v>218</v>
      </c>
      <c r="EI170" s="129" t="s">
        <v>417</v>
      </c>
      <c r="EJ170" s="129" t="s">
        <v>160</v>
      </c>
      <c r="EK170" s="129">
        <v>1977.931</v>
      </c>
      <c r="EL170" s="129" t="s">
        <v>163</v>
      </c>
      <c r="EM170" s="129">
        <v>18.49800000000004</v>
      </c>
      <c r="EN170" s="129">
        <v>18.873999999999889</v>
      </c>
      <c r="EO170" s="129" t="s">
        <v>160</v>
      </c>
      <c r="EP170" s="129" t="s">
        <v>160</v>
      </c>
      <c r="EQ170" s="129" t="s">
        <v>160</v>
      </c>
      <c r="ER170" s="129" t="s">
        <v>160</v>
      </c>
      <c r="ES170" s="201">
        <v>8.2049230000000009</v>
      </c>
      <c r="ET170" s="129" t="s">
        <v>165</v>
      </c>
      <c r="EU170" s="151">
        <v>3.5901999999998324E-2</v>
      </c>
      <c r="EV170" s="151">
        <v>3.5921000000000092E-2</v>
      </c>
      <c r="EW170" s="142" t="s">
        <v>160</v>
      </c>
      <c r="EX170" s="129" t="s">
        <v>160</v>
      </c>
      <c r="EY170" s="129" t="s">
        <v>160</v>
      </c>
      <c r="EZ170" s="208">
        <v>223.46260000000001</v>
      </c>
      <c r="FA170" s="209">
        <v>24.856599999999986</v>
      </c>
      <c r="FB170" s="209">
        <v>22.667700000000025</v>
      </c>
      <c r="FC170" s="129" t="s">
        <v>220</v>
      </c>
      <c r="FD170" s="129" t="s">
        <v>221</v>
      </c>
      <c r="FE170" s="129">
        <v>2345.5429999999997</v>
      </c>
      <c r="FF170" s="129">
        <v>40.306000000000495</v>
      </c>
      <c r="FG170" s="129">
        <v>38.5649999999996</v>
      </c>
      <c r="FH170" s="129" t="s">
        <v>160</v>
      </c>
      <c r="FI170" s="129" t="s">
        <v>160</v>
      </c>
      <c r="FJ170" s="129" t="s">
        <v>160</v>
      </c>
      <c r="FK170" s="129" t="s">
        <v>160</v>
      </c>
      <c r="FL170" s="129" t="s">
        <v>160</v>
      </c>
      <c r="FM170" s="129" t="s">
        <v>160</v>
      </c>
      <c r="FN170" s="151">
        <v>4.8198420000000004</v>
      </c>
      <c r="FO170" s="151">
        <v>0.288049</v>
      </c>
      <c r="FP170" s="151">
        <v>0.2744030000000004</v>
      </c>
      <c r="FQ170" s="178" t="s">
        <v>419</v>
      </c>
      <c r="FR170" s="129" t="s">
        <v>415</v>
      </c>
      <c r="FS170" s="129">
        <v>2017</v>
      </c>
      <c r="FT170" s="131" t="s">
        <v>416</v>
      </c>
    </row>
    <row r="171" spans="1:176" s="129" customFormat="1">
      <c r="A171" s="129" t="s">
        <v>152</v>
      </c>
      <c r="B171" s="166" t="s">
        <v>183</v>
      </c>
      <c r="C171" s="166">
        <v>2018</v>
      </c>
      <c r="D171" s="166" t="s">
        <v>184</v>
      </c>
      <c r="E171" s="145">
        <f t="shared" si="14"/>
        <v>1092.67</v>
      </c>
      <c r="F171" s="129">
        <f t="shared" si="15"/>
        <v>2</v>
      </c>
      <c r="G171" s="129">
        <f t="shared" si="15"/>
        <v>2</v>
      </c>
      <c r="H171" s="191">
        <v>242.1379</v>
      </c>
      <c r="I171" s="191">
        <v>28.255100000000027</v>
      </c>
      <c r="J171" s="191">
        <v>25.537700000000001</v>
      </c>
      <c r="K171" s="129" t="s">
        <v>457</v>
      </c>
      <c r="L171" s="131" t="s">
        <v>185</v>
      </c>
      <c r="M171" s="132" t="s">
        <v>186</v>
      </c>
      <c r="N171" s="129" t="s">
        <v>184</v>
      </c>
      <c r="O171" s="129" t="s">
        <v>420</v>
      </c>
      <c r="P171" s="205" t="s">
        <v>438</v>
      </c>
      <c r="Q171" s="205">
        <v>4</v>
      </c>
      <c r="R171" s="205">
        <v>7</v>
      </c>
      <c r="S171" s="206">
        <v>51.695479000000091</v>
      </c>
      <c r="T171" s="206">
        <f t="shared" si="20"/>
        <v>53.695479000000091</v>
      </c>
      <c r="U171" s="207">
        <v>36.117673480000001</v>
      </c>
      <c r="V171" s="207">
        <v>36.117673480000001</v>
      </c>
      <c r="W171" s="129" t="s">
        <v>160</v>
      </c>
      <c r="X171" s="129" t="s">
        <v>421</v>
      </c>
      <c r="Y171" s="200">
        <v>12.74</v>
      </c>
      <c r="Z171" s="200">
        <v>-78.739999999999995</v>
      </c>
      <c r="AA171" s="129" t="s">
        <v>160</v>
      </c>
      <c r="AB171" s="129" t="s">
        <v>160</v>
      </c>
      <c r="AC171" s="129">
        <v>-2839</v>
      </c>
      <c r="AD171" s="129" t="s">
        <v>160</v>
      </c>
      <c r="AE171" s="129" t="s">
        <v>160</v>
      </c>
      <c r="AF171" s="129" t="s">
        <v>160</v>
      </c>
      <c r="AG171" s="129">
        <v>1092.67</v>
      </c>
      <c r="AH171" s="129" t="s">
        <v>163</v>
      </c>
      <c r="AI171" s="129">
        <v>2</v>
      </c>
      <c r="AJ171" s="129">
        <v>2</v>
      </c>
      <c r="AK171" s="129" t="s">
        <v>160</v>
      </c>
      <c r="AL171" s="129" t="s">
        <v>422</v>
      </c>
      <c r="AM171" s="129" t="s">
        <v>160</v>
      </c>
      <c r="AN171" s="129" t="s">
        <v>160</v>
      </c>
      <c r="AO171" s="129" t="s">
        <v>160</v>
      </c>
      <c r="AP171" s="129" t="s">
        <v>160</v>
      </c>
      <c r="AQ171" s="129" t="s">
        <v>160</v>
      </c>
      <c r="AR171" s="129" t="s">
        <v>160</v>
      </c>
      <c r="AS171" s="129" t="s">
        <v>160</v>
      </c>
      <c r="AT171" s="129" t="s">
        <v>160</v>
      </c>
      <c r="AU171" s="129" t="s">
        <v>423</v>
      </c>
      <c r="AV171" s="129" t="s">
        <v>161</v>
      </c>
      <c r="AW171" s="129" t="s">
        <v>424</v>
      </c>
      <c r="AX171" s="178">
        <v>2</v>
      </c>
      <c r="AY171" s="129" t="s">
        <v>194</v>
      </c>
      <c r="AZ171" s="129" t="s">
        <v>195</v>
      </c>
      <c r="BA171" s="129" t="s">
        <v>425</v>
      </c>
      <c r="BB171" s="129" t="s">
        <v>160</v>
      </c>
      <c r="BC171" s="178">
        <v>2</v>
      </c>
      <c r="BD171" s="129" t="s">
        <v>160</v>
      </c>
      <c r="BE171" s="151">
        <v>20.8</v>
      </c>
      <c r="BF171" s="129" t="s">
        <v>426</v>
      </c>
      <c r="BG171" s="151">
        <v>0.19560462000000001</v>
      </c>
      <c r="BH171" s="129">
        <v>0.64</v>
      </c>
      <c r="BI171" s="129" t="s">
        <v>427</v>
      </c>
      <c r="BJ171" s="129">
        <v>3.4000000000000002E-2</v>
      </c>
      <c r="BK171" s="129">
        <v>9.1</v>
      </c>
      <c r="BL171" s="129" t="s">
        <v>163</v>
      </c>
      <c r="BM171" s="129">
        <v>0.56000000000000005</v>
      </c>
      <c r="BN171" s="129" t="s">
        <v>428</v>
      </c>
      <c r="BO171" s="129" t="s">
        <v>429</v>
      </c>
      <c r="BP171" s="151">
        <f t="shared" si="16"/>
        <v>19.883333333333336</v>
      </c>
      <c r="BQ171" s="129" t="s">
        <v>202</v>
      </c>
      <c r="BR171" s="217"/>
      <c r="BS171" s="129" t="s">
        <v>160</v>
      </c>
      <c r="BT171" s="129" t="s">
        <v>160</v>
      </c>
      <c r="BU171" s="129">
        <v>10</v>
      </c>
      <c r="BV171" s="129" t="s">
        <v>159</v>
      </c>
      <c r="BW171" s="129">
        <v>10</v>
      </c>
      <c r="BX171" s="145">
        <v>26.461590210000001</v>
      </c>
      <c r="BY171" s="129" t="s">
        <v>159</v>
      </c>
      <c r="BZ171" s="129">
        <v>1</v>
      </c>
      <c r="CA171" s="129">
        <v>1</v>
      </c>
      <c r="CB171" s="129" t="s">
        <v>160</v>
      </c>
      <c r="CC171" s="151">
        <v>3.8933859020864032</v>
      </c>
      <c r="CD171" s="129" t="s">
        <v>430</v>
      </c>
      <c r="CE171" s="151">
        <f t="shared" si="21"/>
        <v>0.15573543608345614</v>
      </c>
      <c r="CF171" s="151">
        <v>0.15573543608345614</v>
      </c>
      <c r="CG171" s="178" t="s">
        <v>160</v>
      </c>
      <c r="CH171" s="129" t="s">
        <v>431</v>
      </c>
      <c r="CI171" s="129" t="s">
        <v>160</v>
      </c>
      <c r="CJ171" s="129" t="s">
        <v>432</v>
      </c>
      <c r="CK171" s="129" t="s">
        <v>158</v>
      </c>
      <c r="CL171" s="129" t="s">
        <v>158</v>
      </c>
      <c r="CM171" s="129" t="s">
        <v>158</v>
      </c>
      <c r="CN171" s="129" t="s">
        <v>160</v>
      </c>
      <c r="CO171" s="129" t="s">
        <v>160</v>
      </c>
      <c r="CP171" s="129" t="s">
        <v>160</v>
      </c>
      <c r="CQ171" s="129" t="s">
        <v>160</v>
      </c>
      <c r="CR171" s="129" t="s">
        <v>160</v>
      </c>
      <c r="CS171" s="129" t="s">
        <v>160</v>
      </c>
      <c r="CT171" s="129" t="s">
        <v>160</v>
      </c>
      <c r="CU171" s="129">
        <v>35</v>
      </c>
      <c r="CV171" s="129" t="s">
        <v>393</v>
      </c>
      <c r="CW171" s="146">
        <v>1</v>
      </c>
      <c r="CX171" s="129" t="s">
        <v>207</v>
      </c>
      <c r="CY171" s="129">
        <v>1.06E-2</v>
      </c>
      <c r="CZ171" s="129" t="s">
        <v>159</v>
      </c>
      <c r="DA171" s="146">
        <v>0</v>
      </c>
      <c r="DB171" s="129" t="s">
        <v>208</v>
      </c>
      <c r="DC171" s="129">
        <v>5.5100000000000003E-2</v>
      </c>
      <c r="DD171" s="129" t="s">
        <v>159</v>
      </c>
      <c r="DE171" s="146">
        <v>0</v>
      </c>
      <c r="DF171" s="129" t="s">
        <v>208</v>
      </c>
      <c r="DG171" s="129" t="s">
        <v>160</v>
      </c>
      <c r="DH171" s="129" t="s">
        <v>160</v>
      </c>
      <c r="DI171" s="129" t="s">
        <v>160</v>
      </c>
      <c r="DJ171" s="129" t="s">
        <v>160</v>
      </c>
      <c r="DK171" s="145">
        <v>432.56244218316402</v>
      </c>
      <c r="DL171" s="129" t="s">
        <v>433</v>
      </c>
      <c r="DM171" s="145" t="s">
        <v>160</v>
      </c>
      <c r="DN171" s="129" t="s">
        <v>434</v>
      </c>
      <c r="DO171" s="129">
        <v>39.609409999999997</v>
      </c>
      <c r="DP171" s="129" t="s">
        <v>160</v>
      </c>
      <c r="DQ171" s="129">
        <v>0.29682000000000386</v>
      </c>
      <c r="DR171" s="129" t="s">
        <v>435</v>
      </c>
      <c r="DS171" s="129" t="s">
        <v>212</v>
      </c>
      <c r="DT171" s="129" t="s">
        <v>213</v>
      </c>
      <c r="DU171" s="129">
        <v>1.0271999999999999</v>
      </c>
      <c r="DV171" s="129" t="s">
        <v>160</v>
      </c>
      <c r="DW171" s="129" t="s">
        <v>160</v>
      </c>
      <c r="DX171" s="129" t="s">
        <v>436</v>
      </c>
      <c r="DY171" s="129" t="s">
        <v>158</v>
      </c>
      <c r="DZ171" s="129" t="s">
        <v>158</v>
      </c>
      <c r="EA171" s="129" t="s">
        <v>216</v>
      </c>
      <c r="EB171" s="129" t="s">
        <v>212</v>
      </c>
      <c r="EC171" s="129" t="s">
        <v>212</v>
      </c>
      <c r="ED171" s="129" t="s">
        <v>212</v>
      </c>
      <c r="EE171" s="129" t="s">
        <v>217</v>
      </c>
      <c r="EF171" s="147" t="s">
        <v>213</v>
      </c>
      <c r="EG171" s="148" t="s">
        <v>213</v>
      </c>
      <c r="EH171" s="129" t="s">
        <v>218</v>
      </c>
      <c r="EI171" s="129" t="s">
        <v>417</v>
      </c>
      <c r="EJ171" s="129" t="s">
        <v>160</v>
      </c>
      <c r="EK171" s="129">
        <v>1977.7240000000002</v>
      </c>
      <c r="EL171" s="129" t="s">
        <v>163</v>
      </c>
      <c r="EM171" s="129">
        <v>18.574999999999843</v>
      </c>
      <c r="EN171" s="129">
        <v>18.43500000000024</v>
      </c>
      <c r="EO171" s="129" t="s">
        <v>160</v>
      </c>
      <c r="EP171" s="129" t="s">
        <v>160</v>
      </c>
      <c r="EQ171" s="129" t="s">
        <v>160</v>
      </c>
      <c r="ER171" s="129" t="s">
        <v>160</v>
      </c>
      <c r="ES171" s="201">
        <v>8.1781780000000008</v>
      </c>
      <c r="ET171" s="129" t="s">
        <v>165</v>
      </c>
      <c r="EU171" s="151">
        <v>3.7814999999998378E-2</v>
      </c>
      <c r="EV171" s="151">
        <v>3.7917000000000201E-2</v>
      </c>
      <c r="EW171" s="142" t="s">
        <v>160</v>
      </c>
      <c r="EX171" s="129" t="s">
        <v>160</v>
      </c>
      <c r="EY171" s="129" t="s">
        <v>160</v>
      </c>
      <c r="EZ171" s="208">
        <v>242.1379</v>
      </c>
      <c r="FA171" s="209">
        <v>28.255100000000027</v>
      </c>
      <c r="FB171" s="209">
        <v>25.537700000000001</v>
      </c>
      <c r="FC171" s="129" t="s">
        <v>220</v>
      </c>
      <c r="FD171" s="129" t="s">
        <v>221</v>
      </c>
      <c r="FE171" s="129">
        <v>2334.866</v>
      </c>
      <c r="FF171" s="129">
        <v>40.172000000000025</v>
      </c>
      <c r="FG171" s="129">
        <v>40.010999999999967</v>
      </c>
      <c r="FH171" s="129" t="s">
        <v>160</v>
      </c>
      <c r="FI171" s="129" t="s">
        <v>160</v>
      </c>
      <c r="FJ171" s="129" t="s">
        <v>160</v>
      </c>
      <c r="FK171" s="129" t="s">
        <v>160</v>
      </c>
      <c r="FL171" s="129" t="s">
        <v>160</v>
      </c>
      <c r="FM171" s="129" t="s">
        <v>160</v>
      </c>
      <c r="FN171" s="151">
        <v>4.7254430000000003</v>
      </c>
      <c r="FO171" s="151">
        <v>0.30873300000000015</v>
      </c>
      <c r="FP171" s="151">
        <v>0.29447100000000059</v>
      </c>
      <c r="FQ171" s="178" t="s">
        <v>419</v>
      </c>
      <c r="FR171" s="129" t="s">
        <v>415</v>
      </c>
      <c r="FS171" s="129">
        <v>2017</v>
      </c>
      <c r="FT171" s="131" t="s">
        <v>416</v>
      </c>
    </row>
    <row r="172" spans="1:176" s="129" customFormat="1">
      <c r="A172" s="129" t="s">
        <v>152</v>
      </c>
      <c r="B172" s="166" t="s">
        <v>183</v>
      </c>
      <c r="C172" s="166">
        <v>2018</v>
      </c>
      <c r="D172" s="166" t="s">
        <v>184</v>
      </c>
      <c r="E172" s="145">
        <f t="shared" si="14"/>
        <v>1094.71</v>
      </c>
      <c r="F172" s="129">
        <f t="shared" si="15"/>
        <v>2</v>
      </c>
      <c r="G172" s="129">
        <f t="shared" si="15"/>
        <v>2</v>
      </c>
      <c r="H172" s="191">
        <v>251.15949999999998</v>
      </c>
      <c r="I172" s="191">
        <v>30.958100000000059</v>
      </c>
      <c r="J172" s="191">
        <v>26.88039999999998</v>
      </c>
      <c r="K172" s="129" t="s">
        <v>457</v>
      </c>
      <c r="L172" s="131" t="s">
        <v>185</v>
      </c>
      <c r="M172" s="132" t="s">
        <v>186</v>
      </c>
      <c r="N172" s="129" t="s">
        <v>184</v>
      </c>
      <c r="O172" s="129" t="s">
        <v>420</v>
      </c>
      <c r="P172" s="205" t="s">
        <v>438</v>
      </c>
      <c r="Q172" s="205">
        <v>4</v>
      </c>
      <c r="R172" s="205">
        <v>7</v>
      </c>
      <c r="S172" s="206">
        <v>60</v>
      </c>
      <c r="T172" s="206">
        <f t="shared" si="20"/>
        <v>62</v>
      </c>
      <c r="U172" s="207">
        <v>36.200000000000003</v>
      </c>
      <c r="V172" s="207">
        <v>36.200000000000003</v>
      </c>
      <c r="W172" s="129" t="s">
        <v>160</v>
      </c>
      <c r="X172" s="129" t="s">
        <v>421</v>
      </c>
      <c r="Y172" s="200">
        <v>12.74</v>
      </c>
      <c r="Z172" s="200">
        <v>-78.739999999999995</v>
      </c>
      <c r="AA172" s="129" t="s">
        <v>160</v>
      </c>
      <c r="AB172" s="129" t="s">
        <v>160</v>
      </c>
      <c r="AC172" s="129">
        <v>-2839</v>
      </c>
      <c r="AD172" s="129" t="s">
        <v>160</v>
      </c>
      <c r="AE172" s="129" t="s">
        <v>160</v>
      </c>
      <c r="AF172" s="129" t="s">
        <v>160</v>
      </c>
      <c r="AG172" s="129">
        <v>1094.71</v>
      </c>
      <c r="AH172" s="129" t="s">
        <v>163</v>
      </c>
      <c r="AI172" s="129">
        <v>2</v>
      </c>
      <c r="AJ172" s="129">
        <v>2</v>
      </c>
      <c r="AK172" s="129" t="s">
        <v>160</v>
      </c>
      <c r="AL172" s="129" t="s">
        <v>422</v>
      </c>
      <c r="AM172" s="129" t="s">
        <v>160</v>
      </c>
      <c r="AN172" s="129" t="s">
        <v>160</v>
      </c>
      <c r="AO172" s="129" t="s">
        <v>160</v>
      </c>
      <c r="AP172" s="129" t="s">
        <v>160</v>
      </c>
      <c r="AQ172" s="129" t="s">
        <v>160</v>
      </c>
      <c r="AR172" s="129" t="s">
        <v>160</v>
      </c>
      <c r="AS172" s="129" t="s">
        <v>160</v>
      </c>
      <c r="AT172" s="129" t="s">
        <v>160</v>
      </c>
      <c r="AU172" s="129" t="s">
        <v>423</v>
      </c>
      <c r="AV172" s="129" t="s">
        <v>161</v>
      </c>
      <c r="AW172" s="129" t="s">
        <v>424</v>
      </c>
      <c r="AX172" s="178">
        <v>2</v>
      </c>
      <c r="AY172" s="129" t="s">
        <v>194</v>
      </c>
      <c r="AZ172" s="129" t="s">
        <v>195</v>
      </c>
      <c r="BA172" s="129" t="s">
        <v>425</v>
      </c>
      <c r="BB172" s="129" t="s">
        <v>160</v>
      </c>
      <c r="BC172" s="178">
        <v>2</v>
      </c>
      <c r="BD172" s="129" t="s">
        <v>160</v>
      </c>
      <c r="BE172" s="151">
        <v>20.73435804</v>
      </c>
      <c r="BF172" s="129" t="s">
        <v>426</v>
      </c>
      <c r="BG172" s="151">
        <v>0.218499886</v>
      </c>
      <c r="BH172" s="129">
        <v>0.64</v>
      </c>
      <c r="BI172" s="129" t="s">
        <v>427</v>
      </c>
      <c r="BJ172" s="129">
        <v>3.4000000000000002E-2</v>
      </c>
      <c r="BK172" s="129">
        <v>9.1</v>
      </c>
      <c r="BL172" s="129" t="s">
        <v>163</v>
      </c>
      <c r="BM172" s="129">
        <v>0.56000000000000005</v>
      </c>
      <c r="BN172" s="129" t="s">
        <v>428</v>
      </c>
      <c r="BO172" s="129" t="s">
        <v>429</v>
      </c>
      <c r="BP172" s="151">
        <f t="shared" si="16"/>
        <v>19.773930066666669</v>
      </c>
      <c r="BQ172" s="129" t="s">
        <v>202</v>
      </c>
      <c r="BR172" s="217"/>
      <c r="BS172" s="129" t="s">
        <v>160</v>
      </c>
      <c r="BT172" s="129" t="s">
        <v>160</v>
      </c>
      <c r="BU172" s="129">
        <v>10</v>
      </c>
      <c r="BV172" s="129" t="s">
        <v>159</v>
      </c>
      <c r="BW172" s="129">
        <v>10</v>
      </c>
      <c r="BX172" s="145">
        <v>26.79039075</v>
      </c>
      <c r="BY172" s="129" t="s">
        <v>159</v>
      </c>
      <c r="BZ172" s="129">
        <v>1</v>
      </c>
      <c r="CA172" s="129">
        <v>1</v>
      </c>
      <c r="CB172" s="129" t="s">
        <v>160</v>
      </c>
      <c r="CC172" s="151">
        <v>4.0101390950390092</v>
      </c>
      <c r="CD172" s="129" t="s">
        <v>430</v>
      </c>
      <c r="CE172" s="151">
        <f t="shared" si="21"/>
        <v>0.16040556380156037</v>
      </c>
      <c r="CF172" s="151">
        <v>0.16040556380156037</v>
      </c>
      <c r="CG172" s="178" t="s">
        <v>160</v>
      </c>
      <c r="CH172" s="129" t="s">
        <v>431</v>
      </c>
      <c r="CI172" s="129" t="s">
        <v>160</v>
      </c>
      <c r="CJ172" s="129" t="s">
        <v>432</v>
      </c>
      <c r="CK172" s="129" t="s">
        <v>158</v>
      </c>
      <c r="CL172" s="129" t="s">
        <v>158</v>
      </c>
      <c r="CM172" s="129" t="s">
        <v>158</v>
      </c>
      <c r="CN172" s="129" t="s">
        <v>160</v>
      </c>
      <c r="CO172" s="129" t="s">
        <v>160</v>
      </c>
      <c r="CP172" s="129" t="s">
        <v>160</v>
      </c>
      <c r="CQ172" s="129" t="s">
        <v>160</v>
      </c>
      <c r="CR172" s="129" t="s">
        <v>160</v>
      </c>
      <c r="CS172" s="129" t="s">
        <v>160</v>
      </c>
      <c r="CT172" s="129" t="s">
        <v>160</v>
      </c>
      <c r="CU172" s="129">
        <v>35</v>
      </c>
      <c r="CV172" s="129" t="s">
        <v>393</v>
      </c>
      <c r="CW172" s="146">
        <v>1</v>
      </c>
      <c r="CX172" s="129" t="s">
        <v>207</v>
      </c>
      <c r="CY172" s="129">
        <v>1.06E-2</v>
      </c>
      <c r="CZ172" s="129" t="s">
        <v>159</v>
      </c>
      <c r="DA172" s="146">
        <v>0</v>
      </c>
      <c r="DB172" s="129" t="s">
        <v>208</v>
      </c>
      <c r="DC172" s="129">
        <v>5.5100000000000003E-2</v>
      </c>
      <c r="DD172" s="129" t="s">
        <v>159</v>
      </c>
      <c r="DE172" s="146">
        <v>0</v>
      </c>
      <c r="DF172" s="129" t="s">
        <v>208</v>
      </c>
      <c r="DG172" s="129" t="s">
        <v>160</v>
      </c>
      <c r="DH172" s="129" t="s">
        <v>160</v>
      </c>
      <c r="DI172" s="129" t="s">
        <v>160</v>
      </c>
      <c r="DJ172" s="129" t="s">
        <v>160</v>
      </c>
      <c r="DK172" s="145">
        <v>432.56244218316402</v>
      </c>
      <c r="DL172" s="129" t="s">
        <v>433</v>
      </c>
      <c r="DM172" s="145" t="s">
        <v>160</v>
      </c>
      <c r="DN172" s="129" t="s">
        <v>434</v>
      </c>
      <c r="DO172" s="129">
        <v>39.611980000000003</v>
      </c>
      <c r="DP172" s="129" t="s">
        <v>160</v>
      </c>
      <c r="DQ172" s="129">
        <v>0.29831999999999681</v>
      </c>
      <c r="DR172" s="129" t="s">
        <v>435</v>
      </c>
      <c r="DS172" s="129" t="s">
        <v>212</v>
      </c>
      <c r="DT172" s="129" t="s">
        <v>213</v>
      </c>
      <c r="DU172" s="129">
        <v>1.0271999999999999</v>
      </c>
      <c r="DV172" s="129" t="s">
        <v>160</v>
      </c>
      <c r="DW172" s="129" t="s">
        <v>160</v>
      </c>
      <c r="DX172" s="129" t="s">
        <v>436</v>
      </c>
      <c r="DY172" s="129" t="s">
        <v>158</v>
      </c>
      <c r="DZ172" s="129" t="s">
        <v>158</v>
      </c>
      <c r="EA172" s="129" t="s">
        <v>216</v>
      </c>
      <c r="EB172" s="129" t="s">
        <v>212</v>
      </c>
      <c r="EC172" s="129" t="s">
        <v>212</v>
      </c>
      <c r="ED172" s="129" t="s">
        <v>212</v>
      </c>
      <c r="EE172" s="129" t="s">
        <v>217</v>
      </c>
      <c r="EF172" s="147" t="s">
        <v>213</v>
      </c>
      <c r="EG172" s="148" t="s">
        <v>213</v>
      </c>
      <c r="EH172" s="129" t="s">
        <v>218</v>
      </c>
      <c r="EI172" s="129" t="s">
        <v>417</v>
      </c>
      <c r="EJ172" s="129" t="s">
        <v>160</v>
      </c>
      <c r="EK172" s="129">
        <v>1978.165</v>
      </c>
      <c r="EL172" s="129" t="s">
        <v>163</v>
      </c>
      <c r="EM172" s="129">
        <v>17.904999999999916</v>
      </c>
      <c r="EN172" s="129">
        <v>18.624999999999979</v>
      </c>
      <c r="EO172" s="129" t="s">
        <v>160</v>
      </c>
      <c r="EP172" s="129" t="s">
        <v>160</v>
      </c>
      <c r="EQ172" s="129" t="s">
        <v>160</v>
      </c>
      <c r="ER172" s="129" t="s">
        <v>160</v>
      </c>
      <c r="ES172" s="201">
        <v>8.1660249999999994</v>
      </c>
      <c r="ET172" s="129" t="s">
        <v>165</v>
      </c>
      <c r="EU172" s="151">
        <v>3.8956000000000657E-2</v>
      </c>
      <c r="EV172" s="151">
        <v>4.0630999999999418E-2</v>
      </c>
      <c r="EW172" s="142" t="s">
        <v>160</v>
      </c>
      <c r="EX172" s="129" t="s">
        <v>160</v>
      </c>
      <c r="EY172" s="129" t="s">
        <v>160</v>
      </c>
      <c r="EZ172" s="208">
        <v>251.15949999999998</v>
      </c>
      <c r="FA172" s="209">
        <v>30.958100000000059</v>
      </c>
      <c r="FB172" s="209">
        <v>26.88039999999998</v>
      </c>
      <c r="FC172" s="129" t="s">
        <v>220</v>
      </c>
      <c r="FD172" s="129" t="s">
        <v>221</v>
      </c>
      <c r="FE172" s="129">
        <v>2328.348</v>
      </c>
      <c r="FF172" s="129">
        <v>41.060999999999694</v>
      </c>
      <c r="FG172" s="129">
        <v>39.907999999999902</v>
      </c>
      <c r="FH172" s="129" t="s">
        <v>160</v>
      </c>
      <c r="FI172" s="129" t="s">
        <v>160</v>
      </c>
      <c r="FJ172" s="129" t="s">
        <v>160</v>
      </c>
      <c r="FK172" s="129" t="s">
        <v>160</v>
      </c>
      <c r="FL172" s="129" t="s">
        <v>160</v>
      </c>
      <c r="FM172" s="129" t="s">
        <v>160</v>
      </c>
      <c r="FN172" s="151">
        <v>4.6613689999999997</v>
      </c>
      <c r="FO172" s="151">
        <v>0.31214500000000012</v>
      </c>
      <c r="FP172" s="151">
        <v>0.30112199999999945</v>
      </c>
      <c r="FQ172" s="178" t="s">
        <v>419</v>
      </c>
      <c r="FR172" s="129" t="s">
        <v>415</v>
      </c>
      <c r="FS172" s="129">
        <v>2017</v>
      </c>
      <c r="FT172" s="131" t="s">
        <v>416</v>
      </c>
    </row>
    <row r="173" spans="1:176" s="129" customFormat="1">
      <c r="A173" s="129" t="s">
        <v>152</v>
      </c>
      <c r="B173" s="166" t="s">
        <v>183</v>
      </c>
      <c r="C173" s="166">
        <v>2018</v>
      </c>
      <c r="D173" s="166" t="s">
        <v>184</v>
      </c>
      <c r="E173" s="145">
        <f t="shared" si="14"/>
        <v>1099.46</v>
      </c>
      <c r="F173" s="129">
        <f t="shared" si="15"/>
        <v>2</v>
      </c>
      <c r="G173" s="129">
        <f t="shared" si="15"/>
        <v>2</v>
      </c>
      <c r="H173" s="191">
        <v>320.95049999999998</v>
      </c>
      <c r="I173" s="191">
        <v>39.692700000000059</v>
      </c>
      <c r="J173" s="191">
        <v>33.753599999999949</v>
      </c>
      <c r="K173" s="129" t="s">
        <v>457</v>
      </c>
      <c r="L173" s="131" t="s">
        <v>185</v>
      </c>
      <c r="M173" s="132" t="s">
        <v>186</v>
      </c>
      <c r="N173" s="129" t="s">
        <v>184</v>
      </c>
      <c r="O173" s="129" t="s">
        <v>420</v>
      </c>
      <c r="P173" s="210" t="s">
        <v>438</v>
      </c>
      <c r="Q173" s="210">
        <v>4</v>
      </c>
      <c r="R173" s="210" t="s">
        <v>293</v>
      </c>
      <c r="S173" s="211">
        <v>11</v>
      </c>
      <c r="T173" s="211">
        <f t="shared" si="20"/>
        <v>13</v>
      </c>
      <c r="U173" s="212">
        <v>36.43</v>
      </c>
      <c r="V173" s="212">
        <v>36.43</v>
      </c>
      <c r="W173" s="129" t="s">
        <v>160</v>
      </c>
      <c r="X173" s="129" t="s">
        <v>421</v>
      </c>
      <c r="Y173" s="200">
        <v>12.74</v>
      </c>
      <c r="Z173" s="200">
        <v>-78.739999999999995</v>
      </c>
      <c r="AA173" s="129" t="s">
        <v>160</v>
      </c>
      <c r="AB173" s="129" t="s">
        <v>160</v>
      </c>
      <c r="AC173" s="129">
        <v>-2839</v>
      </c>
      <c r="AD173" s="129" t="s">
        <v>160</v>
      </c>
      <c r="AE173" s="129" t="s">
        <v>160</v>
      </c>
      <c r="AF173" s="129" t="s">
        <v>160</v>
      </c>
      <c r="AG173" s="129">
        <v>1099.46</v>
      </c>
      <c r="AH173" s="129" t="s">
        <v>163</v>
      </c>
      <c r="AI173" s="129">
        <v>2</v>
      </c>
      <c r="AJ173" s="129">
        <v>2</v>
      </c>
      <c r="AK173" s="129" t="s">
        <v>160</v>
      </c>
      <c r="AL173" s="129" t="s">
        <v>422</v>
      </c>
      <c r="AM173" s="129" t="s">
        <v>160</v>
      </c>
      <c r="AN173" s="129" t="s">
        <v>160</v>
      </c>
      <c r="AO173" s="129" t="s">
        <v>160</v>
      </c>
      <c r="AP173" s="129" t="s">
        <v>160</v>
      </c>
      <c r="AQ173" s="129" t="s">
        <v>160</v>
      </c>
      <c r="AR173" s="129" t="s">
        <v>160</v>
      </c>
      <c r="AS173" s="129" t="s">
        <v>160</v>
      </c>
      <c r="AT173" s="129" t="s">
        <v>160</v>
      </c>
      <c r="AU173" s="129" t="s">
        <v>423</v>
      </c>
      <c r="AV173" s="129" t="s">
        <v>161</v>
      </c>
      <c r="AW173" s="129" t="s">
        <v>424</v>
      </c>
      <c r="AX173" s="178">
        <v>2</v>
      </c>
      <c r="AY173" s="129" t="s">
        <v>194</v>
      </c>
      <c r="AZ173" s="129" t="s">
        <v>195</v>
      </c>
      <c r="BA173" s="129" t="s">
        <v>425</v>
      </c>
      <c r="BB173" s="129" t="s">
        <v>160</v>
      </c>
      <c r="BC173" s="178">
        <v>2</v>
      </c>
      <c r="BD173" s="129" t="s">
        <v>160</v>
      </c>
      <c r="BE173" s="151">
        <v>20.0893291</v>
      </c>
      <c r="BF173" s="129" t="s">
        <v>426</v>
      </c>
      <c r="BG173" s="151">
        <v>0.194254126</v>
      </c>
      <c r="BH173" s="129">
        <v>0.64</v>
      </c>
      <c r="BI173" s="129" t="s">
        <v>427</v>
      </c>
      <c r="BJ173" s="129">
        <v>3.4000000000000002E-2</v>
      </c>
      <c r="BK173" s="129">
        <v>9.1</v>
      </c>
      <c r="BL173" s="129" t="s">
        <v>163</v>
      </c>
      <c r="BM173" s="129">
        <v>0.56000000000000005</v>
      </c>
      <c r="BN173" s="129" t="s">
        <v>428</v>
      </c>
      <c r="BO173" s="129" t="s">
        <v>429</v>
      </c>
      <c r="BP173" s="151">
        <f t="shared" si="16"/>
        <v>18.698881833333335</v>
      </c>
      <c r="BQ173" s="129" t="s">
        <v>202</v>
      </c>
      <c r="BR173" s="217"/>
      <c r="BS173" s="129" t="s">
        <v>160</v>
      </c>
      <c r="BT173" s="129" t="s">
        <v>160</v>
      </c>
      <c r="BU173" s="129">
        <v>10</v>
      </c>
      <c r="BV173" s="129" t="s">
        <v>159</v>
      </c>
      <c r="BW173" s="129">
        <v>10</v>
      </c>
      <c r="BX173" s="145">
        <v>26.316807690000001</v>
      </c>
      <c r="BY173" s="129" t="s">
        <v>159</v>
      </c>
      <c r="BZ173" s="129">
        <v>1</v>
      </c>
      <c r="CA173" s="129">
        <v>1</v>
      </c>
      <c r="CB173" s="129" t="s">
        <v>160</v>
      </c>
      <c r="CC173" s="151">
        <v>3.8424601093623867</v>
      </c>
      <c r="CD173" s="129" t="s">
        <v>430</v>
      </c>
      <c r="CE173" s="151">
        <f t="shared" si="21"/>
        <v>0.15369840437449547</v>
      </c>
      <c r="CF173" s="151">
        <v>0.15369840437449547</v>
      </c>
      <c r="CG173" s="178" t="s">
        <v>160</v>
      </c>
      <c r="CH173" s="129" t="s">
        <v>431</v>
      </c>
      <c r="CI173" s="129" t="s">
        <v>160</v>
      </c>
      <c r="CJ173" s="129" t="s">
        <v>432</v>
      </c>
      <c r="CK173" s="129" t="s">
        <v>158</v>
      </c>
      <c r="CL173" s="129" t="s">
        <v>158</v>
      </c>
      <c r="CM173" s="129" t="s">
        <v>158</v>
      </c>
      <c r="CN173" s="129" t="s">
        <v>160</v>
      </c>
      <c r="CO173" s="129" t="s">
        <v>160</v>
      </c>
      <c r="CP173" s="129" t="s">
        <v>160</v>
      </c>
      <c r="CQ173" s="129" t="s">
        <v>160</v>
      </c>
      <c r="CR173" s="129" t="s">
        <v>160</v>
      </c>
      <c r="CS173" s="129" t="s">
        <v>160</v>
      </c>
      <c r="CT173" s="129" t="s">
        <v>160</v>
      </c>
      <c r="CU173" s="129">
        <v>35</v>
      </c>
      <c r="CV173" s="129" t="s">
        <v>393</v>
      </c>
      <c r="CW173" s="146">
        <v>1</v>
      </c>
      <c r="CX173" s="129" t="s">
        <v>207</v>
      </c>
      <c r="CY173" s="129">
        <v>1.06E-2</v>
      </c>
      <c r="CZ173" s="129" t="s">
        <v>159</v>
      </c>
      <c r="DA173" s="146">
        <v>0</v>
      </c>
      <c r="DB173" s="129" t="s">
        <v>208</v>
      </c>
      <c r="DC173" s="129">
        <v>5.5100000000000003E-2</v>
      </c>
      <c r="DD173" s="129" t="s">
        <v>159</v>
      </c>
      <c r="DE173" s="146">
        <v>0</v>
      </c>
      <c r="DF173" s="129" t="s">
        <v>208</v>
      </c>
      <c r="DG173" s="129" t="s">
        <v>160</v>
      </c>
      <c r="DH173" s="129" t="s">
        <v>160</v>
      </c>
      <c r="DI173" s="129" t="s">
        <v>160</v>
      </c>
      <c r="DJ173" s="129" t="s">
        <v>160</v>
      </c>
      <c r="DK173" s="145">
        <v>432.56244218316402</v>
      </c>
      <c r="DL173" s="129" t="s">
        <v>433</v>
      </c>
      <c r="DM173" s="145" t="s">
        <v>160</v>
      </c>
      <c r="DN173" s="129" t="s">
        <v>434</v>
      </c>
      <c r="DO173" s="129">
        <v>39.614719999999998</v>
      </c>
      <c r="DP173" s="129" t="s">
        <v>160</v>
      </c>
      <c r="DQ173" s="129">
        <v>0.29476999999999975</v>
      </c>
      <c r="DR173" s="129" t="s">
        <v>435</v>
      </c>
      <c r="DS173" s="129" t="s">
        <v>212</v>
      </c>
      <c r="DT173" s="129" t="s">
        <v>213</v>
      </c>
      <c r="DU173" s="129">
        <v>1.0271999999999999</v>
      </c>
      <c r="DV173" s="129" t="s">
        <v>160</v>
      </c>
      <c r="DW173" s="129" t="s">
        <v>160</v>
      </c>
      <c r="DX173" s="129" t="s">
        <v>436</v>
      </c>
      <c r="DY173" s="129" t="s">
        <v>158</v>
      </c>
      <c r="DZ173" s="129" t="s">
        <v>158</v>
      </c>
      <c r="EA173" s="129" t="s">
        <v>216</v>
      </c>
      <c r="EB173" s="129" t="s">
        <v>212</v>
      </c>
      <c r="EC173" s="129" t="s">
        <v>212</v>
      </c>
      <c r="ED173" s="129" t="s">
        <v>212</v>
      </c>
      <c r="EE173" s="129" t="s">
        <v>217</v>
      </c>
      <c r="EF173" s="147" t="s">
        <v>213</v>
      </c>
      <c r="EG173" s="148" t="s">
        <v>213</v>
      </c>
      <c r="EH173" s="129" t="s">
        <v>218</v>
      </c>
      <c r="EI173" s="129" t="s">
        <v>417</v>
      </c>
      <c r="EJ173" s="129" t="s">
        <v>160</v>
      </c>
      <c r="EK173" s="129">
        <v>1977.8349999999998</v>
      </c>
      <c r="EL173" s="129" t="s">
        <v>163</v>
      </c>
      <c r="EM173" s="129">
        <v>18.640000000000324</v>
      </c>
      <c r="EN173" s="129">
        <v>18.20499999999987</v>
      </c>
      <c r="EO173" s="129" t="s">
        <v>160</v>
      </c>
      <c r="EP173" s="129" t="s">
        <v>160</v>
      </c>
      <c r="EQ173" s="129" t="s">
        <v>160</v>
      </c>
      <c r="ER173" s="129" t="s">
        <v>160</v>
      </c>
      <c r="ES173" s="201">
        <v>8.0801669999999994</v>
      </c>
      <c r="ET173" s="129" t="s">
        <v>165</v>
      </c>
      <c r="EU173" s="151">
        <v>3.9532000000001233E-2</v>
      </c>
      <c r="EV173" s="151">
        <v>4.1463999999999501E-2</v>
      </c>
      <c r="EW173" s="142" t="s">
        <v>160</v>
      </c>
      <c r="EX173" s="129" t="s">
        <v>160</v>
      </c>
      <c r="EY173" s="129" t="s">
        <v>160</v>
      </c>
      <c r="EZ173" s="208">
        <v>320.95049999999998</v>
      </c>
      <c r="FA173" s="209">
        <v>39.692700000000059</v>
      </c>
      <c r="FB173" s="209">
        <v>33.753599999999949</v>
      </c>
      <c r="FC173" s="129" t="s">
        <v>220</v>
      </c>
      <c r="FD173" s="129" t="s">
        <v>221</v>
      </c>
      <c r="FE173" s="129">
        <v>2260.6959999999999</v>
      </c>
      <c r="FF173" s="129">
        <v>39.044000000000324</v>
      </c>
      <c r="FG173" s="129">
        <v>38.421999999999571</v>
      </c>
      <c r="FH173" s="129" t="s">
        <v>160</v>
      </c>
      <c r="FI173" s="129" t="s">
        <v>160</v>
      </c>
      <c r="FJ173" s="129" t="s">
        <v>160</v>
      </c>
      <c r="FK173" s="129" t="s">
        <v>160</v>
      </c>
      <c r="FL173" s="129" t="s">
        <v>160</v>
      </c>
      <c r="FM173" s="129" t="s">
        <v>160</v>
      </c>
      <c r="FN173" s="151">
        <v>3.854244</v>
      </c>
      <c r="FO173" s="151">
        <v>0.28599699999999961</v>
      </c>
      <c r="FP173" s="151">
        <v>0.27153699999999992</v>
      </c>
      <c r="FQ173" s="178" t="s">
        <v>419</v>
      </c>
      <c r="FR173" s="129" t="s">
        <v>415</v>
      </c>
      <c r="FS173" s="129">
        <v>2017</v>
      </c>
      <c r="FT173" s="131" t="s">
        <v>416</v>
      </c>
    </row>
    <row r="174" spans="1:176" s="129" customFormat="1">
      <c r="A174" s="129" t="s">
        <v>152</v>
      </c>
      <c r="B174" s="166" t="s">
        <v>183</v>
      </c>
      <c r="C174" s="166">
        <v>2018</v>
      </c>
      <c r="D174" s="166" t="s">
        <v>184</v>
      </c>
      <c r="E174" s="145">
        <f t="shared" ref="E174:E218" si="22">AG174</f>
        <v>1102.42</v>
      </c>
      <c r="F174" s="129">
        <f t="shared" ref="F174:G218" si="23">AI174</f>
        <v>2</v>
      </c>
      <c r="G174" s="129">
        <f t="shared" si="23"/>
        <v>2</v>
      </c>
      <c r="H174" s="191">
        <v>301.80630000000002</v>
      </c>
      <c r="I174" s="191">
        <v>36.053999999999974</v>
      </c>
      <c r="J174" s="191">
        <v>32.598000000000013</v>
      </c>
      <c r="K174" s="129" t="s">
        <v>457</v>
      </c>
      <c r="L174" s="131" t="s">
        <v>185</v>
      </c>
      <c r="M174" s="132" t="s">
        <v>186</v>
      </c>
      <c r="N174" s="129" t="s">
        <v>184</v>
      </c>
      <c r="O174" s="129" t="s">
        <v>420</v>
      </c>
      <c r="P174" s="205" t="s">
        <v>438</v>
      </c>
      <c r="Q174" s="205">
        <v>5</v>
      </c>
      <c r="R174" s="205">
        <v>1</v>
      </c>
      <c r="S174" s="206">
        <v>12</v>
      </c>
      <c r="T174" s="206">
        <f t="shared" si="20"/>
        <v>14</v>
      </c>
      <c r="U174" s="207">
        <v>36.22</v>
      </c>
      <c r="V174" s="207">
        <v>36.22</v>
      </c>
      <c r="W174" s="129" t="s">
        <v>160</v>
      </c>
      <c r="X174" s="129" t="s">
        <v>421</v>
      </c>
      <c r="Y174" s="200">
        <v>12.74</v>
      </c>
      <c r="Z174" s="200">
        <v>-78.739999999999995</v>
      </c>
      <c r="AA174" s="129" t="s">
        <v>160</v>
      </c>
      <c r="AB174" s="129" t="s">
        <v>160</v>
      </c>
      <c r="AC174" s="129">
        <v>-2839</v>
      </c>
      <c r="AD174" s="129" t="s">
        <v>160</v>
      </c>
      <c r="AE174" s="129" t="s">
        <v>160</v>
      </c>
      <c r="AF174" s="129" t="s">
        <v>160</v>
      </c>
      <c r="AG174" s="129">
        <v>1102.42</v>
      </c>
      <c r="AH174" s="129" t="s">
        <v>163</v>
      </c>
      <c r="AI174" s="129">
        <v>2</v>
      </c>
      <c r="AJ174" s="129">
        <v>2</v>
      </c>
      <c r="AK174" s="129" t="s">
        <v>160</v>
      </c>
      <c r="AL174" s="129" t="s">
        <v>422</v>
      </c>
      <c r="AM174" s="129" t="s">
        <v>160</v>
      </c>
      <c r="AN174" s="129" t="s">
        <v>160</v>
      </c>
      <c r="AO174" s="129" t="s">
        <v>160</v>
      </c>
      <c r="AP174" s="129" t="s">
        <v>160</v>
      </c>
      <c r="AQ174" s="129" t="s">
        <v>160</v>
      </c>
      <c r="AR174" s="129" t="s">
        <v>160</v>
      </c>
      <c r="AS174" s="129" t="s">
        <v>160</v>
      </c>
      <c r="AT174" s="129" t="s">
        <v>160</v>
      </c>
      <c r="AU174" s="129" t="s">
        <v>423</v>
      </c>
      <c r="AV174" s="129" t="s">
        <v>161</v>
      </c>
      <c r="AW174" s="129" t="s">
        <v>424</v>
      </c>
      <c r="AX174" s="178">
        <v>2</v>
      </c>
      <c r="AY174" s="129" t="s">
        <v>194</v>
      </c>
      <c r="AZ174" s="129" t="s">
        <v>195</v>
      </c>
      <c r="BA174" s="129" t="s">
        <v>425</v>
      </c>
      <c r="BB174" s="129" t="s">
        <v>160</v>
      </c>
      <c r="BC174" s="178">
        <v>2</v>
      </c>
      <c r="BD174" s="129" t="s">
        <v>160</v>
      </c>
      <c r="BE174" s="151">
        <v>20.229757670000001</v>
      </c>
      <c r="BF174" s="129" t="s">
        <v>426</v>
      </c>
      <c r="BG174" s="151">
        <v>0.19304795599999999</v>
      </c>
      <c r="BH174" s="129">
        <v>0.64</v>
      </c>
      <c r="BI174" s="129" t="s">
        <v>427</v>
      </c>
      <c r="BJ174" s="129">
        <v>3.4000000000000002E-2</v>
      </c>
      <c r="BK174" s="129">
        <v>9.1</v>
      </c>
      <c r="BL174" s="129" t="s">
        <v>163</v>
      </c>
      <c r="BM174" s="129">
        <v>0.56000000000000005</v>
      </c>
      <c r="BN174" s="129" t="s">
        <v>428</v>
      </c>
      <c r="BO174" s="129" t="s">
        <v>429</v>
      </c>
      <c r="BP174" s="151">
        <f t="shared" ref="BP174:BP218" si="24">(BE174-8.87)/0.6</f>
        <v>18.932929450000003</v>
      </c>
      <c r="BQ174" s="129" t="s">
        <v>202</v>
      </c>
      <c r="BR174" s="217"/>
      <c r="BS174" s="129" t="s">
        <v>160</v>
      </c>
      <c r="BT174" s="129" t="s">
        <v>160</v>
      </c>
      <c r="BU174" s="129">
        <v>10</v>
      </c>
      <c r="BV174" s="129" t="s">
        <v>159</v>
      </c>
      <c r="BW174" s="129">
        <v>10</v>
      </c>
      <c r="BX174" s="145">
        <v>26.176028890000001</v>
      </c>
      <c r="BY174" s="129" t="s">
        <v>159</v>
      </c>
      <c r="BZ174" s="129">
        <v>1</v>
      </c>
      <c r="CA174" s="129">
        <v>1</v>
      </c>
      <c r="CB174" s="129" t="s">
        <v>160</v>
      </c>
      <c r="CC174" s="151">
        <v>3.7937389566535522</v>
      </c>
      <c r="CD174" s="129" t="s">
        <v>430</v>
      </c>
      <c r="CE174" s="151">
        <f t="shared" si="21"/>
        <v>0.15174955826614209</v>
      </c>
      <c r="CF174" s="151">
        <v>0.15174955826614209</v>
      </c>
      <c r="CG174" s="178" t="s">
        <v>160</v>
      </c>
      <c r="CH174" s="129" t="s">
        <v>431</v>
      </c>
      <c r="CI174" s="129" t="s">
        <v>160</v>
      </c>
      <c r="CJ174" s="129" t="s">
        <v>432</v>
      </c>
      <c r="CK174" s="129" t="s">
        <v>158</v>
      </c>
      <c r="CL174" s="129" t="s">
        <v>158</v>
      </c>
      <c r="CM174" s="129" t="s">
        <v>158</v>
      </c>
      <c r="CN174" s="129" t="s">
        <v>160</v>
      </c>
      <c r="CO174" s="129" t="s">
        <v>160</v>
      </c>
      <c r="CP174" s="129" t="s">
        <v>160</v>
      </c>
      <c r="CQ174" s="129" t="s">
        <v>160</v>
      </c>
      <c r="CR174" s="129" t="s">
        <v>160</v>
      </c>
      <c r="CS174" s="129" t="s">
        <v>160</v>
      </c>
      <c r="CT174" s="129" t="s">
        <v>160</v>
      </c>
      <c r="CU174" s="129">
        <v>35</v>
      </c>
      <c r="CV174" s="129" t="s">
        <v>393</v>
      </c>
      <c r="CW174" s="146">
        <v>1</v>
      </c>
      <c r="CX174" s="129" t="s">
        <v>207</v>
      </c>
      <c r="CY174" s="129">
        <v>1.06E-2</v>
      </c>
      <c r="CZ174" s="129" t="s">
        <v>159</v>
      </c>
      <c r="DA174" s="146">
        <v>0</v>
      </c>
      <c r="DB174" s="129" t="s">
        <v>208</v>
      </c>
      <c r="DC174" s="129">
        <v>5.5100000000000003E-2</v>
      </c>
      <c r="DD174" s="129" t="s">
        <v>159</v>
      </c>
      <c r="DE174" s="146">
        <v>0</v>
      </c>
      <c r="DF174" s="129" t="s">
        <v>208</v>
      </c>
      <c r="DG174" s="129" t="s">
        <v>160</v>
      </c>
      <c r="DH174" s="129" t="s">
        <v>160</v>
      </c>
      <c r="DI174" s="129" t="s">
        <v>160</v>
      </c>
      <c r="DJ174" s="129" t="s">
        <v>160</v>
      </c>
      <c r="DK174" s="145">
        <v>432.56244218316402</v>
      </c>
      <c r="DL174" s="129" t="s">
        <v>433</v>
      </c>
      <c r="DM174" s="145" t="s">
        <v>160</v>
      </c>
      <c r="DN174" s="129" t="s">
        <v>434</v>
      </c>
      <c r="DO174" s="129">
        <v>39.611440000000002</v>
      </c>
      <c r="DP174" s="129" t="s">
        <v>160</v>
      </c>
      <c r="DQ174" s="129">
        <v>0.30366000000000071</v>
      </c>
      <c r="DR174" s="129" t="s">
        <v>435</v>
      </c>
      <c r="DS174" s="129" t="s">
        <v>212</v>
      </c>
      <c r="DT174" s="129" t="s">
        <v>213</v>
      </c>
      <c r="DU174" s="129">
        <v>1.0271999999999999</v>
      </c>
      <c r="DV174" s="129" t="s">
        <v>160</v>
      </c>
      <c r="DW174" s="129" t="s">
        <v>160</v>
      </c>
      <c r="DX174" s="129" t="s">
        <v>436</v>
      </c>
      <c r="DY174" s="129" t="s">
        <v>158</v>
      </c>
      <c r="DZ174" s="129" t="s">
        <v>158</v>
      </c>
      <c r="EA174" s="129" t="s">
        <v>216</v>
      </c>
      <c r="EB174" s="129" t="s">
        <v>212</v>
      </c>
      <c r="EC174" s="129" t="s">
        <v>212</v>
      </c>
      <c r="ED174" s="129" t="s">
        <v>212</v>
      </c>
      <c r="EE174" s="129" t="s">
        <v>217</v>
      </c>
      <c r="EF174" s="147" t="s">
        <v>213</v>
      </c>
      <c r="EG174" s="148" t="s">
        <v>213</v>
      </c>
      <c r="EH174" s="129" t="s">
        <v>218</v>
      </c>
      <c r="EI174" s="129" t="s">
        <v>417</v>
      </c>
      <c r="EJ174" s="129" t="s">
        <v>160</v>
      </c>
      <c r="EK174" s="129">
        <v>1977.749</v>
      </c>
      <c r="EL174" s="129" t="s">
        <v>163</v>
      </c>
      <c r="EM174" s="129">
        <v>18.742999999999885</v>
      </c>
      <c r="EN174" s="129">
        <v>19.008999999999954</v>
      </c>
      <c r="EO174" s="129" t="s">
        <v>160</v>
      </c>
      <c r="EP174" s="129" t="s">
        <v>160</v>
      </c>
      <c r="EQ174" s="129" t="s">
        <v>160</v>
      </c>
      <c r="ER174" s="129" t="s">
        <v>160</v>
      </c>
      <c r="ES174" s="201">
        <v>8.1022160000000003</v>
      </c>
      <c r="ET174" s="129" t="s">
        <v>165</v>
      </c>
      <c r="EU174" s="151">
        <v>3.9861999999999398E-2</v>
      </c>
      <c r="EV174" s="151">
        <v>4.0378999999999721E-2</v>
      </c>
      <c r="EW174" s="142" t="s">
        <v>160</v>
      </c>
      <c r="EX174" s="129" t="s">
        <v>160</v>
      </c>
      <c r="EY174" s="129" t="s">
        <v>160</v>
      </c>
      <c r="EZ174" s="208">
        <v>301.80630000000002</v>
      </c>
      <c r="FA174" s="209">
        <v>36.053999999999974</v>
      </c>
      <c r="FB174" s="209">
        <v>32.598000000000013</v>
      </c>
      <c r="FC174" s="129" t="s">
        <v>220</v>
      </c>
      <c r="FD174" s="129" t="s">
        <v>221</v>
      </c>
      <c r="FE174" s="129">
        <v>2275.2730000000001</v>
      </c>
      <c r="FF174" s="129">
        <v>38.029999999999745</v>
      </c>
      <c r="FG174" s="129">
        <v>39.583000000000538</v>
      </c>
      <c r="FH174" s="129" t="s">
        <v>160</v>
      </c>
      <c r="FI174" s="129" t="s">
        <v>160</v>
      </c>
      <c r="FJ174" s="129" t="s">
        <v>160</v>
      </c>
      <c r="FK174" s="129" t="s">
        <v>160</v>
      </c>
      <c r="FL174" s="129" t="s">
        <v>160</v>
      </c>
      <c r="FM174" s="129" t="s">
        <v>160</v>
      </c>
      <c r="FN174" s="151">
        <v>4.016235</v>
      </c>
      <c r="FO174" s="151">
        <v>0.28829700000000003</v>
      </c>
      <c r="FP174" s="151">
        <v>0.27946500000000007</v>
      </c>
      <c r="FQ174" s="178" t="s">
        <v>419</v>
      </c>
      <c r="FR174" s="129" t="s">
        <v>415</v>
      </c>
      <c r="FS174" s="129">
        <v>2017</v>
      </c>
      <c r="FT174" s="131" t="s">
        <v>416</v>
      </c>
    </row>
    <row r="175" spans="1:176" s="129" customFormat="1">
      <c r="A175" s="129" t="s">
        <v>152</v>
      </c>
      <c r="B175" s="166" t="s">
        <v>183</v>
      </c>
      <c r="C175" s="166">
        <v>2018</v>
      </c>
      <c r="D175" s="166" t="s">
        <v>184</v>
      </c>
      <c r="E175" s="145">
        <f t="shared" si="22"/>
        <v>1103.1600000000001</v>
      </c>
      <c r="F175" s="129">
        <f t="shared" si="23"/>
        <v>2</v>
      </c>
      <c r="G175" s="129">
        <f t="shared" si="23"/>
        <v>2</v>
      </c>
      <c r="H175" s="191">
        <v>286.05280000000005</v>
      </c>
      <c r="I175" s="191">
        <v>38.764299999999992</v>
      </c>
      <c r="J175" s="191">
        <v>33.812100000000044</v>
      </c>
      <c r="K175" s="129" t="s">
        <v>457</v>
      </c>
      <c r="L175" s="131" t="s">
        <v>185</v>
      </c>
      <c r="M175" s="132" t="s">
        <v>186</v>
      </c>
      <c r="N175" s="129" t="s">
        <v>184</v>
      </c>
      <c r="O175" s="129" t="s">
        <v>420</v>
      </c>
      <c r="P175" s="205" t="s">
        <v>438</v>
      </c>
      <c r="Q175" s="205">
        <v>5</v>
      </c>
      <c r="R175" s="205">
        <v>1</v>
      </c>
      <c r="S175" s="206">
        <v>17</v>
      </c>
      <c r="T175" s="206">
        <f t="shared" si="20"/>
        <v>19</v>
      </c>
      <c r="U175" s="207">
        <v>36.270000000000003</v>
      </c>
      <c r="V175" s="207">
        <v>36.270000000000003</v>
      </c>
      <c r="W175" s="129" t="s">
        <v>160</v>
      </c>
      <c r="X175" s="129" t="s">
        <v>421</v>
      </c>
      <c r="Y175" s="200">
        <v>12.74</v>
      </c>
      <c r="Z175" s="200">
        <v>-78.739999999999995</v>
      </c>
      <c r="AA175" s="129" t="s">
        <v>160</v>
      </c>
      <c r="AB175" s="129" t="s">
        <v>160</v>
      </c>
      <c r="AC175" s="129">
        <v>-2839</v>
      </c>
      <c r="AD175" s="129" t="s">
        <v>160</v>
      </c>
      <c r="AE175" s="129" t="s">
        <v>160</v>
      </c>
      <c r="AF175" s="129" t="s">
        <v>160</v>
      </c>
      <c r="AG175" s="129">
        <v>1103.1600000000001</v>
      </c>
      <c r="AH175" s="129" t="s">
        <v>163</v>
      </c>
      <c r="AI175" s="129">
        <v>2</v>
      </c>
      <c r="AJ175" s="129">
        <v>2</v>
      </c>
      <c r="AK175" s="129" t="s">
        <v>160</v>
      </c>
      <c r="AL175" s="129" t="s">
        <v>422</v>
      </c>
      <c r="AM175" s="129" t="s">
        <v>160</v>
      </c>
      <c r="AN175" s="129" t="s">
        <v>160</v>
      </c>
      <c r="AO175" s="129" t="s">
        <v>160</v>
      </c>
      <c r="AP175" s="129" t="s">
        <v>160</v>
      </c>
      <c r="AQ175" s="129" t="s">
        <v>160</v>
      </c>
      <c r="AR175" s="129" t="s">
        <v>160</v>
      </c>
      <c r="AS175" s="129" t="s">
        <v>160</v>
      </c>
      <c r="AT175" s="129" t="s">
        <v>160</v>
      </c>
      <c r="AU175" s="129" t="s">
        <v>423</v>
      </c>
      <c r="AV175" s="129" t="s">
        <v>161</v>
      </c>
      <c r="AW175" s="129" t="s">
        <v>424</v>
      </c>
      <c r="AX175" s="178">
        <v>2</v>
      </c>
      <c r="AY175" s="129" t="s">
        <v>194</v>
      </c>
      <c r="AZ175" s="129" t="s">
        <v>195</v>
      </c>
      <c r="BA175" s="129" t="s">
        <v>425</v>
      </c>
      <c r="BB175" s="129" t="s">
        <v>160</v>
      </c>
      <c r="BC175" s="178">
        <v>2</v>
      </c>
      <c r="BD175" s="129" t="s">
        <v>160</v>
      </c>
      <c r="BE175" s="151">
        <v>20.23</v>
      </c>
      <c r="BF175" s="129" t="s">
        <v>426</v>
      </c>
      <c r="BG175" s="151">
        <v>0.29217580599999998</v>
      </c>
      <c r="BH175" s="129">
        <v>0.64</v>
      </c>
      <c r="BI175" s="129" t="s">
        <v>427</v>
      </c>
      <c r="BJ175" s="129">
        <v>3.4000000000000002E-2</v>
      </c>
      <c r="BK175" s="129">
        <v>9.1</v>
      </c>
      <c r="BL175" s="129" t="s">
        <v>163</v>
      </c>
      <c r="BM175" s="129">
        <v>0.56000000000000005</v>
      </c>
      <c r="BN175" s="129" t="s">
        <v>428</v>
      </c>
      <c r="BO175" s="129" t="s">
        <v>429</v>
      </c>
      <c r="BP175" s="151">
        <f t="shared" si="24"/>
        <v>18.933333333333337</v>
      </c>
      <c r="BQ175" s="129" t="s">
        <v>202</v>
      </c>
      <c r="BR175" s="217"/>
      <c r="BS175" s="129" t="s">
        <v>160</v>
      </c>
      <c r="BT175" s="129" t="s">
        <v>160</v>
      </c>
      <c r="BU175" s="129">
        <v>10</v>
      </c>
      <c r="BV175" s="129" t="s">
        <v>159</v>
      </c>
      <c r="BW175" s="129">
        <v>10</v>
      </c>
      <c r="BX175" s="145">
        <v>24.6625114</v>
      </c>
      <c r="BY175" s="129" t="s">
        <v>159</v>
      </c>
      <c r="BZ175" s="129">
        <v>1</v>
      </c>
      <c r="CA175" s="129">
        <v>1</v>
      </c>
      <c r="CB175" s="129" t="s">
        <v>160</v>
      </c>
      <c r="CC175" s="151">
        <v>4.1463718663410507</v>
      </c>
      <c r="CD175" s="129" t="s">
        <v>430</v>
      </c>
      <c r="CE175" s="151">
        <f t="shared" si="21"/>
        <v>0.16585487465364204</v>
      </c>
      <c r="CF175" s="151">
        <v>0.16585487465364204</v>
      </c>
      <c r="CG175" s="178" t="s">
        <v>160</v>
      </c>
      <c r="CH175" s="129" t="s">
        <v>431</v>
      </c>
      <c r="CI175" s="129" t="s">
        <v>160</v>
      </c>
      <c r="CJ175" s="129" t="s">
        <v>432</v>
      </c>
      <c r="CK175" s="129" t="s">
        <v>158</v>
      </c>
      <c r="CL175" s="129" t="s">
        <v>158</v>
      </c>
      <c r="CM175" s="129" t="s">
        <v>158</v>
      </c>
      <c r="CN175" s="129" t="s">
        <v>160</v>
      </c>
      <c r="CO175" s="129" t="s">
        <v>160</v>
      </c>
      <c r="CP175" s="129" t="s">
        <v>160</v>
      </c>
      <c r="CQ175" s="129" t="s">
        <v>160</v>
      </c>
      <c r="CR175" s="129" t="s">
        <v>160</v>
      </c>
      <c r="CS175" s="129" t="s">
        <v>160</v>
      </c>
      <c r="CT175" s="129" t="s">
        <v>160</v>
      </c>
      <c r="CU175" s="129">
        <v>35</v>
      </c>
      <c r="CV175" s="129" t="s">
        <v>393</v>
      </c>
      <c r="CW175" s="146">
        <v>1</v>
      </c>
      <c r="CX175" s="129" t="s">
        <v>207</v>
      </c>
      <c r="CY175" s="129">
        <v>1.06E-2</v>
      </c>
      <c r="CZ175" s="129" t="s">
        <v>159</v>
      </c>
      <c r="DA175" s="146">
        <v>0</v>
      </c>
      <c r="DB175" s="129" t="s">
        <v>208</v>
      </c>
      <c r="DC175" s="129">
        <v>5.5100000000000003E-2</v>
      </c>
      <c r="DD175" s="129" t="s">
        <v>159</v>
      </c>
      <c r="DE175" s="146">
        <v>0</v>
      </c>
      <c r="DF175" s="129" t="s">
        <v>208</v>
      </c>
      <c r="DG175" s="129" t="s">
        <v>160</v>
      </c>
      <c r="DH175" s="129" t="s">
        <v>160</v>
      </c>
      <c r="DI175" s="129" t="s">
        <v>160</v>
      </c>
      <c r="DJ175" s="129" t="s">
        <v>160</v>
      </c>
      <c r="DK175" s="145">
        <v>432.56244218316402</v>
      </c>
      <c r="DL175" s="129" t="s">
        <v>433</v>
      </c>
      <c r="DM175" s="145" t="s">
        <v>160</v>
      </c>
      <c r="DN175" s="129" t="s">
        <v>434</v>
      </c>
      <c r="DO175" s="129">
        <v>39.612810000000003</v>
      </c>
      <c r="DP175" s="129" t="s">
        <v>160</v>
      </c>
      <c r="DQ175" s="129">
        <v>0.29574999999999818</v>
      </c>
      <c r="DR175" s="129" t="s">
        <v>435</v>
      </c>
      <c r="DS175" s="129" t="s">
        <v>212</v>
      </c>
      <c r="DT175" s="129" t="s">
        <v>213</v>
      </c>
      <c r="DU175" s="129">
        <v>1.0271999999999999</v>
      </c>
      <c r="DV175" s="129" t="s">
        <v>160</v>
      </c>
      <c r="DW175" s="129" t="s">
        <v>160</v>
      </c>
      <c r="DX175" s="129" t="s">
        <v>436</v>
      </c>
      <c r="DY175" s="129" t="s">
        <v>158</v>
      </c>
      <c r="DZ175" s="129" t="s">
        <v>158</v>
      </c>
      <c r="EA175" s="129" t="s">
        <v>216</v>
      </c>
      <c r="EB175" s="129" t="s">
        <v>212</v>
      </c>
      <c r="EC175" s="129" t="s">
        <v>212</v>
      </c>
      <c r="ED175" s="129" t="s">
        <v>212</v>
      </c>
      <c r="EE175" s="129" t="s">
        <v>217</v>
      </c>
      <c r="EF175" s="147" t="s">
        <v>213</v>
      </c>
      <c r="EG175" s="148" t="s">
        <v>213</v>
      </c>
      <c r="EH175" s="129" t="s">
        <v>218</v>
      </c>
      <c r="EI175" s="129" t="s">
        <v>417</v>
      </c>
      <c r="EJ175" s="129" t="s">
        <v>160</v>
      </c>
      <c r="EK175" s="129">
        <v>1977.52</v>
      </c>
      <c r="EL175" s="129" t="s">
        <v>163</v>
      </c>
      <c r="EM175" s="129">
        <v>18.507999999999978</v>
      </c>
      <c r="EN175" s="129">
        <v>18.488000000000099</v>
      </c>
      <c r="EO175" s="129" t="s">
        <v>160</v>
      </c>
      <c r="EP175" s="129" t="s">
        <v>160</v>
      </c>
      <c r="EQ175" s="129" t="s">
        <v>160</v>
      </c>
      <c r="ER175" s="129" t="s">
        <v>160</v>
      </c>
      <c r="ES175" s="201">
        <v>8.120241</v>
      </c>
      <c r="ET175" s="129" t="s">
        <v>165</v>
      </c>
      <c r="EU175" s="151">
        <v>4.3834999999999624E-2</v>
      </c>
      <c r="EV175" s="151">
        <v>4.47330000000008E-2</v>
      </c>
      <c r="EW175" s="142" t="s">
        <v>160</v>
      </c>
      <c r="EX175" s="129" t="s">
        <v>160</v>
      </c>
      <c r="EY175" s="129" t="s">
        <v>160</v>
      </c>
      <c r="EZ175" s="208">
        <v>286.05280000000005</v>
      </c>
      <c r="FA175" s="209">
        <v>38.764299999999992</v>
      </c>
      <c r="FB175" s="209">
        <v>33.812100000000044</v>
      </c>
      <c r="FC175" s="129" t="s">
        <v>220</v>
      </c>
      <c r="FD175" s="129" t="s">
        <v>221</v>
      </c>
      <c r="FE175" s="129">
        <v>2271.5499999999997</v>
      </c>
      <c r="FF175" s="129">
        <v>40.893000000000029</v>
      </c>
      <c r="FG175" s="129">
        <v>40.708000000000084</v>
      </c>
      <c r="FH175" s="129" t="s">
        <v>160</v>
      </c>
      <c r="FI175" s="129" t="s">
        <v>160</v>
      </c>
      <c r="FJ175" s="129" t="s">
        <v>160</v>
      </c>
      <c r="FK175" s="129" t="s">
        <v>160</v>
      </c>
      <c r="FL175" s="129" t="s">
        <v>160</v>
      </c>
      <c r="FM175" s="129" t="s">
        <v>160</v>
      </c>
      <c r="FN175" s="151">
        <v>3.9345720000000002</v>
      </c>
      <c r="FO175" s="151">
        <v>0.32549099999999953</v>
      </c>
      <c r="FP175" s="151">
        <v>0.30943100000000001</v>
      </c>
      <c r="FQ175" s="178" t="s">
        <v>419</v>
      </c>
      <c r="FR175" s="129" t="s">
        <v>415</v>
      </c>
      <c r="FS175" s="129">
        <v>2017</v>
      </c>
      <c r="FT175" s="131" t="s">
        <v>416</v>
      </c>
    </row>
    <row r="176" spans="1:176" s="129" customFormat="1">
      <c r="A176" s="129" t="s">
        <v>152</v>
      </c>
      <c r="B176" s="166" t="s">
        <v>183</v>
      </c>
      <c r="C176" s="166">
        <v>2018</v>
      </c>
      <c r="D176" s="166" t="s">
        <v>184</v>
      </c>
      <c r="E176" s="145">
        <f t="shared" si="22"/>
        <v>1106.2</v>
      </c>
      <c r="F176" s="129">
        <f t="shared" si="23"/>
        <v>2</v>
      </c>
      <c r="G176" s="129">
        <f t="shared" si="23"/>
        <v>2</v>
      </c>
      <c r="H176" s="191">
        <v>246.54759999999999</v>
      </c>
      <c r="I176" s="191">
        <v>27.484900000000039</v>
      </c>
      <c r="J176" s="191">
        <v>24.835899999999981</v>
      </c>
      <c r="K176" s="129" t="s">
        <v>457</v>
      </c>
      <c r="L176" s="131" t="s">
        <v>185</v>
      </c>
      <c r="M176" s="132" t="s">
        <v>186</v>
      </c>
      <c r="N176" s="129" t="s">
        <v>184</v>
      </c>
      <c r="O176" s="129" t="s">
        <v>420</v>
      </c>
      <c r="P176" s="205" t="s">
        <v>438</v>
      </c>
      <c r="Q176" s="205">
        <v>5</v>
      </c>
      <c r="R176" s="205">
        <v>1</v>
      </c>
      <c r="S176" s="206">
        <v>37.517309000000353</v>
      </c>
      <c r="T176" s="206">
        <f t="shared" si="20"/>
        <v>39.517309000000353</v>
      </c>
      <c r="U176" s="207">
        <v>36.474948410000003</v>
      </c>
      <c r="V176" s="207">
        <v>36.474948410000003</v>
      </c>
      <c r="W176" s="129" t="s">
        <v>160</v>
      </c>
      <c r="X176" s="129" t="s">
        <v>421</v>
      </c>
      <c r="Y176" s="200">
        <v>12.74</v>
      </c>
      <c r="Z176" s="200">
        <v>-78.739999999999995</v>
      </c>
      <c r="AA176" s="129" t="s">
        <v>160</v>
      </c>
      <c r="AB176" s="129" t="s">
        <v>160</v>
      </c>
      <c r="AC176" s="129">
        <v>-2839</v>
      </c>
      <c r="AD176" s="129" t="s">
        <v>160</v>
      </c>
      <c r="AE176" s="129" t="s">
        <v>160</v>
      </c>
      <c r="AF176" s="129" t="s">
        <v>160</v>
      </c>
      <c r="AG176" s="129">
        <v>1106.2</v>
      </c>
      <c r="AH176" s="129" t="s">
        <v>163</v>
      </c>
      <c r="AI176" s="129">
        <v>2</v>
      </c>
      <c r="AJ176" s="129">
        <v>2</v>
      </c>
      <c r="AK176" s="129" t="s">
        <v>160</v>
      </c>
      <c r="AL176" s="129" t="s">
        <v>422</v>
      </c>
      <c r="AM176" s="129" t="s">
        <v>160</v>
      </c>
      <c r="AN176" s="129" t="s">
        <v>160</v>
      </c>
      <c r="AO176" s="129" t="s">
        <v>160</v>
      </c>
      <c r="AP176" s="129" t="s">
        <v>160</v>
      </c>
      <c r="AQ176" s="129" t="s">
        <v>160</v>
      </c>
      <c r="AR176" s="129" t="s">
        <v>160</v>
      </c>
      <c r="AS176" s="129" t="s">
        <v>160</v>
      </c>
      <c r="AT176" s="129" t="s">
        <v>160</v>
      </c>
      <c r="AU176" s="129" t="s">
        <v>423</v>
      </c>
      <c r="AV176" s="129" t="s">
        <v>161</v>
      </c>
      <c r="AW176" s="129" t="s">
        <v>424</v>
      </c>
      <c r="AX176" s="178">
        <v>2</v>
      </c>
      <c r="AY176" s="129" t="s">
        <v>194</v>
      </c>
      <c r="AZ176" s="129" t="s">
        <v>195</v>
      </c>
      <c r="BA176" s="129" t="s">
        <v>425</v>
      </c>
      <c r="BB176" s="129" t="s">
        <v>160</v>
      </c>
      <c r="BC176" s="178">
        <v>2</v>
      </c>
      <c r="BD176" s="129" t="s">
        <v>160</v>
      </c>
      <c r="BE176" s="151">
        <v>20.74592762</v>
      </c>
      <c r="BF176" s="129" t="s">
        <v>426</v>
      </c>
      <c r="BG176" s="151">
        <v>0.149970348</v>
      </c>
      <c r="BH176" s="129">
        <v>0.64</v>
      </c>
      <c r="BI176" s="129" t="s">
        <v>427</v>
      </c>
      <c r="BJ176" s="129">
        <v>3.4000000000000002E-2</v>
      </c>
      <c r="BK176" s="129">
        <v>9.1</v>
      </c>
      <c r="BL176" s="129" t="s">
        <v>163</v>
      </c>
      <c r="BM176" s="129">
        <v>0.56000000000000005</v>
      </c>
      <c r="BN176" s="129" t="s">
        <v>428</v>
      </c>
      <c r="BO176" s="129" t="s">
        <v>429</v>
      </c>
      <c r="BP176" s="151">
        <f t="shared" si="24"/>
        <v>19.793212700000002</v>
      </c>
      <c r="BQ176" s="129" t="s">
        <v>202</v>
      </c>
      <c r="BR176" s="217"/>
      <c r="BS176" s="129" t="s">
        <v>160</v>
      </c>
      <c r="BT176" s="129" t="s">
        <v>160</v>
      </c>
      <c r="BU176" s="129">
        <v>10</v>
      </c>
      <c r="BV176" s="129" t="s">
        <v>159</v>
      </c>
      <c r="BW176" s="129">
        <v>10</v>
      </c>
      <c r="BX176" s="145">
        <v>26.442725530000001</v>
      </c>
      <c r="BY176" s="129" t="s">
        <v>159</v>
      </c>
      <c r="BZ176" s="129">
        <v>1</v>
      </c>
      <c r="CA176" s="129">
        <v>1</v>
      </c>
      <c r="CB176" s="129" t="s">
        <v>160</v>
      </c>
      <c r="CC176" s="151">
        <v>3.88554821414494</v>
      </c>
      <c r="CD176" s="129" t="s">
        <v>430</v>
      </c>
      <c r="CE176" s="151">
        <f t="shared" si="21"/>
        <v>0.15542192856579759</v>
      </c>
      <c r="CF176" s="151">
        <v>0.15542192856579759</v>
      </c>
      <c r="CG176" s="178" t="s">
        <v>160</v>
      </c>
      <c r="CH176" s="129" t="s">
        <v>431</v>
      </c>
      <c r="CI176" s="129" t="s">
        <v>160</v>
      </c>
      <c r="CJ176" s="129" t="s">
        <v>432</v>
      </c>
      <c r="CK176" s="129" t="s">
        <v>158</v>
      </c>
      <c r="CL176" s="129" t="s">
        <v>158</v>
      </c>
      <c r="CM176" s="129" t="s">
        <v>158</v>
      </c>
      <c r="CN176" s="129" t="s">
        <v>160</v>
      </c>
      <c r="CO176" s="129" t="s">
        <v>160</v>
      </c>
      <c r="CP176" s="129" t="s">
        <v>160</v>
      </c>
      <c r="CQ176" s="129" t="s">
        <v>160</v>
      </c>
      <c r="CR176" s="129" t="s">
        <v>160</v>
      </c>
      <c r="CS176" s="129" t="s">
        <v>160</v>
      </c>
      <c r="CT176" s="129" t="s">
        <v>160</v>
      </c>
      <c r="CU176" s="129">
        <v>35</v>
      </c>
      <c r="CV176" s="129" t="s">
        <v>393</v>
      </c>
      <c r="CW176" s="146">
        <v>1</v>
      </c>
      <c r="CX176" s="129" t="s">
        <v>207</v>
      </c>
      <c r="CY176" s="129">
        <v>1.06E-2</v>
      </c>
      <c r="CZ176" s="129" t="s">
        <v>159</v>
      </c>
      <c r="DA176" s="146">
        <v>0</v>
      </c>
      <c r="DB176" s="129" t="s">
        <v>208</v>
      </c>
      <c r="DC176" s="129">
        <v>5.5100000000000003E-2</v>
      </c>
      <c r="DD176" s="129" t="s">
        <v>159</v>
      </c>
      <c r="DE176" s="146">
        <v>0</v>
      </c>
      <c r="DF176" s="129" t="s">
        <v>208</v>
      </c>
      <c r="DG176" s="129" t="s">
        <v>160</v>
      </c>
      <c r="DH176" s="129" t="s">
        <v>160</v>
      </c>
      <c r="DI176" s="129" t="s">
        <v>160</v>
      </c>
      <c r="DJ176" s="129" t="s">
        <v>160</v>
      </c>
      <c r="DK176" s="145">
        <v>432.56244218316402</v>
      </c>
      <c r="DL176" s="129" t="s">
        <v>433</v>
      </c>
      <c r="DM176" s="145" t="s">
        <v>160</v>
      </c>
      <c r="DN176" s="129" t="s">
        <v>434</v>
      </c>
      <c r="DO176" s="129">
        <v>39.612050000000004</v>
      </c>
      <c r="DP176" s="129" t="s">
        <v>160</v>
      </c>
      <c r="DQ176" s="129">
        <v>0.30381999999999465</v>
      </c>
      <c r="DR176" s="129" t="s">
        <v>435</v>
      </c>
      <c r="DS176" s="129" t="s">
        <v>212</v>
      </c>
      <c r="DT176" s="129" t="s">
        <v>213</v>
      </c>
      <c r="DU176" s="129">
        <v>1.0271999999999999</v>
      </c>
      <c r="DV176" s="129" t="s">
        <v>160</v>
      </c>
      <c r="DW176" s="129" t="s">
        <v>160</v>
      </c>
      <c r="DX176" s="129" t="s">
        <v>436</v>
      </c>
      <c r="DY176" s="129" t="s">
        <v>158</v>
      </c>
      <c r="DZ176" s="129" t="s">
        <v>158</v>
      </c>
      <c r="EA176" s="129" t="s">
        <v>216</v>
      </c>
      <c r="EB176" s="129" t="s">
        <v>212</v>
      </c>
      <c r="EC176" s="129" t="s">
        <v>212</v>
      </c>
      <c r="ED176" s="129" t="s">
        <v>212</v>
      </c>
      <c r="EE176" s="129" t="s">
        <v>217</v>
      </c>
      <c r="EF176" s="147" t="s">
        <v>213</v>
      </c>
      <c r="EG176" s="148" t="s">
        <v>213</v>
      </c>
      <c r="EH176" s="129" t="s">
        <v>218</v>
      </c>
      <c r="EI176" s="129" t="s">
        <v>417</v>
      </c>
      <c r="EJ176" s="129" t="s">
        <v>160</v>
      </c>
      <c r="EK176" s="129">
        <v>1977.5940000000001</v>
      </c>
      <c r="EL176" s="129" t="s">
        <v>163</v>
      </c>
      <c r="EM176" s="129">
        <v>18.82100000000003</v>
      </c>
      <c r="EN176" s="129">
        <v>19.346999999999856</v>
      </c>
      <c r="EO176" s="129" t="s">
        <v>160</v>
      </c>
      <c r="EP176" s="129" t="s">
        <v>160</v>
      </c>
      <c r="EQ176" s="129" t="s">
        <v>160</v>
      </c>
      <c r="ER176" s="129" t="s">
        <v>160</v>
      </c>
      <c r="ES176" s="201">
        <v>8.1718340000000005</v>
      </c>
      <c r="ET176" s="129" t="s">
        <v>165</v>
      </c>
      <c r="EU176" s="151">
        <v>3.6396999999999124E-2</v>
      </c>
      <c r="EV176" s="151">
        <v>3.6870999999999654E-2</v>
      </c>
      <c r="EW176" s="142" t="s">
        <v>160</v>
      </c>
      <c r="EX176" s="129" t="s">
        <v>160</v>
      </c>
      <c r="EY176" s="129" t="s">
        <v>160</v>
      </c>
      <c r="EZ176" s="208">
        <v>246.54759999999999</v>
      </c>
      <c r="FA176" s="209">
        <v>27.484900000000039</v>
      </c>
      <c r="FB176" s="209">
        <v>24.835899999999981</v>
      </c>
      <c r="FC176" s="129" t="s">
        <v>220</v>
      </c>
      <c r="FD176" s="129" t="s">
        <v>221</v>
      </c>
      <c r="FE176" s="129">
        <v>2328.681</v>
      </c>
      <c r="FF176" s="129">
        <v>39.854000000000269</v>
      </c>
      <c r="FG176" s="129">
        <v>38.22400000000016</v>
      </c>
      <c r="FH176" s="129" t="s">
        <v>160</v>
      </c>
      <c r="FI176" s="129" t="s">
        <v>160</v>
      </c>
      <c r="FJ176" s="129" t="s">
        <v>160</v>
      </c>
      <c r="FK176" s="129" t="s">
        <v>160</v>
      </c>
      <c r="FL176" s="129" t="s">
        <v>160</v>
      </c>
      <c r="FM176" s="129" t="s">
        <v>160</v>
      </c>
      <c r="FN176" s="151">
        <v>4.6517280000000003</v>
      </c>
      <c r="FO176" s="151">
        <v>0.28676600000000008</v>
      </c>
      <c r="FP176" s="151">
        <v>0.27566300000000066</v>
      </c>
      <c r="FQ176" s="178" t="s">
        <v>419</v>
      </c>
      <c r="FR176" s="129" t="s">
        <v>415</v>
      </c>
      <c r="FS176" s="129">
        <v>2017</v>
      </c>
      <c r="FT176" s="131" t="s">
        <v>416</v>
      </c>
    </row>
    <row r="177" spans="1:176" s="129" customFormat="1">
      <c r="A177" s="129" t="s">
        <v>152</v>
      </c>
      <c r="B177" s="166" t="s">
        <v>183</v>
      </c>
      <c r="C177" s="166">
        <v>2018</v>
      </c>
      <c r="D177" s="166" t="s">
        <v>184</v>
      </c>
      <c r="E177" s="145">
        <f t="shared" si="22"/>
        <v>1107.82</v>
      </c>
      <c r="F177" s="129">
        <f t="shared" si="23"/>
        <v>2</v>
      </c>
      <c r="G177" s="129">
        <f t="shared" si="23"/>
        <v>2</v>
      </c>
      <c r="H177" s="191">
        <v>262.51069999999999</v>
      </c>
      <c r="I177" s="191">
        <v>31.080100000000016</v>
      </c>
      <c r="J177" s="191">
        <v>27.719699999999989</v>
      </c>
      <c r="K177" s="129" t="s">
        <v>457</v>
      </c>
      <c r="L177" s="131" t="s">
        <v>185</v>
      </c>
      <c r="M177" s="132" t="s">
        <v>186</v>
      </c>
      <c r="N177" s="129" t="s">
        <v>184</v>
      </c>
      <c r="O177" s="129" t="s">
        <v>420</v>
      </c>
      <c r="P177" s="205" t="s">
        <v>438</v>
      </c>
      <c r="Q177" s="205">
        <v>5</v>
      </c>
      <c r="R177" s="205">
        <v>1</v>
      </c>
      <c r="S177" s="206">
        <v>48.399195000000304</v>
      </c>
      <c r="T177" s="206">
        <f t="shared" si="20"/>
        <v>50.399195000000304</v>
      </c>
      <c r="U177" s="207">
        <v>36.583767270000003</v>
      </c>
      <c r="V177" s="207">
        <v>36.583767270000003</v>
      </c>
      <c r="W177" s="129" t="s">
        <v>160</v>
      </c>
      <c r="X177" s="129" t="s">
        <v>421</v>
      </c>
      <c r="Y177" s="200">
        <v>12.74</v>
      </c>
      <c r="Z177" s="200">
        <v>-78.739999999999995</v>
      </c>
      <c r="AA177" s="129" t="s">
        <v>160</v>
      </c>
      <c r="AB177" s="129" t="s">
        <v>160</v>
      </c>
      <c r="AC177" s="129">
        <v>-2839</v>
      </c>
      <c r="AD177" s="129" t="s">
        <v>160</v>
      </c>
      <c r="AE177" s="129" t="s">
        <v>160</v>
      </c>
      <c r="AF177" s="129" t="s">
        <v>160</v>
      </c>
      <c r="AG177" s="129">
        <v>1107.82</v>
      </c>
      <c r="AH177" s="129" t="s">
        <v>163</v>
      </c>
      <c r="AI177" s="129">
        <v>2</v>
      </c>
      <c r="AJ177" s="129">
        <v>2</v>
      </c>
      <c r="AK177" s="129" t="s">
        <v>160</v>
      </c>
      <c r="AL177" s="129" t="s">
        <v>422</v>
      </c>
      <c r="AM177" s="129" t="s">
        <v>160</v>
      </c>
      <c r="AN177" s="129" t="s">
        <v>160</v>
      </c>
      <c r="AO177" s="129" t="s">
        <v>160</v>
      </c>
      <c r="AP177" s="129" t="s">
        <v>160</v>
      </c>
      <c r="AQ177" s="129" t="s">
        <v>160</v>
      </c>
      <c r="AR177" s="129" t="s">
        <v>160</v>
      </c>
      <c r="AS177" s="129" t="s">
        <v>160</v>
      </c>
      <c r="AT177" s="129" t="s">
        <v>160</v>
      </c>
      <c r="AU177" s="129" t="s">
        <v>423</v>
      </c>
      <c r="AV177" s="129" t="s">
        <v>161</v>
      </c>
      <c r="AW177" s="129" t="s">
        <v>424</v>
      </c>
      <c r="AX177" s="178">
        <v>2</v>
      </c>
      <c r="AY177" s="129" t="s">
        <v>194</v>
      </c>
      <c r="AZ177" s="129" t="s">
        <v>195</v>
      </c>
      <c r="BA177" s="129" t="s">
        <v>425</v>
      </c>
      <c r="BB177" s="129" t="s">
        <v>160</v>
      </c>
      <c r="BC177" s="178">
        <v>2</v>
      </c>
      <c r="BD177" s="129" t="s">
        <v>160</v>
      </c>
      <c r="BE177" s="151">
        <v>20.51</v>
      </c>
      <c r="BF177" s="129" t="s">
        <v>426</v>
      </c>
      <c r="BG177" s="151">
        <v>0.20036323</v>
      </c>
      <c r="BH177" s="129">
        <v>0.64</v>
      </c>
      <c r="BI177" s="129" t="s">
        <v>427</v>
      </c>
      <c r="BJ177" s="129">
        <v>3.4000000000000002E-2</v>
      </c>
      <c r="BK177" s="129">
        <v>9.1</v>
      </c>
      <c r="BL177" s="129" t="s">
        <v>163</v>
      </c>
      <c r="BM177" s="129">
        <v>0.56000000000000005</v>
      </c>
      <c r="BN177" s="129" t="s">
        <v>428</v>
      </c>
      <c r="BO177" s="129" t="s">
        <v>429</v>
      </c>
      <c r="BP177" s="151">
        <f t="shared" si="24"/>
        <v>19.400000000000006</v>
      </c>
      <c r="BQ177" s="129" t="s">
        <v>202</v>
      </c>
      <c r="BR177" s="217"/>
      <c r="BS177" s="129" t="s">
        <v>160</v>
      </c>
      <c r="BT177" s="129" t="s">
        <v>160</v>
      </c>
      <c r="BU177" s="129">
        <v>10</v>
      </c>
      <c r="BV177" s="129" t="s">
        <v>159</v>
      </c>
      <c r="BW177" s="129">
        <v>10</v>
      </c>
      <c r="BX177" s="145">
        <v>25.506174690000002</v>
      </c>
      <c r="BY177" s="129" t="s">
        <v>159</v>
      </c>
      <c r="BZ177" s="129">
        <v>1</v>
      </c>
      <c r="CA177" s="129">
        <v>1</v>
      </c>
      <c r="CB177" s="129" t="s">
        <v>160</v>
      </c>
      <c r="CC177" s="151">
        <v>3.5714601200971803</v>
      </c>
      <c r="CD177" s="129" t="s">
        <v>430</v>
      </c>
      <c r="CE177" s="151">
        <f t="shared" si="21"/>
        <v>0.1428584048038872</v>
      </c>
      <c r="CF177" s="151">
        <v>0.1428584048038872</v>
      </c>
      <c r="CG177" s="178" t="s">
        <v>160</v>
      </c>
      <c r="CH177" s="129" t="s">
        <v>431</v>
      </c>
      <c r="CI177" s="129" t="s">
        <v>160</v>
      </c>
      <c r="CJ177" s="129" t="s">
        <v>432</v>
      </c>
      <c r="CK177" s="129" t="s">
        <v>158</v>
      </c>
      <c r="CL177" s="129" t="s">
        <v>158</v>
      </c>
      <c r="CM177" s="129" t="s">
        <v>158</v>
      </c>
      <c r="CN177" s="129" t="s">
        <v>160</v>
      </c>
      <c r="CO177" s="129" t="s">
        <v>160</v>
      </c>
      <c r="CP177" s="129" t="s">
        <v>160</v>
      </c>
      <c r="CQ177" s="129" t="s">
        <v>160</v>
      </c>
      <c r="CR177" s="129" t="s">
        <v>160</v>
      </c>
      <c r="CS177" s="129" t="s">
        <v>160</v>
      </c>
      <c r="CT177" s="129" t="s">
        <v>160</v>
      </c>
      <c r="CU177" s="129">
        <v>35</v>
      </c>
      <c r="CV177" s="129" t="s">
        <v>393</v>
      </c>
      <c r="CW177" s="146">
        <v>1</v>
      </c>
      <c r="CX177" s="129" t="s">
        <v>207</v>
      </c>
      <c r="CY177" s="129">
        <v>1.06E-2</v>
      </c>
      <c r="CZ177" s="129" t="s">
        <v>159</v>
      </c>
      <c r="DA177" s="146">
        <v>0</v>
      </c>
      <c r="DB177" s="129" t="s">
        <v>208</v>
      </c>
      <c r="DC177" s="129">
        <v>5.5100000000000003E-2</v>
      </c>
      <c r="DD177" s="129" t="s">
        <v>159</v>
      </c>
      <c r="DE177" s="146">
        <v>0</v>
      </c>
      <c r="DF177" s="129" t="s">
        <v>208</v>
      </c>
      <c r="DG177" s="129" t="s">
        <v>160</v>
      </c>
      <c r="DH177" s="129" t="s">
        <v>160</v>
      </c>
      <c r="DI177" s="129" t="s">
        <v>160</v>
      </c>
      <c r="DJ177" s="129" t="s">
        <v>160</v>
      </c>
      <c r="DK177" s="145">
        <v>432.56244218316402</v>
      </c>
      <c r="DL177" s="129" t="s">
        <v>433</v>
      </c>
      <c r="DM177" s="145" t="s">
        <v>160</v>
      </c>
      <c r="DN177" s="129" t="s">
        <v>434</v>
      </c>
      <c r="DO177" s="129">
        <v>39.613300000000002</v>
      </c>
      <c r="DP177" s="129" t="s">
        <v>160</v>
      </c>
      <c r="DQ177" s="129">
        <v>0.29816999999999894</v>
      </c>
      <c r="DR177" s="129" t="s">
        <v>435</v>
      </c>
      <c r="DS177" s="129" t="s">
        <v>212</v>
      </c>
      <c r="DT177" s="129" t="s">
        <v>213</v>
      </c>
      <c r="DU177" s="129">
        <v>1.0271999999999999</v>
      </c>
      <c r="DV177" s="129" t="s">
        <v>160</v>
      </c>
      <c r="DW177" s="129" t="s">
        <v>160</v>
      </c>
      <c r="DX177" s="129" t="s">
        <v>436</v>
      </c>
      <c r="DY177" s="129" t="s">
        <v>158</v>
      </c>
      <c r="DZ177" s="129" t="s">
        <v>158</v>
      </c>
      <c r="EA177" s="129" t="s">
        <v>216</v>
      </c>
      <c r="EB177" s="129" t="s">
        <v>212</v>
      </c>
      <c r="EC177" s="129" t="s">
        <v>212</v>
      </c>
      <c r="ED177" s="129" t="s">
        <v>212</v>
      </c>
      <c r="EE177" s="129" t="s">
        <v>217</v>
      </c>
      <c r="EF177" s="147" t="s">
        <v>213</v>
      </c>
      <c r="EG177" s="148" t="s">
        <v>213</v>
      </c>
      <c r="EH177" s="129" t="s">
        <v>218</v>
      </c>
      <c r="EI177" s="129" t="s">
        <v>417</v>
      </c>
      <c r="EJ177" s="129" t="s">
        <v>160</v>
      </c>
      <c r="EK177" s="129">
        <v>1977.5119999999999</v>
      </c>
      <c r="EL177" s="129" t="s">
        <v>163</v>
      </c>
      <c r="EM177" s="129">
        <v>19.188000000000279</v>
      </c>
      <c r="EN177" s="129">
        <v>18.903999999999709</v>
      </c>
      <c r="EO177" s="129" t="s">
        <v>160</v>
      </c>
      <c r="EP177" s="129" t="s">
        <v>160</v>
      </c>
      <c r="EQ177" s="129" t="s">
        <v>160</v>
      </c>
      <c r="ER177" s="129" t="s">
        <v>160</v>
      </c>
      <c r="ES177" s="201">
        <v>8.1503800000000002</v>
      </c>
      <c r="ET177" s="129" t="s">
        <v>165</v>
      </c>
      <c r="EU177" s="151">
        <v>3.8593000000000544E-2</v>
      </c>
      <c r="EV177" s="151">
        <v>3.8788999999999518E-2</v>
      </c>
      <c r="EW177" s="142" t="s">
        <v>160</v>
      </c>
      <c r="EX177" s="129" t="s">
        <v>160</v>
      </c>
      <c r="EY177" s="129" t="s">
        <v>160</v>
      </c>
      <c r="EZ177" s="208">
        <v>262.51069999999999</v>
      </c>
      <c r="FA177" s="209">
        <v>31.080100000000016</v>
      </c>
      <c r="FB177" s="209">
        <v>27.719699999999989</v>
      </c>
      <c r="FC177" s="129" t="s">
        <v>220</v>
      </c>
      <c r="FD177" s="129" t="s">
        <v>221</v>
      </c>
      <c r="FE177" s="129">
        <v>2302.4069999999997</v>
      </c>
      <c r="FF177" s="129">
        <v>39.812000000000353</v>
      </c>
      <c r="FG177" s="129">
        <v>39.395999999999731</v>
      </c>
      <c r="FH177" s="129" t="s">
        <v>160</v>
      </c>
      <c r="FI177" s="129" t="s">
        <v>160</v>
      </c>
      <c r="FJ177" s="129" t="s">
        <v>160</v>
      </c>
      <c r="FK177" s="129" t="s">
        <v>160</v>
      </c>
      <c r="FL177" s="129" t="s">
        <v>160</v>
      </c>
      <c r="FM177" s="129" t="s">
        <v>160</v>
      </c>
      <c r="FN177" s="151">
        <v>4.3138750000000003</v>
      </c>
      <c r="FO177" s="151">
        <v>0.2893409999999994</v>
      </c>
      <c r="FP177" s="151">
        <v>0.28698000000000068</v>
      </c>
      <c r="FQ177" s="178" t="s">
        <v>419</v>
      </c>
      <c r="FR177" s="129" t="s">
        <v>415</v>
      </c>
      <c r="FS177" s="129">
        <v>2017</v>
      </c>
      <c r="FT177" s="131" t="s">
        <v>416</v>
      </c>
    </row>
    <row r="178" spans="1:176" s="129" customFormat="1">
      <c r="A178" s="129" t="s">
        <v>152</v>
      </c>
      <c r="B178" s="166" t="s">
        <v>183</v>
      </c>
      <c r="C178" s="166">
        <v>2018</v>
      </c>
      <c r="D178" s="166" t="s">
        <v>184</v>
      </c>
      <c r="E178" s="145">
        <f t="shared" si="22"/>
        <v>1110.3</v>
      </c>
      <c r="F178" s="129">
        <f t="shared" si="23"/>
        <v>2</v>
      </c>
      <c r="G178" s="129">
        <f t="shared" si="23"/>
        <v>2</v>
      </c>
      <c r="H178" s="191">
        <v>284.02249999999998</v>
      </c>
      <c r="I178" s="191">
        <v>33.261300000000062</v>
      </c>
      <c r="J178" s="191">
        <v>30.194899999999961</v>
      </c>
      <c r="K178" s="129" t="s">
        <v>457</v>
      </c>
      <c r="L178" s="131" t="s">
        <v>185</v>
      </c>
      <c r="M178" s="132" t="s">
        <v>186</v>
      </c>
      <c r="N178" s="129" t="s">
        <v>184</v>
      </c>
      <c r="O178" s="129" t="s">
        <v>420</v>
      </c>
      <c r="P178" s="205" t="s">
        <v>438</v>
      </c>
      <c r="Q178" s="205">
        <v>5</v>
      </c>
      <c r="R178" s="205">
        <v>1</v>
      </c>
      <c r="S178" s="206">
        <v>59.281265999999931</v>
      </c>
      <c r="T178" s="206">
        <f t="shared" si="20"/>
        <v>61.281265999999931</v>
      </c>
      <c r="U178" s="207">
        <v>36.692587979999999</v>
      </c>
      <c r="V178" s="207">
        <v>36.692587979999999</v>
      </c>
      <c r="W178" s="129" t="s">
        <v>160</v>
      </c>
      <c r="X178" s="129" t="s">
        <v>421</v>
      </c>
      <c r="Y178" s="200">
        <v>12.74</v>
      </c>
      <c r="Z178" s="200">
        <v>-78.739999999999995</v>
      </c>
      <c r="AA178" s="129" t="s">
        <v>160</v>
      </c>
      <c r="AB178" s="129" t="s">
        <v>160</v>
      </c>
      <c r="AC178" s="129">
        <v>-2839</v>
      </c>
      <c r="AD178" s="129" t="s">
        <v>160</v>
      </c>
      <c r="AE178" s="129" t="s">
        <v>160</v>
      </c>
      <c r="AF178" s="129" t="s">
        <v>160</v>
      </c>
      <c r="AG178" s="129">
        <v>1110.3</v>
      </c>
      <c r="AH178" s="129" t="s">
        <v>163</v>
      </c>
      <c r="AI178" s="129">
        <v>2</v>
      </c>
      <c r="AJ178" s="129">
        <v>2</v>
      </c>
      <c r="AK178" s="129" t="s">
        <v>160</v>
      </c>
      <c r="AL178" s="129" t="s">
        <v>422</v>
      </c>
      <c r="AM178" s="129" t="s">
        <v>160</v>
      </c>
      <c r="AN178" s="129" t="s">
        <v>160</v>
      </c>
      <c r="AO178" s="129" t="s">
        <v>160</v>
      </c>
      <c r="AP178" s="129" t="s">
        <v>160</v>
      </c>
      <c r="AQ178" s="129" t="s">
        <v>160</v>
      </c>
      <c r="AR178" s="129" t="s">
        <v>160</v>
      </c>
      <c r="AS178" s="129" t="s">
        <v>160</v>
      </c>
      <c r="AT178" s="129" t="s">
        <v>160</v>
      </c>
      <c r="AU178" s="129" t="s">
        <v>423</v>
      </c>
      <c r="AV178" s="129" t="s">
        <v>161</v>
      </c>
      <c r="AW178" s="129" t="s">
        <v>424</v>
      </c>
      <c r="AX178" s="178">
        <v>2</v>
      </c>
      <c r="AY178" s="129" t="s">
        <v>194</v>
      </c>
      <c r="AZ178" s="129" t="s">
        <v>195</v>
      </c>
      <c r="BA178" s="129" t="s">
        <v>425</v>
      </c>
      <c r="BB178" s="129" t="s">
        <v>160</v>
      </c>
      <c r="BC178" s="178">
        <v>2</v>
      </c>
      <c r="BD178" s="129" t="s">
        <v>160</v>
      </c>
      <c r="BE178" s="151">
        <v>20.420000000000002</v>
      </c>
      <c r="BF178" s="129" t="s">
        <v>426</v>
      </c>
      <c r="BG178" s="151">
        <v>0.18522651200000001</v>
      </c>
      <c r="BH178" s="129">
        <v>0.64</v>
      </c>
      <c r="BI178" s="129" t="s">
        <v>427</v>
      </c>
      <c r="BJ178" s="129">
        <v>3.4000000000000002E-2</v>
      </c>
      <c r="BK178" s="129">
        <v>9.1</v>
      </c>
      <c r="BL178" s="129" t="s">
        <v>163</v>
      </c>
      <c r="BM178" s="129">
        <v>0.56000000000000005</v>
      </c>
      <c r="BN178" s="129" t="s">
        <v>428</v>
      </c>
      <c r="BO178" s="129" t="s">
        <v>429</v>
      </c>
      <c r="BP178" s="151">
        <f t="shared" si="24"/>
        <v>19.250000000000004</v>
      </c>
      <c r="BQ178" s="129" t="s">
        <v>202</v>
      </c>
      <c r="BR178" s="217"/>
      <c r="BS178" s="129" t="s">
        <v>160</v>
      </c>
      <c r="BT178" s="129" t="s">
        <v>160</v>
      </c>
      <c r="BU178" s="129">
        <v>10</v>
      </c>
      <c r="BV178" s="129" t="s">
        <v>159</v>
      </c>
      <c r="BW178" s="129">
        <v>10</v>
      </c>
      <c r="BX178" s="145">
        <v>26.708559040000001</v>
      </c>
      <c r="BY178" s="129" t="s">
        <v>159</v>
      </c>
      <c r="BZ178" s="129">
        <v>1</v>
      </c>
      <c r="CA178" s="129">
        <v>1</v>
      </c>
      <c r="CB178" s="129" t="s">
        <v>160</v>
      </c>
      <c r="CC178" s="151">
        <v>3.9792700684600364</v>
      </c>
      <c r="CD178" s="129" t="s">
        <v>430</v>
      </c>
      <c r="CE178" s="151">
        <f t="shared" si="21"/>
        <v>0.15917080273840145</v>
      </c>
      <c r="CF178" s="151">
        <v>0.15917080273840145</v>
      </c>
      <c r="CG178" s="178" t="s">
        <v>160</v>
      </c>
      <c r="CH178" s="129" t="s">
        <v>431</v>
      </c>
      <c r="CI178" s="129" t="s">
        <v>160</v>
      </c>
      <c r="CJ178" s="129" t="s">
        <v>432</v>
      </c>
      <c r="CK178" s="129" t="s">
        <v>158</v>
      </c>
      <c r="CL178" s="129" t="s">
        <v>158</v>
      </c>
      <c r="CM178" s="129" t="s">
        <v>158</v>
      </c>
      <c r="CN178" s="129" t="s">
        <v>160</v>
      </c>
      <c r="CO178" s="129" t="s">
        <v>160</v>
      </c>
      <c r="CP178" s="129" t="s">
        <v>160</v>
      </c>
      <c r="CQ178" s="129" t="s">
        <v>160</v>
      </c>
      <c r="CR178" s="129" t="s">
        <v>160</v>
      </c>
      <c r="CS178" s="129" t="s">
        <v>160</v>
      </c>
      <c r="CT178" s="129" t="s">
        <v>160</v>
      </c>
      <c r="CU178" s="129">
        <v>35</v>
      </c>
      <c r="CV178" s="129" t="s">
        <v>393</v>
      </c>
      <c r="CW178" s="146">
        <v>1</v>
      </c>
      <c r="CX178" s="129" t="s">
        <v>207</v>
      </c>
      <c r="CY178" s="129">
        <v>1.06E-2</v>
      </c>
      <c r="CZ178" s="129" t="s">
        <v>159</v>
      </c>
      <c r="DA178" s="146">
        <v>0</v>
      </c>
      <c r="DB178" s="129" t="s">
        <v>208</v>
      </c>
      <c r="DC178" s="129">
        <v>5.5100000000000003E-2</v>
      </c>
      <c r="DD178" s="129" t="s">
        <v>159</v>
      </c>
      <c r="DE178" s="146">
        <v>0</v>
      </c>
      <c r="DF178" s="129" t="s">
        <v>208</v>
      </c>
      <c r="DG178" s="129" t="s">
        <v>160</v>
      </c>
      <c r="DH178" s="129" t="s">
        <v>160</v>
      </c>
      <c r="DI178" s="129" t="s">
        <v>160</v>
      </c>
      <c r="DJ178" s="129" t="s">
        <v>160</v>
      </c>
      <c r="DK178" s="145">
        <v>432.56244218316402</v>
      </c>
      <c r="DL178" s="129" t="s">
        <v>433</v>
      </c>
      <c r="DM178" s="145" t="s">
        <v>160</v>
      </c>
      <c r="DN178" s="129" t="s">
        <v>434</v>
      </c>
      <c r="DO178" s="129">
        <v>39.610439999999997</v>
      </c>
      <c r="DP178" s="129" t="s">
        <v>160</v>
      </c>
      <c r="DQ178" s="129">
        <v>0.2996000000000052</v>
      </c>
      <c r="DR178" s="129" t="s">
        <v>435</v>
      </c>
      <c r="DS178" s="129" t="s">
        <v>212</v>
      </c>
      <c r="DT178" s="129" t="s">
        <v>213</v>
      </c>
      <c r="DU178" s="129">
        <v>1.0271999999999999</v>
      </c>
      <c r="DV178" s="129" t="s">
        <v>160</v>
      </c>
      <c r="DW178" s="129" t="s">
        <v>160</v>
      </c>
      <c r="DX178" s="129" t="s">
        <v>436</v>
      </c>
      <c r="DY178" s="129" t="s">
        <v>158</v>
      </c>
      <c r="DZ178" s="129" t="s">
        <v>158</v>
      </c>
      <c r="EA178" s="129" t="s">
        <v>216</v>
      </c>
      <c r="EB178" s="129" t="s">
        <v>212</v>
      </c>
      <c r="EC178" s="129" t="s">
        <v>212</v>
      </c>
      <c r="ED178" s="129" t="s">
        <v>212</v>
      </c>
      <c r="EE178" s="129" t="s">
        <v>217</v>
      </c>
      <c r="EF178" s="147" t="s">
        <v>213</v>
      </c>
      <c r="EG178" s="148" t="s">
        <v>213</v>
      </c>
      <c r="EH178" s="129" t="s">
        <v>218</v>
      </c>
      <c r="EI178" s="129" t="s">
        <v>417</v>
      </c>
      <c r="EJ178" s="129" t="s">
        <v>160</v>
      </c>
      <c r="EK178" s="129">
        <v>1977.221</v>
      </c>
      <c r="EL178" s="129" t="s">
        <v>163</v>
      </c>
      <c r="EM178" s="129">
        <v>19.29700000000015</v>
      </c>
      <c r="EN178" s="129">
        <v>18.827999999999815</v>
      </c>
      <c r="EO178" s="129" t="s">
        <v>160</v>
      </c>
      <c r="EP178" s="129" t="s">
        <v>160</v>
      </c>
      <c r="EQ178" s="129" t="s">
        <v>160</v>
      </c>
      <c r="ER178" s="129" t="s">
        <v>160</v>
      </c>
      <c r="ES178" s="201">
        <v>8.1234819999999992</v>
      </c>
      <c r="ET178" s="129" t="s">
        <v>165</v>
      </c>
      <c r="EU178" s="151">
        <v>3.9212000000000913E-2</v>
      </c>
      <c r="EV178" s="151">
        <v>3.8836999999999122E-2</v>
      </c>
      <c r="EW178" s="142" t="s">
        <v>160</v>
      </c>
      <c r="EX178" s="129" t="s">
        <v>160</v>
      </c>
      <c r="EY178" s="129" t="s">
        <v>160</v>
      </c>
      <c r="EZ178" s="208">
        <v>284.02249999999998</v>
      </c>
      <c r="FA178" s="209">
        <v>33.261300000000062</v>
      </c>
      <c r="FB178" s="209">
        <v>30.194899999999961</v>
      </c>
      <c r="FC178" s="129" t="s">
        <v>220</v>
      </c>
      <c r="FD178" s="129" t="s">
        <v>221</v>
      </c>
      <c r="FE178" s="129">
        <v>2294.8420000000001</v>
      </c>
      <c r="FF178" s="129">
        <v>39.753000000000156</v>
      </c>
      <c r="FG178" s="129">
        <v>38.634000000000015</v>
      </c>
      <c r="FH178" s="129" t="s">
        <v>160</v>
      </c>
      <c r="FI178" s="129" t="s">
        <v>160</v>
      </c>
      <c r="FJ178" s="129" t="s">
        <v>160</v>
      </c>
      <c r="FK178" s="129" t="s">
        <v>160</v>
      </c>
      <c r="FL178" s="129" t="s">
        <v>160</v>
      </c>
      <c r="FM178" s="129" t="s">
        <v>160</v>
      </c>
      <c r="FN178" s="151">
        <v>4.2692069999999998</v>
      </c>
      <c r="FO178" s="151">
        <v>0.29040700000000008</v>
      </c>
      <c r="FP178" s="151">
        <v>0.27595599999999987</v>
      </c>
      <c r="FQ178" s="178" t="s">
        <v>419</v>
      </c>
      <c r="FR178" s="129" t="s">
        <v>415</v>
      </c>
      <c r="FS178" s="129">
        <v>2017</v>
      </c>
      <c r="FT178" s="131" t="s">
        <v>416</v>
      </c>
    </row>
    <row r="179" spans="1:176" s="129" customFormat="1">
      <c r="A179" s="129" t="s">
        <v>152</v>
      </c>
      <c r="B179" s="166" t="s">
        <v>183</v>
      </c>
      <c r="C179" s="166">
        <v>2018</v>
      </c>
      <c r="D179" s="166" t="s">
        <v>184</v>
      </c>
      <c r="E179" s="145">
        <f t="shared" si="22"/>
        <v>1112.8</v>
      </c>
      <c r="F179" s="129">
        <f t="shared" si="23"/>
        <v>2</v>
      </c>
      <c r="G179" s="129">
        <f t="shared" si="23"/>
        <v>2</v>
      </c>
      <c r="H179" s="191">
        <v>246.2131</v>
      </c>
      <c r="I179" s="191">
        <v>28.141800000000046</v>
      </c>
      <c r="J179" s="191">
        <v>26.092000000000013</v>
      </c>
      <c r="K179" s="129" t="s">
        <v>457</v>
      </c>
      <c r="L179" s="131" t="s">
        <v>185</v>
      </c>
      <c r="M179" s="132" t="s">
        <v>186</v>
      </c>
      <c r="N179" s="129" t="s">
        <v>184</v>
      </c>
      <c r="O179" s="129" t="s">
        <v>420</v>
      </c>
      <c r="P179" s="205" t="s">
        <v>438</v>
      </c>
      <c r="Q179" s="205">
        <v>5</v>
      </c>
      <c r="R179" s="205">
        <v>1</v>
      </c>
      <c r="S179" s="206">
        <v>70.16303500000015</v>
      </c>
      <c r="T179" s="206">
        <f t="shared" si="20"/>
        <v>72.16303500000015</v>
      </c>
      <c r="U179" s="207">
        <v>36.801405670000001</v>
      </c>
      <c r="V179" s="207">
        <v>36.801405670000001</v>
      </c>
      <c r="W179" s="129" t="s">
        <v>160</v>
      </c>
      <c r="X179" s="129" t="s">
        <v>421</v>
      </c>
      <c r="Y179" s="200">
        <v>12.74</v>
      </c>
      <c r="Z179" s="200">
        <v>-78.739999999999995</v>
      </c>
      <c r="AA179" s="129" t="s">
        <v>160</v>
      </c>
      <c r="AB179" s="129" t="s">
        <v>160</v>
      </c>
      <c r="AC179" s="129">
        <v>-2839</v>
      </c>
      <c r="AD179" s="129" t="s">
        <v>160</v>
      </c>
      <c r="AE179" s="129" t="s">
        <v>160</v>
      </c>
      <c r="AF179" s="129" t="s">
        <v>160</v>
      </c>
      <c r="AG179" s="129">
        <v>1112.8</v>
      </c>
      <c r="AH179" s="129" t="s">
        <v>163</v>
      </c>
      <c r="AI179" s="129">
        <v>2</v>
      </c>
      <c r="AJ179" s="129">
        <v>2</v>
      </c>
      <c r="AK179" s="129" t="s">
        <v>160</v>
      </c>
      <c r="AL179" s="129" t="s">
        <v>422</v>
      </c>
      <c r="AM179" s="129" t="s">
        <v>160</v>
      </c>
      <c r="AN179" s="129" t="s">
        <v>160</v>
      </c>
      <c r="AO179" s="129" t="s">
        <v>160</v>
      </c>
      <c r="AP179" s="129" t="s">
        <v>160</v>
      </c>
      <c r="AQ179" s="129" t="s">
        <v>160</v>
      </c>
      <c r="AR179" s="129" t="s">
        <v>160</v>
      </c>
      <c r="AS179" s="129" t="s">
        <v>160</v>
      </c>
      <c r="AT179" s="129" t="s">
        <v>160</v>
      </c>
      <c r="AU179" s="129" t="s">
        <v>423</v>
      </c>
      <c r="AV179" s="129" t="s">
        <v>161</v>
      </c>
      <c r="AW179" s="129" t="s">
        <v>424</v>
      </c>
      <c r="AX179" s="178">
        <v>2</v>
      </c>
      <c r="AY179" s="129" t="s">
        <v>194</v>
      </c>
      <c r="AZ179" s="129" t="s">
        <v>195</v>
      </c>
      <c r="BA179" s="129" t="s">
        <v>425</v>
      </c>
      <c r="BB179" s="129" t="s">
        <v>160</v>
      </c>
      <c r="BC179" s="178">
        <v>2</v>
      </c>
      <c r="BD179" s="129" t="s">
        <v>160</v>
      </c>
      <c r="BE179" s="151">
        <v>20.77558234</v>
      </c>
      <c r="BF179" s="129" t="s">
        <v>426</v>
      </c>
      <c r="BG179" s="151">
        <v>0.19660471199999999</v>
      </c>
      <c r="BH179" s="129">
        <v>0.64</v>
      </c>
      <c r="BI179" s="129" t="s">
        <v>427</v>
      </c>
      <c r="BJ179" s="129">
        <v>3.4000000000000002E-2</v>
      </c>
      <c r="BK179" s="129">
        <v>9.1</v>
      </c>
      <c r="BL179" s="129" t="s">
        <v>163</v>
      </c>
      <c r="BM179" s="129">
        <v>0.56000000000000005</v>
      </c>
      <c r="BN179" s="129" t="s">
        <v>428</v>
      </c>
      <c r="BO179" s="129" t="s">
        <v>429</v>
      </c>
      <c r="BP179" s="151">
        <f t="shared" si="24"/>
        <v>19.842637233333335</v>
      </c>
      <c r="BQ179" s="129" t="s">
        <v>202</v>
      </c>
      <c r="BR179" s="217"/>
      <c r="BS179" s="129" t="s">
        <v>160</v>
      </c>
      <c r="BT179" s="129" t="s">
        <v>160</v>
      </c>
      <c r="BU179" s="129">
        <v>10</v>
      </c>
      <c r="BV179" s="129" t="s">
        <v>159</v>
      </c>
      <c r="BW179" s="129">
        <v>10</v>
      </c>
      <c r="BX179" s="145">
        <v>26.743849399999998</v>
      </c>
      <c r="BY179" s="129" t="s">
        <v>159</v>
      </c>
      <c r="BZ179" s="129">
        <v>1</v>
      </c>
      <c r="CA179" s="129">
        <v>1</v>
      </c>
      <c r="CB179" s="129" t="s">
        <v>160</v>
      </c>
      <c r="CC179" s="151">
        <v>4.0027706482267922</v>
      </c>
      <c r="CD179" s="129" t="s">
        <v>430</v>
      </c>
      <c r="CE179" s="151">
        <f t="shared" si="21"/>
        <v>0.16011082592907169</v>
      </c>
      <c r="CF179" s="151">
        <v>0.16011082592907169</v>
      </c>
      <c r="CG179" s="178" t="s">
        <v>160</v>
      </c>
      <c r="CH179" s="129" t="s">
        <v>431</v>
      </c>
      <c r="CI179" s="129" t="s">
        <v>160</v>
      </c>
      <c r="CJ179" s="129" t="s">
        <v>432</v>
      </c>
      <c r="CK179" s="129" t="s">
        <v>158</v>
      </c>
      <c r="CL179" s="129" t="s">
        <v>158</v>
      </c>
      <c r="CM179" s="129" t="s">
        <v>158</v>
      </c>
      <c r="CN179" s="129" t="s">
        <v>160</v>
      </c>
      <c r="CO179" s="129" t="s">
        <v>160</v>
      </c>
      <c r="CP179" s="129" t="s">
        <v>160</v>
      </c>
      <c r="CQ179" s="129" t="s">
        <v>160</v>
      </c>
      <c r="CR179" s="129" t="s">
        <v>160</v>
      </c>
      <c r="CS179" s="129" t="s">
        <v>160</v>
      </c>
      <c r="CT179" s="129" t="s">
        <v>160</v>
      </c>
      <c r="CU179" s="129">
        <v>35</v>
      </c>
      <c r="CV179" s="129" t="s">
        <v>393</v>
      </c>
      <c r="CW179" s="146">
        <v>1</v>
      </c>
      <c r="CX179" s="129" t="s">
        <v>207</v>
      </c>
      <c r="CY179" s="129">
        <v>1.06E-2</v>
      </c>
      <c r="CZ179" s="129" t="s">
        <v>159</v>
      </c>
      <c r="DA179" s="146">
        <v>0</v>
      </c>
      <c r="DB179" s="129" t="s">
        <v>208</v>
      </c>
      <c r="DC179" s="129">
        <v>5.5100000000000003E-2</v>
      </c>
      <c r="DD179" s="129" t="s">
        <v>159</v>
      </c>
      <c r="DE179" s="146">
        <v>0</v>
      </c>
      <c r="DF179" s="129" t="s">
        <v>208</v>
      </c>
      <c r="DG179" s="129" t="s">
        <v>160</v>
      </c>
      <c r="DH179" s="129" t="s">
        <v>160</v>
      </c>
      <c r="DI179" s="129" t="s">
        <v>160</v>
      </c>
      <c r="DJ179" s="129" t="s">
        <v>160</v>
      </c>
      <c r="DK179" s="145">
        <v>432.56244218316402</v>
      </c>
      <c r="DL179" s="129" t="s">
        <v>433</v>
      </c>
      <c r="DM179" s="145" t="s">
        <v>160</v>
      </c>
      <c r="DN179" s="129" t="s">
        <v>434</v>
      </c>
      <c r="DO179" s="129">
        <v>39.60942</v>
      </c>
      <c r="DP179" s="129" t="s">
        <v>160</v>
      </c>
      <c r="DQ179" s="129">
        <v>0.30257999999999896</v>
      </c>
      <c r="DR179" s="129" t="s">
        <v>435</v>
      </c>
      <c r="DS179" s="129" t="s">
        <v>212</v>
      </c>
      <c r="DT179" s="129" t="s">
        <v>213</v>
      </c>
      <c r="DU179" s="129">
        <v>1.0271999999999999</v>
      </c>
      <c r="DV179" s="129" t="s">
        <v>160</v>
      </c>
      <c r="DW179" s="129" t="s">
        <v>160</v>
      </c>
      <c r="DX179" s="129" t="s">
        <v>436</v>
      </c>
      <c r="DY179" s="129" t="s">
        <v>158</v>
      </c>
      <c r="DZ179" s="129" t="s">
        <v>158</v>
      </c>
      <c r="EA179" s="129" t="s">
        <v>216</v>
      </c>
      <c r="EB179" s="129" t="s">
        <v>212</v>
      </c>
      <c r="EC179" s="129" t="s">
        <v>212</v>
      </c>
      <c r="ED179" s="129" t="s">
        <v>212</v>
      </c>
      <c r="EE179" s="129" t="s">
        <v>217</v>
      </c>
      <c r="EF179" s="147" t="s">
        <v>213</v>
      </c>
      <c r="EG179" s="148" t="s">
        <v>213</v>
      </c>
      <c r="EH179" s="129" t="s">
        <v>218</v>
      </c>
      <c r="EI179" s="129" t="s">
        <v>417</v>
      </c>
      <c r="EJ179" s="129" t="s">
        <v>160</v>
      </c>
      <c r="EK179" s="129">
        <v>1977.521</v>
      </c>
      <c r="EL179" s="129" t="s">
        <v>163</v>
      </c>
      <c r="EM179" s="129">
        <v>18.848000000000127</v>
      </c>
      <c r="EN179" s="129">
        <v>18.732000000000038</v>
      </c>
      <c r="EO179" s="129" t="s">
        <v>160</v>
      </c>
      <c r="EP179" s="129" t="s">
        <v>160</v>
      </c>
      <c r="EQ179" s="129" t="s">
        <v>160</v>
      </c>
      <c r="ER179" s="129" t="s">
        <v>160</v>
      </c>
      <c r="ES179" s="201">
        <v>8.1725720000000006</v>
      </c>
      <c r="ET179" s="129" t="s">
        <v>165</v>
      </c>
      <c r="EU179" s="151">
        <v>3.8288999999998907E-2</v>
      </c>
      <c r="EV179" s="151">
        <v>3.7876999999999938E-2</v>
      </c>
      <c r="EW179" s="142" t="s">
        <v>160</v>
      </c>
      <c r="EX179" s="129" t="s">
        <v>160</v>
      </c>
      <c r="EY179" s="129" t="s">
        <v>160</v>
      </c>
      <c r="EZ179" s="208">
        <v>246.2131</v>
      </c>
      <c r="FA179" s="209">
        <v>28.141800000000046</v>
      </c>
      <c r="FB179" s="209">
        <v>26.092000000000013</v>
      </c>
      <c r="FC179" s="129" t="s">
        <v>220</v>
      </c>
      <c r="FD179" s="129" t="s">
        <v>221</v>
      </c>
      <c r="FE179" s="129">
        <v>2332.6030000000001</v>
      </c>
      <c r="FF179" s="129">
        <v>40.491999999999734</v>
      </c>
      <c r="FG179" s="129">
        <v>40.459000000000287</v>
      </c>
      <c r="FH179" s="129" t="s">
        <v>160</v>
      </c>
      <c r="FI179" s="129" t="s">
        <v>160</v>
      </c>
      <c r="FJ179" s="129" t="s">
        <v>160</v>
      </c>
      <c r="FK179" s="129" t="s">
        <v>160</v>
      </c>
      <c r="FL179" s="129" t="s">
        <v>160</v>
      </c>
      <c r="FM179" s="129" t="s">
        <v>160</v>
      </c>
      <c r="FN179" s="151">
        <v>4.7109769999999997</v>
      </c>
      <c r="FO179" s="151">
        <v>0.31159300000000023</v>
      </c>
      <c r="FP179" s="151">
        <v>0.29742999999999942</v>
      </c>
      <c r="FQ179" s="178" t="s">
        <v>419</v>
      </c>
      <c r="FR179" s="129" t="s">
        <v>415</v>
      </c>
      <c r="FS179" s="129">
        <v>2017</v>
      </c>
      <c r="FT179" s="131" t="s">
        <v>416</v>
      </c>
    </row>
    <row r="180" spans="1:176" s="129" customFormat="1">
      <c r="A180" s="129" t="s">
        <v>152</v>
      </c>
      <c r="B180" s="166" t="s">
        <v>183</v>
      </c>
      <c r="C180" s="166">
        <v>2018</v>
      </c>
      <c r="D180" s="166" t="s">
        <v>184</v>
      </c>
      <c r="E180" s="145">
        <f t="shared" si="22"/>
        <v>1115.26</v>
      </c>
      <c r="F180" s="129">
        <f t="shared" si="23"/>
        <v>2</v>
      </c>
      <c r="G180" s="129">
        <f t="shared" si="23"/>
        <v>2</v>
      </c>
      <c r="H180" s="191">
        <v>227.64230000000001</v>
      </c>
      <c r="I180" s="191">
        <v>26.651700000000005</v>
      </c>
      <c r="J180" s="191">
        <v>24.039500000000004</v>
      </c>
      <c r="K180" s="129" t="s">
        <v>457</v>
      </c>
      <c r="L180" s="131" t="s">
        <v>185</v>
      </c>
      <c r="M180" s="132" t="s">
        <v>186</v>
      </c>
      <c r="N180" s="129" t="s">
        <v>184</v>
      </c>
      <c r="O180" s="129" t="s">
        <v>420</v>
      </c>
      <c r="P180" s="205" t="s">
        <v>438</v>
      </c>
      <c r="Q180" s="205">
        <v>5</v>
      </c>
      <c r="R180" s="205">
        <v>1</v>
      </c>
      <c r="S180" s="206">
        <v>80.892932000000371</v>
      </c>
      <c r="T180" s="206">
        <f t="shared" si="20"/>
        <v>82.892932000000371</v>
      </c>
      <c r="U180" s="207">
        <v>36.908704640000003</v>
      </c>
      <c r="V180" s="207">
        <v>36.908704640000003</v>
      </c>
      <c r="W180" s="129" t="s">
        <v>160</v>
      </c>
      <c r="X180" s="129" t="s">
        <v>421</v>
      </c>
      <c r="Y180" s="200">
        <v>12.74</v>
      </c>
      <c r="Z180" s="200">
        <v>-78.739999999999995</v>
      </c>
      <c r="AA180" s="129" t="s">
        <v>160</v>
      </c>
      <c r="AB180" s="129" t="s">
        <v>160</v>
      </c>
      <c r="AC180" s="129">
        <v>-2839</v>
      </c>
      <c r="AD180" s="129" t="s">
        <v>160</v>
      </c>
      <c r="AE180" s="129" t="s">
        <v>160</v>
      </c>
      <c r="AF180" s="129" t="s">
        <v>160</v>
      </c>
      <c r="AG180" s="129">
        <v>1115.26</v>
      </c>
      <c r="AH180" s="129" t="s">
        <v>163</v>
      </c>
      <c r="AI180" s="129">
        <v>2</v>
      </c>
      <c r="AJ180" s="129">
        <v>2</v>
      </c>
      <c r="AK180" s="129" t="s">
        <v>160</v>
      </c>
      <c r="AL180" s="129" t="s">
        <v>422</v>
      </c>
      <c r="AM180" s="129" t="s">
        <v>160</v>
      </c>
      <c r="AN180" s="129" t="s">
        <v>160</v>
      </c>
      <c r="AO180" s="129" t="s">
        <v>160</v>
      </c>
      <c r="AP180" s="129" t="s">
        <v>160</v>
      </c>
      <c r="AQ180" s="129" t="s">
        <v>160</v>
      </c>
      <c r="AR180" s="129" t="s">
        <v>160</v>
      </c>
      <c r="AS180" s="129" t="s">
        <v>160</v>
      </c>
      <c r="AT180" s="129" t="s">
        <v>160</v>
      </c>
      <c r="AU180" s="129" t="s">
        <v>423</v>
      </c>
      <c r="AV180" s="129" t="s">
        <v>161</v>
      </c>
      <c r="AW180" s="129" t="s">
        <v>424</v>
      </c>
      <c r="AX180" s="178">
        <v>2</v>
      </c>
      <c r="AY180" s="129" t="s">
        <v>194</v>
      </c>
      <c r="AZ180" s="129" t="s">
        <v>195</v>
      </c>
      <c r="BA180" s="129" t="s">
        <v>425</v>
      </c>
      <c r="BB180" s="129" t="s">
        <v>160</v>
      </c>
      <c r="BC180" s="178">
        <v>2</v>
      </c>
      <c r="BD180" s="129" t="s">
        <v>160</v>
      </c>
      <c r="BE180" s="151">
        <v>20.934999999999999</v>
      </c>
      <c r="BF180" s="129" t="s">
        <v>426</v>
      </c>
      <c r="BG180" s="151">
        <v>0.19400513799999999</v>
      </c>
      <c r="BH180" s="129">
        <v>0.64</v>
      </c>
      <c r="BI180" s="129" t="s">
        <v>427</v>
      </c>
      <c r="BJ180" s="129">
        <v>3.4000000000000002E-2</v>
      </c>
      <c r="BK180" s="129">
        <v>9.1</v>
      </c>
      <c r="BL180" s="129" t="s">
        <v>163</v>
      </c>
      <c r="BM180" s="129">
        <v>0.56000000000000005</v>
      </c>
      <c r="BN180" s="129" t="s">
        <v>428</v>
      </c>
      <c r="BO180" s="129" t="s">
        <v>429</v>
      </c>
      <c r="BP180" s="151">
        <f t="shared" si="24"/>
        <v>20.108333333333334</v>
      </c>
      <c r="BQ180" s="129" t="s">
        <v>202</v>
      </c>
      <c r="BR180" s="217"/>
      <c r="BS180" s="129" t="s">
        <v>160</v>
      </c>
      <c r="BT180" s="129" t="s">
        <v>160</v>
      </c>
      <c r="BU180" s="129">
        <v>10</v>
      </c>
      <c r="BV180" s="129" t="s">
        <v>159</v>
      </c>
      <c r="BW180" s="129">
        <v>10</v>
      </c>
      <c r="BX180" s="145">
        <v>26.32885001</v>
      </c>
      <c r="BY180" s="129" t="s">
        <v>159</v>
      </c>
      <c r="BZ180" s="129">
        <v>1</v>
      </c>
      <c r="CA180" s="129">
        <v>1</v>
      </c>
      <c r="CB180" s="129" t="s">
        <v>160</v>
      </c>
      <c r="CC180" s="151">
        <v>3.8664286885937984</v>
      </c>
      <c r="CD180" s="129" t="s">
        <v>430</v>
      </c>
      <c r="CE180" s="151">
        <f t="shared" si="21"/>
        <v>0.15465714754375193</v>
      </c>
      <c r="CF180" s="151">
        <v>0.15465714754375193</v>
      </c>
      <c r="CG180" s="178" t="s">
        <v>160</v>
      </c>
      <c r="CH180" s="129" t="s">
        <v>431</v>
      </c>
      <c r="CI180" s="129" t="s">
        <v>160</v>
      </c>
      <c r="CJ180" s="129" t="s">
        <v>432</v>
      </c>
      <c r="CK180" s="129" t="s">
        <v>158</v>
      </c>
      <c r="CL180" s="129" t="s">
        <v>158</v>
      </c>
      <c r="CM180" s="129" t="s">
        <v>158</v>
      </c>
      <c r="CN180" s="129" t="s">
        <v>160</v>
      </c>
      <c r="CO180" s="129" t="s">
        <v>160</v>
      </c>
      <c r="CP180" s="129" t="s">
        <v>160</v>
      </c>
      <c r="CQ180" s="129" t="s">
        <v>160</v>
      </c>
      <c r="CR180" s="129" t="s">
        <v>160</v>
      </c>
      <c r="CS180" s="129" t="s">
        <v>160</v>
      </c>
      <c r="CT180" s="129" t="s">
        <v>160</v>
      </c>
      <c r="CU180" s="129">
        <v>35</v>
      </c>
      <c r="CV180" s="129" t="s">
        <v>393</v>
      </c>
      <c r="CW180" s="146">
        <v>1</v>
      </c>
      <c r="CX180" s="129" t="s">
        <v>207</v>
      </c>
      <c r="CY180" s="129">
        <v>1.06E-2</v>
      </c>
      <c r="CZ180" s="129" t="s">
        <v>159</v>
      </c>
      <c r="DA180" s="146">
        <v>0</v>
      </c>
      <c r="DB180" s="129" t="s">
        <v>208</v>
      </c>
      <c r="DC180" s="129">
        <v>5.5100000000000003E-2</v>
      </c>
      <c r="DD180" s="129" t="s">
        <v>159</v>
      </c>
      <c r="DE180" s="146">
        <v>0</v>
      </c>
      <c r="DF180" s="129" t="s">
        <v>208</v>
      </c>
      <c r="DG180" s="129" t="s">
        <v>160</v>
      </c>
      <c r="DH180" s="129" t="s">
        <v>160</v>
      </c>
      <c r="DI180" s="129" t="s">
        <v>160</v>
      </c>
      <c r="DJ180" s="129" t="s">
        <v>160</v>
      </c>
      <c r="DK180" s="145">
        <v>432.56244218316402</v>
      </c>
      <c r="DL180" s="129" t="s">
        <v>433</v>
      </c>
      <c r="DM180" s="145" t="s">
        <v>160</v>
      </c>
      <c r="DN180" s="129" t="s">
        <v>434</v>
      </c>
      <c r="DO180" s="129">
        <v>39.607799999999997</v>
      </c>
      <c r="DP180" s="129" t="s">
        <v>160</v>
      </c>
      <c r="DQ180" s="129">
        <v>0.30062000000000211</v>
      </c>
      <c r="DR180" s="129" t="s">
        <v>435</v>
      </c>
      <c r="DS180" s="129" t="s">
        <v>212</v>
      </c>
      <c r="DT180" s="129" t="s">
        <v>213</v>
      </c>
      <c r="DU180" s="129">
        <v>1.0271999999999999</v>
      </c>
      <c r="DV180" s="129" t="s">
        <v>160</v>
      </c>
      <c r="DW180" s="129" t="s">
        <v>160</v>
      </c>
      <c r="DX180" s="129" t="s">
        <v>436</v>
      </c>
      <c r="DY180" s="129" t="s">
        <v>158</v>
      </c>
      <c r="DZ180" s="129" t="s">
        <v>158</v>
      </c>
      <c r="EA180" s="129" t="s">
        <v>216</v>
      </c>
      <c r="EB180" s="129" t="s">
        <v>212</v>
      </c>
      <c r="EC180" s="129" t="s">
        <v>212</v>
      </c>
      <c r="ED180" s="129" t="s">
        <v>212</v>
      </c>
      <c r="EE180" s="129" t="s">
        <v>217</v>
      </c>
      <c r="EF180" s="147" t="s">
        <v>213</v>
      </c>
      <c r="EG180" s="148" t="s">
        <v>213</v>
      </c>
      <c r="EH180" s="129" t="s">
        <v>218</v>
      </c>
      <c r="EI180" s="129" t="s">
        <v>417</v>
      </c>
      <c r="EJ180" s="129" t="s">
        <v>160</v>
      </c>
      <c r="EK180" s="129">
        <v>1977.376</v>
      </c>
      <c r="EL180" s="129" t="s">
        <v>163</v>
      </c>
      <c r="EM180" s="129">
        <v>18.779000000000018</v>
      </c>
      <c r="EN180" s="129">
        <v>19.293999999999997</v>
      </c>
      <c r="EO180" s="129" t="s">
        <v>160</v>
      </c>
      <c r="EP180" s="129" t="s">
        <v>160</v>
      </c>
      <c r="EQ180" s="129" t="s">
        <v>160</v>
      </c>
      <c r="ER180" s="129" t="s">
        <v>160</v>
      </c>
      <c r="ES180" s="201">
        <v>8.1988149999999997</v>
      </c>
      <c r="ET180" s="129" t="s">
        <v>165</v>
      </c>
      <c r="EU180" s="151">
        <v>3.7497000000000114E-2</v>
      </c>
      <c r="EV180" s="151">
        <v>3.8121999999999545E-2</v>
      </c>
      <c r="EW180" s="142" t="s">
        <v>160</v>
      </c>
      <c r="EX180" s="129" t="s">
        <v>160</v>
      </c>
      <c r="EY180" s="129" t="s">
        <v>160</v>
      </c>
      <c r="EZ180" s="208">
        <v>227.64230000000001</v>
      </c>
      <c r="FA180" s="209">
        <v>26.651700000000005</v>
      </c>
      <c r="FB180" s="209">
        <v>24.039500000000004</v>
      </c>
      <c r="FC180" s="129" t="s">
        <v>220</v>
      </c>
      <c r="FD180" s="129" t="s">
        <v>221</v>
      </c>
      <c r="FE180" s="129">
        <v>2347.9949999999999</v>
      </c>
      <c r="FF180" s="129">
        <v>39.938000000000102</v>
      </c>
      <c r="FG180" s="129">
        <v>40.509000000000015</v>
      </c>
      <c r="FH180" s="129" t="s">
        <v>160</v>
      </c>
      <c r="FI180" s="129" t="s">
        <v>160</v>
      </c>
      <c r="FJ180" s="129" t="s">
        <v>160</v>
      </c>
      <c r="FK180" s="129" t="s">
        <v>160</v>
      </c>
      <c r="FL180" s="129" t="s">
        <v>160</v>
      </c>
      <c r="FM180" s="129" t="s">
        <v>160</v>
      </c>
      <c r="FN180" s="151">
        <v>4.879626</v>
      </c>
      <c r="FO180" s="151">
        <v>0.31339499999999987</v>
      </c>
      <c r="FP180" s="151">
        <v>0.30293900000000029</v>
      </c>
      <c r="FQ180" s="178" t="s">
        <v>419</v>
      </c>
      <c r="FR180" s="129" t="s">
        <v>415</v>
      </c>
      <c r="FS180" s="129">
        <v>2017</v>
      </c>
      <c r="FT180" s="131" t="s">
        <v>416</v>
      </c>
    </row>
    <row r="181" spans="1:176" s="129" customFormat="1">
      <c r="A181" s="129" t="s">
        <v>152</v>
      </c>
      <c r="B181" s="166" t="s">
        <v>183</v>
      </c>
      <c r="C181" s="166">
        <v>2018</v>
      </c>
      <c r="D181" s="166" t="s">
        <v>184</v>
      </c>
      <c r="E181" s="145">
        <f t="shared" si="22"/>
        <v>1117.8599999999999</v>
      </c>
      <c r="F181" s="129">
        <f t="shared" si="23"/>
        <v>2</v>
      </c>
      <c r="G181" s="129">
        <f t="shared" si="23"/>
        <v>2</v>
      </c>
      <c r="H181" s="191">
        <v>215.33460000000002</v>
      </c>
      <c r="I181" s="191">
        <v>24.034899999999965</v>
      </c>
      <c r="J181" s="191">
        <v>21.610700000000008</v>
      </c>
      <c r="K181" s="129" t="s">
        <v>457</v>
      </c>
      <c r="L181" s="131" t="s">
        <v>185</v>
      </c>
      <c r="M181" s="132" t="s">
        <v>186</v>
      </c>
      <c r="N181" s="129" t="s">
        <v>184</v>
      </c>
      <c r="O181" s="129" t="s">
        <v>420</v>
      </c>
      <c r="P181" s="205" t="s">
        <v>438</v>
      </c>
      <c r="Q181" s="205">
        <v>5</v>
      </c>
      <c r="R181" s="205">
        <v>1</v>
      </c>
      <c r="S181" s="206">
        <v>90.361001000000073</v>
      </c>
      <c r="T181" s="206">
        <f t="shared" si="20"/>
        <v>92.361001000000073</v>
      </c>
      <c r="U181" s="207">
        <v>37.00338533</v>
      </c>
      <c r="V181" s="207">
        <v>37.00338533</v>
      </c>
      <c r="W181" s="129" t="s">
        <v>160</v>
      </c>
      <c r="X181" s="129" t="s">
        <v>421</v>
      </c>
      <c r="Y181" s="200">
        <v>12.74</v>
      </c>
      <c r="Z181" s="200">
        <v>-78.739999999999995</v>
      </c>
      <c r="AA181" s="129" t="s">
        <v>160</v>
      </c>
      <c r="AB181" s="129" t="s">
        <v>160</v>
      </c>
      <c r="AC181" s="129">
        <v>-2839</v>
      </c>
      <c r="AD181" s="129" t="s">
        <v>160</v>
      </c>
      <c r="AE181" s="129" t="s">
        <v>160</v>
      </c>
      <c r="AF181" s="129" t="s">
        <v>160</v>
      </c>
      <c r="AG181" s="129">
        <v>1117.8599999999999</v>
      </c>
      <c r="AH181" s="129" t="s">
        <v>163</v>
      </c>
      <c r="AI181" s="129">
        <v>2</v>
      </c>
      <c r="AJ181" s="129">
        <v>2</v>
      </c>
      <c r="AK181" s="129" t="s">
        <v>160</v>
      </c>
      <c r="AL181" s="129" t="s">
        <v>422</v>
      </c>
      <c r="AM181" s="129" t="s">
        <v>160</v>
      </c>
      <c r="AN181" s="129" t="s">
        <v>160</v>
      </c>
      <c r="AO181" s="129" t="s">
        <v>160</v>
      </c>
      <c r="AP181" s="129" t="s">
        <v>160</v>
      </c>
      <c r="AQ181" s="129" t="s">
        <v>160</v>
      </c>
      <c r="AR181" s="129" t="s">
        <v>160</v>
      </c>
      <c r="AS181" s="129" t="s">
        <v>160</v>
      </c>
      <c r="AT181" s="129" t="s">
        <v>160</v>
      </c>
      <c r="AU181" s="129" t="s">
        <v>423</v>
      </c>
      <c r="AV181" s="129" t="s">
        <v>161</v>
      </c>
      <c r="AW181" s="129" t="s">
        <v>424</v>
      </c>
      <c r="AX181" s="178">
        <v>2</v>
      </c>
      <c r="AY181" s="129" t="s">
        <v>194</v>
      </c>
      <c r="AZ181" s="129" t="s">
        <v>195</v>
      </c>
      <c r="BA181" s="129" t="s">
        <v>425</v>
      </c>
      <c r="BB181" s="129" t="s">
        <v>160</v>
      </c>
      <c r="BC181" s="178">
        <v>2</v>
      </c>
      <c r="BD181" s="129" t="s">
        <v>160</v>
      </c>
      <c r="BE181" s="151">
        <v>21.107182569999999</v>
      </c>
      <c r="BF181" s="129" t="s">
        <v>426</v>
      </c>
      <c r="BG181" s="151">
        <v>0.149424944</v>
      </c>
      <c r="BH181" s="129">
        <v>0.64</v>
      </c>
      <c r="BI181" s="129" t="s">
        <v>427</v>
      </c>
      <c r="BJ181" s="129">
        <v>3.4000000000000002E-2</v>
      </c>
      <c r="BK181" s="129">
        <v>9.1</v>
      </c>
      <c r="BL181" s="129" t="s">
        <v>163</v>
      </c>
      <c r="BM181" s="129">
        <v>0.56000000000000005</v>
      </c>
      <c r="BN181" s="129" t="s">
        <v>428</v>
      </c>
      <c r="BO181" s="129" t="s">
        <v>429</v>
      </c>
      <c r="BP181" s="151">
        <f t="shared" si="24"/>
        <v>20.395304283333335</v>
      </c>
      <c r="BQ181" s="129" t="s">
        <v>202</v>
      </c>
      <c r="BR181" s="217"/>
      <c r="BS181" s="129" t="s">
        <v>160</v>
      </c>
      <c r="BT181" s="129" t="s">
        <v>160</v>
      </c>
      <c r="BU181" s="129">
        <v>10</v>
      </c>
      <c r="BV181" s="129" t="s">
        <v>159</v>
      </c>
      <c r="BW181" s="129">
        <v>10</v>
      </c>
      <c r="BX181" s="145">
        <v>26.648023349999999</v>
      </c>
      <c r="BY181" s="129" t="s">
        <v>159</v>
      </c>
      <c r="BZ181" s="129">
        <v>1</v>
      </c>
      <c r="CA181" s="129">
        <v>1</v>
      </c>
      <c r="CB181" s="129" t="s">
        <v>160</v>
      </c>
      <c r="CC181" s="151">
        <v>3.989770434521112</v>
      </c>
      <c r="CD181" s="129" t="s">
        <v>430</v>
      </c>
      <c r="CE181" s="151">
        <f t="shared" si="21"/>
        <v>0.15959081738084449</v>
      </c>
      <c r="CF181" s="151">
        <v>0.15959081738084449</v>
      </c>
      <c r="CG181" s="178" t="s">
        <v>160</v>
      </c>
      <c r="CH181" s="129" t="s">
        <v>431</v>
      </c>
      <c r="CI181" s="129" t="s">
        <v>160</v>
      </c>
      <c r="CJ181" s="129" t="s">
        <v>432</v>
      </c>
      <c r="CK181" s="129" t="s">
        <v>158</v>
      </c>
      <c r="CL181" s="129" t="s">
        <v>158</v>
      </c>
      <c r="CM181" s="129" t="s">
        <v>158</v>
      </c>
      <c r="CN181" s="129" t="s">
        <v>160</v>
      </c>
      <c r="CO181" s="129" t="s">
        <v>160</v>
      </c>
      <c r="CP181" s="129" t="s">
        <v>160</v>
      </c>
      <c r="CQ181" s="129" t="s">
        <v>160</v>
      </c>
      <c r="CR181" s="129" t="s">
        <v>160</v>
      </c>
      <c r="CS181" s="129" t="s">
        <v>160</v>
      </c>
      <c r="CT181" s="129" t="s">
        <v>160</v>
      </c>
      <c r="CU181" s="129">
        <v>35</v>
      </c>
      <c r="CV181" s="129" t="s">
        <v>393</v>
      </c>
      <c r="CW181" s="146">
        <v>1</v>
      </c>
      <c r="CX181" s="129" t="s">
        <v>207</v>
      </c>
      <c r="CY181" s="129">
        <v>1.06E-2</v>
      </c>
      <c r="CZ181" s="129" t="s">
        <v>159</v>
      </c>
      <c r="DA181" s="146">
        <v>0</v>
      </c>
      <c r="DB181" s="129" t="s">
        <v>208</v>
      </c>
      <c r="DC181" s="129">
        <v>5.5100000000000003E-2</v>
      </c>
      <c r="DD181" s="129" t="s">
        <v>159</v>
      </c>
      <c r="DE181" s="146">
        <v>0</v>
      </c>
      <c r="DF181" s="129" t="s">
        <v>208</v>
      </c>
      <c r="DG181" s="129" t="s">
        <v>160</v>
      </c>
      <c r="DH181" s="129" t="s">
        <v>160</v>
      </c>
      <c r="DI181" s="129" t="s">
        <v>160</v>
      </c>
      <c r="DJ181" s="129" t="s">
        <v>160</v>
      </c>
      <c r="DK181" s="145">
        <v>432.56244218316402</v>
      </c>
      <c r="DL181" s="129" t="s">
        <v>433</v>
      </c>
      <c r="DM181" s="145" t="s">
        <v>160</v>
      </c>
      <c r="DN181" s="129" t="s">
        <v>434</v>
      </c>
      <c r="DO181" s="129">
        <v>39.610109999999999</v>
      </c>
      <c r="DP181" s="129" t="s">
        <v>160</v>
      </c>
      <c r="DQ181" s="129">
        <v>0.29845000000000255</v>
      </c>
      <c r="DR181" s="129" t="s">
        <v>435</v>
      </c>
      <c r="DS181" s="129" t="s">
        <v>212</v>
      </c>
      <c r="DT181" s="129" t="s">
        <v>213</v>
      </c>
      <c r="DU181" s="129">
        <v>1.0271999999999999</v>
      </c>
      <c r="DV181" s="129" t="s">
        <v>160</v>
      </c>
      <c r="DW181" s="129" t="s">
        <v>160</v>
      </c>
      <c r="DX181" s="129" t="s">
        <v>436</v>
      </c>
      <c r="DY181" s="129" t="s">
        <v>158</v>
      </c>
      <c r="DZ181" s="129" t="s">
        <v>158</v>
      </c>
      <c r="EA181" s="129" t="s">
        <v>216</v>
      </c>
      <c r="EB181" s="129" t="s">
        <v>212</v>
      </c>
      <c r="EC181" s="129" t="s">
        <v>212</v>
      </c>
      <c r="ED181" s="129" t="s">
        <v>212</v>
      </c>
      <c r="EE181" s="129" t="s">
        <v>217</v>
      </c>
      <c r="EF181" s="147" t="s">
        <v>213</v>
      </c>
      <c r="EG181" s="148" t="s">
        <v>213</v>
      </c>
      <c r="EH181" s="129" t="s">
        <v>218</v>
      </c>
      <c r="EI181" s="129" t="s">
        <v>417</v>
      </c>
      <c r="EJ181" s="129" t="s">
        <v>160</v>
      </c>
      <c r="EK181" s="129">
        <v>1977.271</v>
      </c>
      <c r="EL181" s="129" t="s">
        <v>163</v>
      </c>
      <c r="EM181" s="129">
        <v>19.140999999999863</v>
      </c>
      <c r="EN181" s="129">
        <v>18.870000000000257</v>
      </c>
      <c r="EO181" s="129" t="s">
        <v>160</v>
      </c>
      <c r="EP181" s="129" t="s">
        <v>160</v>
      </c>
      <c r="EQ181" s="129" t="s">
        <v>160</v>
      </c>
      <c r="ER181" s="129" t="s">
        <v>160</v>
      </c>
      <c r="ES181" s="201">
        <v>8.2175180000000001</v>
      </c>
      <c r="ET181" s="129" t="s">
        <v>165</v>
      </c>
      <c r="EU181" s="151">
        <v>3.5106000000000748E-2</v>
      </c>
      <c r="EV181" s="151">
        <v>3.6490999999999829E-2</v>
      </c>
      <c r="EW181" s="142" t="s">
        <v>160</v>
      </c>
      <c r="EX181" s="129" t="s">
        <v>160</v>
      </c>
      <c r="EY181" s="129" t="s">
        <v>160</v>
      </c>
      <c r="EZ181" s="208">
        <v>215.33460000000002</v>
      </c>
      <c r="FA181" s="209">
        <v>24.034899999999965</v>
      </c>
      <c r="FB181" s="209">
        <v>21.610700000000008</v>
      </c>
      <c r="FC181" s="129" t="s">
        <v>220</v>
      </c>
      <c r="FD181" s="129" t="s">
        <v>221</v>
      </c>
      <c r="FE181" s="129">
        <v>2366.6479999999997</v>
      </c>
      <c r="FF181" s="129">
        <v>39.799000000000433</v>
      </c>
      <c r="FG181" s="129">
        <v>40.076999999999771</v>
      </c>
      <c r="FH181" s="129" t="s">
        <v>160</v>
      </c>
      <c r="FI181" s="129" t="s">
        <v>160</v>
      </c>
      <c r="FJ181" s="129" t="s">
        <v>160</v>
      </c>
      <c r="FK181" s="129" t="s">
        <v>160</v>
      </c>
      <c r="FL181" s="129" t="s">
        <v>160</v>
      </c>
      <c r="FM181" s="129" t="s">
        <v>160</v>
      </c>
      <c r="FN181" s="151">
        <v>5.1129129999999998</v>
      </c>
      <c r="FO181" s="151">
        <v>0.30116500000000013</v>
      </c>
      <c r="FP181" s="151">
        <v>0.27991999999999972</v>
      </c>
      <c r="FQ181" s="178" t="s">
        <v>419</v>
      </c>
      <c r="FR181" s="129" t="s">
        <v>415</v>
      </c>
      <c r="FS181" s="129">
        <v>2017</v>
      </c>
      <c r="FT181" s="131" t="s">
        <v>416</v>
      </c>
    </row>
    <row r="182" spans="1:176" s="129" customFormat="1">
      <c r="A182" s="129" t="s">
        <v>152</v>
      </c>
      <c r="B182" s="166" t="s">
        <v>183</v>
      </c>
      <c r="C182" s="166">
        <v>2018</v>
      </c>
      <c r="D182" s="166" t="s">
        <v>184</v>
      </c>
      <c r="E182" s="145">
        <f t="shared" si="22"/>
        <v>1120.3599999999999</v>
      </c>
      <c r="F182" s="129">
        <f t="shared" si="23"/>
        <v>2</v>
      </c>
      <c r="G182" s="129">
        <f t="shared" si="23"/>
        <v>2</v>
      </c>
      <c r="H182" s="191">
        <v>248.31020000000004</v>
      </c>
      <c r="I182" s="191">
        <v>27.331999999999965</v>
      </c>
      <c r="J182" s="191">
        <v>24.688100000000048</v>
      </c>
      <c r="K182" s="129" t="s">
        <v>457</v>
      </c>
      <c r="L182" s="131" t="s">
        <v>185</v>
      </c>
      <c r="M182" s="132" t="s">
        <v>186</v>
      </c>
      <c r="N182" s="129" t="s">
        <v>184</v>
      </c>
      <c r="O182" s="129" t="s">
        <v>420</v>
      </c>
      <c r="P182" s="205" t="s">
        <v>438</v>
      </c>
      <c r="Q182" s="205">
        <v>5</v>
      </c>
      <c r="R182" s="205">
        <v>1</v>
      </c>
      <c r="S182" s="206">
        <v>98.801709999999986</v>
      </c>
      <c r="T182" s="206">
        <f t="shared" si="20"/>
        <v>100.80170999999999</v>
      </c>
      <c r="U182" s="207">
        <v>37.08779242</v>
      </c>
      <c r="V182" s="207">
        <v>37.08779242</v>
      </c>
      <c r="W182" s="129" t="s">
        <v>160</v>
      </c>
      <c r="X182" s="129" t="s">
        <v>421</v>
      </c>
      <c r="Y182" s="200">
        <v>12.74</v>
      </c>
      <c r="Z182" s="200">
        <v>-78.739999999999995</v>
      </c>
      <c r="AA182" s="129" t="s">
        <v>160</v>
      </c>
      <c r="AB182" s="129" t="s">
        <v>160</v>
      </c>
      <c r="AC182" s="129">
        <v>-2839</v>
      </c>
      <c r="AD182" s="129" t="s">
        <v>160</v>
      </c>
      <c r="AE182" s="129" t="s">
        <v>160</v>
      </c>
      <c r="AF182" s="129" t="s">
        <v>160</v>
      </c>
      <c r="AG182" s="129">
        <v>1120.3599999999999</v>
      </c>
      <c r="AH182" s="129" t="s">
        <v>163</v>
      </c>
      <c r="AI182" s="129">
        <v>2</v>
      </c>
      <c r="AJ182" s="129">
        <v>2</v>
      </c>
      <c r="AK182" s="129" t="s">
        <v>160</v>
      </c>
      <c r="AL182" s="129" t="s">
        <v>422</v>
      </c>
      <c r="AM182" s="129" t="s">
        <v>160</v>
      </c>
      <c r="AN182" s="129" t="s">
        <v>160</v>
      </c>
      <c r="AO182" s="129" t="s">
        <v>160</v>
      </c>
      <c r="AP182" s="129" t="s">
        <v>160</v>
      </c>
      <c r="AQ182" s="129" t="s">
        <v>160</v>
      </c>
      <c r="AR182" s="129" t="s">
        <v>160</v>
      </c>
      <c r="AS182" s="129" t="s">
        <v>160</v>
      </c>
      <c r="AT182" s="129" t="s">
        <v>160</v>
      </c>
      <c r="AU182" s="129" t="s">
        <v>423</v>
      </c>
      <c r="AV182" s="129" t="s">
        <v>161</v>
      </c>
      <c r="AW182" s="129" t="s">
        <v>424</v>
      </c>
      <c r="AX182" s="178">
        <v>2</v>
      </c>
      <c r="AY182" s="129" t="s">
        <v>194</v>
      </c>
      <c r="AZ182" s="129" t="s">
        <v>195</v>
      </c>
      <c r="BA182" s="129" t="s">
        <v>425</v>
      </c>
      <c r="BB182" s="129" t="s">
        <v>160</v>
      </c>
      <c r="BC182" s="178">
        <v>2</v>
      </c>
      <c r="BD182" s="129" t="s">
        <v>160</v>
      </c>
      <c r="BE182" s="151">
        <v>20.785485380000001</v>
      </c>
      <c r="BF182" s="129" t="s">
        <v>426</v>
      </c>
      <c r="BG182" s="151">
        <v>0.15332352399999999</v>
      </c>
      <c r="BH182" s="129">
        <v>0.64</v>
      </c>
      <c r="BI182" s="129" t="s">
        <v>427</v>
      </c>
      <c r="BJ182" s="129">
        <v>3.4000000000000002E-2</v>
      </c>
      <c r="BK182" s="129">
        <v>9.1</v>
      </c>
      <c r="BL182" s="129" t="s">
        <v>163</v>
      </c>
      <c r="BM182" s="129">
        <v>0.56000000000000005</v>
      </c>
      <c r="BN182" s="129" t="s">
        <v>428</v>
      </c>
      <c r="BO182" s="129" t="s">
        <v>429</v>
      </c>
      <c r="BP182" s="151">
        <f t="shared" si="24"/>
        <v>19.859142300000002</v>
      </c>
      <c r="BQ182" s="129" t="s">
        <v>202</v>
      </c>
      <c r="BR182" s="217"/>
      <c r="BS182" s="129" t="s">
        <v>160</v>
      </c>
      <c r="BT182" s="129" t="s">
        <v>160</v>
      </c>
      <c r="BU182" s="129">
        <v>10</v>
      </c>
      <c r="BV182" s="129" t="s">
        <v>159</v>
      </c>
      <c r="BW182" s="129">
        <v>10</v>
      </c>
      <c r="BX182" s="145">
        <v>27.09466544</v>
      </c>
      <c r="BY182" s="129" t="s">
        <v>159</v>
      </c>
      <c r="BZ182" s="129">
        <v>1</v>
      </c>
      <c r="CA182" s="129">
        <v>1</v>
      </c>
      <c r="CB182" s="129" t="s">
        <v>160</v>
      </c>
      <c r="CC182" s="151">
        <v>4.1754965300287168</v>
      </c>
      <c r="CD182" s="129" t="s">
        <v>430</v>
      </c>
      <c r="CE182" s="151">
        <f t="shared" si="21"/>
        <v>0.16701986120114867</v>
      </c>
      <c r="CF182" s="151">
        <v>0.16701986120114867</v>
      </c>
      <c r="CG182" s="178" t="s">
        <v>160</v>
      </c>
      <c r="CH182" s="129" t="s">
        <v>431</v>
      </c>
      <c r="CI182" s="129" t="s">
        <v>160</v>
      </c>
      <c r="CJ182" s="129" t="s">
        <v>432</v>
      </c>
      <c r="CK182" s="129" t="s">
        <v>158</v>
      </c>
      <c r="CL182" s="129" t="s">
        <v>158</v>
      </c>
      <c r="CM182" s="129" t="s">
        <v>158</v>
      </c>
      <c r="CN182" s="129" t="s">
        <v>160</v>
      </c>
      <c r="CO182" s="129" t="s">
        <v>160</v>
      </c>
      <c r="CP182" s="129" t="s">
        <v>160</v>
      </c>
      <c r="CQ182" s="129" t="s">
        <v>160</v>
      </c>
      <c r="CR182" s="129" t="s">
        <v>160</v>
      </c>
      <c r="CS182" s="129" t="s">
        <v>160</v>
      </c>
      <c r="CT182" s="129" t="s">
        <v>160</v>
      </c>
      <c r="CU182" s="129">
        <v>35</v>
      </c>
      <c r="CV182" s="129" t="s">
        <v>393</v>
      </c>
      <c r="CW182" s="146">
        <v>1</v>
      </c>
      <c r="CX182" s="129" t="s">
        <v>207</v>
      </c>
      <c r="CY182" s="129">
        <v>1.06E-2</v>
      </c>
      <c r="CZ182" s="129" t="s">
        <v>159</v>
      </c>
      <c r="DA182" s="146">
        <v>0</v>
      </c>
      <c r="DB182" s="129" t="s">
        <v>208</v>
      </c>
      <c r="DC182" s="129">
        <v>5.5100000000000003E-2</v>
      </c>
      <c r="DD182" s="129" t="s">
        <v>159</v>
      </c>
      <c r="DE182" s="146">
        <v>0</v>
      </c>
      <c r="DF182" s="129" t="s">
        <v>208</v>
      </c>
      <c r="DG182" s="129" t="s">
        <v>160</v>
      </c>
      <c r="DH182" s="129" t="s">
        <v>160</v>
      </c>
      <c r="DI182" s="129" t="s">
        <v>160</v>
      </c>
      <c r="DJ182" s="129" t="s">
        <v>160</v>
      </c>
      <c r="DK182" s="145">
        <v>432.56244218316402</v>
      </c>
      <c r="DL182" s="129" t="s">
        <v>433</v>
      </c>
      <c r="DM182" s="145" t="s">
        <v>160</v>
      </c>
      <c r="DN182" s="129" t="s">
        <v>434</v>
      </c>
      <c r="DO182" s="129">
        <v>39.611910000000002</v>
      </c>
      <c r="DP182" s="129" t="s">
        <v>160</v>
      </c>
      <c r="DQ182" s="129">
        <v>0.29844999999999544</v>
      </c>
      <c r="DR182" s="129" t="s">
        <v>435</v>
      </c>
      <c r="DS182" s="129" t="s">
        <v>212</v>
      </c>
      <c r="DT182" s="129" t="s">
        <v>213</v>
      </c>
      <c r="DU182" s="129">
        <v>1.0271999999999999</v>
      </c>
      <c r="DV182" s="129" t="s">
        <v>160</v>
      </c>
      <c r="DW182" s="129" t="s">
        <v>160</v>
      </c>
      <c r="DX182" s="129" t="s">
        <v>436</v>
      </c>
      <c r="DY182" s="129" t="s">
        <v>158</v>
      </c>
      <c r="DZ182" s="129" t="s">
        <v>158</v>
      </c>
      <c r="EA182" s="129" t="s">
        <v>216</v>
      </c>
      <c r="EB182" s="129" t="s">
        <v>212</v>
      </c>
      <c r="EC182" s="129" t="s">
        <v>212</v>
      </c>
      <c r="ED182" s="129" t="s">
        <v>212</v>
      </c>
      <c r="EE182" s="129" t="s">
        <v>217</v>
      </c>
      <c r="EF182" s="147" t="s">
        <v>213</v>
      </c>
      <c r="EG182" s="148" t="s">
        <v>213</v>
      </c>
      <c r="EH182" s="129" t="s">
        <v>218</v>
      </c>
      <c r="EI182" s="129" t="s">
        <v>417</v>
      </c>
      <c r="EJ182" s="129" t="s">
        <v>160</v>
      </c>
      <c r="EK182" s="129">
        <v>1977.277</v>
      </c>
      <c r="EL182" s="129" t="s">
        <v>163</v>
      </c>
      <c r="EM182" s="129">
        <v>19.091000000000161</v>
      </c>
      <c r="EN182" s="129">
        <v>19.06400000000006</v>
      </c>
      <c r="EO182" s="129" t="s">
        <v>160</v>
      </c>
      <c r="EP182" s="129" t="s">
        <v>160</v>
      </c>
      <c r="EQ182" s="129" t="s">
        <v>160</v>
      </c>
      <c r="ER182" s="129" t="s">
        <v>160</v>
      </c>
      <c r="ES182" s="201">
        <v>8.1694739999999992</v>
      </c>
      <c r="ET182" s="129" t="s">
        <v>165</v>
      </c>
      <c r="EU182" s="151">
        <v>3.6253000000000313E-2</v>
      </c>
      <c r="EV182" s="151">
        <v>3.647099999999881E-2</v>
      </c>
      <c r="EW182" s="142" t="s">
        <v>160</v>
      </c>
      <c r="EX182" s="129" t="s">
        <v>160</v>
      </c>
      <c r="EY182" s="129" t="s">
        <v>160</v>
      </c>
      <c r="EZ182" s="208">
        <v>248.31020000000004</v>
      </c>
      <c r="FA182" s="209">
        <v>27.331999999999965</v>
      </c>
      <c r="FB182" s="209">
        <v>24.688100000000048</v>
      </c>
      <c r="FC182" s="129" t="s">
        <v>220</v>
      </c>
      <c r="FD182" s="129" t="s">
        <v>221</v>
      </c>
      <c r="FE182" s="129">
        <v>2334.3910000000001</v>
      </c>
      <c r="FF182" s="129">
        <v>38.6550000000002</v>
      </c>
      <c r="FG182" s="129">
        <v>38.76299999999992</v>
      </c>
      <c r="FH182" s="129" t="s">
        <v>160</v>
      </c>
      <c r="FI182" s="129" t="s">
        <v>160</v>
      </c>
      <c r="FJ182" s="129" t="s">
        <v>160</v>
      </c>
      <c r="FK182" s="129" t="s">
        <v>160</v>
      </c>
      <c r="FL182" s="129" t="s">
        <v>160</v>
      </c>
      <c r="FM182" s="129" t="s">
        <v>160</v>
      </c>
      <c r="FN182" s="151">
        <v>4.7461409999999997</v>
      </c>
      <c r="FO182" s="151">
        <v>0.29082499999999989</v>
      </c>
      <c r="FP182" s="151">
        <v>0.27825199999999928</v>
      </c>
      <c r="FQ182" s="178" t="s">
        <v>419</v>
      </c>
      <c r="FR182" s="129" t="s">
        <v>415</v>
      </c>
      <c r="FS182" s="129">
        <v>2017</v>
      </c>
      <c r="FT182" s="131" t="s">
        <v>416</v>
      </c>
    </row>
    <row r="183" spans="1:176" s="129" customFormat="1">
      <c r="A183" s="129" t="s">
        <v>152</v>
      </c>
      <c r="B183" s="166" t="s">
        <v>183</v>
      </c>
      <c r="C183" s="166">
        <v>2018</v>
      </c>
      <c r="D183" s="166" t="s">
        <v>184</v>
      </c>
      <c r="E183" s="145">
        <f t="shared" si="22"/>
        <v>1123.0899999999999</v>
      </c>
      <c r="F183" s="129">
        <f t="shared" si="23"/>
        <v>2</v>
      </c>
      <c r="G183" s="129">
        <f t="shared" si="23"/>
        <v>2</v>
      </c>
      <c r="H183" s="191">
        <v>205.25210000000001</v>
      </c>
      <c r="I183" s="191">
        <v>22.593499999999977</v>
      </c>
      <c r="J183" s="191">
        <v>21.248400000000032</v>
      </c>
      <c r="K183" s="129" t="s">
        <v>457</v>
      </c>
      <c r="L183" s="131" t="s">
        <v>185</v>
      </c>
      <c r="M183" s="132" t="s">
        <v>186</v>
      </c>
      <c r="N183" s="129" t="s">
        <v>184</v>
      </c>
      <c r="O183" s="129" t="s">
        <v>420</v>
      </c>
      <c r="P183" s="205" t="s">
        <v>438</v>
      </c>
      <c r="Q183" s="205">
        <v>5</v>
      </c>
      <c r="R183" s="205">
        <v>1</v>
      </c>
      <c r="S183" s="206">
        <v>108</v>
      </c>
      <c r="T183" s="206">
        <f t="shared" si="20"/>
        <v>110</v>
      </c>
      <c r="U183" s="207">
        <v>37.18</v>
      </c>
      <c r="V183" s="207">
        <v>37.18</v>
      </c>
      <c r="W183" s="129" t="s">
        <v>160</v>
      </c>
      <c r="X183" s="129" t="s">
        <v>421</v>
      </c>
      <c r="Y183" s="200">
        <v>12.74</v>
      </c>
      <c r="Z183" s="200">
        <v>-78.739999999999995</v>
      </c>
      <c r="AA183" s="129" t="s">
        <v>160</v>
      </c>
      <c r="AB183" s="129" t="s">
        <v>160</v>
      </c>
      <c r="AC183" s="129">
        <v>-2839</v>
      </c>
      <c r="AD183" s="129" t="s">
        <v>160</v>
      </c>
      <c r="AE183" s="129" t="s">
        <v>160</v>
      </c>
      <c r="AF183" s="129" t="s">
        <v>160</v>
      </c>
      <c r="AG183" s="129">
        <v>1123.0899999999999</v>
      </c>
      <c r="AH183" s="129" t="s">
        <v>163</v>
      </c>
      <c r="AI183" s="129">
        <v>2</v>
      </c>
      <c r="AJ183" s="129">
        <v>2</v>
      </c>
      <c r="AK183" s="129" t="s">
        <v>160</v>
      </c>
      <c r="AL183" s="129" t="s">
        <v>422</v>
      </c>
      <c r="AM183" s="129" t="s">
        <v>160</v>
      </c>
      <c r="AN183" s="129" t="s">
        <v>160</v>
      </c>
      <c r="AO183" s="129" t="s">
        <v>160</v>
      </c>
      <c r="AP183" s="129" t="s">
        <v>160</v>
      </c>
      <c r="AQ183" s="129" t="s">
        <v>160</v>
      </c>
      <c r="AR183" s="129" t="s">
        <v>160</v>
      </c>
      <c r="AS183" s="129" t="s">
        <v>160</v>
      </c>
      <c r="AT183" s="129" t="s">
        <v>160</v>
      </c>
      <c r="AU183" s="129" t="s">
        <v>423</v>
      </c>
      <c r="AV183" s="129" t="s">
        <v>161</v>
      </c>
      <c r="AW183" s="129" t="s">
        <v>424</v>
      </c>
      <c r="AX183" s="178">
        <v>2</v>
      </c>
      <c r="AY183" s="129" t="s">
        <v>194</v>
      </c>
      <c r="AZ183" s="129" t="s">
        <v>195</v>
      </c>
      <c r="BA183" s="129" t="s">
        <v>425</v>
      </c>
      <c r="BB183" s="129" t="s">
        <v>160</v>
      </c>
      <c r="BC183" s="178">
        <v>2</v>
      </c>
      <c r="BD183" s="129" t="s">
        <v>160</v>
      </c>
      <c r="BE183" s="151">
        <v>21.251716349999999</v>
      </c>
      <c r="BF183" s="129" t="s">
        <v>426</v>
      </c>
      <c r="BG183" s="151">
        <v>0.14808570600000001</v>
      </c>
      <c r="BH183" s="129">
        <v>0.64</v>
      </c>
      <c r="BI183" s="129" t="s">
        <v>427</v>
      </c>
      <c r="BJ183" s="129">
        <v>3.4000000000000002E-2</v>
      </c>
      <c r="BK183" s="129">
        <v>9.1</v>
      </c>
      <c r="BL183" s="129" t="s">
        <v>163</v>
      </c>
      <c r="BM183" s="129">
        <v>0.56000000000000005</v>
      </c>
      <c r="BN183" s="129" t="s">
        <v>428</v>
      </c>
      <c r="BO183" s="129" t="s">
        <v>429</v>
      </c>
      <c r="BP183" s="151">
        <f t="shared" si="24"/>
        <v>20.636193916666667</v>
      </c>
      <c r="BQ183" s="129" t="s">
        <v>202</v>
      </c>
      <c r="BR183" s="217"/>
      <c r="BS183" s="129" t="s">
        <v>160</v>
      </c>
      <c r="BT183" s="129" t="s">
        <v>160</v>
      </c>
      <c r="BU183" s="129">
        <v>10</v>
      </c>
      <c r="BV183" s="129" t="s">
        <v>159</v>
      </c>
      <c r="BW183" s="129">
        <v>10</v>
      </c>
      <c r="BX183" s="145">
        <v>26.750982010000001</v>
      </c>
      <c r="BY183" s="129" t="s">
        <v>159</v>
      </c>
      <c r="BZ183" s="129">
        <v>1</v>
      </c>
      <c r="CA183" s="129">
        <v>1</v>
      </c>
      <c r="CB183" s="129" t="s">
        <v>160</v>
      </c>
      <c r="CC183" s="151">
        <v>4.0589616152941002</v>
      </c>
      <c r="CD183" s="129" t="s">
        <v>430</v>
      </c>
      <c r="CE183" s="151">
        <f t="shared" si="21"/>
        <v>0.16235846461176401</v>
      </c>
      <c r="CF183" s="151">
        <v>0.16235846461176401</v>
      </c>
      <c r="CG183" s="178" t="s">
        <v>160</v>
      </c>
      <c r="CH183" s="129" t="s">
        <v>431</v>
      </c>
      <c r="CI183" s="129" t="s">
        <v>160</v>
      </c>
      <c r="CJ183" s="129" t="s">
        <v>432</v>
      </c>
      <c r="CK183" s="129" t="s">
        <v>158</v>
      </c>
      <c r="CL183" s="129" t="s">
        <v>158</v>
      </c>
      <c r="CM183" s="129" t="s">
        <v>158</v>
      </c>
      <c r="CN183" s="129" t="s">
        <v>160</v>
      </c>
      <c r="CO183" s="129" t="s">
        <v>160</v>
      </c>
      <c r="CP183" s="129" t="s">
        <v>160</v>
      </c>
      <c r="CQ183" s="129" t="s">
        <v>160</v>
      </c>
      <c r="CR183" s="129" t="s">
        <v>160</v>
      </c>
      <c r="CS183" s="129" t="s">
        <v>160</v>
      </c>
      <c r="CT183" s="129" t="s">
        <v>160</v>
      </c>
      <c r="CU183" s="129">
        <v>35</v>
      </c>
      <c r="CV183" s="129" t="s">
        <v>393</v>
      </c>
      <c r="CW183" s="146">
        <v>1</v>
      </c>
      <c r="CX183" s="129" t="s">
        <v>207</v>
      </c>
      <c r="CY183" s="129">
        <v>1.06E-2</v>
      </c>
      <c r="CZ183" s="129" t="s">
        <v>159</v>
      </c>
      <c r="DA183" s="146">
        <v>0</v>
      </c>
      <c r="DB183" s="129" t="s">
        <v>208</v>
      </c>
      <c r="DC183" s="129">
        <v>5.5100000000000003E-2</v>
      </c>
      <c r="DD183" s="129" t="s">
        <v>159</v>
      </c>
      <c r="DE183" s="146">
        <v>0</v>
      </c>
      <c r="DF183" s="129" t="s">
        <v>208</v>
      </c>
      <c r="DG183" s="129" t="s">
        <v>160</v>
      </c>
      <c r="DH183" s="129" t="s">
        <v>160</v>
      </c>
      <c r="DI183" s="129" t="s">
        <v>160</v>
      </c>
      <c r="DJ183" s="129" t="s">
        <v>160</v>
      </c>
      <c r="DK183" s="145">
        <v>432.56244218316402</v>
      </c>
      <c r="DL183" s="129" t="s">
        <v>433</v>
      </c>
      <c r="DM183" s="145" t="s">
        <v>160</v>
      </c>
      <c r="DN183" s="129" t="s">
        <v>434</v>
      </c>
      <c r="DO183" s="129">
        <v>39.613480000000003</v>
      </c>
      <c r="DP183" s="129" t="s">
        <v>160</v>
      </c>
      <c r="DQ183" s="129">
        <v>0.29996999999999474</v>
      </c>
      <c r="DR183" s="129" t="s">
        <v>435</v>
      </c>
      <c r="DS183" s="129" t="s">
        <v>212</v>
      </c>
      <c r="DT183" s="129" t="s">
        <v>213</v>
      </c>
      <c r="DU183" s="129">
        <v>1.0271999999999999</v>
      </c>
      <c r="DV183" s="129" t="s">
        <v>160</v>
      </c>
      <c r="DW183" s="129" t="s">
        <v>160</v>
      </c>
      <c r="DX183" s="129" t="s">
        <v>436</v>
      </c>
      <c r="DY183" s="129" t="s">
        <v>158</v>
      </c>
      <c r="DZ183" s="129" t="s">
        <v>158</v>
      </c>
      <c r="EA183" s="129" t="s">
        <v>216</v>
      </c>
      <c r="EB183" s="129" t="s">
        <v>212</v>
      </c>
      <c r="EC183" s="129" t="s">
        <v>212</v>
      </c>
      <c r="ED183" s="129" t="s">
        <v>212</v>
      </c>
      <c r="EE183" s="129" t="s">
        <v>217</v>
      </c>
      <c r="EF183" s="147" t="s">
        <v>213</v>
      </c>
      <c r="EG183" s="148" t="s">
        <v>213</v>
      </c>
      <c r="EH183" s="129" t="s">
        <v>218</v>
      </c>
      <c r="EI183" s="129" t="s">
        <v>417</v>
      </c>
      <c r="EJ183" s="129" t="s">
        <v>160</v>
      </c>
      <c r="EK183" s="129">
        <v>1977.1680000000001</v>
      </c>
      <c r="EL183" s="129" t="s">
        <v>163</v>
      </c>
      <c r="EM183" s="129">
        <v>18.923000000000116</v>
      </c>
      <c r="EN183" s="129">
        <v>19.198000000000217</v>
      </c>
      <c r="EO183" s="129" t="s">
        <v>160</v>
      </c>
      <c r="EP183" s="129" t="s">
        <v>160</v>
      </c>
      <c r="EQ183" s="129" t="s">
        <v>160</v>
      </c>
      <c r="ER183" s="129" t="s">
        <v>160</v>
      </c>
      <c r="ES183" s="201">
        <v>8.2327200000000005</v>
      </c>
      <c r="ET183" s="129" t="s">
        <v>165</v>
      </c>
      <c r="EU183" s="151">
        <v>3.6399999999998656E-2</v>
      </c>
      <c r="EV183" s="151">
        <v>3.5396000000000427E-2</v>
      </c>
      <c r="EW183" s="142" t="s">
        <v>160</v>
      </c>
      <c r="EX183" s="129" t="s">
        <v>160</v>
      </c>
      <c r="EY183" s="129" t="s">
        <v>160</v>
      </c>
      <c r="EZ183" s="208">
        <v>205.25210000000001</v>
      </c>
      <c r="FA183" s="209">
        <v>22.593499999999977</v>
      </c>
      <c r="FB183" s="209">
        <v>21.248400000000032</v>
      </c>
      <c r="FC183" s="129" t="s">
        <v>220</v>
      </c>
      <c r="FD183" s="129" t="s">
        <v>221</v>
      </c>
      <c r="FE183" s="129">
        <v>2382.5589999999997</v>
      </c>
      <c r="FF183" s="129">
        <v>39.195000000000164</v>
      </c>
      <c r="FG183" s="129">
        <v>40.614000000000033</v>
      </c>
      <c r="FH183" s="129" t="s">
        <v>160</v>
      </c>
      <c r="FI183" s="129" t="s">
        <v>160</v>
      </c>
      <c r="FJ183" s="129" t="s">
        <v>160</v>
      </c>
      <c r="FK183" s="129" t="s">
        <v>160</v>
      </c>
      <c r="FL183" s="129" t="s">
        <v>160</v>
      </c>
      <c r="FM183" s="129" t="s">
        <v>160</v>
      </c>
      <c r="FN183" s="151">
        <v>5.3169510000000004</v>
      </c>
      <c r="FO183" s="151">
        <v>0.30453799999999998</v>
      </c>
      <c r="FP183" s="151">
        <v>0.30545700000000053</v>
      </c>
      <c r="FQ183" s="178" t="s">
        <v>419</v>
      </c>
      <c r="FR183" s="129" t="s">
        <v>415</v>
      </c>
      <c r="FS183" s="129">
        <v>2017</v>
      </c>
      <c r="FT183" s="131" t="s">
        <v>416</v>
      </c>
    </row>
    <row r="184" spans="1:176" s="129" customFormat="1">
      <c r="A184" s="129" t="s">
        <v>152</v>
      </c>
      <c r="B184" s="166" t="s">
        <v>183</v>
      </c>
      <c r="C184" s="166">
        <v>2018</v>
      </c>
      <c r="D184" s="166" t="s">
        <v>184</v>
      </c>
      <c r="E184" s="145">
        <f t="shared" si="22"/>
        <v>1126.06</v>
      </c>
      <c r="F184" s="129">
        <f t="shared" si="23"/>
        <v>2</v>
      </c>
      <c r="G184" s="129">
        <f t="shared" si="23"/>
        <v>2</v>
      </c>
      <c r="H184" s="191">
        <v>246.4349</v>
      </c>
      <c r="I184" s="191">
        <v>29.021899999999988</v>
      </c>
      <c r="J184" s="191">
        <v>26.761899999999997</v>
      </c>
      <c r="K184" s="129" t="s">
        <v>457</v>
      </c>
      <c r="L184" s="131" t="s">
        <v>185</v>
      </c>
      <c r="M184" s="132" t="s">
        <v>186</v>
      </c>
      <c r="N184" s="129" t="s">
        <v>184</v>
      </c>
      <c r="O184" s="129" t="s">
        <v>420</v>
      </c>
      <c r="P184" s="205" t="s">
        <v>438</v>
      </c>
      <c r="Q184" s="205">
        <v>5</v>
      </c>
      <c r="R184" s="205">
        <v>1</v>
      </c>
      <c r="S184" s="206">
        <v>118</v>
      </c>
      <c r="T184" s="206">
        <f t="shared" si="20"/>
        <v>120</v>
      </c>
      <c r="U184" s="207">
        <v>37.28</v>
      </c>
      <c r="V184" s="207">
        <v>37.28</v>
      </c>
      <c r="W184" s="129" t="s">
        <v>160</v>
      </c>
      <c r="X184" s="129" t="s">
        <v>421</v>
      </c>
      <c r="Y184" s="200">
        <v>12.74</v>
      </c>
      <c r="Z184" s="200">
        <v>-78.739999999999995</v>
      </c>
      <c r="AA184" s="129" t="s">
        <v>160</v>
      </c>
      <c r="AB184" s="129" t="s">
        <v>160</v>
      </c>
      <c r="AC184" s="129">
        <v>-2839</v>
      </c>
      <c r="AD184" s="129" t="s">
        <v>160</v>
      </c>
      <c r="AE184" s="129" t="s">
        <v>160</v>
      </c>
      <c r="AF184" s="129" t="s">
        <v>160</v>
      </c>
      <c r="AG184" s="129">
        <v>1126.06</v>
      </c>
      <c r="AH184" s="129" t="s">
        <v>163</v>
      </c>
      <c r="AI184" s="129">
        <v>2</v>
      </c>
      <c r="AJ184" s="129">
        <v>2</v>
      </c>
      <c r="AK184" s="129" t="s">
        <v>160</v>
      </c>
      <c r="AL184" s="129" t="s">
        <v>422</v>
      </c>
      <c r="AM184" s="129" t="s">
        <v>160</v>
      </c>
      <c r="AN184" s="129" t="s">
        <v>160</v>
      </c>
      <c r="AO184" s="129" t="s">
        <v>160</v>
      </c>
      <c r="AP184" s="129" t="s">
        <v>160</v>
      </c>
      <c r="AQ184" s="129" t="s">
        <v>160</v>
      </c>
      <c r="AR184" s="129" t="s">
        <v>160</v>
      </c>
      <c r="AS184" s="129" t="s">
        <v>160</v>
      </c>
      <c r="AT184" s="129" t="s">
        <v>160</v>
      </c>
      <c r="AU184" s="129" t="s">
        <v>423</v>
      </c>
      <c r="AV184" s="129" t="s">
        <v>161</v>
      </c>
      <c r="AW184" s="129" t="s">
        <v>424</v>
      </c>
      <c r="AX184" s="178">
        <v>2</v>
      </c>
      <c r="AY184" s="129" t="s">
        <v>194</v>
      </c>
      <c r="AZ184" s="129" t="s">
        <v>195</v>
      </c>
      <c r="BA184" s="129" t="s">
        <v>425</v>
      </c>
      <c r="BB184" s="129" t="s">
        <v>160</v>
      </c>
      <c r="BC184" s="178">
        <v>2</v>
      </c>
      <c r="BD184" s="129" t="s">
        <v>160</v>
      </c>
      <c r="BE184" s="151">
        <v>20.635507010000001</v>
      </c>
      <c r="BF184" s="129" t="s">
        <v>426</v>
      </c>
      <c r="BG184" s="151">
        <v>0.21353292400000001</v>
      </c>
      <c r="BH184" s="129">
        <v>0.64</v>
      </c>
      <c r="BI184" s="129" t="s">
        <v>427</v>
      </c>
      <c r="BJ184" s="129">
        <v>3.4000000000000002E-2</v>
      </c>
      <c r="BK184" s="129">
        <v>9.1</v>
      </c>
      <c r="BL184" s="129" t="s">
        <v>163</v>
      </c>
      <c r="BM184" s="129">
        <v>0.56000000000000005</v>
      </c>
      <c r="BN184" s="129" t="s">
        <v>428</v>
      </c>
      <c r="BO184" s="129" t="s">
        <v>429</v>
      </c>
      <c r="BP184" s="151">
        <f t="shared" si="24"/>
        <v>19.609178350000004</v>
      </c>
      <c r="BQ184" s="129" t="s">
        <v>202</v>
      </c>
      <c r="BR184" s="217"/>
      <c r="BS184" s="129" t="s">
        <v>160</v>
      </c>
      <c r="BT184" s="129" t="s">
        <v>160</v>
      </c>
      <c r="BU184" s="129">
        <v>10</v>
      </c>
      <c r="BV184" s="129" t="s">
        <v>159</v>
      </c>
      <c r="BW184" s="129">
        <v>10</v>
      </c>
      <c r="BX184" s="145">
        <v>25.05464023</v>
      </c>
      <c r="BY184" s="129" t="s">
        <v>159</v>
      </c>
      <c r="BZ184" s="129">
        <v>1</v>
      </c>
      <c r="CA184" s="129">
        <v>1</v>
      </c>
      <c r="CB184" s="129" t="s">
        <v>160</v>
      </c>
      <c r="CC184" s="151">
        <v>3.5024311291596772</v>
      </c>
      <c r="CD184" s="129" t="s">
        <v>430</v>
      </c>
      <c r="CE184" s="151">
        <f t="shared" si="21"/>
        <v>0.14009724516638708</v>
      </c>
      <c r="CF184" s="151">
        <v>0.14009724516638708</v>
      </c>
      <c r="CG184" s="178" t="s">
        <v>160</v>
      </c>
      <c r="CH184" s="129" t="s">
        <v>431</v>
      </c>
      <c r="CI184" s="129" t="s">
        <v>160</v>
      </c>
      <c r="CJ184" s="129" t="s">
        <v>432</v>
      </c>
      <c r="CK184" s="129" t="s">
        <v>158</v>
      </c>
      <c r="CL184" s="129" t="s">
        <v>158</v>
      </c>
      <c r="CM184" s="129" t="s">
        <v>158</v>
      </c>
      <c r="CN184" s="129" t="s">
        <v>160</v>
      </c>
      <c r="CO184" s="129" t="s">
        <v>160</v>
      </c>
      <c r="CP184" s="129" t="s">
        <v>160</v>
      </c>
      <c r="CQ184" s="129" t="s">
        <v>160</v>
      </c>
      <c r="CR184" s="129" t="s">
        <v>160</v>
      </c>
      <c r="CS184" s="129" t="s">
        <v>160</v>
      </c>
      <c r="CT184" s="129" t="s">
        <v>160</v>
      </c>
      <c r="CU184" s="129">
        <v>35</v>
      </c>
      <c r="CV184" s="129" t="s">
        <v>393</v>
      </c>
      <c r="CW184" s="146">
        <v>1</v>
      </c>
      <c r="CX184" s="129" t="s">
        <v>207</v>
      </c>
      <c r="CY184" s="129">
        <v>1.06E-2</v>
      </c>
      <c r="CZ184" s="129" t="s">
        <v>159</v>
      </c>
      <c r="DA184" s="146">
        <v>0</v>
      </c>
      <c r="DB184" s="129" t="s">
        <v>208</v>
      </c>
      <c r="DC184" s="129">
        <v>5.5100000000000003E-2</v>
      </c>
      <c r="DD184" s="129" t="s">
        <v>159</v>
      </c>
      <c r="DE184" s="146">
        <v>0</v>
      </c>
      <c r="DF184" s="129" t="s">
        <v>208</v>
      </c>
      <c r="DG184" s="129" t="s">
        <v>160</v>
      </c>
      <c r="DH184" s="129" t="s">
        <v>160</v>
      </c>
      <c r="DI184" s="129" t="s">
        <v>160</v>
      </c>
      <c r="DJ184" s="129" t="s">
        <v>160</v>
      </c>
      <c r="DK184" s="145">
        <v>432.56244218316402</v>
      </c>
      <c r="DL184" s="129" t="s">
        <v>433</v>
      </c>
      <c r="DM184" s="145" t="s">
        <v>160</v>
      </c>
      <c r="DN184" s="129" t="s">
        <v>434</v>
      </c>
      <c r="DO184" s="129">
        <v>39.611339999999998</v>
      </c>
      <c r="DP184" s="129" t="s">
        <v>160</v>
      </c>
      <c r="DQ184" s="129">
        <v>0.30286999999999864</v>
      </c>
      <c r="DR184" s="129" t="s">
        <v>435</v>
      </c>
      <c r="DS184" s="129" t="s">
        <v>212</v>
      </c>
      <c r="DT184" s="129" t="s">
        <v>213</v>
      </c>
      <c r="DU184" s="129">
        <v>1.0271999999999999</v>
      </c>
      <c r="DV184" s="129" t="s">
        <v>160</v>
      </c>
      <c r="DW184" s="129" t="s">
        <v>160</v>
      </c>
      <c r="DX184" s="129" t="s">
        <v>436</v>
      </c>
      <c r="DY184" s="129" t="s">
        <v>158</v>
      </c>
      <c r="DZ184" s="129" t="s">
        <v>158</v>
      </c>
      <c r="EA184" s="129" t="s">
        <v>216</v>
      </c>
      <c r="EB184" s="129" t="s">
        <v>212</v>
      </c>
      <c r="EC184" s="129" t="s">
        <v>212</v>
      </c>
      <c r="ED184" s="129" t="s">
        <v>212</v>
      </c>
      <c r="EE184" s="129" t="s">
        <v>217</v>
      </c>
      <c r="EF184" s="147" t="s">
        <v>213</v>
      </c>
      <c r="EG184" s="148" t="s">
        <v>213</v>
      </c>
      <c r="EH184" s="129" t="s">
        <v>218</v>
      </c>
      <c r="EI184" s="129" t="s">
        <v>417</v>
      </c>
      <c r="EJ184" s="129" t="s">
        <v>160</v>
      </c>
      <c r="EK184" s="129">
        <v>1977.0429999999999</v>
      </c>
      <c r="EL184" s="129" t="s">
        <v>163</v>
      </c>
      <c r="EM184" s="129">
        <v>19.350000000000009</v>
      </c>
      <c r="EN184" s="129">
        <v>18.948999999999877</v>
      </c>
      <c r="EO184" s="129" t="s">
        <v>160</v>
      </c>
      <c r="EP184" s="129" t="s">
        <v>160</v>
      </c>
      <c r="EQ184" s="129" t="s">
        <v>160</v>
      </c>
      <c r="ER184" s="129" t="s">
        <v>160</v>
      </c>
      <c r="ES184" s="201">
        <v>8.1718360000000008</v>
      </c>
      <c r="ET184" s="129" t="s">
        <v>165</v>
      </c>
      <c r="EU184" s="151">
        <v>3.9859999999999118E-2</v>
      </c>
      <c r="EV184" s="151">
        <v>3.9166000000001588E-2</v>
      </c>
      <c r="EW184" s="142" t="s">
        <v>160</v>
      </c>
      <c r="EX184" s="129" t="s">
        <v>160</v>
      </c>
      <c r="EY184" s="129" t="s">
        <v>160</v>
      </c>
      <c r="EZ184" s="208">
        <v>246.4349</v>
      </c>
      <c r="FA184" s="209">
        <v>29.021899999999988</v>
      </c>
      <c r="FB184" s="209">
        <v>26.761899999999997</v>
      </c>
      <c r="FC184" s="129" t="s">
        <v>220</v>
      </c>
      <c r="FD184" s="129" t="s">
        <v>221</v>
      </c>
      <c r="FE184" s="129">
        <v>2313.6929999999998</v>
      </c>
      <c r="FF184" s="129">
        <v>40.092000000000553</v>
      </c>
      <c r="FG184" s="129">
        <v>39.736999999999625</v>
      </c>
      <c r="FH184" s="129" t="s">
        <v>160</v>
      </c>
      <c r="FI184" s="129" t="s">
        <v>160</v>
      </c>
      <c r="FJ184" s="129" t="s">
        <v>160</v>
      </c>
      <c r="FK184" s="129" t="s">
        <v>160</v>
      </c>
      <c r="FL184" s="129" t="s">
        <v>160</v>
      </c>
      <c r="FM184" s="129" t="s">
        <v>160</v>
      </c>
      <c r="FN184" s="151">
        <v>4.4387889999999999</v>
      </c>
      <c r="FO184" s="151">
        <v>0.30276000000000014</v>
      </c>
      <c r="FP184" s="151">
        <v>0.2961039999999997</v>
      </c>
      <c r="FQ184" s="178" t="s">
        <v>419</v>
      </c>
      <c r="FR184" s="129" t="s">
        <v>415</v>
      </c>
      <c r="FS184" s="129">
        <v>2017</v>
      </c>
      <c r="FT184" s="131" t="s">
        <v>416</v>
      </c>
    </row>
    <row r="185" spans="1:176" s="129" customFormat="1">
      <c r="A185" s="129" t="s">
        <v>152</v>
      </c>
      <c r="B185" s="166" t="s">
        <v>183</v>
      </c>
      <c r="C185" s="166">
        <v>2018</v>
      </c>
      <c r="D185" s="166" t="s">
        <v>184</v>
      </c>
      <c r="E185" s="145">
        <f t="shared" si="22"/>
        <v>1127.81</v>
      </c>
      <c r="F185" s="129">
        <f t="shared" si="23"/>
        <v>2</v>
      </c>
      <c r="G185" s="129">
        <f t="shared" si="23"/>
        <v>2</v>
      </c>
      <c r="H185" s="191">
        <v>244.73310000000001</v>
      </c>
      <c r="I185" s="191">
        <v>29.617399999999947</v>
      </c>
      <c r="J185" s="191">
        <v>27.083300000000008</v>
      </c>
      <c r="K185" s="129" t="s">
        <v>457</v>
      </c>
      <c r="L185" s="131" t="s">
        <v>185</v>
      </c>
      <c r="M185" s="132" t="s">
        <v>186</v>
      </c>
      <c r="N185" s="129" t="s">
        <v>184</v>
      </c>
      <c r="O185" s="129" t="s">
        <v>420</v>
      </c>
      <c r="P185" s="205" t="s">
        <v>438</v>
      </c>
      <c r="Q185" s="205">
        <v>5</v>
      </c>
      <c r="R185" s="205">
        <v>1</v>
      </c>
      <c r="S185" s="206">
        <v>123</v>
      </c>
      <c r="T185" s="206">
        <f t="shared" si="20"/>
        <v>125</v>
      </c>
      <c r="U185" s="207">
        <v>37.33</v>
      </c>
      <c r="V185" s="207">
        <v>37.33</v>
      </c>
      <c r="W185" s="129" t="s">
        <v>160</v>
      </c>
      <c r="X185" s="129" t="s">
        <v>421</v>
      </c>
      <c r="Y185" s="200">
        <v>12.74</v>
      </c>
      <c r="Z185" s="200">
        <v>-78.739999999999995</v>
      </c>
      <c r="AA185" s="129" t="s">
        <v>160</v>
      </c>
      <c r="AB185" s="129" t="s">
        <v>160</v>
      </c>
      <c r="AC185" s="129">
        <v>-2839</v>
      </c>
      <c r="AD185" s="129" t="s">
        <v>160</v>
      </c>
      <c r="AE185" s="129" t="s">
        <v>160</v>
      </c>
      <c r="AF185" s="129" t="s">
        <v>160</v>
      </c>
      <c r="AG185" s="129">
        <v>1127.81</v>
      </c>
      <c r="AH185" s="129" t="s">
        <v>163</v>
      </c>
      <c r="AI185" s="129">
        <v>2</v>
      </c>
      <c r="AJ185" s="129">
        <v>2</v>
      </c>
      <c r="AK185" s="129" t="s">
        <v>160</v>
      </c>
      <c r="AL185" s="129" t="s">
        <v>422</v>
      </c>
      <c r="AM185" s="129" t="s">
        <v>160</v>
      </c>
      <c r="AN185" s="129" t="s">
        <v>160</v>
      </c>
      <c r="AO185" s="129" t="s">
        <v>160</v>
      </c>
      <c r="AP185" s="129" t="s">
        <v>160</v>
      </c>
      <c r="AQ185" s="129" t="s">
        <v>160</v>
      </c>
      <c r="AR185" s="129" t="s">
        <v>160</v>
      </c>
      <c r="AS185" s="129" t="s">
        <v>160</v>
      </c>
      <c r="AT185" s="129" t="s">
        <v>160</v>
      </c>
      <c r="AU185" s="129" t="s">
        <v>423</v>
      </c>
      <c r="AV185" s="129" t="s">
        <v>161</v>
      </c>
      <c r="AW185" s="129" t="s">
        <v>424</v>
      </c>
      <c r="AX185" s="178">
        <v>2</v>
      </c>
      <c r="AY185" s="129" t="s">
        <v>194</v>
      </c>
      <c r="AZ185" s="129" t="s">
        <v>195</v>
      </c>
      <c r="BA185" s="129" t="s">
        <v>425</v>
      </c>
      <c r="BB185" s="129" t="s">
        <v>160</v>
      </c>
      <c r="BC185" s="178">
        <v>2</v>
      </c>
      <c r="BD185" s="129" t="s">
        <v>160</v>
      </c>
      <c r="BE185" s="151">
        <v>20.631648850000001</v>
      </c>
      <c r="BF185" s="129" t="s">
        <v>426</v>
      </c>
      <c r="BG185" s="151">
        <v>0.220123392</v>
      </c>
      <c r="BH185" s="129">
        <v>0.64</v>
      </c>
      <c r="BI185" s="129" t="s">
        <v>427</v>
      </c>
      <c r="BJ185" s="129">
        <v>3.4000000000000002E-2</v>
      </c>
      <c r="BK185" s="129">
        <v>9.1</v>
      </c>
      <c r="BL185" s="129" t="s">
        <v>163</v>
      </c>
      <c r="BM185" s="129">
        <v>0.56000000000000005</v>
      </c>
      <c r="BN185" s="129" t="s">
        <v>428</v>
      </c>
      <c r="BO185" s="129" t="s">
        <v>429</v>
      </c>
      <c r="BP185" s="151">
        <f t="shared" si="24"/>
        <v>19.602748083333339</v>
      </c>
      <c r="BQ185" s="129" t="s">
        <v>202</v>
      </c>
      <c r="BR185" s="217"/>
      <c r="BS185" s="129" t="s">
        <v>160</v>
      </c>
      <c r="BT185" s="129" t="s">
        <v>160</v>
      </c>
      <c r="BU185" s="129">
        <v>10</v>
      </c>
      <c r="BV185" s="129" t="s">
        <v>159</v>
      </c>
      <c r="BW185" s="129">
        <v>10</v>
      </c>
      <c r="BX185" s="145">
        <v>24.88153981</v>
      </c>
      <c r="BY185" s="129" t="s">
        <v>159</v>
      </c>
      <c r="BZ185" s="129">
        <v>1</v>
      </c>
      <c r="CA185" s="129">
        <v>1</v>
      </c>
      <c r="CB185" s="129" t="s">
        <v>160</v>
      </c>
      <c r="CC185" s="151">
        <v>3.4482894569759326</v>
      </c>
      <c r="CD185" s="129" t="s">
        <v>430</v>
      </c>
      <c r="CE185" s="151">
        <f t="shared" si="21"/>
        <v>0.13793157827903732</v>
      </c>
      <c r="CF185" s="151">
        <v>0.13793157827903732</v>
      </c>
      <c r="CG185" s="178" t="s">
        <v>160</v>
      </c>
      <c r="CH185" s="129" t="s">
        <v>431</v>
      </c>
      <c r="CI185" s="129" t="s">
        <v>160</v>
      </c>
      <c r="CJ185" s="129" t="s">
        <v>432</v>
      </c>
      <c r="CK185" s="129" t="s">
        <v>158</v>
      </c>
      <c r="CL185" s="129" t="s">
        <v>158</v>
      </c>
      <c r="CM185" s="129" t="s">
        <v>158</v>
      </c>
      <c r="CN185" s="129" t="s">
        <v>160</v>
      </c>
      <c r="CO185" s="129" t="s">
        <v>160</v>
      </c>
      <c r="CP185" s="129" t="s">
        <v>160</v>
      </c>
      <c r="CQ185" s="129" t="s">
        <v>160</v>
      </c>
      <c r="CR185" s="129" t="s">
        <v>160</v>
      </c>
      <c r="CS185" s="129" t="s">
        <v>160</v>
      </c>
      <c r="CT185" s="129" t="s">
        <v>160</v>
      </c>
      <c r="CU185" s="129">
        <v>35</v>
      </c>
      <c r="CV185" s="129" t="s">
        <v>393</v>
      </c>
      <c r="CW185" s="146">
        <v>1</v>
      </c>
      <c r="CX185" s="129" t="s">
        <v>207</v>
      </c>
      <c r="CY185" s="129">
        <v>1.06E-2</v>
      </c>
      <c r="CZ185" s="129" t="s">
        <v>159</v>
      </c>
      <c r="DA185" s="146">
        <v>0</v>
      </c>
      <c r="DB185" s="129" t="s">
        <v>208</v>
      </c>
      <c r="DC185" s="129">
        <v>5.5100000000000003E-2</v>
      </c>
      <c r="DD185" s="129" t="s">
        <v>159</v>
      </c>
      <c r="DE185" s="146">
        <v>0</v>
      </c>
      <c r="DF185" s="129" t="s">
        <v>208</v>
      </c>
      <c r="DG185" s="129" t="s">
        <v>160</v>
      </c>
      <c r="DH185" s="129" t="s">
        <v>160</v>
      </c>
      <c r="DI185" s="129" t="s">
        <v>160</v>
      </c>
      <c r="DJ185" s="129" t="s">
        <v>160</v>
      </c>
      <c r="DK185" s="145">
        <v>432.56244218316402</v>
      </c>
      <c r="DL185" s="129" t="s">
        <v>433</v>
      </c>
      <c r="DM185" s="145" t="s">
        <v>160</v>
      </c>
      <c r="DN185" s="129" t="s">
        <v>434</v>
      </c>
      <c r="DO185" s="129">
        <v>39.611719999999998</v>
      </c>
      <c r="DP185" s="129" t="s">
        <v>160</v>
      </c>
      <c r="DQ185" s="129">
        <v>0.30154999999999887</v>
      </c>
      <c r="DR185" s="129" t="s">
        <v>435</v>
      </c>
      <c r="DS185" s="129" t="s">
        <v>212</v>
      </c>
      <c r="DT185" s="129" t="s">
        <v>213</v>
      </c>
      <c r="DU185" s="129">
        <v>1.0271999999999999</v>
      </c>
      <c r="DV185" s="129" t="s">
        <v>160</v>
      </c>
      <c r="DW185" s="129" t="s">
        <v>160</v>
      </c>
      <c r="DX185" s="129" t="s">
        <v>436</v>
      </c>
      <c r="DY185" s="129" t="s">
        <v>158</v>
      </c>
      <c r="DZ185" s="129" t="s">
        <v>158</v>
      </c>
      <c r="EA185" s="129" t="s">
        <v>216</v>
      </c>
      <c r="EB185" s="129" t="s">
        <v>212</v>
      </c>
      <c r="EC185" s="129" t="s">
        <v>212</v>
      </c>
      <c r="ED185" s="129" t="s">
        <v>212</v>
      </c>
      <c r="EE185" s="129" t="s">
        <v>217</v>
      </c>
      <c r="EF185" s="147" t="s">
        <v>213</v>
      </c>
      <c r="EG185" s="148" t="s">
        <v>213</v>
      </c>
      <c r="EH185" s="129" t="s">
        <v>218</v>
      </c>
      <c r="EI185" s="129" t="s">
        <v>417</v>
      </c>
      <c r="EJ185" s="129" t="s">
        <v>160</v>
      </c>
      <c r="EK185" s="129">
        <v>1977.2349999999999</v>
      </c>
      <c r="EL185" s="129" t="s">
        <v>163</v>
      </c>
      <c r="EM185" s="129">
        <v>19.071000000000279</v>
      </c>
      <c r="EN185" s="129">
        <v>19.022000000000048</v>
      </c>
      <c r="EO185" s="129" t="s">
        <v>160</v>
      </c>
      <c r="EP185" s="129" t="s">
        <v>160</v>
      </c>
      <c r="EQ185" s="129" t="s">
        <v>160</v>
      </c>
      <c r="ER185" s="129" t="s">
        <v>160</v>
      </c>
      <c r="ES185" s="201">
        <v>8.1740809999999993</v>
      </c>
      <c r="ET185" s="129" t="s">
        <v>165</v>
      </c>
      <c r="EU185" s="151">
        <v>3.9864000000001454E-2</v>
      </c>
      <c r="EV185" s="151">
        <v>3.9564999999999628E-2</v>
      </c>
      <c r="EW185" s="142" t="s">
        <v>160</v>
      </c>
      <c r="EX185" s="129" t="s">
        <v>160</v>
      </c>
      <c r="EY185" s="129" t="s">
        <v>160</v>
      </c>
      <c r="EZ185" s="208">
        <v>244.73310000000001</v>
      </c>
      <c r="FA185" s="209">
        <v>29.617399999999947</v>
      </c>
      <c r="FB185" s="209">
        <v>27.083300000000008</v>
      </c>
      <c r="FC185" s="129" t="s">
        <v>220</v>
      </c>
      <c r="FD185" s="129" t="s">
        <v>221</v>
      </c>
      <c r="FE185" s="129">
        <v>2312.5639999999999</v>
      </c>
      <c r="FF185" s="129">
        <v>41.391000000000076</v>
      </c>
      <c r="FG185" s="129">
        <v>40.635999999999967</v>
      </c>
      <c r="FH185" s="129" t="s">
        <v>160</v>
      </c>
      <c r="FI185" s="129" t="s">
        <v>160</v>
      </c>
      <c r="FJ185" s="129" t="s">
        <v>160</v>
      </c>
      <c r="FK185" s="129" t="s">
        <v>160</v>
      </c>
      <c r="FL185" s="129" t="s">
        <v>160</v>
      </c>
      <c r="FM185" s="129" t="s">
        <v>160</v>
      </c>
      <c r="FN185" s="151">
        <v>4.4249429999999998</v>
      </c>
      <c r="FO185" s="151">
        <v>0.30632100000000051</v>
      </c>
      <c r="FP185" s="151">
        <v>0.29615299999999944</v>
      </c>
      <c r="FQ185" s="178" t="s">
        <v>419</v>
      </c>
      <c r="FR185" s="129" t="s">
        <v>415</v>
      </c>
      <c r="FS185" s="129">
        <v>2017</v>
      </c>
      <c r="FT185" s="131" t="s">
        <v>416</v>
      </c>
    </row>
    <row r="186" spans="1:176" s="129" customFormat="1">
      <c r="A186" s="129" t="s">
        <v>152</v>
      </c>
      <c r="B186" s="166" t="s">
        <v>183</v>
      </c>
      <c r="C186" s="166">
        <v>2018</v>
      </c>
      <c r="D186" s="166" t="s">
        <v>184</v>
      </c>
      <c r="E186" s="145">
        <f t="shared" si="22"/>
        <v>1130.97</v>
      </c>
      <c r="F186" s="129">
        <f t="shared" si="23"/>
        <v>2</v>
      </c>
      <c r="G186" s="129">
        <f t="shared" si="23"/>
        <v>2</v>
      </c>
      <c r="H186" s="191">
        <v>249.58709999999999</v>
      </c>
      <c r="I186" s="191">
        <v>28.546300000000002</v>
      </c>
      <c r="J186" s="191">
        <v>25.97120000000001</v>
      </c>
      <c r="K186" s="129" t="s">
        <v>457</v>
      </c>
      <c r="L186" s="131" t="s">
        <v>185</v>
      </c>
      <c r="M186" s="132" t="s">
        <v>186</v>
      </c>
      <c r="N186" s="129" t="s">
        <v>184</v>
      </c>
      <c r="O186" s="129" t="s">
        <v>420</v>
      </c>
      <c r="P186" s="205" t="s">
        <v>438</v>
      </c>
      <c r="Q186" s="205">
        <v>5</v>
      </c>
      <c r="R186" s="205">
        <v>1</v>
      </c>
      <c r="S186" s="206">
        <v>132</v>
      </c>
      <c r="T186" s="206">
        <f t="shared" si="20"/>
        <v>134</v>
      </c>
      <c r="U186" s="207">
        <v>37.42</v>
      </c>
      <c r="V186" s="207">
        <v>37.42</v>
      </c>
      <c r="W186" s="129" t="s">
        <v>160</v>
      </c>
      <c r="X186" s="129" t="s">
        <v>421</v>
      </c>
      <c r="Y186" s="200">
        <v>12.74</v>
      </c>
      <c r="Z186" s="200">
        <v>-78.739999999999995</v>
      </c>
      <c r="AA186" s="129" t="s">
        <v>160</v>
      </c>
      <c r="AB186" s="129" t="s">
        <v>160</v>
      </c>
      <c r="AC186" s="129">
        <v>-2839</v>
      </c>
      <c r="AD186" s="129" t="s">
        <v>160</v>
      </c>
      <c r="AE186" s="129" t="s">
        <v>160</v>
      </c>
      <c r="AF186" s="129" t="s">
        <v>160</v>
      </c>
      <c r="AG186" s="129">
        <v>1130.97</v>
      </c>
      <c r="AH186" s="129" t="s">
        <v>163</v>
      </c>
      <c r="AI186" s="129">
        <v>2</v>
      </c>
      <c r="AJ186" s="129">
        <v>2</v>
      </c>
      <c r="AK186" s="129" t="s">
        <v>160</v>
      </c>
      <c r="AL186" s="129" t="s">
        <v>422</v>
      </c>
      <c r="AM186" s="129" t="s">
        <v>160</v>
      </c>
      <c r="AN186" s="129" t="s">
        <v>160</v>
      </c>
      <c r="AO186" s="129" t="s">
        <v>160</v>
      </c>
      <c r="AP186" s="129" t="s">
        <v>160</v>
      </c>
      <c r="AQ186" s="129" t="s">
        <v>160</v>
      </c>
      <c r="AR186" s="129" t="s">
        <v>160</v>
      </c>
      <c r="AS186" s="129" t="s">
        <v>160</v>
      </c>
      <c r="AT186" s="129" t="s">
        <v>160</v>
      </c>
      <c r="AU186" s="129" t="s">
        <v>423</v>
      </c>
      <c r="AV186" s="129" t="s">
        <v>161</v>
      </c>
      <c r="AW186" s="129" t="s">
        <v>424</v>
      </c>
      <c r="AX186" s="178">
        <v>2</v>
      </c>
      <c r="AY186" s="129" t="s">
        <v>194</v>
      </c>
      <c r="AZ186" s="129" t="s">
        <v>195</v>
      </c>
      <c r="BA186" s="129" t="s">
        <v>425</v>
      </c>
      <c r="BB186" s="129" t="s">
        <v>160</v>
      </c>
      <c r="BC186" s="178">
        <v>2</v>
      </c>
      <c r="BD186" s="129" t="s">
        <v>160</v>
      </c>
      <c r="BE186" s="151">
        <v>20.633755820000001</v>
      </c>
      <c r="BF186" s="129" t="s">
        <v>426</v>
      </c>
      <c r="BG186" s="151">
        <v>0.162198646</v>
      </c>
      <c r="BH186" s="129">
        <v>0.64</v>
      </c>
      <c r="BI186" s="129" t="s">
        <v>427</v>
      </c>
      <c r="BJ186" s="129">
        <v>3.4000000000000002E-2</v>
      </c>
      <c r="BK186" s="129">
        <v>9.1</v>
      </c>
      <c r="BL186" s="129" t="s">
        <v>163</v>
      </c>
      <c r="BM186" s="129">
        <v>0.56000000000000005</v>
      </c>
      <c r="BN186" s="129" t="s">
        <v>428</v>
      </c>
      <c r="BO186" s="129" t="s">
        <v>429</v>
      </c>
      <c r="BP186" s="151">
        <f t="shared" si="24"/>
        <v>19.606259700000003</v>
      </c>
      <c r="BQ186" s="129" t="s">
        <v>202</v>
      </c>
      <c r="BR186" s="217"/>
      <c r="BS186" s="129" t="s">
        <v>160</v>
      </c>
      <c r="BT186" s="129" t="s">
        <v>160</v>
      </c>
      <c r="BU186" s="129">
        <v>10</v>
      </c>
      <c r="BV186" s="129" t="s">
        <v>159</v>
      </c>
      <c r="BW186" s="129">
        <v>10</v>
      </c>
      <c r="BX186" s="145">
        <v>25.535231769999999</v>
      </c>
      <c r="BY186" s="129" t="s">
        <v>159</v>
      </c>
      <c r="BZ186" s="129">
        <v>1</v>
      </c>
      <c r="CA186" s="129">
        <v>1</v>
      </c>
      <c r="CB186" s="129" t="s">
        <v>160</v>
      </c>
      <c r="CC186" s="151">
        <v>3.6760776998066587</v>
      </c>
      <c r="CD186" s="129" t="s">
        <v>430</v>
      </c>
      <c r="CE186" s="151">
        <f t="shared" si="21"/>
        <v>0.14704310799226636</v>
      </c>
      <c r="CF186" s="151">
        <v>0.14704310799226636</v>
      </c>
      <c r="CG186" s="178" t="s">
        <v>160</v>
      </c>
      <c r="CH186" s="129" t="s">
        <v>431</v>
      </c>
      <c r="CI186" s="129" t="s">
        <v>160</v>
      </c>
      <c r="CJ186" s="129" t="s">
        <v>432</v>
      </c>
      <c r="CK186" s="129" t="s">
        <v>158</v>
      </c>
      <c r="CL186" s="129" t="s">
        <v>158</v>
      </c>
      <c r="CM186" s="129" t="s">
        <v>158</v>
      </c>
      <c r="CN186" s="129" t="s">
        <v>160</v>
      </c>
      <c r="CO186" s="129" t="s">
        <v>160</v>
      </c>
      <c r="CP186" s="129" t="s">
        <v>160</v>
      </c>
      <c r="CQ186" s="129" t="s">
        <v>160</v>
      </c>
      <c r="CR186" s="129" t="s">
        <v>160</v>
      </c>
      <c r="CS186" s="129" t="s">
        <v>160</v>
      </c>
      <c r="CT186" s="129" t="s">
        <v>160</v>
      </c>
      <c r="CU186" s="129">
        <v>35</v>
      </c>
      <c r="CV186" s="129" t="s">
        <v>393</v>
      </c>
      <c r="CW186" s="146">
        <v>1</v>
      </c>
      <c r="CX186" s="129" t="s">
        <v>207</v>
      </c>
      <c r="CY186" s="129">
        <v>1.06E-2</v>
      </c>
      <c r="CZ186" s="129" t="s">
        <v>159</v>
      </c>
      <c r="DA186" s="146">
        <v>0</v>
      </c>
      <c r="DB186" s="129" t="s">
        <v>208</v>
      </c>
      <c r="DC186" s="129">
        <v>5.5100000000000003E-2</v>
      </c>
      <c r="DD186" s="129" t="s">
        <v>159</v>
      </c>
      <c r="DE186" s="146">
        <v>0</v>
      </c>
      <c r="DF186" s="129" t="s">
        <v>208</v>
      </c>
      <c r="DG186" s="129" t="s">
        <v>160</v>
      </c>
      <c r="DH186" s="129" t="s">
        <v>160</v>
      </c>
      <c r="DI186" s="129" t="s">
        <v>160</v>
      </c>
      <c r="DJ186" s="129" t="s">
        <v>160</v>
      </c>
      <c r="DK186" s="145">
        <v>432.56244218316402</v>
      </c>
      <c r="DL186" s="129" t="s">
        <v>433</v>
      </c>
      <c r="DM186" s="145" t="s">
        <v>160</v>
      </c>
      <c r="DN186" s="129" t="s">
        <v>434</v>
      </c>
      <c r="DO186" s="129">
        <v>39.610770000000002</v>
      </c>
      <c r="DP186" s="129" t="s">
        <v>160</v>
      </c>
      <c r="DQ186" s="129">
        <v>0.3040499999999966</v>
      </c>
      <c r="DR186" s="129" t="s">
        <v>435</v>
      </c>
      <c r="DS186" s="129" t="s">
        <v>212</v>
      </c>
      <c r="DT186" s="129" t="s">
        <v>213</v>
      </c>
      <c r="DU186" s="129">
        <v>1.0271999999999999</v>
      </c>
      <c r="DV186" s="129" t="s">
        <v>160</v>
      </c>
      <c r="DW186" s="129" t="s">
        <v>160</v>
      </c>
      <c r="DX186" s="129" t="s">
        <v>436</v>
      </c>
      <c r="DY186" s="129" t="s">
        <v>158</v>
      </c>
      <c r="DZ186" s="129" t="s">
        <v>158</v>
      </c>
      <c r="EA186" s="129" t="s">
        <v>216</v>
      </c>
      <c r="EB186" s="129" t="s">
        <v>212</v>
      </c>
      <c r="EC186" s="129" t="s">
        <v>212</v>
      </c>
      <c r="ED186" s="129" t="s">
        <v>212</v>
      </c>
      <c r="EE186" s="129" t="s">
        <v>217</v>
      </c>
      <c r="EF186" s="147" t="s">
        <v>213</v>
      </c>
      <c r="EG186" s="148" t="s">
        <v>213</v>
      </c>
      <c r="EH186" s="129" t="s">
        <v>218</v>
      </c>
      <c r="EI186" s="129" t="s">
        <v>417</v>
      </c>
      <c r="EJ186" s="129" t="s">
        <v>160</v>
      </c>
      <c r="EK186" s="129">
        <v>1977.11</v>
      </c>
      <c r="EL186" s="129" t="s">
        <v>163</v>
      </c>
      <c r="EM186" s="129">
        <v>18.808000000000366</v>
      </c>
      <c r="EN186" s="129">
        <v>19.713999999999668</v>
      </c>
      <c r="EO186" s="129" t="s">
        <v>160</v>
      </c>
      <c r="EP186" s="129" t="s">
        <v>160</v>
      </c>
      <c r="EQ186" s="129" t="s">
        <v>160</v>
      </c>
      <c r="ER186" s="129" t="s">
        <v>160</v>
      </c>
      <c r="ES186" s="201">
        <v>8.1675769999999996</v>
      </c>
      <c r="ET186" s="129" t="s">
        <v>165</v>
      </c>
      <c r="EU186" s="151">
        <v>3.7612000000001089E-2</v>
      </c>
      <c r="EV186" s="151">
        <v>3.7307000000000201E-2</v>
      </c>
      <c r="EW186" s="142" t="s">
        <v>160</v>
      </c>
      <c r="EX186" s="129" t="s">
        <v>160</v>
      </c>
      <c r="EY186" s="129" t="s">
        <v>160</v>
      </c>
      <c r="EZ186" s="208">
        <v>249.58709999999999</v>
      </c>
      <c r="FA186" s="209">
        <v>28.546300000000002</v>
      </c>
      <c r="FB186" s="209">
        <v>25.97120000000001</v>
      </c>
      <c r="FC186" s="129" t="s">
        <v>220</v>
      </c>
      <c r="FD186" s="129" t="s">
        <v>221</v>
      </c>
      <c r="FE186" s="129">
        <v>2314.4160000000002</v>
      </c>
      <c r="FF186" s="129">
        <v>39.954999999999927</v>
      </c>
      <c r="FG186" s="129">
        <v>39.153000000000247</v>
      </c>
      <c r="FH186" s="129" t="s">
        <v>160</v>
      </c>
      <c r="FI186" s="129" t="s">
        <v>160</v>
      </c>
      <c r="FJ186" s="129" t="s">
        <v>160</v>
      </c>
      <c r="FK186" s="129" t="s">
        <v>160</v>
      </c>
      <c r="FL186" s="129" t="s">
        <v>160</v>
      </c>
      <c r="FM186" s="129" t="s">
        <v>160</v>
      </c>
      <c r="FN186" s="151">
        <v>4.4599669999999998</v>
      </c>
      <c r="FO186" s="151">
        <v>0.29512300000000025</v>
      </c>
      <c r="FP186" s="151">
        <v>0.27817199999999964</v>
      </c>
      <c r="FQ186" s="178" t="s">
        <v>419</v>
      </c>
      <c r="FR186" s="129" t="s">
        <v>415</v>
      </c>
      <c r="FS186" s="129">
        <v>2017</v>
      </c>
      <c r="FT186" s="131" t="s">
        <v>416</v>
      </c>
    </row>
    <row r="187" spans="1:176" s="129" customFormat="1">
      <c r="A187" s="129" t="s">
        <v>152</v>
      </c>
      <c r="B187" s="166" t="s">
        <v>183</v>
      </c>
      <c r="C187" s="166">
        <v>2018</v>
      </c>
      <c r="D187" s="166" t="s">
        <v>184</v>
      </c>
      <c r="E187" s="145">
        <f t="shared" si="22"/>
        <v>1136.57</v>
      </c>
      <c r="F187" s="129">
        <f t="shared" si="23"/>
        <v>2</v>
      </c>
      <c r="G187" s="129">
        <f t="shared" si="23"/>
        <v>2</v>
      </c>
      <c r="H187" s="191">
        <v>291.67320000000001</v>
      </c>
      <c r="I187" s="191">
        <v>34.304299999999955</v>
      </c>
      <c r="J187" s="191">
        <v>29.862000000000023</v>
      </c>
      <c r="K187" s="129" t="s">
        <v>457</v>
      </c>
      <c r="L187" s="131" t="s">
        <v>185</v>
      </c>
      <c r="M187" s="132" t="s">
        <v>186</v>
      </c>
      <c r="N187" s="129" t="s">
        <v>184</v>
      </c>
      <c r="O187" s="129" t="s">
        <v>420</v>
      </c>
      <c r="P187" s="205" t="s">
        <v>438</v>
      </c>
      <c r="Q187" s="205">
        <v>5</v>
      </c>
      <c r="R187" s="205">
        <v>1</v>
      </c>
      <c r="S187" s="206">
        <v>148</v>
      </c>
      <c r="T187" s="206">
        <f t="shared" si="20"/>
        <v>150</v>
      </c>
      <c r="U187" s="207">
        <v>37.58</v>
      </c>
      <c r="V187" s="207">
        <v>37.58</v>
      </c>
      <c r="W187" s="129" t="s">
        <v>160</v>
      </c>
      <c r="X187" s="129" t="s">
        <v>421</v>
      </c>
      <c r="Y187" s="200">
        <v>12.74</v>
      </c>
      <c r="Z187" s="200">
        <v>-78.739999999999995</v>
      </c>
      <c r="AA187" s="129" t="s">
        <v>160</v>
      </c>
      <c r="AB187" s="129" t="s">
        <v>160</v>
      </c>
      <c r="AC187" s="129">
        <v>-2839</v>
      </c>
      <c r="AD187" s="129" t="s">
        <v>160</v>
      </c>
      <c r="AE187" s="129" t="s">
        <v>160</v>
      </c>
      <c r="AF187" s="129" t="s">
        <v>160</v>
      </c>
      <c r="AG187" s="129">
        <v>1136.57</v>
      </c>
      <c r="AH187" s="129" t="s">
        <v>163</v>
      </c>
      <c r="AI187" s="129">
        <v>2</v>
      </c>
      <c r="AJ187" s="129">
        <v>2</v>
      </c>
      <c r="AK187" s="129" t="s">
        <v>160</v>
      </c>
      <c r="AL187" s="129" t="s">
        <v>422</v>
      </c>
      <c r="AM187" s="129" t="s">
        <v>160</v>
      </c>
      <c r="AN187" s="129" t="s">
        <v>160</v>
      </c>
      <c r="AO187" s="129" t="s">
        <v>160</v>
      </c>
      <c r="AP187" s="129" t="s">
        <v>160</v>
      </c>
      <c r="AQ187" s="129" t="s">
        <v>160</v>
      </c>
      <c r="AR187" s="129" t="s">
        <v>160</v>
      </c>
      <c r="AS187" s="129" t="s">
        <v>160</v>
      </c>
      <c r="AT187" s="129" t="s">
        <v>160</v>
      </c>
      <c r="AU187" s="129" t="s">
        <v>423</v>
      </c>
      <c r="AV187" s="129" t="s">
        <v>161</v>
      </c>
      <c r="AW187" s="129" t="s">
        <v>424</v>
      </c>
      <c r="AX187" s="178">
        <v>2</v>
      </c>
      <c r="AY187" s="129" t="s">
        <v>194</v>
      </c>
      <c r="AZ187" s="129" t="s">
        <v>195</v>
      </c>
      <c r="BA187" s="129" t="s">
        <v>425</v>
      </c>
      <c r="BB187" s="129" t="s">
        <v>160</v>
      </c>
      <c r="BC187" s="178">
        <v>2</v>
      </c>
      <c r="BD187" s="129" t="s">
        <v>160</v>
      </c>
      <c r="BE187" s="151">
        <v>20.23242814</v>
      </c>
      <c r="BF187" s="129" t="s">
        <v>426</v>
      </c>
      <c r="BG187" s="151">
        <v>0.15004474400000001</v>
      </c>
      <c r="BH187" s="129">
        <v>0.64</v>
      </c>
      <c r="BI187" s="129" t="s">
        <v>427</v>
      </c>
      <c r="BJ187" s="129">
        <v>3.4000000000000002E-2</v>
      </c>
      <c r="BK187" s="129">
        <v>9.1</v>
      </c>
      <c r="BL187" s="129" t="s">
        <v>163</v>
      </c>
      <c r="BM187" s="129">
        <v>0.56000000000000005</v>
      </c>
      <c r="BN187" s="129" t="s">
        <v>428</v>
      </c>
      <c r="BO187" s="129" t="s">
        <v>429</v>
      </c>
      <c r="BP187" s="151">
        <f t="shared" si="24"/>
        <v>18.937380233333336</v>
      </c>
      <c r="BQ187" s="129" t="s">
        <v>202</v>
      </c>
      <c r="BR187" s="217"/>
      <c r="BS187" s="129" t="s">
        <v>160</v>
      </c>
      <c r="BT187" s="129" t="s">
        <v>160</v>
      </c>
      <c r="BU187" s="129">
        <v>10</v>
      </c>
      <c r="BV187" s="129" t="s">
        <v>159</v>
      </c>
      <c r="BW187" s="129">
        <v>10</v>
      </c>
      <c r="BX187" s="145">
        <v>25.31786885</v>
      </c>
      <c r="BY187" s="129" t="s">
        <v>159</v>
      </c>
      <c r="BZ187" s="129">
        <v>1</v>
      </c>
      <c r="CA187" s="129">
        <v>1</v>
      </c>
      <c r="CB187" s="129" t="s">
        <v>160</v>
      </c>
      <c r="CC187" s="151">
        <v>3.6323095448875868</v>
      </c>
      <c r="CD187" s="129" t="s">
        <v>430</v>
      </c>
      <c r="CE187" s="151">
        <f t="shared" si="21"/>
        <v>0.14529238179550347</v>
      </c>
      <c r="CF187" s="151">
        <v>0.14529238179550347</v>
      </c>
      <c r="CG187" s="178" t="s">
        <v>160</v>
      </c>
      <c r="CH187" s="129" t="s">
        <v>431</v>
      </c>
      <c r="CI187" s="129" t="s">
        <v>160</v>
      </c>
      <c r="CJ187" s="129" t="s">
        <v>432</v>
      </c>
      <c r="CK187" s="129" t="s">
        <v>158</v>
      </c>
      <c r="CL187" s="129" t="s">
        <v>158</v>
      </c>
      <c r="CM187" s="129" t="s">
        <v>158</v>
      </c>
      <c r="CN187" s="129" t="s">
        <v>160</v>
      </c>
      <c r="CO187" s="129" t="s">
        <v>160</v>
      </c>
      <c r="CP187" s="129" t="s">
        <v>160</v>
      </c>
      <c r="CQ187" s="129" t="s">
        <v>160</v>
      </c>
      <c r="CR187" s="129" t="s">
        <v>160</v>
      </c>
      <c r="CS187" s="129" t="s">
        <v>160</v>
      </c>
      <c r="CT187" s="129" t="s">
        <v>160</v>
      </c>
      <c r="CU187" s="129">
        <v>35</v>
      </c>
      <c r="CV187" s="129" t="s">
        <v>393</v>
      </c>
      <c r="CW187" s="146">
        <v>1</v>
      </c>
      <c r="CX187" s="129" t="s">
        <v>207</v>
      </c>
      <c r="CY187" s="129">
        <v>1.06E-2</v>
      </c>
      <c r="CZ187" s="129" t="s">
        <v>159</v>
      </c>
      <c r="DA187" s="146">
        <v>0</v>
      </c>
      <c r="DB187" s="129" t="s">
        <v>208</v>
      </c>
      <c r="DC187" s="129">
        <v>5.5100000000000003E-2</v>
      </c>
      <c r="DD187" s="129" t="s">
        <v>159</v>
      </c>
      <c r="DE187" s="146">
        <v>0</v>
      </c>
      <c r="DF187" s="129" t="s">
        <v>208</v>
      </c>
      <c r="DG187" s="129" t="s">
        <v>160</v>
      </c>
      <c r="DH187" s="129" t="s">
        <v>160</v>
      </c>
      <c r="DI187" s="129" t="s">
        <v>160</v>
      </c>
      <c r="DJ187" s="129" t="s">
        <v>160</v>
      </c>
      <c r="DK187" s="145">
        <v>432.56244218316402</v>
      </c>
      <c r="DL187" s="129" t="s">
        <v>433</v>
      </c>
      <c r="DM187" s="145" t="s">
        <v>160</v>
      </c>
      <c r="DN187" s="129" t="s">
        <v>434</v>
      </c>
      <c r="DO187" s="129">
        <v>39.60877</v>
      </c>
      <c r="DP187" s="129" t="s">
        <v>160</v>
      </c>
      <c r="DQ187" s="129">
        <v>0.30631999999999948</v>
      </c>
      <c r="DR187" s="129" t="s">
        <v>435</v>
      </c>
      <c r="DS187" s="129" t="s">
        <v>212</v>
      </c>
      <c r="DT187" s="129" t="s">
        <v>213</v>
      </c>
      <c r="DU187" s="129">
        <v>1.0271999999999999</v>
      </c>
      <c r="DV187" s="129" t="s">
        <v>160</v>
      </c>
      <c r="DW187" s="129" t="s">
        <v>160</v>
      </c>
      <c r="DX187" s="129" t="s">
        <v>436</v>
      </c>
      <c r="DY187" s="129" t="s">
        <v>158</v>
      </c>
      <c r="DZ187" s="129" t="s">
        <v>158</v>
      </c>
      <c r="EA187" s="129" t="s">
        <v>216</v>
      </c>
      <c r="EB187" s="129" t="s">
        <v>212</v>
      </c>
      <c r="EC187" s="129" t="s">
        <v>212</v>
      </c>
      <c r="ED187" s="129" t="s">
        <v>212</v>
      </c>
      <c r="EE187" s="129" t="s">
        <v>217</v>
      </c>
      <c r="EF187" s="147" t="s">
        <v>213</v>
      </c>
      <c r="EG187" s="148" t="s">
        <v>213</v>
      </c>
      <c r="EH187" s="129" t="s">
        <v>218</v>
      </c>
      <c r="EI187" s="129" t="s">
        <v>417</v>
      </c>
      <c r="EJ187" s="129" t="s">
        <v>160</v>
      </c>
      <c r="EK187" s="129">
        <v>1977.0220000000002</v>
      </c>
      <c r="EL187" s="129" t="s">
        <v>163</v>
      </c>
      <c r="EM187" s="129">
        <v>18.94700000000006</v>
      </c>
      <c r="EN187" s="129">
        <v>19.188000000000279</v>
      </c>
      <c r="EO187" s="129" t="s">
        <v>160</v>
      </c>
      <c r="EP187" s="129" t="s">
        <v>160</v>
      </c>
      <c r="EQ187" s="129" t="s">
        <v>160</v>
      </c>
      <c r="ER187" s="129" t="s">
        <v>160</v>
      </c>
      <c r="ES187" s="201">
        <v>8.1134299999999993</v>
      </c>
      <c r="ET187" s="129" t="s">
        <v>165</v>
      </c>
      <c r="EU187" s="151">
        <v>3.7883000000000777E-2</v>
      </c>
      <c r="EV187" s="151">
        <v>3.9192999999999145E-2</v>
      </c>
      <c r="EW187" s="142" t="s">
        <v>160</v>
      </c>
      <c r="EX187" s="129" t="s">
        <v>160</v>
      </c>
      <c r="EY187" s="129" t="s">
        <v>160</v>
      </c>
      <c r="EZ187" s="208">
        <v>291.67320000000001</v>
      </c>
      <c r="FA187" s="209">
        <v>34.304299999999955</v>
      </c>
      <c r="FB187" s="209">
        <v>29.862000000000023</v>
      </c>
      <c r="FC187" s="129" t="s">
        <v>220</v>
      </c>
      <c r="FD187" s="129" t="s">
        <v>221</v>
      </c>
      <c r="FE187" s="129">
        <v>2272.5150000000003</v>
      </c>
      <c r="FF187" s="129">
        <v>37.861999999999625</v>
      </c>
      <c r="FG187" s="129">
        <v>38.475000000000364</v>
      </c>
      <c r="FH187" s="129" t="s">
        <v>160</v>
      </c>
      <c r="FI187" s="129" t="s">
        <v>160</v>
      </c>
      <c r="FJ187" s="129" t="s">
        <v>160</v>
      </c>
      <c r="FK187" s="129" t="s">
        <v>160</v>
      </c>
      <c r="FL187" s="129" t="s">
        <v>160</v>
      </c>
      <c r="FM187" s="129" t="s">
        <v>160</v>
      </c>
      <c r="FN187" s="151">
        <v>3.9711449999999999</v>
      </c>
      <c r="FO187" s="151">
        <v>0.26992100000000008</v>
      </c>
      <c r="FP187" s="151">
        <v>0.25862799999999986</v>
      </c>
      <c r="FQ187" s="178" t="s">
        <v>419</v>
      </c>
      <c r="FR187" s="129" t="s">
        <v>415</v>
      </c>
      <c r="FS187" s="129">
        <v>2017</v>
      </c>
      <c r="FT187" s="131" t="s">
        <v>416</v>
      </c>
    </row>
    <row r="188" spans="1:176" s="129" customFormat="1">
      <c r="A188" s="129" t="s">
        <v>152</v>
      </c>
      <c r="B188" s="166" t="s">
        <v>183</v>
      </c>
      <c r="C188" s="166">
        <v>2018</v>
      </c>
      <c r="D188" s="166" t="s">
        <v>184</v>
      </c>
      <c r="E188" s="145">
        <f t="shared" si="22"/>
        <v>1140.03</v>
      </c>
      <c r="F188" s="129">
        <f t="shared" si="23"/>
        <v>2</v>
      </c>
      <c r="G188" s="129">
        <f t="shared" si="23"/>
        <v>2</v>
      </c>
      <c r="H188" s="191">
        <v>305.43129999999996</v>
      </c>
      <c r="I188" s="191">
        <v>37.854400000000055</v>
      </c>
      <c r="J188" s="191">
        <v>33.225599999999986</v>
      </c>
      <c r="K188" s="129" t="s">
        <v>457</v>
      </c>
      <c r="L188" s="131" t="s">
        <v>185</v>
      </c>
      <c r="M188" s="132" t="s">
        <v>186</v>
      </c>
      <c r="N188" s="129" t="s">
        <v>184</v>
      </c>
      <c r="O188" s="129" t="s">
        <v>420</v>
      </c>
      <c r="P188" s="205" t="s">
        <v>438</v>
      </c>
      <c r="Q188" s="205">
        <v>5</v>
      </c>
      <c r="R188" s="205">
        <v>2</v>
      </c>
      <c r="S188" s="206">
        <v>7.8864019999996913</v>
      </c>
      <c r="T188" s="206">
        <f t="shared" si="20"/>
        <v>9.8864019999996913</v>
      </c>
      <c r="U188" s="207">
        <v>37.678639339999997</v>
      </c>
      <c r="V188" s="207">
        <v>37.678639339999997</v>
      </c>
      <c r="W188" s="129" t="s">
        <v>160</v>
      </c>
      <c r="X188" s="129" t="s">
        <v>421</v>
      </c>
      <c r="Y188" s="200">
        <v>12.74</v>
      </c>
      <c r="Z188" s="200">
        <v>-78.739999999999995</v>
      </c>
      <c r="AA188" s="129" t="s">
        <v>160</v>
      </c>
      <c r="AB188" s="129" t="s">
        <v>160</v>
      </c>
      <c r="AC188" s="129">
        <v>-2839</v>
      </c>
      <c r="AD188" s="129" t="s">
        <v>160</v>
      </c>
      <c r="AE188" s="129" t="s">
        <v>160</v>
      </c>
      <c r="AF188" s="129" t="s">
        <v>160</v>
      </c>
      <c r="AG188" s="129">
        <v>1140.03</v>
      </c>
      <c r="AH188" s="129" t="s">
        <v>163</v>
      </c>
      <c r="AI188" s="129">
        <v>2</v>
      </c>
      <c r="AJ188" s="129">
        <v>2</v>
      </c>
      <c r="AK188" s="129" t="s">
        <v>160</v>
      </c>
      <c r="AL188" s="129" t="s">
        <v>422</v>
      </c>
      <c r="AM188" s="129" t="s">
        <v>160</v>
      </c>
      <c r="AN188" s="129" t="s">
        <v>160</v>
      </c>
      <c r="AO188" s="129" t="s">
        <v>160</v>
      </c>
      <c r="AP188" s="129" t="s">
        <v>160</v>
      </c>
      <c r="AQ188" s="129" t="s">
        <v>160</v>
      </c>
      <c r="AR188" s="129" t="s">
        <v>160</v>
      </c>
      <c r="AS188" s="129" t="s">
        <v>160</v>
      </c>
      <c r="AT188" s="129" t="s">
        <v>160</v>
      </c>
      <c r="AU188" s="129" t="s">
        <v>423</v>
      </c>
      <c r="AV188" s="129" t="s">
        <v>161</v>
      </c>
      <c r="AW188" s="129" t="s">
        <v>424</v>
      </c>
      <c r="AX188" s="178">
        <v>2</v>
      </c>
      <c r="AY188" s="129" t="s">
        <v>194</v>
      </c>
      <c r="AZ188" s="129" t="s">
        <v>195</v>
      </c>
      <c r="BA188" s="129" t="s">
        <v>425</v>
      </c>
      <c r="BB188" s="129" t="s">
        <v>160</v>
      </c>
      <c r="BC188" s="178">
        <v>2</v>
      </c>
      <c r="BD188" s="129" t="s">
        <v>160</v>
      </c>
      <c r="BE188" s="151">
        <v>20.04</v>
      </c>
      <c r="BF188" s="129" t="s">
        <v>426</v>
      </c>
      <c r="BG188" s="151">
        <v>0.194540186</v>
      </c>
      <c r="BH188" s="129">
        <v>0.64</v>
      </c>
      <c r="BI188" s="129" t="s">
        <v>427</v>
      </c>
      <c r="BJ188" s="129">
        <v>3.4000000000000002E-2</v>
      </c>
      <c r="BK188" s="129">
        <v>9.1</v>
      </c>
      <c r="BL188" s="129" t="s">
        <v>163</v>
      </c>
      <c r="BM188" s="129">
        <v>0.56000000000000005</v>
      </c>
      <c r="BN188" s="129" t="s">
        <v>428</v>
      </c>
      <c r="BO188" s="129" t="s">
        <v>429</v>
      </c>
      <c r="BP188" s="151">
        <f t="shared" si="24"/>
        <v>18.616666666666667</v>
      </c>
      <c r="BQ188" s="129" t="s">
        <v>202</v>
      </c>
      <c r="BR188" s="217"/>
      <c r="BS188" s="129" t="s">
        <v>160</v>
      </c>
      <c r="BT188" s="129" t="s">
        <v>160</v>
      </c>
      <c r="BU188" s="129">
        <v>10</v>
      </c>
      <c r="BV188" s="129" t="s">
        <v>159</v>
      </c>
      <c r="BW188" s="129">
        <v>10</v>
      </c>
      <c r="BX188" s="145">
        <v>24.33830867</v>
      </c>
      <c r="BY188" s="129" t="s">
        <v>159</v>
      </c>
      <c r="BZ188" s="129">
        <v>1</v>
      </c>
      <c r="CA188" s="129">
        <v>1</v>
      </c>
      <c r="CB188" s="129" t="s">
        <v>160</v>
      </c>
      <c r="CC188" s="151">
        <v>3.3423965709729231</v>
      </c>
      <c r="CD188" s="129" t="s">
        <v>430</v>
      </c>
      <c r="CE188" s="151">
        <f t="shared" si="21"/>
        <v>0.13369586283891693</v>
      </c>
      <c r="CF188" s="151">
        <v>0.13369586283891693</v>
      </c>
      <c r="CG188" s="178" t="s">
        <v>160</v>
      </c>
      <c r="CH188" s="129" t="s">
        <v>431</v>
      </c>
      <c r="CI188" s="129" t="s">
        <v>160</v>
      </c>
      <c r="CJ188" s="129" t="s">
        <v>432</v>
      </c>
      <c r="CK188" s="129" t="s">
        <v>158</v>
      </c>
      <c r="CL188" s="129" t="s">
        <v>158</v>
      </c>
      <c r="CM188" s="129" t="s">
        <v>158</v>
      </c>
      <c r="CN188" s="129" t="s">
        <v>160</v>
      </c>
      <c r="CO188" s="129" t="s">
        <v>160</v>
      </c>
      <c r="CP188" s="129" t="s">
        <v>160</v>
      </c>
      <c r="CQ188" s="129" t="s">
        <v>160</v>
      </c>
      <c r="CR188" s="129" t="s">
        <v>160</v>
      </c>
      <c r="CS188" s="129" t="s">
        <v>160</v>
      </c>
      <c r="CT188" s="129" t="s">
        <v>160</v>
      </c>
      <c r="CU188" s="129">
        <v>35</v>
      </c>
      <c r="CV188" s="129" t="s">
        <v>393</v>
      </c>
      <c r="CW188" s="146">
        <v>1</v>
      </c>
      <c r="CX188" s="129" t="s">
        <v>207</v>
      </c>
      <c r="CY188" s="129">
        <v>1.06E-2</v>
      </c>
      <c r="CZ188" s="129" t="s">
        <v>159</v>
      </c>
      <c r="DA188" s="146">
        <v>0</v>
      </c>
      <c r="DB188" s="129" t="s">
        <v>208</v>
      </c>
      <c r="DC188" s="129">
        <v>5.5100000000000003E-2</v>
      </c>
      <c r="DD188" s="129" t="s">
        <v>159</v>
      </c>
      <c r="DE188" s="146">
        <v>0</v>
      </c>
      <c r="DF188" s="129" t="s">
        <v>208</v>
      </c>
      <c r="DG188" s="129" t="s">
        <v>160</v>
      </c>
      <c r="DH188" s="129" t="s">
        <v>160</v>
      </c>
      <c r="DI188" s="129" t="s">
        <v>160</v>
      </c>
      <c r="DJ188" s="129" t="s">
        <v>160</v>
      </c>
      <c r="DK188" s="145">
        <v>432.56244218316402</v>
      </c>
      <c r="DL188" s="129" t="s">
        <v>433</v>
      </c>
      <c r="DM188" s="145" t="s">
        <v>160</v>
      </c>
      <c r="DN188" s="129" t="s">
        <v>434</v>
      </c>
      <c r="DO188" s="129">
        <v>39.608359999999998</v>
      </c>
      <c r="DP188" s="129" t="s">
        <v>160</v>
      </c>
      <c r="DQ188" s="129">
        <v>0.30808000000000391</v>
      </c>
      <c r="DR188" s="129" t="s">
        <v>435</v>
      </c>
      <c r="DS188" s="129" t="s">
        <v>212</v>
      </c>
      <c r="DT188" s="129" t="s">
        <v>213</v>
      </c>
      <c r="DU188" s="129">
        <v>1.0271999999999999</v>
      </c>
      <c r="DV188" s="129" t="s">
        <v>160</v>
      </c>
      <c r="DW188" s="129" t="s">
        <v>160</v>
      </c>
      <c r="DX188" s="129" t="s">
        <v>436</v>
      </c>
      <c r="DY188" s="129" t="s">
        <v>158</v>
      </c>
      <c r="DZ188" s="129" t="s">
        <v>158</v>
      </c>
      <c r="EA188" s="129" t="s">
        <v>216</v>
      </c>
      <c r="EB188" s="129" t="s">
        <v>212</v>
      </c>
      <c r="EC188" s="129" t="s">
        <v>212</v>
      </c>
      <c r="ED188" s="129" t="s">
        <v>212</v>
      </c>
      <c r="EE188" s="129" t="s">
        <v>217</v>
      </c>
      <c r="EF188" s="147" t="s">
        <v>213</v>
      </c>
      <c r="EG188" s="148" t="s">
        <v>213</v>
      </c>
      <c r="EH188" s="129" t="s">
        <v>218</v>
      </c>
      <c r="EI188" s="129" t="s">
        <v>417</v>
      </c>
      <c r="EJ188" s="129" t="s">
        <v>160</v>
      </c>
      <c r="EK188" s="129">
        <v>1976.7830000000001</v>
      </c>
      <c r="EL188" s="129" t="s">
        <v>163</v>
      </c>
      <c r="EM188" s="129">
        <v>19.289999999999932</v>
      </c>
      <c r="EN188" s="129">
        <v>18.833000000000219</v>
      </c>
      <c r="EO188" s="129" t="s">
        <v>160</v>
      </c>
      <c r="EP188" s="129" t="s">
        <v>160</v>
      </c>
      <c r="EQ188" s="129" t="s">
        <v>160</v>
      </c>
      <c r="ER188" s="129" t="s">
        <v>160</v>
      </c>
      <c r="ES188" s="201">
        <v>8.0964500000000008</v>
      </c>
      <c r="ET188" s="129" t="s">
        <v>165</v>
      </c>
      <c r="EU188" s="151">
        <v>4.002699999999848E-2</v>
      </c>
      <c r="EV188" s="151">
        <v>4.1136000000001616E-2</v>
      </c>
      <c r="EW188" s="142" t="s">
        <v>160</v>
      </c>
      <c r="EX188" s="129" t="s">
        <v>160</v>
      </c>
      <c r="EY188" s="129" t="s">
        <v>160</v>
      </c>
      <c r="EZ188" s="208">
        <v>305.43129999999996</v>
      </c>
      <c r="FA188" s="209">
        <v>37.854400000000055</v>
      </c>
      <c r="FB188" s="209">
        <v>33.225599999999986</v>
      </c>
      <c r="FC188" s="129" t="s">
        <v>220</v>
      </c>
      <c r="FD188" s="129" t="s">
        <v>221</v>
      </c>
      <c r="FE188" s="129">
        <v>2251.2420000000002</v>
      </c>
      <c r="FF188" s="129">
        <v>39.540999999999713</v>
      </c>
      <c r="FG188" s="129">
        <v>38.409000000000106</v>
      </c>
      <c r="FH188" s="129" t="s">
        <v>160</v>
      </c>
      <c r="FI188" s="129" t="s">
        <v>160</v>
      </c>
      <c r="FJ188" s="129" t="s">
        <v>160</v>
      </c>
      <c r="FK188" s="129" t="s">
        <v>160</v>
      </c>
      <c r="FL188" s="129" t="s">
        <v>160</v>
      </c>
      <c r="FM188" s="129" t="s">
        <v>160</v>
      </c>
      <c r="FN188" s="151">
        <v>3.7009720000000002</v>
      </c>
      <c r="FO188" s="151">
        <v>0.28292399999999995</v>
      </c>
      <c r="FP188" s="151">
        <v>0.27236200000000022</v>
      </c>
      <c r="FQ188" s="178" t="s">
        <v>419</v>
      </c>
      <c r="FR188" s="129" t="s">
        <v>415</v>
      </c>
      <c r="FS188" s="129">
        <v>2017</v>
      </c>
      <c r="FT188" s="131" t="s">
        <v>416</v>
      </c>
    </row>
    <row r="189" spans="1:176" s="129" customFormat="1">
      <c r="A189" s="129" t="s">
        <v>152</v>
      </c>
      <c r="B189" s="166" t="s">
        <v>183</v>
      </c>
      <c r="C189" s="166">
        <v>2018</v>
      </c>
      <c r="D189" s="166" t="s">
        <v>184</v>
      </c>
      <c r="E189" s="145">
        <f t="shared" si="22"/>
        <v>1143.23</v>
      </c>
      <c r="F189" s="129">
        <f t="shared" si="23"/>
        <v>2</v>
      </c>
      <c r="G189" s="129">
        <f t="shared" si="23"/>
        <v>2</v>
      </c>
      <c r="H189" s="191">
        <v>278.1429</v>
      </c>
      <c r="I189" s="191">
        <v>35.691599999999994</v>
      </c>
      <c r="J189" s="191">
        <v>31.868800000000022</v>
      </c>
      <c r="K189" s="129" t="s">
        <v>457</v>
      </c>
      <c r="L189" s="131" t="s">
        <v>185</v>
      </c>
      <c r="M189" s="132" t="s">
        <v>186</v>
      </c>
      <c r="N189" s="129" t="s">
        <v>184</v>
      </c>
      <c r="O189" s="129" t="s">
        <v>420</v>
      </c>
      <c r="P189" s="205" t="s">
        <v>438</v>
      </c>
      <c r="Q189" s="205">
        <v>5</v>
      </c>
      <c r="R189" s="205">
        <v>2</v>
      </c>
      <c r="S189" s="206">
        <v>17</v>
      </c>
      <c r="T189" s="206">
        <f t="shared" si="20"/>
        <v>19</v>
      </c>
      <c r="U189" s="207">
        <v>37.770000000000003</v>
      </c>
      <c r="V189" s="207">
        <v>37.770000000000003</v>
      </c>
      <c r="W189" s="129" t="s">
        <v>160</v>
      </c>
      <c r="X189" s="129" t="s">
        <v>421</v>
      </c>
      <c r="Y189" s="200">
        <v>12.74</v>
      </c>
      <c r="Z189" s="200">
        <v>-78.739999999999995</v>
      </c>
      <c r="AA189" s="129" t="s">
        <v>160</v>
      </c>
      <c r="AB189" s="129" t="s">
        <v>160</v>
      </c>
      <c r="AC189" s="129">
        <v>-2839</v>
      </c>
      <c r="AD189" s="129" t="s">
        <v>160</v>
      </c>
      <c r="AE189" s="129" t="s">
        <v>160</v>
      </c>
      <c r="AF189" s="129" t="s">
        <v>160</v>
      </c>
      <c r="AG189" s="129">
        <v>1143.23</v>
      </c>
      <c r="AH189" s="129" t="s">
        <v>163</v>
      </c>
      <c r="AI189" s="129">
        <v>2</v>
      </c>
      <c r="AJ189" s="129">
        <v>2</v>
      </c>
      <c r="AK189" s="129" t="s">
        <v>160</v>
      </c>
      <c r="AL189" s="129" t="s">
        <v>422</v>
      </c>
      <c r="AM189" s="129" t="s">
        <v>160</v>
      </c>
      <c r="AN189" s="129" t="s">
        <v>160</v>
      </c>
      <c r="AO189" s="129" t="s">
        <v>160</v>
      </c>
      <c r="AP189" s="129" t="s">
        <v>160</v>
      </c>
      <c r="AQ189" s="129" t="s">
        <v>160</v>
      </c>
      <c r="AR189" s="129" t="s">
        <v>160</v>
      </c>
      <c r="AS189" s="129" t="s">
        <v>160</v>
      </c>
      <c r="AT189" s="129" t="s">
        <v>160</v>
      </c>
      <c r="AU189" s="129" t="s">
        <v>423</v>
      </c>
      <c r="AV189" s="129" t="s">
        <v>161</v>
      </c>
      <c r="AW189" s="129" t="s">
        <v>424</v>
      </c>
      <c r="AX189" s="178">
        <v>2</v>
      </c>
      <c r="AY189" s="129" t="s">
        <v>194</v>
      </c>
      <c r="AZ189" s="129" t="s">
        <v>195</v>
      </c>
      <c r="BA189" s="129" t="s">
        <v>425</v>
      </c>
      <c r="BB189" s="129" t="s">
        <v>160</v>
      </c>
      <c r="BC189" s="178">
        <v>2</v>
      </c>
      <c r="BD189" s="129" t="s">
        <v>160</v>
      </c>
      <c r="BE189" s="151">
        <v>20.18038387</v>
      </c>
      <c r="BF189" s="129" t="s">
        <v>426</v>
      </c>
      <c r="BG189" s="151">
        <v>0.24422612199999999</v>
      </c>
      <c r="BH189" s="129">
        <v>0.64</v>
      </c>
      <c r="BI189" s="129" t="s">
        <v>427</v>
      </c>
      <c r="BJ189" s="129">
        <v>3.4000000000000002E-2</v>
      </c>
      <c r="BK189" s="129">
        <v>9.1</v>
      </c>
      <c r="BL189" s="129" t="s">
        <v>163</v>
      </c>
      <c r="BM189" s="129">
        <v>0.56000000000000005</v>
      </c>
      <c r="BN189" s="129" t="s">
        <v>428</v>
      </c>
      <c r="BO189" s="129" t="s">
        <v>429</v>
      </c>
      <c r="BP189" s="151">
        <f t="shared" si="24"/>
        <v>18.850639783333335</v>
      </c>
      <c r="BQ189" s="129" t="s">
        <v>202</v>
      </c>
      <c r="BR189" s="217"/>
      <c r="BS189" s="129" t="s">
        <v>160</v>
      </c>
      <c r="BT189" s="129" t="s">
        <v>160</v>
      </c>
      <c r="BU189" s="129">
        <v>10</v>
      </c>
      <c r="BV189" s="129" t="s">
        <v>159</v>
      </c>
      <c r="BW189" s="129">
        <v>10</v>
      </c>
      <c r="BX189" s="145">
        <v>23.302753750000001</v>
      </c>
      <c r="BY189" s="129" t="s">
        <v>159</v>
      </c>
      <c r="BZ189" s="129">
        <v>1</v>
      </c>
      <c r="CA189" s="129">
        <v>1</v>
      </c>
      <c r="CB189" s="129" t="s">
        <v>160</v>
      </c>
      <c r="CC189" s="151">
        <v>3.0524835970582589</v>
      </c>
      <c r="CD189" s="129" t="s">
        <v>430</v>
      </c>
      <c r="CE189" s="151">
        <f t="shared" si="21"/>
        <v>0.12209934388233036</v>
      </c>
      <c r="CF189" s="151">
        <v>0.12209934388233036</v>
      </c>
      <c r="CG189" s="178" t="s">
        <v>160</v>
      </c>
      <c r="CH189" s="129" t="s">
        <v>431</v>
      </c>
      <c r="CI189" s="129" t="s">
        <v>160</v>
      </c>
      <c r="CJ189" s="129" t="s">
        <v>432</v>
      </c>
      <c r="CK189" s="129" t="s">
        <v>158</v>
      </c>
      <c r="CL189" s="129" t="s">
        <v>158</v>
      </c>
      <c r="CM189" s="129" t="s">
        <v>158</v>
      </c>
      <c r="CN189" s="129" t="s">
        <v>160</v>
      </c>
      <c r="CO189" s="129" t="s">
        <v>160</v>
      </c>
      <c r="CP189" s="129" t="s">
        <v>160</v>
      </c>
      <c r="CQ189" s="129" t="s">
        <v>160</v>
      </c>
      <c r="CR189" s="129" t="s">
        <v>160</v>
      </c>
      <c r="CS189" s="129" t="s">
        <v>160</v>
      </c>
      <c r="CT189" s="129" t="s">
        <v>160</v>
      </c>
      <c r="CU189" s="129">
        <v>35</v>
      </c>
      <c r="CV189" s="129" t="s">
        <v>393</v>
      </c>
      <c r="CW189" s="146">
        <v>1</v>
      </c>
      <c r="CX189" s="129" t="s">
        <v>207</v>
      </c>
      <c r="CY189" s="129">
        <v>1.06E-2</v>
      </c>
      <c r="CZ189" s="129" t="s">
        <v>159</v>
      </c>
      <c r="DA189" s="146">
        <v>0</v>
      </c>
      <c r="DB189" s="129" t="s">
        <v>208</v>
      </c>
      <c r="DC189" s="129">
        <v>5.5100000000000003E-2</v>
      </c>
      <c r="DD189" s="129" t="s">
        <v>159</v>
      </c>
      <c r="DE189" s="146">
        <v>0</v>
      </c>
      <c r="DF189" s="129" t="s">
        <v>208</v>
      </c>
      <c r="DG189" s="129" t="s">
        <v>160</v>
      </c>
      <c r="DH189" s="129" t="s">
        <v>160</v>
      </c>
      <c r="DI189" s="129" t="s">
        <v>160</v>
      </c>
      <c r="DJ189" s="129" t="s">
        <v>160</v>
      </c>
      <c r="DK189" s="145">
        <v>432.56244218316402</v>
      </c>
      <c r="DL189" s="129" t="s">
        <v>433</v>
      </c>
      <c r="DM189" s="145" t="s">
        <v>160</v>
      </c>
      <c r="DN189" s="129" t="s">
        <v>434</v>
      </c>
      <c r="DO189" s="129">
        <v>39.608840000000001</v>
      </c>
      <c r="DP189" s="129" t="s">
        <v>160</v>
      </c>
      <c r="DQ189" s="129">
        <v>0.30395000000000039</v>
      </c>
      <c r="DR189" s="129" t="s">
        <v>435</v>
      </c>
      <c r="DS189" s="129" t="s">
        <v>212</v>
      </c>
      <c r="DT189" s="129" t="s">
        <v>213</v>
      </c>
      <c r="DU189" s="129">
        <v>1.0271999999999999</v>
      </c>
      <c r="DV189" s="129" t="s">
        <v>160</v>
      </c>
      <c r="DW189" s="129" t="s">
        <v>160</v>
      </c>
      <c r="DX189" s="129" t="s">
        <v>436</v>
      </c>
      <c r="DY189" s="129" t="s">
        <v>158</v>
      </c>
      <c r="DZ189" s="129" t="s">
        <v>158</v>
      </c>
      <c r="EA189" s="129" t="s">
        <v>216</v>
      </c>
      <c r="EB189" s="129" t="s">
        <v>212</v>
      </c>
      <c r="EC189" s="129" t="s">
        <v>212</v>
      </c>
      <c r="ED189" s="129" t="s">
        <v>212</v>
      </c>
      <c r="EE189" s="129" t="s">
        <v>217</v>
      </c>
      <c r="EF189" s="147" t="s">
        <v>213</v>
      </c>
      <c r="EG189" s="148" t="s">
        <v>213</v>
      </c>
      <c r="EH189" s="129" t="s">
        <v>218</v>
      </c>
      <c r="EI189" s="129" t="s">
        <v>417</v>
      </c>
      <c r="EJ189" s="129" t="s">
        <v>160</v>
      </c>
      <c r="EK189" s="129">
        <v>1977.135</v>
      </c>
      <c r="EL189" s="129" t="s">
        <v>163</v>
      </c>
      <c r="EM189" s="129">
        <v>19.112999999999857</v>
      </c>
      <c r="EN189" s="129">
        <v>19.541000000000089</v>
      </c>
      <c r="EO189" s="129" t="s">
        <v>160</v>
      </c>
      <c r="EP189" s="129" t="s">
        <v>160</v>
      </c>
      <c r="EQ189" s="129" t="s">
        <v>160</v>
      </c>
      <c r="ER189" s="129" t="s">
        <v>160</v>
      </c>
      <c r="ES189" s="201">
        <v>8.1289800000000003</v>
      </c>
      <c r="ET189" s="129" t="s">
        <v>165</v>
      </c>
      <c r="EU189" s="151">
        <v>4.2640000000000455E-2</v>
      </c>
      <c r="EV189" s="151">
        <v>4.2721000000000231E-2</v>
      </c>
      <c r="EW189" s="142" t="s">
        <v>160</v>
      </c>
      <c r="EX189" s="129" t="s">
        <v>160</v>
      </c>
      <c r="EY189" s="129" t="s">
        <v>160</v>
      </c>
      <c r="EZ189" s="208">
        <v>278.1429</v>
      </c>
      <c r="FA189" s="209">
        <v>35.691599999999994</v>
      </c>
      <c r="FB189" s="209">
        <v>31.868800000000022</v>
      </c>
      <c r="FC189" s="129" t="s">
        <v>220</v>
      </c>
      <c r="FD189" s="129" t="s">
        <v>221</v>
      </c>
      <c r="FE189" s="129">
        <v>2263.2449999999999</v>
      </c>
      <c r="FF189" s="129">
        <v>39.159000000000106</v>
      </c>
      <c r="FG189" s="129">
        <v>39.231000000000222</v>
      </c>
      <c r="FH189" s="129" t="s">
        <v>160</v>
      </c>
      <c r="FI189" s="129" t="s">
        <v>160</v>
      </c>
      <c r="FJ189" s="129" t="s">
        <v>160</v>
      </c>
      <c r="FK189" s="129" t="s">
        <v>160</v>
      </c>
      <c r="FL189" s="129" t="s">
        <v>160</v>
      </c>
      <c r="FM189" s="129" t="s">
        <v>160</v>
      </c>
      <c r="FN189" s="151">
        <v>3.8128799999999998</v>
      </c>
      <c r="FO189" s="151">
        <v>0.29028300000000051</v>
      </c>
      <c r="FP189" s="151">
        <v>0.28245100000000001</v>
      </c>
      <c r="FQ189" s="178" t="s">
        <v>419</v>
      </c>
      <c r="FR189" s="129" t="s">
        <v>415</v>
      </c>
      <c r="FS189" s="129">
        <v>2017</v>
      </c>
      <c r="FT189" s="131" t="s">
        <v>416</v>
      </c>
    </row>
    <row r="190" spans="1:176" s="129" customFormat="1">
      <c r="A190" s="129" t="s">
        <v>152</v>
      </c>
      <c r="B190" s="166" t="s">
        <v>183</v>
      </c>
      <c r="C190" s="166">
        <v>2018</v>
      </c>
      <c r="D190" s="166" t="s">
        <v>184</v>
      </c>
      <c r="E190" s="145">
        <f t="shared" si="22"/>
        <v>1145.33</v>
      </c>
      <c r="F190" s="129">
        <f t="shared" si="23"/>
        <v>2</v>
      </c>
      <c r="G190" s="129">
        <f t="shared" si="23"/>
        <v>2</v>
      </c>
      <c r="H190" s="191">
        <v>295.73500000000001</v>
      </c>
      <c r="I190" s="191">
        <v>38.823599999999942</v>
      </c>
      <c r="J190" s="191">
        <v>33.681300000000022</v>
      </c>
      <c r="K190" s="129" t="s">
        <v>457</v>
      </c>
      <c r="L190" s="131" t="s">
        <v>185</v>
      </c>
      <c r="M190" s="132" t="s">
        <v>186</v>
      </c>
      <c r="N190" s="129" t="s">
        <v>184</v>
      </c>
      <c r="O190" s="129" t="s">
        <v>420</v>
      </c>
      <c r="P190" s="205" t="s">
        <v>438</v>
      </c>
      <c r="Q190" s="205">
        <v>5</v>
      </c>
      <c r="R190" s="205">
        <v>2</v>
      </c>
      <c r="S190" s="206">
        <v>23</v>
      </c>
      <c r="T190" s="206">
        <f t="shared" si="20"/>
        <v>25</v>
      </c>
      <c r="U190" s="207">
        <v>37.83</v>
      </c>
      <c r="V190" s="207">
        <v>37.83</v>
      </c>
      <c r="W190" s="129" t="s">
        <v>160</v>
      </c>
      <c r="X190" s="129" t="s">
        <v>421</v>
      </c>
      <c r="Y190" s="200">
        <v>12.74</v>
      </c>
      <c r="Z190" s="200">
        <v>-78.739999999999995</v>
      </c>
      <c r="AA190" s="129" t="s">
        <v>160</v>
      </c>
      <c r="AB190" s="129" t="s">
        <v>160</v>
      </c>
      <c r="AC190" s="129">
        <v>-2839</v>
      </c>
      <c r="AD190" s="129" t="s">
        <v>160</v>
      </c>
      <c r="AE190" s="129" t="s">
        <v>160</v>
      </c>
      <c r="AF190" s="129" t="s">
        <v>160</v>
      </c>
      <c r="AG190" s="129">
        <v>1145.33</v>
      </c>
      <c r="AH190" s="129" t="s">
        <v>163</v>
      </c>
      <c r="AI190" s="129">
        <v>2</v>
      </c>
      <c r="AJ190" s="129">
        <v>2</v>
      </c>
      <c r="AK190" s="129" t="s">
        <v>160</v>
      </c>
      <c r="AL190" s="129" t="s">
        <v>422</v>
      </c>
      <c r="AM190" s="129" t="s">
        <v>160</v>
      </c>
      <c r="AN190" s="129" t="s">
        <v>160</v>
      </c>
      <c r="AO190" s="129" t="s">
        <v>160</v>
      </c>
      <c r="AP190" s="129" t="s">
        <v>160</v>
      </c>
      <c r="AQ190" s="129" t="s">
        <v>160</v>
      </c>
      <c r="AR190" s="129" t="s">
        <v>160</v>
      </c>
      <c r="AS190" s="129" t="s">
        <v>160</v>
      </c>
      <c r="AT190" s="129" t="s">
        <v>160</v>
      </c>
      <c r="AU190" s="129" t="s">
        <v>423</v>
      </c>
      <c r="AV190" s="129" t="s">
        <v>161</v>
      </c>
      <c r="AW190" s="129" t="s">
        <v>424</v>
      </c>
      <c r="AX190" s="178">
        <v>2</v>
      </c>
      <c r="AY190" s="129" t="s">
        <v>194</v>
      </c>
      <c r="AZ190" s="129" t="s">
        <v>195</v>
      </c>
      <c r="BA190" s="129" t="s">
        <v>425</v>
      </c>
      <c r="BB190" s="129" t="s">
        <v>160</v>
      </c>
      <c r="BC190" s="178">
        <v>2</v>
      </c>
      <c r="BD190" s="129" t="s">
        <v>160</v>
      </c>
      <c r="BE190" s="151">
        <v>20.09301133</v>
      </c>
      <c r="BF190" s="129" t="s">
        <v>426</v>
      </c>
      <c r="BG190" s="151">
        <v>0.22981889999999999</v>
      </c>
      <c r="BH190" s="129">
        <v>0.64</v>
      </c>
      <c r="BI190" s="129" t="s">
        <v>427</v>
      </c>
      <c r="BJ190" s="129">
        <v>3.4000000000000002E-2</v>
      </c>
      <c r="BK190" s="129">
        <v>9.1</v>
      </c>
      <c r="BL190" s="129" t="s">
        <v>163</v>
      </c>
      <c r="BM190" s="129">
        <v>0.56000000000000005</v>
      </c>
      <c r="BN190" s="129" t="s">
        <v>428</v>
      </c>
      <c r="BO190" s="129" t="s">
        <v>429</v>
      </c>
      <c r="BP190" s="151">
        <f t="shared" si="24"/>
        <v>18.705018883333334</v>
      </c>
      <c r="BQ190" s="129" t="s">
        <v>202</v>
      </c>
      <c r="BR190" s="217"/>
      <c r="BS190" s="129" t="s">
        <v>160</v>
      </c>
      <c r="BT190" s="129" t="s">
        <v>160</v>
      </c>
      <c r="BU190" s="129">
        <v>10</v>
      </c>
      <c r="BV190" s="129" t="s">
        <v>159</v>
      </c>
      <c r="BW190" s="129">
        <v>10</v>
      </c>
      <c r="BX190" s="145">
        <v>24.04556758</v>
      </c>
      <c r="BY190" s="129" t="s">
        <v>159</v>
      </c>
      <c r="BZ190" s="129">
        <v>1</v>
      </c>
      <c r="CA190" s="129">
        <v>1</v>
      </c>
      <c r="CB190" s="129" t="s">
        <v>160</v>
      </c>
      <c r="CC190" s="151">
        <v>3.2715420449268695</v>
      </c>
      <c r="CD190" s="129" t="s">
        <v>430</v>
      </c>
      <c r="CE190" s="151">
        <f t="shared" si="21"/>
        <v>0.13086168179707477</v>
      </c>
      <c r="CF190" s="151">
        <v>0.13086168179707477</v>
      </c>
      <c r="CG190" s="178" t="s">
        <v>160</v>
      </c>
      <c r="CH190" s="129" t="s">
        <v>431</v>
      </c>
      <c r="CI190" s="129" t="s">
        <v>160</v>
      </c>
      <c r="CJ190" s="129" t="s">
        <v>432</v>
      </c>
      <c r="CK190" s="129" t="s">
        <v>158</v>
      </c>
      <c r="CL190" s="129" t="s">
        <v>158</v>
      </c>
      <c r="CM190" s="129" t="s">
        <v>158</v>
      </c>
      <c r="CN190" s="129" t="s">
        <v>160</v>
      </c>
      <c r="CO190" s="129" t="s">
        <v>160</v>
      </c>
      <c r="CP190" s="129" t="s">
        <v>160</v>
      </c>
      <c r="CQ190" s="129" t="s">
        <v>160</v>
      </c>
      <c r="CR190" s="129" t="s">
        <v>160</v>
      </c>
      <c r="CS190" s="129" t="s">
        <v>160</v>
      </c>
      <c r="CT190" s="129" t="s">
        <v>160</v>
      </c>
      <c r="CU190" s="129">
        <v>35</v>
      </c>
      <c r="CV190" s="129" t="s">
        <v>393</v>
      </c>
      <c r="CW190" s="146">
        <v>1</v>
      </c>
      <c r="CX190" s="129" t="s">
        <v>207</v>
      </c>
      <c r="CY190" s="129">
        <v>1.06E-2</v>
      </c>
      <c r="CZ190" s="129" t="s">
        <v>159</v>
      </c>
      <c r="DA190" s="146">
        <v>0</v>
      </c>
      <c r="DB190" s="129" t="s">
        <v>208</v>
      </c>
      <c r="DC190" s="129">
        <v>5.5100000000000003E-2</v>
      </c>
      <c r="DD190" s="129" t="s">
        <v>159</v>
      </c>
      <c r="DE190" s="146">
        <v>0</v>
      </c>
      <c r="DF190" s="129" t="s">
        <v>208</v>
      </c>
      <c r="DG190" s="129" t="s">
        <v>160</v>
      </c>
      <c r="DH190" s="129" t="s">
        <v>160</v>
      </c>
      <c r="DI190" s="129" t="s">
        <v>160</v>
      </c>
      <c r="DJ190" s="129" t="s">
        <v>160</v>
      </c>
      <c r="DK190" s="145">
        <v>432.56244218316402</v>
      </c>
      <c r="DL190" s="129" t="s">
        <v>433</v>
      </c>
      <c r="DM190" s="145" t="s">
        <v>160</v>
      </c>
      <c r="DN190" s="129" t="s">
        <v>434</v>
      </c>
      <c r="DO190" s="129">
        <v>39.608330000000002</v>
      </c>
      <c r="DP190" s="129" t="s">
        <v>160</v>
      </c>
      <c r="DQ190" s="129">
        <v>0.30752999999999986</v>
      </c>
      <c r="DR190" s="129" t="s">
        <v>435</v>
      </c>
      <c r="DS190" s="129" t="s">
        <v>212</v>
      </c>
      <c r="DT190" s="129" t="s">
        <v>213</v>
      </c>
      <c r="DU190" s="129">
        <v>1.0271999999999999</v>
      </c>
      <c r="DV190" s="129" t="s">
        <v>160</v>
      </c>
      <c r="DW190" s="129" t="s">
        <v>160</v>
      </c>
      <c r="DX190" s="129" t="s">
        <v>436</v>
      </c>
      <c r="DY190" s="129" t="s">
        <v>158</v>
      </c>
      <c r="DZ190" s="129" t="s">
        <v>158</v>
      </c>
      <c r="EA190" s="129" t="s">
        <v>216</v>
      </c>
      <c r="EB190" s="129" t="s">
        <v>212</v>
      </c>
      <c r="EC190" s="129" t="s">
        <v>212</v>
      </c>
      <c r="ED190" s="129" t="s">
        <v>212</v>
      </c>
      <c r="EE190" s="129" t="s">
        <v>217</v>
      </c>
      <c r="EF190" s="147" t="s">
        <v>213</v>
      </c>
      <c r="EG190" s="148" t="s">
        <v>213</v>
      </c>
      <c r="EH190" s="129" t="s">
        <v>218</v>
      </c>
      <c r="EI190" s="129" t="s">
        <v>417</v>
      </c>
      <c r="EJ190" s="129" t="s">
        <v>160</v>
      </c>
      <c r="EK190" s="129">
        <v>1976.865</v>
      </c>
      <c r="EL190" s="129" t="s">
        <v>163</v>
      </c>
      <c r="EM190" s="129">
        <v>19.317000000000032</v>
      </c>
      <c r="EN190" s="129">
        <v>19.470000000000166</v>
      </c>
      <c r="EO190" s="129" t="s">
        <v>160</v>
      </c>
      <c r="EP190" s="129" t="s">
        <v>160</v>
      </c>
      <c r="EQ190" s="129" t="s">
        <v>160</v>
      </c>
      <c r="ER190" s="129" t="s">
        <v>160</v>
      </c>
      <c r="ES190" s="201">
        <v>8.1077469999999998</v>
      </c>
      <c r="ET190" s="129" t="s">
        <v>165</v>
      </c>
      <c r="EU190" s="151">
        <v>4.210100000000061E-2</v>
      </c>
      <c r="EV190" s="151">
        <v>4.3780999999999182E-2</v>
      </c>
      <c r="EW190" s="142" t="s">
        <v>160</v>
      </c>
      <c r="EX190" s="129" t="s">
        <v>160</v>
      </c>
      <c r="EY190" s="129" t="s">
        <v>160</v>
      </c>
      <c r="EZ190" s="208">
        <v>295.73500000000001</v>
      </c>
      <c r="FA190" s="209">
        <v>38.823599999999942</v>
      </c>
      <c r="FB190" s="209">
        <v>33.681300000000022</v>
      </c>
      <c r="FC190" s="129" t="s">
        <v>220</v>
      </c>
      <c r="FD190" s="129" t="s">
        <v>221</v>
      </c>
      <c r="FE190" s="129">
        <v>2256.1469999999999</v>
      </c>
      <c r="FF190" s="129">
        <v>39.467000000000098</v>
      </c>
      <c r="FG190" s="129">
        <v>39.69399999999996</v>
      </c>
      <c r="FH190" s="129" t="s">
        <v>160</v>
      </c>
      <c r="FI190" s="129" t="s">
        <v>160</v>
      </c>
      <c r="FJ190" s="129" t="s">
        <v>160</v>
      </c>
      <c r="FK190" s="129" t="s">
        <v>160</v>
      </c>
      <c r="FL190" s="129" t="s">
        <v>160</v>
      </c>
      <c r="FM190" s="129" t="s">
        <v>160</v>
      </c>
      <c r="FN190" s="151">
        <v>3.7479070000000001</v>
      </c>
      <c r="FO190" s="151">
        <v>0.28802399999999961</v>
      </c>
      <c r="FP190" s="151">
        <v>0.28044599999999997</v>
      </c>
      <c r="FQ190" s="178" t="s">
        <v>419</v>
      </c>
      <c r="FR190" s="129" t="s">
        <v>415</v>
      </c>
      <c r="FS190" s="129">
        <v>2017</v>
      </c>
      <c r="FT190" s="131" t="s">
        <v>416</v>
      </c>
    </row>
    <row r="191" spans="1:176" s="129" customFormat="1">
      <c r="A191" s="129" t="s">
        <v>152</v>
      </c>
      <c r="B191" s="166" t="s">
        <v>183</v>
      </c>
      <c r="C191" s="166">
        <v>2018</v>
      </c>
      <c r="D191" s="166" t="s">
        <v>184</v>
      </c>
      <c r="E191" s="145">
        <f t="shared" si="22"/>
        <v>1148.9000000000001</v>
      </c>
      <c r="F191" s="129">
        <f t="shared" si="23"/>
        <v>2</v>
      </c>
      <c r="G191" s="129">
        <f t="shared" si="23"/>
        <v>2</v>
      </c>
      <c r="H191" s="191">
        <v>310.43960000000004</v>
      </c>
      <c r="I191" s="191">
        <v>47.36889999999994</v>
      </c>
      <c r="J191" s="191">
        <v>39.866900000000044</v>
      </c>
      <c r="K191" s="129" t="s">
        <v>457</v>
      </c>
      <c r="L191" s="131" t="s">
        <v>185</v>
      </c>
      <c r="M191" s="132" t="s">
        <v>186</v>
      </c>
      <c r="N191" s="129" t="s">
        <v>184</v>
      </c>
      <c r="O191" s="129" t="s">
        <v>420</v>
      </c>
      <c r="P191" s="205" t="s">
        <v>438</v>
      </c>
      <c r="Q191" s="205">
        <v>5</v>
      </c>
      <c r="R191" s="205">
        <v>2</v>
      </c>
      <c r="S191" s="206">
        <v>33.208349000000169</v>
      </c>
      <c r="T191" s="206">
        <f t="shared" si="20"/>
        <v>35.208349000000169</v>
      </c>
      <c r="U191" s="207">
        <v>37.931858810000001</v>
      </c>
      <c r="V191" s="207">
        <v>37.931858810000001</v>
      </c>
      <c r="W191" s="129" t="s">
        <v>160</v>
      </c>
      <c r="X191" s="129" t="s">
        <v>421</v>
      </c>
      <c r="Y191" s="200">
        <v>12.74</v>
      </c>
      <c r="Z191" s="200">
        <v>-78.739999999999995</v>
      </c>
      <c r="AA191" s="129" t="s">
        <v>160</v>
      </c>
      <c r="AB191" s="129" t="s">
        <v>160</v>
      </c>
      <c r="AC191" s="129">
        <v>-2839</v>
      </c>
      <c r="AD191" s="129" t="s">
        <v>160</v>
      </c>
      <c r="AE191" s="129" t="s">
        <v>160</v>
      </c>
      <c r="AF191" s="129" t="s">
        <v>160</v>
      </c>
      <c r="AG191" s="129">
        <v>1148.9000000000001</v>
      </c>
      <c r="AH191" s="129" t="s">
        <v>163</v>
      </c>
      <c r="AI191" s="129">
        <v>2</v>
      </c>
      <c r="AJ191" s="129">
        <v>2</v>
      </c>
      <c r="AK191" s="129" t="s">
        <v>160</v>
      </c>
      <c r="AL191" s="129" t="s">
        <v>422</v>
      </c>
      <c r="AM191" s="129" t="s">
        <v>160</v>
      </c>
      <c r="AN191" s="129" t="s">
        <v>160</v>
      </c>
      <c r="AO191" s="129" t="s">
        <v>160</v>
      </c>
      <c r="AP191" s="129" t="s">
        <v>160</v>
      </c>
      <c r="AQ191" s="129" t="s">
        <v>160</v>
      </c>
      <c r="AR191" s="129" t="s">
        <v>160</v>
      </c>
      <c r="AS191" s="129" t="s">
        <v>160</v>
      </c>
      <c r="AT191" s="129" t="s">
        <v>160</v>
      </c>
      <c r="AU191" s="129" t="s">
        <v>423</v>
      </c>
      <c r="AV191" s="129" t="s">
        <v>161</v>
      </c>
      <c r="AW191" s="129" t="s">
        <v>424</v>
      </c>
      <c r="AX191" s="178">
        <v>2</v>
      </c>
      <c r="AY191" s="129" t="s">
        <v>194</v>
      </c>
      <c r="AZ191" s="129" t="s">
        <v>195</v>
      </c>
      <c r="BA191" s="129" t="s">
        <v>425</v>
      </c>
      <c r="BB191" s="129" t="s">
        <v>160</v>
      </c>
      <c r="BC191" s="178">
        <v>2</v>
      </c>
      <c r="BD191" s="129" t="s">
        <v>160</v>
      </c>
      <c r="BE191" s="151">
        <v>19.962607640000002</v>
      </c>
      <c r="BF191" s="129" t="s">
        <v>426</v>
      </c>
      <c r="BG191" s="151">
        <v>0.35340079800000002</v>
      </c>
      <c r="BH191" s="129">
        <v>0.64</v>
      </c>
      <c r="BI191" s="129" t="s">
        <v>427</v>
      </c>
      <c r="BJ191" s="129">
        <v>3.4000000000000002E-2</v>
      </c>
      <c r="BK191" s="129">
        <v>9.1</v>
      </c>
      <c r="BL191" s="129" t="s">
        <v>163</v>
      </c>
      <c r="BM191" s="129">
        <v>0.56000000000000005</v>
      </c>
      <c r="BN191" s="129" t="s">
        <v>428</v>
      </c>
      <c r="BO191" s="129" t="s">
        <v>429</v>
      </c>
      <c r="BP191" s="151">
        <f t="shared" si="24"/>
        <v>18.487679400000005</v>
      </c>
      <c r="BQ191" s="129" t="s">
        <v>202</v>
      </c>
      <c r="BR191" s="217"/>
      <c r="BS191" s="129" t="s">
        <v>160</v>
      </c>
      <c r="BT191" s="129" t="s">
        <v>160</v>
      </c>
      <c r="BU191" s="129">
        <v>10</v>
      </c>
      <c r="BV191" s="129" t="s">
        <v>159</v>
      </c>
      <c r="BW191" s="129">
        <v>10</v>
      </c>
      <c r="BX191" s="145">
        <v>23.832587669999999</v>
      </c>
      <c r="BY191" s="129" t="s">
        <v>159</v>
      </c>
      <c r="BZ191" s="129">
        <v>1</v>
      </c>
      <c r="CA191" s="129">
        <v>1</v>
      </c>
      <c r="CB191" s="129" t="s">
        <v>160</v>
      </c>
      <c r="CC191" s="151">
        <v>3.225071021659236</v>
      </c>
      <c r="CD191" s="129" t="s">
        <v>430</v>
      </c>
      <c r="CE191" s="151">
        <f t="shared" si="21"/>
        <v>0.12900284086636943</v>
      </c>
      <c r="CF191" s="151">
        <v>0.12900284086636943</v>
      </c>
      <c r="CG191" s="178" t="s">
        <v>160</v>
      </c>
      <c r="CH191" s="129" t="s">
        <v>431</v>
      </c>
      <c r="CI191" s="129" t="s">
        <v>160</v>
      </c>
      <c r="CJ191" s="129" t="s">
        <v>432</v>
      </c>
      <c r="CK191" s="129" t="s">
        <v>158</v>
      </c>
      <c r="CL191" s="129" t="s">
        <v>158</v>
      </c>
      <c r="CM191" s="129" t="s">
        <v>158</v>
      </c>
      <c r="CN191" s="129" t="s">
        <v>160</v>
      </c>
      <c r="CO191" s="129" t="s">
        <v>160</v>
      </c>
      <c r="CP191" s="129" t="s">
        <v>160</v>
      </c>
      <c r="CQ191" s="129" t="s">
        <v>160</v>
      </c>
      <c r="CR191" s="129" t="s">
        <v>160</v>
      </c>
      <c r="CS191" s="129" t="s">
        <v>160</v>
      </c>
      <c r="CT191" s="129" t="s">
        <v>160</v>
      </c>
      <c r="CU191" s="129">
        <v>35</v>
      </c>
      <c r="CV191" s="129" t="s">
        <v>393</v>
      </c>
      <c r="CW191" s="146">
        <v>1</v>
      </c>
      <c r="CX191" s="129" t="s">
        <v>207</v>
      </c>
      <c r="CY191" s="129">
        <v>1.06E-2</v>
      </c>
      <c r="CZ191" s="129" t="s">
        <v>159</v>
      </c>
      <c r="DA191" s="146">
        <v>0</v>
      </c>
      <c r="DB191" s="129" t="s">
        <v>208</v>
      </c>
      <c r="DC191" s="129">
        <v>5.5100000000000003E-2</v>
      </c>
      <c r="DD191" s="129" t="s">
        <v>159</v>
      </c>
      <c r="DE191" s="146">
        <v>0</v>
      </c>
      <c r="DF191" s="129" t="s">
        <v>208</v>
      </c>
      <c r="DG191" s="129" t="s">
        <v>160</v>
      </c>
      <c r="DH191" s="129" t="s">
        <v>160</v>
      </c>
      <c r="DI191" s="129" t="s">
        <v>160</v>
      </c>
      <c r="DJ191" s="129" t="s">
        <v>160</v>
      </c>
      <c r="DK191" s="145">
        <v>432.56244218316402</v>
      </c>
      <c r="DL191" s="129" t="s">
        <v>433</v>
      </c>
      <c r="DM191" s="145" t="s">
        <v>160</v>
      </c>
      <c r="DN191" s="129" t="s">
        <v>434</v>
      </c>
      <c r="DO191" s="129">
        <v>39.607329999999997</v>
      </c>
      <c r="DP191" s="129" t="s">
        <v>160</v>
      </c>
      <c r="DQ191" s="129">
        <v>0.30108000000000601</v>
      </c>
      <c r="DR191" s="129" t="s">
        <v>435</v>
      </c>
      <c r="DS191" s="129" t="s">
        <v>212</v>
      </c>
      <c r="DT191" s="129" t="s">
        <v>213</v>
      </c>
      <c r="DU191" s="129">
        <v>1.0271999999999999</v>
      </c>
      <c r="DV191" s="129" t="s">
        <v>160</v>
      </c>
      <c r="DW191" s="129" t="s">
        <v>160</v>
      </c>
      <c r="DX191" s="129" t="s">
        <v>436</v>
      </c>
      <c r="DY191" s="129" t="s">
        <v>158</v>
      </c>
      <c r="DZ191" s="129" t="s">
        <v>158</v>
      </c>
      <c r="EA191" s="129" t="s">
        <v>216</v>
      </c>
      <c r="EB191" s="129" t="s">
        <v>212</v>
      </c>
      <c r="EC191" s="129" t="s">
        <v>212</v>
      </c>
      <c r="ED191" s="129" t="s">
        <v>212</v>
      </c>
      <c r="EE191" s="129" t="s">
        <v>217</v>
      </c>
      <c r="EF191" s="147" t="s">
        <v>213</v>
      </c>
      <c r="EG191" s="148" t="s">
        <v>213</v>
      </c>
      <c r="EH191" s="129" t="s">
        <v>218</v>
      </c>
      <c r="EI191" s="129" t="s">
        <v>417</v>
      </c>
      <c r="EJ191" s="129" t="s">
        <v>160</v>
      </c>
      <c r="EK191" s="129">
        <v>1976.7690000000002</v>
      </c>
      <c r="EL191" s="129" t="s">
        <v>163</v>
      </c>
      <c r="EM191" s="129">
        <v>18.746999999999947</v>
      </c>
      <c r="EN191" s="129">
        <v>19.511000000000269</v>
      </c>
      <c r="EO191" s="129" t="s">
        <v>160</v>
      </c>
      <c r="EP191" s="129" t="s">
        <v>160</v>
      </c>
      <c r="EQ191" s="129" t="s">
        <v>160</v>
      </c>
      <c r="ER191" s="129" t="s">
        <v>160</v>
      </c>
      <c r="ES191" s="201">
        <v>8.0903179999999999</v>
      </c>
      <c r="ET191" s="129" t="s">
        <v>165</v>
      </c>
      <c r="EU191" s="151">
        <v>4.8322000000000642E-2</v>
      </c>
      <c r="EV191" s="151">
        <v>5.0705000000000666E-2</v>
      </c>
      <c r="EW191" s="142" t="s">
        <v>160</v>
      </c>
      <c r="EX191" s="129" t="s">
        <v>160</v>
      </c>
      <c r="EY191" s="129" t="s">
        <v>160</v>
      </c>
      <c r="EZ191" s="208">
        <v>310.43960000000004</v>
      </c>
      <c r="FA191" s="209">
        <v>47.36889999999994</v>
      </c>
      <c r="FB191" s="209">
        <v>39.866900000000044</v>
      </c>
      <c r="FC191" s="129" t="s">
        <v>220</v>
      </c>
      <c r="FD191" s="129" t="s">
        <v>221</v>
      </c>
      <c r="FE191" s="129">
        <v>2241.8450000000003</v>
      </c>
      <c r="FF191" s="129">
        <v>42.17699999999968</v>
      </c>
      <c r="FG191" s="129">
        <v>42.053000000000338</v>
      </c>
      <c r="FH191" s="129" t="s">
        <v>160</v>
      </c>
      <c r="FI191" s="129" t="s">
        <v>160</v>
      </c>
      <c r="FJ191" s="129" t="s">
        <v>160</v>
      </c>
      <c r="FK191" s="129" t="s">
        <v>160</v>
      </c>
      <c r="FL191" s="129" t="s">
        <v>160</v>
      </c>
      <c r="FM191" s="129" t="s">
        <v>160</v>
      </c>
      <c r="FN191" s="151">
        <v>3.5877849999999998</v>
      </c>
      <c r="FO191" s="151">
        <v>0.34645500000000018</v>
      </c>
      <c r="FP191" s="151">
        <v>0.32610499999999965</v>
      </c>
      <c r="FQ191" s="178" t="s">
        <v>419</v>
      </c>
      <c r="FR191" s="129" t="s">
        <v>415</v>
      </c>
      <c r="FS191" s="129">
        <v>2017</v>
      </c>
      <c r="FT191" s="131" t="s">
        <v>416</v>
      </c>
    </row>
    <row r="192" spans="1:176" s="129" customFormat="1">
      <c r="A192" s="129" t="s">
        <v>152</v>
      </c>
      <c r="B192" s="166" t="s">
        <v>183</v>
      </c>
      <c r="C192" s="166">
        <v>2018</v>
      </c>
      <c r="D192" s="166" t="s">
        <v>184</v>
      </c>
      <c r="E192" s="145">
        <f t="shared" si="22"/>
        <v>1150.94</v>
      </c>
      <c r="F192" s="129">
        <f t="shared" si="23"/>
        <v>2</v>
      </c>
      <c r="G192" s="129">
        <f t="shared" si="23"/>
        <v>2</v>
      </c>
      <c r="H192" s="191">
        <v>260.50390000000004</v>
      </c>
      <c r="I192" s="191">
        <v>34.061199999999928</v>
      </c>
      <c r="J192" s="191">
        <v>29.860700000000037</v>
      </c>
      <c r="K192" s="129" t="s">
        <v>457</v>
      </c>
      <c r="L192" s="131" t="s">
        <v>185</v>
      </c>
      <c r="M192" s="132" t="s">
        <v>186</v>
      </c>
      <c r="N192" s="129" t="s">
        <v>184</v>
      </c>
      <c r="O192" s="129" t="s">
        <v>420</v>
      </c>
      <c r="P192" s="205" t="s">
        <v>438</v>
      </c>
      <c r="Q192" s="205">
        <v>5</v>
      </c>
      <c r="R192" s="205">
        <v>2</v>
      </c>
      <c r="S192" s="206">
        <v>39</v>
      </c>
      <c r="T192" s="206">
        <f t="shared" si="20"/>
        <v>41</v>
      </c>
      <c r="U192" s="207">
        <v>37.99</v>
      </c>
      <c r="V192" s="207">
        <v>37.99</v>
      </c>
      <c r="W192" s="129" t="s">
        <v>160</v>
      </c>
      <c r="X192" s="129" t="s">
        <v>421</v>
      </c>
      <c r="Y192" s="200">
        <v>12.74</v>
      </c>
      <c r="Z192" s="200">
        <v>-78.739999999999995</v>
      </c>
      <c r="AA192" s="129" t="s">
        <v>160</v>
      </c>
      <c r="AB192" s="129" t="s">
        <v>160</v>
      </c>
      <c r="AC192" s="129">
        <v>-2839</v>
      </c>
      <c r="AD192" s="129" t="s">
        <v>160</v>
      </c>
      <c r="AE192" s="129" t="s">
        <v>160</v>
      </c>
      <c r="AF192" s="129" t="s">
        <v>160</v>
      </c>
      <c r="AG192" s="129">
        <v>1150.94</v>
      </c>
      <c r="AH192" s="129" t="s">
        <v>163</v>
      </c>
      <c r="AI192" s="129">
        <v>2</v>
      </c>
      <c r="AJ192" s="129">
        <v>2</v>
      </c>
      <c r="AK192" s="129" t="s">
        <v>160</v>
      </c>
      <c r="AL192" s="129" t="s">
        <v>422</v>
      </c>
      <c r="AM192" s="129" t="s">
        <v>160</v>
      </c>
      <c r="AN192" s="129" t="s">
        <v>160</v>
      </c>
      <c r="AO192" s="129" t="s">
        <v>160</v>
      </c>
      <c r="AP192" s="129" t="s">
        <v>160</v>
      </c>
      <c r="AQ192" s="129" t="s">
        <v>160</v>
      </c>
      <c r="AR192" s="129" t="s">
        <v>160</v>
      </c>
      <c r="AS192" s="129" t="s">
        <v>160</v>
      </c>
      <c r="AT192" s="129" t="s">
        <v>160</v>
      </c>
      <c r="AU192" s="129" t="s">
        <v>423</v>
      </c>
      <c r="AV192" s="129" t="s">
        <v>161</v>
      </c>
      <c r="AW192" s="129" t="s">
        <v>424</v>
      </c>
      <c r="AX192" s="178">
        <v>2</v>
      </c>
      <c r="AY192" s="129" t="s">
        <v>194</v>
      </c>
      <c r="AZ192" s="129" t="s">
        <v>195</v>
      </c>
      <c r="BA192" s="129" t="s">
        <v>425</v>
      </c>
      <c r="BB192" s="129" t="s">
        <v>160</v>
      </c>
      <c r="BC192" s="178">
        <v>2</v>
      </c>
      <c r="BD192" s="129" t="s">
        <v>160</v>
      </c>
      <c r="BE192" s="151">
        <v>20.309999999999999</v>
      </c>
      <c r="BF192" s="129" t="s">
        <v>426</v>
      </c>
      <c r="BG192" s="151">
        <v>0.23907551199999999</v>
      </c>
      <c r="BH192" s="129">
        <v>0.64</v>
      </c>
      <c r="BI192" s="129" t="s">
        <v>427</v>
      </c>
      <c r="BJ192" s="129">
        <v>3.4000000000000002E-2</v>
      </c>
      <c r="BK192" s="129">
        <v>9.1</v>
      </c>
      <c r="BL192" s="129" t="s">
        <v>163</v>
      </c>
      <c r="BM192" s="129">
        <v>0.56000000000000005</v>
      </c>
      <c r="BN192" s="129" t="s">
        <v>428</v>
      </c>
      <c r="BO192" s="129" t="s">
        <v>429</v>
      </c>
      <c r="BP192" s="151">
        <f t="shared" si="24"/>
        <v>19.066666666666666</v>
      </c>
      <c r="BQ192" s="129" t="s">
        <v>202</v>
      </c>
      <c r="BR192" s="217"/>
      <c r="BS192" s="129" t="s">
        <v>160</v>
      </c>
      <c r="BT192" s="129" t="s">
        <v>160</v>
      </c>
      <c r="BU192" s="129">
        <v>10</v>
      </c>
      <c r="BV192" s="129" t="s">
        <v>159</v>
      </c>
      <c r="BW192" s="129">
        <v>10</v>
      </c>
      <c r="BX192" s="145">
        <v>23.023440319999999</v>
      </c>
      <c r="BY192" s="129" t="s">
        <v>159</v>
      </c>
      <c r="BZ192" s="129">
        <v>1</v>
      </c>
      <c r="CA192" s="129">
        <v>1</v>
      </c>
      <c r="CB192" s="129" t="s">
        <v>160</v>
      </c>
      <c r="CC192" s="151">
        <v>3.0057920800475317</v>
      </c>
      <c r="CD192" s="129" t="s">
        <v>430</v>
      </c>
      <c r="CE192" s="151">
        <f t="shared" si="21"/>
        <v>0.12023168320190127</v>
      </c>
      <c r="CF192" s="151">
        <v>0.12023168320190127</v>
      </c>
      <c r="CG192" s="178" t="s">
        <v>160</v>
      </c>
      <c r="CH192" s="129" t="s">
        <v>431</v>
      </c>
      <c r="CI192" s="129" t="s">
        <v>160</v>
      </c>
      <c r="CJ192" s="129" t="s">
        <v>432</v>
      </c>
      <c r="CK192" s="129" t="s">
        <v>158</v>
      </c>
      <c r="CL192" s="129" t="s">
        <v>158</v>
      </c>
      <c r="CM192" s="129" t="s">
        <v>158</v>
      </c>
      <c r="CN192" s="129" t="s">
        <v>160</v>
      </c>
      <c r="CO192" s="129" t="s">
        <v>160</v>
      </c>
      <c r="CP192" s="129" t="s">
        <v>160</v>
      </c>
      <c r="CQ192" s="129" t="s">
        <v>160</v>
      </c>
      <c r="CR192" s="129" t="s">
        <v>160</v>
      </c>
      <c r="CS192" s="129" t="s">
        <v>160</v>
      </c>
      <c r="CT192" s="129" t="s">
        <v>160</v>
      </c>
      <c r="CU192" s="129">
        <v>35</v>
      </c>
      <c r="CV192" s="129" t="s">
        <v>393</v>
      </c>
      <c r="CW192" s="146">
        <v>1</v>
      </c>
      <c r="CX192" s="129" t="s">
        <v>207</v>
      </c>
      <c r="CY192" s="129">
        <v>1.06E-2</v>
      </c>
      <c r="CZ192" s="129" t="s">
        <v>159</v>
      </c>
      <c r="DA192" s="146">
        <v>0</v>
      </c>
      <c r="DB192" s="129" t="s">
        <v>208</v>
      </c>
      <c r="DC192" s="129">
        <v>5.5100000000000003E-2</v>
      </c>
      <c r="DD192" s="129" t="s">
        <v>159</v>
      </c>
      <c r="DE192" s="146">
        <v>0</v>
      </c>
      <c r="DF192" s="129" t="s">
        <v>208</v>
      </c>
      <c r="DG192" s="129" t="s">
        <v>160</v>
      </c>
      <c r="DH192" s="129" t="s">
        <v>160</v>
      </c>
      <c r="DI192" s="129" t="s">
        <v>160</v>
      </c>
      <c r="DJ192" s="129" t="s">
        <v>160</v>
      </c>
      <c r="DK192" s="145">
        <v>432.56244218316402</v>
      </c>
      <c r="DL192" s="129" t="s">
        <v>433</v>
      </c>
      <c r="DM192" s="145" t="s">
        <v>160</v>
      </c>
      <c r="DN192" s="129" t="s">
        <v>434</v>
      </c>
      <c r="DO192" s="129">
        <v>39.607100000000003</v>
      </c>
      <c r="DP192" s="129" t="s">
        <v>160</v>
      </c>
      <c r="DQ192" s="129">
        <v>0.31300999999999846</v>
      </c>
      <c r="DR192" s="129" t="s">
        <v>435</v>
      </c>
      <c r="DS192" s="129" t="s">
        <v>212</v>
      </c>
      <c r="DT192" s="129" t="s">
        <v>213</v>
      </c>
      <c r="DU192" s="129">
        <v>1.0271999999999999</v>
      </c>
      <c r="DV192" s="129" t="s">
        <v>160</v>
      </c>
      <c r="DW192" s="129" t="s">
        <v>160</v>
      </c>
      <c r="DX192" s="129" t="s">
        <v>436</v>
      </c>
      <c r="DY192" s="129" t="s">
        <v>158</v>
      </c>
      <c r="DZ192" s="129" t="s">
        <v>158</v>
      </c>
      <c r="EA192" s="129" t="s">
        <v>216</v>
      </c>
      <c r="EB192" s="129" t="s">
        <v>212</v>
      </c>
      <c r="EC192" s="129" t="s">
        <v>212</v>
      </c>
      <c r="ED192" s="129" t="s">
        <v>212</v>
      </c>
      <c r="EE192" s="129" t="s">
        <v>217</v>
      </c>
      <c r="EF192" s="147" t="s">
        <v>213</v>
      </c>
      <c r="EG192" s="148" t="s">
        <v>213</v>
      </c>
      <c r="EH192" s="129" t="s">
        <v>218</v>
      </c>
      <c r="EI192" s="129" t="s">
        <v>417</v>
      </c>
      <c r="EJ192" s="129" t="s">
        <v>160</v>
      </c>
      <c r="EK192" s="129">
        <v>1976.6610000000003</v>
      </c>
      <c r="EL192" s="129" t="s">
        <v>163</v>
      </c>
      <c r="EM192" s="129">
        <v>19.529999999999809</v>
      </c>
      <c r="EN192" s="129">
        <v>19.649000000000054</v>
      </c>
      <c r="EO192" s="129" t="s">
        <v>160</v>
      </c>
      <c r="EP192" s="129" t="s">
        <v>160</v>
      </c>
      <c r="EQ192" s="129" t="s">
        <v>160</v>
      </c>
      <c r="ER192" s="129" t="s">
        <v>160</v>
      </c>
      <c r="ES192" s="201">
        <v>8.1516640000000002</v>
      </c>
      <c r="ET192" s="129" t="s">
        <v>165</v>
      </c>
      <c r="EU192" s="151">
        <v>4.1430000000000078E-2</v>
      </c>
      <c r="EV192" s="151">
        <v>4.2647000000000546E-2</v>
      </c>
      <c r="EW192" s="142" t="s">
        <v>160</v>
      </c>
      <c r="EX192" s="129" t="s">
        <v>160</v>
      </c>
      <c r="EY192" s="129" t="s">
        <v>160</v>
      </c>
      <c r="EZ192" s="208">
        <v>260.50390000000004</v>
      </c>
      <c r="FA192" s="209">
        <v>34.061199999999928</v>
      </c>
      <c r="FB192" s="209">
        <v>29.860700000000037</v>
      </c>
      <c r="FC192" s="129" t="s">
        <v>220</v>
      </c>
      <c r="FD192" s="129" t="s">
        <v>221</v>
      </c>
      <c r="FE192" s="129">
        <v>2275.4540000000002</v>
      </c>
      <c r="FF192" s="129">
        <v>40.422000000000025</v>
      </c>
      <c r="FG192" s="129">
        <v>41.0300000000002</v>
      </c>
      <c r="FH192" s="129" t="s">
        <v>160</v>
      </c>
      <c r="FI192" s="129" t="s">
        <v>160</v>
      </c>
      <c r="FJ192" s="129" t="s">
        <v>160</v>
      </c>
      <c r="FK192" s="129" t="s">
        <v>160</v>
      </c>
      <c r="FL192" s="129" t="s">
        <v>160</v>
      </c>
      <c r="FM192" s="129" t="s">
        <v>160</v>
      </c>
      <c r="FN192" s="151">
        <v>3.9424320000000002</v>
      </c>
      <c r="FO192" s="151">
        <v>0.30686099999999961</v>
      </c>
      <c r="FP192" s="151">
        <v>0.28931400000000007</v>
      </c>
      <c r="FQ192" s="178" t="s">
        <v>419</v>
      </c>
      <c r="FR192" s="129" t="s">
        <v>415</v>
      </c>
      <c r="FS192" s="129">
        <v>2017</v>
      </c>
      <c r="FT192" s="131" t="s">
        <v>416</v>
      </c>
    </row>
    <row r="193" spans="1:176" s="129" customFormat="1">
      <c r="A193" s="129" t="s">
        <v>152</v>
      </c>
      <c r="B193" s="166" t="s">
        <v>183</v>
      </c>
      <c r="C193" s="166">
        <v>2018</v>
      </c>
      <c r="D193" s="166" t="s">
        <v>184</v>
      </c>
      <c r="E193" s="145">
        <f t="shared" si="22"/>
        <v>1154.0899999999999</v>
      </c>
      <c r="F193" s="129">
        <f t="shared" si="23"/>
        <v>2</v>
      </c>
      <c r="G193" s="129">
        <f t="shared" si="23"/>
        <v>2</v>
      </c>
      <c r="H193" s="191">
        <v>248.04839999999999</v>
      </c>
      <c r="I193" s="191">
        <v>31.156599999999997</v>
      </c>
      <c r="J193" s="191">
        <v>27.954099999999983</v>
      </c>
      <c r="K193" s="129" t="s">
        <v>457</v>
      </c>
      <c r="L193" s="131" t="s">
        <v>185</v>
      </c>
      <c r="M193" s="132" t="s">
        <v>186</v>
      </c>
      <c r="N193" s="129" t="s">
        <v>184</v>
      </c>
      <c r="O193" s="129" t="s">
        <v>420</v>
      </c>
      <c r="P193" s="205" t="s">
        <v>438</v>
      </c>
      <c r="Q193" s="205">
        <v>5</v>
      </c>
      <c r="R193" s="205">
        <v>2</v>
      </c>
      <c r="S193" s="206">
        <v>48</v>
      </c>
      <c r="T193" s="206">
        <f t="shared" si="20"/>
        <v>50</v>
      </c>
      <c r="U193" s="207">
        <v>38.08</v>
      </c>
      <c r="V193" s="207">
        <v>38.08</v>
      </c>
      <c r="W193" s="129" t="s">
        <v>160</v>
      </c>
      <c r="X193" s="129" t="s">
        <v>421</v>
      </c>
      <c r="Y193" s="200">
        <v>12.74</v>
      </c>
      <c r="Z193" s="200">
        <v>-78.739999999999995</v>
      </c>
      <c r="AA193" s="129" t="s">
        <v>160</v>
      </c>
      <c r="AB193" s="129" t="s">
        <v>160</v>
      </c>
      <c r="AC193" s="129">
        <v>-2839</v>
      </c>
      <c r="AD193" s="129" t="s">
        <v>160</v>
      </c>
      <c r="AE193" s="129" t="s">
        <v>160</v>
      </c>
      <c r="AF193" s="129" t="s">
        <v>160</v>
      </c>
      <c r="AG193" s="129">
        <v>1154.0899999999999</v>
      </c>
      <c r="AH193" s="129" t="s">
        <v>163</v>
      </c>
      <c r="AI193" s="129">
        <v>2</v>
      </c>
      <c r="AJ193" s="129">
        <v>2</v>
      </c>
      <c r="AK193" s="129" t="s">
        <v>160</v>
      </c>
      <c r="AL193" s="129" t="s">
        <v>422</v>
      </c>
      <c r="AM193" s="129" t="s">
        <v>160</v>
      </c>
      <c r="AN193" s="129" t="s">
        <v>160</v>
      </c>
      <c r="AO193" s="129" t="s">
        <v>160</v>
      </c>
      <c r="AP193" s="129" t="s">
        <v>160</v>
      </c>
      <c r="AQ193" s="129" t="s">
        <v>160</v>
      </c>
      <c r="AR193" s="129" t="s">
        <v>160</v>
      </c>
      <c r="AS193" s="129" t="s">
        <v>160</v>
      </c>
      <c r="AT193" s="129" t="s">
        <v>160</v>
      </c>
      <c r="AU193" s="129" t="s">
        <v>423</v>
      </c>
      <c r="AV193" s="129" t="s">
        <v>161</v>
      </c>
      <c r="AW193" s="129" t="s">
        <v>424</v>
      </c>
      <c r="AX193" s="178">
        <v>2</v>
      </c>
      <c r="AY193" s="129" t="s">
        <v>194</v>
      </c>
      <c r="AZ193" s="129" t="s">
        <v>195</v>
      </c>
      <c r="BA193" s="129" t="s">
        <v>425</v>
      </c>
      <c r="BB193" s="129" t="s">
        <v>160</v>
      </c>
      <c r="BC193" s="178">
        <v>2</v>
      </c>
      <c r="BD193" s="129" t="s">
        <v>160</v>
      </c>
      <c r="BE193" s="151">
        <v>20.519103950000002</v>
      </c>
      <c r="BF193" s="129" t="s">
        <v>426</v>
      </c>
      <c r="BG193" s="151">
        <v>0.222955026</v>
      </c>
      <c r="BH193" s="129">
        <v>0.64</v>
      </c>
      <c r="BI193" s="129" t="s">
        <v>427</v>
      </c>
      <c r="BJ193" s="129">
        <v>3.4000000000000002E-2</v>
      </c>
      <c r="BK193" s="129">
        <v>9.1</v>
      </c>
      <c r="BL193" s="129" t="s">
        <v>163</v>
      </c>
      <c r="BM193" s="129">
        <v>0.56000000000000005</v>
      </c>
      <c r="BN193" s="129" t="s">
        <v>428</v>
      </c>
      <c r="BO193" s="129" t="s">
        <v>429</v>
      </c>
      <c r="BP193" s="151">
        <f t="shared" si="24"/>
        <v>19.415173250000006</v>
      </c>
      <c r="BQ193" s="129" t="s">
        <v>202</v>
      </c>
      <c r="BR193" s="217"/>
      <c r="BS193" s="129" t="s">
        <v>160</v>
      </c>
      <c r="BT193" s="129" t="s">
        <v>160</v>
      </c>
      <c r="BU193" s="129">
        <v>10</v>
      </c>
      <c r="BV193" s="129" t="s">
        <v>159</v>
      </c>
      <c r="BW193" s="129">
        <v>10</v>
      </c>
      <c r="BX193" s="145">
        <v>24.003456360000001</v>
      </c>
      <c r="BY193" s="129" t="s">
        <v>159</v>
      </c>
      <c r="BZ193" s="129">
        <v>1</v>
      </c>
      <c r="CA193" s="129">
        <v>1</v>
      </c>
      <c r="CB193" s="129" t="s">
        <v>160</v>
      </c>
      <c r="CC193" s="151">
        <v>3.2746396578140695</v>
      </c>
      <c r="CD193" s="129" t="s">
        <v>430</v>
      </c>
      <c r="CE193" s="151">
        <f t="shared" si="21"/>
        <v>0.1309855863125628</v>
      </c>
      <c r="CF193" s="151">
        <v>0.1309855863125628</v>
      </c>
      <c r="CG193" s="178" t="s">
        <v>160</v>
      </c>
      <c r="CH193" s="129" t="s">
        <v>431</v>
      </c>
      <c r="CI193" s="129" t="s">
        <v>160</v>
      </c>
      <c r="CJ193" s="129" t="s">
        <v>432</v>
      </c>
      <c r="CK193" s="129" t="s">
        <v>158</v>
      </c>
      <c r="CL193" s="129" t="s">
        <v>158</v>
      </c>
      <c r="CM193" s="129" t="s">
        <v>158</v>
      </c>
      <c r="CN193" s="129" t="s">
        <v>160</v>
      </c>
      <c r="CO193" s="129" t="s">
        <v>160</v>
      </c>
      <c r="CP193" s="129" t="s">
        <v>160</v>
      </c>
      <c r="CQ193" s="129" t="s">
        <v>160</v>
      </c>
      <c r="CR193" s="129" t="s">
        <v>160</v>
      </c>
      <c r="CS193" s="129" t="s">
        <v>160</v>
      </c>
      <c r="CT193" s="129" t="s">
        <v>160</v>
      </c>
      <c r="CU193" s="129">
        <v>35</v>
      </c>
      <c r="CV193" s="129" t="s">
        <v>393</v>
      </c>
      <c r="CW193" s="146">
        <v>1</v>
      </c>
      <c r="CX193" s="129" t="s">
        <v>207</v>
      </c>
      <c r="CY193" s="129">
        <v>1.06E-2</v>
      </c>
      <c r="CZ193" s="129" t="s">
        <v>159</v>
      </c>
      <c r="DA193" s="146">
        <v>0</v>
      </c>
      <c r="DB193" s="129" t="s">
        <v>208</v>
      </c>
      <c r="DC193" s="129">
        <v>5.5100000000000003E-2</v>
      </c>
      <c r="DD193" s="129" t="s">
        <v>159</v>
      </c>
      <c r="DE193" s="146">
        <v>0</v>
      </c>
      <c r="DF193" s="129" t="s">
        <v>208</v>
      </c>
      <c r="DG193" s="129" t="s">
        <v>160</v>
      </c>
      <c r="DH193" s="129" t="s">
        <v>160</v>
      </c>
      <c r="DI193" s="129" t="s">
        <v>160</v>
      </c>
      <c r="DJ193" s="129" t="s">
        <v>160</v>
      </c>
      <c r="DK193" s="145">
        <v>432.56244218316402</v>
      </c>
      <c r="DL193" s="129" t="s">
        <v>433</v>
      </c>
      <c r="DM193" s="145" t="s">
        <v>160</v>
      </c>
      <c r="DN193" s="129" t="s">
        <v>434</v>
      </c>
      <c r="DO193" s="129">
        <v>39.611159999999998</v>
      </c>
      <c r="DP193" s="129" t="s">
        <v>160</v>
      </c>
      <c r="DQ193" s="129">
        <v>0.30902000000000385</v>
      </c>
      <c r="DR193" s="129" t="s">
        <v>435</v>
      </c>
      <c r="DS193" s="129" t="s">
        <v>212</v>
      </c>
      <c r="DT193" s="129" t="s">
        <v>213</v>
      </c>
      <c r="DU193" s="129">
        <v>1.0271999999999999</v>
      </c>
      <c r="DV193" s="129" t="s">
        <v>160</v>
      </c>
      <c r="DW193" s="129" t="s">
        <v>160</v>
      </c>
      <c r="DX193" s="129" t="s">
        <v>436</v>
      </c>
      <c r="DY193" s="129" t="s">
        <v>158</v>
      </c>
      <c r="DZ193" s="129" t="s">
        <v>158</v>
      </c>
      <c r="EA193" s="129" t="s">
        <v>216</v>
      </c>
      <c r="EB193" s="129" t="s">
        <v>212</v>
      </c>
      <c r="EC193" s="129" t="s">
        <v>212</v>
      </c>
      <c r="ED193" s="129" t="s">
        <v>212</v>
      </c>
      <c r="EE193" s="129" t="s">
        <v>217</v>
      </c>
      <c r="EF193" s="147" t="s">
        <v>213</v>
      </c>
      <c r="EG193" s="148" t="s">
        <v>213</v>
      </c>
      <c r="EH193" s="129" t="s">
        <v>218</v>
      </c>
      <c r="EI193" s="129" t="s">
        <v>417</v>
      </c>
      <c r="EJ193" s="129" t="s">
        <v>160</v>
      </c>
      <c r="EK193" s="129">
        <v>1976.2629999999997</v>
      </c>
      <c r="EL193" s="129" t="s">
        <v>163</v>
      </c>
      <c r="EM193" s="129">
        <v>19.779000000000149</v>
      </c>
      <c r="EN193" s="129">
        <v>18.961999999999971</v>
      </c>
      <c r="EO193" s="129" t="s">
        <v>160</v>
      </c>
      <c r="EP193" s="129" t="s">
        <v>160</v>
      </c>
      <c r="EQ193" s="129" t="s">
        <v>160</v>
      </c>
      <c r="ER193" s="129" t="s">
        <v>160</v>
      </c>
      <c r="ES193" s="201">
        <v>8.1689699999999998</v>
      </c>
      <c r="ET193" s="129" t="s">
        <v>165</v>
      </c>
      <c r="EU193" s="151">
        <v>4.0748000000000673E-2</v>
      </c>
      <c r="EV193" s="151">
        <v>4.1033999999999793E-2</v>
      </c>
      <c r="EW193" s="142" t="s">
        <v>160</v>
      </c>
      <c r="EX193" s="129" t="s">
        <v>160</v>
      </c>
      <c r="EY193" s="129" t="s">
        <v>160</v>
      </c>
      <c r="EZ193" s="208">
        <v>248.04839999999999</v>
      </c>
      <c r="FA193" s="209">
        <v>31.156599999999997</v>
      </c>
      <c r="FB193" s="209">
        <v>27.954099999999983</v>
      </c>
      <c r="FC193" s="129" t="s">
        <v>220</v>
      </c>
      <c r="FD193" s="129" t="s">
        <v>221</v>
      </c>
      <c r="FE193" s="129">
        <v>2298.6410000000001</v>
      </c>
      <c r="FF193" s="129">
        <v>41.46100000000024</v>
      </c>
      <c r="FG193" s="129">
        <v>40.596000000000004</v>
      </c>
      <c r="FH193" s="129" t="s">
        <v>160</v>
      </c>
      <c r="FI193" s="129" t="s">
        <v>160</v>
      </c>
      <c r="FJ193" s="129" t="s">
        <v>160</v>
      </c>
      <c r="FK193" s="129" t="s">
        <v>160</v>
      </c>
      <c r="FL193" s="129" t="s">
        <v>160</v>
      </c>
      <c r="FM193" s="129" t="s">
        <v>160</v>
      </c>
      <c r="FN193" s="151">
        <v>4.2383790000000001</v>
      </c>
      <c r="FO193" s="151">
        <v>0.29990299999999959</v>
      </c>
      <c r="FP193" s="151">
        <v>0.29044800000000004</v>
      </c>
      <c r="FQ193" s="178" t="s">
        <v>419</v>
      </c>
      <c r="FR193" s="129" t="s">
        <v>415</v>
      </c>
      <c r="FS193" s="129">
        <v>2017</v>
      </c>
      <c r="FT193" s="131" t="s">
        <v>416</v>
      </c>
    </row>
    <row r="194" spans="1:176" s="129" customFormat="1">
      <c r="A194" s="129" t="s">
        <v>152</v>
      </c>
      <c r="B194" s="166" t="s">
        <v>183</v>
      </c>
      <c r="C194" s="166">
        <v>2018</v>
      </c>
      <c r="D194" s="166" t="s">
        <v>184</v>
      </c>
      <c r="E194" s="145">
        <f t="shared" si="22"/>
        <v>1157.77</v>
      </c>
      <c r="F194" s="129">
        <f t="shared" si="23"/>
        <v>2</v>
      </c>
      <c r="G194" s="129">
        <f t="shared" si="23"/>
        <v>2</v>
      </c>
      <c r="H194" s="191">
        <v>299.71730000000002</v>
      </c>
      <c r="I194" s="191">
        <v>38.193500000000029</v>
      </c>
      <c r="J194" s="191">
        <v>34.120700000000056</v>
      </c>
      <c r="K194" s="129" t="s">
        <v>457</v>
      </c>
      <c r="L194" s="131" t="s">
        <v>185</v>
      </c>
      <c r="M194" s="132" t="s">
        <v>186</v>
      </c>
      <c r="N194" s="129" t="s">
        <v>184</v>
      </c>
      <c r="O194" s="129" t="s">
        <v>420</v>
      </c>
      <c r="P194" s="205" t="s">
        <v>438</v>
      </c>
      <c r="Q194" s="205">
        <v>5</v>
      </c>
      <c r="R194" s="205">
        <v>2</v>
      </c>
      <c r="S194" s="206">
        <v>58.530575000000283</v>
      </c>
      <c r="T194" s="206">
        <f t="shared" si="20"/>
        <v>60.530575000000283</v>
      </c>
      <c r="U194" s="207">
        <v>38.185081070000003</v>
      </c>
      <c r="V194" s="207">
        <v>38.185081070000003</v>
      </c>
      <c r="W194" s="129" t="s">
        <v>160</v>
      </c>
      <c r="X194" s="129" t="s">
        <v>421</v>
      </c>
      <c r="Y194" s="200">
        <v>12.74</v>
      </c>
      <c r="Z194" s="200">
        <v>-78.739999999999995</v>
      </c>
      <c r="AA194" s="129" t="s">
        <v>160</v>
      </c>
      <c r="AB194" s="129" t="s">
        <v>160</v>
      </c>
      <c r="AC194" s="129">
        <v>-2839</v>
      </c>
      <c r="AD194" s="129" t="s">
        <v>160</v>
      </c>
      <c r="AE194" s="129" t="s">
        <v>160</v>
      </c>
      <c r="AF194" s="129" t="s">
        <v>160</v>
      </c>
      <c r="AG194" s="129">
        <v>1157.77</v>
      </c>
      <c r="AH194" s="129" t="s">
        <v>163</v>
      </c>
      <c r="AI194" s="129">
        <v>2</v>
      </c>
      <c r="AJ194" s="129">
        <v>2</v>
      </c>
      <c r="AK194" s="129" t="s">
        <v>160</v>
      </c>
      <c r="AL194" s="129" t="s">
        <v>422</v>
      </c>
      <c r="AM194" s="129" t="s">
        <v>160</v>
      </c>
      <c r="AN194" s="129" t="s">
        <v>160</v>
      </c>
      <c r="AO194" s="129" t="s">
        <v>160</v>
      </c>
      <c r="AP194" s="129" t="s">
        <v>160</v>
      </c>
      <c r="AQ194" s="129" t="s">
        <v>160</v>
      </c>
      <c r="AR194" s="129" t="s">
        <v>160</v>
      </c>
      <c r="AS194" s="129" t="s">
        <v>160</v>
      </c>
      <c r="AT194" s="129" t="s">
        <v>160</v>
      </c>
      <c r="AU194" s="129" t="s">
        <v>423</v>
      </c>
      <c r="AV194" s="129" t="s">
        <v>161</v>
      </c>
      <c r="AW194" s="129" t="s">
        <v>424</v>
      </c>
      <c r="AX194" s="178">
        <v>2</v>
      </c>
      <c r="AY194" s="129" t="s">
        <v>194</v>
      </c>
      <c r="AZ194" s="129" t="s">
        <v>195</v>
      </c>
      <c r="BA194" s="129" t="s">
        <v>425</v>
      </c>
      <c r="BB194" s="129" t="s">
        <v>160</v>
      </c>
      <c r="BC194" s="178">
        <v>2</v>
      </c>
      <c r="BD194" s="129" t="s">
        <v>160</v>
      </c>
      <c r="BE194" s="151">
        <v>20.102758009999999</v>
      </c>
      <c r="BF194" s="129" t="s">
        <v>426</v>
      </c>
      <c r="BG194" s="151">
        <v>0.217485602</v>
      </c>
      <c r="BH194" s="129">
        <v>0.64</v>
      </c>
      <c r="BI194" s="129" t="s">
        <v>427</v>
      </c>
      <c r="BJ194" s="129">
        <v>3.4000000000000002E-2</v>
      </c>
      <c r="BK194" s="129">
        <v>9.1</v>
      </c>
      <c r="BL194" s="129" t="s">
        <v>163</v>
      </c>
      <c r="BM194" s="129">
        <v>0.56000000000000005</v>
      </c>
      <c r="BN194" s="129" t="s">
        <v>428</v>
      </c>
      <c r="BO194" s="129" t="s">
        <v>429</v>
      </c>
      <c r="BP194" s="151">
        <f t="shared" si="24"/>
        <v>18.721263350000001</v>
      </c>
      <c r="BQ194" s="129" t="s">
        <v>202</v>
      </c>
      <c r="BR194" s="217"/>
      <c r="BS194" s="129" t="s">
        <v>160</v>
      </c>
      <c r="BT194" s="129" t="s">
        <v>160</v>
      </c>
      <c r="BU194" s="129">
        <v>10</v>
      </c>
      <c r="BV194" s="129" t="s">
        <v>159</v>
      </c>
      <c r="BW194" s="129">
        <v>10</v>
      </c>
      <c r="BX194" s="145">
        <v>24.5289015</v>
      </c>
      <c r="BY194" s="129" t="s">
        <v>159</v>
      </c>
      <c r="BZ194" s="129">
        <v>1</v>
      </c>
      <c r="CA194" s="129">
        <v>1</v>
      </c>
      <c r="CB194" s="129" t="s">
        <v>160</v>
      </c>
      <c r="CC194" s="151">
        <v>3.4288489882960311</v>
      </c>
      <c r="CD194" s="129" t="s">
        <v>430</v>
      </c>
      <c r="CE194" s="151">
        <f t="shared" si="21"/>
        <v>0.13715395953184126</v>
      </c>
      <c r="CF194" s="151">
        <v>0.13715395953184126</v>
      </c>
      <c r="CG194" s="178" t="s">
        <v>160</v>
      </c>
      <c r="CH194" s="129" t="s">
        <v>431</v>
      </c>
      <c r="CI194" s="129" t="s">
        <v>160</v>
      </c>
      <c r="CJ194" s="129" t="s">
        <v>432</v>
      </c>
      <c r="CK194" s="129" t="s">
        <v>158</v>
      </c>
      <c r="CL194" s="129" t="s">
        <v>158</v>
      </c>
      <c r="CM194" s="129" t="s">
        <v>158</v>
      </c>
      <c r="CN194" s="129" t="s">
        <v>160</v>
      </c>
      <c r="CO194" s="129" t="s">
        <v>160</v>
      </c>
      <c r="CP194" s="129" t="s">
        <v>160</v>
      </c>
      <c r="CQ194" s="129" t="s">
        <v>160</v>
      </c>
      <c r="CR194" s="129" t="s">
        <v>160</v>
      </c>
      <c r="CS194" s="129" t="s">
        <v>160</v>
      </c>
      <c r="CT194" s="129" t="s">
        <v>160</v>
      </c>
      <c r="CU194" s="129">
        <v>35</v>
      </c>
      <c r="CV194" s="129" t="s">
        <v>393</v>
      </c>
      <c r="CW194" s="146">
        <v>1</v>
      </c>
      <c r="CX194" s="129" t="s">
        <v>207</v>
      </c>
      <c r="CY194" s="129">
        <v>1.06E-2</v>
      </c>
      <c r="CZ194" s="129" t="s">
        <v>159</v>
      </c>
      <c r="DA194" s="146">
        <v>0</v>
      </c>
      <c r="DB194" s="129" t="s">
        <v>208</v>
      </c>
      <c r="DC194" s="129">
        <v>5.5100000000000003E-2</v>
      </c>
      <c r="DD194" s="129" t="s">
        <v>159</v>
      </c>
      <c r="DE194" s="146">
        <v>0</v>
      </c>
      <c r="DF194" s="129" t="s">
        <v>208</v>
      </c>
      <c r="DG194" s="129" t="s">
        <v>160</v>
      </c>
      <c r="DH194" s="129" t="s">
        <v>160</v>
      </c>
      <c r="DI194" s="129" t="s">
        <v>160</v>
      </c>
      <c r="DJ194" s="129" t="s">
        <v>160</v>
      </c>
      <c r="DK194" s="145">
        <v>432.56244218316402</v>
      </c>
      <c r="DL194" s="129" t="s">
        <v>433</v>
      </c>
      <c r="DM194" s="145" t="s">
        <v>160</v>
      </c>
      <c r="DN194" s="129" t="s">
        <v>434</v>
      </c>
      <c r="DO194" s="129">
        <v>39.606360000000002</v>
      </c>
      <c r="DP194" s="129" t="s">
        <v>160</v>
      </c>
      <c r="DQ194" s="129">
        <v>0.31487999999999516</v>
      </c>
      <c r="DR194" s="129" t="s">
        <v>435</v>
      </c>
      <c r="DS194" s="129" t="s">
        <v>212</v>
      </c>
      <c r="DT194" s="129" t="s">
        <v>213</v>
      </c>
      <c r="DU194" s="129">
        <v>1.0271999999999999</v>
      </c>
      <c r="DV194" s="129" t="s">
        <v>160</v>
      </c>
      <c r="DW194" s="129" t="s">
        <v>160</v>
      </c>
      <c r="DX194" s="129" t="s">
        <v>436</v>
      </c>
      <c r="DY194" s="129" t="s">
        <v>158</v>
      </c>
      <c r="DZ194" s="129" t="s">
        <v>158</v>
      </c>
      <c r="EA194" s="129" t="s">
        <v>216</v>
      </c>
      <c r="EB194" s="129" t="s">
        <v>212</v>
      </c>
      <c r="EC194" s="129" t="s">
        <v>212</v>
      </c>
      <c r="ED194" s="129" t="s">
        <v>212</v>
      </c>
      <c r="EE194" s="129" t="s">
        <v>217</v>
      </c>
      <c r="EF194" s="147" t="s">
        <v>213</v>
      </c>
      <c r="EG194" s="148" t="s">
        <v>213</v>
      </c>
      <c r="EH194" s="129" t="s">
        <v>218</v>
      </c>
      <c r="EI194" s="129" t="s">
        <v>417</v>
      </c>
      <c r="EJ194" s="129" t="s">
        <v>160</v>
      </c>
      <c r="EK194" s="129">
        <v>1976.7510000000002</v>
      </c>
      <c r="EL194" s="129" t="s">
        <v>163</v>
      </c>
      <c r="EM194" s="129">
        <v>19.261999999999926</v>
      </c>
      <c r="EN194" s="129">
        <v>19.690000000000158</v>
      </c>
      <c r="EO194" s="129" t="s">
        <v>160</v>
      </c>
      <c r="EP194" s="129" t="s">
        <v>160</v>
      </c>
      <c r="EQ194" s="129" t="s">
        <v>160</v>
      </c>
      <c r="ER194" s="129" t="s">
        <v>160</v>
      </c>
      <c r="ES194" s="201">
        <v>8.1033449999999991</v>
      </c>
      <c r="ET194" s="129" t="s">
        <v>165</v>
      </c>
      <c r="EU194" s="151">
        <v>4.209200000000024E-2</v>
      </c>
      <c r="EV194" s="151">
        <v>4.3187999999998894E-2</v>
      </c>
      <c r="EW194" s="142" t="s">
        <v>160</v>
      </c>
      <c r="EX194" s="129" t="s">
        <v>160</v>
      </c>
      <c r="EY194" s="129" t="s">
        <v>160</v>
      </c>
      <c r="EZ194" s="208">
        <v>299.71730000000002</v>
      </c>
      <c r="FA194" s="209">
        <v>38.193500000000029</v>
      </c>
      <c r="FB194" s="209">
        <v>34.120700000000056</v>
      </c>
      <c r="FC194" s="129" t="s">
        <v>220</v>
      </c>
      <c r="FD194" s="129" t="s">
        <v>221</v>
      </c>
      <c r="FE194" s="129">
        <v>2257.375</v>
      </c>
      <c r="FF194" s="129">
        <v>40.108999999999924</v>
      </c>
      <c r="FG194" s="129">
        <v>38.817000000000007</v>
      </c>
      <c r="FH194" s="129" t="s">
        <v>160</v>
      </c>
      <c r="FI194" s="129" t="s">
        <v>160</v>
      </c>
      <c r="FJ194" s="129" t="s">
        <v>160</v>
      </c>
      <c r="FK194" s="129" t="s">
        <v>160</v>
      </c>
      <c r="FL194" s="129" t="s">
        <v>160</v>
      </c>
      <c r="FM194" s="129" t="s">
        <v>160</v>
      </c>
      <c r="FN194" s="151">
        <v>3.782117</v>
      </c>
      <c r="FO194" s="151">
        <v>0.29462400000000022</v>
      </c>
      <c r="FP194" s="151">
        <v>0.27732499999999982</v>
      </c>
      <c r="FQ194" s="178" t="s">
        <v>419</v>
      </c>
      <c r="FR194" s="129" t="s">
        <v>415</v>
      </c>
      <c r="FS194" s="129">
        <v>2017</v>
      </c>
      <c r="FT194" s="131" t="s">
        <v>416</v>
      </c>
    </row>
    <row r="195" spans="1:176" s="129" customFormat="1">
      <c r="A195" s="129" t="s">
        <v>152</v>
      </c>
      <c r="B195" s="166" t="s">
        <v>183</v>
      </c>
      <c r="C195" s="166">
        <v>2018</v>
      </c>
      <c r="D195" s="166" t="s">
        <v>184</v>
      </c>
      <c r="E195" s="145">
        <f t="shared" si="22"/>
        <v>1160.73</v>
      </c>
      <c r="F195" s="129">
        <f t="shared" si="23"/>
        <v>2</v>
      </c>
      <c r="G195" s="129">
        <f t="shared" si="23"/>
        <v>2</v>
      </c>
      <c r="H195" s="191">
        <v>307.68169999999998</v>
      </c>
      <c r="I195" s="191">
        <v>39.382000000000062</v>
      </c>
      <c r="J195" s="191">
        <v>35.487899999999968</v>
      </c>
      <c r="K195" s="129" t="s">
        <v>457</v>
      </c>
      <c r="L195" s="131" t="s">
        <v>185</v>
      </c>
      <c r="M195" s="132" t="s">
        <v>186</v>
      </c>
      <c r="N195" s="129" t="s">
        <v>184</v>
      </c>
      <c r="O195" s="129" t="s">
        <v>420</v>
      </c>
      <c r="P195" s="205" t="s">
        <v>438</v>
      </c>
      <c r="Q195" s="205">
        <v>5</v>
      </c>
      <c r="R195" s="205">
        <v>2</v>
      </c>
      <c r="S195" s="206">
        <v>66.971234999999695</v>
      </c>
      <c r="T195" s="206">
        <f t="shared" si="20"/>
        <v>68.971234999999695</v>
      </c>
      <c r="U195" s="207">
        <v>38.269487669999997</v>
      </c>
      <c r="V195" s="207">
        <v>38.269487669999997</v>
      </c>
      <c r="W195" s="129" t="s">
        <v>160</v>
      </c>
      <c r="X195" s="129" t="s">
        <v>421</v>
      </c>
      <c r="Y195" s="200">
        <v>12.74</v>
      </c>
      <c r="Z195" s="200">
        <v>-78.739999999999995</v>
      </c>
      <c r="AA195" s="129" t="s">
        <v>160</v>
      </c>
      <c r="AB195" s="129" t="s">
        <v>160</v>
      </c>
      <c r="AC195" s="129">
        <v>-2839</v>
      </c>
      <c r="AD195" s="129" t="s">
        <v>160</v>
      </c>
      <c r="AE195" s="129" t="s">
        <v>160</v>
      </c>
      <c r="AF195" s="129" t="s">
        <v>160</v>
      </c>
      <c r="AG195" s="129">
        <v>1160.73</v>
      </c>
      <c r="AH195" s="129" t="s">
        <v>163</v>
      </c>
      <c r="AI195" s="129">
        <v>2</v>
      </c>
      <c r="AJ195" s="129">
        <v>2</v>
      </c>
      <c r="AK195" s="129" t="s">
        <v>160</v>
      </c>
      <c r="AL195" s="129" t="s">
        <v>422</v>
      </c>
      <c r="AM195" s="129" t="s">
        <v>160</v>
      </c>
      <c r="AN195" s="129" t="s">
        <v>160</v>
      </c>
      <c r="AO195" s="129" t="s">
        <v>160</v>
      </c>
      <c r="AP195" s="129" t="s">
        <v>160</v>
      </c>
      <c r="AQ195" s="129" t="s">
        <v>160</v>
      </c>
      <c r="AR195" s="129" t="s">
        <v>160</v>
      </c>
      <c r="AS195" s="129" t="s">
        <v>160</v>
      </c>
      <c r="AT195" s="129" t="s">
        <v>160</v>
      </c>
      <c r="AU195" s="129" t="s">
        <v>423</v>
      </c>
      <c r="AV195" s="129" t="s">
        <v>161</v>
      </c>
      <c r="AW195" s="129" t="s">
        <v>424</v>
      </c>
      <c r="AX195" s="178">
        <v>2</v>
      </c>
      <c r="AY195" s="129" t="s">
        <v>194</v>
      </c>
      <c r="AZ195" s="129" t="s">
        <v>195</v>
      </c>
      <c r="BA195" s="129" t="s">
        <v>425</v>
      </c>
      <c r="BB195" s="129" t="s">
        <v>160</v>
      </c>
      <c r="BC195" s="178">
        <v>2</v>
      </c>
      <c r="BD195" s="129" t="s">
        <v>160</v>
      </c>
      <c r="BE195" s="151">
        <v>19.98</v>
      </c>
      <c r="BF195" s="129" t="s">
        <v>426</v>
      </c>
      <c r="BG195" s="151">
        <v>0.21643417200000001</v>
      </c>
      <c r="BH195" s="129">
        <v>0.64</v>
      </c>
      <c r="BI195" s="129" t="s">
        <v>427</v>
      </c>
      <c r="BJ195" s="129">
        <v>3.4000000000000002E-2</v>
      </c>
      <c r="BK195" s="129">
        <v>9.1</v>
      </c>
      <c r="BL195" s="129" t="s">
        <v>163</v>
      </c>
      <c r="BM195" s="129">
        <v>0.56000000000000005</v>
      </c>
      <c r="BN195" s="129" t="s">
        <v>428</v>
      </c>
      <c r="BO195" s="129" t="s">
        <v>429</v>
      </c>
      <c r="BP195" s="151">
        <f t="shared" si="24"/>
        <v>18.516666666666669</v>
      </c>
      <c r="BQ195" s="129" t="s">
        <v>202</v>
      </c>
      <c r="BR195" s="217"/>
      <c r="BS195" s="129" t="s">
        <v>160</v>
      </c>
      <c r="BT195" s="129" t="s">
        <v>160</v>
      </c>
      <c r="BU195" s="129">
        <v>10</v>
      </c>
      <c r="BV195" s="129" t="s">
        <v>159</v>
      </c>
      <c r="BW195" s="129">
        <v>10</v>
      </c>
      <c r="BX195" s="145">
        <v>23.843971790000001</v>
      </c>
      <c r="BY195" s="129" t="s">
        <v>159</v>
      </c>
      <c r="BZ195" s="129">
        <v>1</v>
      </c>
      <c r="CA195" s="129">
        <v>1</v>
      </c>
      <c r="CB195" s="129" t="s">
        <v>160</v>
      </c>
      <c r="CC195" s="151">
        <v>3.2156274578758648</v>
      </c>
      <c r="CD195" s="129" t="s">
        <v>430</v>
      </c>
      <c r="CE195" s="151">
        <f t="shared" si="21"/>
        <v>0.1286250983150346</v>
      </c>
      <c r="CF195" s="151">
        <v>0.1286250983150346</v>
      </c>
      <c r="CG195" s="178" t="s">
        <v>160</v>
      </c>
      <c r="CH195" s="129" t="s">
        <v>431</v>
      </c>
      <c r="CI195" s="129" t="s">
        <v>160</v>
      </c>
      <c r="CJ195" s="129" t="s">
        <v>432</v>
      </c>
      <c r="CK195" s="129" t="s">
        <v>158</v>
      </c>
      <c r="CL195" s="129" t="s">
        <v>158</v>
      </c>
      <c r="CM195" s="129" t="s">
        <v>158</v>
      </c>
      <c r="CN195" s="129" t="s">
        <v>160</v>
      </c>
      <c r="CO195" s="129" t="s">
        <v>160</v>
      </c>
      <c r="CP195" s="129" t="s">
        <v>160</v>
      </c>
      <c r="CQ195" s="129" t="s">
        <v>160</v>
      </c>
      <c r="CR195" s="129" t="s">
        <v>160</v>
      </c>
      <c r="CS195" s="129" t="s">
        <v>160</v>
      </c>
      <c r="CT195" s="129" t="s">
        <v>160</v>
      </c>
      <c r="CU195" s="129">
        <v>35</v>
      </c>
      <c r="CV195" s="129" t="s">
        <v>393</v>
      </c>
      <c r="CW195" s="146">
        <v>1</v>
      </c>
      <c r="CX195" s="129" t="s">
        <v>207</v>
      </c>
      <c r="CY195" s="129">
        <v>1.06E-2</v>
      </c>
      <c r="CZ195" s="129" t="s">
        <v>159</v>
      </c>
      <c r="DA195" s="146">
        <v>0</v>
      </c>
      <c r="DB195" s="129" t="s">
        <v>208</v>
      </c>
      <c r="DC195" s="129">
        <v>5.5100000000000003E-2</v>
      </c>
      <c r="DD195" s="129" t="s">
        <v>159</v>
      </c>
      <c r="DE195" s="146">
        <v>0</v>
      </c>
      <c r="DF195" s="129" t="s">
        <v>208</v>
      </c>
      <c r="DG195" s="129" t="s">
        <v>160</v>
      </c>
      <c r="DH195" s="129" t="s">
        <v>160</v>
      </c>
      <c r="DI195" s="129" t="s">
        <v>160</v>
      </c>
      <c r="DJ195" s="129" t="s">
        <v>160</v>
      </c>
      <c r="DK195" s="145">
        <v>432.56244218316402</v>
      </c>
      <c r="DL195" s="129" t="s">
        <v>433</v>
      </c>
      <c r="DM195" s="145" t="s">
        <v>160</v>
      </c>
      <c r="DN195" s="129" t="s">
        <v>434</v>
      </c>
      <c r="DO195" s="129">
        <v>39.605670000000003</v>
      </c>
      <c r="DP195" s="129" t="s">
        <v>160</v>
      </c>
      <c r="DQ195" s="129">
        <v>0.31327999999999889</v>
      </c>
      <c r="DR195" s="129" t="s">
        <v>435</v>
      </c>
      <c r="DS195" s="129" t="s">
        <v>212</v>
      </c>
      <c r="DT195" s="129" t="s">
        <v>213</v>
      </c>
      <c r="DU195" s="129">
        <v>1.0271999999999999</v>
      </c>
      <c r="DV195" s="129" t="s">
        <v>160</v>
      </c>
      <c r="DW195" s="129" t="s">
        <v>160</v>
      </c>
      <c r="DX195" s="129" t="s">
        <v>436</v>
      </c>
      <c r="DY195" s="129" t="s">
        <v>158</v>
      </c>
      <c r="DZ195" s="129" t="s">
        <v>158</v>
      </c>
      <c r="EA195" s="129" t="s">
        <v>216</v>
      </c>
      <c r="EB195" s="129" t="s">
        <v>212</v>
      </c>
      <c r="EC195" s="129" t="s">
        <v>212</v>
      </c>
      <c r="ED195" s="129" t="s">
        <v>212</v>
      </c>
      <c r="EE195" s="129" t="s">
        <v>217</v>
      </c>
      <c r="EF195" s="147" t="s">
        <v>213</v>
      </c>
      <c r="EG195" s="148" t="s">
        <v>213</v>
      </c>
      <c r="EH195" s="129" t="s">
        <v>218</v>
      </c>
      <c r="EI195" s="129" t="s">
        <v>417</v>
      </c>
      <c r="EJ195" s="129" t="s">
        <v>160</v>
      </c>
      <c r="EK195" s="129">
        <v>1976.39</v>
      </c>
      <c r="EL195" s="129" t="s">
        <v>163</v>
      </c>
      <c r="EM195" s="129">
        <v>19.864999999999988</v>
      </c>
      <c r="EN195" s="129">
        <v>19.435000000000372</v>
      </c>
      <c r="EO195" s="129" t="s">
        <v>160</v>
      </c>
      <c r="EP195" s="129" t="s">
        <v>160</v>
      </c>
      <c r="EQ195" s="129" t="s">
        <v>160</v>
      </c>
      <c r="ER195" s="129" t="s">
        <v>160</v>
      </c>
      <c r="ES195" s="201">
        <v>8.0935039999999994</v>
      </c>
      <c r="ET195" s="129" t="s">
        <v>165</v>
      </c>
      <c r="EU195" s="151">
        <v>4.3390000000000484E-2</v>
      </c>
      <c r="EV195" s="151">
        <v>4.3537999999999855E-2</v>
      </c>
      <c r="EW195" s="142" t="s">
        <v>160</v>
      </c>
      <c r="EX195" s="129" t="s">
        <v>160</v>
      </c>
      <c r="EY195" s="129" t="s">
        <v>160</v>
      </c>
      <c r="EZ195" s="208">
        <v>307.68169999999998</v>
      </c>
      <c r="FA195" s="209">
        <v>39.382000000000062</v>
      </c>
      <c r="FB195" s="209">
        <v>35.487899999999968</v>
      </c>
      <c r="FC195" s="129" t="s">
        <v>220</v>
      </c>
      <c r="FD195" s="129" t="s">
        <v>221</v>
      </c>
      <c r="FE195" s="129">
        <v>2243.3689999999997</v>
      </c>
      <c r="FF195" s="129">
        <v>40.286000000000058</v>
      </c>
      <c r="FG195" s="129">
        <v>38.519999999999527</v>
      </c>
      <c r="FH195" s="129" t="s">
        <v>160</v>
      </c>
      <c r="FI195" s="129" t="s">
        <v>160</v>
      </c>
      <c r="FJ195" s="129" t="s">
        <v>160</v>
      </c>
      <c r="FK195" s="129" t="s">
        <v>160</v>
      </c>
      <c r="FL195" s="129" t="s">
        <v>160</v>
      </c>
      <c r="FM195" s="129" t="s">
        <v>160</v>
      </c>
      <c r="FN195" s="151">
        <v>3.6105700000000001</v>
      </c>
      <c r="FO195" s="151">
        <v>0.28123899999999979</v>
      </c>
      <c r="FP195" s="151">
        <v>0.27276599999999984</v>
      </c>
      <c r="FQ195" s="178" t="s">
        <v>419</v>
      </c>
      <c r="FR195" s="129" t="s">
        <v>415</v>
      </c>
      <c r="FS195" s="129">
        <v>2017</v>
      </c>
      <c r="FT195" s="131" t="s">
        <v>416</v>
      </c>
    </row>
    <row r="196" spans="1:176" s="129" customFormat="1">
      <c r="A196" s="129" t="s">
        <v>152</v>
      </c>
      <c r="B196" s="166" t="s">
        <v>183</v>
      </c>
      <c r="C196" s="166">
        <v>2018</v>
      </c>
      <c r="D196" s="166" t="s">
        <v>184</v>
      </c>
      <c r="E196" s="145">
        <f t="shared" si="22"/>
        <v>1162.8499999999999</v>
      </c>
      <c r="F196" s="129">
        <f t="shared" si="23"/>
        <v>2</v>
      </c>
      <c r="G196" s="129">
        <f t="shared" si="23"/>
        <v>2</v>
      </c>
      <c r="H196" s="191">
        <v>275.13739999999996</v>
      </c>
      <c r="I196" s="191">
        <v>33.116100000000017</v>
      </c>
      <c r="J196" s="191">
        <v>29.226299999999952</v>
      </c>
      <c r="K196" s="129" t="s">
        <v>457</v>
      </c>
      <c r="L196" s="131" t="s">
        <v>185</v>
      </c>
      <c r="M196" s="132" t="s">
        <v>186</v>
      </c>
      <c r="N196" s="129" t="s">
        <v>184</v>
      </c>
      <c r="O196" s="129" t="s">
        <v>420</v>
      </c>
      <c r="P196" s="205" t="s">
        <v>438</v>
      </c>
      <c r="Q196" s="205">
        <v>5</v>
      </c>
      <c r="R196" s="205">
        <v>2</v>
      </c>
      <c r="S196" s="206">
        <v>73</v>
      </c>
      <c r="T196" s="206">
        <f t="shared" si="20"/>
        <v>75</v>
      </c>
      <c r="U196" s="207">
        <v>38.33</v>
      </c>
      <c r="V196" s="207">
        <v>38.33</v>
      </c>
      <c r="W196" s="129" t="s">
        <v>160</v>
      </c>
      <c r="X196" s="129" t="s">
        <v>421</v>
      </c>
      <c r="Y196" s="200">
        <v>12.74</v>
      </c>
      <c r="Z196" s="200">
        <v>-78.739999999999995</v>
      </c>
      <c r="AA196" s="129" t="s">
        <v>160</v>
      </c>
      <c r="AB196" s="129" t="s">
        <v>160</v>
      </c>
      <c r="AC196" s="129">
        <v>-2839</v>
      </c>
      <c r="AD196" s="129" t="s">
        <v>160</v>
      </c>
      <c r="AE196" s="129" t="s">
        <v>160</v>
      </c>
      <c r="AF196" s="129" t="s">
        <v>160</v>
      </c>
      <c r="AG196" s="129">
        <v>1162.8499999999999</v>
      </c>
      <c r="AH196" s="129" t="s">
        <v>163</v>
      </c>
      <c r="AI196" s="129">
        <v>2</v>
      </c>
      <c r="AJ196" s="129">
        <v>2</v>
      </c>
      <c r="AK196" s="129" t="s">
        <v>160</v>
      </c>
      <c r="AL196" s="129" t="s">
        <v>422</v>
      </c>
      <c r="AM196" s="129" t="s">
        <v>160</v>
      </c>
      <c r="AN196" s="129" t="s">
        <v>160</v>
      </c>
      <c r="AO196" s="129" t="s">
        <v>160</v>
      </c>
      <c r="AP196" s="129" t="s">
        <v>160</v>
      </c>
      <c r="AQ196" s="129" t="s">
        <v>160</v>
      </c>
      <c r="AR196" s="129" t="s">
        <v>160</v>
      </c>
      <c r="AS196" s="129" t="s">
        <v>160</v>
      </c>
      <c r="AT196" s="129" t="s">
        <v>160</v>
      </c>
      <c r="AU196" s="129" t="s">
        <v>423</v>
      </c>
      <c r="AV196" s="129" t="s">
        <v>161</v>
      </c>
      <c r="AW196" s="129" t="s">
        <v>424</v>
      </c>
      <c r="AX196" s="178">
        <v>2</v>
      </c>
      <c r="AY196" s="129" t="s">
        <v>194</v>
      </c>
      <c r="AZ196" s="129" t="s">
        <v>195</v>
      </c>
      <c r="BA196" s="129" t="s">
        <v>425</v>
      </c>
      <c r="BB196" s="129" t="s">
        <v>160</v>
      </c>
      <c r="BC196" s="178">
        <v>2</v>
      </c>
      <c r="BD196" s="129" t="s">
        <v>160</v>
      </c>
      <c r="BE196" s="151">
        <v>20.37160853</v>
      </c>
      <c r="BF196" s="129" t="s">
        <v>426</v>
      </c>
      <c r="BG196" s="151">
        <v>0.19426560200000001</v>
      </c>
      <c r="BH196" s="129">
        <v>0.64</v>
      </c>
      <c r="BI196" s="129" t="s">
        <v>427</v>
      </c>
      <c r="BJ196" s="129">
        <v>3.4000000000000002E-2</v>
      </c>
      <c r="BK196" s="129">
        <v>9.1</v>
      </c>
      <c r="BL196" s="129" t="s">
        <v>163</v>
      </c>
      <c r="BM196" s="129">
        <v>0.56000000000000005</v>
      </c>
      <c r="BN196" s="129" t="s">
        <v>428</v>
      </c>
      <c r="BO196" s="129" t="s">
        <v>429</v>
      </c>
      <c r="BP196" s="151">
        <f t="shared" si="24"/>
        <v>19.169347550000001</v>
      </c>
      <c r="BQ196" s="129" t="s">
        <v>202</v>
      </c>
      <c r="BR196" s="217"/>
      <c r="BS196" s="129" t="s">
        <v>160</v>
      </c>
      <c r="BT196" s="129" t="s">
        <v>160</v>
      </c>
      <c r="BU196" s="129">
        <v>10</v>
      </c>
      <c r="BV196" s="129" t="s">
        <v>159</v>
      </c>
      <c r="BW196" s="129">
        <v>10</v>
      </c>
      <c r="BX196" s="145">
        <v>25.252022969999999</v>
      </c>
      <c r="BY196" s="129" t="s">
        <v>159</v>
      </c>
      <c r="BZ196" s="129">
        <v>1</v>
      </c>
      <c r="CA196" s="129">
        <v>1</v>
      </c>
      <c r="CB196" s="129" t="s">
        <v>160</v>
      </c>
      <c r="CC196" s="151">
        <v>3.6453845905833457</v>
      </c>
      <c r="CD196" s="129" t="s">
        <v>430</v>
      </c>
      <c r="CE196" s="151">
        <f t="shared" si="21"/>
        <v>0.14581538362333382</v>
      </c>
      <c r="CF196" s="151">
        <v>0.14581538362333382</v>
      </c>
      <c r="CG196" s="178" t="s">
        <v>160</v>
      </c>
      <c r="CH196" s="129" t="s">
        <v>431</v>
      </c>
      <c r="CI196" s="129" t="s">
        <v>160</v>
      </c>
      <c r="CJ196" s="129" t="s">
        <v>432</v>
      </c>
      <c r="CK196" s="129" t="s">
        <v>158</v>
      </c>
      <c r="CL196" s="129" t="s">
        <v>158</v>
      </c>
      <c r="CM196" s="129" t="s">
        <v>158</v>
      </c>
      <c r="CN196" s="129" t="s">
        <v>160</v>
      </c>
      <c r="CO196" s="129" t="s">
        <v>160</v>
      </c>
      <c r="CP196" s="129" t="s">
        <v>160</v>
      </c>
      <c r="CQ196" s="129" t="s">
        <v>160</v>
      </c>
      <c r="CR196" s="129" t="s">
        <v>160</v>
      </c>
      <c r="CS196" s="129" t="s">
        <v>160</v>
      </c>
      <c r="CT196" s="129" t="s">
        <v>160</v>
      </c>
      <c r="CU196" s="129">
        <v>35</v>
      </c>
      <c r="CV196" s="129" t="s">
        <v>393</v>
      </c>
      <c r="CW196" s="146">
        <v>1</v>
      </c>
      <c r="CX196" s="129" t="s">
        <v>207</v>
      </c>
      <c r="CY196" s="129">
        <v>1.06E-2</v>
      </c>
      <c r="CZ196" s="129" t="s">
        <v>159</v>
      </c>
      <c r="DA196" s="146">
        <v>0</v>
      </c>
      <c r="DB196" s="129" t="s">
        <v>208</v>
      </c>
      <c r="DC196" s="129">
        <v>5.5100000000000003E-2</v>
      </c>
      <c r="DD196" s="129" t="s">
        <v>159</v>
      </c>
      <c r="DE196" s="146">
        <v>0</v>
      </c>
      <c r="DF196" s="129" t="s">
        <v>208</v>
      </c>
      <c r="DG196" s="129" t="s">
        <v>160</v>
      </c>
      <c r="DH196" s="129" t="s">
        <v>160</v>
      </c>
      <c r="DI196" s="129" t="s">
        <v>160</v>
      </c>
      <c r="DJ196" s="129" t="s">
        <v>160</v>
      </c>
      <c r="DK196" s="145">
        <v>432.56244218316402</v>
      </c>
      <c r="DL196" s="129" t="s">
        <v>433</v>
      </c>
      <c r="DM196" s="145" t="s">
        <v>160</v>
      </c>
      <c r="DN196" s="129" t="s">
        <v>434</v>
      </c>
      <c r="DO196" s="129">
        <v>39.607300000000002</v>
      </c>
      <c r="DP196" s="129" t="s">
        <v>160</v>
      </c>
      <c r="DQ196" s="129">
        <v>0.30855999999999995</v>
      </c>
      <c r="DR196" s="129" t="s">
        <v>435</v>
      </c>
      <c r="DS196" s="129" t="s">
        <v>212</v>
      </c>
      <c r="DT196" s="129" t="s">
        <v>213</v>
      </c>
      <c r="DU196" s="129">
        <v>1.0271999999999999</v>
      </c>
      <c r="DV196" s="129" t="s">
        <v>160</v>
      </c>
      <c r="DW196" s="129" t="s">
        <v>160</v>
      </c>
      <c r="DX196" s="129" t="s">
        <v>436</v>
      </c>
      <c r="DY196" s="129" t="s">
        <v>158</v>
      </c>
      <c r="DZ196" s="129" t="s">
        <v>158</v>
      </c>
      <c r="EA196" s="129" t="s">
        <v>216</v>
      </c>
      <c r="EB196" s="129" t="s">
        <v>212</v>
      </c>
      <c r="EC196" s="129" t="s">
        <v>212</v>
      </c>
      <c r="ED196" s="129" t="s">
        <v>212</v>
      </c>
      <c r="EE196" s="129" t="s">
        <v>217</v>
      </c>
      <c r="EF196" s="147" t="s">
        <v>213</v>
      </c>
      <c r="EG196" s="148" t="s">
        <v>213</v>
      </c>
      <c r="EH196" s="129" t="s">
        <v>218</v>
      </c>
      <c r="EI196" s="129" t="s">
        <v>417</v>
      </c>
      <c r="EJ196" s="129" t="s">
        <v>160</v>
      </c>
      <c r="EK196" s="129">
        <v>1976.508</v>
      </c>
      <c r="EL196" s="129" t="s">
        <v>163</v>
      </c>
      <c r="EM196" s="129">
        <v>19.374999999999861</v>
      </c>
      <c r="EN196" s="129">
        <v>19.554000000000187</v>
      </c>
      <c r="EO196" s="129" t="s">
        <v>160</v>
      </c>
      <c r="EP196" s="129" t="s">
        <v>160</v>
      </c>
      <c r="EQ196" s="129" t="s">
        <v>160</v>
      </c>
      <c r="ER196" s="129" t="s">
        <v>160</v>
      </c>
      <c r="ES196" s="201">
        <v>8.1336069999999996</v>
      </c>
      <c r="ET196" s="129" t="s">
        <v>165</v>
      </c>
      <c r="EU196" s="151">
        <v>3.9336999999999733E-2</v>
      </c>
      <c r="EV196" s="151">
        <v>3.9831999999998757E-2</v>
      </c>
      <c r="EW196" s="142" t="s">
        <v>160</v>
      </c>
      <c r="EX196" s="129" t="s">
        <v>160</v>
      </c>
      <c r="EY196" s="129" t="s">
        <v>160</v>
      </c>
      <c r="EZ196" s="208">
        <v>275.13739999999996</v>
      </c>
      <c r="FA196" s="209">
        <v>33.116100000000017</v>
      </c>
      <c r="FB196" s="209">
        <v>29.226299999999952</v>
      </c>
      <c r="FC196" s="129" t="s">
        <v>220</v>
      </c>
      <c r="FD196" s="129" t="s">
        <v>221</v>
      </c>
      <c r="FE196" s="129">
        <v>2286.643</v>
      </c>
      <c r="FF196" s="129">
        <v>39.911000000000058</v>
      </c>
      <c r="FG196" s="129">
        <v>39.48700000000008</v>
      </c>
      <c r="FH196" s="129" t="s">
        <v>160</v>
      </c>
      <c r="FI196" s="129" t="s">
        <v>160</v>
      </c>
      <c r="FJ196" s="129" t="s">
        <v>160</v>
      </c>
      <c r="FK196" s="129" t="s">
        <v>160</v>
      </c>
      <c r="FL196" s="129" t="s">
        <v>160</v>
      </c>
      <c r="FM196" s="129" t="s">
        <v>160</v>
      </c>
      <c r="FN196" s="151">
        <v>4.1433869999999997</v>
      </c>
      <c r="FO196" s="151">
        <v>0.29112500000000008</v>
      </c>
      <c r="FP196" s="151">
        <v>0.28845099999999979</v>
      </c>
      <c r="FQ196" s="178" t="s">
        <v>419</v>
      </c>
      <c r="FR196" s="129" t="s">
        <v>415</v>
      </c>
      <c r="FS196" s="129">
        <v>2017</v>
      </c>
      <c r="FT196" s="131" t="s">
        <v>416</v>
      </c>
    </row>
    <row r="197" spans="1:176" s="129" customFormat="1">
      <c r="A197" s="129" t="s">
        <v>152</v>
      </c>
      <c r="B197" s="166" t="s">
        <v>183</v>
      </c>
      <c r="C197" s="166">
        <v>2018</v>
      </c>
      <c r="D197" s="166" t="s">
        <v>184</v>
      </c>
      <c r="E197" s="145">
        <f t="shared" si="22"/>
        <v>1169.8599999999999</v>
      </c>
      <c r="F197" s="129">
        <f t="shared" si="23"/>
        <v>2</v>
      </c>
      <c r="G197" s="129">
        <f t="shared" si="23"/>
        <v>2</v>
      </c>
      <c r="H197" s="191">
        <v>283.63439999999997</v>
      </c>
      <c r="I197" s="191">
        <v>33.146900000000073</v>
      </c>
      <c r="J197" s="191">
        <v>30.069499999999977</v>
      </c>
      <c r="K197" s="129" t="s">
        <v>457</v>
      </c>
      <c r="L197" s="131" t="s">
        <v>185</v>
      </c>
      <c r="M197" s="132" t="s">
        <v>186</v>
      </c>
      <c r="N197" s="129" t="s">
        <v>184</v>
      </c>
      <c r="O197" s="129" t="s">
        <v>420</v>
      </c>
      <c r="P197" s="205" t="s">
        <v>438</v>
      </c>
      <c r="Q197" s="205">
        <v>5</v>
      </c>
      <c r="R197" s="205">
        <v>2</v>
      </c>
      <c r="S197" s="206">
        <v>93</v>
      </c>
      <c r="T197" s="206">
        <f t="shared" si="20"/>
        <v>95</v>
      </c>
      <c r="U197" s="207">
        <v>38.53</v>
      </c>
      <c r="V197" s="207">
        <v>38.53</v>
      </c>
      <c r="W197" s="129" t="s">
        <v>160</v>
      </c>
      <c r="X197" s="129" t="s">
        <v>421</v>
      </c>
      <c r="Y197" s="200">
        <v>12.74</v>
      </c>
      <c r="Z197" s="200">
        <v>-78.739999999999995</v>
      </c>
      <c r="AA197" s="129" t="s">
        <v>160</v>
      </c>
      <c r="AB197" s="129" t="s">
        <v>160</v>
      </c>
      <c r="AC197" s="129">
        <v>-2839</v>
      </c>
      <c r="AD197" s="129" t="s">
        <v>160</v>
      </c>
      <c r="AE197" s="129" t="s">
        <v>160</v>
      </c>
      <c r="AF197" s="129" t="s">
        <v>160</v>
      </c>
      <c r="AG197" s="129">
        <v>1169.8599999999999</v>
      </c>
      <c r="AH197" s="129" t="s">
        <v>163</v>
      </c>
      <c r="AI197" s="129">
        <v>2</v>
      </c>
      <c r="AJ197" s="129">
        <v>2</v>
      </c>
      <c r="AK197" s="129" t="s">
        <v>160</v>
      </c>
      <c r="AL197" s="129" t="s">
        <v>422</v>
      </c>
      <c r="AM197" s="129" t="s">
        <v>160</v>
      </c>
      <c r="AN197" s="129" t="s">
        <v>160</v>
      </c>
      <c r="AO197" s="129" t="s">
        <v>160</v>
      </c>
      <c r="AP197" s="129" t="s">
        <v>160</v>
      </c>
      <c r="AQ197" s="129" t="s">
        <v>160</v>
      </c>
      <c r="AR197" s="129" t="s">
        <v>160</v>
      </c>
      <c r="AS197" s="129" t="s">
        <v>160</v>
      </c>
      <c r="AT197" s="129" t="s">
        <v>160</v>
      </c>
      <c r="AU197" s="129" t="s">
        <v>423</v>
      </c>
      <c r="AV197" s="129" t="s">
        <v>161</v>
      </c>
      <c r="AW197" s="129" t="s">
        <v>424</v>
      </c>
      <c r="AX197" s="178">
        <v>2</v>
      </c>
      <c r="AY197" s="129" t="s">
        <v>194</v>
      </c>
      <c r="AZ197" s="129" t="s">
        <v>195</v>
      </c>
      <c r="BA197" s="129" t="s">
        <v>425</v>
      </c>
      <c r="BB197" s="129" t="s">
        <v>160</v>
      </c>
      <c r="BC197" s="178">
        <v>2</v>
      </c>
      <c r="BD197" s="129" t="s">
        <v>160</v>
      </c>
      <c r="BE197" s="151">
        <v>20.291287440000001</v>
      </c>
      <c r="BF197" s="129" t="s">
        <v>426</v>
      </c>
      <c r="BG197" s="151">
        <v>0.15786813</v>
      </c>
      <c r="BH197" s="129">
        <v>0.64</v>
      </c>
      <c r="BI197" s="129" t="s">
        <v>427</v>
      </c>
      <c r="BJ197" s="129">
        <v>3.4000000000000002E-2</v>
      </c>
      <c r="BK197" s="129">
        <v>9.1</v>
      </c>
      <c r="BL197" s="129" t="s">
        <v>163</v>
      </c>
      <c r="BM197" s="129">
        <v>0.56000000000000005</v>
      </c>
      <c r="BN197" s="129" t="s">
        <v>428</v>
      </c>
      <c r="BO197" s="129" t="s">
        <v>429</v>
      </c>
      <c r="BP197" s="151">
        <f t="shared" si="24"/>
        <v>19.035479066666671</v>
      </c>
      <c r="BQ197" s="129" t="s">
        <v>202</v>
      </c>
      <c r="BR197" s="217"/>
      <c r="BS197" s="129" t="s">
        <v>160</v>
      </c>
      <c r="BT197" s="129" t="s">
        <v>160</v>
      </c>
      <c r="BU197" s="129">
        <v>10</v>
      </c>
      <c r="BV197" s="129" t="s">
        <v>159</v>
      </c>
      <c r="BW197" s="129">
        <v>10</v>
      </c>
      <c r="BX197" s="145">
        <v>25.169538159999998</v>
      </c>
      <c r="BY197" s="129" t="s">
        <v>159</v>
      </c>
      <c r="BZ197" s="129">
        <v>1</v>
      </c>
      <c r="CA197" s="129">
        <v>1</v>
      </c>
      <c r="CB197" s="129" t="s">
        <v>160</v>
      </c>
      <c r="CC197" s="151">
        <v>3.6044102645215927</v>
      </c>
      <c r="CD197" s="129" t="s">
        <v>430</v>
      </c>
      <c r="CE197" s="151">
        <f t="shared" si="21"/>
        <v>0.14417641058086372</v>
      </c>
      <c r="CF197" s="151">
        <v>0.14417641058086372</v>
      </c>
      <c r="CG197" s="178" t="s">
        <v>160</v>
      </c>
      <c r="CH197" s="129" t="s">
        <v>431</v>
      </c>
      <c r="CI197" s="129" t="s">
        <v>160</v>
      </c>
      <c r="CJ197" s="129" t="s">
        <v>432</v>
      </c>
      <c r="CK197" s="129" t="s">
        <v>158</v>
      </c>
      <c r="CL197" s="129" t="s">
        <v>158</v>
      </c>
      <c r="CM197" s="129" t="s">
        <v>158</v>
      </c>
      <c r="CN197" s="129" t="s">
        <v>160</v>
      </c>
      <c r="CO197" s="129" t="s">
        <v>160</v>
      </c>
      <c r="CP197" s="129" t="s">
        <v>160</v>
      </c>
      <c r="CQ197" s="129" t="s">
        <v>160</v>
      </c>
      <c r="CR197" s="129" t="s">
        <v>160</v>
      </c>
      <c r="CS197" s="129" t="s">
        <v>160</v>
      </c>
      <c r="CT197" s="129" t="s">
        <v>160</v>
      </c>
      <c r="CU197" s="129">
        <v>35</v>
      </c>
      <c r="CV197" s="129" t="s">
        <v>393</v>
      </c>
      <c r="CW197" s="146">
        <v>1</v>
      </c>
      <c r="CX197" s="129" t="s">
        <v>207</v>
      </c>
      <c r="CY197" s="129">
        <v>1.06E-2</v>
      </c>
      <c r="CZ197" s="129" t="s">
        <v>159</v>
      </c>
      <c r="DA197" s="146">
        <v>0</v>
      </c>
      <c r="DB197" s="129" t="s">
        <v>208</v>
      </c>
      <c r="DC197" s="129">
        <v>5.5100000000000003E-2</v>
      </c>
      <c r="DD197" s="129" t="s">
        <v>159</v>
      </c>
      <c r="DE197" s="146">
        <v>0</v>
      </c>
      <c r="DF197" s="129" t="s">
        <v>208</v>
      </c>
      <c r="DG197" s="129" t="s">
        <v>160</v>
      </c>
      <c r="DH197" s="129" t="s">
        <v>160</v>
      </c>
      <c r="DI197" s="129" t="s">
        <v>160</v>
      </c>
      <c r="DJ197" s="129" t="s">
        <v>160</v>
      </c>
      <c r="DK197" s="145">
        <v>432.56244218316402</v>
      </c>
      <c r="DL197" s="129" t="s">
        <v>433</v>
      </c>
      <c r="DM197" s="145" t="s">
        <v>160</v>
      </c>
      <c r="DN197" s="129" t="s">
        <v>434</v>
      </c>
      <c r="DO197" s="129">
        <v>39.608710000000002</v>
      </c>
      <c r="DP197" s="129" t="s">
        <v>160</v>
      </c>
      <c r="DQ197" s="129">
        <v>0.30861999999999767</v>
      </c>
      <c r="DR197" s="129" t="s">
        <v>435</v>
      </c>
      <c r="DS197" s="129" t="s">
        <v>212</v>
      </c>
      <c r="DT197" s="129" t="s">
        <v>213</v>
      </c>
      <c r="DU197" s="129">
        <v>1.0271999999999999</v>
      </c>
      <c r="DV197" s="129" t="s">
        <v>160</v>
      </c>
      <c r="DW197" s="129" t="s">
        <v>160</v>
      </c>
      <c r="DX197" s="129" t="s">
        <v>436</v>
      </c>
      <c r="DY197" s="129" t="s">
        <v>158</v>
      </c>
      <c r="DZ197" s="129" t="s">
        <v>158</v>
      </c>
      <c r="EA197" s="129" t="s">
        <v>216</v>
      </c>
      <c r="EB197" s="129" t="s">
        <v>212</v>
      </c>
      <c r="EC197" s="129" t="s">
        <v>212</v>
      </c>
      <c r="ED197" s="129" t="s">
        <v>212</v>
      </c>
      <c r="EE197" s="129" t="s">
        <v>217</v>
      </c>
      <c r="EF197" s="147" t="s">
        <v>213</v>
      </c>
      <c r="EG197" s="148" t="s">
        <v>213</v>
      </c>
      <c r="EH197" s="129" t="s">
        <v>218</v>
      </c>
      <c r="EI197" s="129" t="s">
        <v>417</v>
      </c>
      <c r="EJ197" s="129" t="s">
        <v>160</v>
      </c>
      <c r="EK197" s="129">
        <v>1976.1459999999997</v>
      </c>
      <c r="EL197" s="129" t="s">
        <v>163</v>
      </c>
      <c r="EM197" s="129">
        <v>20.011000000000333</v>
      </c>
      <c r="EN197" s="129">
        <v>20.099999999999891</v>
      </c>
      <c r="EO197" s="129" t="s">
        <v>160</v>
      </c>
      <c r="EP197" s="129" t="s">
        <v>160</v>
      </c>
      <c r="EQ197" s="129" t="s">
        <v>160</v>
      </c>
      <c r="ER197" s="129" t="s">
        <v>160</v>
      </c>
      <c r="ES197" s="201">
        <v>8.1231360000000006</v>
      </c>
      <c r="ET197" s="129" t="s">
        <v>165</v>
      </c>
      <c r="EU197" s="151">
        <v>3.8585999999998677E-2</v>
      </c>
      <c r="EV197" s="151">
        <v>3.916000000000075E-2</v>
      </c>
      <c r="EW197" s="142" t="s">
        <v>160</v>
      </c>
      <c r="EX197" s="129" t="s">
        <v>160</v>
      </c>
      <c r="EY197" s="129" t="s">
        <v>160</v>
      </c>
      <c r="EZ197" s="208">
        <v>283.63439999999997</v>
      </c>
      <c r="FA197" s="209">
        <v>33.146900000000073</v>
      </c>
      <c r="FB197" s="209">
        <v>30.069499999999977</v>
      </c>
      <c r="FC197" s="129" t="s">
        <v>220</v>
      </c>
      <c r="FD197" s="129" t="s">
        <v>221</v>
      </c>
      <c r="FE197" s="129">
        <v>2277.69</v>
      </c>
      <c r="FF197" s="129">
        <v>38.666999999999916</v>
      </c>
      <c r="FG197" s="129">
        <v>38.909999999999854</v>
      </c>
      <c r="FH197" s="129" t="s">
        <v>160</v>
      </c>
      <c r="FI197" s="129" t="s">
        <v>160</v>
      </c>
      <c r="FJ197" s="129" t="s">
        <v>160</v>
      </c>
      <c r="FK197" s="129" t="s">
        <v>160</v>
      </c>
      <c r="FL197" s="129" t="s">
        <v>160</v>
      </c>
      <c r="FM197" s="129" t="s">
        <v>160</v>
      </c>
      <c r="FN197" s="151">
        <v>4.0386059999999997</v>
      </c>
      <c r="FO197" s="151">
        <v>0.28089000000000031</v>
      </c>
      <c r="FP197" s="151">
        <v>0.26642199999999949</v>
      </c>
      <c r="FQ197" s="178" t="s">
        <v>419</v>
      </c>
      <c r="FR197" s="129" t="s">
        <v>415</v>
      </c>
      <c r="FS197" s="129">
        <v>2017</v>
      </c>
      <c r="FT197" s="131" t="s">
        <v>416</v>
      </c>
    </row>
    <row r="198" spans="1:176" s="129" customFormat="1">
      <c r="A198" s="129" t="s">
        <v>152</v>
      </c>
      <c r="B198" s="166" t="s">
        <v>183</v>
      </c>
      <c r="C198" s="166">
        <v>2018</v>
      </c>
      <c r="D198" s="166" t="s">
        <v>184</v>
      </c>
      <c r="E198" s="145">
        <f t="shared" si="22"/>
        <v>1177.57</v>
      </c>
      <c r="F198" s="129">
        <f t="shared" si="23"/>
        <v>2</v>
      </c>
      <c r="G198" s="129">
        <f t="shared" si="23"/>
        <v>2</v>
      </c>
      <c r="H198" s="191">
        <v>273.19870000000003</v>
      </c>
      <c r="I198" s="191">
        <v>33.872699999999952</v>
      </c>
      <c r="J198" s="191">
        <v>30.388100000000037</v>
      </c>
      <c r="K198" s="129" t="s">
        <v>457</v>
      </c>
      <c r="L198" s="131" t="s">
        <v>185</v>
      </c>
      <c r="M198" s="132" t="s">
        <v>186</v>
      </c>
      <c r="N198" s="129" t="s">
        <v>184</v>
      </c>
      <c r="O198" s="129" t="s">
        <v>420</v>
      </c>
      <c r="P198" s="205" t="s">
        <v>438</v>
      </c>
      <c r="Q198" s="205">
        <v>5</v>
      </c>
      <c r="R198" s="205">
        <v>2</v>
      </c>
      <c r="S198" s="206">
        <v>120.22590400000007</v>
      </c>
      <c r="T198" s="206">
        <f t="shared" si="20"/>
        <v>122.22590400000007</v>
      </c>
      <c r="U198" s="207">
        <v>38.80203436</v>
      </c>
      <c r="V198" s="207">
        <v>38.80203436</v>
      </c>
      <c r="W198" s="129" t="s">
        <v>160</v>
      </c>
      <c r="X198" s="129" t="s">
        <v>421</v>
      </c>
      <c r="Y198" s="200">
        <v>12.74</v>
      </c>
      <c r="Z198" s="200">
        <v>-78.739999999999995</v>
      </c>
      <c r="AA198" s="129" t="s">
        <v>160</v>
      </c>
      <c r="AB198" s="129" t="s">
        <v>160</v>
      </c>
      <c r="AC198" s="129">
        <v>-2839</v>
      </c>
      <c r="AD198" s="129" t="s">
        <v>160</v>
      </c>
      <c r="AE198" s="129" t="s">
        <v>160</v>
      </c>
      <c r="AF198" s="129" t="s">
        <v>160</v>
      </c>
      <c r="AG198" s="129">
        <v>1177.57</v>
      </c>
      <c r="AH198" s="129" t="s">
        <v>163</v>
      </c>
      <c r="AI198" s="129">
        <v>2</v>
      </c>
      <c r="AJ198" s="129">
        <v>2</v>
      </c>
      <c r="AK198" s="129" t="s">
        <v>160</v>
      </c>
      <c r="AL198" s="129" t="s">
        <v>422</v>
      </c>
      <c r="AM198" s="129" t="s">
        <v>160</v>
      </c>
      <c r="AN198" s="129" t="s">
        <v>160</v>
      </c>
      <c r="AO198" s="129" t="s">
        <v>160</v>
      </c>
      <c r="AP198" s="129" t="s">
        <v>160</v>
      </c>
      <c r="AQ198" s="129" t="s">
        <v>160</v>
      </c>
      <c r="AR198" s="129" t="s">
        <v>160</v>
      </c>
      <c r="AS198" s="129" t="s">
        <v>160</v>
      </c>
      <c r="AT198" s="129" t="s">
        <v>160</v>
      </c>
      <c r="AU198" s="129" t="s">
        <v>423</v>
      </c>
      <c r="AV198" s="129" t="s">
        <v>161</v>
      </c>
      <c r="AW198" s="129" t="s">
        <v>424</v>
      </c>
      <c r="AX198" s="178">
        <v>2</v>
      </c>
      <c r="AY198" s="129" t="s">
        <v>194</v>
      </c>
      <c r="AZ198" s="129" t="s">
        <v>195</v>
      </c>
      <c r="BA198" s="129" t="s">
        <v>425</v>
      </c>
      <c r="BB198" s="129" t="s">
        <v>160</v>
      </c>
      <c r="BC198" s="178">
        <v>2</v>
      </c>
      <c r="BD198" s="129" t="s">
        <v>160</v>
      </c>
      <c r="BE198" s="151">
        <v>20.364437330000001</v>
      </c>
      <c r="BF198" s="129" t="s">
        <v>426</v>
      </c>
      <c r="BG198" s="151">
        <v>0.17548992399999999</v>
      </c>
      <c r="BH198" s="129">
        <v>0.64</v>
      </c>
      <c r="BI198" s="129" t="s">
        <v>427</v>
      </c>
      <c r="BJ198" s="129">
        <v>3.4000000000000002E-2</v>
      </c>
      <c r="BK198" s="129">
        <v>9.1</v>
      </c>
      <c r="BL198" s="129" t="s">
        <v>163</v>
      </c>
      <c r="BM198" s="129">
        <v>0.56000000000000005</v>
      </c>
      <c r="BN198" s="129" t="s">
        <v>428</v>
      </c>
      <c r="BO198" s="129" t="s">
        <v>429</v>
      </c>
      <c r="BP198" s="151">
        <f t="shared" si="24"/>
        <v>19.157395550000004</v>
      </c>
      <c r="BQ198" s="129" t="s">
        <v>202</v>
      </c>
      <c r="BR198" s="217"/>
      <c r="BS198" s="129" t="s">
        <v>160</v>
      </c>
      <c r="BT198" s="129" t="s">
        <v>160</v>
      </c>
      <c r="BU198" s="129">
        <v>10</v>
      </c>
      <c r="BV198" s="129" t="s">
        <v>159</v>
      </c>
      <c r="BW198" s="129">
        <v>10</v>
      </c>
      <c r="BX198" s="145">
        <v>24.957658460000001</v>
      </c>
      <c r="BY198" s="129" t="s">
        <v>159</v>
      </c>
      <c r="BZ198" s="129">
        <v>1</v>
      </c>
      <c r="CA198" s="129">
        <v>1</v>
      </c>
      <c r="CB198" s="129" t="s">
        <v>160</v>
      </c>
      <c r="CC198" s="151">
        <v>3.5178773533677314</v>
      </c>
      <c r="CD198" s="129" t="s">
        <v>430</v>
      </c>
      <c r="CE198" s="151">
        <f t="shared" si="21"/>
        <v>0.14071509413470926</v>
      </c>
      <c r="CF198" s="151">
        <v>0.14071509413470926</v>
      </c>
      <c r="CG198" s="178" t="s">
        <v>160</v>
      </c>
      <c r="CH198" s="129" t="s">
        <v>431</v>
      </c>
      <c r="CI198" s="129" t="s">
        <v>160</v>
      </c>
      <c r="CJ198" s="129" t="s">
        <v>432</v>
      </c>
      <c r="CK198" s="129" t="s">
        <v>158</v>
      </c>
      <c r="CL198" s="129" t="s">
        <v>158</v>
      </c>
      <c r="CM198" s="129" t="s">
        <v>158</v>
      </c>
      <c r="CN198" s="129" t="s">
        <v>160</v>
      </c>
      <c r="CO198" s="129" t="s">
        <v>160</v>
      </c>
      <c r="CP198" s="129" t="s">
        <v>160</v>
      </c>
      <c r="CQ198" s="129" t="s">
        <v>160</v>
      </c>
      <c r="CR198" s="129" t="s">
        <v>160</v>
      </c>
      <c r="CS198" s="129" t="s">
        <v>160</v>
      </c>
      <c r="CT198" s="129" t="s">
        <v>160</v>
      </c>
      <c r="CU198" s="129">
        <v>35</v>
      </c>
      <c r="CV198" s="129" t="s">
        <v>393</v>
      </c>
      <c r="CW198" s="146">
        <v>1</v>
      </c>
      <c r="CX198" s="129" t="s">
        <v>207</v>
      </c>
      <c r="CY198" s="129">
        <v>1.06E-2</v>
      </c>
      <c r="CZ198" s="129" t="s">
        <v>159</v>
      </c>
      <c r="DA198" s="146">
        <v>0</v>
      </c>
      <c r="DB198" s="129" t="s">
        <v>208</v>
      </c>
      <c r="DC198" s="129">
        <v>5.5100000000000003E-2</v>
      </c>
      <c r="DD198" s="129" t="s">
        <v>159</v>
      </c>
      <c r="DE198" s="146">
        <v>0</v>
      </c>
      <c r="DF198" s="129" t="s">
        <v>208</v>
      </c>
      <c r="DG198" s="129" t="s">
        <v>160</v>
      </c>
      <c r="DH198" s="129" t="s">
        <v>160</v>
      </c>
      <c r="DI198" s="129" t="s">
        <v>160</v>
      </c>
      <c r="DJ198" s="129" t="s">
        <v>160</v>
      </c>
      <c r="DK198" s="145">
        <v>432.56244218316402</v>
      </c>
      <c r="DL198" s="129" t="s">
        <v>433</v>
      </c>
      <c r="DM198" s="145" t="s">
        <v>160</v>
      </c>
      <c r="DN198" s="129" t="s">
        <v>434</v>
      </c>
      <c r="DO198" s="129">
        <v>39.605620000000002</v>
      </c>
      <c r="DP198" s="129" t="s">
        <v>160</v>
      </c>
      <c r="DQ198" s="129">
        <v>0.32146999999999792</v>
      </c>
      <c r="DR198" s="129" t="s">
        <v>435</v>
      </c>
      <c r="DS198" s="129" t="s">
        <v>212</v>
      </c>
      <c r="DT198" s="129" t="s">
        <v>213</v>
      </c>
      <c r="DU198" s="129">
        <v>1.0271999999999999</v>
      </c>
      <c r="DV198" s="129" t="s">
        <v>160</v>
      </c>
      <c r="DW198" s="129" t="s">
        <v>160</v>
      </c>
      <c r="DX198" s="129" t="s">
        <v>436</v>
      </c>
      <c r="DY198" s="129" t="s">
        <v>158</v>
      </c>
      <c r="DZ198" s="129" t="s">
        <v>158</v>
      </c>
      <c r="EA198" s="129" t="s">
        <v>216</v>
      </c>
      <c r="EB198" s="129" t="s">
        <v>212</v>
      </c>
      <c r="EC198" s="129" t="s">
        <v>212</v>
      </c>
      <c r="ED198" s="129" t="s">
        <v>212</v>
      </c>
      <c r="EE198" s="129" t="s">
        <v>217</v>
      </c>
      <c r="EF198" s="147" t="s">
        <v>213</v>
      </c>
      <c r="EG198" s="148" t="s">
        <v>213</v>
      </c>
      <c r="EH198" s="129" t="s">
        <v>218</v>
      </c>
      <c r="EI198" s="129" t="s">
        <v>417</v>
      </c>
      <c r="EJ198" s="129" t="s">
        <v>160</v>
      </c>
      <c r="EK198" s="129">
        <v>1976.0409999999999</v>
      </c>
      <c r="EL198" s="129" t="s">
        <v>163</v>
      </c>
      <c r="EM198" s="129">
        <v>20.276999999999969</v>
      </c>
      <c r="EN198" s="129">
        <v>20.25999999999981</v>
      </c>
      <c r="EO198" s="129" t="s">
        <v>160</v>
      </c>
      <c r="EP198" s="129" t="s">
        <v>160</v>
      </c>
      <c r="EQ198" s="129" t="s">
        <v>160</v>
      </c>
      <c r="ER198" s="129" t="s">
        <v>160</v>
      </c>
      <c r="ES198" s="201">
        <v>8.135745</v>
      </c>
      <c r="ET198" s="129" t="s">
        <v>165</v>
      </c>
      <c r="EU198" s="151">
        <v>4.1100000000000136E-2</v>
      </c>
      <c r="EV198" s="151">
        <v>4.097299999999926E-2</v>
      </c>
      <c r="EW198" s="142" t="s">
        <v>160</v>
      </c>
      <c r="EX198" s="129" t="s">
        <v>160</v>
      </c>
      <c r="EY198" s="129" t="s">
        <v>160</v>
      </c>
      <c r="EZ198" s="208">
        <v>273.19870000000003</v>
      </c>
      <c r="FA198" s="209">
        <v>33.872699999999952</v>
      </c>
      <c r="FB198" s="209">
        <v>30.388100000000037</v>
      </c>
      <c r="FC198" s="129" t="s">
        <v>220</v>
      </c>
      <c r="FD198" s="129" t="s">
        <v>221</v>
      </c>
      <c r="FE198" s="129">
        <v>2283.9449999999997</v>
      </c>
      <c r="FF198" s="129">
        <v>39.480000000000473</v>
      </c>
      <c r="FG198" s="129">
        <v>39.759999999999764</v>
      </c>
      <c r="FH198" s="129" t="s">
        <v>160</v>
      </c>
      <c r="FI198" s="129" t="s">
        <v>160</v>
      </c>
      <c r="FJ198" s="129" t="s">
        <v>160</v>
      </c>
      <c r="FK198" s="129" t="s">
        <v>160</v>
      </c>
      <c r="FL198" s="129" t="s">
        <v>160</v>
      </c>
      <c r="FM198" s="129" t="s">
        <v>160</v>
      </c>
      <c r="FN198" s="151">
        <v>4.1138729999999999</v>
      </c>
      <c r="FO198" s="151">
        <v>0.28612299999999991</v>
      </c>
      <c r="FP198" s="151">
        <v>0.28458199999999989</v>
      </c>
      <c r="FQ198" s="178" t="s">
        <v>419</v>
      </c>
      <c r="FR198" s="129" t="s">
        <v>415</v>
      </c>
      <c r="FS198" s="129">
        <v>2017</v>
      </c>
      <c r="FT198" s="131" t="s">
        <v>416</v>
      </c>
    </row>
    <row r="199" spans="1:176" s="129" customFormat="1">
      <c r="A199" s="129" t="s">
        <v>152</v>
      </c>
      <c r="B199" s="166" t="s">
        <v>183</v>
      </c>
      <c r="C199" s="166">
        <v>2018</v>
      </c>
      <c r="D199" s="166" t="s">
        <v>184</v>
      </c>
      <c r="E199" s="145">
        <f t="shared" si="22"/>
        <v>1179.6600000000001</v>
      </c>
      <c r="F199" s="129">
        <f t="shared" si="23"/>
        <v>2</v>
      </c>
      <c r="G199" s="129">
        <f t="shared" si="23"/>
        <v>2</v>
      </c>
      <c r="H199" s="191">
        <v>263.28059999999999</v>
      </c>
      <c r="I199" s="191">
        <v>32.397400000000005</v>
      </c>
      <c r="J199" s="191">
        <v>29.430499999999995</v>
      </c>
      <c r="K199" s="129" t="s">
        <v>457</v>
      </c>
      <c r="L199" s="131" t="s">
        <v>185</v>
      </c>
      <c r="M199" s="132" t="s">
        <v>186</v>
      </c>
      <c r="N199" s="129" t="s">
        <v>184</v>
      </c>
      <c r="O199" s="129" t="s">
        <v>420</v>
      </c>
      <c r="P199" s="205" t="s">
        <v>438</v>
      </c>
      <c r="Q199" s="205">
        <v>5</v>
      </c>
      <c r="R199" s="205">
        <v>2</v>
      </c>
      <c r="S199" s="206">
        <v>130.45642100000018</v>
      </c>
      <c r="T199" s="206">
        <f t="shared" si="20"/>
        <v>132.45642100000018</v>
      </c>
      <c r="U199" s="207">
        <v>38.904339530000001</v>
      </c>
      <c r="V199" s="207">
        <v>38.904339530000001</v>
      </c>
      <c r="W199" s="129" t="s">
        <v>160</v>
      </c>
      <c r="X199" s="129" t="s">
        <v>421</v>
      </c>
      <c r="Y199" s="200">
        <v>12.74</v>
      </c>
      <c r="Z199" s="200">
        <v>-78.739999999999995</v>
      </c>
      <c r="AA199" s="129" t="s">
        <v>160</v>
      </c>
      <c r="AB199" s="129" t="s">
        <v>160</v>
      </c>
      <c r="AC199" s="129">
        <v>-2839</v>
      </c>
      <c r="AD199" s="129" t="s">
        <v>160</v>
      </c>
      <c r="AE199" s="129" t="s">
        <v>160</v>
      </c>
      <c r="AF199" s="129" t="s">
        <v>160</v>
      </c>
      <c r="AG199" s="129">
        <v>1179.6600000000001</v>
      </c>
      <c r="AH199" s="129" t="s">
        <v>163</v>
      </c>
      <c r="AI199" s="129">
        <v>2</v>
      </c>
      <c r="AJ199" s="129">
        <v>2</v>
      </c>
      <c r="AK199" s="129" t="s">
        <v>160</v>
      </c>
      <c r="AL199" s="129" t="s">
        <v>422</v>
      </c>
      <c r="AM199" s="129" t="s">
        <v>160</v>
      </c>
      <c r="AN199" s="129" t="s">
        <v>160</v>
      </c>
      <c r="AO199" s="129" t="s">
        <v>160</v>
      </c>
      <c r="AP199" s="129" t="s">
        <v>160</v>
      </c>
      <c r="AQ199" s="129" t="s">
        <v>160</v>
      </c>
      <c r="AR199" s="129" t="s">
        <v>160</v>
      </c>
      <c r="AS199" s="129" t="s">
        <v>160</v>
      </c>
      <c r="AT199" s="129" t="s">
        <v>160</v>
      </c>
      <c r="AU199" s="129" t="s">
        <v>423</v>
      </c>
      <c r="AV199" s="129" t="s">
        <v>161</v>
      </c>
      <c r="AW199" s="129" t="s">
        <v>424</v>
      </c>
      <c r="AX199" s="178">
        <v>2</v>
      </c>
      <c r="AY199" s="129" t="s">
        <v>194</v>
      </c>
      <c r="AZ199" s="129" t="s">
        <v>195</v>
      </c>
      <c r="BA199" s="129" t="s">
        <v>425</v>
      </c>
      <c r="BB199" s="129" t="s">
        <v>160</v>
      </c>
      <c r="BC199" s="178">
        <v>2</v>
      </c>
      <c r="BD199" s="129" t="s">
        <v>160</v>
      </c>
      <c r="BE199" s="151">
        <v>20.497592919999999</v>
      </c>
      <c r="BF199" s="129" t="s">
        <v>426</v>
      </c>
      <c r="BG199" s="151">
        <v>0.19726300399999999</v>
      </c>
      <c r="BH199" s="129">
        <v>0.64</v>
      </c>
      <c r="BI199" s="129" t="s">
        <v>427</v>
      </c>
      <c r="BJ199" s="129">
        <v>3.4000000000000002E-2</v>
      </c>
      <c r="BK199" s="129">
        <v>9.1</v>
      </c>
      <c r="BL199" s="129" t="s">
        <v>163</v>
      </c>
      <c r="BM199" s="129">
        <v>0.56000000000000005</v>
      </c>
      <c r="BN199" s="129" t="s">
        <v>428</v>
      </c>
      <c r="BO199" s="129" t="s">
        <v>429</v>
      </c>
      <c r="BP199" s="151">
        <f t="shared" si="24"/>
        <v>19.379321533333332</v>
      </c>
      <c r="BQ199" s="129" t="s">
        <v>202</v>
      </c>
      <c r="BR199" s="217"/>
      <c r="BS199" s="129" t="s">
        <v>160</v>
      </c>
      <c r="BT199" s="129" t="s">
        <v>160</v>
      </c>
      <c r="BU199" s="129">
        <v>10</v>
      </c>
      <c r="BV199" s="129" t="s">
        <v>159</v>
      </c>
      <c r="BW199" s="129">
        <v>10</v>
      </c>
      <c r="BX199" s="145">
        <v>25.544653570000001</v>
      </c>
      <c r="BY199" s="129" t="s">
        <v>159</v>
      </c>
      <c r="BZ199" s="129">
        <v>1</v>
      </c>
      <c r="CA199" s="129">
        <v>1</v>
      </c>
      <c r="CB199" s="129" t="s">
        <v>160</v>
      </c>
      <c r="CC199" s="151">
        <v>3.7038360152177661</v>
      </c>
      <c r="CD199" s="129" t="s">
        <v>430</v>
      </c>
      <c r="CE199" s="151">
        <f t="shared" si="21"/>
        <v>0.14815344060871063</v>
      </c>
      <c r="CF199" s="151">
        <v>0.14815344060871063</v>
      </c>
      <c r="CG199" s="178" t="s">
        <v>160</v>
      </c>
      <c r="CH199" s="129" t="s">
        <v>431</v>
      </c>
      <c r="CI199" s="129" t="s">
        <v>160</v>
      </c>
      <c r="CJ199" s="129" t="s">
        <v>432</v>
      </c>
      <c r="CK199" s="129" t="s">
        <v>158</v>
      </c>
      <c r="CL199" s="129" t="s">
        <v>158</v>
      </c>
      <c r="CM199" s="129" t="s">
        <v>158</v>
      </c>
      <c r="CN199" s="129" t="s">
        <v>160</v>
      </c>
      <c r="CO199" s="129" t="s">
        <v>160</v>
      </c>
      <c r="CP199" s="129" t="s">
        <v>160</v>
      </c>
      <c r="CQ199" s="129" t="s">
        <v>160</v>
      </c>
      <c r="CR199" s="129" t="s">
        <v>160</v>
      </c>
      <c r="CS199" s="129" t="s">
        <v>160</v>
      </c>
      <c r="CT199" s="129" t="s">
        <v>160</v>
      </c>
      <c r="CU199" s="129">
        <v>35</v>
      </c>
      <c r="CV199" s="129" t="s">
        <v>393</v>
      </c>
      <c r="CW199" s="146">
        <v>1</v>
      </c>
      <c r="CX199" s="129" t="s">
        <v>207</v>
      </c>
      <c r="CY199" s="129">
        <v>1.06E-2</v>
      </c>
      <c r="CZ199" s="129" t="s">
        <v>159</v>
      </c>
      <c r="DA199" s="146">
        <v>0</v>
      </c>
      <c r="DB199" s="129" t="s">
        <v>208</v>
      </c>
      <c r="DC199" s="129">
        <v>5.5100000000000003E-2</v>
      </c>
      <c r="DD199" s="129" t="s">
        <v>159</v>
      </c>
      <c r="DE199" s="146">
        <v>0</v>
      </c>
      <c r="DF199" s="129" t="s">
        <v>208</v>
      </c>
      <c r="DG199" s="129" t="s">
        <v>160</v>
      </c>
      <c r="DH199" s="129" t="s">
        <v>160</v>
      </c>
      <c r="DI199" s="129" t="s">
        <v>160</v>
      </c>
      <c r="DJ199" s="129" t="s">
        <v>160</v>
      </c>
      <c r="DK199" s="145">
        <v>432.56244218316402</v>
      </c>
      <c r="DL199" s="129" t="s">
        <v>433</v>
      </c>
      <c r="DM199" s="145" t="s">
        <v>160</v>
      </c>
      <c r="DN199" s="129" t="s">
        <v>434</v>
      </c>
      <c r="DO199" s="129">
        <v>39.6038</v>
      </c>
      <c r="DP199" s="129" t="s">
        <v>160</v>
      </c>
      <c r="DQ199" s="129">
        <v>0.3129599999999968</v>
      </c>
      <c r="DR199" s="129" t="s">
        <v>435</v>
      </c>
      <c r="DS199" s="129" t="s">
        <v>212</v>
      </c>
      <c r="DT199" s="129" t="s">
        <v>213</v>
      </c>
      <c r="DU199" s="129">
        <v>1.0271999999999999</v>
      </c>
      <c r="DV199" s="129" t="s">
        <v>160</v>
      </c>
      <c r="DW199" s="129" t="s">
        <v>160</v>
      </c>
      <c r="DX199" s="129" t="s">
        <v>436</v>
      </c>
      <c r="DY199" s="129" t="s">
        <v>158</v>
      </c>
      <c r="DZ199" s="129" t="s">
        <v>158</v>
      </c>
      <c r="EA199" s="129" t="s">
        <v>216</v>
      </c>
      <c r="EB199" s="129" t="s">
        <v>212</v>
      </c>
      <c r="EC199" s="129" t="s">
        <v>212</v>
      </c>
      <c r="ED199" s="129" t="s">
        <v>212</v>
      </c>
      <c r="EE199" s="129" t="s">
        <v>217</v>
      </c>
      <c r="EF199" s="147" t="s">
        <v>213</v>
      </c>
      <c r="EG199" s="148" t="s">
        <v>213</v>
      </c>
      <c r="EH199" s="129" t="s">
        <v>218</v>
      </c>
      <c r="EI199" s="129" t="s">
        <v>417</v>
      </c>
      <c r="EJ199" s="129" t="s">
        <v>160</v>
      </c>
      <c r="EK199" s="129">
        <v>1976.1650000000002</v>
      </c>
      <c r="EL199" s="129" t="s">
        <v>163</v>
      </c>
      <c r="EM199" s="129">
        <v>19.912999999999876</v>
      </c>
      <c r="EN199" s="129">
        <v>20.443000000000197</v>
      </c>
      <c r="EO199" s="129" t="s">
        <v>160</v>
      </c>
      <c r="EP199" s="129" t="s">
        <v>160</v>
      </c>
      <c r="EQ199" s="129" t="s">
        <v>160</v>
      </c>
      <c r="ER199" s="129" t="s">
        <v>160</v>
      </c>
      <c r="ES199" s="201">
        <v>8.148892</v>
      </c>
      <c r="ET199" s="129" t="s">
        <v>165</v>
      </c>
      <c r="EU199" s="151">
        <v>4.0478999999999488E-2</v>
      </c>
      <c r="EV199" s="151">
        <v>3.9671000000000234E-2</v>
      </c>
      <c r="EW199" s="142" t="s">
        <v>160</v>
      </c>
      <c r="EX199" s="129" t="s">
        <v>160</v>
      </c>
      <c r="EY199" s="129" t="s">
        <v>160</v>
      </c>
      <c r="EZ199" s="208">
        <v>263.28059999999999</v>
      </c>
      <c r="FA199" s="209">
        <v>32.397400000000005</v>
      </c>
      <c r="FB199" s="209">
        <v>29.430499999999995</v>
      </c>
      <c r="FC199" s="129" t="s">
        <v>220</v>
      </c>
      <c r="FD199" s="129" t="s">
        <v>221</v>
      </c>
      <c r="FE199" s="129">
        <v>2299.4610000000002</v>
      </c>
      <c r="FF199" s="129">
        <v>41.057999999999993</v>
      </c>
      <c r="FG199" s="129">
        <v>40.160000000000309</v>
      </c>
      <c r="FH199" s="129" t="s">
        <v>160</v>
      </c>
      <c r="FI199" s="129" t="s">
        <v>160</v>
      </c>
      <c r="FJ199" s="129" t="s">
        <v>160</v>
      </c>
      <c r="FK199" s="129" t="s">
        <v>160</v>
      </c>
      <c r="FL199" s="129" t="s">
        <v>160</v>
      </c>
      <c r="FM199" s="129" t="s">
        <v>160</v>
      </c>
      <c r="FN199" s="151">
        <v>4.3043550000000002</v>
      </c>
      <c r="FO199" s="151">
        <v>0.30003500000000027</v>
      </c>
      <c r="FP199" s="151">
        <v>0.29104200000000002</v>
      </c>
      <c r="FQ199" s="178" t="s">
        <v>419</v>
      </c>
      <c r="FR199" s="129" t="s">
        <v>415</v>
      </c>
      <c r="FS199" s="129">
        <v>2017</v>
      </c>
      <c r="FT199" s="131" t="s">
        <v>416</v>
      </c>
    </row>
    <row r="200" spans="1:176" s="129" customFormat="1">
      <c r="A200" s="129" t="s">
        <v>152</v>
      </c>
      <c r="B200" s="166" t="s">
        <v>183</v>
      </c>
      <c r="C200" s="166">
        <v>2018</v>
      </c>
      <c r="D200" s="166" t="s">
        <v>184</v>
      </c>
      <c r="E200" s="145">
        <f t="shared" si="22"/>
        <v>1181.75</v>
      </c>
      <c r="F200" s="129">
        <f t="shared" si="23"/>
        <v>2</v>
      </c>
      <c r="G200" s="129">
        <f t="shared" si="23"/>
        <v>2</v>
      </c>
      <c r="H200" s="191">
        <v>233.36360000000002</v>
      </c>
      <c r="I200" s="191">
        <v>27.093299999999942</v>
      </c>
      <c r="J200" s="191">
        <v>24.496600000000001</v>
      </c>
      <c r="K200" s="129" t="s">
        <v>457</v>
      </c>
      <c r="L200" s="131" t="s">
        <v>185</v>
      </c>
      <c r="M200" s="132" t="s">
        <v>186</v>
      </c>
      <c r="N200" s="129" t="s">
        <v>184</v>
      </c>
      <c r="O200" s="129" t="s">
        <v>420</v>
      </c>
      <c r="P200" s="205" t="s">
        <v>438</v>
      </c>
      <c r="Q200" s="205">
        <v>5</v>
      </c>
      <c r="R200" s="205">
        <v>2</v>
      </c>
      <c r="S200" s="206">
        <v>140.68698299999974</v>
      </c>
      <c r="T200" s="206">
        <f t="shared" si="20"/>
        <v>142.68698299999974</v>
      </c>
      <c r="U200" s="207">
        <v>39.006645149999997</v>
      </c>
      <c r="V200" s="207">
        <v>39.006645149999997</v>
      </c>
      <c r="W200" s="129" t="s">
        <v>160</v>
      </c>
      <c r="X200" s="129" t="s">
        <v>421</v>
      </c>
      <c r="Y200" s="200">
        <v>12.74</v>
      </c>
      <c r="Z200" s="200">
        <v>-78.739999999999995</v>
      </c>
      <c r="AA200" s="129" t="s">
        <v>160</v>
      </c>
      <c r="AB200" s="129" t="s">
        <v>160</v>
      </c>
      <c r="AC200" s="129">
        <v>-2839</v>
      </c>
      <c r="AD200" s="129" t="s">
        <v>160</v>
      </c>
      <c r="AE200" s="129" t="s">
        <v>160</v>
      </c>
      <c r="AF200" s="129" t="s">
        <v>160</v>
      </c>
      <c r="AG200" s="129">
        <v>1181.75</v>
      </c>
      <c r="AH200" s="129" t="s">
        <v>163</v>
      </c>
      <c r="AI200" s="129">
        <v>2</v>
      </c>
      <c r="AJ200" s="129">
        <v>2</v>
      </c>
      <c r="AK200" s="129" t="s">
        <v>160</v>
      </c>
      <c r="AL200" s="129" t="s">
        <v>422</v>
      </c>
      <c r="AM200" s="129" t="s">
        <v>160</v>
      </c>
      <c r="AN200" s="129" t="s">
        <v>160</v>
      </c>
      <c r="AO200" s="129" t="s">
        <v>160</v>
      </c>
      <c r="AP200" s="129" t="s">
        <v>160</v>
      </c>
      <c r="AQ200" s="129" t="s">
        <v>160</v>
      </c>
      <c r="AR200" s="129" t="s">
        <v>160</v>
      </c>
      <c r="AS200" s="129" t="s">
        <v>160</v>
      </c>
      <c r="AT200" s="129" t="s">
        <v>160</v>
      </c>
      <c r="AU200" s="129" t="s">
        <v>423</v>
      </c>
      <c r="AV200" s="129" t="s">
        <v>161</v>
      </c>
      <c r="AW200" s="129" t="s">
        <v>424</v>
      </c>
      <c r="AX200" s="178">
        <v>2</v>
      </c>
      <c r="AY200" s="129" t="s">
        <v>194</v>
      </c>
      <c r="AZ200" s="129" t="s">
        <v>195</v>
      </c>
      <c r="BA200" s="129" t="s">
        <v>425</v>
      </c>
      <c r="BB200" s="129" t="s">
        <v>160</v>
      </c>
      <c r="BC200" s="178">
        <v>2</v>
      </c>
      <c r="BD200" s="129" t="s">
        <v>160</v>
      </c>
      <c r="BE200" s="151">
        <v>20.849184019999999</v>
      </c>
      <c r="BF200" s="129" t="s">
        <v>426</v>
      </c>
      <c r="BG200" s="151">
        <v>0.14637763600000001</v>
      </c>
      <c r="BH200" s="129">
        <v>0.64</v>
      </c>
      <c r="BI200" s="129" t="s">
        <v>427</v>
      </c>
      <c r="BJ200" s="129">
        <v>3.4000000000000002E-2</v>
      </c>
      <c r="BK200" s="129">
        <v>9.1</v>
      </c>
      <c r="BL200" s="129" t="s">
        <v>163</v>
      </c>
      <c r="BM200" s="129">
        <v>0.56000000000000005</v>
      </c>
      <c r="BN200" s="129" t="s">
        <v>428</v>
      </c>
      <c r="BO200" s="129" t="s">
        <v>429</v>
      </c>
      <c r="BP200" s="151">
        <f t="shared" si="24"/>
        <v>19.965306699999999</v>
      </c>
      <c r="BQ200" s="129" t="s">
        <v>202</v>
      </c>
      <c r="BR200" s="217"/>
      <c r="BS200" s="129" t="s">
        <v>160</v>
      </c>
      <c r="BT200" s="129" t="s">
        <v>160</v>
      </c>
      <c r="BU200" s="129">
        <v>10</v>
      </c>
      <c r="BV200" s="129" t="s">
        <v>159</v>
      </c>
      <c r="BW200" s="129">
        <v>10</v>
      </c>
      <c r="BX200" s="145">
        <v>26.121038939999998</v>
      </c>
      <c r="BY200" s="129" t="s">
        <v>159</v>
      </c>
      <c r="BZ200" s="129">
        <v>1</v>
      </c>
      <c r="CA200" s="129">
        <v>1</v>
      </c>
      <c r="CB200" s="129" t="s">
        <v>160</v>
      </c>
      <c r="CC200" s="151">
        <v>3.8958861975830157</v>
      </c>
      <c r="CD200" s="129" t="s">
        <v>430</v>
      </c>
      <c r="CE200" s="151">
        <f t="shared" si="21"/>
        <v>0.15583544790332063</v>
      </c>
      <c r="CF200" s="151">
        <v>0.15583544790332063</v>
      </c>
      <c r="CG200" s="178" t="s">
        <v>160</v>
      </c>
      <c r="CH200" s="129" t="s">
        <v>431</v>
      </c>
      <c r="CI200" s="129" t="s">
        <v>160</v>
      </c>
      <c r="CJ200" s="129" t="s">
        <v>432</v>
      </c>
      <c r="CK200" s="129" t="s">
        <v>158</v>
      </c>
      <c r="CL200" s="129" t="s">
        <v>158</v>
      </c>
      <c r="CM200" s="129" t="s">
        <v>158</v>
      </c>
      <c r="CN200" s="129" t="s">
        <v>160</v>
      </c>
      <c r="CO200" s="129" t="s">
        <v>160</v>
      </c>
      <c r="CP200" s="129" t="s">
        <v>160</v>
      </c>
      <c r="CQ200" s="129" t="s">
        <v>160</v>
      </c>
      <c r="CR200" s="129" t="s">
        <v>160</v>
      </c>
      <c r="CS200" s="129" t="s">
        <v>160</v>
      </c>
      <c r="CT200" s="129" t="s">
        <v>160</v>
      </c>
      <c r="CU200" s="129">
        <v>35</v>
      </c>
      <c r="CV200" s="129" t="s">
        <v>393</v>
      </c>
      <c r="CW200" s="146">
        <v>1</v>
      </c>
      <c r="CX200" s="129" t="s">
        <v>207</v>
      </c>
      <c r="CY200" s="129">
        <v>1.06E-2</v>
      </c>
      <c r="CZ200" s="129" t="s">
        <v>159</v>
      </c>
      <c r="DA200" s="146">
        <v>0</v>
      </c>
      <c r="DB200" s="129" t="s">
        <v>208</v>
      </c>
      <c r="DC200" s="129">
        <v>5.5100000000000003E-2</v>
      </c>
      <c r="DD200" s="129" t="s">
        <v>159</v>
      </c>
      <c r="DE200" s="146">
        <v>0</v>
      </c>
      <c r="DF200" s="129" t="s">
        <v>208</v>
      </c>
      <c r="DG200" s="129" t="s">
        <v>160</v>
      </c>
      <c r="DH200" s="129" t="s">
        <v>160</v>
      </c>
      <c r="DI200" s="129" t="s">
        <v>160</v>
      </c>
      <c r="DJ200" s="129" t="s">
        <v>160</v>
      </c>
      <c r="DK200" s="145">
        <v>432.56244218316402</v>
      </c>
      <c r="DL200" s="129" t="s">
        <v>433</v>
      </c>
      <c r="DM200" s="145" t="s">
        <v>160</v>
      </c>
      <c r="DN200" s="129" t="s">
        <v>434</v>
      </c>
      <c r="DO200" s="129">
        <v>39.603090000000002</v>
      </c>
      <c r="DP200" s="129" t="s">
        <v>160</v>
      </c>
      <c r="DQ200" s="129">
        <v>0.31400999999999613</v>
      </c>
      <c r="DR200" s="129" t="s">
        <v>435</v>
      </c>
      <c r="DS200" s="129" t="s">
        <v>212</v>
      </c>
      <c r="DT200" s="129" t="s">
        <v>213</v>
      </c>
      <c r="DU200" s="129">
        <v>1.0271999999999999</v>
      </c>
      <c r="DV200" s="129" t="s">
        <v>160</v>
      </c>
      <c r="DW200" s="129" t="s">
        <v>160</v>
      </c>
      <c r="DX200" s="129" t="s">
        <v>436</v>
      </c>
      <c r="DY200" s="129" t="s">
        <v>158</v>
      </c>
      <c r="DZ200" s="129" t="s">
        <v>158</v>
      </c>
      <c r="EA200" s="129" t="s">
        <v>216</v>
      </c>
      <c r="EB200" s="129" t="s">
        <v>212</v>
      </c>
      <c r="EC200" s="129" t="s">
        <v>212</v>
      </c>
      <c r="ED200" s="129" t="s">
        <v>212</v>
      </c>
      <c r="EE200" s="129" t="s">
        <v>217</v>
      </c>
      <c r="EF200" s="147" t="s">
        <v>213</v>
      </c>
      <c r="EG200" s="148" t="s">
        <v>213</v>
      </c>
      <c r="EH200" s="129" t="s">
        <v>218</v>
      </c>
      <c r="EI200" s="129" t="s">
        <v>417</v>
      </c>
      <c r="EJ200" s="129" t="s">
        <v>160</v>
      </c>
      <c r="EK200" s="129">
        <v>1976.0889999999999</v>
      </c>
      <c r="EL200" s="129" t="s">
        <v>163</v>
      </c>
      <c r="EM200" s="129">
        <v>19.9750000000002</v>
      </c>
      <c r="EN200" s="129">
        <v>19.79499999999997</v>
      </c>
      <c r="EO200" s="129" t="s">
        <v>160</v>
      </c>
      <c r="EP200" s="129" t="s">
        <v>160</v>
      </c>
      <c r="EQ200" s="129" t="s">
        <v>160</v>
      </c>
      <c r="ER200" s="129" t="s">
        <v>160</v>
      </c>
      <c r="ES200" s="201">
        <v>8.1901659999999996</v>
      </c>
      <c r="ET200" s="129" t="s">
        <v>165</v>
      </c>
      <c r="EU200" s="151">
        <v>3.7993000000000166E-2</v>
      </c>
      <c r="EV200" s="151">
        <v>3.802299999999903E-2</v>
      </c>
      <c r="EW200" s="142" t="s">
        <v>160</v>
      </c>
      <c r="EX200" s="129" t="s">
        <v>160</v>
      </c>
      <c r="EY200" s="129" t="s">
        <v>160</v>
      </c>
      <c r="EZ200" s="208">
        <v>233.36360000000002</v>
      </c>
      <c r="FA200" s="209">
        <v>27.093299999999942</v>
      </c>
      <c r="FB200" s="209">
        <v>24.496600000000001</v>
      </c>
      <c r="FC200" s="129" t="s">
        <v>220</v>
      </c>
      <c r="FD200" s="129" t="s">
        <v>221</v>
      </c>
      <c r="FE200" s="129">
        <v>2336.8540000000003</v>
      </c>
      <c r="FF200" s="129">
        <v>40.021999999999935</v>
      </c>
      <c r="FG200" s="129">
        <v>39.674000000000433</v>
      </c>
      <c r="FH200" s="129" t="s">
        <v>160</v>
      </c>
      <c r="FI200" s="129" t="s">
        <v>160</v>
      </c>
      <c r="FJ200" s="129" t="s">
        <v>160</v>
      </c>
      <c r="FK200" s="129" t="s">
        <v>160</v>
      </c>
      <c r="FL200" s="129" t="s">
        <v>160</v>
      </c>
      <c r="FM200" s="129" t="s">
        <v>160</v>
      </c>
      <c r="FN200" s="151">
        <v>4.7704300000000002</v>
      </c>
      <c r="FO200" s="151">
        <v>0.29680099999999943</v>
      </c>
      <c r="FP200" s="151">
        <v>0.28560000000000052</v>
      </c>
      <c r="FQ200" s="178" t="s">
        <v>419</v>
      </c>
      <c r="FR200" s="129" t="s">
        <v>415</v>
      </c>
      <c r="FS200" s="129">
        <v>2017</v>
      </c>
      <c r="FT200" s="131" t="s">
        <v>416</v>
      </c>
    </row>
    <row r="201" spans="1:176" s="129" customFormat="1">
      <c r="A201" s="129" t="s">
        <v>152</v>
      </c>
      <c r="B201" s="166" t="s">
        <v>183</v>
      </c>
      <c r="C201" s="166">
        <v>2018</v>
      </c>
      <c r="D201" s="166" t="s">
        <v>184</v>
      </c>
      <c r="E201" s="145">
        <f t="shared" si="22"/>
        <v>1184.06</v>
      </c>
      <c r="F201" s="129">
        <f t="shared" si="23"/>
        <v>2</v>
      </c>
      <c r="G201" s="129">
        <f t="shared" si="23"/>
        <v>2</v>
      </c>
      <c r="H201" s="191">
        <v>226.2835</v>
      </c>
      <c r="I201" s="191">
        <v>27.112099999999998</v>
      </c>
      <c r="J201" s="191">
        <v>23.812299999999993</v>
      </c>
      <c r="K201" s="129" t="s">
        <v>457</v>
      </c>
      <c r="L201" s="131" t="s">
        <v>185</v>
      </c>
      <c r="M201" s="132" t="s">
        <v>186</v>
      </c>
      <c r="N201" s="129" t="s">
        <v>184</v>
      </c>
      <c r="O201" s="129" t="s">
        <v>420</v>
      </c>
      <c r="P201" s="205" t="s">
        <v>438</v>
      </c>
      <c r="Q201" s="205">
        <v>5</v>
      </c>
      <c r="R201" s="205">
        <v>3</v>
      </c>
      <c r="S201" s="206">
        <v>2</v>
      </c>
      <c r="T201" s="206">
        <f t="shared" si="20"/>
        <v>4</v>
      </c>
      <c r="U201" s="207">
        <v>39.119999999999997</v>
      </c>
      <c r="V201" s="207">
        <v>39.119999999999997</v>
      </c>
      <c r="W201" s="129" t="s">
        <v>160</v>
      </c>
      <c r="X201" s="129" t="s">
        <v>421</v>
      </c>
      <c r="Y201" s="200">
        <v>12.74</v>
      </c>
      <c r="Z201" s="200">
        <v>-78.739999999999995</v>
      </c>
      <c r="AA201" s="129" t="s">
        <v>160</v>
      </c>
      <c r="AB201" s="129" t="s">
        <v>160</v>
      </c>
      <c r="AC201" s="129">
        <v>-2839</v>
      </c>
      <c r="AD201" s="129" t="s">
        <v>160</v>
      </c>
      <c r="AE201" s="129" t="s">
        <v>160</v>
      </c>
      <c r="AF201" s="129" t="s">
        <v>160</v>
      </c>
      <c r="AG201" s="129">
        <v>1184.06</v>
      </c>
      <c r="AH201" s="129" t="s">
        <v>163</v>
      </c>
      <c r="AI201" s="129">
        <v>2</v>
      </c>
      <c r="AJ201" s="129">
        <v>2</v>
      </c>
      <c r="AK201" s="129" t="s">
        <v>160</v>
      </c>
      <c r="AL201" s="129" t="s">
        <v>422</v>
      </c>
      <c r="AM201" s="129" t="s">
        <v>160</v>
      </c>
      <c r="AN201" s="129" t="s">
        <v>160</v>
      </c>
      <c r="AO201" s="129" t="s">
        <v>160</v>
      </c>
      <c r="AP201" s="129" t="s">
        <v>160</v>
      </c>
      <c r="AQ201" s="129" t="s">
        <v>160</v>
      </c>
      <c r="AR201" s="129" t="s">
        <v>160</v>
      </c>
      <c r="AS201" s="129" t="s">
        <v>160</v>
      </c>
      <c r="AT201" s="129" t="s">
        <v>160</v>
      </c>
      <c r="AU201" s="129" t="s">
        <v>423</v>
      </c>
      <c r="AV201" s="129" t="s">
        <v>161</v>
      </c>
      <c r="AW201" s="129" t="s">
        <v>424</v>
      </c>
      <c r="AX201" s="178">
        <v>2</v>
      </c>
      <c r="AY201" s="129" t="s">
        <v>194</v>
      </c>
      <c r="AZ201" s="129" t="s">
        <v>195</v>
      </c>
      <c r="BA201" s="129" t="s">
        <v>425</v>
      </c>
      <c r="BB201" s="129" t="s">
        <v>160</v>
      </c>
      <c r="BC201" s="178">
        <v>2</v>
      </c>
      <c r="BD201" s="129" t="s">
        <v>160</v>
      </c>
      <c r="BE201" s="151">
        <v>20.832362369999998</v>
      </c>
      <c r="BF201" s="129" t="s">
        <v>426</v>
      </c>
      <c r="BG201" s="151">
        <v>0.17948405200000001</v>
      </c>
      <c r="BH201" s="129">
        <v>0.64</v>
      </c>
      <c r="BI201" s="129" t="s">
        <v>427</v>
      </c>
      <c r="BJ201" s="129">
        <v>3.4000000000000002E-2</v>
      </c>
      <c r="BK201" s="129">
        <v>9.1</v>
      </c>
      <c r="BL201" s="129" t="s">
        <v>163</v>
      </c>
      <c r="BM201" s="129">
        <v>0.56000000000000005</v>
      </c>
      <c r="BN201" s="129" t="s">
        <v>428</v>
      </c>
      <c r="BO201" s="129" t="s">
        <v>429</v>
      </c>
      <c r="BP201" s="151">
        <f t="shared" si="24"/>
        <v>19.937270616666666</v>
      </c>
      <c r="BQ201" s="129" t="s">
        <v>202</v>
      </c>
      <c r="BR201" s="217"/>
      <c r="BS201" s="129" t="s">
        <v>160</v>
      </c>
      <c r="BT201" s="129" t="s">
        <v>160</v>
      </c>
      <c r="BU201" s="129">
        <v>10</v>
      </c>
      <c r="BV201" s="129" t="s">
        <v>159</v>
      </c>
      <c r="BW201" s="129">
        <v>10</v>
      </c>
      <c r="BX201" s="145">
        <v>25.04226976</v>
      </c>
      <c r="BY201" s="129" t="s">
        <v>159</v>
      </c>
      <c r="BZ201" s="129">
        <v>1</v>
      </c>
      <c r="CA201" s="129">
        <v>1</v>
      </c>
      <c r="CB201" s="129" t="s">
        <v>160</v>
      </c>
      <c r="CC201" s="151">
        <v>3.5260348857581363</v>
      </c>
      <c r="CD201" s="129" t="s">
        <v>430</v>
      </c>
      <c r="CE201" s="151">
        <f t="shared" si="21"/>
        <v>0.14104139543032546</v>
      </c>
      <c r="CF201" s="151">
        <v>0.14104139543032546</v>
      </c>
      <c r="CG201" s="178" t="s">
        <v>160</v>
      </c>
      <c r="CH201" s="129" t="s">
        <v>431</v>
      </c>
      <c r="CI201" s="129" t="s">
        <v>160</v>
      </c>
      <c r="CJ201" s="129" t="s">
        <v>432</v>
      </c>
      <c r="CK201" s="129" t="s">
        <v>158</v>
      </c>
      <c r="CL201" s="129" t="s">
        <v>158</v>
      </c>
      <c r="CM201" s="129" t="s">
        <v>158</v>
      </c>
      <c r="CN201" s="129" t="s">
        <v>160</v>
      </c>
      <c r="CO201" s="129" t="s">
        <v>160</v>
      </c>
      <c r="CP201" s="129" t="s">
        <v>160</v>
      </c>
      <c r="CQ201" s="129" t="s">
        <v>160</v>
      </c>
      <c r="CR201" s="129" t="s">
        <v>160</v>
      </c>
      <c r="CS201" s="129" t="s">
        <v>160</v>
      </c>
      <c r="CT201" s="129" t="s">
        <v>160</v>
      </c>
      <c r="CU201" s="129">
        <v>35</v>
      </c>
      <c r="CV201" s="129" t="s">
        <v>393</v>
      </c>
      <c r="CW201" s="146">
        <v>1</v>
      </c>
      <c r="CX201" s="129" t="s">
        <v>207</v>
      </c>
      <c r="CY201" s="129">
        <v>1.06E-2</v>
      </c>
      <c r="CZ201" s="129" t="s">
        <v>159</v>
      </c>
      <c r="DA201" s="146">
        <v>0</v>
      </c>
      <c r="DB201" s="129" t="s">
        <v>208</v>
      </c>
      <c r="DC201" s="129">
        <v>5.5100000000000003E-2</v>
      </c>
      <c r="DD201" s="129" t="s">
        <v>159</v>
      </c>
      <c r="DE201" s="146">
        <v>0</v>
      </c>
      <c r="DF201" s="129" t="s">
        <v>208</v>
      </c>
      <c r="DG201" s="129" t="s">
        <v>160</v>
      </c>
      <c r="DH201" s="129" t="s">
        <v>160</v>
      </c>
      <c r="DI201" s="129" t="s">
        <v>160</v>
      </c>
      <c r="DJ201" s="129" t="s">
        <v>160</v>
      </c>
      <c r="DK201" s="145">
        <v>432.56244218316402</v>
      </c>
      <c r="DL201" s="129" t="s">
        <v>433</v>
      </c>
      <c r="DM201" s="145" t="s">
        <v>160</v>
      </c>
      <c r="DN201" s="129" t="s">
        <v>434</v>
      </c>
      <c r="DO201" s="129">
        <v>39.605989999999998</v>
      </c>
      <c r="DP201" s="129" t="s">
        <v>160</v>
      </c>
      <c r="DQ201" s="129">
        <v>0.31529000000000451</v>
      </c>
      <c r="DR201" s="129" t="s">
        <v>435</v>
      </c>
      <c r="DS201" s="129" t="s">
        <v>212</v>
      </c>
      <c r="DT201" s="129" t="s">
        <v>213</v>
      </c>
      <c r="DU201" s="129">
        <v>1.0271999999999999</v>
      </c>
      <c r="DV201" s="129" t="s">
        <v>160</v>
      </c>
      <c r="DW201" s="129" t="s">
        <v>160</v>
      </c>
      <c r="DX201" s="129" t="s">
        <v>436</v>
      </c>
      <c r="DY201" s="129" t="s">
        <v>158</v>
      </c>
      <c r="DZ201" s="129" t="s">
        <v>158</v>
      </c>
      <c r="EA201" s="129" t="s">
        <v>216</v>
      </c>
      <c r="EB201" s="129" t="s">
        <v>212</v>
      </c>
      <c r="EC201" s="129" t="s">
        <v>212</v>
      </c>
      <c r="ED201" s="129" t="s">
        <v>212</v>
      </c>
      <c r="EE201" s="129" t="s">
        <v>217</v>
      </c>
      <c r="EF201" s="147" t="s">
        <v>213</v>
      </c>
      <c r="EG201" s="148" t="s">
        <v>213</v>
      </c>
      <c r="EH201" s="129" t="s">
        <v>218</v>
      </c>
      <c r="EI201" s="129" t="s">
        <v>417</v>
      </c>
      <c r="EJ201" s="129" t="s">
        <v>160</v>
      </c>
      <c r="EK201" s="129">
        <v>1976.0009999999997</v>
      </c>
      <c r="EL201" s="129" t="s">
        <v>163</v>
      </c>
      <c r="EM201" s="129">
        <v>19.97000000000023</v>
      </c>
      <c r="EN201" s="129">
        <v>20.452999999999705</v>
      </c>
      <c r="EO201" s="129" t="s">
        <v>160</v>
      </c>
      <c r="EP201" s="129" t="s">
        <v>160</v>
      </c>
      <c r="EQ201" s="129" t="s">
        <v>160</v>
      </c>
      <c r="ER201" s="129" t="s">
        <v>160</v>
      </c>
      <c r="ES201" s="201">
        <v>8.2002279999999992</v>
      </c>
      <c r="ET201" s="129" t="s">
        <v>165</v>
      </c>
      <c r="EU201" s="151">
        <v>3.7857000000000696E-2</v>
      </c>
      <c r="EV201" s="151">
        <v>3.8241999999998555E-2</v>
      </c>
      <c r="EW201" s="142" t="s">
        <v>160</v>
      </c>
      <c r="EX201" s="129" t="s">
        <v>160</v>
      </c>
      <c r="EY201" s="129" t="s">
        <v>160</v>
      </c>
      <c r="EZ201" s="208">
        <v>226.2835</v>
      </c>
      <c r="FA201" s="209">
        <v>27.112099999999998</v>
      </c>
      <c r="FB201" s="209">
        <v>23.812299999999993</v>
      </c>
      <c r="FC201" s="129" t="s">
        <v>220</v>
      </c>
      <c r="FD201" s="129" t="s">
        <v>221</v>
      </c>
      <c r="FE201" s="129">
        <v>2332.9569999999999</v>
      </c>
      <c r="FF201" s="129">
        <v>40.592999999999847</v>
      </c>
      <c r="FG201" s="129">
        <v>40.69399999999996</v>
      </c>
      <c r="FH201" s="129" t="s">
        <v>160</v>
      </c>
      <c r="FI201" s="129" t="s">
        <v>160</v>
      </c>
      <c r="FJ201" s="129" t="s">
        <v>160</v>
      </c>
      <c r="FK201" s="129" t="s">
        <v>160</v>
      </c>
      <c r="FL201" s="129" t="s">
        <v>160</v>
      </c>
      <c r="FM201" s="129" t="s">
        <v>160</v>
      </c>
      <c r="FN201" s="151">
        <v>4.6794510000000002</v>
      </c>
      <c r="FO201" s="151">
        <v>0.29781799999999947</v>
      </c>
      <c r="FP201" s="151">
        <v>0.2904220000000004</v>
      </c>
      <c r="FQ201" s="178" t="s">
        <v>419</v>
      </c>
      <c r="FR201" s="129" t="s">
        <v>415</v>
      </c>
      <c r="FS201" s="129">
        <v>2017</v>
      </c>
      <c r="FT201" s="131" t="s">
        <v>416</v>
      </c>
    </row>
    <row r="202" spans="1:176" s="129" customFormat="1">
      <c r="A202" s="129" t="s">
        <v>152</v>
      </c>
      <c r="B202" s="166" t="s">
        <v>183</v>
      </c>
      <c r="C202" s="166">
        <v>2018</v>
      </c>
      <c r="D202" s="166" t="s">
        <v>184</v>
      </c>
      <c r="E202" s="145">
        <f t="shared" si="22"/>
        <v>1185.97</v>
      </c>
      <c r="F202" s="129">
        <f t="shared" si="23"/>
        <v>2</v>
      </c>
      <c r="G202" s="129">
        <f t="shared" si="23"/>
        <v>2</v>
      </c>
      <c r="H202" s="191">
        <v>257.13210000000004</v>
      </c>
      <c r="I202" s="191">
        <v>30.72649999999993</v>
      </c>
      <c r="J202" s="191">
        <v>28.025100000000037</v>
      </c>
      <c r="K202" s="129" t="s">
        <v>457</v>
      </c>
      <c r="L202" s="131" t="s">
        <v>185</v>
      </c>
      <c r="M202" s="132" t="s">
        <v>186</v>
      </c>
      <c r="N202" s="129" t="s">
        <v>184</v>
      </c>
      <c r="O202" s="129" t="s">
        <v>420</v>
      </c>
      <c r="P202" s="210" t="s">
        <v>438</v>
      </c>
      <c r="Q202" s="210">
        <v>5</v>
      </c>
      <c r="R202" s="210">
        <v>3</v>
      </c>
      <c r="S202" s="211">
        <v>10.111267999999939</v>
      </c>
      <c r="T202" s="211">
        <f t="shared" si="20"/>
        <v>12.111267999999939</v>
      </c>
      <c r="U202" s="212">
        <v>39.200887999999999</v>
      </c>
      <c r="V202" s="212">
        <v>39.200887999999999</v>
      </c>
      <c r="W202" s="129" t="s">
        <v>160</v>
      </c>
      <c r="X202" s="129" t="s">
        <v>421</v>
      </c>
      <c r="Y202" s="200">
        <v>12.74</v>
      </c>
      <c r="Z202" s="200">
        <v>-78.739999999999995</v>
      </c>
      <c r="AA202" s="129" t="s">
        <v>160</v>
      </c>
      <c r="AB202" s="129" t="s">
        <v>160</v>
      </c>
      <c r="AC202" s="129">
        <v>-2839</v>
      </c>
      <c r="AD202" s="129" t="s">
        <v>160</v>
      </c>
      <c r="AE202" s="129" t="s">
        <v>160</v>
      </c>
      <c r="AF202" s="129" t="s">
        <v>160</v>
      </c>
      <c r="AG202" s="129">
        <v>1185.97</v>
      </c>
      <c r="AH202" s="129" t="s">
        <v>163</v>
      </c>
      <c r="AI202" s="129">
        <v>2</v>
      </c>
      <c r="AJ202" s="129">
        <v>2</v>
      </c>
      <c r="AK202" s="129" t="s">
        <v>160</v>
      </c>
      <c r="AL202" s="129" t="s">
        <v>422</v>
      </c>
      <c r="AM202" s="129" t="s">
        <v>160</v>
      </c>
      <c r="AN202" s="129" t="s">
        <v>160</v>
      </c>
      <c r="AO202" s="129" t="s">
        <v>160</v>
      </c>
      <c r="AP202" s="129" t="s">
        <v>160</v>
      </c>
      <c r="AQ202" s="129" t="s">
        <v>160</v>
      </c>
      <c r="AR202" s="129" t="s">
        <v>160</v>
      </c>
      <c r="AS202" s="129" t="s">
        <v>160</v>
      </c>
      <c r="AT202" s="129" t="s">
        <v>160</v>
      </c>
      <c r="AU202" s="129" t="s">
        <v>423</v>
      </c>
      <c r="AV202" s="129" t="s">
        <v>161</v>
      </c>
      <c r="AW202" s="129" t="s">
        <v>424</v>
      </c>
      <c r="AX202" s="178">
        <v>2</v>
      </c>
      <c r="AY202" s="129" t="s">
        <v>194</v>
      </c>
      <c r="AZ202" s="129" t="s">
        <v>195</v>
      </c>
      <c r="BA202" s="129" t="s">
        <v>425</v>
      </c>
      <c r="BB202" s="129" t="s">
        <v>160</v>
      </c>
      <c r="BC202" s="178">
        <v>2</v>
      </c>
      <c r="BD202" s="129" t="s">
        <v>160</v>
      </c>
      <c r="BE202" s="151">
        <v>20.574240379999999</v>
      </c>
      <c r="BF202" s="129" t="s">
        <v>426</v>
      </c>
      <c r="BG202" s="151">
        <v>0.19473354400000001</v>
      </c>
      <c r="BH202" s="129">
        <v>0.64</v>
      </c>
      <c r="BI202" s="129" t="s">
        <v>427</v>
      </c>
      <c r="BJ202" s="129">
        <v>3.4000000000000002E-2</v>
      </c>
      <c r="BK202" s="129">
        <v>9.1</v>
      </c>
      <c r="BL202" s="129" t="s">
        <v>163</v>
      </c>
      <c r="BM202" s="129">
        <v>0.56000000000000005</v>
      </c>
      <c r="BN202" s="129" t="s">
        <v>428</v>
      </c>
      <c r="BO202" s="129" t="s">
        <v>429</v>
      </c>
      <c r="BP202" s="151">
        <f t="shared" si="24"/>
        <v>19.507067299999999</v>
      </c>
      <c r="BQ202" s="129" t="s">
        <v>202</v>
      </c>
      <c r="BR202" s="217"/>
      <c r="BS202" s="129" t="s">
        <v>160</v>
      </c>
      <c r="BT202" s="129" t="s">
        <v>160</v>
      </c>
      <c r="BU202" s="129">
        <v>10</v>
      </c>
      <c r="BV202" s="129" t="s">
        <v>159</v>
      </c>
      <c r="BW202" s="129">
        <v>10</v>
      </c>
      <c r="BX202" s="145">
        <v>25.717720530000001</v>
      </c>
      <c r="BY202" s="129" t="s">
        <v>159</v>
      </c>
      <c r="BZ202" s="129">
        <v>1</v>
      </c>
      <c r="CA202" s="129">
        <v>1</v>
      </c>
      <c r="CB202" s="129" t="s">
        <v>160</v>
      </c>
      <c r="CC202" s="151">
        <v>3.7470338261404286</v>
      </c>
      <c r="CD202" s="129" t="s">
        <v>430</v>
      </c>
      <c r="CE202" s="151">
        <f t="shared" si="21"/>
        <v>0.14988135304561714</v>
      </c>
      <c r="CF202" s="151">
        <v>0.14988135304561714</v>
      </c>
      <c r="CG202" s="178" t="s">
        <v>160</v>
      </c>
      <c r="CH202" s="129" t="s">
        <v>431</v>
      </c>
      <c r="CI202" s="129" t="s">
        <v>160</v>
      </c>
      <c r="CJ202" s="129" t="s">
        <v>432</v>
      </c>
      <c r="CK202" s="129" t="s">
        <v>158</v>
      </c>
      <c r="CL202" s="129" t="s">
        <v>158</v>
      </c>
      <c r="CM202" s="129" t="s">
        <v>158</v>
      </c>
      <c r="CN202" s="129" t="s">
        <v>160</v>
      </c>
      <c r="CO202" s="129" t="s">
        <v>160</v>
      </c>
      <c r="CP202" s="129" t="s">
        <v>160</v>
      </c>
      <c r="CQ202" s="129" t="s">
        <v>160</v>
      </c>
      <c r="CR202" s="129" t="s">
        <v>160</v>
      </c>
      <c r="CS202" s="129" t="s">
        <v>160</v>
      </c>
      <c r="CT202" s="129" t="s">
        <v>160</v>
      </c>
      <c r="CU202" s="129">
        <v>35</v>
      </c>
      <c r="CV202" s="129" t="s">
        <v>393</v>
      </c>
      <c r="CW202" s="146">
        <v>1</v>
      </c>
      <c r="CX202" s="129" t="s">
        <v>207</v>
      </c>
      <c r="CY202" s="129">
        <v>1.06E-2</v>
      </c>
      <c r="CZ202" s="129" t="s">
        <v>159</v>
      </c>
      <c r="DA202" s="146">
        <v>0</v>
      </c>
      <c r="DB202" s="129" t="s">
        <v>208</v>
      </c>
      <c r="DC202" s="129">
        <v>5.5100000000000003E-2</v>
      </c>
      <c r="DD202" s="129" t="s">
        <v>159</v>
      </c>
      <c r="DE202" s="146">
        <v>0</v>
      </c>
      <c r="DF202" s="129" t="s">
        <v>208</v>
      </c>
      <c r="DG202" s="129" t="s">
        <v>160</v>
      </c>
      <c r="DH202" s="129" t="s">
        <v>160</v>
      </c>
      <c r="DI202" s="129" t="s">
        <v>160</v>
      </c>
      <c r="DJ202" s="129" t="s">
        <v>160</v>
      </c>
      <c r="DK202" s="145">
        <v>432.56244218316402</v>
      </c>
      <c r="DL202" s="129" t="s">
        <v>433</v>
      </c>
      <c r="DM202" s="145" t="s">
        <v>160</v>
      </c>
      <c r="DN202" s="129" t="s">
        <v>434</v>
      </c>
      <c r="DO202" s="129">
        <v>39.605200000000004</v>
      </c>
      <c r="DP202" s="129" t="s">
        <v>160</v>
      </c>
      <c r="DQ202" s="129">
        <v>0.30901999999999674</v>
      </c>
      <c r="DR202" s="129" t="s">
        <v>435</v>
      </c>
      <c r="DS202" s="129" t="s">
        <v>212</v>
      </c>
      <c r="DT202" s="129" t="s">
        <v>213</v>
      </c>
      <c r="DU202" s="129">
        <v>1.0271999999999999</v>
      </c>
      <c r="DV202" s="129" t="s">
        <v>160</v>
      </c>
      <c r="DW202" s="129" t="s">
        <v>160</v>
      </c>
      <c r="DX202" s="129" t="s">
        <v>436</v>
      </c>
      <c r="DY202" s="129" t="s">
        <v>158</v>
      </c>
      <c r="DZ202" s="129" t="s">
        <v>158</v>
      </c>
      <c r="EA202" s="129" t="s">
        <v>216</v>
      </c>
      <c r="EB202" s="129" t="s">
        <v>212</v>
      </c>
      <c r="EC202" s="129" t="s">
        <v>212</v>
      </c>
      <c r="ED202" s="129" t="s">
        <v>212</v>
      </c>
      <c r="EE202" s="129" t="s">
        <v>217</v>
      </c>
      <c r="EF202" s="147" t="s">
        <v>213</v>
      </c>
      <c r="EG202" s="148" t="s">
        <v>213</v>
      </c>
      <c r="EH202" s="129" t="s">
        <v>218</v>
      </c>
      <c r="EI202" s="129" t="s">
        <v>417</v>
      </c>
      <c r="EJ202" s="129" t="s">
        <v>160</v>
      </c>
      <c r="EK202" s="129">
        <v>1976.088</v>
      </c>
      <c r="EL202" s="129" t="s">
        <v>163</v>
      </c>
      <c r="EM202" s="129">
        <v>19.785999999999934</v>
      </c>
      <c r="EN202" s="129">
        <v>19.850000000000076</v>
      </c>
      <c r="EO202" s="129" t="s">
        <v>160</v>
      </c>
      <c r="EP202" s="129" t="s">
        <v>160</v>
      </c>
      <c r="EQ202" s="129" t="s">
        <v>160</v>
      </c>
      <c r="ER202" s="129" t="s">
        <v>160</v>
      </c>
      <c r="ES202" s="201">
        <v>8.1571840000000009</v>
      </c>
      <c r="ET202" s="129" t="s">
        <v>165</v>
      </c>
      <c r="EU202" s="151">
        <v>3.9348999999999634E-2</v>
      </c>
      <c r="EV202" s="151">
        <v>3.9311000000001428E-2</v>
      </c>
      <c r="EW202" s="142" t="s">
        <v>160</v>
      </c>
      <c r="EX202" s="129" t="s">
        <v>160</v>
      </c>
      <c r="EY202" s="129" t="s">
        <v>160</v>
      </c>
      <c r="EZ202" s="208">
        <v>257.13210000000004</v>
      </c>
      <c r="FA202" s="209">
        <v>30.72649999999993</v>
      </c>
      <c r="FB202" s="209">
        <v>28.025100000000037</v>
      </c>
      <c r="FC202" s="129" t="s">
        <v>220</v>
      </c>
      <c r="FD202" s="129" t="s">
        <v>221</v>
      </c>
      <c r="FE202" s="129">
        <v>2307.7660000000001</v>
      </c>
      <c r="FF202" s="129">
        <v>40.58600000000024</v>
      </c>
      <c r="FG202" s="129">
        <v>39.947000000000116</v>
      </c>
      <c r="FH202" s="129" t="s">
        <v>160</v>
      </c>
      <c r="FI202" s="129" t="s">
        <v>160</v>
      </c>
      <c r="FJ202" s="129" t="s">
        <v>160</v>
      </c>
      <c r="FK202" s="129" t="s">
        <v>160</v>
      </c>
      <c r="FL202" s="129" t="s">
        <v>160</v>
      </c>
      <c r="FM202" s="129" t="s">
        <v>160</v>
      </c>
      <c r="FN202" s="151">
        <v>4.4042409999999999</v>
      </c>
      <c r="FO202" s="151">
        <v>0.31041600000000003</v>
      </c>
      <c r="FP202" s="151">
        <v>0.28325699999999987</v>
      </c>
      <c r="FQ202" s="178" t="s">
        <v>419</v>
      </c>
      <c r="FR202" s="129" t="s">
        <v>415</v>
      </c>
      <c r="FS202" s="129">
        <v>2017</v>
      </c>
      <c r="FT202" s="131" t="s">
        <v>416</v>
      </c>
    </row>
    <row r="203" spans="1:176" s="129" customFormat="1">
      <c r="A203" s="129" t="s">
        <v>152</v>
      </c>
      <c r="B203" s="166" t="s">
        <v>183</v>
      </c>
      <c r="C203" s="166">
        <v>2018</v>
      </c>
      <c r="D203" s="166" t="s">
        <v>184</v>
      </c>
      <c r="E203" s="145">
        <f t="shared" si="22"/>
        <v>1188.07</v>
      </c>
      <c r="F203" s="129">
        <f t="shared" si="23"/>
        <v>2</v>
      </c>
      <c r="G203" s="129">
        <f t="shared" si="23"/>
        <v>2</v>
      </c>
      <c r="H203" s="191">
        <v>265.35910000000001</v>
      </c>
      <c r="I203" s="191">
        <v>31.662800000000004</v>
      </c>
      <c r="J203" s="191">
        <v>28.277500000000003</v>
      </c>
      <c r="K203" s="129" t="s">
        <v>457</v>
      </c>
      <c r="L203" s="131" t="s">
        <v>185</v>
      </c>
      <c r="M203" s="132" t="s">
        <v>186</v>
      </c>
      <c r="N203" s="129" t="s">
        <v>184</v>
      </c>
      <c r="O203" s="129" t="s">
        <v>420</v>
      </c>
      <c r="P203" s="205" t="s">
        <v>438</v>
      </c>
      <c r="Q203" s="205">
        <v>5</v>
      </c>
      <c r="R203" s="205">
        <v>3</v>
      </c>
      <c r="S203" s="206">
        <v>18.570803000000012</v>
      </c>
      <c r="T203" s="206">
        <f t="shared" si="20"/>
        <v>20.570803000000012</v>
      </c>
      <c r="U203" s="207">
        <v>39.28548335</v>
      </c>
      <c r="V203" s="207">
        <v>39.28548335</v>
      </c>
      <c r="W203" s="129" t="s">
        <v>160</v>
      </c>
      <c r="X203" s="129" t="s">
        <v>421</v>
      </c>
      <c r="Y203" s="200">
        <v>12.74</v>
      </c>
      <c r="Z203" s="200">
        <v>-78.739999999999995</v>
      </c>
      <c r="AA203" s="129" t="s">
        <v>160</v>
      </c>
      <c r="AB203" s="129" t="s">
        <v>160</v>
      </c>
      <c r="AC203" s="129">
        <v>-2839</v>
      </c>
      <c r="AD203" s="129" t="s">
        <v>160</v>
      </c>
      <c r="AE203" s="129" t="s">
        <v>160</v>
      </c>
      <c r="AF203" s="129" t="s">
        <v>160</v>
      </c>
      <c r="AG203" s="129">
        <v>1188.07</v>
      </c>
      <c r="AH203" s="129" t="s">
        <v>163</v>
      </c>
      <c r="AI203" s="129">
        <v>2</v>
      </c>
      <c r="AJ203" s="129">
        <v>2</v>
      </c>
      <c r="AK203" s="129" t="s">
        <v>160</v>
      </c>
      <c r="AL203" s="129" t="s">
        <v>422</v>
      </c>
      <c r="AM203" s="129" t="s">
        <v>160</v>
      </c>
      <c r="AN203" s="129" t="s">
        <v>160</v>
      </c>
      <c r="AO203" s="129" t="s">
        <v>160</v>
      </c>
      <c r="AP203" s="129" t="s">
        <v>160</v>
      </c>
      <c r="AQ203" s="129" t="s">
        <v>160</v>
      </c>
      <c r="AR203" s="129" t="s">
        <v>160</v>
      </c>
      <c r="AS203" s="129" t="s">
        <v>160</v>
      </c>
      <c r="AT203" s="129" t="s">
        <v>160</v>
      </c>
      <c r="AU203" s="129" t="s">
        <v>423</v>
      </c>
      <c r="AV203" s="129" t="s">
        <v>161</v>
      </c>
      <c r="AW203" s="129" t="s">
        <v>424</v>
      </c>
      <c r="AX203" s="178">
        <v>2</v>
      </c>
      <c r="AY203" s="129" t="s">
        <v>194</v>
      </c>
      <c r="AZ203" s="129" t="s">
        <v>195</v>
      </c>
      <c r="BA203" s="129" t="s">
        <v>425</v>
      </c>
      <c r="BB203" s="129" t="s">
        <v>160</v>
      </c>
      <c r="BC203" s="178">
        <v>2</v>
      </c>
      <c r="BD203" s="129" t="s">
        <v>160</v>
      </c>
      <c r="BE203" s="151">
        <v>20.444129319999998</v>
      </c>
      <c r="BF203" s="129" t="s">
        <v>426</v>
      </c>
      <c r="BG203" s="151">
        <v>0.18617460199999999</v>
      </c>
      <c r="BH203" s="129">
        <v>0.64</v>
      </c>
      <c r="BI203" s="129" t="s">
        <v>427</v>
      </c>
      <c r="BJ203" s="129">
        <v>3.4000000000000002E-2</v>
      </c>
      <c r="BK203" s="129">
        <v>9.1</v>
      </c>
      <c r="BL203" s="129" t="s">
        <v>163</v>
      </c>
      <c r="BM203" s="129">
        <v>0.56000000000000005</v>
      </c>
      <c r="BN203" s="129" t="s">
        <v>428</v>
      </c>
      <c r="BO203" s="129" t="s">
        <v>429</v>
      </c>
      <c r="BP203" s="151">
        <f t="shared" si="24"/>
        <v>19.290215533333331</v>
      </c>
      <c r="BQ203" s="129" t="s">
        <v>202</v>
      </c>
      <c r="BR203" s="217"/>
      <c r="BS203" s="129" t="s">
        <v>160</v>
      </c>
      <c r="BT203" s="129" t="s">
        <v>160</v>
      </c>
      <c r="BU203" s="129">
        <v>10</v>
      </c>
      <c r="BV203" s="129" t="s">
        <v>159</v>
      </c>
      <c r="BW203" s="129">
        <v>10</v>
      </c>
      <c r="BX203" s="145">
        <v>25.10194787</v>
      </c>
      <c r="BY203" s="129" t="s">
        <v>159</v>
      </c>
      <c r="BZ203" s="129">
        <v>1</v>
      </c>
      <c r="CA203" s="129">
        <v>1</v>
      </c>
      <c r="CB203" s="129" t="s">
        <v>160</v>
      </c>
      <c r="CC203" s="151">
        <v>3.5355528917381869</v>
      </c>
      <c r="CD203" s="129" t="s">
        <v>430</v>
      </c>
      <c r="CE203" s="151">
        <f t="shared" si="21"/>
        <v>0.14142211566952748</v>
      </c>
      <c r="CF203" s="151">
        <v>0.14142211566952748</v>
      </c>
      <c r="CG203" s="178" t="s">
        <v>160</v>
      </c>
      <c r="CH203" s="129" t="s">
        <v>431</v>
      </c>
      <c r="CI203" s="129" t="s">
        <v>160</v>
      </c>
      <c r="CJ203" s="129" t="s">
        <v>432</v>
      </c>
      <c r="CK203" s="129" t="s">
        <v>158</v>
      </c>
      <c r="CL203" s="129" t="s">
        <v>158</v>
      </c>
      <c r="CM203" s="129" t="s">
        <v>158</v>
      </c>
      <c r="CN203" s="129" t="s">
        <v>160</v>
      </c>
      <c r="CO203" s="129" t="s">
        <v>160</v>
      </c>
      <c r="CP203" s="129" t="s">
        <v>160</v>
      </c>
      <c r="CQ203" s="129" t="s">
        <v>160</v>
      </c>
      <c r="CR203" s="129" t="s">
        <v>160</v>
      </c>
      <c r="CS203" s="129" t="s">
        <v>160</v>
      </c>
      <c r="CT203" s="129" t="s">
        <v>160</v>
      </c>
      <c r="CU203" s="129">
        <v>35</v>
      </c>
      <c r="CV203" s="129" t="s">
        <v>393</v>
      </c>
      <c r="CW203" s="146">
        <v>1</v>
      </c>
      <c r="CX203" s="129" t="s">
        <v>207</v>
      </c>
      <c r="CY203" s="129">
        <v>1.06E-2</v>
      </c>
      <c r="CZ203" s="129" t="s">
        <v>159</v>
      </c>
      <c r="DA203" s="146">
        <v>0</v>
      </c>
      <c r="DB203" s="129" t="s">
        <v>208</v>
      </c>
      <c r="DC203" s="129">
        <v>5.5100000000000003E-2</v>
      </c>
      <c r="DD203" s="129" t="s">
        <v>159</v>
      </c>
      <c r="DE203" s="146">
        <v>0</v>
      </c>
      <c r="DF203" s="129" t="s">
        <v>208</v>
      </c>
      <c r="DG203" s="129" t="s">
        <v>160</v>
      </c>
      <c r="DH203" s="129" t="s">
        <v>160</v>
      </c>
      <c r="DI203" s="129" t="s">
        <v>160</v>
      </c>
      <c r="DJ203" s="129" t="s">
        <v>160</v>
      </c>
      <c r="DK203" s="145">
        <v>432.56244218316402</v>
      </c>
      <c r="DL203" s="129" t="s">
        <v>433</v>
      </c>
      <c r="DM203" s="145" t="s">
        <v>160</v>
      </c>
      <c r="DN203" s="129" t="s">
        <v>434</v>
      </c>
      <c r="DO203" s="129">
        <v>39.604010000000002</v>
      </c>
      <c r="DP203" s="129" t="s">
        <v>160</v>
      </c>
      <c r="DQ203" s="129">
        <v>0.31980999999999682</v>
      </c>
      <c r="DR203" s="129" t="s">
        <v>435</v>
      </c>
      <c r="DS203" s="129" t="s">
        <v>212</v>
      </c>
      <c r="DT203" s="129" t="s">
        <v>213</v>
      </c>
      <c r="DU203" s="129">
        <v>1.0271999999999999</v>
      </c>
      <c r="DV203" s="129" t="s">
        <v>160</v>
      </c>
      <c r="DW203" s="129" t="s">
        <v>160</v>
      </c>
      <c r="DX203" s="129" t="s">
        <v>436</v>
      </c>
      <c r="DY203" s="129" t="s">
        <v>158</v>
      </c>
      <c r="DZ203" s="129" t="s">
        <v>158</v>
      </c>
      <c r="EA203" s="129" t="s">
        <v>216</v>
      </c>
      <c r="EB203" s="129" t="s">
        <v>212</v>
      </c>
      <c r="EC203" s="129" t="s">
        <v>212</v>
      </c>
      <c r="ED203" s="129" t="s">
        <v>212</v>
      </c>
      <c r="EE203" s="129" t="s">
        <v>217</v>
      </c>
      <c r="EF203" s="147" t="s">
        <v>213</v>
      </c>
      <c r="EG203" s="148" t="s">
        <v>213</v>
      </c>
      <c r="EH203" s="129" t="s">
        <v>218</v>
      </c>
      <c r="EI203" s="129" t="s">
        <v>417</v>
      </c>
      <c r="EJ203" s="129" t="s">
        <v>160</v>
      </c>
      <c r="EK203" s="129">
        <v>1975.88</v>
      </c>
      <c r="EL203" s="129" t="s">
        <v>163</v>
      </c>
      <c r="EM203" s="129">
        <v>20.003999999999682</v>
      </c>
      <c r="EN203" s="129">
        <v>20.192000000000039</v>
      </c>
      <c r="EO203" s="129" t="s">
        <v>160</v>
      </c>
      <c r="EP203" s="129" t="s">
        <v>160</v>
      </c>
      <c r="EQ203" s="129" t="s">
        <v>160</v>
      </c>
      <c r="ER203" s="129" t="s">
        <v>160</v>
      </c>
      <c r="ES203" s="201">
        <v>8.1460290000000004</v>
      </c>
      <c r="ET203" s="129" t="s">
        <v>165</v>
      </c>
      <c r="EU203" s="151">
        <v>3.9102999999999E-2</v>
      </c>
      <c r="EV203" s="151">
        <v>3.9350999999999914E-2</v>
      </c>
      <c r="EW203" s="142" t="s">
        <v>160</v>
      </c>
      <c r="EX203" s="129" t="s">
        <v>160</v>
      </c>
      <c r="EY203" s="129" t="s">
        <v>160</v>
      </c>
      <c r="EZ203" s="208">
        <v>265.35910000000001</v>
      </c>
      <c r="FA203" s="209">
        <v>31.662800000000004</v>
      </c>
      <c r="FB203" s="209">
        <v>28.277500000000003</v>
      </c>
      <c r="FC203" s="129" t="s">
        <v>220</v>
      </c>
      <c r="FD203" s="129" t="s">
        <v>221</v>
      </c>
      <c r="FE203" s="129">
        <v>2293.0509999999999</v>
      </c>
      <c r="FF203" s="129">
        <v>40.320999999999913</v>
      </c>
      <c r="FG203" s="129">
        <v>41.278999999999996</v>
      </c>
      <c r="FH203" s="129" t="s">
        <v>160</v>
      </c>
      <c r="FI203" s="129" t="s">
        <v>160</v>
      </c>
      <c r="FJ203" s="129" t="s">
        <v>160</v>
      </c>
      <c r="FK203" s="129" t="s">
        <v>160</v>
      </c>
      <c r="FL203" s="129" t="s">
        <v>160</v>
      </c>
      <c r="FM203" s="129" t="s">
        <v>160</v>
      </c>
      <c r="FN203" s="151">
        <v>4.2171979999999998</v>
      </c>
      <c r="FO203" s="151">
        <v>0.28551000000000037</v>
      </c>
      <c r="FP203" s="151">
        <v>0.28606099999999968</v>
      </c>
      <c r="FQ203" s="178" t="s">
        <v>419</v>
      </c>
      <c r="FR203" s="129" t="s">
        <v>415</v>
      </c>
      <c r="FS203" s="129">
        <v>2017</v>
      </c>
      <c r="FT203" s="131" t="s">
        <v>416</v>
      </c>
    </row>
    <row r="204" spans="1:176" s="129" customFormat="1">
      <c r="A204" s="129" t="s">
        <v>152</v>
      </c>
      <c r="B204" s="166" t="s">
        <v>183</v>
      </c>
      <c r="C204" s="166">
        <v>2018</v>
      </c>
      <c r="D204" s="166" t="s">
        <v>184</v>
      </c>
      <c r="E204" s="145">
        <f t="shared" si="22"/>
        <v>1191.31</v>
      </c>
      <c r="F204" s="129">
        <f t="shared" si="23"/>
        <v>2</v>
      </c>
      <c r="G204" s="129">
        <f t="shared" si="23"/>
        <v>2</v>
      </c>
      <c r="H204" s="191">
        <v>215.80159999999998</v>
      </c>
      <c r="I204" s="191">
        <v>24.294800000000009</v>
      </c>
      <c r="J204" s="191">
        <v>22.655199999999979</v>
      </c>
      <c r="K204" s="129" t="s">
        <v>457</v>
      </c>
      <c r="L204" s="131" t="s">
        <v>185</v>
      </c>
      <c r="M204" s="132" t="s">
        <v>186</v>
      </c>
      <c r="N204" s="129" t="s">
        <v>184</v>
      </c>
      <c r="O204" s="129" t="s">
        <v>420</v>
      </c>
      <c r="P204" s="210" t="s">
        <v>438</v>
      </c>
      <c r="Q204" s="210">
        <v>5</v>
      </c>
      <c r="R204" s="210">
        <v>3</v>
      </c>
      <c r="S204" s="211">
        <v>27.029711000000077</v>
      </c>
      <c r="T204" s="211">
        <f t="shared" si="20"/>
        <v>29.029711000000077</v>
      </c>
      <c r="U204" s="212">
        <v>39.37007243</v>
      </c>
      <c r="V204" s="212">
        <v>39.37007243</v>
      </c>
      <c r="W204" s="129" t="s">
        <v>160</v>
      </c>
      <c r="X204" s="129" t="s">
        <v>421</v>
      </c>
      <c r="Y204" s="200">
        <v>12.74</v>
      </c>
      <c r="Z204" s="200">
        <v>-78.739999999999995</v>
      </c>
      <c r="AA204" s="129" t="s">
        <v>160</v>
      </c>
      <c r="AB204" s="129" t="s">
        <v>160</v>
      </c>
      <c r="AC204" s="129">
        <v>-2839</v>
      </c>
      <c r="AD204" s="129" t="s">
        <v>160</v>
      </c>
      <c r="AE204" s="129" t="s">
        <v>160</v>
      </c>
      <c r="AF204" s="129" t="s">
        <v>160</v>
      </c>
      <c r="AG204" s="129">
        <v>1191.31</v>
      </c>
      <c r="AH204" s="129" t="s">
        <v>163</v>
      </c>
      <c r="AI204" s="129">
        <v>2</v>
      </c>
      <c r="AJ204" s="129">
        <v>2</v>
      </c>
      <c r="AK204" s="129" t="s">
        <v>160</v>
      </c>
      <c r="AL204" s="129" t="s">
        <v>422</v>
      </c>
      <c r="AM204" s="129" t="s">
        <v>160</v>
      </c>
      <c r="AN204" s="129" t="s">
        <v>160</v>
      </c>
      <c r="AO204" s="129" t="s">
        <v>160</v>
      </c>
      <c r="AP204" s="129" t="s">
        <v>160</v>
      </c>
      <c r="AQ204" s="129" t="s">
        <v>160</v>
      </c>
      <c r="AR204" s="129" t="s">
        <v>160</v>
      </c>
      <c r="AS204" s="129" t="s">
        <v>160</v>
      </c>
      <c r="AT204" s="129" t="s">
        <v>160</v>
      </c>
      <c r="AU204" s="129" t="s">
        <v>423</v>
      </c>
      <c r="AV204" s="129" t="s">
        <v>161</v>
      </c>
      <c r="AW204" s="129" t="s">
        <v>424</v>
      </c>
      <c r="AX204" s="178">
        <v>2</v>
      </c>
      <c r="AY204" s="129" t="s">
        <v>194</v>
      </c>
      <c r="AZ204" s="129" t="s">
        <v>195</v>
      </c>
      <c r="BA204" s="129" t="s">
        <v>425</v>
      </c>
      <c r="BB204" s="129" t="s">
        <v>160</v>
      </c>
      <c r="BC204" s="178">
        <v>2</v>
      </c>
      <c r="BD204" s="129" t="s">
        <v>160</v>
      </c>
      <c r="BE204" s="151">
        <v>20.946358920000002</v>
      </c>
      <c r="BF204" s="129" t="s">
        <v>426</v>
      </c>
      <c r="BG204" s="151">
        <v>0.146908178</v>
      </c>
      <c r="BH204" s="129">
        <v>0.64</v>
      </c>
      <c r="BI204" s="129" t="s">
        <v>427</v>
      </c>
      <c r="BJ204" s="129">
        <v>3.4000000000000002E-2</v>
      </c>
      <c r="BK204" s="129">
        <v>9.1</v>
      </c>
      <c r="BL204" s="129" t="s">
        <v>163</v>
      </c>
      <c r="BM204" s="129">
        <v>0.56000000000000005</v>
      </c>
      <c r="BN204" s="129" t="s">
        <v>428</v>
      </c>
      <c r="BO204" s="129" t="s">
        <v>429</v>
      </c>
      <c r="BP204" s="151">
        <f t="shared" si="24"/>
        <v>20.127264866666671</v>
      </c>
      <c r="BQ204" s="129" t="s">
        <v>202</v>
      </c>
      <c r="BR204" s="217"/>
      <c r="BS204" s="129" t="s">
        <v>160</v>
      </c>
      <c r="BT204" s="129" t="s">
        <v>160</v>
      </c>
      <c r="BU204" s="129">
        <v>10</v>
      </c>
      <c r="BV204" s="129" t="s">
        <v>159</v>
      </c>
      <c r="BW204" s="129">
        <v>10</v>
      </c>
      <c r="BX204" s="145">
        <v>24.921200299999999</v>
      </c>
      <c r="BY204" s="129" t="s">
        <v>159</v>
      </c>
      <c r="BZ204" s="129">
        <v>1</v>
      </c>
      <c r="CA204" s="129">
        <v>1</v>
      </c>
      <c r="CB204" s="129" t="s">
        <v>160</v>
      </c>
      <c r="CC204" s="151">
        <v>3.4738315536437967</v>
      </c>
      <c r="CD204" s="129" t="s">
        <v>430</v>
      </c>
      <c r="CE204" s="151">
        <f t="shared" si="21"/>
        <v>0.13895326214575188</v>
      </c>
      <c r="CF204" s="151">
        <v>0.13895326214575188</v>
      </c>
      <c r="CG204" s="178" t="s">
        <v>160</v>
      </c>
      <c r="CH204" s="129" t="s">
        <v>431</v>
      </c>
      <c r="CI204" s="129" t="s">
        <v>160</v>
      </c>
      <c r="CJ204" s="129" t="s">
        <v>432</v>
      </c>
      <c r="CK204" s="129" t="s">
        <v>158</v>
      </c>
      <c r="CL204" s="129" t="s">
        <v>158</v>
      </c>
      <c r="CM204" s="129" t="s">
        <v>158</v>
      </c>
      <c r="CN204" s="129" t="s">
        <v>160</v>
      </c>
      <c r="CO204" s="129" t="s">
        <v>160</v>
      </c>
      <c r="CP204" s="129" t="s">
        <v>160</v>
      </c>
      <c r="CQ204" s="129" t="s">
        <v>160</v>
      </c>
      <c r="CR204" s="129" t="s">
        <v>160</v>
      </c>
      <c r="CS204" s="129" t="s">
        <v>160</v>
      </c>
      <c r="CT204" s="129" t="s">
        <v>160</v>
      </c>
      <c r="CU204" s="129">
        <v>35</v>
      </c>
      <c r="CV204" s="129" t="s">
        <v>393</v>
      </c>
      <c r="CW204" s="146">
        <v>1</v>
      </c>
      <c r="CX204" s="129" t="s">
        <v>207</v>
      </c>
      <c r="CY204" s="129">
        <v>1.06E-2</v>
      </c>
      <c r="CZ204" s="129" t="s">
        <v>159</v>
      </c>
      <c r="DA204" s="146">
        <v>0</v>
      </c>
      <c r="DB204" s="129" t="s">
        <v>208</v>
      </c>
      <c r="DC204" s="129">
        <v>5.5100000000000003E-2</v>
      </c>
      <c r="DD204" s="129" t="s">
        <v>159</v>
      </c>
      <c r="DE204" s="146">
        <v>0</v>
      </c>
      <c r="DF204" s="129" t="s">
        <v>208</v>
      </c>
      <c r="DG204" s="129" t="s">
        <v>160</v>
      </c>
      <c r="DH204" s="129" t="s">
        <v>160</v>
      </c>
      <c r="DI204" s="129" t="s">
        <v>160</v>
      </c>
      <c r="DJ204" s="129" t="s">
        <v>160</v>
      </c>
      <c r="DK204" s="145">
        <v>432.56244218316402</v>
      </c>
      <c r="DL204" s="129" t="s">
        <v>433</v>
      </c>
      <c r="DM204" s="145" t="s">
        <v>160</v>
      </c>
      <c r="DN204" s="129" t="s">
        <v>434</v>
      </c>
      <c r="DO204" s="129">
        <v>39.605609999999999</v>
      </c>
      <c r="DP204" s="129" t="s">
        <v>160</v>
      </c>
      <c r="DQ204" s="129">
        <v>0.31609000000000265</v>
      </c>
      <c r="DR204" s="129" t="s">
        <v>435</v>
      </c>
      <c r="DS204" s="129" t="s">
        <v>212</v>
      </c>
      <c r="DT204" s="129" t="s">
        <v>213</v>
      </c>
      <c r="DU204" s="129">
        <v>1.0271999999999999</v>
      </c>
      <c r="DV204" s="129" t="s">
        <v>160</v>
      </c>
      <c r="DW204" s="129" t="s">
        <v>160</v>
      </c>
      <c r="DX204" s="129" t="s">
        <v>436</v>
      </c>
      <c r="DY204" s="129" t="s">
        <v>158</v>
      </c>
      <c r="DZ204" s="129" t="s">
        <v>158</v>
      </c>
      <c r="EA204" s="129" t="s">
        <v>216</v>
      </c>
      <c r="EB204" s="129" t="s">
        <v>212</v>
      </c>
      <c r="EC204" s="129" t="s">
        <v>212</v>
      </c>
      <c r="ED204" s="129" t="s">
        <v>212</v>
      </c>
      <c r="EE204" s="129" t="s">
        <v>217</v>
      </c>
      <c r="EF204" s="147" t="s">
        <v>213</v>
      </c>
      <c r="EG204" s="148" t="s">
        <v>213</v>
      </c>
      <c r="EH204" s="129" t="s">
        <v>218</v>
      </c>
      <c r="EI204" s="129" t="s">
        <v>417</v>
      </c>
      <c r="EJ204" s="129" t="s">
        <v>160</v>
      </c>
      <c r="EK204" s="129">
        <v>1975.759</v>
      </c>
      <c r="EL204" s="129" t="s">
        <v>163</v>
      </c>
      <c r="EM204" s="129">
        <v>20.211999999999922</v>
      </c>
      <c r="EN204" s="129">
        <v>20.350000000000144</v>
      </c>
      <c r="EO204" s="129" t="s">
        <v>160</v>
      </c>
      <c r="EP204" s="129" t="s">
        <v>160</v>
      </c>
      <c r="EQ204" s="129" t="s">
        <v>160</v>
      </c>
      <c r="ER204" s="129" t="s">
        <v>160</v>
      </c>
      <c r="ES204" s="201">
        <v>8.2163009999999996</v>
      </c>
      <c r="ET204" s="129" t="s">
        <v>165</v>
      </c>
      <c r="EU204" s="151">
        <v>3.7095000000000766E-2</v>
      </c>
      <c r="EV204" s="151">
        <v>3.6647000000000318E-2</v>
      </c>
      <c r="EW204" s="142" t="s">
        <v>160</v>
      </c>
      <c r="EX204" s="129" t="s">
        <v>160</v>
      </c>
      <c r="EY204" s="129" t="s">
        <v>160</v>
      </c>
      <c r="EZ204" s="208">
        <v>215.80159999999998</v>
      </c>
      <c r="FA204" s="209">
        <v>24.294800000000009</v>
      </c>
      <c r="FB204" s="209">
        <v>22.655199999999979</v>
      </c>
      <c r="FC204" s="129" t="s">
        <v>220</v>
      </c>
      <c r="FD204" s="129" t="s">
        <v>221</v>
      </c>
      <c r="FE204" s="129">
        <v>2344.3969999999999</v>
      </c>
      <c r="FF204" s="129">
        <v>40.936999999999898</v>
      </c>
      <c r="FG204" s="129">
        <v>40.7199999999998</v>
      </c>
      <c r="FH204" s="129" t="s">
        <v>160</v>
      </c>
      <c r="FI204" s="129" t="s">
        <v>160</v>
      </c>
      <c r="FJ204" s="129" t="s">
        <v>160</v>
      </c>
      <c r="FK204" s="129" t="s">
        <v>160</v>
      </c>
      <c r="FL204" s="129" t="s">
        <v>160</v>
      </c>
      <c r="FM204" s="129" t="s">
        <v>160</v>
      </c>
      <c r="FN204" s="151">
        <v>4.8117359999999998</v>
      </c>
      <c r="FO204" s="151">
        <v>0.29824900000000021</v>
      </c>
      <c r="FP204" s="151">
        <v>0.29001300000000008</v>
      </c>
      <c r="FQ204" s="178" t="s">
        <v>419</v>
      </c>
      <c r="FR204" s="129" t="s">
        <v>415</v>
      </c>
      <c r="FS204" s="129">
        <v>2017</v>
      </c>
      <c r="FT204" s="131" t="s">
        <v>416</v>
      </c>
    </row>
    <row r="205" spans="1:176" s="129" customFormat="1">
      <c r="A205" s="129" t="s">
        <v>152</v>
      </c>
      <c r="B205" s="166" t="s">
        <v>183</v>
      </c>
      <c r="C205" s="166">
        <v>2018</v>
      </c>
      <c r="D205" s="166" t="s">
        <v>184</v>
      </c>
      <c r="E205" s="145">
        <f t="shared" si="22"/>
        <v>1195.1500000000001</v>
      </c>
      <c r="F205" s="129">
        <f t="shared" si="23"/>
        <v>2</v>
      </c>
      <c r="G205" s="129">
        <f t="shared" si="23"/>
        <v>2</v>
      </c>
      <c r="H205" s="191">
        <v>208.27420000000001</v>
      </c>
      <c r="I205" s="191">
        <v>25.125299999999982</v>
      </c>
      <c r="J205" s="191">
        <v>22.806300000000022</v>
      </c>
      <c r="K205" s="129" t="s">
        <v>457</v>
      </c>
      <c r="L205" s="131" t="s">
        <v>185</v>
      </c>
      <c r="M205" s="132" t="s">
        <v>186</v>
      </c>
      <c r="N205" s="129" t="s">
        <v>184</v>
      </c>
      <c r="O205" s="129" t="s">
        <v>420</v>
      </c>
      <c r="P205" s="205" t="s">
        <v>438</v>
      </c>
      <c r="Q205" s="205">
        <v>5</v>
      </c>
      <c r="R205" s="205">
        <v>3</v>
      </c>
      <c r="S205" s="206">
        <v>37</v>
      </c>
      <c r="T205" s="206">
        <f t="shared" si="20"/>
        <v>39</v>
      </c>
      <c r="U205" s="207">
        <v>39.47</v>
      </c>
      <c r="V205" s="207">
        <v>39.47</v>
      </c>
      <c r="W205" s="129" t="s">
        <v>160</v>
      </c>
      <c r="X205" s="129" t="s">
        <v>421</v>
      </c>
      <c r="Y205" s="200">
        <v>12.74</v>
      </c>
      <c r="Z205" s="200">
        <v>-78.739999999999995</v>
      </c>
      <c r="AA205" s="129" t="s">
        <v>160</v>
      </c>
      <c r="AB205" s="129" t="s">
        <v>160</v>
      </c>
      <c r="AC205" s="129">
        <v>-2839</v>
      </c>
      <c r="AD205" s="129" t="s">
        <v>160</v>
      </c>
      <c r="AE205" s="129" t="s">
        <v>160</v>
      </c>
      <c r="AF205" s="129" t="s">
        <v>160</v>
      </c>
      <c r="AG205" s="129">
        <v>1195.1500000000001</v>
      </c>
      <c r="AH205" s="129" t="s">
        <v>163</v>
      </c>
      <c r="AI205" s="129">
        <v>2</v>
      </c>
      <c r="AJ205" s="129">
        <v>2</v>
      </c>
      <c r="AK205" s="129" t="s">
        <v>160</v>
      </c>
      <c r="AL205" s="129" t="s">
        <v>422</v>
      </c>
      <c r="AM205" s="129" t="s">
        <v>160</v>
      </c>
      <c r="AN205" s="129" t="s">
        <v>160</v>
      </c>
      <c r="AO205" s="129" t="s">
        <v>160</v>
      </c>
      <c r="AP205" s="129" t="s">
        <v>160</v>
      </c>
      <c r="AQ205" s="129" t="s">
        <v>160</v>
      </c>
      <c r="AR205" s="129" t="s">
        <v>160</v>
      </c>
      <c r="AS205" s="129" t="s">
        <v>160</v>
      </c>
      <c r="AT205" s="129" t="s">
        <v>160</v>
      </c>
      <c r="AU205" s="129" t="s">
        <v>423</v>
      </c>
      <c r="AV205" s="129" t="s">
        <v>161</v>
      </c>
      <c r="AW205" s="129" t="s">
        <v>424</v>
      </c>
      <c r="AX205" s="178">
        <v>2</v>
      </c>
      <c r="AY205" s="129" t="s">
        <v>194</v>
      </c>
      <c r="AZ205" s="129" t="s">
        <v>195</v>
      </c>
      <c r="BA205" s="129" t="s">
        <v>425</v>
      </c>
      <c r="BB205" s="129" t="s">
        <v>160</v>
      </c>
      <c r="BC205" s="178">
        <v>2</v>
      </c>
      <c r="BD205" s="129" t="s">
        <v>160</v>
      </c>
      <c r="BE205" s="151">
        <v>20.97</v>
      </c>
      <c r="BF205" s="129" t="s">
        <v>426</v>
      </c>
      <c r="BG205" s="151">
        <v>0.178041634</v>
      </c>
      <c r="BH205" s="129">
        <v>0.64</v>
      </c>
      <c r="BI205" s="129" t="s">
        <v>427</v>
      </c>
      <c r="BJ205" s="129">
        <v>3.4000000000000002E-2</v>
      </c>
      <c r="BK205" s="129">
        <v>9.1</v>
      </c>
      <c r="BL205" s="129" t="s">
        <v>163</v>
      </c>
      <c r="BM205" s="129">
        <v>0.56000000000000005</v>
      </c>
      <c r="BN205" s="129" t="s">
        <v>428</v>
      </c>
      <c r="BO205" s="129" t="s">
        <v>429</v>
      </c>
      <c r="BP205" s="151">
        <f t="shared" si="24"/>
        <v>20.166666666666668</v>
      </c>
      <c r="BQ205" s="129" t="s">
        <v>202</v>
      </c>
      <c r="BR205" s="217"/>
      <c r="BS205" s="129" t="s">
        <v>160</v>
      </c>
      <c r="BT205" s="129" t="s">
        <v>160</v>
      </c>
      <c r="BU205" s="129">
        <v>10</v>
      </c>
      <c r="BV205" s="129" t="s">
        <v>159</v>
      </c>
      <c r="BW205" s="129">
        <v>10</v>
      </c>
      <c r="BX205" s="145">
        <v>24.15624373</v>
      </c>
      <c r="BY205" s="129" t="s">
        <v>159</v>
      </c>
      <c r="BZ205" s="129">
        <v>1</v>
      </c>
      <c r="CA205" s="129">
        <v>1</v>
      </c>
      <c r="CB205" s="129" t="s">
        <v>160</v>
      </c>
      <c r="CC205" s="151">
        <v>3.2339694933336096</v>
      </c>
      <c r="CD205" s="129" t="s">
        <v>430</v>
      </c>
      <c r="CE205" s="151">
        <f t="shared" si="21"/>
        <v>0.12935877973334439</v>
      </c>
      <c r="CF205" s="151">
        <v>0.12935877973334439</v>
      </c>
      <c r="CG205" s="178" t="s">
        <v>160</v>
      </c>
      <c r="CH205" s="129" t="s">
        <v>431</v>
      </c>
      <c r="CI205" s="129" t="s">
        <v>160</v>
      </c>
      <c r="CJ205" s="129" t="s">
        <v>432</v>
      </c>
      <c r="CK205" s="129" t="s">
        <v>158</v>
      </c>
      <c r="CL205" s="129" t="s">
        <v>158</v>
      </c>
      <c r="CM205" s="129" t="s">
        <v>158</v>
      </c>
      <c r="CN205" s="129" t="s">
        <v>160</v>
      </c>
      <c r="CO205" s="129" t="s">
        <v>160</v>
      </c>
      <c r="CP205" s="129" t="s">
        <v>160</v>
      </c>
      <c r="CQ205" s="129" t="s">
        <v>160</v>
      </c>
      <c r="CR205" s="129" t="s">
        <v>160</v>
      </c>
      <c r="CS205" s="129" t="s">
        <v>160</v>
      </c>
      <c r="CT205" s="129" t="s">
        <v>160</v>
      </c>
      <c r="CU205" s="129">
        <v>35</v>
      </c>
      <c r="CV205" s="129" t="s">
        <v>393</v>
      </c>
      <c r="CW205" s="146">
        <v>1</v>
      </c>
      <c r="CX205" s="129" t="s">
        <v>207</v>
      </c>
      <c r="CY205" s="129">
        <v>1.06E-2</v>
      </c>
      <c r="CZ205" s="129" t="s">
        <v>159</v>
      </c>
      <c r="DA205" s="146">
        <v>0</v>
      </c>
      <c r="DB205" s="129" t="s">
        <v>208</v>
      </c>
      <c r="DC205" s="129">
        <v>5.5100000000000003E-2</v>
      </c>
      <c r="DD205" s="129" t="s">
        <v>159</v>
      </c>
      <c r="DE205" s="146">
        <v>0</v>
      </c>
      <c r="DF205" s="129" t="s">
        <v>208</v>
      </c>
      <c r="DG205" s="129" t="s">
        <v>160</v>
      </c>
      <c r="DH205" s="129" t="s">
        <v>160</v>
      </c>
      <c r="DI205" s="129" t="s">
        <v>160</v>
      </c>
      <c r="DJ205" s="129" t="s">
        <v>160</v>
      </c>
      <c r="DK205" s="145">
        <v>432.56244218316402</v>
      </c>
      <c r="DL205" s="129" t="s">
        <v>433</v>
      </c>
      <c r="DM205" s="145" t="s">
        <v>160</v>
      </c>
      <c r="DN205" s="129" t="s">
        <v>434</v>
      </c>
      <c r="DO205" s="129">
        <v>39.606630000000003</v>
      </c>
      <c r="DP205" s="129" t="s">
        <v>160</v>
      </c>
      <c r="DQ205" s="129">
        <v>0.31584999999999752</v>
      </c>
      <c r="DR205" s="129" t="s">
        <v>435</v>
      </c>
      <c r="DS205" s="129" t="s">
        <v>212</v>
      </c>
      <c r="DT205" s="129" t="s">
        <v>213</v>
      </c>
      <c r="DU205" s="129">
        <v>1.0271999999999999</v>
      </c>
      <c r="DV205" s="129" t="s">
        <v>160</v>
      </c>
      <c r="DW205" s="129" t="s">
        <v>160</v>
      </c>
      <c r="DX205" s="129" t="s">
        <v>436</v>
      </c>
      <c r="DY205" s="129" t="s">
        <v>158</v>
      </c>
      <c r="DZ205" s="129" t="s">
        <v>158</v>
      </c>
      <c r="EA205" s="129" t="s">
        <v>216</v>
      </c>
      <c r="EB205" s="129" t="s">
        <v>212</v>
      </c>
      <c r="EC205" s="129" t="s">
        <v>212</v>
      </c>
      <c r="ED205" s="129" t="s">
        <v>212</v>
      </c>
      <c r="EE205" s="129" t="s">
        <v>217</v>
      </c>
      <c r="EF205" s="147" t="s">
        <v>213</v>
      </c>
      <c r="EG205" s="148" t="s">
        <v>213</v>
      </c>
      <c r="EH205" s="129" t="s">
        <v>218</v>
      </c>
      <c r="EI205" s="129" t="s">
        <v>417</v>
      </c>
      <c r="EJ205" s="129" t="s">
        <v>160</v>
      </c>
      <c r="EK205" s="129">
        <v>1975.6840000000002</v>
      </c>
      <c r="EL205" s="129" t="s">
        <v>163</v>
      </c>
      <c r="EM205" s="129">
        <v>19.811999999999696</v>
      </c>
      <c r="EN205" s="129">
        <v>19.930999999999941</v>
      </c>
      <c r="EO205" s="129" t="s">
        <v>160</v>
      </c>
      <c r="EP205" s="129" t="s">
        <v>160</v>
      </c>
      <c r="EQ205" s="129" t="s">
        <v>160</v>
      </c>
      <c r="ER205" s="129" t="s">
        <v>160</v>
      </c>
      <c r="ES205" s="201">
        <v>8.2278889999999993</v>
      </c>
      <c r="ET205" s="129" t="s">
        <v>165</v>
      </c>
      <c r="EU205" s="151">
        <v>3.8263999999999854E-2</v>
      </c>
      <c r="EV205" s="151">
        <v>3.8193999999998951E-2</v>
      </c>
      <c r="EW205" s="142" t="s">
        <v>160</v>
      </c>
      <c r="EX205" s="129" t="s">
        <v>160</v>
      </c>
      <c r="EY205" s="129" t="s">
        <v>160</v>
      </c>
      <c r="EZ205" s="208">
        <v>208.27420000000001</v>
      </c>
      <c r="FA205" s="209">
        <v>25.125299999999982</v>
      </c>
      <c r="FB205" s="209">
        <v>22.806300000000022</v>
      </c>
      <c r="FC205" s="129" t="s">
        <v>220</v>
      </c>
      <c r="FD205" s="129" t="s">
        <v>221</v>
      </c>
      <c r="FE205" s="129">
        <v>2345.0329999999999</v>
      </c>
      <c r="FF205" s="129">
        <v>41.179000000000087</v>
      </c>
      <c r="FG205" s="129">
        <v>41.420000000000073</v>
      </c>
      <c r="FH205" s="129" t="s">
        <v>160</v>
      </c>
      <c r="FI205" s="129" t="s">
        <v>160</v>
      </c>
      <c r="FJ205" s="129" t="s">
        <v>160</v>
      </c>
      <c r="FK205" s="129" t="s">
        <v>160</v>
      </c>
      <c r="FL205" s="129" t="s">
        <v>160</v>
      </c>
      <c r="FM205" s="129" t="s">
        <v>160</v>
      </c>
      <c r="FN205" s="151">
        <v>4.7989750000000004</v>
      </c>
      <c r="FO205" s="151">
        <v>0.30468299999999982</v>
      </c>
      <c r="FP205" s="151">
        <v>0.29563600000000001</v>
      </c>
      <c r="FQ205" s="178" t="s">
        <v>419</v>
      </c>
      <c r="FR205" s="129" t="s">
        <v>415</v>
      </c>
      <c r="FS205" s="129">
        <v>2017</v>
      </c>
      <c r="FT205" s="131" t="s">
        <v>416</v>
      </c>
    </row>
    <row r="206" spans="1:176" s="129" customFormat="1">
      <c r="A206" s="129" t="s">
        <v>152</v>
      </c>
      <c r="B206" s="166" t="s">
        <v>183</v>
      </c>
      <c r="C206" s="166">
        <v>2018</v>
      </c>
      <c r="D206" s="166" t="s">
        <v>184</v>
      </c>
      <c r="E206" s="145">
        <f t="shared" si="22"/>
        <v>1203.26</v>
      </c>
      <c r="F206" s="129">
        <f t="shared" si="23"/>
        <v>2</v>
      </c>
      <c r="G206" s="129">
        <f t="shared" si="23"/>
        <v>2</v>
      </c>
      <c r="H206" s="191">
        <v>195.49719999999999</v>
      </c>
      <c r="I206" s="191">
        <v>22.304400000000015</v>
      </c>
      <c r="J206" s="191">
        <v>20.352599999999995</v>
      </c>
      <c r="K206" s="129" t="s">
        <v>457</v>
      </c>
      <c r="L206" s="131" t="s">
        <v>185</v>
      </c>
      <c r="M206" s="132" t="s">
        <v>186</v>
      </c>
      <c r="N206" s="129" t="s">
        <v>184</v>
      </c>
      <c r="O206" s="129" t="s">
        <v>420</v>
      </c>
      <c r="P206" s="210" t="s">
        <v>438</v>
      </c>
      <c r="Q206" s="210">
        <v>5</v>
      </c>
      <c r="R206" s="210">
        <v>3</v>
      </c>
      <c r="S206" s="211">
        <v>58</v>
      </c>
      <c r="T206" s="211">
        <f t="shared" si="20"/>
        <v>60</v>
      </c>
      <c r="U206" s="212">
        <v>39.68</v>
      </c>
      <c r="V206" s="212">
        <v>39.68</v>
      </c>
      <c r="W206" s="129" t="s">
        <v>160</v>
      </c>
      <c r="X206" s="129" t="s">
        <v>421</v>
      </c>
      <c r="Y206" s="200">
        <v>12.74</v>
      </c>
      <c r="Z206" s="200">
        <v>-78.739999999999995</v>
      </c>
      <c r="AA206" s="129" t="s">
        <v>160</v>
      </c>
      <c r="AB206" s="129" t="s">
        <v>160</v>
      </c>
      <c r="AC206" s="129">
        <v>-2839</v>
      </c>
      <c r="AD206" s="129" t="s">
        <v>160</v>
      </c>
      <c r="AE206" s="129" t="s">
        <v>160</v>
      </c>
      <c r="AF206" s="129" t="s">
        <v>160</v>
      </c>
      <c r="AG206" s="129">
        <v>1203.26</v>
      </c>
      <c r="AH206" s="129" t="s">
        <v>163</v>
      </c>
      <c r="AI206" s="129">
        <v>2</v>
      </c>
      <c r="AJ206" s="129">
        <v>2</v>
      </c>
      <c r="AK206" s="129" t="s">
        <v>160</v>
      </c>
      <c r="AL206" s="129" t="s">
        <v>422</v>
      </c>
      <c r="AM206" s="129" t="s">
        <v>160</v>
      </c>
      <c r="AN206" s="129" t="s">
        <v>160</v>
      </c>
      <c r="AO206" s="129" t="s">
        <v>160</v>
      </c>
      <c r="AP206" s="129" t="s">
        <v>160</v>
      </c>
      <c r="AQ206" s="129" t="s">
        <v>160</v>
      </c>
      <c r="AR206" s="129" t="s">
        <v>160</v>
      </c>
      <c r="AS206" s="129" t="s">
        <v>160</v>
      </c>
      <c r="AT206" s="129" t="s">
        <v>160</v>
      </c>
      <c r="AU206" s="129" t="s">
        <v>423</v>
      </c>
      <c r="AV206" s="129" t="s">
        <v>161</v>
      </c>
      <c r="AW206" s="129" t="s">
        <v>424</v>
      </c>
      <c r="AX206" s="178">
        <v>2</v>
      </c>
      <c r="AY206" s="129" t="s">
        <v>194</v>
      </c>
      <c r="AZ206" s="129" t="s">
        <v>195</v>
      </c>
      <c r="BA206" s="129" t="s">
        <v>425</v>
      </c>
      <c r="BB206" s="129" t="s">
        <v>160</v>
      </c>
      <c r="BC206" s="178">
        <v>2</v>
      </c>
      <c r="BD206" s="129" t="s">
        <v>160</v>
      </c>
      <c r="BE206" s="151">
        <v>21.220684389999999</v>
      </c>
      <c r="BF206" s="129" t="s">
        <v>426</v>
      </c>
      <c r="BG206" s="151">
        <v>0.14698281999999999</v>
      </c>
      <c r="BH206" s="129">
        <v>0.64</v>
      </c>
      <c r="BI206" s="129" t="s">
        <v>427</v>
      </c>
      <c r="BJ206" s="129">
        <v>3.4000000000000002E-2</v>
      </c>
      <c r="BK206" s="129">
        <v>9.1</v>
      </c>
      <c r="BL206" s="129" t="s">
        <v>163</v>
      </c>
      <c r="BM206" s="129">
        <v>0.56000000000000005</v>
      </c>
      <c r="BN206" s="129" t="s">
        <v>428</v>
      </c>
      <c r="BO206" s="129" t="s">
        <v>429</v>
      </c>
      <c r="BP206" s="151">
        <f t="shared" si="24"/>
        <v>20.584473983333332</v>
      </c>
      <c r="BQ206" s="129" t="s">
        <v>202</v>
      </c>
      <c r="BR206" s="217"/>
      <c r="BS206" s="129" t="s">
        <v>160</v>
      </c>
      <c r="BT206" s="129" t="s">
        <v>160</v>
      </c>
      <c r="BU206" s="129">
        <v>10</v>
      </c>
      <c r="BV206" s="129" t="s">
        <v>159</v>
      </c>
      <c r="BW206" s="129">
        <v>10</v>
      </c>
      <c r="BX206" s="145">
        <v>25.23691556</v>
      </c>
      <c r="BY206" s="129" t="s">
        <v>159</v>
      </c>
      <c r="BZ206" s="129">
        <v>1</v>
      </c>
      <c r="CA206" s="129">
        <v>1</v>
      </c>
      <c r="CB206" s="129" t="s">
        <v>160</v>
      </c>
      <c r="CC206" s="151">
        <v>3.5449117641615664</v>
      </c>
      <c r="CD206" s="129" t="s">
        <v>430</v>
      </c>
      <c r="CE206" s="151">
        <f t="shared" si="21"/>
        <v>0.14179647056646266</v>
      </c>
      <c r="CF206" s="151">
        <v>0.14179647056646266</v>
      </c>
      <c r="CG206" s="178" t="s">
        <v>160</v>
      </c>
      <c r="CH206" s="129" t="s">
        <v>431</v>
      </c>
      <c r="CI206" s="129" t="s">
        <v>160</v>
      </c>
      <c r="CJ206" s="129" t="s">
        <v>432</v>
      </c>
      <c r="CK206" s="129" t="s">
        <v>158</v>
      </c>
      <c r="CL206" s="129" t="s">
        <v>158</v>
      </c>
      <c r="CM206" s="129" t="s">
        <v>158</v>
      </c>
      <c r="CN206" s="129" t="s">
        <v>160</v>
      </c>
      <c r="CO206" s="129" t="s">
        <v>160</v>
      </c>
      <c r="CP206" s="129" t="s">
        <v>160</v>
      </c>
      <c r="CQ206" s="129" t="s">
        <v>160</v>
      </c>
      <c r="CR206" s="129" t="s">
        <v>160</v>
      </c>
      <c r="CS206" s="129" t="s">
        <v>160</v>
      </c>
      <c r="CT206" s="129" t="s">
        <v>160</v>
      </c>
      <c r="CU206" s="129">
        <v>35</v>
      </c>
      <c r="CV206" s="129" t="s">
        <v>393</v>
      </c>
      <c r="CW206" s="146">
        <v>1</v>
      </c>
      <c r="CX206" s="129" t="s">
        <v>207</v>
      </c>
      <c r="CY206" s="129">
        <v>1.06E-2</v>
      </c>
      <c r="CZ206" s="129" t="s">
        <v>159</v>
      </c>
      <c r="DA206" s="146">
        <v>0</v>
      </c>
      <c r="DB206" s="129" t="s">
        <v>208</v>
      </c>
      <c r="DC206" s="129">
        <v>5.5100000000000003E-2</v>
      </c>
      <c r="DD206" s="129" t="s">
        <v>159</v>
      </c>
      <c r="DE206" s="146">
        <v>0</v>
      </c>
      <c r="DF206" s="129" t="s">
        <v>208</v>
      </c>
      <c r="DG206" s="129" t="s">
        <v>160</v>
      </c>
      <c r="DH206" s="129" t="s">
        <v>160</v>
      </c>
      <c r="DI206" s="129" t="s">
        <v>160</v>
      </c>
      <c r="DJ206" s="129" t="s">
        <v>160</v>
      </c>
      <c r="DK206" s="145">
        <v>432.56244218316402</v>
      </c>
      <c r="DL206" s="129" t="s">
        <v>433</v>
      </c>
      <c r="DM206" s="145" t="s">
        <v>160</v>
      </c>
      <c r="DN206" s="129" t="s">
        <v>434</v>
      </c>
      <c r="DO206" s="129">
        <v>39.60548</v>
      </c>
      <c r="DP206" s="129" t="s">
        <v>160</v>
      </c>
      <c r="DQ206" s="129">
        <v>0.31398000000000081</v>
      </c>
      <c r="DR206" s="129" t="s">
        <v>435</v>
      </c>
      <c r="DS206" s="129" t="s">
        <v>212</v>
      </c>
      <c r="DT206" s="129" t="s">
        <v>213</v>
      </c>
      <c r="DU206" s="129">
        <v>1.0271999999999999</v>
      </c>
      <c r="DV206" s="129" t="s">
        <v>160</v>
      </c>
      <c r="DW206" s="129" t="s">
        <v>160</v>
      </c>
      <c r="DX206" s="129" t="s">
        <v>436</v>
      </c>
      <c r="DY206" s="129" t="s">
        <v>158</v>
      </c>
      <c r="DZ206" s="129" t="s">
        <v>158</v>
      </c>
      <c r="EA206" s="129" t="s">
        <v>216</v>
      </c>
      <c r="EB206" s="129" t="s">
        <v>212</v>
      </c>
      <c r="EC206" s="129" t="s">
        <v>212</v>
      </c>
      <c r="ED206" s="129" t="s">
        <v>212</v>
      </c>
      <c r="EE206" s="129" t="s">
        <v>217</v>
      </c>
      <c r="EF206" s="147" t="s">
        <v>213</v>
      </c>
      <c r="EG206" s="148" t="s">
        <v>213</v>
      </c>
      <c r="EH206" s="129" t="s">
        <v>218</v>
      </c>
      <c r="EI206" s="129" t="s">
        <v>417</v>
      </c>
      <c r="EJ206" s="129" t="s">
        <v>160</v>
      </c>
      <c r="EK206" s="129">
        <v>1975.8639999999998</v>
      </c>
      <c r="EL206" s="129" t="s">
        <v>163</v>
      </c>
      <c r="EM206" s="129">
        <v>20.047999999999941</v>
      </c>
      <c r="EN206" s="129">
        <v>20.324999999999857</v>
      </c>
      <c r="EO206" s="129" t="s">
        <v>160</v>
      </c>
      <c r="EP206" s="129" t="s">
        <v>160</v>
      </c>
      <c r="EQ206" s="129" t="s">
        <v>160</v>
      </c>
      <c r="ER206" s="129" t="s">
        <v>160</v>
      </c>
      <c r="ES206" s="201">
        <v>8.2485569999999999</v>
      </c>
      <c r="ET206" s="129" t="s">
        <v>165</v>
      </c>
      <c r="EU206" s="151">
        <v>3.6384999999999224E-2</v>
      </c>
      <c r="EV206" s="151">
        <v>3.6115000000000563E-2</v>
      </c>
      <c r="EW206" s="142" t="s">
        <v>160</v>
      </c>
      <c r="EX206" s="129" t="s">
        <v>160</v>
      </c>
      <c r="EY206" s="129" t="s">
        <v>160</v>
      </c>
      <c r="EZ206" s="208">
        <v>195.49719999999999</v>
      </c>
      <c r="FA206" s="209">
        <v>22.304400000000015</v>
      </c>
      <c r="FB206" s="209">
        <v>20.352599999999995</v>
      </c>
      <c r="FC206" s="129" t="s">
        <v>220</v>
      </c>
      <c r="FD206" s="129" t="s">
        <v>221</v>
      </c>
      <c r="FE206" s="129">
        <v>2373.9579999999996</v>
      </c>
      <c r="FF206" s="129">
        <v>42.166000000000167</v>
      </c>
      <c r="FG206" s="129">
        <v>41.602999999999611</v>
      </c>
      <c r="FH206" s="129" t="s">
        <v>160</v>
      </c>
      <c r="FI206" s="129" t="s">
        <v>160</v>
      </c>
      <c r="FJ206" s="129" t="s">
        <v>160</v>
      </c>
      <c r="FK206" s="129" t="s">
        <v>160</v>
      </c>
      <c r="FL206" s="129" t="s">
        <v>160</v>
      </c>
      <c r="FM206" s="129" t="s">
        <v>160</v>
      </c>
      <c r="FN206" s="151">
        <v>5.1759459999999997</v>
      </c>
      <c r="FO206" s="151">
        <v>0.3124760000000002</v>
      </c>
      <c r="FP206" s="151">
        <v>0.29755399999999987</v>
      </c>
      <c r="FQ206" s="178" t="s">
        <v>419</v>
      </c>
      <c r="FR206" s="129" t="s">
        <v>415</v>
      </c>
      <c r="FS206" s="129">
        <v>2017</v>
      </c>
      <c r="FT206" s="131" t="s">
        <v>416</v>
      </c>
    </row>
    <row r="207" spans="1:176" s="129" customFormat="1">
      <c r="A207" s="129" t="s">
        <v>152</v>
      </c>
      <c r="B207" s="166" t="s">
        <v>183</v>
      </c>
      <c r="C207" s="166">
        <v>2018</v>
      </c>
      <c r="D207" s="166" t="s">
        <v>184</v>
      </c>
      <c r="E207" s="145">
        <f t="shared" si="22"/>
        <v>1206.76</v>
      </c>
      <c r="F207" s="129">
        <f t="shared" si="23"/>
        <v>2</v>
      </c>
      <c r="G207" s="129">
        <f t="shared" si="23"/>
        <v>2</v>
      </c>
      <c r="H207" s="191">
        <v>219.15170000000001</v>
      </c>
      <c r="I207" s="191">
        <v>25.177300000000002</v>
      </c>
      <c r="J207" s="191">
        <v>22.268000000000029</v>
      </c>
      <c r="K207" s="129" t="s">
        <v>457</v>
      </c>
      <c r="L207" s="131" t="s">
        <v>185</v>
      </c>
      <c r="M207" s="132" t="s">
        <v>186</v>
      </c>
      <c r="N207" s="129" t="s">
        <v>184</v>
      </c>
      <c r="O207" s="129" t="s">
        <v>420</v>
      </c>
      <c r="P207" s="205" t="s">
        <v>438</v>
      </c>
      <c r="Q207" s="205">
        <v>5</v>
      </c>
      <c r="R207" s="205">
        <v>3</v>
      </c>
      <c r="S207" s="206">
        <v>67</v>
      </c>
      <c r="T207" s="206">
        <f t="shared" si="20"/>
        <v>69</v>
      </c>
      <c r="U207" s="207">
        <v>39.770000000000003</v>
      </c>
      <c r="V207" s="207">
        <v>39.770000000000003</v>
      </c>
      <c r="W207" s="129" t="s">
        <v>160</v>
      </c>
      <c r="X207" s="129" t="s">
        <v>421</v>
      </c>
      <c r="Y207" s="200">
        <v>12.74</v>
      </c>
      <c r="Z207" s="200">
        <v>-78.739999999999995</v>
      </c>
      <c r="AA207" s="129" t="s">
        <v>160</v>
      </c>
      <c r="AB207" s="129" t="s">
        <v>160</v>
      </c>
      <c r="AC207" s="129">
        <v>-2839</v>
      </c>
      <c r="AD207" s="129" t="s">
        <v>160</v>
      </c>
      <c r="AE207" s="129" t="s">
        <v>160</v>
      </c>
      <c r="AF207" s="129" t="s">
        <v>160</v>
      </c>
      <c r="AG207" s="129">
        <v>1206.76</v>
      </c>
      <c r="AH207" s="129" t="s">
        <v>163</v>
      </c>
      <c r="AI207" s="129">
        <v>2</v>
      </c>
      <c r="AJ207" s="129">
        <v>2</v>
      </c>
      <c r="AK207" s="129" t="s">
        <v>160</v>
      </c>
      <c r="AL207" s="129" t="s">
        <v>422</v>
      </c>
      <c r="AM207" s="129" t="s">
        <v>160</v>
      </c>
      <c r="AN207" s="129" t="s">
        <v>160</v>
      </c>
      <c r="AO207" s="129" t="s">
        <v>160</v>
      </c>
      <c r="AP207" s="129" t="s">
        <v>160</v>
      </c>
      <c r="AQ207" s="129" t="s">
        <v>160</v>
      </c>
      <c r="AR207" s="129" t="s">
        <v>160</v>
      </c>
      <c r="AS207" s="129" t="s">
        <v>160</v>
      </c>
      <c r="AT207" s="129" t="s">
        <v>160</v>
      </c>
      <c r="AU207" s="129" t="s">
        <v>423</v>
      </c>
      <c r="AV207" s="129" t="s">
        <v>161</v>
      </c>
      <c r="AW207" s="129" t="s">
        <v>424</v>
      </c>
      <c r="AX207" s="178">
        <v>2</v>
      </c>
      <c r="AY207" s="129" t="s">
        <v>194</v>
      </c>
      <c r="AZ207" s="129" t="s">
        <v>195</v>
      </c>
      <c r="BA207" s="129" t="s">
        <v>425</v>
      </c>
      <c r="BB207" s="129" t="s">
        <v>160</v>
      </c>
      <c r="BC207" s="178">
        <v>2</v>
      </c>
      <c r="BD207" s="129" t="s">
        <v>160</v>
      </c>
      <c r="BE207" s="151">
        <v>20.99090554</v>
      </c>
      <c r="BF207" s="129" t="s">
        <v>426</v>
      </c>
      <c r="BG207" s="151">
        <v>0.14387740600000001</v>
      </c>
      <c r="BH207" s="129">
        <v>0.64</v>
      </c>
      <c r="BI207" s="129" t="s">
        <v>427</v>
      </c>
      <c r="BJ207" s="129">
        <v>3.4000000000000002E-2</v>
      </c>
      <c r="BK207" s="129">
        <v>9.1</v>
      </c>
      <c r="BL207" s="129" t="s">
        <v>163</v>
      </c>
      <c r="BM207" s="129">
        <v>0.56000000000000005</v>
      </c>
      <c r="BN207" s="129" t="s">
        <v>428</v>
      </c>
      <c r="BO207" s="129" t="s">
        <v>429</v>
      </c>
      <c r="BP207" s="151">
        <f t="shared" si="24"/>
        <v>20.201509233333336</v>
      </c>
      <c r="BQ207" s="129" t="s">
        <v>202</v>
      </c>
      <c r="BR207" s="217"/>
      <c r="BS207" s="129" t="s">
        <v>160</v>
      </c>
      <c r="BT207" s="129" t="s">
        <v>160</v>
      </c>
      <c r="BU207" s="129">
        <v>10</v>
      </c>
      <c r="BV207" s="129" t="s">
        <v>159</v>
      </c>
      <c r="BW207" s="129">
        <v>10</v>
      </c>
      <c r="BX207" s="145">
        <v>25.851531690000002</v>
      </c>
      <c r="BY207" s="129" t="s">
        <v>159</v>
      </c>
      <c r="BZ207" s="129">
        <v>1</v>
      </c>
      <c r="CA207" s="129">
        <v>1</v>
      </c>
      <c r="CB207" s="129" t="s">
        <v>160</v>
      </c>
      <c r="CC207" s="151">
        <v>3.7362127829540839</v>
      </c>
      <c r="CD207" s="129" t="s">
        <v>430</v>
      </c>
      <c r="CE207" s="151">
        <f t="shared" si="21"/>
        <v>0.14944851131816336</v>
      </c>
      <c r="CF207" s="151">
        <v>0.14944851131816336</v>
      </c>
      <c r="CG207" s="178" t="s">
        <v>160</v>
      </c>
      <c r="CH207" s="129" t="s">
        <v>431</v>
      </c>
      <c r="CI207" s="129" t="s">
        <v>160</v>
      </c>
      <c r="CJ207" s="129" t="s">
        <v>432</v>
      </c>
      <c r="CK207" s="129" t="s">
        <v>158</v>
      </c>
      <c r="CL207" s="129" t="s">
        <v>158</v>
      </c>
      <c r="CM207" s="129" t="s">
        <v>158</v>
      </c>
      <c r="CN207" s="129" t="s">
        <v>160</v>
      </c>
      <c r="CO207" s="129" t="s">
        <v>160</v>
      </c>
      <c r="CP207" s="129" t="s">
        <v>160</v>
      </c>
      <c r="CQ207" s="129" t="s">
        <v>160</v>
      </c>
      <c r="CR207" s="129" t="s">
        <v>160</v>
      </c>
      <c r="CS207" s="129" t="s">
        <v>160</v>
      </c>
      <c r="CT207" s="129" t="s">
        <v>160</v>
      </c>
      <c r="CU207" s="129">
        <v>35</v>
      </c>
      <c r="CV207" s="129" t="s">
        <v>393</v>
      </c>
      <c r="CW207" s="146">
        <v>1</v>
      </c>
      <c r="CX207" s="129" t="s">
        <v>207</v>
      </c>
      <c r="CY207" s="129">
        <v>1.06E-2</v>
      </c>
      <c r="CZ207" s="129" t="s">
        <v>159</v>
      </c>
      <c r="DA207" s="146">
        <v>0</v>
      </c>
      <c r="DB207" s="129" t="s">
        <v>208</v>
      </c>
      <c r="DC207" s="129">
        <v>5.5100000000000003E-2</v>
      </c>
      <c r="DD207" s="129" t="s">
        <v>159</v>
      </c>
      <c r="DE207" s="146">
        <v>0</v>
      </c>
      <c r="DF207" s="129" t="s">
        <v>208</v>
      </c>
      <c r="DG207" s="129" t="s">
        <v>160</v>
      </c>
      <c r="DH207" s="129" t="s">
        <v>160</v>
      </c>
      <c r="DI207" s="129" t="s">
        <v>160</v>
      </c>
      <c r="DJ207" s="129" t="s">
        <v>160</v>
      </c>
      <c r="DK207" s="145">
        <v>432.56244218316402</v>
      </c>
      <c r="DL207" s="129" t="s">
        <v>433</v>
      </c>
      <c r="DM207" s="145" t="s">
        <v>160</v>
      </c>
      <c r="DN207" s="129" t="s">
        <v>434</v>
      </c>
      <c r="DO207" s="129">
        <v>39.604100000000003</v>
      </c>
      <c r="DP207" s="129" t="s">
        <v>160</v>
      </c>
      <c r="DQ207" s="129">
        <v>0.32497999999999649</v>
      </c>
      <c r="DR207" s="129" t="s">
        <v>435</v>
      </c>
      <c r="DS207" s="129" t="s">
        <v>212</v>
      </c>
      <c r="DT207" s="129" t="s">
        <v>213</v>
      </c>
      <c r="DU207" s="129">
        <v>1.0271999999999999</v>
      </c>
      <c r="DV207" s="129" t="s">
        <v>160</v>
      </c>
      <c r="DW207" s="129" t="s">
        <v>160</v>
      </c>
      <c r="DX207" s="129" t="s">
        <v>436</v>
      </c>
      <c r="DY207" s="129" t="s">
        <v>158</v>
      </c>
      <c r="DZ207" s="129" t="s">
        <v>158</v>
      </c>
      <c r="EA207" s="129" t="s">
        <v>216</v>
      </c>
      <c r="EB207" s="129" t="s">
        <v>212</v>
      </c>
      <c r="EC207" s="129" t="s">
        <v>212</v>
      </c>
      <c r="ED207" s="129" t="s">
        <v>212</v>
      </c>
      <c r="EE207" s="129" t="s">
        <v>217</v>
      </c>
      <c r="EF207" s="147" t="s">
        <v>213</v>
      </c>
      <c r="EG207" s="148" t="s">
        <v>213</v>
      </c>
      <c r="EH207" s="129" t="s">
        <v>218</v>
      </c>
      <c r="EI207" s="129" t="s">
        <v>417</v>
      </c>
      <c r="EJ207" s="129" t="s">
        <v>160</v>
      </c>
      <c r="EK207" s="129">
        <v>1975.5530000000001</v>
      </c>
      <c r="EL207" s="129" t="s">
        <v>163</v>
      </c>
      <c r="EM207" s="129">
        <v>20.269999999999751</v>
      </c>
      <c r="EN207" s="129">
        <v>19.462999999999944</v>
      </c>
      <c r="EO207" s="129" t="s">
        <v>160</v>
      </c>
      <c r="EP207" s="129" t="s">
        <v>160</v>
      </c>
      <c r="EQ207" s="129" t="s">
        <v>160</v>
      </c>
      <c r="ER207" s="129" t="s">
        <v>160</v>
      </c>
      <c r="ES207" s="201">
        <v>8.2108799999999995</v>
      </c>
      <c r="ET207" s="129" t="s">
        <v>165</v>
      </c>
      <c r="EU207" s="151">
        <v>3.6141000000000645E-2</v>
      </c>
      <c r="EV207" s="151">
        <v>3.648499999999899E-2</v>
      </c>
      <c r="EW207" s="142" t="s">
        <v>160</v>
      </c>
      <c r="EX207" s="129" t="s">
        <v>160</v>
      </c>
      <c r="EY207" s="129" t="s">
        <v>160</v>
      </c>
      <c r="EZ207" s="208">
        <v>219.15170000000001</v>
      </c>
      <c r="FA207" s="209">
        <v>25.177300000000002</v>
      </c>
      <c r="FB207" s="209">
        <v>22.268000000000029</v>
      </c>
      <c r="FC207" s="129" t="s">
        <v>220</v>
      </c>
      <c r="FD207" s="129" t="s">
        <v>221</v>
      </c>
      <c r="FE207" s="129">
        <v>2351.0750000000003</v>
      </c>
      <c r="FF207" s="129">
        <v>41.484999999999673</v>
      </c>
      <c r="FG207" s="129">
        <v>40.1550000000002</v>
      </c>
      <c r="FH207" s="129" t="s">
        <v>160</v>
      </c>
      <c r="FI207" s="129" t="s">
        <v>160</v>
      </c>
      <c r="FJ207" s="129" t="s">
        <v>160</v>
      </c>
      <c r="FK207" s="129" t="s">
        <v>160</v>
      </c>
      <c r="FL207" s="129" t="s">
        <v>160</v>
      </c>
      <c r="FM207" s="129" t="s">
        <v>160</v>
      </c>
      <c r="FN207" s="151">
        <v>4.9328849999999997</v>
      </c>
      <c r="FO207" s="151">
        <v>0.30242000000000058</v>
      </c>
      <c r="FP207" s="151">
        <v>0.29156799999999983</v>
      </c>
      <c r="FQ207" s="178" t="s">
        <v>419</v>
      </c>
      <c r="FR207" s="129" t="s">
        <v>415</v>
      </c>
      <c r="FS207" s="129">
        <v>2017</v>
      </c>
      <c r="FT207" s="131" t="s">
        <v>416</v>
      </c>
    </row>
    <row r="208" spans="1:176" s="129" customFormat="1">
      <c r="A208" s="129" t="s">
        <v>152</v>
      </c>
      <c r="B208" s="166" t="s">
        <v>183</v>
      </c>
      <c r="C208" s="166">
        <v>2018</v>
      </c>
      <c r="D208" s="166" t="s">
        <v>184</v>
      </c>
      <c r="E208" s="145">
        <f t="shared" si="22"/>
        <v>1209.99</v>
      </c>
      <c r="F208" s="129">
        <f t="shared" si="23"/>
        <v>2</v>
      </c>
      <c r="G208" s="129">
        <f t="shared" si="23"/>
        <v>2</v>
      </c>
      <c r="H208" s="191">
        <v>238.8818</v>
      </c>
      <c r="I208" s="191">
        <v>29.189900000000023</v>
      </c>
      <c r="J208" s="191">
        <v>26.001800000000003</v>
      </c>
      <c r="K208" s="129" t="s">
        <v>457</v>
      </c>
      <c r="L208" s="131" t="s">
        <v>185</v>
      </c>
      <c r="M208" s="132" t="s">
        <v>186</v>
      </c>
      <c r="N208" s="129" t="s">
        <v>184</v>
      </c>
      <c r="O208" s="129" t="s">
        <v>420</v>
      </c>
      <c r="P208" s="205" t="s">
        <v>438</v>
      </c>
      <c r="Q208" s="205">
        <v>5</v>
      </c>
      <c r="R208" s="205">
        <v>3</v>
      </c>
      <c r="S208" s="206">
        <v>77.78518100000008</v>
      </c>
      <c r="T208" s="206">
        <f t="shared" si="20"/>
        <v>79.78518100000008</v>
      </c>
      <c r="U208" s="207">
        <v>39.87762713</v>
      </c>
      <c r="V208" s="207">
        <v>39.87762713</v>
      </c>
      <c r="W208" s="129" t="s">
        <v>160</v>
      </c>
      <c r="X208" s="129" t="s">
        <v>421</v>
      </c>
      <c r="Y208" s="200">
        <v>12.74</v>
      </c>
      <c r="Z208" s="200">
        <v>-78.739999999999995</v>
      </c>
      <c r="AA208" s="129" t="s">
        <v>160</v>
      </c>
      <c r="AB208" s="129" t="s">
        <v>160</v>
      </c>
      <c r="AC208" s="129">
        <v>-2839</v>
      </c>
      <c r="AD208" s="129" t="s">
        <v>160</v>
      </c>
      <c r="AE208" s="129" t="s">
        <v>160</v>
      </c>
      <c r="AF208" s="129" t="s">
        <v>160</v>
      </c>
      <c r="AG208" s="129">
        <v>1209.99</v>
      </c>
      <c r="AH208" s="129" t="s">
        <v>163</v>
      </c>
      <c r="AI208" s="129">
        <v>2</v>
      </c>
      <c r="AJ208" s="129">
        <v>2</v>
      </c>
      <c r="AK208" s="129" t="s">
        <v>160</v>
      </c>
      <c r="AL208" s="129" t="s">
        <v>422</v>
      </c>
      <c r="AM208" s="129" t="s">
        <v>160</v>
      </c>
      <c r="AN208" s="129" t="s">
        <v>160</v>
      </c>
      <c r="AO208" s="129" t="s">
        <v>160</v>
      </c>
      <c r="AP208" s="129" t="s">
        <v>160</v>
      </c>
      <c r="AQ208" s="129" t="s">
        <v>160</v>
      </c>
      <c r="AR208" s="129" t="s">
        <v>160</v>
      </c>
      <c r="AS208" s="129" t="s">
        <v>160</v>
      </c>
      <c r="AT208" s="129" t="s">
        <v>160</v>
      </c>
      <c r="AU208" s="129" t="s">
        <v>423</v>
      </c>
      <c r="AV208" s="129" t="s">
        <v>161</v>
      </c>
      <c r="AW208" s="129" t="s">
        <v>424</v>
      </c>
      <c r="AX208" s="178">
        <v>2</v>
      </c>
      <c r="AY208" s="129" t="s">
        <v>194</v>
      </c>
      <c r="AZ208" s="129" t="s">
        <v>195</v>
      </c>
      <c r="BA208" s="129" t="s">
        <v>425</v>
      </c>
      <c r="BB208" s="129" t="s">
        <v>160</v>
      </c>
      <c r="BC208" s="178">
        <v>2</v>
      </c>
      <c r="BD208" s="129" t="s">
        <v>160</v>
      </c>
      <c r="BE208" s="151">
        <v>20.71</v>
      </c>
      <c r="BF208" s="129" t="s">
        <v>426</v>
      </c>
      <c r="BG208" s="151">
        <v>0.18053741400000001</v>
      </c>
      <c r="BH208" s="129">
        <v>0.64</v>
      </c>
      <c r="BI208" s="129" t="s">
        <v>427</v>
      </c>
      <c r="BJ208" s="129">
        <v>3.4000000000000002E-2</v>
      </c>
      <c r="BK208" s="129">
        <v>9.1</v>
      </c>
      <c r="BL208" s="129" t="s">
        <v>163</v>
      </c>
      <c r="BM208" s="129">
        <v>0.56000000000000005</v>
      </c>
      <c r="BN208" s="129" t="s">
        <v>428</v>
      </c>
      <c r="BO208" s="129" t="s">
        <v>429</v>
      </c>
      <c r="BP208" s="151">
        <f t="shared" si="24"/>
        <v>19.733333333333338</v>
      </c>
      <c r="BQ208" s="129" t="s">
        <v>202</v>
      </c>
      <c r="BR208" s="217"/>
      <c r="BS208" s="129" t="s">
        <v>160</v>
      </c>
      <c r="BT208" s="129" t="s">
        <v>160</v>
      </c>
      <c r="BU208" s="129">
        <v>10</v>
      </c>
      <c r="BV208" s="129" t="s">
        <v>159</v>
      </c>
      <c r="BW208" s="129">
        <v>10</v>
      </c>
      <c r="BX208" s="145">
        <v>25.158027149999999</v>
      </c>
      <c r="BY208" s="129" t="s">
        <v>159</v>
      </c>
      <c r="BZ208" s="129">
        <v>1</v>
      </c>
      <c r="CA208" s="129">
        <v>1</v>
      </c>
      <c r="CB208" s="129" t="s">
        <v>160</v>
      </c>
      <c r="CC208" s="151">
        <v>3.5052854622714156</v>
      </c>
      <c r="CD208" s="129" t="s">
        <v>430</v>
      </c>
      <c r="CE208" s="151">
        <f t="shared" si="21"/>
        <v>0.14021141849085664</v>
      </c>
      <c r="CF208" s="151">
        <v>0.14021141849085664</v>
      </c>
      <c r="CG208" s="178" t="s">
        <v>160</v>
      </c>
      <c r="CH208" s="129" t="s">
        <v>431</v>
      </c>
      <c r="CI208" s="129" t="s">
        <v>160</v>
      </c>
      <c r="CJ208" s="129" t="s">
        <v>432</v>
      </c>
      <c r="CK208" s="129" t="s">
        <v>158</v>
      </c>
      <c r="CL208" s="129" t="s">
        <v>158</v>
      </c>
      <c r="CM208" s="129" t="s">
        <v>158</v>
      </c>
      <c r="CN208" s="129" t="s">
        <v>160</v>
      </c>
      <c r="CO208" s="129" t="s">
        <v>160</v>
      </c>
      <c r="CP208" s="129" t="s">
        <v>160</v>
      </c>
      <c r="CQ208" s="129" t="s">
        <v>160</v>
      </c>
      <c r="CR208" s="129" t="s">
        <v>160</v>
      </c>
      <c r="CS208" s="129" t="s">
        <v>160</v>
      </c>
      <c r="CT208" s="129" t="s">
        <v>160</v>
      </c>
      <c r="CU208" s="129">
        <v>35</v>
      </c>
      <c r="CV208" s="129" t="s">
        <v>393</v>
      </c>
      <c r="CW208" s="146">
        <v>1</v>
      </c>
      <c r="CX208" s="129" t="s">
        <v>207</v>
      </c>
      <c r="CY208" s="129">
        <v>1.06E-2</v>
      </c>
      <c r="CZ208" s="129" t="s">
        <v>159</v>
      </c>
      <c r="DA208" s="146">
        <v>0</v>
      </c>
      <c r="DB208" s="129" t="s">
        <v>208</v>
      </c>
      <c r="DC208" s="129">
        <v>5.5100000000000003E-2</v>
      </c>
      <c r="DD208" s="129" t="s">
        <v>159</v>
      </c>
      <c r="DE208" s="146">
        <v>0</v>
      </c>
      <c r="DF208" s="129" t="s">
        <v>208</v>
      </c>
      <c r="DG208" s="129" t="s">
        <v>160</v>
      </c>
      <c r="DH208" s="129" t="s">
        <v>160</v>
      </c>
      <c r="DI208" s="129" t="s">
        <v>160</v>
      </c>
      <c r="DJ208" s="129" t="s">
        <v>160</v>
      </c>
      <c r="DK208" s="145">
        <v>432.56244218316402</v>
      </c>
      <c r="DL208" s="129" t="s">
        <v>433</v>
      </c>
      <c r="DM208" s="145" t="s">
        <v>160</v>
      </c>
      <c r="DN208" s="129" t="s">
        <v>434</v>
      </c>
      <c r="DO208" s="129">
        <v>39.602730000000001</v>
      </c>
      <c r="DP208" s="129" t="s">
        <v>160</v>
      </c>
      <c r="DQ208" s="129">
        <v>0.31866999999999734</v>
      </c>
      <c r="DR208" s="129" t="s">
        <v>435</v>
      </c>
      <c r="DS208" s="129" t="s">
        <v>212</v>
      </c>
      <c r="DT208" s="129" t="s">
        <v>213</v>
      </c>
      <c r="DU208" s="129">
        <v>1.0271999999999999</v>
      </c>
      <c r="DV208" s="129" t="s">
        <v>160</v>
      </c>
      <c r="DW208" s="129" t="s">
        <v>160</v>
      </c>
      <c r="DX208" s="129" t="s">
        <v>436</v>
      </c>
      <c r="DY208" s="129" t="s">
        <v>158</v>
      </c>
      <c r="DZ208" s="129" t="s">
        <v>158</v>
      </c>
      <c r="EA208" s="129" t="s">
        <v>216</v>
      </c>
      <c r="EB208" s="129" t="s">
        <v>212</v>
      </c>
      <c r="EC208" s="129" t="s">
        <v>212</v>
      </c>
      <c r="ED208" s="129" t="s">
        <v>212</v>
      </c>
      <c r="EE208" s="129" t="s">
        <v>217</v>
      </c>
      <c r="EF208" s="147" t="s">
        <v>213</v>
      </c>
      <c r="EG208" s="148" t="s">
        <v>213</v>
      </c>
      <c r="EH208" s="129" t="s">
        <v>218</v>
      </c>
      <c r="EI208" s="129" t="s">
        <v>417</v>
      </c>
      <c r="EJ208" s="129" t="s">
        <v>160</v>
      </c>
      <c r="EK208" s="129">
        <v>1975.2919999999999</v>
      </c>
      <c r="EL208" s="129" t="s">
        <v>163</v>
      </c>
      <c r="EM208" s="129">
        <v>20.310999999999854</v>
      </c>
      <c r="EN208" s="129">
        <v>20.674999999999947</v>
      </c>
      <c r="EO208" s="129" t="s">
        <v>160</v>
      </c>
      <c r="EP208" s="129" t="s">
        <v>160</v>
      </c>
      <c r="EQ208" s="129" t="s">
        <v>160</v>
      </c>
      <c r="ER208" s="129" t="s">
        <v>160</v>
      </c>
      <c r="ES208" s="201">
        <v>8.1818050000000007</v>
      </c>
      <c r="ET208" s="129" t="s">
        <v>165</v>
      </c>
      <c r="EU208" s="151">
        <v>4.0017999999999887E-2</v>
      </c>
      <c r="EV208" s="151">
        <v>3.888600000000153E-2</v>
      </c>
      <c r="EW208" s="142" t="s">
        <v>160</v>
      </c>
      <c r="EX208" s="129" t="s">
        <v>160</v>
      </c>
      <c r="EY208" s="129" t="s">
        <v>160</v>
      </c>
      <c r="EZ208" s="208">
        <v>238.8818</v>
      </c>
      <c r="FA208" s="209">
        <v>29.189900000000023</v>
      </c>
      <c r="FB208" s="209">
        <v>26.001800000000003</v>
      </c>
      <c r="FC208" s="129" t="s">
        <v>220</v>
      </c>
      <c r="FD208" s="129" t="s">
        <v>221</v>
      </c>
      <c r="FE208" s="129">
        <v>2320.3009999999999</v>
      </c>
      <c r="FF208" s="129">
        <v>41.016999999999825</v>
      </c>
      <c r="FG208" s="129">
        <v>41.155999999999494</v>
      </c>
      <c r="FH208" s="129" t="s">
        <v>160</v>
      </c>
      <c r="FI208" s="129" t="s">
        <v>160</v>
      </c>
      <c r="FJ208" s="129" t="s">
        <v>160</v>
      </c>
      <c r="FK208" s="129" t="s">
        <v>160</v>
      </c>
      <c r="FL208" s="129" t="s">
        <v>160</v>
      </c>
      <c r="FM208" s="129" t="s">
        <v>160</v>
      </c>
      <c r="FN208" s="151">
        <v>4.5418609999999999</v>
      </c>
      <c r="FO208" s="151">
        <v>0.30208600000000008</v>
      </c>
      <c r="FP208" s="151">
        <v>0.290381</v>
      </c>
      <c r="FQ208" s="178" t="s">
        <v>419</v>
      </c>
      <c r="FR208" s="129" t="s">
        <v>415</v>
      </c>
      <c r="FS208" s="129">
        <v>2017</v>
      </c>
      <c r="FT208" s="131" t="s">
        <v>416</v>
      </c>
    </row>
    <row r="209" spans="1:191" s="129" customFormat="1">
      <c r="A209" s="129" t="s">
        <v>152</v>
      </c>
      <c r="B209" s="166" t="s">
        <v>183</v>
      </c>
      <c r="C209" s="166">
        <v>2018</v>
      </c>
      <c r="D209" s="166" t="s">
        <v>184</v>
      </c>
      <c r="E209" s="145">
        <f t="shared" si="22"/>
        <v>1214.48</v>
      </c>
      <c r="F209" s="129">
        <f t="shared" si="23"/>
        <v>2</v>
      </c>
      <c r="G209" s="129">
        <f t="shared" si="23"/>
        <v>2</v>
      </c>
      <c r="H209" s="191">
        <v>287.93779999999998</v>
      </c>
      <c r="I209" s="191">
        <v>36.152100000000019</v>
      </c>
      <c r="J209" s="191">
        <v>31.248199999999997</v>
      </c>
      <c r="K209" s="129" t="s">
        <v>457</v>
      </c>
      <c r="L209" s="131" t="s">
        <v>185</v>
      </c>
      <c r="M209" s="132" t="s">
        <v>186</v>
      </c>
      <c r="N209" s="129" t="s">
        <v>184</v>
      </c>
      <c r="O209" s="129" t="s">
        <v>420</v>
      </c>
      <c r="P209" s="210" t="s">
        <v>438</v>
      </c>
      <c r="Q209" s="210">
        <v>5</v>
      </c>
      <c r="R209" s="210">
        <v>3</v>
      </c>
      <c r="S209" s="211">
        <v>94.703500999999989</v>
      </c>
      <c r="T209" s="211">
        <f t="shared" si="20"/>
        <v>96.703500999999989</v>
      </c>
      <c r="U209" s="212">
        <v>40.04681033</v>
      </c>
      <c r="V209" s="212">
        <v>40.04681033</v>
      </c>
      <c r="W209" s="129" t="s">
        <v>160</v>
      </c>
      <c r="X209" s="129" t="s">
        <v>421</v>
      </c>
      <c r="Y209" s="200">
        <v>12.74</v>
      </c>
      <c r="Z209" s="200">
        <v>-78.739999999999995</v>
      </c>
      <c r="AA209" s="129" t="s">
        <v>160</v>
      </c>
      <c r="AB209" s="129" t="s">
        <v>160</v>
      </c>
      <c r="AC209" s="129">
        <v>-2839</v>
      </c>
      <c r="AD209" s="129" t="s">
        <v>160</v>
      </c>
      <c r="AE209" s="129" t="s">
        <v>160</v>
      </c>
      <c r="AF209" s="129" t="s">
        <v>160</v>
      </c>
      <c r="AG209" s="129">
        <v>1214.48</v>
      </c>
      <c r="AH209" s="129" t="s">
        <v>163</v>
      </c>
      <c r="AI209" s="129">
        <v>2</v>
      </c>
      <c r="AJ209" s="129">
        <v>2</v>
      </c>
      <c r="AK209" s="129" t="s">
        <v>160</v>
      </c>
      <c r="AL209" s="129" t="s">
        <v>422</v>
      </c>
      <c r="AM209" s="129" t="s">
        <v>160</v>
      </c>
      <c r="AN209" s="129" t="s">
        <v>160</v>
      </c>
      <c r="AO209" s="129" t="s">
        <v>160</v>
      </c>
      <c r="AP209" s="129" t="s">
        <v>160</v>
      </c>
      <c r="AQ209" s="129" t="s">
        <v>160</v>
      </c>
      <c r="AR209" s="129" t="s">
        <v>160</v>
      </c>
      <c r="AS209" s="129" t="s">
        <v>160</v>
      </c>
      <c r="AT209" s="129" t="s">
        <v>160</v>
      </c>
      <c r="AU209" s="129" t="s">
        <v>423</v>
      </c>
      <c r="AV209" s="129" t="s">
        <v>161</v>
      </c>
      <c r="AW209" s="129" t="s">
        <v>424</v>
      </c>
      <c r="AX209" s="178">
        <v>2</v>
      </c>
      <c r="AY209" s="129" t="s">
        <v>194</v>
      </c>
      <c r="AZ209" s="129" t="s">
        <v>195</v>
      </c>
      <c r="BA209" s="129" t="s">
        <v>425</v>
      </c>
      <c r="BB209" s="129" t="s">
        <v>160</v>
      </c>
      <c r="BC209" s="178">
        <v>2</v>
      </c>
      <c r="BD209" s="129" t="s">
        <v>160</v>
      </c>
      <c r="BE209" s="151">
        <v>20.234999999999999</v>
      </c>
      <c r="BF209" s="129" t="s">
        <v>426</v>
      </c>
      <c r="BG209" s="151">
        <v>0.17693286</v>
      </c>
      <c r="BH209" s="129">
        <v>0.64</v>
      </c>
      <c r="BI209" s="129" t="s">
        <v>427</v>
      </c>
      <c r="BJ209" s="129">
        <v>3.4000000000000002E-2</v>
      </c>
      <c r="BK209" s="129">
        <v>9.1</v>
      </c>
      <c r="BL209" s="129" t="s">
        <v>163</v>
      </c>
      <c r="BM209" s="129">
        <v>0.56000000000000005</v>
      </c>
      <c r="BN209" s="129" t="s">
        <v>428</v>
      </c>
      <c r="BO209" s="129" t="s">
        <v>429</v>
      </c>
      <c r="BP209" s="151">
        <f t="shared" si="24"/>
        <v>18.941666666666666</v>
      </c>
      <c r="BQ209" s="129" t="s">
        <v>202</v>
      </c>
      <c r="BR209" s="217"/>
      <c r="BS209" s="129" t="s">
        <v>160</v>
      </c>
      <c r="BT209" s="129" t="s">
        <v>160</v>
      </c>
      <c r="BU209" s="129">
        <v>10</v>
      </c>
      <c r="BV209" s="129" t="s">
        <v>159</v>
      </c>
      <c r="BW209" s="129">
        <v>10</v>
      </c>
      <c r="BX209" s="145">
        <v>24.977316030000001</v>
      </c>
      <c r="BY209" s="129" t="s">
        <v>159</v>
      </c>
      <c r="BZ209" s="129">
        <v>1</v>
      </c>
      <c r="CA209" s="129">
        <v>1</v>
      </c>
      <c r="CB209" s="129" t="s">
        <v>160</v>
      </c>
      <c r="CC209" s="151">
        <v>3.4343385689548018</v>
      </c>
      <c r="CD209" s="129" t="s">
        <v>430</v>
      </c>
      <c r="CE209" s="151">
        <f t="shared" si="21"/>
        <v>0.13737354275819208</v>
      </c>
      <c r="CF209" s="151">
        <v>0.13737354275819208</v>
      </c>
      <c r="CG209" s="178" t="s">
        <v>160</v>
      </c>
      <c r="CH209" s="129" t="s">
        <v>431</v>
      </c>
      <c r="CI209" s="129" t="s">
        <v>160</v>
      </c>
      <c r="CJ209" s="129" t="s">
        <v>432</v>
      </c>
      <c r="CK209" s="129" t="s">
        <v>158</v>
      </c>
      <c r="CL209" s="129" t="s">
        <v>158</v>
      </c>
      <c r="CM209" s="129" t="s">
        <v>158</v>
      </c>
      <c r="CN209" s="129" t="s">
        <v>160</v>
      </c>
      <c r="CO209" s="129" t="s">
        <v>160</v>
      </c>
      <c r="CP209" s="129" t="s">
        <v>160</v>
      </c>
      <c r="CQ209" s="129" t="s">
        <v>160</v>
      </c>
      <c r="CR209" s="129" t="s">
        <v>160</v>
      </c>
      <c r="CS209" s="129" t="s">
        <v>160</v>
      </c>
      <c r="CT209" s="129" t="s">
        <v>160</v>
      </c>
      <c r="CU209" s="129">
        <v>35</v>
      </c>
      <c r="CV209" s="129" t="s">
        <v>393</v>
      </c>
      <c r="CW209" s="146">
        <v>1</v>
      </c>
      <c r="CX209" s="129" t="s">
        <v>207</v>
      </c>
      <c r="CY209" s="129">
        <v>1.06E-2</v>
      </c>
      <c r="CZ209" s="129" t="s">
        <v>159</v>
      </c>
      <c r="DA209" s="146">
        <v>0</v>
      </c>
      <c r="DB209" s="129" t="s">
        <v>208</v>
      </c>
      <c r="DC209" s="129">
        <v>5.5100000000000003E-2</v>
      </c>
      <c r="DD209" s="129" t="s">
        <v>159</v>
      </c>
      <c r="DE209" s="146">
        <v>0</v>
      </c>
      <c r="DF209" s="129" t="s">
        <v>208</v>
      </c>
      <c r="DG209" s="129" t="s">
        <v>160</v>
      </c>
      <c r="DH209" s="129" t="s">
        <v>160</v>
      </c>
      <c r="DI209" s="129" t="s">
        <v>160</v>
      </c>
      <c r="DJ209" s="129" t="s">
        <v>160</v>
      </c>
      <c r="DK209" s="145">
        <v>432.56244218316402</v>
      </c>
      <c r="DL209" s="129" t="s">
        <v>433</v>
      </c>
      <c r="DM209" s="145" t="s">
        <v>160</v>
      </c>
      <c r="DN209" s="129" t="s">
        <v>434</v>
      </c>
      <c r="DO209" s="129">
        <v>39.607790000000001</v>
      </c>
      <c r="DP209" s="129" t="s">
        <v>160</v>
      </c>
      <c r="DQ209" s="129">
        <v>0.32354000000000127</v>
      </c>
      <c r="DR209" s="129" t="s">
        <v>435</v>
      </c>
      <c r="DS209" s="129" t="s">
        <v>212</v>
      </c>
      <c r="DT209" s="129" t="s">
        <v>213</v>
      </c>
      <c r="DU209" s="129">
        <v>1.0271999999999999</v>
      </c>
      <c r="DV209" s="129" t="s">
        <v>160</v>
      </c>
      <c r="DW209" s="129" t="s">
        <v>160</v>
      </c>
      <c r="DX209" s="129" t="s">
        <v>436</v>
      </c>
      <c r="DY209" s="129" t="s">
        <v>158</v>
      </c>
      <c r="DZ209" s="129" t="s">
        <v>158</v>
      </c>
      <c r="EA209" s="129" t="s">
        <v>216</v>
      </c>
      <c r="EB209" s="129" t="s">
        <v>212</v>
      </c>
      <c r="EC209" s="129" t="s">
        <v>212</v>
      </c>
      <c r="ED209" s="129" t="s">
        <v>212</v>
      </c>
      <c r="EE209" s="129" t="s">
        <v>217</v>
      </c>
      <c r="EF209" s="147" t="s">
        <v>213</v>
      </c>
      <c r="EG209" s="148" t="s">
        <v>213</v>
      </c>
      <c r="EH209" s="129" t="s">
        <v>218</v>
      </c>
      <c r="EI209" s="129" t="s">
        <v>417</v>
      </c>
      <c r="EJ209" s="129" t="s">
        <v>160</v>
      </c>
      <c r="EK209" s="129">
        <v>1975.4249999999997</v>
      </c>
      <c r="EL209" s="129" t="s">
        <v>163</v>
      </c>
      <c r="EM209" s="129">
        <v>20.660000000000036</v>
      </c>
      <c r="EN209" s="129">
        <v>20.228999999999647</v>
      </c>
      <c r="EO209" s="129" t="s">
        <v>160</v>
      </c>
      <c r="EP209" s="129" t="s">
        <v>160</v>
      </c>
      <c r="EQ209" s="129" t="s">
        <v>160</v>
      </c>
      <c r="ER209" s="129" t="s">
        <v>160</v>
      </c>
      <c r="ES209" s="201">
        <v>8.1174940000000007</v>
      </c>
      <c r="ET209" s="129" t="s">
        <v>165</v>
      </c>
      <c r="EU209" s="151">
        <v>4.0022999999999698E-2</v>
      </c>
      <c r="EV209" s="151">
        <v>4.1580000000001505E-2</v>
      </c>
      <c r="EW209" s="142" t="s">
        <v>160</v>
      </c>
      <c r="EX209" s="129" t="s">
        <v>160</v>
      </c>
      <c r="EY209" s="129" t="s">
        <v>160</v>
      </c>
      <c r="EZ209" s="208">
        <v>287.93779999999998</v>
      </c>
      <c r="FA209" s="209">
        <v>36.152100000000019</v>
      </c>
      <c r="FB209" s="209">
        <v>31.248199999999997</v>
      </c>
      <c r="FC209" s="129" t="s">
        <v>220</v>
      </c>
      <c r="FD209" s="129" t="s">
        <v>221</v>
      </c>
      <c r="FE209" s="129">
        <v>2270.596</v>
      </c>
      <c r="FF209" s="129">
        <v>41.112999999999829</v>
      </c>
      <c r="FG209" s="129">
        <v>39.999000000000251</v>
      </c>
      <c r="FH209" s="129" t="s">
        <v>160</v>
      </c>
      <c r="FI209" s="129" t="s">
        <v>160</v>
      </c>
      <c r="FJ209" s="129" t="s">
        <v>160</v>
      </c>
      <c r="FK209" s="129" t="s">
        <v>160</v>
      </c>
      <c r="FL209" s="129" t="s">
        <v>160</v>
      </c>
      <c r="FM209" s="129" t="s">
        <v>160</v>
      </c>
      <c r="FN209" s="151">
        <v>3.9610829999999999</v>
      </c>
      <c r="FO209" s="151">
        <v>0.29050800000000043</v>
      </c>
      <c r="FP209" s="151">
        <v>0.27356500000000006</v>
      </c>
      <c r="FQ209" s="178" t="s">
        <v>419</v>
      </c>
      <c r="FR209" s="129" t="s">
        <v>415</v>
      </c>
      <c r="FS209" s="129">
        <v>2017</v>
      </c>
      <c r="FT209" s="131" t="s">
        <v>416</v>
      </c>
    </row>
    <row r="210" spans="1:191" s="129" customFormat="1">
      <c r="A210" s="129" t="s">
        <v>152</v>
      </c>
      <c r="B210" s="166" t="s">
        <v>183</v>
      </c>
      <c r="C210" s="166">
        <v>2018</v>
      </c>
      <c r="D210" s="166" t="s">
        <v>184</v>
      </c>
      <c r="E210" s="145">
        <f t="shared" si="22"/>
        <v>1216.42</v>
      </c>
      <c r="F210" s="129">
        <f t="shared" si="23"/>
        <v>2</v>
      </c>
      <c r="G210" s="129">
        <f t="shared" si="23"/>
        <v>2</v>
      </c>
      <c r="H210" s="191">
        <v>272.1481</v>
      </c>
      <c r="I210" s="191">
        <v>34.240600000000029</v>
      </c>
      <c r="J210" s="191">
        <v>30.635199999999998</v>
      </c>
      <c r="K210" s="129" t="s">
        <v>457</v>
      </c>
      <c r="L210" s="131" t="s">
        <v>185</v>
      </c>
      <c r="M210" s="132" t="s">
        <v>186</v>
      </c>
      <c r="N210" s="129" t="s">
        <v>184</v>
      </c>
      <c r="O210" s="129" t="s">
        <v>420</v>
      </c>
      <c r="P210" s="210" t="s">
        <v>438</v>
      </c>
      <c r="Q210" s="210">
        <v>5</v>
      </c>
      <c r="R210" s="210">
        <v>3</v>
      </c>
      <c r="S210" s="211">
        <v>102</v>
      </c>
      <c r="T210" s="211">
        <f t="shared" si="20"/>
        <v>104</v>
      </c>
      <c r="U210" s="212">
        <v>40.119999999999997</v>
      </c>
      <c r="V210" s="212">
        <v>40.119999999999997</v>
      </c>
      <c r="W210" s="129" t="s">
        <v>160</v>
      </c>
      <c r="X210" s="129" t="s">
        <v>421</v>
      </c>
      <c r="Y210" s="200">
        <v>12.74</v>
      </c>
      <c r="Z210" s="200">
        <v>-78.739999999999995</v>
      </c>
      <c r="AA210" s="129" t="s">
        <v>160</v>
      </c>
      <c r="AB210" s="129" t="s">
        <v>160</v>
      </c>
      <c r="AC210" s="129">
        <v>-2839</v>
      </c>
      <c r="AD210" s="129" t="s">
        <v>160</v>
      </c>
      <c r="AE210" s="129" t="s">
        <v>160</v>
      </c>
      <c r="AF210" s="129" t="s">
        <v>160</v>
      </c>
      <c r="AG210" s="129">
        <v>1216.42</v>
      </c>
      <c r="AH210" s="129" t="s">
        <v>163</v>
      </c>
      <c r="AI210" s="129">
        <v>2</v>
      </c>
      <c r="AJ210" s="129">
        <v>2</v>
      </c>
      <c r="AK210" s="129" t="s">
        <v>160</v>
      </c>
      <c r="AL210" s="129" t="s">
        <v>422</v>
      </c>
      <c r="AM210" s="129" t="s">
        <v>160</v>
      </c>
      <c r="AN210" s="129" t="s">
        <v>160</v>
      </c>
      <c r="AO210" s="129" t="s">
        <v>160</v>
      </c>
      <c r="AP210" s="129" t="s">
        <v>160</v>
      </c>
      <c r="AQ210" s="129" t="s">
        <v>160</v>
      </c>
      <c r="AR210" s="129" t="s">
        <v>160</v>
      </c>
      <c r="AS210" s="129" t="s">
        <v>160</v>
      </c>
      <c r="AT210" s="129" t="s">
        <v>160</v>
      </c>
      <c r="AU210" s="129" t="s">
        <v>423</v>
      </c>
      <c r="AV210" s="129" t="s">
        <v>161</v>
      </c>
      <c r="AW210" s="129" t="s">
        <v>424</v>
      </c>
      <c r="AX210" s="178">
        <v>2</v>
      </c>
      <c r="AY210" s="129" t="s">
        <v>194</v>
      </c>
      <c r="AZ210" s="129" t="s">
        <v>195</v>
      </c>
      <c r="BA210" s="129" t="s">
        <v>425</v>
      </c>
      <c r="BB210" s="129" t="s">
        <v>160</v>
      </c>
      <c r="BC210" s="178">
        <v>2</v>
      </c>
      <c r="BD210" s="129" t="s">
        <v>160</v>
      </c>
      <c r="BE210" s="151">
        <v>20.356538149999999</v>
      </c>
      <c r="BF210" s="129" t="s">
        <v>426</v>
      </c>
      <c r="BG210" s="151">
        <v>0.21990035999999999</v>
      </c>
      <c r="BH210" s="129">
        <v>0.64</v>
      </c>
      <c r="BI210" s="129" t="s">
        <v>427</v>
      </c>
      <c r="BJ210" s="129">
        <v>3.4000000000000002E-2</v>
      </c>
      <c r="BK210" s="129">
        <v>9.1</v>
      </c>
      <c r="BL210" s="129" t="s">
        <v>163</v>
      </c>
      <c r="BM210" s="129">
        <v>0.56000000000000005</v>
      </c>
      <c r="BN210" s="129" t="s">
        <v>428</v>
      </c>
      <c r="BO210" s="129" t="s">
        <v>429</v>
      </c>
      <c r="BP210" s="151">
        <f t="shared" si="24"/>
        <v>19.14423025</v>
      </c>
      <c r="BQ210" s="129" t="s">
        <v>202</v>
      </c>
      <c r="BR210" s="217"/>
      <c r="BS210" s="129" t="s">
        <v>160</v>
      </c>
      <c r="BT210" s="129" t="s">
        <v>160</v>
      </c>
      <c r="BU210" s="129">
        <v>10</v>
      </c>
      <c r="BV210" s="129" t="s">
        <v>159</v>
      </c>
      <c r="BW210" s="129">
        <v>10</v>
      </c>
      <c r="BX210" s="145">
        <v>24.84939455</v>
      </c>
      <c r="BY210" s="129" t="s">
        <v>159</v>
      </c>
      <c r="BZ210" s="129">
        <v>1</v>
      </c>
      <c r="CA210" s="129">
        <v>1</v>
      </c>
      <c r="CB210" s="129" t="s">
        <v>160</v>
      </c>
      <c r="CC210" s="151">
        <v>3.3902624608114964</v>
      </c>
      <c r="CD210" s="129" t="s">
        <v>430</v>
      </c>
      <c r="CE210" s="151">
        <f t="shared" si="21"/>
        <v>0.13561049843245987</v>
      </c>
      <c r="CF210" s="151">
        <v>0.13561049843245987</v>
      </c>
      <c r="CG210" s="178" t="s">
        <v>160</v>
      </c>
      <c r="CH210" s="129" t="s">
        <v>431</v>
      </c>
      <c r="CI210" s="129" t="s">
        <v>160</v>
      </c>
      <c r="CJ210" s="129" t="s">
        <v>432</v>
      </c>
      <c r="CK210" s="129" t="s">
        <v>158</v>
      </c>
      <c r="CL210" s="129" t="s">
        <v>158</v>
      </c>
      <c r="CM210" s="129" t="s">
        <v>158</v>
      </c>
      <c r="CN210" s="129" t="s">
        <v>160</v>
      </c>
      <c r="CO210" s="129" t="s">
        <v>160</v>
      </c>
      <c r="CP210" s="129" t="s">
        <v>160</v>
      </c>
      <c r="CQ210" s="129" t="s">
        <v>160</v>
      </c>
      <c r="CR210" s="129" t="s">
        <v>160</v>
      </c>
      <c r="CS210" s="129" t="s">
        <v>160</v>
      </c>
      <c r="CT210" s="129" t="s">
        <v>160</v>
      </c>
      <c r="CU210" s="129">
        <v>35</v>
      </c>
      <c r="CV210" s="129" t="s">
        <v>393</v>
      </c>
      <c r="CW210" s="146">
        <v>1</v>
      </c>
      <c r="CX210" s="129" t="s">
        <v>207</v>
      </c>
      <c r="CY210" s="129">
        <v>1.06E-2</v>
      </c>
      <c r="CZ210" s="129" t="s">
        <v>159</v>
      </c>
      <c r="DA210" s="146">
        <v>0</v>
      </c>
      <c r="DB210" s="129" t="s">
        <v>208</v>
      </c>
      <c r="DC210" s="129">
        <v>5.5100000000000003E-2</v>
      </c>
      <c r="DD210" s="129" t="s">
        <v>159</v>
      </c>
      <c r="DE210" s="146">
        <v>0</v>
      </c>
      <c r="DF210" s="129" t="s">
        <v>208</v>
      </c>
      <c r="DG210" s="129" t="s">
        <v>160</v>
      </c>
      <c r="DH210" s="129" t="s">
        <v>160</v>
      </c>
      <c r="DI210" s="129" t="s">
        <v>160</v>
      </c>
      <c r="DJ210" s="129" t="s">
        <v>160</v>
      </c>
      <c r="DK210" s="145">
        <v>432.56244218316402</v>
      </c>
      <c r="DL210" s="129" t="s">
        <v>433</v>
      </c>
      <c r="DM210" s="145" t="s">
        <v>160</v>
      </c>
      <c r="DN210" s="129" t="s">
        <v>434</v>
      </c>
      <c r="DO210" s="129">
        <v>39.604810000000001</v>
      </c>
      <c r="DP210" s="129" t="s">
        <v>160</v>
      </c>
      <c r="DQ210" s="129">
        <v>0.32146999999999792</v>
      </c>
      <c r="DR210" s="129" t="s">
        <v>435</v>
      </c>
      <c r="DS210" s="129" t="s">
        <v>212</v>
      </c>
      <c r="DT210" s="129" t="s">
        <v>213</v>
      </c>
      <c r="DU210" s="129">
        <v>1.0271999999999999</v>
      </c>
      <c r="DV210" s="129" t="s">
        <v>160</v>
      </c>
      <c r="DW210" s="129" t="s">
        <v>160</v>
      </c>
      <c r="DX210" s="129" t="s">
        <v>436</v>
      </c>
      <c r="DY210" s="129" t="s">
        <v>158</v>
      </c>
      <c r="DZ210" s="129" t="s">
        <v>158</v>
      </c>
      <c r="EA210" s="129" t="s">
        <v>216</v>
      </c>
      <c r="EB210" s="129" t="s">
        <v>212</v>
      </c>
      <c r="EC210" s="129" t="s">
        <v>212</v>
      </c>
      <c r="ED210" s="129" t="s">
        <v>212</v>
      </c>
      <c r="EE210" s="129" t="s">
        <v>217</v>
      </c>
      <c r="EF210" s="147" t="s">
        <v>213</v>
      </c>
      <c r="EG210" s="148" t="s">
        <v>213</v>
      </c>
      <c r="EH210" s="129" t="s">
        <v>218</v>
      </c>
      <c r="EI210" s="129" t="s">
        <v>417</v>
      </c>
      <c r="EJ210" s="129" t="s">
        <v>160</v>
      </c>
      <c r="EK210" s="129">
        <v>1975.306</v>
      </c>
      <c r="EL210" s="129" t="s">
        <v>163</v>
      </c>
      <c r="EM210" s="129">
        <v>20.713999999999803</v>
      </c>
      <c r="EN210" s="129">
        <v>20.307000000000222</v>
      </c>
      <c r="EO210" s="129" t="s">
        <v>160</v>
      </c>
      <c r="EP210" s="129" t="s">
        <v>160</v>
      </c>
      <c r="EQ210" s="129" t="s">
        <v>160</v>
      </c>
      <c r="ER210" s="129" t="s">
        <v>160</v>
      </c>
      <c r="ES210" s="201">
        <v>8.1371640000000003</v>
      </c>
      <c r="ET210" s="129" t="s">
        <v>165</v>
      </c>
      <c r="EU210" s="151">
        <v>4.131800000000041E-2</v>
      </c>
      <c r="EV210" s="151">
        <v>4.1396999999999906E-2</v>
      </c>
      <c r="EW210" s="142" t="s">
        <v>160</v>
      </c>
      <c r="EX210" s="129" t="s">
        <v>160</v>
      </c>
      <c r="EY210" s="129" t="s">
        <v>160</v>
      </c>
      <c r="EZ210" s="208">
        <v>272.1481</v>
      </c>
      <c r="FA210" s="209">
        <v>34.240600000000029</v>
      </c>
      <c r="FB210" s="209">
        <v>30.635199999999998</v>
      </c>
      <c r="FC210" s="129" t="s">
        <v>220</v>
      </c>
      <c r="FD210" s="129" t="s">
        <v>221</v>
      </c>
      <c r="FE210" s="129">
        <v>2282.605</v>
      </c>
      <c r="FF210" s="129">
        <v>41.472999999999956</v>
      </c>
      <c r="FG210" s="129">
        <v>41.704999999999927</v>
      </c>
      <c r="FH210" s="129" t="s">
        <v>160</v>
      </c>
      <c r="FI210" s="129" t="s">
        <v>160</v>
      </c>
      <c r="FJ210" s="129" t="s">
        <v>160</v>
      </c>
      <c r="FK210" s="129" t="s">
        <v>160</v>
      </c>
      <c r="FL210" s="129" t="s">
        <v>160</v>
      </c>
      <c r="FM210" s="129" t="s">
        <v>160</v>
      </c>
      <c r="FN210" s="151">
        <v>4.0931050000000004</v>
      </c>
      <c r="FO210" s="151">
        <v>0.30802499999999977</v>
      </c>
      <c r="FP210" s="151">
        <v>0.29382300000000061</v>
      </c>
      <c r="FQ210" s="178" t="s">
        <v>419</v>
      </c>
      <c r="FR210" s="129" t="s">
        <v>415</v>
      </c>
      <c r="FS210" s="129">
        <v>2017</v>
      </c>
      <c r="FT210" s="131" t="s">
        <v>416</v>
      </c>
    </row>
    <row r="211" spans="1:191" s="129" customFormat="1">
      <c r="A211" s="129" t="s">
        <v>152</v>
      </c>
      <c r="B211" s="166" t="s">
        <v>183</v>
      </c>
      <c r="C211" s="166">
        <v>2018</v>
      </c>
      <c r="D211" s="166" t="s">
        <v>184</v>
      </c>
      <c r="E211" s="145">
        <f t="shared" si="22"/>
        <v>1218.54</v>
      </c>
      <c r="F211" s="129">
        <f t="shared" si="23"/>
        <v>2</v>
      </c>
      <c r="G211" s="129">
        <f t="shared" si="23"/>
        <v>2</v>
      </c>
      <c r="H211" s="191">
        <v>298.35860000000002</v>
      </c>
      <c r="I211" s="191">
        <v>38.226799999999969</v>
      </c>
      <c r="J211" s="191">
        <v>34.065600000000018</v>
      </c>
      <c r="K211" s="129" t="s">
        <v>457</v>
      </c>
      <c r="L211" s="131" t="s">
        <v>185</v>
      </c>
      <c r="M211" s="132" t="s">
        <v>186</v>
      </c>
      <c r="N211" s="129" t="s">
        <v>184</v>
      </c>
      <c r="O211" s="129" t="s">
        <v>420</v>
      </c>
      <c r="P211" s="205" t="s">
        <v>438</v>
      </c>
      <c r="Q211" s="205">
        <v>5</v>
      </c>
      <c r="R211" s="205">
        <v>3</v>
      </c>
      <c r="S211" s="206">
        <v>110</v>
      </c>
      <c r="T211" s="206">
        <f t="shared" si="20"/>
        <v>112</v>
      </c>
      <c r="U211" s="207">
        <v>40.200000000000003</v>
      </c>
      <c r="V211" s="207">
        <v>40.200000000000003</v>
      </c>
      <c r="W211" s="129" t="s">
        <v>160</v>
      </c>
      <c r="X211" s="129" t="s">
        <v>421</v>
      </c>
      <c r="Y211" s="200">
        <v>12.74</v>
      </c>
      <c r="Z211" s="200">
        <v>-78.739999999999995</v>
      </c>
      <c r="AA211" s="129" t="s">
        <v>160</v>
      </c>
      <c r="AB211" s="129" t="s">
        <v>160</v>
      </c>
      <c r="AC211" s="129">
        <v>-2839</v>
      </c>
      <c r="AD211" s="129" t="s">
        <v>160</v>
      </c>
      <c r="AE211" s="129" t="s">
        <v>160</v>
      </c>
      <c r="AF211" s="129" t="s">
        <v>160</v>
      </c>
      <c r="AG211" s="129">
        <v>1218.54</v>
      </c>
      <c r="AH211" s="129" t="s">
        <v>163</v>
      </c>
      <c r="AI211" s="129">
        <v>2</v>
      </c>
      <c r="AJ211" s="129">
        <v>2</v>
      </c>
      <c r="AK211" s="129" t="s">
        <v>160</v>
      </c>
      <c r="AL211" s="129" t="s">
        <v>422</v>
      </c>
      <c r="AM211" s="129" t="s">
        <v>160</v>
      </c>
      <c r="AN211" s="129" t="s">
        <v>160</v>
      </c>
      <c r="AO211" s="129" t="s">
        <v>160</v>
      </c>
      <c r="AP211" s="129" t="s">
        <v>160</v>
      </c>
      <c r="AQ211" s="129" t="s">
        <v>160</v>
      </c>
      <c r="AR211" s="129" t="s">
        <v>160</v>
      </c>
      <c r="AS211" s="129" t="s">
        <v>160</v>
      </c>
      <c r="AT211" s="129" t="s">
        <v>160</v>
      </c>
      <c r="AU211" s="129" t="s">
        <v>423</v>
      </c>
      <c r="AV211" s="129" t="s">
        <v>161</v>
      </c>
      <c r="AW211" s="129" t="s">
        <v>424</v>
      </c>
      <c r="AX211" s="178">
        <v>2</v>
      </c>
      <c r="AY211" s="129" t="s">
        <v>194</v>
      </c>
      <c r="AZ211" s="129" t="s">
        <v>195</v>
      </c>
      <c r="BA211" s="129" t="s">
        <v>425</v>
      </c>
      <c r="BB211" s="129" t="s">
        <v>160</v>
      </c>
      <c r="BC211" s="178">
        <v>2</v>
      </c>
      <c r="BD211" s="129" t="s">
        <v>160</v>
      </c>
      <c r="BE211" s="151">
        <v>20.073427200000001</v>
      </c>
      <c r="BF211" s="129" t="s">
        <v>426</v>
      </c>
      <c r="BG211" s="151">
        <v>0.22101573799999999</v>
      </c>
      <c r="BH211" s="129">
        <v>0.64</v>
      </c>
      <c r="BI211" s="129" t="s">
        <v>427</v>
      </c>
      <c r="BJ211" s="129">
        <v>3.4000000000000002E-2</v>
      </c>
      <c r="BK211" s="129">
        <v>9.1</v>
      </c>
      <c r="BL211" s="129" t="s">
        <v>163</v>
      </c>
      <c r="BM211" s="129">
        <v>0.56000000000000005</v>
      </c>
      <c r="BN211" s="129" t="s">
        <v>428</v>
      </c>
      <c r="BO211" s="129" t="s">
        <v>429</v>
      </c>
      <c r="BP211" s="151">
        <f t="shared" si="24"/>
        <v>18.67237866666667</v>
      </c>
      <c r="BQ211" s="129" t="s">
        <v>202</v>
      </c>
      <c r="BR211" s="217"/>
      <c r="BS211" s="129" t="s">
        <v>160</v>
      </c>
      <c r="BT211" s="129" t="s">
        <v>160</v>
      </c>
      <c r="BU211" s="129">
        <v>10</v>
      </c>
      <c r="BV211" s="129" t="s">
        <v>159</v>
      </c>
      <c r="BW211" s="129">
        <v>10</v>
      </c>
      <c r="BX211" s="145">
        <v>24.129130150000002</v>
      </c>
      <c r="BY211" s="129" t="s">
        <v>159</v>
      </c>
      <c r="BZ211" s="129">
        <v>1</v>
      </c>
      <c r="CA211" s="129">
        <v>1</v>
      </c>
      <c r="CB211" s="129" t="s">
        <v>160</v>
      </c>
      <c r="CC211" s="151">
        <v>3.1729908929986768</v>
      </c>
      <c r="CD211" s="129" t="s">
        <v>430</v>
      </c>
      <c r="CE211" s="151">
        <f t="shared" si="21"/>
        <v>0.12691963571994708</v>
      </c>
      <c r="CF211" s="151">
        <v>0.12691963571994708</v>
      </c>
      <c r="CG211" s="178" t="s">
        <v>160</v>
      </c>
      <c r="CH211" s="129" t="s">
        <v>431</v>
      </c>
      <c r="CI211" s="129" t="s">
        <v>160</v>
      </c>
      <c r="CJ211" s="129" t="s">
        <v>432</v>
      </c>
      <c r="CK211" s="129" t="s">
        <v>158</v>
      </c>
      <c r="CL211" s="129" t="s">
        <v>158</v>
      </c>
      <c r="CM211" s="129" t="s">
        <v>158</v>
      </c>
      <c r="CN211" s="129" t="s">
        <v>160</v>
      </c>
      <c r="CO211" s="129" t="s">
        <v>160</v>
      </c>
      <c r="CP211" s="129" t="s">
        <v>160</v>
      </c>
      <c r="CQ211" s="129" t="s">
        <v>160</v>
      </c>
      <c r="CR211" s="129" t="s">
        <v>160</v>
      </c>
      <c r="CS211" s="129" t="s">
        <v>160</v>
      </c>
      <c r="CT211" s="129" t="s">
        <v>160</v>
      </c>
      <c r="CU211" s="129">
        <v>35</v>
      </c>
      <c r="CV211" s="129" t="s">
        <v>393</v>
      </c>
      <c r="CW211" s="146">
        <v>1</v>
      </c>
      <c r="CX211" s="129" t="s">
        <v>207</v>
      </c>
      <c r="CY211" s="129">
        <v>1.06E-2</v>
      </c>
      <c r="CZ211" s="129" t="s">
        <v>159</v>
      </c>
      <c r="DA211" s="146">
        <v>0</v>
      </c>
      <c r="DB211" s="129" t="s">
        <v>208</v>
      </c>
      <c r="DC211" s="129">
        <v>5.5100000000000003E-2</v>
      </c>
      <c r="DD211" s="129" t="s">
        <v>159</v>
      </c>
      <c r="DE211" s="146">
        <v>0</v>
      </c>
      <c r="DF211" s="129" t="s">
        <v>208</v>
      </c>
      <c r="DG211" s="129" t="s">
        <v>160</v>
      </c>
      <c r="DH211" s="129" t="s">
        <v>160</v>
      </c>
      <c r="DI211" s="129" t="s">
        <v>160</v>
      </c>
      <c r="DJ211" s="129" t="s">
        <v>160</v>
      </c>
      <c r="DK211" s="145">
        <v>432.56244218316402</v>
      </c>
      <c r="DL211" s="129" t="s">
        <v>433</v>
      </c>
      <c r="DM211" s="145" t="s">
        <v>160</v>
      </c>
      <c r="DN211" s="129" t="s">
        <v>434</v>
      </c>
      <c r="DO211" s="129">
        <v>39.600619999999999</v>
      </c>
      <c r="DP211" s="129" t="s">
        <v>160</v>
      </c>
      <c r="DQ211" s="129">
        <v>0.32919000000000409</v>
      </c>
      <c r="DR211" s="129" t="s">
        <v>435</v>
      </c>
      <c r="DS211" s="129" t="s">
        <v>212</v>
      </c>
      <c r="DT211" s="129" t="s">
        <v>213</v>
      </c>
      <c r="DU211" s="129">
        <v>1.0271999999999999</v>
      </c>
      <c r="DV211" s="129" t="s">
        <v>160</v>
      </c>
      <c r="DW211" s="129" t="s">
        <v>160</v>
      </c>
      <c r="DX211" s="129" t="s">
        <v>436</v>
      </c>
      <c r="DY211" s="129" t="s">
        <v>158</v>
      </c>
      <c r="DZ211" s="129" t="s">
        <v>158</v>
      </c>
      <c r="EA211" s="129" t="s">
        <v>216</v>
      </c>
      <c r="EB211" s="129" t="s">
        <v>212</v>
      </c>
      <c r="EC211" s="129" t="s">
        <v>212</v>
      </c>
      <c r="ED211" s="129" t="s">
        <v>212</v>
      </c>
      <c r="EE211" s="129" t="s">
        <v>217</v>
      </c>
      <c r="EF211" s="147" t="s">
        <v>213</v>
      </c>
      <c r="EG211" s="148" t="s">
        <v>213</v>
      </c>
      <c r="EH211" s="129" t="s">
        <v>218</v>
      </c>
      <c r="EI211" s="129" t="s">
        <v>417</v>
      </c>
      <c r="EJ211" s="129" t="s">
        <v>160</v>
      </c>
      <c r="EK211" s="129">
        <v>1975.4370000000001</v>
      </c>
      <c r="EL211" s="129" t="s">
        <v>163</v>
      </c>
      <c r="EM211" s="129">
        <v>20.484999999999776</v>
      </c>
      <c r="EN211" s="129">
        <v>20.099999999999891</v>
      </c>
      <c r="EO211" s="129" t="s">
        <v>160</v>
      </c>
      <c r="EP211" s="129" t="s">
        <v>160</v>
      </c>
      <c r="EQ211" s="129" t="s">
        <v>160</v>
      </c>
      <c r="ER211" s="129" t="s">
        <v>160</v>
      </c>
      <c r="ES211" s="201">
        <v>8.1042729999999992</v>
      </c>
      <c r="ET211" s="129" t="s">
        <v>165</v>
      </c>
      <c r="EU211" s="151">
        <v>4.2429000000000272E-2</v>
      </c>
      <c r="EV211" s="151">
        <v>4.2697999999999681E-2</v>
      </c>
      <c r="EW211" s="142" t="s">
        <v>160</v>
      </c>
      <c r="EX211" s="129" t="s">
        <v>160</v>
      </c>
      <c r="EY211" s="129" t="s">
        <v>160</v>
      </c>
      <c r="EZ211" s="208">
        <v>298.35860000000002</v>
      </c>
      <c r="FA211" s="209">
        <v>38.226799999999969</v>
      </c>
      <c r="FB211" s="209">
        <v>34.065600000000018</v>
      </c>
      <c r="FC211" s="129" t="s">
        <v>220</v>
      </c>
      <c r="FD211" s="129" t="s">
        <v>221</v>
      </c>
      <c r="FE211" s="129">
        <v>2252.248</v>
      </c>
      <c r="FF211" s="129">
        <v>42.202999999999975</v>
      </c>
      <c r="FG211" s="129">
        <v>41.480000000000018</v>
      </c>
      <c r="FH211" s="129" t="s">
        <v>160</v>
      </c>
      <c r="FI211" s="129" t="s">
        <v>160</v>
      </c>
      <c r="FJ211" s="129" t="s">
        <v>160</v>
      </c>
      <c r="FK211" s="129" t="s">
        <v>160</v>
      </c>
      <c r="FL211" s="129" t="s">
        <v>160</v>
      </c>
      <c r="FM211" s="129" t="s">
        <v>160</v>
      </c>
      <c r="FN211" s="151">
        <v>3.7371509999999999</v>
      </c>
      <c r="FO211" s="151">
        <v>0.2892020000000004</v>
      </c>
      <c r="FP211" s="151">
        <v>0.28637899999999972</v>
      </c>
      <c r="FQ211" s="178" t="s">
        <v>419</v>
      </c>
      <c r="FR211" s="129" t="s">
        <v>415</v>
      </c>
      <c r="FS211" s="129">
        <v>2017</v>
      </c>
      <c r="FT211" s="131" t="s">
        <v>416</v>
      </c>
    </row>
    <row r="212" spans="1:191" s="129" customFormat="1">
      <c r="A212" s="129" t="s">
        <v>152</v>
      </c>
      <c r="B212" s="166" t="s">
        <v>183</v>
      </c>
      <c r="C212" s="166">
        <v>2018</v>
      </c>
      <c r="D212" s="166" t="s">
        <v>184</v>
      </c>
      <c r="E212" s="145">
        <f t="shared" si="22"/>
        <v>1224.18</v>
      </c>
      <c r="F212" s="129">
        <f t="shared" si="23"/>
        <v>2</v>
      </c>
      <c r="G212" s="129">
        <f t="shared" si="23"/>
        <v>2</v>
      </c>
      <c r="H212" s="191">
        <v>255.14059999999998</v>
      </c>
      <c r="I212" s="191">
        <v>33.40250000000006</v>
      </c>
      <c r="J212" s="191">
        <v>29.552799999999991</v>
      </c>
      <c r="K212" s="129" t="s">
        <v>457</v>
      </c>
      <c r="L212" s="131" t="s">
        <v>185</v>
      </c>
      <c r="M212" s="132" t="s">
        <v>186</v>
      </c>
      <c r="N212" s="129" t="s">
        <v>184</v>
      </c>
      <c r="O212" s="129" t="s">
        <v>420</v>
      </c>
      <c r="P212" s="210" t="s">
        <v>438</v>
      </c>
      <c r="Q212" s="210">
        <v>5</v>
      </c>
      <c r="R212" s="210">
        <v>3</v>
      </c>
      <c r="S212" s="211">
        <v>128.54058400000022</v>
      </c>
      <c r="T212" s="211">
        <f t="shared" si="20"/>
        <v>130.54058400000022</v>
      </c>
      <c r="U212" s="212">
        <v>40.385181160000002</v>
      </c>
      <c r="V212" s="212">
        <v>40.385181160000002</v>
      </c>
      <c r="W212" s="129" t="s">
        <v>160</v>
      </c>
      <c r="X212" s="129" t="s">
        <v>421</v>
      </c>
      <c r="Y212" s="200">
        <v>12.74</v>
      </c>
      <c r="Z212" s="200">
        <v>-78.739999999999995</v>
      </c>
      <c r="AA212" s="129" t="s">
        <v>160</v>
      </c>
      <c r="AB212" s="129" t="s">
        <v>160</v>
      </c>
      <c r="AC212" s="129">
        <v>-2839</v>
      </c>
      <c r="AD212" s="129" t="s">
        <v>160</v>
      </c>
      <c r="AE212" s="129" t="s">
        <v>160</v>
      </c>
      <c r="AF212" s="129" t="s">
        <v>160</v>
      </c>
      <c r="AG212" s="129">
        <v>1224.18</v>
      </c>
      <c r="AH212" s="129" t="s">
        <v>163</v>
      </c>
      <c r="AI212" s="129">
        <v>2</v>
      </c>
      <c r="AJ212" s="129">
        <v>2</v>
      </c>
      <c r="AK212" s="129" t="s">
        <v>160</v>
      </c>
      <c r="AL212" s="129" t="s">
        <v>422</v>
      </c>
      <c r="AM212" s="129" t="s">
        <v>160</v>
      </c>
      <c r="AN212" s="129" t="s">
        <v>160</v>
      </c>
      <c r="AO212" s="129" t="s">
        <v>160</v>
      </c>
      <c r="AP212" s="129" t="s">
        <v>160</v>
      </c>
      <c r="AQ212" s="129" t="s">
        <v>160</v>
      </c>
      <c r="AR212" s="129" t="s">
        <v>160</v>
      </c>
      <c r="AS212" s="129" t="s">
        <v>160</v>
      </c>
      <c r="AT212" s="129" t="s">
        <v>160</v>
      </c>
      <c r="AU212" s="129" t="s">
        <v>423</v>
      </c>
      <c r="AV212" s="129" t="s">
        <v>161</v>
      </c>
      <c r="AW212" s="129" t="s">
        <v>424</v>
      </c>
      <c r="AX212" s="178">
        <v>2</v>
      </c>
      <c r="AY212" s="129" t="s">
        <v>194</v>
      </c>
      <c r="AZ212" s="129" t="s">
        <v>195</v>
      </c>
      <c r="BA212" s="129" t="s">
        <v>425</v>
      </c>
      <c r="BB212" s="129" t="s">
        <v>160</v>
      </c>
      <c r="BC212" s="178">
        <v>2</v>
      </c>
      <c r="BD212" s="129" t="s">
        <v>160</v>
      </c>
      <c r="BE212" s="151">
        <v>20.531904579999999</v>
      </c>
      <c r="BF212" s="129" t="s">
        <v>426</v>
      </c>
      <c r="BG212" s="151">
        <v>0.23632450399999999</v>
      </c>
      <c r="BH212" s="129">
        <v>0.64</v>
      </c>
      <c r="BI212" s="129" t="s">
        <v>427</v>
      </c>
      <c r="BJ212" s="129">
        <v>3.4000000000000002E-2</v>
      </c>
      <c r="BK212" s="129">
        <v>9.1</v>
      </c>
      <c r="BL212" s="129" t="s">
        <v>163</v>
      </c>
      <c r="BM212" s="129">
        <v>0.56000000000000005</v>
      </c>
      <c r="BN212" s="129" t="s">
        <v>428</v>
      </c>
      <c r="BO212" s="129" t="s">
        <v>429</v>
      </c>
      <c r="BP212" s="151">
        <f t="shared" si="24"/>
        <v>19.436507633333335</v>
      </c>
      <c r="BQ212" s="129" t="s">
        <v>202</v>
      </c>
      <c r="BR212" s="217"/>
      <c r="BS212" s="129" t="s">
        <v>160</v>
      </c>
      <c r="BT212" s="129" t="s">
        <v>160</v>
      </c>
      <c r="BU212" s="129">
        <v>10</v>
      </c>
      <c r="BV212" s="129" t="s">
        <v>159</v>
      </c>
      <c r="BW212" s="129">
        <v>10</v>
      </c>
      <c r="BX212" s="145">
        <v>24.9842008</v>
      </c>
      <c r="BY212" s="129" t="s">
        <v>159</v>
      </c>
      <c r="BZ212" s="129">
        <v>1</v>
      </c>
      <c r="CA212" s="129">
        <v>1</v>
      </c>
      <c r="CB212" s="129" t="s">
        <v>160</v>
      </c>
      <c r="CC212" s="151">
        <v>3.412260624337498</v>
      </c>
      <c r="CD212" s="129" t="s">
        <v>430</v>
      </c>
      <c r="CE212" s="151">
        <f t="shared" si="21"/>
        <v>0.13649042497349992</v>
      </c>
      <c r="CF212" s="151">
        <v>0.13649042497349992</v>
      </c>
      <c r="CG212" s="178" t="s">
        <v>160</v>
      </c>
      <c r="CH212" s="129" t="s">
        <v>431</v>
      </c>
      <c r="CI212" s="129" t="s">
        <v>160</v>
      </c>
      <c r="CJ212" s="129" t="s">
        <v>432</v>
      </c>
      <c r="CK212" s="129" t="s">
        <v>158</v>
      </c>
      <c r="CL212" s="129" t="s">
        <v>158</v>
      </c>
      <c r="CM212" s="129" t="s">
        <v>158</v>
      </c>
      <c r="CN212" s="129" t="s">
        <v>160</v>
      </c>
      <c r="CO212" s="129" t="s">
        <v>160</v>
      </c>
      <c r="CP212" s="129" t="s">
        <v>160</v>
      </c>
      <c r="CQ212" s="129" t="s">
        <v>160</v>
      </c>
      <c r="CR212" s="129" t="s">
        <v>160</v>
      </c>
      <c r="CS212" s="129" t="s">
        <v>160</v>
      </c>
      <c r="CT212" s="129" t="s">
        <v>160</v>
      </c>
      <c r="CU212" s="129">
        <v>35</v>
      </c>
      <c r="CV212" s="129" t="s">
        <v>393</v>
      </c>
      <c r="CW212" s="146">
        <v>1</v>
      </c>
      <c r="CX212" s="129" t="s">
        <v>207</v>
      </c>
      <c r="CY212" s="129">
        <v>1.06E-2</v>
      </c>
      <c r="CZ212" s="129" t="s">
        <v>159</v>
      </c>
      <c r="DA212" s="146">
        <v>0</v>
      </c>
      <c r="DB212" s="129" t="s">
        <v>208</v>
      </c>
      <c r="DC212" s="129">
        <v>5.5100000000000003E-2</v>
      </c>
      <c r="DD212" s="129" t="s">
        <v>159</v>
      </c>
      <c r="DE212" s="146">
        <v>0</v>
      </c>
      <c r="DF212" s="129" t="s">
        <v>208</v>
      </c>
      <c r="DG212" s="129" t="s">
        <v>160</v>
      </c>
      <c r="DH212" s="129" t="s">
        <v>160</v>
      </c>
      <c r="DI212" s="129" t="s">
        <v>160</v>
      </c>
      <c r="DJ212" s="129" t="s">
        <v>160</v>
      </c>
      <c r="DK212" s="145">
        <v>432.56244218316402</v>
      </c>
      <c r="DL212" s="129" t="s">
        <v>433</v>
      </c>
      <c r="DM212" s="145" t="s">
        <v>160</v>
      </c>
      <c r="DN212" s="129" t="s">
        <v>434</v>
      </c>
      <c r="DO212" s="129">
        <v>39.604129999999998</v>
      </c>
      <c r="DP212" s="129" t="s">
        <v>160</v>
      </c>
      <c r="DQ212" s="129">
        <v>0.32898000000000138</v>
      </c>
      <c r="DR212" s="129" t="s">
        <v>435</v>
      </c>
      <c r="DS212" s="129" t="s">
        <v>212</v>
      </c>
      <c r="DT212" s="129" t="s">
        <v>213</v>
      </c>
      <c r="DU212" s="129">
        <v>1.0271999999999999</v>
      </c>
      <c r="DV212" s="129" t="s">
        <v>160</v>
      </c>
      <c r="DW212" s="129" t="s">
        <v>160</v>
      </c>
      <c r="DX212" s="129" t="s">
        <v>436</v>
      </c>
      <c r="DY212" s="129" t="s">
        <v>158</v>
      </c>
      <c r="DZ212" s="129" t="s">
        <v>158</v>
      </c>
      <c r="EA212" s="129" t="s">
        <v>216</v>
      </c>
      <c r="EB212" s="129" t="s">
        <v>212</v>
      </c>
      <c r="EC212" s="129" t="s">
        <v>212</v>
      </c>
      <c r="ED212" s="129" t="s">
        <v>212</v>
      </c>
      <c r="EE212" s="129" t="s">
        <v>217</v>
      </c>
      <c r="EF212" s="147" t="s">
        <v>213</v>
      </c>
      <c r="EG212" s="148" t="s">
        <v>213</v>
      </c>
      <c r="EH212" s="129" t="s">
        <v>218</v>
      </c>
      <c r="EI212" s="129" t="s">
        <v>417</v>
      </c>
      <c r="EJ212" s="129" t="s">
        <v>160</v>
      </c>
      <c r="EK212" s="129">
        <v>1975.424</v>
      </c>
      <c r="EL212" s="129" t="s">
        <v>163</v>
      </c>
      <c r="EM212" s="129">
        <v>20.608000000000086</v>
      </c>
      <c r="EN212" s="129">
        <v>20.756999999999721</v>
      </c>
      <c r="EO212" s="129" t="s">
        <v>160</v>
      </c>
      <c r="EP212" s="129" t="s">
        <v>160</v>
      </c>
      <c r="EQ212" s="129" t="s">
        <v>160</v>
      </c>
      <c r="ER212" s="129" t="s">
        <v>160</v>
      </c>
      <c r="ES212" s="201">
        <v>8.1592979999999997</v>
      </c>
      <c r="ET212" s="129" t="s">
        <v>165</v>
      </c>
      <c r="EU212" s="151">
        <v>4.1577000000000197E-2</v>
      </c>
      <c r="EV212" s="151">
        <v>4.2358000000000118E-2</v>
      </c>
      <c r="EW212" s="142" t="s">
        <v>160</v>
      </c>
      <c r="EX212" s="129" t="s">
        <v>160</v>
      </c>
      <c r="EY212" s="129" t="s">
        <v>160</v>
      </c>
      <c r="EZ212" s="208">
        <v>255.14059999999998</v>
      </c>
      <c r="FA212" s="209">
        <v>33.40250000000006</v>
      </c>
      <c r="FB212" s="209">
        <v>29.552799999999991</v>
      </c>
      <c r="FC212" s="129" t="s">
        <v>220</v>
      </c>
      <c r="FD212" s="129" t="s">
        <v>221</v>
      </c>
      <c r="FE212" s="129">
        <v>2300.6659999999997</v>
      </c>
      <c r="FF212" s="129">
        <v>42.930000000000291</v>
      </c>
      <c r="FG212" s="129">
        <v>41.799999999999727</v>
      </c>
      <c r="FH212" s="129" t="s">
        <v>160</v>
      </c>
      <c r="FI212" s="129" t="s">
        <v>160</v>
      </c>
      <c r="FJ212" s="129" t="s">
        <v>160</v>
      </c>
      <c r="FK212" s="129" t="s">
        <v>160</v>
      </c>
      <c r="FL212" s="129" t="s">
        <v>160</v>
      </c>
      <c r="FM212" s="129" t="s">
        <v>160</v>
      </c>
      <c r="FN212" s="151">
        <v>4.3157759999999996</v>
      </c>
      <c r="FO212" s="151">
        <v>0.32350400000000068</v>
      </c>
      <c r="FP212" s="151">
        <v>0.30413800000000002</v>
      </c>
      <c r="FQ212" s="178" t="s">
        <v>419</v>
      </c>
      <c r="FR212" s="129" t="s">
        <v>415</v>
      </c>
      <c r="FS212" s="129">
        <v>2017</v>
      </c>
      <c r="FT212" s="131" t="s">
        <v>416</v>
      </c>
    </row>
    <row r="213" spans="1:191" s="129" customFormat="1">
      <c r="A213" s="129" t="s">
        <v>152</v>
      </c>
      <c r="B213" s="166" t="s">
        <v>183</v>
      </c>
      <c r="C213" s="166">
        <v>2018</v>
      </c>
      <c r="D213" s="166" t="s">
        <v>184</v>
      </c>
      <c r="E213" s="145">
        <f t="shared" si="22"/>
        <v>1227.17</v>
      </c>
      <c r="F213" s="129">
        <f t="shared" si="23"/>
        <v>2</v>
      </c>
      <c r="G213" s="129">
        <f t="shared" si="23"/>
        <v>2</v>
      </c>
      <c r="H213" s="191">
        <v>271.51960000000003</v>
      </c>
      <c r="I213" s="191">
        <v>35.044600000000003</v>
      </c>
      <c r="J213" s="191">
        <v>30.596400000000017</v>
      </c>
      <c r="K213" s="129" t="s">
        <v>457</v>
      </c>
      <c r="L213" s="131" t="s">
        <v>185</v>
      </c>
      <c r="M213" s="132" t="s">
        <v>186</v>
      </c>
      <c r="N213" s="129" t="s">
        <v>184</v>
      </c>
      <c r="O213" s="129" t="s">
        <v>420</v>
      </c>
      <c r="P213" s="205" t="s">
        <v>438</v>
      </c>
      <c r="Q213" s="205">
        <v>5</v>
      </c>
      <c r="R213" s="205">
        <v>3</v>
      </c>
      <c r="S213" s="206">
        <v>136.99988199999987</v>
      </c>
      <c r="T213" s="206">
        <f t="shared" si="20"/>
        <v>138.99988199999987</v>
      </c>
      <c r="U213" s="207">
        <v>40.469774139999998</v>
      </c>
      <c r="V213" s="207">
        <v>40.469774139999998</v>
      </c>
      <c r="W213" s="129" t="s">
        <v>160</v>
      </c>
      <c r="X213" s="129" t="s">
        <v>421</v>
      </c>
      <c r="Y213" s="200">
        <v>12.74</v>
      </c>
      <c r="Z213" s="200">
        <v>-78.739999999999995</v>
      </c>
      <c r="AA213" s="129" t="s">
        <v>160</v>
      </c>
      <c r="AB213" s="129" t="s">
        <v>160</v>
      </c>
      <c r="AC213" s="129">
        <v>-2839</v>
      </c>
      <c r="AD213" s="129" t="s">
        <v>160</v>
      </c>
      <c r="AE213" s="129" t="s">
        <v>160</v>
      </c>
      <c r="AF213" s="129" t="s">
        <v>160</v>
      </c>
      <c r="AG213" s="129">
        <v>1227.17</v>
      </c>
      <c r="AH213" s="129" t="s">
        <v>163</v>
      </c>
      <c r="AI213" s="129">
        <v>2</v>
      </c>
      <c r="AJ213" s="129">
        <v>2</v>
      </c>
      <c r="AK213" s="129" t="s">
        <v>160</v>
      </c>
      <c r="AL213" s="129" t="s">
        <v>422</v>
      </c>
      <c r="AM213" s="129" t="s">
        <v>160</v>
      </c>
      <c r="AN213" s="129" t="s">
        <v>160</v>
      </c>
      <c r="AO213" s="129" t="s">
        <v>160</v>
      </c>
      <c r="AP213" s="129" t="s">
        <v>160</v>
      </c>
      <c r="AQ213" s="129" t="s">
        <v>160</v>
      </c>
      <c r="AR213" s="129" t="s">
        <v>160</v>
      </c>
      <c r="AS213" s="129" t="s">
        <v>160</v>
      </c>
      <c r="AT213" s="129" t="s">
        <v>160</v>
      </c>
      <c r="AU213" s="129" t="s">
        <v>423</v>
      </c>
      <c r="AV213" s="129" t="s">
        <v>161</v>
      </c>
      <c r="AW213" s="129" t="s">
        <v>424</v>
      </c>
      <c r="AX213" s="178">
        <v>2</v>
      </c>
      <c r="AY213" s="129" t="s">
        <v>194</v>
      </c>
      <c r="AZ213" s="129" t="s">
        <v>195</v>
      </c>
      <c r="BA213" s="129" t="s">
        <v>425</v>
      </c>
      <c r="BB213" s="129" t="s">
        <v>160</v>
      </c>
      <c r="BC213" s="178">
        <v>2</v>
      </c>
      <c r="BD213" s="129" t="s">
        <v>160</v>
      </c>
      <c r="BE213" s="151">
        <v>20.376740099999999</v>
      </c>
      <c r="BF213" s="129" t="s">
        <v>426</v>
      </c>
      <c r="BG213" s="151">
        <v>0.21315179000000001</v>
      </c>
      <c r="BH213" s="129">
        <v>0.64</v>
      </c>
      <c r="BI213" s="129" t="s">
        <v>427</v>
      </c>
      <c r="BJ213" s="129">
        <v>3.4000000000000002E-2</v>
      </c>
      <c r="BK213" s="129">
        <v>9.1</v>
      </c>
      <c r="BL213" s="129" t="s">
        <v>163</v>
      </c>
      <c r="BM213" s="129">
        <v>0.56000000000000005</v>
      </c>
      <c r="BN213" s="129" t="s">
        <v>428</v>
      </c>
      <c r="BO213" s="129" t="s">
        <v>429</v>
      </c>
      <c r="BP213" s="151">
        <f t="shared" si="24"/>
        <v>19.177900166666667</v>
      </c>
      <c r="BQ213" s="129" t="s">
        <v>202</v>
      </c>
      <c r="BR213" s="217"/>
      <c r="BS213" s="129" t="s">
        <v>160</v>
      </c>
      <c r="BT213" s="129" t="s">
        <v>160</v>
      </c>
      <c r="BU213" s="129">
        <v>10</v>
      </c>
      <c r="BV213" s="129" t="s">
        <v>159</v>
      </c>
      <c r="BW213" s="129">
        <v>10</v>
      </c>
      <c r="BX213" s="145">
        <v>25.042515940000001</v>
      </c>
      <c r="BY213" s="129" t="s">
        <v>159</v>
      </c>
      <c r="BZ213" s="129">
        <v>1</v>
      </c>
      <c r="CA213" s="129">
        <v>1</v>
      </c>
      <c r="CB213" s="129" t="s">
        <v>160</v>
      </c>
      <c r="CC213" s="151">
        <v>3.4253197888385545</v>
      </c>
      <c r="CD213" s="129" t="s">
        <v>430</v>
      </c>
      <c r="CE213" s="151">
        <f t="shared" si="21"/>
        <v>0.13701279155354218</v>
      </c>
      <c r="CF213" s="151">
        <v>0.13701279155354218</v>
      </c>
      <c r="CG213" s="178" t="s">
        <v>160</v>
      </c>
      <c r="CH213" s="129" t="s">
        <v>431</v>
      </c>
      <c r="CI213" s="129" t="s">
        <v>160</v>
      </c>
      <c r="CJ213" s="129" t="s">
        <v>432</v>
      </c>
      <c r="CK213" s="129" t="s">
        <v>158</v>
      </c>
      <c r="CL213" s="129" t="s">
        <v>158</v>
      </c>
      <c r="CM213" s="129" t="s">
        <v>158</v>
      </c>
      <c r="CN213" s="129" t="s">
        <v>160</v>
      </c>
      <c r="CO213" s="129" t="s">
        <v>160</v>
      </c>
      <c r="CP213" s="129" t="s">
        <v>160</v>
      </c>
      <c r="CQ213" s="129" t="s">
        <v>160</v>
      </c>
      <c r="CR213" s="129" t="s">
        <v>160</v>
      </c>
      <c r="CS213" s="129" t="s">
        <v>160</v>
      </c>
      <c r="CT213" s="129" t="s">
        <v>160</v>
      </c>
      <c r="CU213" s="129">
        <v>35</v>
      </c>
      <c r="CV213" s="129" t="s">
        <v>393</v>
      </c>
      <c r="CW213" s="146">
        <v>1</v>
      </c>
      <c r="CX213" s="129" t="s">
        <v>207</v>
      </c>
      <c r="CY213" s="129">
        <v>1.06E-2</v>
      </c>
      <c r="CZ213" s="129" t="s">
        <v>159</v>
      </c>
      <c r="DA213" s="146">
        <v>0</v>
      </c>
      <c r="DB213" s="129" t="s">
        <v>208</v>
      </c>
      <c r="DC213" s="129">
        <v>5.5100000000000003E-2</v>
      </c>
      <c r="DD213" s="129" t="s">
        <v>159</v>
      </c>
      <c r="DE213" s="146">
        <v>0</v>
      </c>
      <c r="DF213" s="129" t="s">
        <v>208</v>
      </c>
      <c r="DG213" s="129" t="s">
        <v>160</v>
      </c>
      <c r="DH213" s="129" t="s">
        <v>160</v>
      </c>
      <c r="DI213" s="129" t="s">
        <v>160</v>
      </c>
      <c r="DJ213" s="129" t="s">
        <v>160</v>
      </c>
      <c r="DK213" s="145">
        <v>432.56244218316402</v>
      </c>
      <c r="DL213" s="129" t="s">
        <v>433</v>
      </c>
      <c r="DM213" s="145" t="s">
        <v>160</v>
      </c>
      <c r="DN213" s="129" t="s">
        <v>434</v>
      </c>
      <c r="DO213" s="129">
        <v>39.601280000000003</v>
      </c>
      <c r="DP213" s="129" t="s">
        <v>160</v>
      </c>
      <c r="DQ213" s="129">
        <v>0.32322999999999524</v>
      </c>
      <c r="DR213" s="129" t="s">
        <v>435</v>
      </c>
      <c r="DS213" s="129" t="s">
        <v>212</v>
      </c>
      <c r="DT213" s="129" t="s">
        <v>213</v>
      </c>
      <c r="DU213" s="129">
        <v>1.0271999999999999</v>
      </c>
      <c r="DV213" s="129" t="s">
        <v>160</v>
      </c>
      <c r="DW213" s="129" t="s">
        <v>160</v>
      </c>
      <c r="DX213" s="129" t="s">
        <v>436</v>
      </c>
      <c r="DY213" s="129" t="s">
        <v>158</v>
      </c>
      <c r="DZ213" s="129" t="s">
        <v>158</v>
      </c>
      <c r="EA213" s="129" t="s">
        <v>216</v>
      </c>
      <c r="EB213" s="129" t="s">
        <v>212</v>
      </c>
      <c r="EC213" s="129" t="s">
        <v>212</v>
      </c>
      <c r="ED213" s="129" t="s">
        <v>212</v>
      </c>
      <c r="EE213" s="129" t="s">
        <v>217</v>
      </c>
      <c r="EF213" s="147" t="s">
        <v>213</v>
      </c>
      <c r="EG213" s="148" t="s">
        <v>213</v>
      </c>
      <c r="EH213" s="129" t="s">
        <v>218</v>
      </c>
      <c r="EI213" s="129" t="s">
        <v>417</v>
      </c>
      <c r="EJ213" s="129" t="s">
        <v>160</v>
      </c>
      <c r="EK213" s="129">
        <v>1975.261</v>
      </c>
      <c r="EL213" s="129" t="s">
        <v>163</v>
      </c>
      <c r="EM213" s="129">
        <v>20.205000000000137</v>
      </c>
      <c r="EN213" s="129">
        <v>20.42399999999979</v>
      </c>
      <c r="EO213" s="129" t="s">
        <v>160</v>
      </c>
      <c r="EP213" s="129" t="s">
        <v>160</v>
      </c>
      <c r="EQ213" s="129" t="s">
        <v>160</v>
      </c>
      <c r="ER213" s="129" t="s">
        <v>160</v>
      </c>
      <c r="ES213" s="201">
        <v>8.1379920000000006</v>
      </c>
      <c r="ET213" s="129" t="s">
        <v>165</v>
      </c>
      <c r="EU213" s="151">
        <v>4.1043000000000163E-2</v>
      </c>
      <c r="EV213" s="151">
        <v>4.3086000000000624E-2</v>
      </c>
      <c r="EW213" s="142" t="s">
        <v>160</v>
      </c>
      <c r="EX213" s="129" t="s">
        <v>160</v>
      </c>
      <c r="EY213" s="129" t="s">
        <v>160</v>
      </c>
      <c r="EZ213" s="208">
        <v>271.51960000000003</v>
      </c>
      <c r="FA213" s="209">
        <v>35.044600000000003</v>
      </c>
      <c r="FB213" s="209">
        <v>30.596400000000017</v>
      </c>
      <c r="FC213" s="129" t="s">
        <v>220</v>
      </c>
      <c r="FD213" s="129" t="s">
        <v>221</v>
      </c>
      <c r="FE213" s="129">
        <v>2285.078</v>
      </c>
      <c r="FF213" s="129">
        <v>40.726999999999862</v>
      </c>
      <c r="FG213" s="129">
        <v>41.663000000000011</v>
      </c>
      <c r="FH213" s="129" t="s">
        <v>160</v>
      </c>
      <c r="FI213" s="129" t="s">
        <v>160</v>
      </c>
      <c r="FJ213" s="129" t="s">
        <v>160</v>
      </c>
      <c r="FK213" s="129" t="s">
        <v>160</v>
      </c>
      <c r="FL213" s="129" t="s">
        <v>160</v>
      </c>
      <c r="FM213" s="129" t="s">
        <v>160</v>
      </c>
      <c r="FN213" s="151">
        <v>4.1331930000000003</v>
      </c>
      <c r="FO213" s="151">
        <v>0.31135799999999936</v>
      </c>
      <c r="FP213" s="151">
        <v>0.29774800000000035</v>
      </c>
      <c r="FQ213" s="178" t="s">
        <v>419</v>
      </c>
      <c r="FR213" s="129" t="s">
        <v>415</v>
      </c>
      <c r="FS213" s="129">
        <v>2017</v>
      </c>
      <c r="FT213" s="131" t="s">
        <v>416</v>
      </c>
    </row>
    <row r="214" spans="1:191" s="129" customFormat="1">
      <c r="A214" s="129" t="s">
        <v>152</v>
      </c>
      <c r="B214" s="166" t="s">
        <v>183</v>
      </c>
      <c r="C214" s="166">
        <v>2018</v>
      </c>
      <c r="D214" s="166" t="s">
        <v>184</v>
      </c>
      <c r="E214" s="145">
        <f t="shared" si="22"/>
        <v>1230.72</v>
      </c>
      <c r="F214" s="129">
        <f t="shared" si="23"/>
        <v>2</v>
      </c>
      <c r="G214" s="129">
        <f t="shared" si="23"/>
        <v>2</v>
      </c>
      <c r="H214" s="191">
        <v>312.45459999999997</v>
      </c>
      <c r="I214" s="191">
        <v>43.087100000000021</v>
      </c>
      <c r="J214" s="191">
        <v>37.098699999999951</v>
      </c>
      <c r="K214" s="129" t="s">
        <v>457</v>
      </c>
      <c r="L214" s="131" t="s">
        <v>185</v>
      </c>
      <c r="M214" s="132" t="s">
        <v>186</v>
      </c>
      <c r="N214" s="129" t="s">
        <v>184</v>
      </c>
      <c r="O214" s="129" t="s">
        <v>420</v>
      </c>
      <c r="P214" s="210" t="s">
        <v>438</v>
      </c>
      <c r="Q214" s="210">
        <v>5</v>
      </c>
      <c r="R214" s="210">
        <v>3</v>
      </c>
      <c r="S214" s="211">
        <v>147</v>
      </c>
      <c r="T214" s="211">
        <f t="shared" si="20"/>
        <v>149</v>
      </c>
      <c r="U214" s="212">
        <v>40.57</v>
      </c>
      <c r="V214" s="212">
        <v>40.57</v>
      </c>
      <c r="W214" s="129" t="s">
        <v>160</v>
      </c>
      <c r="X214" s="129" t="s">
        <v>421</v>
      </c>
      <c r="Y214" s="200">
        <v>12.74</v>
      </c>
      <c r="Z214" s="200">
        <v>-78.739999999999995</v>
      </c>
      <c r="AA214" s="129" t="s">
        <v>160</v>
      </c>
      <c r="AB214" s="129" t="s">
        <v>160</v>
      </c>
      <c r="AC214" s="129">
        <v>-2839</v>
      </c>
      <c r="AD214" s="129" t="s">
        <v>160</v>
      </c>
      <c r="AE214" s="129" t="s">
        <v>160</v>
      </c>
      <c r="AF214" s="129" t="s">
        <v>160</v>
      </c>
      <c r="AG214" s="129">
        <v>1230.72</v>
      </c>
      <c r="AH214" s="129" t="s">
        <v>163</v>
      </c>
      <c r="AI214" s="129">
        <v>2</v>
      </c>
      <c r="AJ214" s="129">
        <v>2</v>
      </c>
      <c r="AK214" s="129" t="s">
        <v>160</v>
      </c>
      <c r="AL214" s="129" t="s">
        <v>422</v>
      </c>
      <c r="AM214" s="129" t="s">
        <v>160</v>
      </c>
      <c r="AN214" s="129" t="s">
        <v>160</v>
      </c>
      <c r="AO214" s="129" t="s">
        <v>160</v>
      </c>
      <c r="AP214" s="129" t="s">
        <v>160</v>
      </c>
      <c r="AQ214" s="129" t="s">
        <v>160</v>
      </c>
      <c r="AR214" s="129" t="s">
        <v>160</v>
      </c>
      <c r="AS214" s="129" t="s">
        <v>160</v>
      </c>
      <c r="AT214" s="129" t="s">
        <v>160</v>
      </c>
      <c r="AU214" s="129" t="s">
        <v>423</v>
      </c>
      <c r="AV214" s="129" t="s">
        <v>161</v>
      </c>
      <c r="AW214" s="129" t="s">
        <v>424</v>
      </c>
      <c r="AX214" s="178">
        <v>2</v>
      </c>
      <c r="AY214" s="129" t="s">
        <v>194</v>
      </c>
      <c r="AZ214" s="129" t="s">
        <v>195</v>
      </c>
      <c r="BA214" s="129" t="s">
        <v>425</v>
      </c>
      <c r="BB214" s="129" t="s">
        <v>160</v>
      </c>
      <c r="BC214" s="178">
        <v>2</v>
      </c>
      <c r="BD214" s="129" t="s">
        <v>160</v>
      </c>
      <c r="BE214" s="151">
        <v>20.041196150000001</v>
      </c>
      <c r="BF214" s="129" t="s">
        <v>426</v>
      </c>
      <c r="BG214" s="151">
        <v>0.248398278</v>
      </c>
      <c r="BH214" s="129">
        <v>0.64</v>
      </c>
      <c r="BI214" s="129" t="s">
        <v>427</v>
      </c>
      <c r="BJ214" s="129">
        <v>3.4000000000000002E-2</v>
      </c>
      <c r="BK214" s="129">
        <v>9.1</v>
      </c>
      <c r="BL214" s="129" t="s">
        <v>163</v>
      </c>
      <c r="BM214" s="129">
        <v>0.56000000000000005</v>
      </c>
      <c r="BN214" s="129" t="s">
        <v>428</v>
      </c>
      <c r="BO214" s="129" t="s">
        <v>429</v>
      </c>
      <c r="BP214" s="151">
        <f t="shared" si="24"/>
        <v>18.618660250000005</v>
      </c>
      <c r="BQ214" s="129" t="s">
        <v>202</v>
      </c>
      <c r="BR214" s="217"/>
      <c r="BS214" s="129" t="s">
        <v>160</v>
      </c>
      <c r="BT214" s="129" t="s">
        <v>160</v>
      </c>
      <c r="BU214" s="129">
        <v>10</v>
      </c>
      <c r="BV214" s="129" t="s">
        <v>159</v>
      </c>
      <c r="BW214" s="129">
        <v>10</v>
      </c>
      <c r="BX214" s="145">
        <v>25.042597690000001</v>
      </c>
      <c r="BY214" s="129" t="s">
        <v>159</v>
      </c>
      <c r="BZ214" s="129">
        <v>1</v>
      </c>
      <c r="CA214" s="129">
        <v>1</v>
      </c>
      <c r="CB214" s="129" t="s">
        <v>160</v>
      </c>
      <c r="CC214" s="151">
        <v>3.415521186809702</v>
      </c>
      <c r="CD214" s="129" t="s">
        <v>430</v>
      </c>
      <c r="CE214" s="151">
        <f t="shared" si="21"/>
        <v>0.13662084747238809</v>
      </c>
      <c r="CF214" s="151">
        <v>0.13662084747238809</v>
      </c>
      <c r="CG214" s="178" t="s">
        <v>160</v>
      </c>
      <c r="CH214" s="129" t="s">
        <v>431</v>
      </c>
      <c r="CI214" s="129" t="s">
        <v>160</v>
      </c>
      <c r="CJ214" s="129" t="s">
        <v>432</v>
      </c>
      <c r="CK214" s="129" t="s">
        <v>158</v>
      </c>
      <c r="CL214" s="129" t="s">
        <v>158</v>
      </c>
      <c r="CM214" s="129" t="s">
        <v>158</v>
      </c>
      <c r="CN214" s="129" t="s">
        <v>160</v>
      </c>
      <c r="CO214" s="129" t="s">
        <v>160</v>
      </c>
      <c r="CP214" s="129" t="s">
        <v>160</v>
      </c>
      <c r="CQ214" s="129" t="s">
        <v>160</v>
      </c>
      <c r="CR214" s="129" t="s">
        <v>160</v>
      </c>
      <c r="CS214" s="129" t="s">
        <v>160</v>
      </c>
      <c r="CT214" s="129" t="s">
        <v>160</v>
      </c>
      <c r="CU214" s="129">
        <v>35</v>
      </c>
      <c r="CV214" s="129" t="s">
        <v>393</v>
      </c>
      <c r="CW214" s="146">
        <v>1</v>
      </c>
      <c r="CX214" s="129" t="s">
        <v>207</v>
      </c>
      <c r="CY214" s="129">
        <v>1.06E-2</v>
      </c>
      <c r="CZ214" s="129" t="s">
        <v>159</v>
      </c>
      <c r="DA214" s="146">
        <v>0</v>
      </c>
      <c r="DB214" s="129" t="s">
        <v>208</v>
      </c>
      <c r="DC214" s="129">
        <v>5.5100000000000003E-2</v>
      </c>
      <c r="DD214" s="129" t="s">
        <v>159</v>
      </c>
      <c r="DE214" s="146">
        <v>0</v>
      </c>
      <c r="DF214" s="129" t="s">
        <v>208</v>
      </c>
      <c r="DG214" s="129" t="s">
        <v>160</v>
      </c>
      <c r="DH214" s="129" t="s">
        <v>160</v>
      </c>
      <c r="DI214" s="129" t="s">
        <v>160</v>
      </c>
      <c r="DJ214" s="129" t="s">
        <v>160</v>
      </c>
      <c r="DK214" s="145">
        <v>432.56244218316402</v>
      </c>
      <c r="DL214" s="129" t="s">
        <v>433</v>
      </c>
      <c r="DM214" s="145" t="s">
        <v>160</v>
      </c>
      <c r="DN214" s="129" t="s">
        <v>434</v>
      </c>
      <c r="DO214" s="129">
        <v>39.603859999999997</v>
      </c>
      <c r="DP214" s="129" t="s">
        <v>160</v>
      </c>
      <c r="DQ214" s="129">
        <v>0.3294700000000006</v>
      </c>
      <c r="DR214" s="129" t="s">
        <v>435</v>
      </c>
      <c r="DS214" s="129" t="s">
        <v>212</v>
      </c>
      <c r="DT214" s="129" t="s">
        <v>213</v>
      </c>
      <c r="DU214" s="129">
        <v>1.0271999999999999</v>
      </c>
      <c r="DV214" s="129" t="s">
        <v>160</v>
      </c>
      <c r="DW214" s="129" t="s">
        <v>160</v>
      </c>
      <c r="DX214" s="129" t="s">
        <v>436</v>
      </c>
      <c r="DY214" s="129" t="s">
        <v>158</v>
      </c>
      <c r="DZ214" s="129" t="s">
        <v>158</v>
      </c>
      <c r="EA214" s="129" t="s">
        <v>216</v>
      </c>
      <c r="EB214" s="129" t="s">
        <v>212</v>
      </c>
      <c r="EC214" s="129" t="s">
        <v>212</v>
      </c>
      <c r="ED214" s="129" t="s">
        <v>212</v>
      </c>
      <c r="EE214" s="129" t="s">
        <v>217</v>
      </c>
      <c r="EF214" s="147" t="s">
        <v>213</v>
      </c>
      <c r="EG214" s="148" t="s">
        <v>213</v>
      </c>
      <c r="EH214" s="129" t="s">
        <v>218</v>
      </c>
      <c r="EI214" s="129" t="s">
        <v>417</v>
      </c>
      <c r="EJ214" s="129" t="s">
        <v>160</v>
      </c>
      <c r="EK214" s="129">
        <v>1974.9459999999999</v>
      </c>
      <c r="EL214" s="129" t="s">
        <v>163</v>
      </c>
      <c r="EM214" s="129">
        <v>20.744000000000057</v>
      </c>
      <c r="EN214" s="129">
        <v>20.416000000000096</v>
      </c>
      <c r="EO214" s="129" t="s">
        <v>160</v>
      </c>
      <c r="EP214" s="129" t="s">
        <v>160</v>
      </c>
      <c r="EQ214" s="129" t="s">
        <v>160</v>
      </c>
      <c r="ER214" s="129" t="s">
        <v>160</v>
      </c>
      <c r="ES214" s="201">
        <v>8.0888760000000008</v>
      </c>
      <c r="ET214" s="129" t="s">
        <v>165</v>
      </c>
      <c r="EU214" s="151">
        <v>4.4103999999999033E-2</v>
      </c>
      <c r="EV214" s="151">
        <v>4.5666000000000651E-2</v>
      </c>
      <c r="EW214" s="142" t="s">
        <v>160</v>
      </c>
      <c r="EX214" s="129" t="s">
        <v>160</v>
      </c>
      <c r="EY214" s="129" t="s">
        <v>160</v>
      </c>
      <c r="EZ214" s="208">
        <v>312.45459999999997</v>
      </c>
      <c r="FA214" s="209">
        <v>43.087100000000021</v>
      </c>
      <c r="FB214" s="209">
        <v>37.098699999999951</v>
      </c>
      <c r="FC214" s="129" t="s">
        <v>220</v>
      </c>
      <c r="FD214" s="129" t="s">
        <v>221</v>
      </c>
      <c r="FE214" s="129">
        <v>2250.5590000000002</v>
      </c>
      <c r="FF214" s="129">
        <v>43.0949999999998</v>
      </c>
      <c r="FG214" s="129">
        <v>42.039000000000215</v>
      </c>
      <c r="FH214" s="129" t="s">
        <v>160</v>
      </c>
      <c r="FI214" s="129" t="s">
        <v>160</v>
      </c>
      <c r="FJ214" s="129" t="s">
        <v>160</v>
      </c>
      <c r="FK214" s="129" t="s">
        <v>160</v>
      </c>
      <c r="FL214" s="129" t="s">
        <v>160</v>
      </c>
      <c r="FM214" s="129" t="s">
        <v>160</v>
      </c>
      <c r="FN214" s="151">
        <v>3.7388490000000001</v>
      </c>
      <c r="FO214" s="151">
        <v>0.30755100000000013</v>
      </c>
      <c r="FP214" s="151">
        <v>0.30136500000000011</v>
      </c>
      <c r="FQ214" s="178" t="s">
        <v>419</v>
      </c>
      <c r="FR214" s="129" t="s">
        <v>415</v>
      </c>
      <c r="FS214" s="129">
        <v>2017</v>
      </c>
      <c r="FT214" s="131" t="s">
        <v>416</v>
      </c>
    </row>
    <row r="215" spans="1:191" s="129" customFormat="1">
      <c r="A215" s="129" t="s">
        <v>152</v>
      </c>
      <c r="B215" s="166" t="s">
        <v>183</v>
      </c>
      <c r="C215" s="166">
        <v>2018</v>
      </c>
      <c r="D215" s="166" t="s">
        <v>184</v>
      </c>
      <c r="E215" s="145">
        <f t="shared" si="22"/>
        <v>1233.9000000000001</v>
      </c>
      <c r="F215" s="129">
        <f t="shared" si="23"/>
        <v>2</v>
      </c>
      <c r="G215" s="129">
        <f t="shared" si="23"/>
        <v>2</v>
      </c>
      <c r="H215" s="191">
        <v>295.82000000000005</v>
      </c>
      <c r="I215" s="191">
        <v>37.785399999999925</v>
      </c>
      <c r="J215" s="191">
        <v>33.136600000000044</v>
      </c>
      <c r="K215" s="129" t="s">
        <v>457</v>
      </c>
      <c r="L215" s="131" t="s">
        <v>185</v>
      </c>
      <c r="M215" s="132" t="s">
        <v>186</v>
      </c>
      <c r="N215" s="129" t="s">
        <v>184</v>
      </c>
      <c r="O215" s="129" t="s">
        <v>420</v>
      </c>
      <c r="P215" s="205" t="s">
        <v>438</v>
      </c>
      <c r="Q215" s="205">
        <v>5</v>
      </c>
      <c r="R215" s="205">
        <v>4</v>
      </c>
      <c r="S215" s="206">
        <v>6</v>
      </c>
      <c r="T215" s="206">
        <f t="shared" si="20"/>
        <v>8</v>
      </c>
      <c r="U215" s="207">
        <v>40.659999999999997</v>
      </c>
      <c r="V215" s="207">
        <v>40.659999999999997</v>
      </c>
      <c r="W215" s="129" t="s">
        <v>160</v>
      </c>
      <c r="X215" s="129" t="s">
        <v>421</v>
      </c>
      <c r="Y215" s="200">
        <v>12.74</v>
      </c>
      <c r="Z215" s="200">
        <v>-78.739999999999995</v>
      </c>
      <c r="AA215" s="129" t="s">
        <v>160</v>
      </c>
      <c r="AB215" s="129" t="s">
        <v>160</v>
      </c>
      <c r="AC215" s="129">
        <v>-2839</v>
      </c>
      <c r="AD215" s="129" t="s">
        <v>160</v>
      </c>
      <c r="AE215" s="129" t="s">
        <v>160</v>
      </c>
      <c r="AF215" s="129" t="s">
        <v>160</v>
      </c>
      <c r="AG215" s="129">
        <v>1233.9000000000001</v>
      </c>
      <c r="AH215" s="129" t="s">
        <v>163</v>
      </c>
      <c r="AI215" s="129">
        <v>2</v>
      </c>
      <c r="AJ215" s="129">
        <v>2</v>
      </c>
      <c r="AK215" s="129" t="s">
        <v>160</v>
      </c>
      <c r="AL215" s="129" t="s">
        <v>422</v>
      </c>
      <c r="AM215" s="129" t="s">
        <v>160</v>
      </c>
      <c r="AN215" s="129" t="s">
        <v>160</v>
      </c>
      <c r="AO215" s="129" t="s">
        <v>160</v>
      </c>
      <c r="AP215" s="129" t="s">
        <v>160</v>
      </c>
      <c r="AQ215" s="129" t="s">
        <v>160</v>
      </c>
      <c r="AR215" s="129" t="s">
        <v>160</v>
      </c>
      <c r="AS215" s="129" t="s">
        <v>160</v>
      </c>
      <c r="AT215" s="129" t="s">
        <v>160</v>
      </c>
      <c r="AU215" s="129" t="s">
        <v>423</v>
      </c>
      <c r="AV215" s="129" t="s">
        <v>161</v>
      </c>
      <c r="AW215" s="129" t="s">
        <v>424</v>
      </c>
      <c r="AX215" s="178">
        <v>2</v>
      </c>
      <c r="AY215" s="129" t="s">
        <v>194</v>
      </c>
      <c r="AZ215" s="129" t="s">
        <v>195</v>
      </c>
      <c r="BA215" s="129" t="s">
        <v>425</v>
      </c>
      <c r="BB215" s="129" t="s">
        <v>160</v>
      </c>
      <c r="BC215" s="178">
        <v>2</v>
      </c>
      <c r="BD215" s="129" t="s">
        <v>160</v>
      </c>
      <c r="BE215" s="151">
        <v>20.225000000000001</v>
      </c>
      <c r="BF215" s="129" t="s">
        <v>426</v>
      </c>
      <c r="BG215" s="151">
        <v>0.207754982</v>
      </c>
      <c r="BH215" s="129">
        <v>0.64</v>
      </c>
      <c r="BI215" s="129" t="s">
        <v>427</v>
      </c>
      <c r="BJ215" s="129">
        <v>3.4000000000000002E-2</v>
      </c>
      <c r="BK215" s="129">
        <v>9.1</v>
      </c>
      <c r="BL215" s="129" t="s">
        <v>163</v>
      </c>
      <c r="BM215" s="129">
        <v>0.56000000000000005</v>
      </c>
      <c r="BN215" s="129" t="s">
        <v>428</v>
      </c>
      <c r="BO215" s="129" t="s">
        <v>429</v>
      </c>
      <c r="BP215" s="151">
        <f t="shared" si="24"/>
        <v>18.925000000000004</v>
      </c>
      <c r="BQ215" s="129" t="s">
        <v>202</v>
      </c>
      <c r="BR215" s="217"/>
      <c r="BS215" s="129" t="s">
        <v>160</v>
      </c>
      <c r="BT215" s="129" t="s">
        <v>160</v>
      </c>
      <c r="BU215" s="129">
        <v>10</v>
      </c>
      <c r="BV215" s="129" t="s">
        <v>159</v>
      </c>
      <c r="BW215" s="129">
        <v>10</v>
      </c>
      <c r="BX215" s="145">
        <v>25.655881789999999</v>
      </c>
      <c r="BY215" s="129" t="s">
        <v>159</v>
      </c>
      <c r="BZ215" s="129">
        <v>1</v>
      </c>
      <c r="CA215" s="129">
        <v>1</v>
      </c>
      <c r="CB215" s="129" t="s">
        <v>160</v>
      </c>
      <c r="CC215" s="151">
        <v>3.6041358749812109</v>
      </c>
      <c r="CD215" s="129" t="s">
        <v>430</v>
      </c>
      <c r="CE215" s="151">
        <f t="shared" si="21"/>
        <v>0.14416543499924844</v>
      </c>
      <c r="CF215" s="151">
        <v>0.14416543499924844</v>
      </c>
      <c r="CG215" s="178" t="s">
        <v>160</v>
      </c>
      <c r="CH215" s="129" t="s">
        <v>431</v>
      </c>
      <c r="CI215" s="129" t="s">
        <v>160</v>
      </c>
      <c r="CJ215" s="129" t="s">
        <v>432</v>
      </c>
      <c r="CK215" s="129" t="s">
        <v>158</v>
      </c>
      <c r="CL215" s="129" t="s">
        <v>158</v>
      </c>
      <c r="CM215" s="129" t="s">
        <v>158</v>
      </c>
      <c r="CN215" s="129" t="s">
        <v>160</v>
      </c>
      <c r="CO215" s="129" t="s">
        <v>160</v>
      </c>
      <c r="CP215" s="129" t="s">
        <v>160</v>
      </c>
      <c r="CQ215" s="129" t="s">
        <v>160</v>
      </c>
      <c r="CR215" s="129" t="s">
        <v>160</v>
      </c>
      <c r="CS215" s="129" t="s">
        <v>160</v>
      </c>
      <c r="CT215" s="129" t="s">
        <v>160</v>
      </c>
      <c r="CU215" s="129">
        <v>35</v>
      </c>
      <c r="CV215" s="129" t="s">
        <v>393</v>
      </c>
      <c r="CW215" s="146">
        <v>1</v>
      </c>
      <c r="CX215" s="129" t="s">
        <v>207</v>
      </c>
      <c r="CY215" s="129">
        <v>1.06E-2</v>
      </c>
      <c r="CZ215" s="129" t="s">
        <v>159</v>
      </c>
      <c r="DA215" s="146">
        <v>0</v>
      </c>
      <c r="DB215" s="129" t="s">
        <v>208</v>
      </c>
      <c r="DC215" s="129">
        <v>5.5100000000000003E-2</v>
      </c>
      <c r="DD215" s="129" t="s">
        <v>159</v>
      </c>
      <c r="DE215" s="146">
        <v>0</v>
      </c>
      <c r="DF215" s="129" t="s">
        <v>208</v>
      </c>
      <c r="DG215" s="129" t="s">
        <v>160</v>
      </c>
      <c r="DH215" s="129" t="s">
        <v>160</v>
      </c>
      <c r="DI215" s="129" t="s">
        <v>160</v>
      </c>
      <c r="DJ215" s="129" t="s">
        <v>160</v>
      </c>
      <c r="DK215" s="145">
        <v>432.56244218316402</v>
      </c>
      <c r="DL215" s="129" t="s">
        <v>433</v>
      </c>
      <c r="DM215" s="145" t="s">
        <v>160</v>
      </c>
      <c r="DN215" s="129" t="s">
        <v>434</v>
      </c>
      <c r="DO215" s="129">
        <v>39.601909999999997</v>
      </c>
      <c r="DP215" s="129" t="s">
        <v>160</v>
      </c>
      <c r="DQ215" s="129">
        <v>0.32108000000000203</v>
      </c>
      <c r="DR215" s="129" t="s">
        <v>435</v>
      </c>
      <c r="DS215" s="129" t="s">
        <v>212</v>
      </c>
      <c r="DT215" s="129" t="s">
        <v>213</v>
      </c>
      <c r="DU215" s="129">
        <v>1.0271999999999999</v>
      </c>
      <c r="DV215" s="129" t="s">
        <v>160</v>
      </c>
      <c r="DW215" s="129" t="s">
        <v>160</v>
      </c>
      <c r="DX215" s="129" t="s">
        <v>436</v>
      </c>
      <c r="DY215" s="129" t="s">
        <v>158</v>
      </c>
      <c r="DZ215" s="129" t="s">
        <v>158</v>
      </c>
      <c r="EA215" s="129" t="s">
        <v>216</v>
      </c>
      <c r="EB215" s="129" t="s">
        <v>212</v>
      </c>
      <c r="EC215" s="129" t="s">
        <v>212</v>
      </c>
      <c r="ED215" s="129" t="s">
        <v>212</v>
      </c>
      <c r="EE215" s="129" t="s">
        <v>217</v>
      </c>
      <c r="EF215" s="147" t="s">
        <v>213</v>
      </c>
      <c r="EG215" s="148" t="s">
        <v>213</v>
      </c>
      <c r="EH215" s="129" t="s">
        <v>218</v>
      </c>
      <c r="EI215" s="129" t="s">
        <v>417</v>
      </c>
      <c r="EJ215" s="129" t="s">
        <v>160</v>
      </c>
      <c r="EK215" s="129">
        <v>1975.1410000000001</v>
      </c>
      <c r="EL215" s="129" t="s">
        <v>163</v>
      </c>
      <c r="EM215" s="129">
        <v>20.861000000000057</v>
      </c>
      <c r="EN215" s="129">
        <v>21.164000000000165</v>
      </c>
      <c r="EO215" s="129" t="s">
        <v>160</v>
      </c>
      <c r="EP215" s="129" t="s">
        <v>160</v>
      </c>
      <c r="EQ215" s="129" t="s">
        <v>160</v>
      </c>
      <c r="ER215" s="129" t="s">
        <v>160</v>
      </c>
      <c r="ES215" s="201">
        <v>8.108212</v>
      </c>
      <c r="ET215" s="129" t="s">
        <v>165</v>
      </c>
      <c r="EU215" s="151">
        <v>4.1677999999999216E-2</v>
      </c>
      <c r="EV215" s="151">
        <v>4.297399999999918E-2</v>
      </c>
      <c r="EW215" s="142" t="s">
        <v>160</v>
      </c>
      <c r="EX215" s="129" t="s">
        <v>160</v>
      </c>
      <c r="EY215" s="129" t="s">
        <v>160</v>
      </c>
      <c r="EZ215" s="208">
        <v>295.82000000000005</v>
      </c>
      <c r="FA215" s="209">
        <v>37.785399999999925</v>
      </c>
      <c r="FB215" s="209">
        <v>33.136600000000044</v>
      </c>
      <c r="FC215" s="129" t="s">
        <v>220</v>
      </c>
      <c r="FD215" s="129" t="s">
        <v>221</v>
      </c>
      <c r="FE215" s="129">
        <v>2270.9549999999999</v>
      </c>
      <c r="FF215" s="129">
        <v>40.955999999999676</v>
      </c>
      <c r="FG215" s="129">
        <v>40.971999999999753</v>
      </c>
      <c r="FH215" s="129" t="s">
        <v>160</v>
      </c>
      <c r="FI215" s="129" t="s">
        <v>160</v>
      </c>
      <c r="FJ215" s="129" t="s">
        <v>160</v>
      </c>
      <c r="FK215" s="129" t="s">
        <v>160</v>
      </c>
      <c r="FL215" s="129" t="s">
        <v>160</v>
      </c>
      <c r="FM215" s="129" t="s">
        <v>160</v>
      </c>
      <c r="FN215" s="151">
        <v>3.9941599999999999</v>
      </c>
      <c r="FO215" s="151">
        <v>0.3007970000000002</v>
      </c>
      <c r="FP215" s="151">
        <v>0.29085699999999992</v>
      </c>
      <c r="FQ215" s="178" t="s">
        <v>419</v>
      </c>
      <c r="FR215" s="129" t="s">
        <v>415</v>
      </c>
      <c r="FS215" s="129">
        <v>2017</v>
      </c>
      <c r="FT215" s="131" t="s">
        <v>416</v>
      </c>
    </row>
    <row r="216" spans="1:191" s="129" customFormat="1">
      <c r="A216" s="129" t="s">
        <v>152</v>
      </c>
      <c r="B216" s="166" t="s">
        <v>183</v>
      </c>
      <c r="C216" s="166">
        <v>2018</v>
      </c>
      <c r="D216" s="166" t="s">
        <v>184</v>
      </c>
      <c r="E216" s="145">
        <f t="shared" si="22"/>
        <v>1236.18</v>
      </c>
      <c r="F216" s="129">
        <f t="shared" si="23"/>
        <v>2</v>
      </c>
      <c r="G216" s="129">
        <f t="shared" si="23"/>
        <v>2</v>
      </c>
      <c r="H216" s="191">
        <v>262.84460000000001</v>
      </c>
      <c r="I216" s="191">
        <v>31.533000000000015</v>
      </c>
      <c r="J216" s="191">
        <v>27.705600000000004</v>
      </c>
      <c r="K216" s="129" t="s">
        <v>457</v>
      </c>
      <c r="L216" s="131" t="s">
        <v>185</v>
      </c>
      <c r="M216" s="132" t="s">
        <v>186</v>
      </c>
      <c r="N216" s="129" t="s">
        <v>184</v>
      </c>
      <c r="O216" s="129" t="s">
        <v>420</v>
      </c>
      <c r="P216" s="205" t="s">
        <v>438</v>
      </c>
      <c r="Q216" s="205">
        <v>5</v>
      </c>
      <c r="R216" s="205">
        <v>4</v>
      </c>
      <c r="S216" s="206">
        <v>12.459163999999788</v>
      </c>
      <c r="T216" s="206">
        <f t="shared" si="20"/>
        <v>14.459163999999788</v>
      </c>
      <c r="U216" s="207">
        <v>40.724366959999998</v>
      </c>
      <c r="V216" s="207">
        <v>40.724366959999998</v>
      </c>
      <c r="W216" s="129" t="s">
        <v>160</v>
      </c>
      <c r="X216" s="129" t="s">
        <v>421</v>
      </c>
      <c r="Y216" s="200">
        <v>12.74</v>
      </c>
      <c r="Z216" s="200">
        <v>-78.739999999999995</v>
      </c>
      <c r="AA216" s="129" t="s">
        <v>160</v>
      </c>
      <c r="AB216" s="129" t="s">
        <v>160</v>
      </c>
      <c r="AC216" s="129">
        <v>-2839</v>
      </c>
      <c r="AD216" s="129" t="s">
        <v>160</v>
      </c>
      <c r="AE216" s="129" t="s">
        <v>160</v>
      </c>
      <c r="AF216" s="129" t="s">
        <v>160</v>
      </c>
      <c r="AG216" s="129">
        <v>1236.18</v>
      </c>
      <c r="AH216" s="129" t="s">
        <v>163</v>
      </c>
      <c r="AI216" s="129">
        <v>2</v>
      </c>
      <c r="AJ216" s="129">
        <v>2</v>
      </c>
      <c r="AK216" s="129" t="s">
        <v>160</v>
      </c>
      <c r="AL216" s="129" t="s">
        <v>422</v>
      </c>
      <c r="AM216" s="129" t="s">
        <v>160</v>
      </c>
      <c r="AN216" s="129" t="s">
        <v>160</v>
      </c>
      <c r="AO216" s="129" t="s">
        <v>160</v>
      </c>
      <c r="AP216" s="129" t="s">
        <v>160</v>
      </c>
      <c r="AQ216" s="129" t="s">
        <v>160</v>
      </c>
      <c r="AR216" s="129" t="s">
        <v>160</v>
      </c>
      <c r="AS216" s="129" t="s">
        <v>160</v>
      </c>
      <c r="AT216" s="129" t="s">
        <v>160</v>
      </c>
      <c r="AU216" s="129" t="s">
        <v>423</v>
      </c>
      <c r="AV216" s="129" t="s">
        <v>161</v>
      </c>
      <c r="AW216" s="129" t="s">
        <v>424</v>
      </c>
      <c r="AX216" s="178">
        <v>2</v>
      </c>
      <c r="AY216" s="129" t="s">
        <v>194</v>
      </c>
      <c r="AZ216" s="129" t="s">
        <v>195</v>
      </c>
      <c r="BA216" s="129" t="s">
        <v>425</v>
      </c>
      <c r="BB216" s="129" t="s">
        <v>160</v>
      </c>
      <c r="BC216" s="178">
        <v>2</v>
      </c>
      <c r="BD216" s="129" t="s">
        <v>160</v>
      </c>
      <c r="BE216" s="151">
        <v>20.564001139999998</v>
      </c>
      <c r="BF216" s="129" t="s">
        <v>426</v>
      </c>
      <c r="BG216" s="151">
        <v>0.17050941999999999</v>
      </c>
      <c r="BH216" s="129">
        <v>0.64</v>
      </c>
      <c r="BI216" s="129" t="s">
        <v>427</v>
      </c>
      <c r="BJ216" s="129">
        <v>3.4000000000000002E-2</v>
      </c>
      <c r="BK216" s="129">
        <v>9.1</v>
      </c>
      <c r="BL216" s="129" t="s">
        <v>163</v>
      </c>
      <c r="BM216" s="129">
        <v>0.56000000000000005</v>
      </c>
      <c r="BN216" s="129" t="s">
        <v>428</v>
      </c>
      <c r="BO216" s="129" t="s">
        <v>429</v>
      </c>
      <c r="BP216" s="151">
        <f t="shared" si="24"/>
        <v>19.490001899999999</v>
      </c>
      <c r="BQ216" s="129" t="s">
        <v>202</v>
      </c>
      <c r="BR216" s="217"/>
      <c r="BS216" s="129" t="s">
        <v>160</v>
      </c>
      <c r="BT216" s="129" t="s">
        <v>160</v>
      </c>
      <c r="BU216" s="129">
        <v>10</v>
      </c>
      <c r="BV216" s="129" t="s">
        <v>159</v>
      </c>
      <c r="BW216" s="129">
        <v>10</v>
      </c>
      <c r="BX216" s="145">
        <v>26.304711749999999</v>
      </c>
      <c r="BY216" s="129" t="s">
        <v>159</v>
      </c>
      <c r="BZ216" s="129">
        <v>1</v>
      </c>
      <c r="CA216" s="129">
        <v>1</v>
      </c>
      <c r="CB216" s="129" t="s">
        <v>160</v>
      </c>
      <c r="CC216" s="151">
        <v>3.809790274253829</v>
      </c>
      <c r="CD216" s="129" t="s">
        <v>430</v>
      </c>
      <c r="CE216" s="151">
        <f t="shared" si="21"/>
        <v>0.15239161097015316</v>
      </c>
      <c r="CF216" s="151">
        <v>0.15239161097015316</v>
      </c>
      <c r="CG216" s="178" t="s">
        <v>160</v>
      </c>
      <c r="CH216" s="129" t="s">
        <v>431</v>
      </c>
      <c r="CI216" s="129" t="s">
        <v>160</v>
      </c>
      <c r="CJ216" s="129" t="s">
        <v>432</v>
      </c>
      <c r="CK216" s="129" t="s">
        <v>158</v>
      </c>
      <c r="CL216" s="129" t="s">
        <v>158</v>
      </c>
      <c r="CM216" s="129" t="s">
        <v>158</v>
      </c>
      <c r="CN216" s="129" t="s">
        <v>160</v>
      </c>
      <c r="CO216" s="129" t="s">
        <v>160</v>
      </c>
      <c r="CP216" s="129" t="s">
        <v>160</v>
      </c>
      <c r="CQ216" s="129" t="s">
        <v>160</v>
      </c>
      <c r="CR216" s="129" t="s">
        <v>160</v>
      </c>
      <c r="CS216" s="129" t="s">
        <v>160</v>
      </c>
      <c r="CT216" s="129" t="s">
        <v>160</v>
      </c>
      <c r="CU216" s="129">
        <v>35</v>
      </c>
      <c r="CV216" s="129" t="s">
        <v>393</v>
      </c>
      <c r="CW216" s="146">
        <v>1</v>
      </c>
      <c r="CX216" s="129" t="s">
        <v>207</v>
      </c>
      <c r="CY216" s="129">
        <v>1.06E-2</v>
      </c>
      <c r="CZ216" s="129" t="s">
        <v>159</v>
      </c>
      <c r="DA216" s="146">
        <v>0</v>
      </c>
      <c r="DB216" s="129" t="s">
        <v>208</v>
      </c>
      <c r="DC216" s="129">
        <v>5.5100000000000003E-2</v>
      </c>
      <c r="DD216" s="129" t="s">
        <v>159</v>
      </c>
      <c r="DE216" s="146">
        <v>0</v>
      </c>
      <c r="DF216" s="129" t="s">
        <v>208</v>
      </c>
      <c r="DG216" s="129" t="s">
        <v>160</v>
      </c>
      <c r="DH216" s="129" t="s">
        <v>160</v>
      </c>
      <c r="DI216" s="129" t="s">
        <v>160</v>
      </c>
      <c r="DJ216" s="129" t="s">
        <v>160</v>
      </c>
      <c r="DK216" s="145">
        <v>432.56244218316402</v>
      </c>
      <c r="DL216" s="129" t="s">
        <v>433</v>
      </c>
      <c r="DM216" s="145" t="s">
        <v>160</v>
      </c>
      <c r="DN216" s="129" t="s">
        <v>434</v>
      </c>
      <c r="DO216" s="129">
        <v>39.599730000000001</v>
      </c>
      <c r="DP216" s="129" t="s">
        <v>160</v>
      </c>
      <c r="DQ216" s="129">
        <v>0.32907000000000153</v>
      </c>
      <c r="DR216" s="129" t="s">
        <v>435</v>
      </c>
      <c r="DS216" s="129" t="s">
        <v>212</v>
      </c>
      <c r="DT216" s="129" t="s">
        <v>213</v>
      </c>
      <c r="DU216" s="129">
        <v>1.0271999999999999</v>
      </c>
      <c r="DV216" s="129" t="s">
        <v>160</v>
      </c>
      <c r="DW216" s="129" t="s">
        <v>160</v>
      </c>
      <c r="DX216" s="129" t="s">
        <v>436</v>
      </c>
      <c r="DY216" s="129" t="s">
        <v>158</v>
      </c>
      <c r="DZ216" s="129" t="s">
        <v>158</v>
      </c>
      <c r="EA216" s="129" t="s">
        <v>216</v>
      </c>
      <c r="EB216" s="129" t="s">
        <v>212</v>
      </c>
      <c r="EC216" s="129" t="s">
        <v>212</v>
      </c>
      <c r="ED216" s="129" t="s">
        <v>212</v>
      </c>
      <c r="EE216" s="129" t="s">
        <v>217</v>
      </c>
      <c r="EF216" s="147" t="s">
        <v>213</v>
      </c>
      <c r="EG216" s="148" t="s">
        <v>213</v>
      </c>
      <c r="EH216" s="129" t="s">
        <v>218</v>
      </c>
      <c r="EI216" s="129" t="s">
        <v>417</v>
      </c>
      <c r="EJ216" s="129" t="s">
        <v>160</v>
      </c>
      <c r="EK216" s="129">
        <v>1974.819</v>
      </c>
      <c r="EL216" s="129" t="s">
        <v>163</v>
      </c>
      <c r="EM216" s="129">
        <v>21.069999999999769</v>
      </c>
      <c r="EN216" s="129">
        <v>20.660999999999945</v>
      </c>
      <c r="EO216" s="129" t="s">
        <v>160</v>
      </c>
      <c r="EP216" s="129" t="s">
        <v>160</v>
      </c>
      <c r="EQ216" s="129" t="s">
        <v>160</v>
      </c>
      <c r="ER216" s="129" t="s">
        <v>160</v>
      </c>
      <c r="ES216" s="201">
        <v>8.1495309999999996</v>
      </c>
      <c r="ET216" s="129" t="s">
        <v>165</v>
      </c>
      <c r="EU216" s="151">
        <v>3.8350000000001216E-2</v>
      </c>
      <c r="EV216" s="151">
        <v>3.9743999999998891E-2</v>
      </c>
      <c r="EW216" s="142" t="s">
        <v>160</v>
      </c>
      <c r="EX216" s="129" t="s">
        <v>160</v>
      </c>
      <c r="EY216" s="129" t="s">
        <v>160</v>
      </c>
      <c r="EZ216" s="208">
        <v>262.84460000000001</v>
      </c>
      <c r="FA216" s="209">
        <v>31.533000000000015</v>
      </c>
      <c r="FB216" s="209">
        <v>27.705600000000004</v>
      </c>
      <c r="FC216" s="129" t="s">
        <v>220</v>
      </c>
      <c r="FD216" s="129" t="s">
        <v>221</v>
      </c>
      <c r="FE216" s="129">
        <v>2306.665</v>
      </c>
      <c r="FF216" s="129">
        <v>42.001999999999953</v>
      </c>
      <c r="FG216" s="129">
        <v>39.608000000000175</v>
      </c>
      <c r="FH216" s="129" t="s">
        <v>160</v>
      </c>
      <c r="FI216" s="129" t="s">
        <v>160</v>
      </c>
      <c r="FJ216" s="129" t="s">
        <v>160</v>
      </c>
      <c r="FK216" s="129" t="s">
        <v>160</v>
      </c>
      <c r="FL216" s="129" t="s">
        <v>160</v>
      </c>
      <c r="FM216" s="129" t="s">
        <v>160</v>
      </c>
      <c r="FN216" s="151">
        <v>4.434215</v>
      </c>
      <c r="FO216" s="151">
        <v>0.29899699999999996</v>
      </c>
      <c r="FP216" s="151">
        <v>0.28838100000000022</v>
      </c>
      <c r="FQ216" s="178" t="s">
        <v>419</v>
      </c>
      <c r="FR216" s="129" t="s">
        <v>415</v>
      </c>
      <c r="FS216" s="129">
        <v>2017</v>
      </c>
      <c r="FT216" s="131" t="s">
        <v>416</v>
      </c>
    </row>
    <row r="217" spans="1:191" s="129" customFormat="1">
      <c r="A217" s="129" t="s">
        <v>152</v>
      </c>
      <c r="B217" s="166" t="s">
        <v>183</v>
      </c>
      <c r="C217" s="166">
        <v>2018</v>
      </c>
      <c r="D217" s="166" t="s">
        <v>184</v>
      </c>
      <c r="E217" s="145">
        <f t="shared" si="22"/>
        <v>1239.83</v>
      </c>
      <c r="F217" s="129">
        <f t="shared" si="23"/>
        <v>2</v>
      </c>
      <c r="G217" s="129">
        <f t="shared" si="23"/>
        <v>2</v>
      </c>
      <c r="H217" s="191">
        <v>269.29570000000001</v>
      </c>
      <c r="I217" s="191">
        <v>33.064899999999966</v>
      </c>
      <c r="J217" s="191">
        <v>29.433600000000013</v>
      </c>
      <c r="K217" s="129" t="s">
        <v>457</v>
      </c>
      <c r="L217" s="131" t="s">
        <v>185</v>
      </c>
      <c r="M217" s="132" t="s">
        <v>186</v>
      </c>
      <c r="N217" s="129" t="s">
        <v>184</v>
      </c>
      <c r="O217" s="129" t="s">
        <v>420</v>
      </c>
      <c r="P217" s="210" t="s">
        <v>438</v>
      </c>
      <c r="Q217" s="210">
        <v>5</v>
      </c>
      <c r="R217" s="210">
        <v>4</v>
      </c>
      <c r="S217" s="211">
        <v>21</v>
      </c>
      <c r="T217" s="211">
        <f t="shared" si="20"/>
        <v>23</v>
      </c>
      <c r="U217" s="212">
        <v>40.81</v>
      </c>
      <c r="V217" s="212">
        <v>40.81</v>
      </c>
      <c r="W217" s="129" t="s">
        <v>160</v>
      </c>
      <c r="X217" s="129" t="s">
        <v>421</v>
      </c>
      <c r="Y217" s="200">
        <v>12.74</v>
      </c>
      <c r="Z217" s="200">
        <v>-78.739999999999995</v>
      </c>
      <c r="AA217" s="129" t="s">
        <v>160</v>
      </c>
      <c r="AB217" s="129" t="s">
        <v>160</v>
      </c>
      <c r="AC217" s="129">
        <v>-2839</v>
      </c>
      <c r="AD217" s="129" t="s">
        <v>160</v>
      </c>
      <c r="AE217" s="129" t="s">
        <v>160</v>
      </c>
      <c r="AF217" s="129" t="s">
        <v>160</v>
      </c>
      <c r="AG217" s="129">
        <v>1239.83</v>
      </c>
      <c r="AH217" s="129" t="s">
        <v>163</v>
      </c>
      <c r="AI217" s="129">
        <v>2</v>
      </c>
      <c r="AJ217" s="129">
        <v>2</v>
      </c>
      <c r="AK217" s="129" t="s">
        <v>160</v>
      </c>
      <c r="AL217" s="129" t="s">
        <v>422</v>
      </c>
      <c r="AM217" s="129" t="s">
        <v>160</v>
      </c>
      <c r="AN217" s="129" t="s">
        <v>160</v>
      </c>
      <c r="AO217" s="129" t="s">
        <v>160</v>
      </c>
      <c r="AP217" s="129" t="s">
        <v>160</v>
      </c>
      <c r="AQ217" s="129" t="s">
        <v>160</v>
      </c>
      <c r="AR217" s="129" t="s">
        <v>160</v>
      </c>
      <c r="AS217" s="129" t="s">
        <v>160</v>
      </c>
      <c r="AT217" s="129" t="s">
        <v>160</v>
      </c>
      <c r="AU217" s="129" t="s">
        <v>423</v>
      </c>
      <c r="AV217" s="129" t="s">
        <v>161</v>
      </c>
      <c r="AW217" s="129" t="s">
        <v>424</v>
      </c>
      <c r="AX217" s="178">
        <v>2</v>
      </c>
      <c r="AY217" s="129" t="s">
        <v>194</v>
      </c>
      <c r="AZ217" s="129" t="s">
        <v>195</v>
      </c>
      <c r="BA217" s="129" t="s">
        <v>425</v>
      </c>
      <c r="BB217" s="129" t="s">
        <v>160</v>
      </c>
      <c r="BC217" s="178">
        <v>2</v>
      </c>
      <c r="BD217" s="129" t="s">
        <v>160</v>
      </c>
      <c r="BE217" s="151">
        <v>20.54738004</v>
      </c>
      <c r="BF217" s="129" t="s">
        <v>426</v>
      </c>
      <c r="BG217" s="151">
        <v>0.207386182</v>
      </c>
      <c r="BH217" s="129">
        <v>0.64</v>
      </c>
      <c r="BI217" s="129" t="s">
        <v>427</v>
      </c>
      <c r="BJ217" s="129">
        <v>3.4000000000000002E-2</v>
      </c>
      <c r="BK217" s="129">
        <v>9.1</v>
      </c>
      <c r="BL217" s="129" t="s">
        <v>163</v>
      </c>
      <c r="BM217" s="129">
        <v>0.56000000000000005</v>
      </c>
      <c r="BN217" s="129" t="s">
        <v>428</v>
      </c>
      <c r="BO217" s="129" t="s">
        <v>429</v>
      </c>
      <c r="BP217" s="151">
        <f t="shared" si="24"/>
        <v>19.462300066666668</v>
      </c>
      <c r="BQ217" s="129" t="s">
        <v>202</v>
      </c>
      <c r="BR217" s="217"/>
      <c r="BS217" s="129" t="s">
        <v>160</v>
      </c>
      <c r="BT217" s="129" t="s">
        <v>160</v>
      </c>
      <c r="BU217" s="129">
        <v>10</v>
      </c>
      <c r="BV217" s="129" t="s">
        <v>159</v>
      </c>
      <c r="BW217" s="129">
        <v>10</v>
      </c>
      <c r="BX217" s="145">
        <v>26.790870470000002</v>
      </c>
      <c r="BY217" s="129" t="s">
        <v>159</v>
      </c>
      <c r="BZ217" s="129">
        <v>1</v>
      </c>
      <c r="CA217" s="129">
        <v>1</v>
      </c>
      <c r="CB217" s="129" t="s">
        <v>160</v>
      </c>
      <c r="CC217" s="151">
        <v>3.9743824857629071</v>
      </c>
      <c r="CD217" s="129" t="s">
        <v>430</v>
      </c>
      <c r="CE217" s="151">
        <f t="shared" si="21"/>
        <v>0.15897529943051628</v>
      </c>
      <c r="CF217" s="151">
        <v>0.15897529943051628</v>
      </c>
      <c r="CG217" s="178" t="s">
        <v>160</v>
      </c>
      <c r="CH217" s="129" t="s">
        <v>431</v>
      </c>
      <c r="CI217" s="129" t="s">
        <v>160</v>
      </c>
      <c r="CJ217" s="129" t="s">
        <v>432</v>
      </c>
      <c r="CK217" s="129" t="s">
        <v>158</v>
      </c>
      <c r="CL217" s="129" t="s">
        <v>158</v>
      </c>
      <c r="CM217" s="129" t="s">
        <v>158</v>
      </c>
      <c r="CN217" s="129" t="s">
        <v>160</v>
      </c>
      <c r="CO217" s="129" t="s">
        <v>160</v>
      </c>
      <c r="CP217" s="129" t="s">
        <v>160</v>
      </c>
      <c r="CQ217" s="129" t="s">
        <v>160</v>
      </c>
      <c r="CR217" s="129" t="s">
        <v>160</v>
      </c>
      <c r="CS217" s="129" t="s">
        <v>160</v>
      </c>
      <c r="CT217" s="129" t="s">
        <v>160</v>
      </c>
      <c r="CU217" s="129">
        <v>35</v>
      </c>
      <c r="CV217" s="129" t="s">
        <v>393</v>
      </c>
      <c r="CW217" s="146">
        <v>1</v>
      </c>
      <c r="CX217" s="129" t="s">
        <v>207</v>
      </c>
      <c r="CY217" s="129">
        <v>1.06E-2</v>
      </c>
      <c r="CZ217" s="129" t="s">
        <v>159</v>
      </c>
      <c r="DA217" s="146">
        <v>0</v>
      </c>
      <c r="DB217" s="129" t="s">
        <v>208</v>
      </c>
      <c r="DC217" s="129">
        <v>5.5100000000000003E-2</v>
      </c>
      <c r="DD217" s="129" t="s">
        <v>159</v>
      </c>
      <c r="DE217" s="146">
        <v>0</v>
      </c>
      <c r="DF217" s="129" t="s">
        <v>208</v>
      </c>
      <c r="DG217" s="129" t="s">
        <v>160</v>
      </c>
      <c r="DH217" s="129" t="s">
        <v>160</v>
      </c>
      <c r="DI217" s="129" t="s">
        <v>160</v>
      </c>
      <c r="DJ217" s="129" t="s">
        <v>160</v>
      </c>
      <c r="DK217" s="145">
        <v>432.56244218316402</v>
      </c>
      <c r="DL217" s="129" t="s">
        <v>433</v>
      </c>
      <c r="DM217" s="145" t="s">
        <v>160</v>
      </c>
      <c r="DN217" s="129" t="s">
        <v>434</v>
      </c>
      <c r="DO217" s="129">
        <v>39.601979999999998</v>
      </c>
      <c r="DP217" s="129" t="s">
        <v>160</v>
      </c>
      <c r="DQ217" s="129">
        <v>0.32370000000000232</v>
      </c>
      <c r="DR217" s="129" t="s">
        <v>435</v>
      </c>
      <c r="DS217" s="129" t="s">
        <v>212</v>
      </c>
      <c r="DT217" s="129" t="s">
        <v>213</v>
      </c>
      <c r="DU217" s="129">
        <v>1.0271999999999999</v>
      </c>
      <c r="DV217" s="129" t="s">
        <v>160</v>
      </c>
      <c r="DW217" s="129" t="s">
        <v>160</v>
      </c>
      <c r="DX217" s="129" t="s">
        <v>436</v>
      </c>
      <c r="DY217" s="129" t="s">
        <v>158</v>
      </c>
      <c r="DZ217" s="129" t="s">
        <v>158</v>
      </c>
      <c r="EA217" s="129" t="s">
        <v>216</v>
      </c>
      <c r="EB217" s="129" t="s">
        <v>212</v>
      </c>
      <c r="EC217" s="129" t="s">
        <v>212</v>
      </c>
      <c r="ED217" s="129" t="s">
        <v>212</v>
      </c>
      <c r="EE217" s="129" t="s">
        <v>217</v>
      </c>
      <c r="EF217" s="147" t="s">
        <v>213</v>
      </c>
      <c r="EG217" s="148" t="s">
        <v>213</v>
      </c>
      <c r="EH217" s="129" t="s">
        <v>218</v>
      </c>
      <c r="EI217" s="129" t="s">
        <v>417</v>
      </c>
      <c r="EJ217" s="129" t="s">
        <v>160</v>
      </c>
      <c r="EK217" s="129">
        <v>1974.9239999999998</v>
      </c>
      <c r="EL217" s="129" t="s">
        <v>163</v>
      </c>
      <c r="EM217" s="129">
        <v>20.753000000000092</v>
      </c>
      <c r="EN217" s="129">
        <v>20.764999999999848</v>
      </c>
      <c r="EO217" s="129" t="s">
        <v>160</v>
      </c>
      <c r="EP217" s="129" t="s">
        <v>160</v>
      </c>
      <c r="EQ217" s="129" t="s">
        <v>160</v>
      </c>
      <c r="ER217" s="129" t="s">
        <v>160</v>
      </c>
      <c r="ES217" s="201">
        <v>8.1412580000000005</v>
      </c>
      <c r="ET217" s="129" t="s">
        <v>165</v>
      </c>
      <c r="EU217" s="151">
        <v>4.02199999999997E-2</v>
      </c>
      <c r="EV217" s="151">
        <v>4.0190000000000836E-2</v>
      </c>
      <c r="EW217" s="142" t="s">
        <v>160</v>
      </c>
      <c r="EX217" s="129" t="s">
        <v>160</v>
      </c>
      <c r="EY217" s="129" t="s">
        <v>160</v>
      </c>
      <c r="EZ217" s="208">
        <v>269.29570000000001</v>
      </c>
      <c r="FA217" s="209">
        <v>33.064899999999966</v>
      </c>
      <c r="FB217" s="209">
        <v>29.433600000000013</v>
      </c>
      <c r="FC217" s="129" t="s">
        <v>220</v>
      </c>
      <c r="FD217" s="129" t="s">
        <v>221</v>
      </c>
      <c r="FE217" s="129">
        <v>2306.1759999999999</v>
      </c>
      <c r="FF217" s="129">
        <v>42.124000000000251</v>
      </c>
      <c r="FG217" s="129">
        <v>41.549999999999727</v>
      </c>
      <c r="FH217" s="129" t="s">
        <v>160</v>
      </c>
      <c r="FI217" s="129" t="s">
        <v>160</v>
      </c>
      <c r="FJ217" s="129" t="s">
        <v>160</v>
      </c>
      <c r="FK217" s="129" t="s">
        <v>160</v>
      </c>
      <c r="FL217" s="129" t="s">
        <v>160</v>
      </c>
      <c r="FM217" s="129" t="s">
        <v>160</v>
      </c>
      <c r="FN217" s="151">
        <v>4.4411940000000003</v>
      </c>
      <c r="FO217" s="151">
        <v>0.31349599999999977</v>
      </c>
      <c r="FP217" s="151">
        <v>0.30258600000000069</v>
      </c>
      <c r="FQ217" s="178" t="s">
        <v>419</v>
      </c>
      <c r="FR217" s="129" t="s">
        <v>415</v>
      </c>
      <c r="FS217" s="129">
        <v>2017</v>
      </c>
      <c r="FT217" s="131" t="s">
        <v>416</v>
      </c>
    </row>
    <row r="218" spans="1:191" s="129" customFormat="1">
      <c r="A218" s="129" t="s">
        <v>152</v>
      </c>
      <c r="B218" s="166" t="s">
        <v>183</v>
      </c>
      <c r="C218" s="166">
        <v>2018</v>
      </c>
      <c r="D218" s="166" t="s">
        <v>184</v>
      </c>
      <c r="E218" s="145">
        <f t="shared" si="22"/>
        <v>1243.25</v>
      </c>
      <c r="F218" s="129">
        <f t="shared" si="23"/>
        <v>2</v>
      </c>
      <c r="G218" s="129">
        <f t="shared" si="23"/>
        <v>2</v>
      </c>
      <c r="H218" s="191">
        <v>292.57239999999996</v>
      </c>
      <c r="I218" s="191">
        <v>34.632200000000012</v>
      </c>
      <c r="J218" s="191">
        <v>30.691899999999976</v>
      </c>
      <c r="K218" s="129" t="s">
        <v>457</v>
      </c>
      <c r="L218" s="131" t="s">
        <v>185</v>
      </c>
      <c r="M218" s="132" t="s">
        <v>186</v>
      </c>
      <c r="N218" s="129" t="s">
        <v>184</v>
      </c>
      <c r="O218" s="129" t="s">
        <v>420</v>
      </c>
      <c r="P218" s="205" t="s">
        <v>438</v>
      </c>
      <c r="Q218" s="205">
        <v>5</v>
      </c>
      <c r="R218" s="205">
        <v>4</v>
      </c>
      <c r="S218" s="206">
        <v>29</v>
      </c>
      <c r="T218" s="206">
        <f t="shared" si="20"/>
        <v>31</v>
      </c>
      <c r="U218" s="207">
        <v>40.89</v>
      </c>
      <c r="V218" s="207">
        <v>40.89</v>
      </c>
      <c r="W218" s="129" t="s">
        <v>160</v>
      </c>
      <c r="X218" s="129" t="s">
        <v>421</v>
      </c>
      <c r="Y218" s="200">
        <v>12.74</v>
      </c>
      <c r="Z218" s="200">
        <v>-78.739999999999995</v>
      </c>
      <c r="AA218" s="129" t="s">
        <v>160</v>
      </c>
      <c r="AB218" s="129" t="s">
        <v>160</v>
      </c>
      <c r="AC218" s="129">
        <v>-2839</v>
      </c>
      <c r="AD218" s="129" t="s">
        <v>160</v>
      </c>
      <c r="AE218" s="129" t="s">
        <v>160</v>
      </c>
      <c r="AF218" s="129" t="s">
        <v>160</v>
      </c>
      <c r="AG218" s="129">
        <v>1243.25</v>
      </c>
      <c r="AH218" s="129" t="s">
        <v>163</v>
      </c>
      <c r="AI218" s="129">
        <v>2</v>
      </c>
      <c r="AJ218" s="129">
        <v>2</v>
      </c>
      <c r="AK218" s="129" t="s">
        <v>160</v>
      </c>
      <c r="AL218" s="129" t="s">
        <v>422</v>
      </c>
      <c r="AM218" s="129" t="s">
        <v>160</v>
      </c>
      <c r="AN218" s="129" t="s">
        <v>160</v>
      </c>
      <c r="AO218" s="129" t="s">
        <v>160</v>
      </c>
      <c r="AP218" s="129" t="s">
        <v>160</v>
      </c>
      <c r="AQ218" s="129" t="s">
        <v>160</v>
      </c>
      <c r="AR218" s="129" t="s">
        <v>160</v>
      </c>
      <c r="AS218" s="129" t="s">
        <v>160</v>
      </c>
      <c r="AT218" s="129" t="s">
        <v>160</v>
      </c>
      <c r="AU218" s="129" t="s">
        <v>423</v>
      </c>
      <c r="AV218" s="129" t="s">
        <v>161</v>
      </c>
      <c r="AW218" s="129" t="s">
        <v>424</v>
      </c>
      <c r="AX218" s="178">
        <v>2</v>
      </c>
      <c r="AY218" s="129" t="s">
        <v>194</v>
      </c>
      <c r="AZ218" s="129" t="s">
        <v>195</v>
      </c>
      <c r="BA218" s="129" t="s">
        <v>425</v>
      </c>
      <c r="BB218" s="129" t="s">
        <v>160</v>
      </c>
      <c r="BC218" s="178">
        <v>2</v>
      </c>
      <c r="BD218" s="129" t="s">
        <v>160</v>
      </c>
      <c r="BE218" s="151">
        <v>20.46</v>
      </c>
      <c r="BF218" s="129" t="s">
        <v>426</v>
      </c>
      <c r="BG218" s="151">
        <v>0.15259805400000001</v>
      </c>
      <c r="BH218" s="129">
        <v>0.64</v>
      </c>
      <c r="BI218" s="129" t="s">
        <v>427</v>
      </c>
      <c r="BJ218" s="129">
        <v>3.4000000000000002E-2</v>
      </c>
      <c r="BK218" s="129">
        <v>9.1</v>
      </c>
      <c r="BL218" s="129" t="s">
        <v>163</v>
      </c>
      <c r="BM218" s="129">
        <v>0.56000000000000005</v>
      </c>
      <c r="BN218" s="129" t="s">
        <v>428</v>
      </c>
      <c r="BO218" s="129" t="s">
        <v>429</v>
      </c>
      <c r="BP218" s="151">
        <f t="shared" si="24"/>
        <v>19.31666666666667</v>
      </c>
      <c r="BQ218" s="129" t="s">
        <v>202</v>
      </c>
      <c r="BR218" s="217"/>
      <c r="BS218" s="129" t="s">
        <v>160</v>
      </c>
      <c r="BT218" s="129" t="s">
        <v>160</v>
      </c>
      <c r="BU218" s="129">
        <v>10</v>
      </c>
      <c r="BV218" s="129" t="s">
        <v>159</v>
      </c>
      <c r="BW218" s="129">
        <v>10</v>
      </c>
      <c r="BX218" s="145">
        <v>28.171230820000002</v>
      </c>
      <c r="BY218" s="129" t="s">
        <v>159</v>
      </c>
      <c r="BZ218" s="129">
        <v>1</v>
      </c>
      <c r="CA218" s="129">
        <v>1</v>
      </c>
      <c r="CB218" s="129" t="s">
        <v>160</v>
      </c>
      <c r="CC218" s="151">
        <v>4.4918539232517594</v>
      </c>
      <c r="CD218" s="129" t="s">
        <v>430</v>
      </c>
      <c r="CE218" s="151">
        <f t="shared" si="21"/>
        <v>0.17967415693007038</v>
      </c>
      <c r="CF218" s="151">
        <v>0.17967415693007038</v>
      </c>
      <c r="CG218" s="178" t="s">
        <v>160</v>
      </c>
      <c r="CH218" s="129" t="s">
        <v>431</v>
      </c>
      <c r="CI218" s="129" t="s">
        <v>160</v>
      </c>
      <c r="CJ218" s="129" t="s">
        <v>432</v>
      </c>
      <c r="CK218" s="129" t="s">
        <v>158</v>
      </c>
      <c r="CL218" s="129" t="s">
        <v>158</v>
      </c>
      <c r="CM218" s="129" t="s">
        <v>158</v>
      </c>
      <c r="CN218" s="129" t="s">
        <v>160</v>
      </c>
      <c r="CO218" s="129" t="s">
        <v>160</v>
      </c>
      <c r="CP218" s="129" t="s">
        <v>160</v>
      </c>
      <c r="CQ218" s="129" t="s">
        <v>160</v>
      </c>
      <c r="CR218" s="129" t="s">
        <v>160</v>
      </c>
      <c r="CS218" s="129" t="s">
        <v>160</v>
      </c>
      <c r="CT218" s="129" t="s">
        <v>160</v>
      </c>
      <c r="CU218" s="129">
        <v>35</v>
      </c>
      <c r="CV218" s="129" t="s">
        <v>393</v>
      </c>
      <c r="CW218" s="146">
        <v>1</v>
      </c>
      <c r="CX218" s="129" t="s">
        <v>207</v>
      </c>
      <c r="CY218" s="129">
        <v>1.06E-2</v>
      </c>
      <c r="CZ218" s="129" t="s">
        <v>159</v>
      </c>
      <c r="DA218" s="146">
        <v>0</v>
      </c>
      <c r="DB218" s="129" t="s">
        <v>208</v>
      </c>
      <c r="DC218" s="129">
        <v>5.5100000000000003E-2</v>
      </c>
      <c r="DD218" s="129" t="s">
        <v>159</v>
      </c>
      <c r="DE218" s="146">
        <v>0</v>
      </c>
      <c r="DF218" s="129" t="s">
        <v>208</v>
      </c>
      <c r="DG218" s="129" t="s">
        <v>160</v>
      </c>
      <c r="DH218" s="129" t="s">
        <v>160</v>
      </c>
      <c r="DI218" s="129" t="s">
        <v>160</v>
      </c>
      <c r="DJ218" s="129" t="s">
        <v>160</v>
      </c>
      <c r="DK218" s="145">
        <v>432.56244218316402</v>
      </c>
      <c r="DL218" s="129" t="s">
        <v>433</v>
      </c>
      <c r="DM218" s="145" t="s">
        <v>160</v>
      </c>
      <c r="DN218" s="129" t="s">
        <v>434</v>
      </c>
      <c r="DO218" s="129">
        <v>39.603189999999998</v>
      </c>
      <c r="DP218" s="129" t="s">
        <v>160</v>
      </c>
      <c r="DQ218" s="129">
        <v>0.32950000000000301</v>
      </c>
      <c r="DR218" s="129" t="s">
        <v>435</v>
      </c>
      <c r="DS218" s="129" t="s">
        <v>212</v>
      </c>
      <c r="DT218" s="129" t="s">
        <v>213</v>
      </c>
      <c r="DU218" s="129">
        <v>1.0271999999999999</v>
      </c>
      <c r="DV218" s="129" t="s">
        <v>160</v>
      </c>
      <c r="DW218" s="129" t="s">
        <v>160</v>
      </c>
      <c r="DX218" s="129" t="s">
        <v>436</v>
      </c>
      <c r="DY218" s="129" t="s">
        <v>158</v>
      </c>
      <c r="DZ218" s="129" t="s">
        <v>158</v>
      </c>
      <c r="EA218" s="129" t="s">
        <v>216</v>
      </c>
      <c r="EB218" s="129" t="s">
        <v>212</v>
      </c>
      <c r="EC218" s="129" t="s">
        <v>212</v>
      </c>
      <c r="ED218" s="129" t="s">
        <v>212</v>
      </c>
      <c r="EE218" s="129" t="s">
        <v>217</v>
      </c>
      <c r="EF218" s="147" t="s">
        <v>213</v>
      </c>
      <c r="EG218" s="148" t="s">
        <v>213</v>
      </c>
      <c r="EH218" s="129" t="s">
        <v>218</v>
      </c>
      <c r="EI218" s="129" t="s">
        <v>417</v>
      </c>
      <c r="EJ218" s="129" t="s">
        <v>160</v>
      </c>
      <c r="EK218" s="129">
        <v>1974.7139999999997</v>
      </c>
      <c r="EL218" s="129" t="s">
        <v>163</v>
      </c>
      <c r="EM218" s="129">
        <v>20.889000000000063</v>
      </c>
      <c r="EN218" s="129">
        <v>21.283999999999885</v>
      </c>
      <c r="EO218" s="129" t="s">
        <v>160</v>
      </c>
      <c r="EP218" s="129" t="s">
        <v>160</v>
      </c>
      <c r="EQ218" s="129" t="s">
        <v>160</v>
      </c>
      <c r="ER218" s="129" t="s">
        <v>160</v>
      </c>
      <c r="ES218" s="201">
        <v>8.1131049999999991</v>
      </c>
      <c r="ET218" s="129" t="s">
        <v>165</v>
      </c>
      <c r="EU218" s="151">
        <v>3.8260000000001071E-2</v>
      </c>
      <c r="EV218" s="151">
        <v>3.9511999999998437E-2</v>
      </c>
      <c r="EW218" s="142" t="s">
        <v>160</v>
      </c>
      <c r="EX218" s="129" t="s">
        <v>160</v>
      </c>
      <c r="EY218" s="129" t="s">
        <v>160</v>
      </c>
      <c r="EZ218" s="208">
        <v>292.57239999999996</v>
      </c>
      <c r="FA218" s="191">
        <v>34.632200000000012</v>
      </c>
      <c r="FB218" s="191">
        <v>30.691899999999976</v>
      </c>
      <c r="FC218" s="129" t="s">
        <v>220</v>
      </c>
      <c r="FD218" s="129" t="s">
        <v>221</v>
      </c>
      <c r="FE218" s="129">
        <v>2300.422</v>
      </c>
      <c r="FF218" s="129">
        <v>41.206000000000131</v>
      </c>
      <c r="FG218" s="129">
        <v>41.091000000000349</v>
      </c>
      <c r="FH218" s="129" t="s">
        <v>160</v>
      </c>
      <c r="FI218" s="129" t="s">
        <v>160</v>
      </c>
      <c r="FJ218" s="129" t="s">
        <v>160</v>
      </c>
      <c r="FK218" s="129" t="s">
        <v>160</v>
      </c>
      <c r="FL218" s="129" t="s">
        <v>160</v>
      </c>
      <c r="FM218" s="129" t="s">
        <v>160</v>
      </c>
      <c r="FN218" s="151">
        <v>4.4226130000000001</v>
      </c>
      <c r="FO218" s="151">
        <v>0.297377</v>
      </c>
      <c r="FP218" s="151">
        <v>0.29647899999999971</v>
      </c>
      <c r="FQ218" s="178" t="s">
        <v>419</v>
      </c>
      <c r="FR218" s="129" t="s">
        <v>415</v>
      </c>
      <c r="FS218" s="129">
        <v>2017</v>
      </c>
      <c r="FT218" s="131" t="s">
        <v>416</v>
      </c>
    </row>
    <row r="219" spans="1:191" s="129" customFormat="1" ht="17">
      <c r="A219" s="123" t="s">
        <v>152</v>
      </c>
      <c r="B219" s="166" t="s">
        <v>183</v>
      </c>
      <c r="C219" s="166">
        <v>2018</v>
      </c>
      <c r="D219" s="166" t="s">
        <v>184</v>
      </c>
      <c r="E219" s="151">
        <f t="shared" ref="E219:E282" si="25">AG219</f>
        <v>2337.82251</v>
      </c>
      <c r="F219" s="191" t="s">
        <v>160</v>
      </c>
      <c r="G219" s="191" t="s">
        <v>160</v>
      </c>
      <c r="H219" s="151">
        <v>287.89819999999997</v>
      </c>
      <c r="I219" s="151">
        <v>39.387499999999989</v>
      </c>
      <c r="J219" s="151">
        <v>33.976999999999975</v>
      </c>
      <c r="K219" s="129" t="s">
        <v>457</v>
      </c>
      <c r="L219" s="131" t="s">
        <v>185</v>
      </c>
      <c r="M219" s="132" t="s">
        <v>186</v>
      </c>
      <c r="N219" s="129" t="s">
        <v>184</v>
      </c>
      <c r="O219" s="129" t="s">
        <v>420</v>
      </c>
      <c r="P219" s="129" t="s">
        <v>156</v>
      </c>
      <c r="Q219" s="205">
        <v>9</v>
      </c>
      <c r="R219" s="205">
        <v>2</v>
      </c>
      <c r="S219" s="205">
        <v>89</v>
      </c>
      <c r="T219" s="205">
        <v>91</v>
      </c>
      <c r="U219" s="178" t="s">
        <v>160</v>
      </c>
      <c r="V219" s="178" t="s">
        <v>160</v>
      </c>
      <c r="W219" s="178" t="s">
        <v>160</v>
      </c>
      <c r="X219" s="129" t="s">
        <v>157</v>
      </c>
      <c r="Y219" s="136">
        <v>12.75</v>
      </c>
      <c r="Z219" s="136">
        <v>-78.73</v>
      </c>
      <c r="AA219" s="136">
        <v>12.75</v>
      </c>
      <c r="AB219" s="136">
        <v>-78.73</v>
      </c>
      <c r="AC219" s="136">
        <v>-2828</v>
      </c>
      <c r="AD219" s="136">
        <v>-2828</v>
      </c>
      <c r="AE219" s="129" t="s">
        <v>160</v>
      </c>
      <c r="AF219" s="129" t="s">
        <v>160</v>
      </c>
      <c r="AG219" s="141">
        <v>2337.82251</v>
      </c>
      <c r="AH219" s="138" t="s">
        <v>159</v>
      </c>
      <c r="AI219" s="129" t="s">
        <v>160</v>
      </c>
      <c r="AJ219" s="129" t="s">
        <v>160</v>
      </c>
      <c r="AK219" s="178" t="s">
        <v>160</v>
      </c>
      <c r="AL219" s="178" t="s">
        <v>441</v>
      </c>
      <c r="AM219" s="178" t="s">
        <v>160</v>
      </c>
      <c r="AN219" s="129" t="s">
        <v>160</v>
      </c>
      <c r="AO219" s="129" t="s">
        <v>160</v>
      </c>
      <c r="AP219" s="129" t="s">
        <v>160</v>
      </c>
      <c r="AQ219" s="129" t="s">
        <v>160</v>
      </c>
      <c r="AR219" s="129" t="s">
        <v>160</v>
      </c>
      <c r="AS219" s="129" t="s">
        <v>160</v>
      </c>
      <c r="AT219" s="129" t="s">
        <v>160</v>
      </c>
      <c r="AU219" s="213" t="s">
        <v>442</v>
      </c>
      <c r="AV219" s="129" t="s">
        <v>161</v>
      </c>
      <c r="AW219" s="189" t="s">
        <v>443</v>
      </c>
      <c r="AX219" s="205" t="s">
        <v>444</v>
      </c>
      <c r="AY219" s="205" t="s">
        <v>353</v>
      </c>
      <c r="AZ219" s="205" t="s">
        <v>325</v>
      </c>
      <c r="BA219" s="214" t="s">
        <v>162</v>
      </c>
      <c r="BB219" s="129" t="s">
        <v>445</v>
      </c>
      <c r="BC219" s="129" t="s">
        <v>445</v>
      </c>
      <c r="BD219" s="129" t="s">
        <v>445</v>
      </c>
      <c r="BE219" s="141">
        <v>20.233519999999999</v>
      </c>
      <c r="BF219" s="129" t="s">
        <v>446</v>
      </c>
      <c r="BG219" s="141">
        <v>9.9817040999999995E-2</v>
      </c>
      <c r="BH219" s="129">
        <v>0.6</v>
      </c>
      <c r="BI219" s="129" t="s">
        <v>427</v>
      </c>
      <c r="BJ219" s="138">
        <v>0.08</v>
      </c>
      <c r="BK219" s="129">
        <v>8.8699999999999992</v>
      </c>
      <c r="BL219" s="129" t="s">
        <v>163</v>
      </c>
      <c r="BM219" s="129">
        <v>1.52</v>
      </c>
      <c r="BN219" s="129" t="s">
        <v>447</v>
      </c>
      <c r="BO219" s="129" t="s">
        <v>448</v>
      </c>
      <c r="BP219" s="141">
        <f t="shared" ref="BP219:BP282" si="26">(BE219-8.87)/0.6</f>
        <v>18.9392</v>
      </c>
      <c r="BQ219" s="129" t="s">
        <v>202</v>
      </c>
      <c r="BR219" s="217"/>
      <c r="BS219" s="129" t="s">
        <v>160</v>
      </c>
      <c r="BT219" s="129" t="s">
        <v>160</v>
      </c>
      <c r="BU219" s="129">
        <v>10</v>
      </c>
      <c r="BV219" s="129" t="s">
        <v>159</v>
      </c>
      <c r="BW219" s="129">
        <v>10</v>
      </c>
      <c r="BX219" s="141">
        <v>26.031634907323713</v>
      </c>
      <c r="BY219" s="129" t="s">
        <v>159</v>
      </c>
      <c r="BZ219" s="129">
        <v>1</v>
      </c>
      <c r="CA219" s="129">
        <v>1</v>
      </c>
      <c r="CB219" s="141">
        <v>3.8548973369120243</v>
      </c>
      <c r="CC219" s="141">
        <v>3.8548973369120243</v>
      </c>
      <c r="CD219" s="129" t="s">
        <v>449</v>
      </c>
      <c r="CE219" s="151">
        <f t="shared" ref="CE219:CE282" si="27">CC219*0.027</f>
        <v>0.10408222809662465</v>
      </c>
      <c r="CF219" s="151">
        <f t="shared" ref="CF219:CF282" si="28">CC219*0.027</f>
        <v>0.10408222809662465</v>
      </c>
      <c r="CG219" s="145" t="s">
        <v>203</v>
      </c>
      <c r="CH219" s="129" t="s">
        <v>204</v>
      </c>
      <c r="CI219" s="129" t="s">
        <v>205</v>
      </c>
      <c r="CJ219" s="129" t="s">
        <v>206</v>
      </c>
      <c r="CK219" s="129" t="s">
        <v>158</v>
      </c>
      <c r="CL219" s="129" t="s">
        <v>158</v>
      </c>
      <c r="CM219" s="129" t="s">
        <v>158</v>
      </c>
      <c r="CN219" s="129" t="s">
        <v>160</v>
      </c>
      <c r="CO219" s="129" t="s">
        <v>160</v>
      </c>
      <c r="CP219" s="129" t="s">
        <v>160</v>
      </c>
      <c r="CQ219" s="129" t="s">
        <v>160</v>
      </c>
      <c r="CR219" s="129" t="s">
        <v>160</v>
      </c>
      <c r="CS219" s="129" t="s">
        <v>160</v>
      </c>
      <c r="CT219" s="129" t="s">
        <v>160</v>
      </c>
      <c r="CU219" s="215">
        <v>35</v>
      </c>
      <c r="CV219" s="129" t="s">
        <v>393</v>
      </c>
      <c r="CW219" s="146">
        <v>1</v>
      </c>
      <c r="CX219" s="129" t="s">
        <v>207</v>
      </c>
      <c r="CY219" s="129">
        <v>1.06E-2</v>
      </c>
      <c r="CZ219" s="129" t="s">
        <v>159</v>
      </c>
      <c r="DA219" s="146">
        <v>0</v>
      </c>
      <c r="DB219" s="129" t="s">
        <v>208</v>
      </c>
      <c r="DC219" s="129">
        <v>5.5100000000000003E-2</v>
      </c>
      <c r="DD219" s="129" t="s">
        <v>159</v>
      </c>
      <c r="DE219" s="146">
        <v>0</v>
      </c>
      <c r="DF219" s="129" t="s">
        <v>208</v>
      </c>
      <c r="DG219" s="178" t="s">
        <v>160</v>
      </c>
      <c r="DH219" s="178" t="s">
        <v>160</v>
      </c>
      <c r="DI219" s="178" t="s">
        <v>160</v>
      </c>
      <c r="DJ219" s="178" t="s">
        <v>160</v>
      </c>
      <c r="DK219" s="145">
        <v>432.56244218316402</v>
      </c>
      <c r="DL219" s="129" t="s">
        <v>433</v>
      </c>
      <c r="DM219" s="145" t="s">
        <v>160</v>
      </c>
      <c r="DN219" s="129" t="s">
        <v>434</v>
      </c>
      <c r="DO219" s="129">
        <v>39.664650000000002</v>
      </c>
      <c r="DP219" s="129" t="s">
        <v>160</v>
      </c>
      <c r="DQ219" s="129">
        <v>0.37254000000000076</v>
      </c>
      <c r="DR219" s="129" t="s">
        <v>435</v>
      </c>
      <c r="DS219" s="129" t="s">
        <v>212</v>
      </c>
      <c r="DT219" s="129" t="s">
        <v>213</v>
      </c>
      <c r="DU219" s="129">
        <v>1.0271999999999999</v>
      </c>
      <c r="DV219" s="129" t="s">
        <v>393</v>
      </c>
      <c r="DW219" s="129">
        <v>5.9999999999999995E-4</v>
      </c>
      <c r="DX219" s="129" t="s">
        <v>436</v>
      </c>
      <c r="DY219" s="129" t="s">
        <v>160</v>
      </c>
      <c r="DZ219" s="129" t="s">
        <v>160</v>
      </c>
      <c r="EA219" s="129" t="s">
        <v>216</v>
      </c>
      <c r="EB219" s="129" t="s">
        <v>212</v>
      </c>
      <c r="EC219" s="129" t="s">
        <v>212</v>
      </c>
      <c r="ED219" s="129" t="s">
        <v>212</v>
      </c>
      <c r="EE219" s="129" t="s">
        <v>217</v>
      </c>
      <c r="EF219" s="147" t="s">
        <v>213</v>
      </c>
      <c r="EG219" s="148" t="s">
        <v>213</v>
      </c>
      <c r="EH219" s="129" t="s">
        <v>218</v>
      </c>
      <c r="EI219" s="129" t="s">
        <v>417</v>
      </c>
      <c r="EJ219" s="129" t="s">
        <v>160</v>
      </c>
      <c r="EK219" s="129">
        <v>1952.4649999999999</v>
      </c>
      <c r="EL219" s="129" t="s">
        <v>163</v>
      </c>
      <c r="EM219" s="129">
        <v>39.768999999999828</v>
      </c>
      <c r="EN219" s="129">
        <v>39.280999999999949</v>
      </c>
      <c r="EO219" s="129" t="s">
        <v>160</v>
      </c>
      <c r="EP219" s="129" t="s">
        <v>160</v>
      </c>
      <c r="EQ219" s="129" t="s">
        <v>160</v>
      </c>
      <c r="ER219" s="129" t="s">
        <v>160</v>
      </c>
      <c r="ES219" s="141">
        <v>8.1137789999999992</v>
      </c>
      <c r="ET219" s="142" t="s">
        <v>165</v>
      </c>
      <c r="EU219" s="141">
        <v>4.3396000000001322E-2</v>
      </c>
      <c r="EV219" s="216">
        <v>4.5069999999999055E-2</v>
      </c>
      <c r="EW219" s="142" t="s">
        <v>160</v>
      </c>
      <c r="EX219" s="129" t="s">
        <v>160</v>
      </c>
      <c r="EY219" s="129" t="s">
        <v>160</v>
      </c>
      <c r="EZ219" s="141">
        <v>287.89819999999997</v>
      </c>
      <c r="FA219" s="216">
        <v>39.387499999999989</v>
      </c>
      <c r="FB219" s="216">
        <v>33.976999999999975</v>
      </c>
      <c r="FC219" s="129" t="s">
        <v>220</v>
      </c>
      <c r="FD219" s="129" t="s">
        <v>221</v>
      </c>
      <c r="FE219" s="129">
        <v>2251.886</v>
      </c>
      <c r="FF219" s="129">
        <v>56.768000000000029</v>
      </c>
      <c r="FG219" s="129">
        <v>55.690999999999804</v>
      </c>
      <c r="FH219" s="129" t="s">
        <v>437</v>
      </c>
      <c r="FI219" s="129" t="s">
        <v>437</v>
      </c>
      <c r="FJ219" s="129" t="s">
        <v>437</v>
      </c>
      <c r="FK219" s="129" t="s">
        <v>437</v>
      </c>
      <c r="FL219" s="129" t="s">
        <v>437</v>
      </c>
      <c r="FM219" s="129" t="s">
        <v>437</v>
      </c>
      <c r="FN219" s="151">
        <v>4.111828</v>
      </c>
      <c r="FO219" s="151">
        <v>0.33020199999999988</v>
      </c>
      <c r="FP219" s="151">
        <v>0.31972699999999987</v>
      </c>
      <c r="FQ219" s="178" t="s">
        <v>419</v>
      </c>
      <c r="FR219" s="129" t="s">
        <v>439</v>
      </c>
      <c r="FS219" s="129">
        <v>2015</v>
      </c>
      <c r="FT219" s="129" t="s">
        <v>440</v>
      </c>
      <c r="FU219" s="176"/>
      <c r="FV219" s="176"/>
      <c r="FW219" s="176"/>
      <c r="FX219" s="176"/>
      <c r="FY219" s="176"/>
      <c r="FZ219" s="176"/>
      <c r="GA219" s="176"/>
      <c r="GB219" s="176"/>
      <c r="GC219" s="176"/>
      <c r="GD219" s="176"/>
      <c r="GE219" s="176"/>
      <c r="GF219" s="176"/>
      <c r="GG219" s="176"/>
      <c r="GH219" s="176"/>
      <c r="GI219" s="176"/>
    </row>
    <row r="220" spans="1:191" s="129" customFormat="1" ht="17">
      <c r="A220" s="123" t="s">
        <v>152</v>
      </c>
      <c r="B220" s="166" t="s">
        <v>183</v>
      </c>
      <c r="C220" s="166">
        <v>2018</v>
      </c>
      <c r="D220" s="166" t="s">
        <v>184</v>
      </c>
      <c r="E220" s="151">
        <f t="shared" si="25"/>
        <v>2346.710693</v>
      </c>
      <c r="F220" s="191" t="s">
        <v>160</v>
      </c>
      <c r="G220" s="191" t="s">
        <v>160</v>
      </c>
      <c r="H220" s="151">
        <v>286.77</v>
      </c>
      <c r="I220" s="151">
        <v>44.406799999999976</v>
      </c>
      <c r="J220" s="151">
        <v>38.009399999999999</v>
      </c>
      <c r="K220" s="129" t="s">
        <v>457</v>
      </c>
      <c r="L220" s="131" t="s">
        <v>185</v>
      </c>
      <c r="M220" s="132" t="s">
        <v>186</v>
      </c>
      <c r="N220" s="129" t="s">
        <v>184</v>
      </c>
      <c r="O220" s="129" t="s">
        <v>420</v>
      </c>
      <c r="P220" s="129" t="s">
        <v>156</v>
      </c>
      <c r="Q220" s="178">
        <v>9</v>
      </c>
      <c r="R220" s="178">
        <v>2</v>
      </c>
      <c r="S220" s="178">
        <v>120</v>
      </c>
      <c r="T220" s="178">
        <v>122</v>
      </c>
      <c r="U220" s="178" t="s">
        <v>160</v>
      </c>
      <c r="V220" s="178" t="s">
        <v>160</v>
      </c>
      <c r="W220" s="178" t="s">
        <v>160</v>
      </c>
      <c r="X220" s="129" t="s">
        <v>157</v>
      </c>
      <c r="Y220" s="136">
        <v>12.75</v>
      </c>
      <c r="Z220" s="136">
        <v>-78.73</v>
      </c>
      <c r="AA220" s="136">
        <v>12.75</v>
      </c>
      <c r="AB220" s="136">
        <v>-78.73</v>
      </c>
      <c r="AC220" s="136">
        <v>-2828</v>
      </c>
      <c r="AD220" s="136">
        <v>-2828</v>
      </c>
      <c r="AE220" s="129" t="s">
        <v>160</v>
      </c>
      <c r="AF220" s="129" t="s">
        <v>160</v>
      </c>
      <c r="AG220" s="141">
        <v>2346.710693</v>
      </c>
      <c r="AH220" s="138" t="s">
        <v>159</v>
      </c>
      <c r="AI220" s="129" t="s">
        <v>160</v>
      </c>
      <c r="AJ220" s="129" t="s">
        <v>160</v>
      </c>
      <c r="AK220" s="178" t="s">
        <v>160</v>
      </c>
      <c r="AL220" s="178" t="s">
        <v>441</v>
      </c>
      <c r="AM220" s="178" t="s">
        <v>160</v>
      </c>
      <c r="AN220" s="129" t="s">
        <v>160</v>
      </c>
      <c r="AO220" s="129" t="s">
        <v>160</v>
      </c>
      <c r="AP220" s="129" t="s">
        <v>160</v>
      </c>
      <c r="AQ220" s="129" t="s">
        <v>160</v>
      </c>
      <c r="AR220" s="129" t="s">
        <v>160</v>
      </c>
      <c r="AS220" s="129" t="s">
        <v>160</v>
      </c>
      <c r="AT220" s="129" t="s">
        <v>160</v>
      </c>
      <c r="AU220" s="213" t="s">
        <v>442</v>
      </c>
      <c r="AV220" s="129" t="s">
        <v>161</v>
      </c>
      <c r="AW220" s="189" t="s">
        <v>443</v>
      </c>
      <c r="AX220" s="189" t="s">
        <v>444</v>
      </c>
      <c r="AY220" s="205" t="s">
        <v>353</v>
      </c>
      <c r="AZ220" s="205" t="s">
        <v>325</v>
      </c>
      <c r="BA220" s="129" t="s">
        <v>162</v>
      </c>
      <c r="BB220" s="129" t="s">
        <v>445</v>
      </c>
      <c r="BC220" s="129" t="s">
        <v>445</v>
      </c>
      <c r="BD220" s="129" t="s">
        <v>445</v>
      </c>
      <c r="BE220" s="141">
        <v>20.20777</v>
      </c>
      <c r="BF220" s="129" t="s">
        <v>446</v>
      </c>
      <c r="BG220" s="141">
        <v>0.183769233</v>
      </c>
      <c r="BH220" s="129">
        <v>0.6</v>
      </c>
      <c r="BI220" s="129" t="s">
        <v>427</v>
      </c>
      <c r="BJ220" s="138">
        <v>0.08</v>
      </c>
      <c r="BK220" s="129">
        <v>8.8699999999999992</v>
      </c>
      <c r="BL220" s="129" t="s">
        <v>163</v>
      </c>
      <c r="BM220" s="129">
        <v>1.52</v>
      </c>
      <c r="BN220" s="129" t="s">
        <v>451</v>
      </c>
      <c r="BO220" s="129" t="s">
        <v>448</v>
      </c>
      <c r="BP220" s="141">
        <f t="shared" si="26"/>
        <v>18.896283333333336</v>
      </c>
      <c r="BQ220" s="129" t="s">
        <v>202</v>
      </c>
      <c r="BR220" s="217"/>
      <c r="BS220" s="129" t="s">
        <v>160</v>
      </c>
      <c r="BT220" s="129" t="s">
        <v>160</v>
      </c>
      <c r="BU220" s="129">
        <v>10</v>
      </c>
      <c r="BV220" s="129" t="s">
        <v>159</v>
      </c>
      <c r="BW220" s="129">
        <v>10</v>
      </c>
      <c r="BX220" s="141">
        <v>25.618353738818641</v>
      </c>
      <c r="BY220" s="129" t="s">
        <v>159</v>
      </c>
      <c r="BZ220" s="129">
        <v>1</v>
      </c>
      <c r="CA220" s="129">
        <v>1</v>
      </c>
      <c r="CB220" s="141">
        <v>3.7137960560289218</v>
      </c>
      <c r="CC220" s="141">
        <v>3.7137960560289218</v>
      </c>
      <c r="CD220" s="129" t="s">
        <v>449</v>
      </c>
      <c r="CE220" s="151">
        <f t="shared" si="27"/>
        <v>0.10027249351278089</v>
      </c>
      <c r="CF220" s="151">
        <f t="shared" si="28"/>
        <v>0.10027249351278089</v>
      </c>
      <c r="CG220" s="145" t="s">
        <v>203</v>
      </c>
      <c r="CH220" s="129" t="s">
        <v>204</v>
      </c>
      <c r="CI220" s="129" t="s">
        <v>205</v>
      </c>
      <c r="CJ220" s="129" t="s">
        <v>206</v>
      </c>
      <c r="CK220" s="129" t="s">
        <v>158</v>
      </c>
      <c r="CL220" s="129" t="s">
        <v>158</v>
      </c>
      <c r="CM220" s="129" t="s">
        <v>158</v>
      </c>
      <c r="CN220" s="129" t="s">
        <v>160</v>
      </c>
      <c r="CO220" s="129" t="s">
        <v>160</v>
      </c>
      <c r="CP220" s="129" t="s">
        <v>160</v>
      </c>
      <c r="CQ220" s="129" t="s">
        <v>160</v>
      </c>
      <c r="CR220" s="129" t="s">
        <v>160</v>
      </c>
      <c r="CS220" s="129" t="s">
        <v>160</v>
      </c>
      <c r="CT220" s="129" t="s">
        <v>160</v>
      </c>
      <c r="CU220" s="215">
        <v>35</v>
      </c>
      <c r="CV220" s="129" t="s">
        <v>393</v>
      </c>
      <c r="CW220" s="146">
        <v>1</v>
      </c>
      <c r="CX220" s="129" t="s">
        <v>207</v>
      </c>
      <c r="CY220" s="129">
        <v>1.06E-2</v>
      </c>
      <c r="CZ220" s="129" t="s">
        <v>159</v>
      </c>
      <c r="DA220" s="146">
        <v>0</v>
      </c>
      <c r="DB220" s="129" t="s">
        <v>208</v>
      </c>
      <c r="DC220" s="129">
        <v>5.5100000000000003E-2</v>
      </c>
      <c r="DD220" s="129" t="s">
        <v>159</v>
      </c>
      <c r="DE220" s="146">
        <v>0</v>
      </c>
      <c r="DF220" s="129" t="s">
        <v>208</v>
      </c>
      <c r="DG220" s="178" t="s">
        <v>160</v>
      </c>
      <c r="DH220" s="178" t="s">
        <v>160</v>
      </c>
      <c r="DI220" s="178" t="s">
        <v>160</v>
      </c>
      <c r="DJ220" s="178" t="s">
        <v>160</v>
      </c>
      <c r="DK220" s="145">
        <v>432.56244218316402</v>
      </c>
      <c r="DL220" s="129" t="s">
        <v>433</v>
      </c>
      <c r="DM220" s="145" t="s">
        <v>160</v>
      </c>
      <c r="DN220" s="129" t="s">
        <v>434</v>
      </c>
      <c r="DO220" s="129">
        <v>39.664960000000001</v>
      </c>
      <c r="DP220" s="129" t="s">
        <v>160</v>
      </c>
      <c r="DQ220" s="129">
        <v>0.36574999999999847</v>
      </c>
      <c r="DR220" s="129" t="s">
        <v>435</v>
      </c>
      <c r="DS220" s="129" t="s">
        <v>212</v>
      </c>
      <c r="DT220" s="129" t="s">
        <v>213</v>
      </c>
      <c r="DU220" s="129">
        <v>1.0271999999999999</v>
      </c>
      <c r="DV220" s="129" t="s">
        <v>393</v>
      </c>
      <c r="DW220" s="129">
        <v>5.9999999999999995E-4</v>
      </c>
      <c r="DX220" s="129" t="s">
        <v>436</v>
      </c>
      <c r="DY220" s="129" t="s">
        <v>160</v>
      </c>
      <c r="DZ220" s="129" t="s">
        <v>160</v>
      </c>
      <c r="EA220" s="129" t="s">
        <v>216</v>
      </c>
      <c r="EB220" s="129" t="s">
        <v>212</v>
      </c>
      <c r="EC220" s="129" t="s">
        <v>212</v>
      </c>
      <c r="ED220" s="129" t="s">
        <v>212</v>
      </c>
      <c r="EE220" s="129" t="s">
        <v>217</v>
      </c>
      <c r="EF220" s="147" t="s">
        <v>213</v>
      </c>
      <c r="EG220" s="148" t="s">
        <v>213</v>
      </c>
      <c r="EH220" s="129" t="s">
        <v>218</v>
      </c>
      <c r="EI220" s="129" t="s">
        <v>417</v>
      </c>
      <c r="EJ220" s="129" t="s">
        <v>160</v>
      </c>
      <c r="EK220" s="129">
        <v>1952.663</v>
      </c>
      <c r="EL220" s="129" t="s">
        <v>163</v>
      </c>
      <c r="EM220" s="129">
        <v>40.773999999999717</v>
      </c>
      <c r="EN220" s="129">
        <v>40.136000000000081</v>
      </c>
      <c r="EO220" s="129" t="s">
        <v>160</v>
      </c>
      <c r="EP220" s="129" t="s">
        <v>160</v>
      </c>
      <c r="EQ220" s="129" t="s">
        <v>160</v>
      </c>
      <c r="ER220" s="129" t="s">
        <v>160</v>
      </c>
      <c r="ES220" s="141">
        <v>8.1146750000000001</v>
      </c>
      <c r="ET220" s="142" t="s">
        <v>165</v>
      </c>
      <c r="EU220" s="141">
        <v>4.9457999999999558E-2</v>
      </c>
      <c r="EV220" s="216">
        <v>5.0831000000000515E-2</v>
      </c>
      <c r="EW220" s="142" t="s">
        <v>160</v>
      </c>
      <c r="EX220" s="129" t="s">
        <v>160</v>
      </c>
      <c r="EY220" s="129" t="s">
        <v>160</v>
      </c>
      <c r="EZ220" s="141">
        <v>286.77</v>
      </c>
      <c r="FA220" s="216">
        <v>44.406799999999976</v>
      </c>
      <c r="FB220" s="216">
        <v>38.009399999999999</v>
      </c>
      <c r="FC220" s="129" t="s">
        <v>220</v>
      </c>
      <c r="FD220" s="129" t="s">
        <v>221</v>
      </c>
      <c r="FE220" s="129">
        <v>2248.2470000000003</v>
      </c>
      <c r="FF220" s="129">
        <v>58.921999999999571</v>
      </c>
      <c r="FG220" s="129">
        <v>58.937000000000353</v>
      </c>
      <c r="FH220" s="129" t="s">
        <v>437</v>
      </c>
      <c r="FI220" s="129" t="s">
        <v>437</v>
      </c>
      <c r="FJ220" s="129" t="s">
        <v>437</v>
      </c>
      <c r="FK220" s="129" t="s">
        <v>437</v>
      </c>
      <c r="FL220" s="129" t="s">
        <v>437</v>
      </c>
      <c r="FM220" s="129" t="s">
        <v>437</v>
      </c>
      <c r="FN220" s="151">
        <v>4.0576340000000002</v>
      </c>
      <c r="FO220" s="151">
        <v>0.39635499999999979</v>
      </c>
      <c r="FP220" s="151">
        <v>0.37809400000000037</v>
      </c>
      <c r="FQ220" s="178" t="s">
        <v>419</v>
      </c>
      <c r="FR220" s="129" t="s">
        <v>439</v>
      </c>
      <c r="FS220" s="129">
        <v>2015</v>
      </c>
      <c r="FT220" s="129" t="s">
        <v>440</v>
      </c>
      <c r="FU220" s="176"/>
      <c r="FV220" s="176"/>
      <c r="FW220" s="176"/>
      <c r="FX220" s="176"/>
      <c r="FY220" s="176"/>
      <c r="FZ220" s="176"/>
      <c r="GA220" s="176"/>
      <c r="GB220" s="176"/>
      <c r="GC220" s="176"/>
      <c r="GD220" s="176"/>
      <c r="GE220" s="176"/>
      <c r="GF220" s="176"/>
      <c r="GG220" s="176"/>
      <c r="GH220" s="176"/>
      <c r="GI220" s="176"/>
    </row>
    <row r="221" spans="1:191" s="129" customFormat="1" ht="17">
      <c r="A221" s="123" t="s">
        <v>152</v>
      </c>
      <c r="B221" s="166" t="s">
        <v>183</v>
      </c>
      <c r="C221" s="166">
        <v>2018</v>
      </c>
      <c r="D221" s="166" t="s">
        <v>184</v>
      </c>
      <c r="E221" s="151">
        <f t="shared" si="25"/>
        <v>2352.7177729999999</v>
      </c>
      <c r="F221" s="191" t="s">
        <v>160</v>
      </c>
      <c r="G221" s="191" t="s">
        <v>160</v>
      </c>
      <c r="H221" s="151">
        <v>280.78560000000004</v>
      </c>
      <c r="I221" s="151">
        <v>38.23679999999996</v>
      </c>
      <c r="J221" s="151">
        <v>32.738100000000031</v>
      </c>
      <c r="K221" s="129" t="s">
        <v>457</v>
      </c>
      <c r="L221" s="131" t="s">
        <v>185</v>
      </c>
      <c r="M221" s="132" t="s">
        <v>186</v>
      </c>
      <c r="N221" s="129" t="s">
        <v>184</v>
      </c>
      <c r="O221" s="129" t="s">
        <v>420</v>
      </c>
      <c r="P221" s="129" t="s">
        <v>156</v>
      </c>
      <c r="Q221" s="178">
        <v>9</v>
      </c>
      <c r="R221" s="178">
        <v>2</v>
      </c>
      <c r="S221" s="178">
        <v>141</v>
      </c>
      <c r="T221" s="178">
        <v>143</v>
      </c>
      <c r="U221" s="178" t="s">
        <v>160</v>
      </c>
      <c r="V221" s="178" t="s">
        <v>160</v>
      </c>
      <c r="W221" s="178" t="s">
        <v>160</v>
      </c>
      <c r="X221" s="129" t="s">
        <v>157</v>
      </c>
      <c r="Y221" s="136">
        <v>12.75</v>
      </c>
      <c r="Z221" s="136">
        <v>-78.73</v>
      </c>
      <c r="AA221" s="136">
        <v>12.75</v>
      </c>
      <c r="AB221" s="136">
        <v>-78.73</v>
      </c>
      <c r="AC221" s="136">
        <v>-2828</v>
      </c>
      <c r="AD221" s="136">
        <v>-2828</v>
      </c>
      <c r="AE221" s="129" t="s">
        <v>160</v>
      </c>
      <c r="AF221" s="129" t="s">
        <v>160</v>
      </c>
      <c r="AG221" s="141">
        <v>2352.7177729999999</v>
      </c>
      <c r="AH221" s="138" t="s">
        <v>159</v>
      </c>
      <c r="AI221" s="129" t="s">
        <v>160</v>
      </c>
      <c r="AJ221" s="129" t="s">
        <v>160</v>
      </c>
      <c r="AK221" s="178" t="s">
        <v>160</v>
      </c>
      <c r="AL221" s="178" t="s">
        <v>441</v>
      </c>
      <c r="AM221" s="178" t="s">
        <v>160</v>
      </c>
      <c r="AN221" s="129" t="s">
        <v>160</v>
      </c>
      <c r="AO221" s="129" t="s">
        <v>160</v>
      </c>
      <c r="AP221" s="129" t="s">
        <v>160</v>
      </c>
      <c r="AQ221" s="129" t="s">
        <v>160</v>
      </c>
      <c r="AR221" s="129" t="s">
        <v>160</v>
      </c>
      <c r="AS221" s="129" t="s">
        <v>160</v>
      </c>
      <c r="AT221" s="129" t="s">
        <v>160</v>
      </c>
      <c r="AU221" s="213" t="s">
        <v>442</v>
      </c>
      <c r="AV221" s="129" t="s">
        <v>161</v>
      </c>
      <c r="AW221" s="189" t="s">
        <v>443</v>
      </c>
      <c r="AX221" s="205" t="s">
        <v>444</v>
      </c>
      <c r="AY221" s="205" t="s">
        <v>353</v>
      </c>
      <c r="AZ221" s="205" t="s">
        <v>325</v>
      </c>
      <c r="BA221" s="214" t="s">
        <v>162</v>
      </c>
      <c r="BB221" s="129" t="s">
        <v>445</v>
      </c>
      <c r="BC221" s="129" t="s">
        <v>445</v>
      </c>
      <c r="BD221" s="129" t="s">
        <v>445</v>
      </c>
      <c r="BE221" s="141">
        <v>20.403469999999999</v>
      </c>
      <c r="BF221" s="129" t="s">
        <v>446</v>
      </c>
      <c r="BG221" s="141">
        <v>0.10803948300000001</v>
      </c>
      <c r="BH221" s="129">
        <v>0.6</v>
      </c>
      <c r="BI221" s="129" t="s">
        <v>427</v>
      </c>
      <c r="BJ221" s="138">
        <v>0.08</v>
      </c>
      <c r="BK221" s="129">
        <v>8.8699999999999992</v>
      </c>
      <c r="BL221" s="129" t="s">
        <v>163</v>
      </c>
      <c r="BM221" s="129">
        <v>1.52</v>
      </c>
      <c r="BN221" s="129" t="s">
        <v>452</v>
      </c>
      <c r="BO221" s="129" t="s">
        <v>448</v>
      </c>
      <c r="BP221" s="141">
        <f t="shared" si="26"/>
        <v>19.222449999999998</v>
      </c>
      <c r="BQ221" s="129" t="s">
        <v>202</v>
      </c>
      <c r="BR221" s="217"/>
      <c r="BS221" s="129" t="s">
        <v>160</v>
      </c>
      <c r="BT221" s="129" t="s">
        <v>160</v>
      </c>
      <c r="BU221" s="129">
        <v>10</v>
      </c>
      <c r="BV221" s="129" t="s">
        <v>159</v>
      </c>
      <c r="BW221" s="129">
        <v>10</v>
      </c>
      <c r="BX221" s="141">
        <v>27.28058090455707</v>
      </c>
      <c r="BY221" s="129" t="s">
        <v>159</v>
      </c>
      <c r="BZ221" s="129">
        <v>1</v>
      </c>
      <c r="CA221" s="129">
        <v>1</v>
      </c>
      <c r="CB221" s="141">
        <v>4.3128162565531101</v>
      </c>
      <c r="CC221" s="141">
        <v>4.3128162565531101</v>
      </c>
      <c r="CD221" s="129" t="s">
        <v>449</v>
      </c>
      <c r="CE221" s="151">
        <f t="shared" si="27"/>
        <v>0.11644603892693398</v>
      </c>
      <c r="CF221" s="151">
        <f t="shared" si="28"/>
        <v>0.11644603892693398</v>
      </c>
      <c r="CG221" s="145" t="s">
        <v>203</v>
      </c>
      <c r="CH221" s="129" t="s">
        <v>204</v>
      </c>
      <c r="CI221" s="129" t="s">
        <v>205</v>
      </c>
      <c r="CJ221" s="129" t="s">
        <v>206</v>
      </c>
      <c r="CK221" s="129" t="s">
        <v>158</v>
      </c>
      <c r="CL221" s="129" t="s">
        <v>158</v>
      </c>
      <c r="CM221" s="129" t="s">
        <v>158</v>
      </c>
      <c r="CN221" s="129" t="s">
        <v>160</v>
      </c>
      <c r="CO221" s="129" t="s">
        <v>160</v>
      </c>
      <c r="CP221" s="129" t="s">
        <v>160</v>
      </c>
      <c r="CQ221" s="129" t="s">
        <v>160</v>
      </c>
      <c r="CR221" s="129" t="s">
        <v>160</v>
      </c>
      <c r="CS221" s="129" t="s">
        <v>160</v>
      </c>
      <c r="CT221" s="129" t="s">
        <v>160</v>
      </c>
      <c r="CU221" s="215">
        <v>35</v>
      </c>
      <c r="CV221" s="129" t="s">
        <v>393</v>
      </c>
      <c r="CW221" s="146">
        <v>1</v>
      </c>
      <c r="CX221" s="129" t="s">
        <v>207</v>
      </c>
      <c r="CY221" s="129">
        <v>1.06E-2</v>
      </c>
      <c r="CZ221" s="129" t="s">
        <v>159</v>
      </c>
      <c r="DA221" s="146">
        <v>0</v>
      </c>
      <c r="DB221" s="129" t="s">
        <v>208</v>
      </c>
      <c r="DC221" s="129">
        <v>5.5100000000000003E-2</v>
      </c>
      <c r="DD221" s="129" t="s">
        <v>159</v>
      </c>
      <c r="DE221" s="146">
        <v>0</v>
      </c>
      <c r="DF221" s="129" t="s">
        <v>208</v>
      </c>
      <c r="DG221" s="178" t="s">
        <v>160</v>
      </c>
      <c r="DH221" s="178" t="s">
        <v>160</v>
      </c>
      <c r="DI221" s="178" t="s">
        <v>160</v>
      </c>
      <c r="DJ221" s="178" t="s">
        <v>160</v>
      </c>
      <c r="DK221" s="145">
        <v>432.56244218316402</v>
      </c>
      <c r="DL221" s="129" t="s">
        <v>433</v>
      </c>
      <c r="DM221" s="145" t="s">
        <v>160</v>
      </c>
      <c r="DN221" s="129" t="s">
        <v>434</v>
      </c>
      <c r="DO221" s="129">
        <v>39.669559999999997</v>
      </c>
      <c r="DP221" s="129" t="s">
        <v>160</v>
      </c>
      <c r="DQ221" s="129">
        <v>0.37738000000000227</v>
      </c>
      <c r="DR221" s="129" t="s">
        <v>450</v>
      </c>
      <c r="DS221" s="129" t="s">
        <v>212</v>
      </c>
      <c r="DT221" s="129" t="s">
        <v>213</v>
      </c>
      <c r="DU221" s="129">
        <v>1.0271999999999999</v>
      </c>
      <c r="DV221" s="129" t="s">
        <v>393</v>
      </c>
      <c r="DW221" s="129">
        <v>5.9999999999999995E-4</v>
      </c>
      <c r="DX221" s="129" t="s">
        <v>436</v>
      </c>
      <c r="DY221" s="129" t="s">
        <v>160</v>
      </c>
      <c r="DZ221" s="129" t="s">
        <v>160</v>
      </c>
      <c r="EA221" s="129" t="s">
        <v>216</v>
      </c>
      <c r="EB221" s="129" t="s">
        <v>212</v>
      </c>
      <c r="EC221" s="129" t="s">
        <v>212</v>
      </c>
      <c r="ED221" s="129" t="s">
        <v>212</v>
      </c>
      <c r="EE221" s="129" t="s">
        <v>217</v>
      </c>
      <c r="EF221" s="147" t="s">
        <v>213</v>
      </c>
      <c r="EG221" s="148" t="s">
        <v>213</v>
      </c>
      <c r="EH221" s="129" t="s">
        <v>218</v>
      </c>
      <c r="EI221" s="129" t="s">
        <v>417</v>
      </c>
      <c r="EJ221" s="129" t="s">
        <v>160</v>
      </c>
      <c r="EK221" s="129">
        <v>1952.145</v>
      </c>
      <c r="EL221" s="129" t="s">
        <v>163</v>
      </c>
      <c r="EM221" s="129">
        <v>40.298000000000023</v>
      </c>
      <c r="EN221" s="129">
        <v>40.08199999999988</v>
      </c>
      <c r="EO221" s="129" t="s">
        <v>160</v>
      </c>
      <c r="EP221" s="129" t="s">
        <v>160</v>
      </c>
      <c r="EQ221" s="129" t="s">
        <v>160</v>
      </c>
      <c r="ER221" s="129" t="s">
        <v>160</v>
      </c>
      <c r="ES221" s="141">
        <v>8.1227300000000007</v>
      </c>
      <c r="ET221" s="142" t="s">
        <v>165</v>
      </c>
      <c r="EU221" s="141">
        <v>4.2184999999999917E-2</v>
      </c>
      <c r="EV221" s="216">
        <v>4.4248000000001397E-2</v>
      </c>
      <c r="EW221" s="142" t="s">
        <v>160</v>
      </c>
      <c r="EX221" s="129" t="s">
        <v>160</v>
      </c>
      <c r="EY221" s="129" t="s">
        <v>160</v>
      </c>
      <c r="EZ221" s="141">
        <v>280.78560000000004</v>
      </c>
      <c r="FA221" s="216">
        <v>38.23679999999996</v>
      </c>
      <c r="FB221" s="216">
        <v>32.738100000000031</v>
      </c>
      <c r="FC221" s="129" t="s">
        <v>220</v>
      </c>
      <c r="FD221" s="129" t="s">
        <v>221</v>
      </c>
      <c r="FE221" s="129">
        <v>2270.8810000000003</v>
      </c>
      <c r="FF221" s="129">
        <v>57.286999999999352</v>
      </c>
      <c r="FG221" s="129">
        <v>56.416999999999916</v>
      </c>
      <c r="FH221" s="129" t="s">
        <v>437</v>
      </c>
      <c r="FI221" s="129" t="s">
        <v>437</v>
      </c>
      <c r="FJ221" s="129" t="s">
        <v>437</v>
      </c>
      <c r="FK221" s="129" t="s">
        <v>437</v>
      </c>
      <c r="FL221" s="129" t="s">
        <v>437</v>
      </c>
      <c r="FM221" s="129" t="s">
        <v>437</v>
      </c>
      <c r="FN221" s="151">
        <v>4.3835600000000001</v>
      </c>
      <c r="FO221" s="151">
        <v>0.34634400000000021</v>
      </c>
      <c r="FP221" s="151">
        <v>0.3346600000000004</v>
      </c>
      <c r="FQ221" s="178" t="s">
        <v>419</v>
      </c>
      <c r="FR221" s="129" t="s">
        <v>439</v>
      </c>
      <c r="FS221" s="129">
        <v>2015</v>
      </c>
      <c r="FT221" s="129" t="s">
        <v>440</v>
      </c>
      <c r="FU221" s="176"/>
      <c r="FV221" s="176"/>
      <c r="FW221" s="176"/>
      <c r="FX221" s="176"/>
      <c r="FY221" s="176"/>
      <c r="FZ221" s="176"/>
      <c r="GA221" s="176"/>
      <c r="GB221" s="176"/>
      <c r="GC221" s="176"/>
      <c r="GD221" s="176"/>
      <c r="GE221" s="176"/>
      <c r="GF221" s="176"/>
      <c r="GG221" s="176"/>
      <c r="GH221" s="176"/>
      <c r="GI221" s="176"/>
    </row>
    <row r="222" spans="1:191" s="129" customFormat="1" ht="17">
      <c r="A222" s="123" t="s">
        <v>152</v>
      </c>
      <c r="B222" s="166" t="s">
        <v>183</v>
      </c>
      <c r="C222" s="166">
        <v>2018</v>
      </c>
      <c r="D222" s="166" t="s">
        <v>184</v>
      </c>
      <c r="E222" s="151">
        <f t="shared" si="25"/>
        <v>2362.2189939999998</v>
      </c>
      <c r="F222" s="191" t="s">
        <v>160</v>
      </c>
      <c r="G222" s="191" t="s">
        <v>160</v>
      </c>
      <c r="H222" s="151">
        <v>395.86509999999998</v>
      </c>
      <c r="I222" s="151">
        <v>63.839800000000025</v>
      </c>
      <c r="J222" s="151">
        <v>54.590100000000007</v>
      </c>
      <c r="K222" s="129" t="s">
        <v>457</v>
      </c>
      <c r="L222" s="131" t="s">
        <v>185</v>
      </c>
      <c r="M222" s="132" t="s">
        <v>186</v>
      </c>
      <c r="N222" s="129" t="s">
        <v>184</v>
      </c>
      <c r="O222" s="129" t="s">
        <v>420</v>
      </c>
      <c r="P222" s="129" t="s">
        <v>156</v>
      </c>
      <c r="Q222" s="205">
        <v>9</v>
      </c>
      <c r="R222" s="178">
        <v>3</v>
      </c>
      <c r="S222" s="178">
        <v>22</v>
      </c>
      <c r="T222" s="178">
        <v>24</v>
      </c>
      <c r="U222" s="178" t="s">
        <v>160</v>
      </c>
      <c r="V222" s="178" t="s">
        <v>160</v>
      </c>
      <c r="W222" s="178" t="s">
        <v>160</v>
      </c>
      <c r="X222" s="129" t="s">
        <v>157</v>
      </c>
      <c r="Y222" s="136">
        <v>12.75</v>
      </c>
      <c r="Z222" s="136">
        <v>-78.73</v>
      </c>
      <c r="AA222" s="136">
        <v>12.75</v>
      </c>
      <c r="AB222" s="136">
        <v>-78.73</v>
      </c>
      <c r="AC222" s="136">
        <v>-2828</v>
      </c>
      <c r="AD222" s="136">
        <v>-2828</v>
      </c>
      <c r="AE222" s="129" t="s">
        <v>160</v>
      </c>
      <c r="AF222" s="129" t="s">
        <v>160</v>
      </c>
      <c r="AG222" s="141">
        <v>2362.2189939999998</v>
      </c>
      <c r="AH222" s="138" t="s">
        <v>159</v>
      </c>
      <c r="AI222" s="129" t="s">
        <v>160</v>
      </c>
      <c r="AJ222" s="129" t="s">
        <v>160</v>
      </c>
      <c r="AK222" s="178" t="s">
        <v>160</v>
      </c>
      <c r="AL222" s="178" t="s">
        <v>441</v>
      </c>
      <c r="AM222" s="178" t="s">
        <v>160</v>
      </c>
      <c r="AN222" s="129" t="s">
        <v>160</v>
      </c>
      <c r="AO222" s="129" t="s">
        <v>160</v>
      </c>
      <c r="AP222" s="129" t="s">
        <v>160</v>
      </c>
      <c r="AQ222" s="129" t="s">
        <v>160</v>
      </c>
      <c r="AR222" s="129" t="s">
        <v>160</v>
      </c>
      <c r="AS222" s="129" t="s">
        <v>160</v>
      </c>
      <c r="AT222" s="129" t="s">
        <v>160</v>
      </c>
      <c r="AU222" s="213" t="s">
        <v>442</v>
      </c>
      <c r="AV222" s="129" t="s">
        <v>161</v>
      </c>
      <c r="AW222" s="189" t="s">
        <v>443</v>
      </c>
      <c r="AX222" s="189" t="s">
        <v>444</v>
      </c>
      <c r="AY222" s="205" t="s">
        <v>353</v>
      </c>
      <c r="AZ222" s="205" t="s">
        <v>325</v>
      </c>
      <c r="BA222" s="129" t="s">
        <v>162</v>
      </c>
      <c r="BB222" s="129" t="s">
        <v>445</v>
      </c>
      <c r="BC222" s="129" t="s">
        <v>445</v>
      </c>
      <c r="BD222" s="129" t="s">
        <v>445</v>
      </c>
      <c r="BE222" s="141">
        <v>19.422000000000001</v>
      </c>
      <c r="BF222" s="129" t="s">
        <v>446</v>
      </c>
      <c r="BG222" s="141">
        <v>0.16367343200000001</v>
      </c>
      <c r="BH222" s="129">
        <v>0.6</v>
      </c>
      <c r="BI222" s="129" t="s">
        <v>427</v>
      </c>
      <c r="BJ222" s="138">
        <v>0.08</v>
      </c>
      <c r="BK222" s="129">
        <v>8.8699999999999992</v>
      </c>
      <c r="BL222" s="129" t="s">
        <v>163</v>
      </c>
      <c r="BM222" s="129">
        <v>1.52</v>
      </c>
      <c r="BN222" s="129" t="s">
        <v>428</v>
      </c>
      <c r="BO222" s="129" t="s">
        <v>448</v>
      </c>
      <c r="BP222" s="141">
        <f t="shared" si="26"/>
        <v>17.58666666666667</v>
      </c>
      <c r="BQ222" s="129" t="s">
        <v>202</v>
      </c>
      <c r="BR222" s="217"/>
      <c r="BS222" s="129" t="s">
        <v>160</v>
      </c>
      <c r="BT222" s="129" t="s">
        <v>160</v>
      </c>
      <c r="BU222" s="129">
        <v>10</v>
      </c>
      <c r="BV222" s="129" t="s">
        <v>159</v>
      </c>
      <c r="BW222" s="129">
        <v>10</v>
      </c>
      <c r="BX222" s="141">
        <v>25.20244881141323</v>
      </c>
      <c r="BY222" s="129" t="s">
        <v>159</v>
      </c>
      <c r="BZ222" s="129">
        <v>1</v>
      </c>
      <c r="CA222" s="129">
        <v>1</v>
      </c>
      <c r="CB222" s="141">
        <v>3.5767629727231216</v>
      </c>
      <c r="CC222" s="141">
        <v>3.5767629727231216</v>
      </c>
      <c r="CD222" s="129" t="s">
        <v>449</v>
      </c>
      <c r="CE222" s="151">
        <f t="shared" si="27"/>
        <v>9.657260026352428E-2</v>
      </c>
      <c r="CF222" s="151">
        <f t="shared" si="28"/>
        <v>9.657260026352428E-2</v>
      </c>
      <c r="CG222" s="145" t="s">
        <v>203</v>
      </c>
      <c r="CH222" s="129" t="s">
        <v>204</v>
      </c>
      <c r="CI222" s="129" t="s">
        <v>205</v>
      </c>
      <c r="CJ222" s="129" t="s">
        <v>206</v>
      </c>
      <c r="CK222" s="129" t="s">
        <v>158</v>
      </c>
      <c r="CL222" s="129" t="s">
        <v>158</v>
      </c>
      <c r="CM222" s="129" t="s">
        <v>158</v>
      </c>
      <c r="CN222" s="129" t="s">
        <v>160</v>
      </c>
      <c r="CO222" s="129" t="s">
        <v>160</v>
      </c>
      <c r="CP222" s="129" t="s">
        <v>160</v>
      </c>
      <c r="CQ222" s="129" t="s">
        <v>160</v>
      </c>
      <c r="CR222" s="129" t="s">
        <v>160</v>
      </c>
      <c r="CS222" s="129" t="s">
        <v>160</v>
      </c>
      <c r="CT222" s="129" t="s">
        <v>160</v>
      </c>
      <c r="CU222" s="215">
        <v>35</v>
      </c>
      <c r="CV222" s="129" t="s">
        <v>393</v>
      </c>
      <c r="CW222" s="146">
        <v>1</v>
      </c>
      <c r="CX222" s="129" t="s">
        <v>207</v>
      </c>
      <c r="CY222" s="129">
        <v>1.06E-2</v>
      </c>
      <c r="CZ222" s="129" t="s">
        <v>159</v>
      </c>
      <c r="DA222" s="146">
        <v>0</v>
      </c>
      <c r="DB222" s="129" t="s">
        <v>208</v>
      </c>
      <c r="DC222" s="129">
        <v>5.5100000000000003E-2</v>
      </c>
      <c r="DD222" s="129" t="s">
        <v>159</v>
      </c>
      <c r="DE222" s="146">
        <v>0</v>
      </c>
      <c r="DF222" s="129" t="s">
        <v>208</v>
      </c>
      <c r="DG222" s="178" t="s">
        <v>160</v>
      </c>
      <c r="DH222" s="178" t="s">
        <v>160</v>
      </c>
      <c r="DI222" s="178" t="s">
        <v>160</v>
      </c>
      <c r="DJ222" s="178" t="s">
        <v>160</v>
      </c>
      <c r="DK222" s="145">
        <v>432.56244218316402</v>
      </c>
      <c r="DL222" s="129" t="s">
        <v>433</v>
      </c>
      <c r="DM222" s="145" t="s">
        <v>160</v>
      </c>
      <c r="DN222" s="129" t="s">
        <v>434</v>
      </c>
      <c r="DO222" s="129">
        <v>39.67221</v>
      </c>
      <c r="DP222" s="129" t="s">
        <v>160</v>
      </c>
      <c r="DQ222" s="129">
        <v>0.3697700000000026</v>
      </c>
      <c r="DR222" s="129" t="s">
        <v>450</v>
      </c>
      <c r="DS222" s="129" t="s">
        <v>212</v>
      </c>
      <c r="DT222" s="129" t="s">
        <v>213</v>
      </c>
      <c r="DU222" s="129">
        <v>1.0271999999999999</v>
      </c>
      <c r="DV222" s="129" t="s">
        <v>393</v>
      </c>
      <c r="DW222" s="129">
        <v>5.9999999999999995E-4</v>
      </c>
      <c r="DX222" s="129" t="s">
        <v>436</v>
      </c>
      <c r="DY222" s="129" t="s">
        <v>160</v>
      </c>
      <c r="DZ222" s="129" t="s">
        <v>160</v>
      </c>
      <c r="EA222" s="129" t="s">
        <v>216</v>
      </c>
      <c r="EB222" s="129" t="s">
        <v>212</v>
      </c>
      <c r="EC222" s="129" t="s">
        <v>212</v>
      </c>
      <c r="ED222" s="129" t="s">
        <v>212</v>
      </c>
      <c r="EE222" s="129" t="s">
        <v>217</v>
      </c>
      <c r="EF222" s="147" t="s">
        <v>213</v>
      </c>
      <c r="EG222" s="148" t="s">
        <v>213</v>
      </c>
      <c r="EH222" s="129" t="s">
        <v>218</v>
      </c>
      <c r="EI222" s="129" t="s">
        <v>417</v>
      </c>
      <c r="EJ222" s="129" t="s">
        <v>160</v>
      </c>
      <c r="EK222" s="129">
        <v>1951.982</v>
      </c>
      <c r="EL222" s="129" t="s">
        <v>163</v>
      </c>
      <c r="EM222" s="129">
        <v>40.592000000000105</v>
      </c>
      <c r="EN222" s="129">
        <v>39.708999999999968</v>
      </c>
      <c r="EO222" s="129" t="s">
        <v>160</v>
      </c>
      <c r="EP222" s="129" t="s">
        <v>160</v>
      </c>
      <c r="EQ222" s="129" t="s">
        <v>160</v>
      </c>
      <c r="ER222" s="129" t="s">
        <v>160</v>
      </c>
      <c r="ES222" s="141">
        <v>7.9979129999999996</v>
      </c>
      <c r="ET222" s="142" t="s">
        <v>165</v>
      </c>
      <c r="EU222" s="141">
        <v>5.3196000000000687E-2</v>
      </c>
      <c r="EV222" s="141">
        <v>5.4345999999999783E-2</v>
      </c>
      <c r="EW222" s="142" t="s">
        <v>160</v>
      </c>
      <c r="EX222" s="129" t="s">
        <v>160</v>
      </c>
      <c r="EY222" s="129" t="s">
        <v>160</v>
      </c>
      <c r="EZ222" s="141">
        <v>395.86509999999998</v>
      </c>
      <c r="FA222" s="141">
        <v>63.839800000000025</v>
      </c>
      <c r="FB222" s="141">
        <v>54.590100000000007</v>
      </c>
      <c r="FC222" s="129" t="s">
        <v>220</v>
      </c>
      <c r="FD222" s="129" t="s">
        <v>221</v>
      </c>
      <c r="FE222" s="129">
        <v>2170.203</v>
      </c>
      <c r="FF222" s="129">
        <v>57.932999999999993</v>
      </c>
      <c r="FG222" s="129">
        <v>56.891000000000076</v>
      </c>
      <c r="FH222" s="129" t="s">
        <v>437</v>
      </c>
      <c r="FI222" s="129" t="s">
        <v>437</v>
      </c>
      <c r="FJ222" s="129" t="s">
        <v>437</v>
      </c>
      <c r="FK222" s="129" t="s">
        <v>437</v>
      </c>
      <c r="FL222" s="129" t="s">
        <v>437</v>
      </c>
      <c r="FM222" s="129" t="s">
        <v>437</v>
      </c>
      <c r="FN222" s="151">
        <v>3.1512959999999999</v>
      </c>
      <c r="FO222" s="151">
        <v>0.34510500000000022</v>
      </c>
      <c r="FP222" s="151">
        <v>0.3336619999999999</v>
      </c>
      <c r="FQ222" s="178" t="s">
        <v>419</v>
      </c>
      <c r="FR222" s="129" t="s">
        <v>439</v>
      </c>
      <c r="FS222" s="129">
        <v>2015</v>
      </c>
      <c r="FT222" s="129" t="s">
        <v>440</v>
      </c>
    </row>
    <row r="223" spans="1:191" s="129" customFormat="1" ht="17">
      <c r="A223" s="123" t="s">
        <v>152</v>
      </c>
      <c r="B223" s="166" t="s">
        <v>183</v>
      </c>
      <c r="C223" s="166">
        <v>2018</v>
      </c>
      <c r="D223" s="166" t="s">
        <v>184</v>
      </c>
      <c r="E223" s="151">
        <f t="shared" si="25"/>
        <v>2372.1982419999999</v>
      </c>
      <c r="F223" s="191" t="s">
        <v>160</v>
      </c>
      <c r="G223" s="191" t="s">
        <v>160</v>
      </c>
      <c r="H223" s="151">
        <v>368.3313</v>
      </c>
      <c r="I223" s="151">
        <v>52.547799999999995</v>
      </c>
      <c r="J223" s="151">
        <v>46.354000000000042</v>
      </c>
      <c r="K223" s="129" t="s">
        <v>457</v>
      </c>
      <c r="L223" s="131" t="s">
        <v>185</v>
      </c>
      <c r="M223" s="132" t="s">
        <v>186</v>
      </c>
      <c r="N223" s="129" t="s">
        <v>184</v>
      </c>
      <c r="O223" s="129" t="s">
        <v>420</v>
      </c>
      <c r="P223" s="129" t="s">
        <v>156</v>
      </c>
      <c r="Q223" s="178">
        <v>9</v>
      </c>
      <c r="R223" s="178">
        <v>3</v>
      </c>
      <c r="S223" s="178">
        <v>51</v>
      </c>
      <c r="T223" s="178">
        <v>53</v>
      </c>
      <c r="U223" s="178" t="s">
        <v>160</v>
      </c>
      <c r="V223" s="178" t="s">
        <v>160</v>
      </c>
      <c r="W223" s="178" t="s">
        <v>160</v>
      </c>
      <c r="X223" s="129" t="s">
        <v>157</v>
      </c>
      <c r="Y223" s="136">
        <v>12.75</v>
      </c>
      <c r="Z223" s="136">
        <v>-78.73</v>
      </c>
      <c r="AA223" s="136">
        <v>12.75</v>
      </c>
      <c r="AB223" s="136">
        <v>-78.73</v>
      </c>
      <c r="AC223" s="136">
        <v>-2828</v>
      </c>
      <c r="AD223" s="136">
        <v>-2828</v>
      </c>
      <c r="AE223" s="129" t="s">
        <v>160</v>
      </c>
      <c r="AF223" s="129" t="s">
        <v>160</v>
      </c>
      <c r="AG223" s="141">
        <v>2372.1982419999999</v>
      </c>
      <c r="AH223" s="138" t="s">
        <v>159</v>
      </c>
      <c r="AI223" s="129" t="s">
        <v>160</v>
      </c>
      <c r="AJ223" s="129" t="s">
        <v>160</v>
      </c>
      <c r="AK223" s="178" t="s">
        <v>160</v>
      </c>
      <c r="AL223" s="178" t="s">
        <v>441</v>
      </c>
      <c r="AM223" s="178" t="s">
        <v>160</v>
      </c>
      <c r="AN223" s="129" t="s">
        <v>160</v>
      </c>
      <c r="AO223" s="129" t="s">
        <v>160</v>
      </c>
      <c r="AP223" s="129" t="s">
        <v>160</v>
      </c>
      <c r="AQ223" s="129" t="s">
        <v>160</v>
      </c>
      <c r="AR223" s="129" t="s">
        <v>160</v>
      </c>
      <c r="AS223" s="129" t="s">
        <v>160</v>
      </c>
      <c r="AT223" s="129" t="s">
        <v>160</v>
      </c>
      <c r="AU223" s="213" t="s">
        <v>442</v>
      </c>
      <c r="AV223" s="129" t="s">
        <v>161</v>
      </c>
      <c r="AW223" s="189" t="s">
        <v>443</v>
      </c>
      <c r="AX223" s="205" t="s">
        <v>444</v>
      </c>
      <c r="AY223" s="205" t="s">
        <v>353</v>
      </c>
      <c r="AZ223" s="205" t="s">
        <v>325</v>
      </c>
      <c r="BA223" s="214" t="s">
        <v>162</v>
      </c>
      <c r="BB223" s="129" t="s">
        <v>445</v>
      </c>
      <c r="BC223" s="129" t="s">
        <v>445</v>
      </c>
      <c r="BD223" s="129" t="s">
        <v>445</v>
      </c>
      <c r="BE223" s="141">
        <v>19.651509999999998</v>
      </c>
      <c r="BF223" s="129" t="s">
        <v>446</v>
      </c>
      <c r="BG223" s="141">
        <v>0.123089033</v>
      </c>
      <c r="BH223" s="129">
        <v>0.6</v>
      </c>
      <c r="BI223" s="129" t="s">
        <v>427</v>
      </c>
      <c r="BJ223" s="138">
        <v>0.08</v>
      </c>
      <c r="BK223" s="129">
        <v>8.8699999999999992</v>
      </c>
      <c r="BL223" s="129" t="s">
        <v>163</v>
      </c>
      <c r="BM223" s="129">
        <v>1.52</v>
      </c>
      <c r="BN223" s="129" t="s">
        <v>428</v>
      </c>
      <c r="BO223" s="129" t="s">
        <v>448</v>
      </c>
      <c r="BP223" s="141">
        <f t="shared" si="26"/>
        <v>17.969183333333334</v>
      </c>
      <c r="BQ223" s="129" t="s">
        <v>202</v>
      </c>
      <c r="BR223" s="217"/>
      <c r="BS223" s="129" t="s">
        <v>160</v>
      </c>
      <c r="BT223" s="129" t="s">
        <v>160</v>
      </c>
      <c r="BU223" s="129">
        <v>10</v>
      </c>
      <c r="BV223" s="129" t="s">
        <v>159</v>
      </c>
      <c r="BW223" s="129">
        <v>10</v>
      </c>
      <c r="BX223" s="141">
        <v>26.076159255379679</v>
      </c>
      <c r="BY223" s="129" t="s">
        <v>159</v>
      </c>
      <c r="BZ223" s="129">
        <v>1</v>
      </c>
      <c r="CA223" s="129">
        <v>1</v>
      </c>
      <c r="CB223" s="141">
        <v>3.8689611092297476</v>
      </c>
      <c r="CC223" s="141">
        <v>3.8689611092297476</v>
      </c>
      <c r="CD223" s="129" t="s">
        <v>449</v>
      </c>
      <c r="CE223" s="151">
        <f t="shared" si="27"/>
        <v>0.10446194994920319</v>
      </c>
      <c r="CF223" s="151">
        <f t="shared" si="28"/>
        <v>0.10446194994920319</v>
      </c>
      <c r="CG223" s="145" t="s">
        <v>203</v>
      </c>
      <c r="CH223" s="129" t="s">
        <v>204</v>
      </c>
      <c r="CI223" s="129" t="s">
        <v>205</v>
      </c>
      <c r="CJ223" s="129" t="s">
        <v>206</v>
      </c>
      <c r="CK223" s="129" t="s">
        <v>158</v>
      </c>
      <c r="CL223" s="129" t="s">
        <v>158</v>
      </c>
      <c r="CM223" s="129" t="s">
        <v>158</v>
      </c>
      <c r="CN223" s="129" t="s">
        <v>160</v>
      </c>
      <c r="CO223" s="129" t="s">
        <v>160</v>
      </c>
      <c r="CP223" s="129" t="s">
        <v>160</v>
      </c>
      <c r="CQ223" s="129" t="s">
        <v>160</v>
      </c>
      <c r="CR223" s="129" t="s">
        <v>160</v>
      </c>
      <c r="CS223" s="129" t="s">
        <v>160</v>
      </c>
      <c r="CT223" s="129" t="s">
        <v>160</v>
      </c>
      <c r="CU223" s="215">
        <v>35</v>
      </c>
      <c r="CV223" s="129" t="s">
        <v>393</v>
      </c>
      <c r="CW223" s="146">
        <v>1</v>
      </c>
      <c r="CX223" s="129" t="s">
        <v>207</v>
      </c>
      <c r="CY223" s="129">
        <v>1.06E-2</v>
      </c>
      <c r="CZ223" s="129" t="s">
        <v>159</v>
      </c>
      <c r="DA223" s="146">
        <v>0</v>
      </c>
      <c r="DB223" s="129" t="s">
        <v>208</v>
      </c>
      <c r="DC223" s="129">
        <v>5.5100000000000003E-2</v>
      </c>
      <c r="DD223" s="129" t="s">
        <v>159</v>
      </c>
      <c r="DE223" s="146">
        <v>0</v>
      </c>
      <c r="DF223" s="129" t="s">
        <v>208</v>
      </c>
      <c r="DG223" s="178" t="s">
        <v>160</v>
      </c>
      <c r="DH223" s="178" t="s">
        <v>160</v>
      </c>
      <c r="DI223" s="178" t="s">
        <v>160</v>
      </c>
      <c r="DJ223" s="178" t="s">
        <v>160</v>
      </c>
      <c r="DK223" s="145">
        <v>432.56244218316402</v>
      </c>
      <c r="DL223" s="129" t="s">
        <v>433</v>
      </c>
      <c r="DM223" s="145" t="s">
        <v>160</v>
      </c>
      <c r="DN223" s="129" t="s">
        <v>434</v>
      </c>
      <c r="DO223" s="129">
        <v>39.671599999999998</v>
      </c>
      <c r="DP223" s="129" t="s">
        <v>160</v>
      </c>
      <c r="DQ223" s="129">
        <v>0.36664999999999992</v>
      </c>
      <c r="DR223" s="129" t="s">
        <v>450</v>
      </c>
      <c r="DS223" s="129" t="s">
        <v>212</v>
      </c>
      <c r="DT223" s="129" t="s">
        <v>213</v>
      </c>
      <c r="DU223" s="129">
        <v>1.0271999999999999</v>
      </c>
      <c r="DV223" s="129" t="s">
        <v>393</v>
      </c>
      <c r="DW223" s="129">
        <v>5.9999999999999995E-4</v>
      </c>
      <c r="DX223" s="129" t="s">
        <v>436</v>
      </c>
      <c r="DY223" s="129" t="s">
        <v>160</v>
      </c>
      <c r="DZ223" s="129" t="s">
        <v>160</v>
      </c>
      <c r="EA223" s="129" t="s">
        <v>216</v>
      </c>
      <c r="EB223" s="129" t="s">
        <v>212</v>
      </c>
      <c r="EC223" s="129" t="s">
        <v>212</v>
      </c>
      <c r="ED223" s="129" t="s">
        <v>212</v>
      </c>
      <c r="EE223" s="129" t="s">
        <v>217</v>
      </c>
      <c r="EF223" s="147" t="s">
        <v>213</v>
      </c>
      <c r="EG223" s="148" t="s">
        <v>213</v>
      </c>
      <c r="EH223" s="129" t="s">
        <v>218</v>
      </c>
      <c r="EI223" s="129" t="s">
        <v>417</v>
      </c>
      <c r="EJ223" s="129" t="s">
        <v>160</v>
      </c>
      <c r="EK223" s="129">
        <v>1951.7619999999999</v>
      </c>
      <c r="EL223" s="129" t="s">
        <v>163</v>
      </c>
      <c r="EM223" s="129">
        <v>40.57700000000019</v>
      </c>
      <c r="EN223" s="129">
        <v>40.331000000000003</v>
      </c>
      <c r="EO223" s="129" t="s">
        <v>160</v>
      </c>
      <c r="EP223" s="129" t="s">
        <v>160</v>
      </c>
      <c r="EQ223" s="129" t="s">
        <v>160</v>
      </c>
      <c r="ER223" s="129" t="s">
        <v>160</v>
      </c>
      <c r="ES223" s="141">
        <v>8.025207</v>
      </c>
      <c r="ET223" s="142" t="s">
        <v>165</v>
      </c>
      <c r="EU223" s="141">
        <v>4.8612999999999573E-2</v>
      </c>
      <c r="EV223" s="141">
        <v>4.8295000000000421E-2</v>
      </c>
      <c r="EW223" s="142" t="s">
        <v>160</v>
      </c>
      <c r="EX223" s="129" t="s">
        <v>160</v>
      </c>
      <c r="EY223" s="129" t="s">
        <v>160</v>
      </c>
      <c r="EZ223" s="141">
        <v>368.3313</v>
      </c>
      <c r="FA223" s="141">
        <v>52.547799999999995</v>
      </c>
      <c r="FB223" s="141">
        <v>46.354000000000042</v>
      </c>
      <c r="FC223" s="129" t="s">
        <v>220</v>
      </c>
      <c r="FD223" s="129" t="s">
        <v>221</v>
      </c>
      <c r="FE223" s="129">
        <v>2193.163</v>
      </c>
      <c r="FF223" s="129">
        <v>56.067000000000007</v>
      </c>
      <c r="FG223" s="129">
        <v>55.249000000000251</v>
      </c>
      <c r="FH223" s="129" t="s">
        <v>437</v>
      </c>
      <c r="FI223" s="129" t="s">
        <v>437</v>
      </c>
      <c r="FJ223" s="129" t="s">
        <v>437</v>
      </c>
      <c r="FK223" s="129" t="s">
        <v>437</v>
      </c>
      <c r="FL223" s="129" t="s">
        <v>437</v>
      </c>
      <c r="FM223" s="129" t="s">
        <v>437</v>
      </c>
      <c r="FN223" s="151">
        <v>3.4410029999999998</v>
      </c>
      <c r="FO223" s="151">
        <v>0.32392200000000004</v>
      </c>
      <c r="FP223" s="151">
        <v>0.30950599999999984</v>
      </c>
      <c r="FQ223" s="178" t="s">
        <v>419</v>
      </c>
      <c r="FR223" s="129" t="s">
        <v>439</v>
      </c>
      <c r="FS223" s="129">
        <v>2015</v>
      </c>
      <c r="FT223" s="129" t="s">
        <v>440</v>
      </c>
    </row>
    <row r="224" spans="1:191" s="129" customFormat="1" ht="17">
      <c r="A224" s="123" t="s">
        <v>152</v>
      </c>
      <c r="B224" s="166" t="s">
        <v>183</v>
      </c>
      <c r="C224" s="166">
        <v>2018</v>
      </c>
      <c r="D224" s="166" t="s">
        <v>184</v>
      </c>
      <c r="E224" s="151">
        <f t="shared" si="25"/>
        <v>2381.2902829999998</v>
      </c>
      <c r="F224" s="191" t="s">
        <v>160</v>
      </c>
      <c r="G224" s="191" t="s">
        <v>160</v>
      </c>
      <c r="H224" s="151">
        <v>333.34839999999997</v>
      </c>
      <c r="I224" s="151">
        <v>48.117999999999995</v>
      </c>
      <c r="J224" s="151">
        <v>39.750399999999956</v>
      </c>
      <c r="K224" s="129" t="s">
        <v>457</v>
      </c>
      <c r="L224" s="131" t="s">
        <v>185</v>
      </c>
      <c r="M224" s="132" t="s">
        <v>186</v>
      </c>
      <c r="N224" s="129" t="s">
        <v>184</v>
      </c>
      <c r="O224" s="129" t="s">
        <v>420</v>
      </c>
      <c r="P224" s="129" t="s">
        <v>156</v>
      </c>
      <c r="Q224" s="178">
        <v>9</v>
      </c>
      <c r="R224" s="178">
        <v>3</v>
      </c>
      <c r="S224" s="178">
        <v>78</v>
      </c>
      <c r="T224" s="178">
        <v>80</v>
      </c>
      <c r="U224" s="178" t="s">
        <v>160</v>
      </c>
      <c r="V224" s="178" t="s">
        <v>160</v>
      </c>
      <c r="W224" s="178" t="s">
        <v>160</v>
      </c>
      <c r="X224" s="129" t="s">
        <v>157</v>
      </c>
      <c r="Y224" s="136">
        <v>12.75</v>
      </c>
      <c r="Z224" s="136">
        <v>-78.73</v>
      </c>
      <c r="AA224" s="136">
        <v>12.75</v>
      </c>
      <c r="AB224" s="136">
        <v>-78.73</v>
      </c>
      <c r="AC224" s="136">
        <v>-2828</v>
      </c>
      <c r="AD224" s="136">
        <v>-2828</v>
      </c>
      <c r="AE224" s="129" t="s">
        <v>160</v>
      </c>
      <c r="AF224" s="129" t="s">
        <v>160</v>
      </c>
      <c r="AG224" s="141">
        <v>2381.2902829999998</v>
      </c>
      <c r="AH224" s="138" t="s">
        <v>159</v>
      </c>
      <c r="AI224" s="129" t="s">
        <v>160</v>
      </c>
      <c r="AJ224" s="129" t="s">
        <v>160</v>
      </c>
      <c r="AK224" s="178" t="s">
        <v>160</v>
      </c>
      <c r="AL224" s="178" t="s">
        <v>441</v>
      </c>
      <c r="AM224" s="178" t="s">
        <v>160</v>
      </c>
      <c r="AN224" s="129" t="s">
        <v>160</v>
      </c>
      <c r="AO224" s="129" t="s">
        <v>160</v>
      </c>
      <c r="AP224" s="129" t="s">
        <v>160</v>
      </c>
      <c r="AQ224" s="129" t="s">
        <v>160</v>
      </c>
      <c r="AR224" s="129" t="s">
        <v>160</v>
      </c>
      <c r="AS224" s="129" t="s">
        <v>160</v>
      </c>
      <c r="AT224" s="129" t="s">
        <v>160</v>
      </c>
      <c r="AU224" s="213" t="s">
        <v>442</v>
      </c>
      <c r="AV224" s="129" t="s">
        <v>161</v>
      </c>
      <c r="AW224" s="189" t="s">
        <v>443</v>
      </c>
      <c r="AX224" s="189" t="s">
        <v>444</v>
      </c>
      <c r="AY224" s="205" t="s">
        <v>353</v>
      </c>
      <c r="AZ224" s="205" t="s">
        <v>325</v>
      </c>
      <c r="BA224" s="129" t="s">
        <v>162</v>
      </c>
      <c r="BB224" s="129" t="s">
        <v>445</v>
      </c>
      <c r="BC224" s="129" t="s">
        <v>445</v>
      </c>
      <c r="BD224" s="129" t="s">
        <v>445</v>
      </c>
      <c r="BE224" s="141">
        <v>19.890139999999999</v>
      </c>
      <c r="BF224" s="129" t="s">
        <v>446</v>
      </c>
      <c r="BG224" s="141">
        <v>0.12155007700000001</v>
      </c>
      <c r="BH224" s="129">
        <v>0.6</v>
      </c>
      <c r="BI224" s="129" t="s">
        <v>427</v>
      </c>
      <c r="BJ224" s="138">
        <v>0.08</v>
      </c>
      <c r="BK224" s="129">
        <v>8.8699999999999992</v>
      </c>
      <c r="BL224" s="129" t="s">
        <v>163</v>
      </c>
      <c r="BM224" s="129">
        <v>1.52</v>
      </c>
      <c r="BN224" s="129" t="s">
        <v>428</v>
      </c>
      <c r="BO224" s="129" t="s">
        <v>448</v>
      </c>
      <c r="BP224" s="141">
        <f t="shared" si="26"/>
        <v>18.366900000000001</v>
      </c>
      <c r="BQ224" s="129" t="s">
        <v>202</v>
      </c>
      <c r="BR224" s="217"/>
      <c r="BS224" s="129" t="s">
        <v>160</v>
      </c>
      <c r="BT224" s="129" t="s">
        <v>160</v>
      </c>
      <c r="BU224" s="129">
        <v>10</v>
      </c>
      <c r="BV224" s="129" t="s">
        <v>159</v>
      </c>
      <c r="BW224" s="129">
        <v>10</v>
      </c>
      <c r="BX224" s="141">
        <v>26.188692726363275</v>
      </c>
      <c r="BY224" s="129" t="s">
        <v>159</v>
      </c>
      <c r="BZ224" s="129">
        <v>1</v>
      </c>
      <c r="CA224" s="129">
        <v>1</v>
      </c>
      <c r="CB224" s="141">
        <v>3.9079672925277102</v>
      </c>
      <c r="CC224" s="141">
        <v>3.9079672925277102</v>
      </c>
      <c r="CD224" s="129" t="s">
        <v>449</v>
      </c>
      <c r="CE224" s="151">
        <f t="shared" si="27"/>
        <v>0.10551511689824818</v>
      </c>
      <c r="CF224" s="151">
        <f t="shared" si="28"/>
        <v>0.10551511689824818</v>
      </c>
      <c r="CG224" s="145" t="s">
        <v>203</v>
      </c>
      <c r="CH224" s="129" t="s">
        <v>204</v>
      </c>
      <c r="CI224" s="129" t="s">
        <v>205</v>
      </c>
      <c r="CJ224" s="129" t="s">
        <v>206</v>
      </c>
      <c r="CK224" s="129" t="s">
        <v>158</v>
      </c>
      <c r="CL224" s="129" t="s">
        <v>158</v>
      </c>
      <c r="CM224" s="129" t="s">
        <v>158</v>
      </c>
      <c r="CN224" s="129" t="s">
        <v>160</v>
      </c>
      <c r="CO224" s="129" t="s">
        <v>160</v>
      </c>
      <c r="CP224" s="129" t="s">
        <v>160</v>
      </c>
      <c r="CQ224" s="129" t="s">
        <v>160</v>
      </c>
      <c r="CR224" s="129" t="s">
        <v>160</v>
      </c>
      <c r="CS224" s="129" t="s">
        <v>160</v>
      </c>
      <c r="CT224" s="129" t="s">
        <v>160</v>
      </c>
      <c r="CU224" s="215">
        <v>35</v>
      </c>
      <c r="CV224" s="129" t="s">
        <v>393</v>
      </c>
      <c r="CW224" s="146">
        <v>1</v>
      </c>
      <c r="CX224" s="129" t="s">
        <v>207</v>
      </c>
      <c r="CY224" s="129">
        <v>1.06E-2</v>
      </c>
      <c r="CZ224" s="129" t="s">
        <v>159</v>
      </c>
      <c r="DA224" s="146">
        <v>0</v>
      </c>
      <c r="DB224" s="129" t="s">
        <v>208</v>
      </c>
      <c r="DC224" s="129">
        <v>5.5100000000000003E-2</v>
      </c>
      <c r="DD224" s="129" t="s">
        <v>159</v>
      </c>
      <c r="DE224" s="146">
        <v>0</v>
      </c>
      <c r="DF224" s="129" t="s">
        <v>208</v>
      </c>
      <c r="DG224" s="178" t="s">
        <v>160</v>
      </c>
      <c r="DH224" s="178" t="s">
        <v>160</v>
      </c>
      <c r="DI224" s="178" t="s">
        <v>160</v>
      </c>
      <c r="DJ224" s="178" t="s">
        <v>160</v>
      </c>
      <c r="DK224" s="145">
        <v>432.56244218316402</v>
      </c>
      <c r="DL224" s="129" t="s">
        <v>433</v>
      </c>
      <c r="DM224" s="145" t="s">
        <v>160</v>
      </c>
      <c r="DN224" s="129" t="s">
        <v>434</v>
      </c>
      <c r="DO224" s="129">
        <v>39.671869999999998</v>
      </c>
      <c r="DP224" s="129" t="s">
        <v>160</v>
      </c>
      <c r="DQ224" s="129">
        <v>0.37015999999999849</v>
      </c>
      <c r="DR224" s="129" t="s">
        <v>450</v>
      </c>
      <c r="DS224" s="129" t="s">
        <v>212</v>
      </c>
      <c r="DT224" s="129" t="s">
        <v>213</v>
      </c>
      <c r="DU224" s="129">
        <v>1.0271999999999999</v>
      </c>
      <c r="DV224" s="129" t="s">
        <v>393</v>
      </c>
      <c r="DW224" s="129">
        <v>5.9999999999999995E-4</v>
      </c>
      <c r="DX224" s="129" t="s">
        <v>436</v>
      </c>
      <c r="DY224" s="129" t="s">
        <v>160</v>
      </c>
      <c r="DZ224" s="129" t="s">
        <v>160</v>
      </c>
      <c r="EA224" s="129" t="s">
        <v>216</v>
      </c>
      <c r="EB224" s="129" t="s">
        <v>212</v>
      </c>
      <c r="EC224" s="129" t="s">
        <v>212</v>
      </c>
      <c r="ED224" s="129" t="s">
        <v>212</v>
      </c>
      <c r="EE224" s="129" t="s">
        <v>217</v>
      </c>
      <c r="EF224" s="147" t="s">
        <v>213</v>
      </c>
      <c r="EG224" s="148" t="s">
        <v>213</v>
      </c>
      <c r="EH224" s="129" t="s">
        <v>218</v>
      </c>
      <c r="EI224" s="129" t="s">
        <v>417</v>
      </c>
      <c r="EJ224" s="129" t="s">
        <v>160</v>
      </c>
      <c r="EK224" s="129">
        <v>1951.33</v>
      </c>
      <c r="EL224" s="129" t="s">
        <v>163</v>
      </c>
      <c r="EM224" s="129">
        <v>40.382999999999953</v>
      </c>
      <c r="EN224" s="129">
        <v>39.266000000000041</v>
      </c>
      <c r="EO224" s="129" t="s">
        <v>160</v>
      </c>
      <c r="EP224" s="129" t="s">
        <v>160</v>
      </c>
      <c r="EQ224" s="129" t="s">
        <v>160</v>
      </c>
      <c r="ER224" s="129" t="s">
        <v>160</v>
      </c>
      <c r="ES224" s="141">
        <v>8.0614139999999992</v>
      </c>
      <c r="ET224" s="142" t="s">
        <v>165</v>
      </c>
      <c r="EU224" s="141">
        <v>4.4624000000000663E-2</v>
      </c>
      <c r="EV224" s="141">
        <v>4.7333999999999321E-2</v>
      </c>
      <c r="EW224" s="142" t="s">
        <v>160</v>
      </c>
      <c r="EX224" s="129" t="s">
        <v>160</v>
      </c>
      <c r="EY224" s="129" t="s">
        <v>160</v>
      </c>
      <c r="EZ224" s="141">
        <v>333.34839999999997</v>
      </c>
      <c r="FA224" s="141">
        <v>48.117999999999995</v>
      </c>
      <c r="FB224" s="141">
        <v>39.750399999999956</v>
      </c>
      <c r="FC224" s="129" t="s">
        <v>220</v>
      </c>
      <c r="FD224" s="129" t="s">
        <v>221</v>
      </c>
      <c r="FE224" s="129">
        <v>2217.127</v>
      </c>
      <c r="FF224" s="129">
        <v>57.050000000000182</v>
      </c>
      <c r="FG224" s="129">
        <v>57.503999999999905</v>
      </c>
      <c r="FH224" s="129" t="s">
        <v>437</v>
      </c>
      <c r="FI224" s="129" t="s">
        <v>437</v>
      </c>
      <c r="FJ224" s="129" t="s">
        <v>437</v>
      </c>
      <c r="FK224" s="129" t="s">
        <v>437</v>
      </c>
      <c r="FL224" s="129" t="s">
        <v>437</v>
      </c>
      <c r="FM224" s="129" t="s">
        <v>437</v>
      </c>
      <c r="FN224" s="151">
        <v>3.7182270000000002</v>
      </c>
      <c r="FO224" s="151">
        <v>0.33560299999999943</v>
      </c>
      <c r="FP224" s="151">
        <v>0.31490900000000011</v>
      </c>
      <c r="FQ224" s="178" t="s">
        <v>419</v>
      </c>
      <c r="FR224" s="129" t="s">
        <v>439</v>
      </c>
      <c r="FS224" s="129">
        <v>2015</v>
      </c>
      <c r="FT224" s="129" t="s">
        <v>440</v>
      </c>
    </row>
    <row r="225" spans="1:176" s="129" customFormat="1" ht="17">
      <c r="A225" s="123" t="s">
        <v>152</v>
      </c>
      <c r="B225" s="166" t="s">
        <v>183</v>
      </c>
      <c r="C225" s="166">
        <v>2018</v>
      </c>
      <c r="D225" s="166" t="s">
        <v>184</v>
      </c>
      <c r="E225" s="151">
        <f t="shared" si="25"/>
        <v>2389.3159179999998</v>
      </c>
      <c r="F225" s="191" t="s">
        <v>160</v>
      </c>
      <c r="G225" s="191" t="s">
        <v>160</v>
      </c>
      <c r="H225" s="151">
        <v>338.01369999999997</v>
      </c>
      <c r="I225" s="151">
        <v>46.506800000000055</v>
      </c>
      <c r="J225" s="151">
        <v>39.357999999999947</v>
      </c>
      <c r="K225" s="129" t="s">
        <v>457</v>
      </c>
      <c r="L225" s="131" t="s">
        <v>185</v>
      </c>
      <c r="M225" s="132" t="s">
        <v>186</v>
      </c>
      <c r="N225" s="129" t="s">
        <v>184</v>
      </c>
      <c r="O225" s="129" t="s">
        <v>420</v>
      </c>
      <c r="P225" s="129" t="s">
        <v>156</v>
      </c>
      <c r="Q225" s="205">
        <v>9</v>
      </c>
      <c r="R225" s="178">
        <v>3</v>
      </c>
      <c r="S225" s="178">
        <v>102</v>
      </c>
      <c r="T225" s="178">
        <v>104</v>
      </c>
      <c r="U225" s="178" t="s">
        <v>160</v>
      </c>
      <c r="V225" s="178" t="s">
        <v>160</v>
      </c>
      <c r="W225" s="178" t="s">
        <v>160</v>
      </c>
      <c r="X225" s="129" t="s">
        <v>157</v>
      </c>
      <c r="Y225" s="136">
        <v>12.75</v>
      </c>
      <c r="Z225" s="136">
        <v>-78.73</v>
      </c>
      <c r="AA225" s="136">
        <v>12.75</v>
      </c>
      <c r="AB225" s="136">
        <v>-78.73</v>
      </c>
      <c r="AC225" s="136">
        <v>-2828</v>
      </c>
      <c r="AD225" s="136">
        <v>-2828</v>
      </c>
      <c r="AE225" s="129" t="s">
        <v>160</v>
      </c>
      <c r="AF225" s="129" t="s">
        <v>160</v>
      </c>
      <c r="AG225" s="141">
        <v>2389.3159179999998</v>
      </c>
      <c r="AH225" s="138" t="s">
        <v>159</v>
      </c>
      <c r="AI225" s="129" t="s">
        <v>160</v>
      </c>
      <c r="AJ225" s="129" t="s">
        <v>160</v>
      </c>
      <c r="AK225" s="178" t="s">
        <v>160</v>
      </c>
      <c r="AL225" s="178" t="s">
        <v>441</v>
      </c>
      <c r="AM225" s="178" t="s">
        <v>160</v>
      </c>
      <c r="AN225" s="129" t="s">
        <v>160</v>
      </c>
      <c r="AO225" s="129" t="s">
        <v>160</v>
      </c>
      <c r="AP225" s="129" t="s">
        <v>160</v>
      </c>
      <c r="AQ225" s="129" t="s">
        <v>160</v>
      </c>
      <c r="AR225" s="129" t="s">
        <v>160</v>
      </c>
      <c r="AS225" s="129" t="s">
        <v>160</v>
      </c>
      <c r="AT225" s="129" t="s">
        <v>160</v>
      </c>
      <c r="AU225" s="213" t="s">
        <v>442</v>
      </c>
      <c r="AV225" s="129" t="s">
        <v>161</v>
      </c>
      <c r="AW225" s="189" t="s">
        <v>443</v>
      </c>
      <c r="AX225" s="205" t="s">
        <v>444</v>
      </c>
      <c r="AY225" s="205" t="s">
        <v>353</v>
      </c>
      <c r="AZ225" s="205" t="s">
        <v>325</v>
      </c>
      <c r="BA225" s="214" t="s">
        <v>162</v>
      </c>
      <c r="BB225" s="129" t="s">
        <v>445</v>
      </c>
      <c r="BC225" s="129" t="s">
        <v>445</v>
      </c>
      <c r="BD225" s="129" t="s">
        <v>445</v>
      </c>
      <c r="BE225" s="141">
        <v>19.83353</v>
      </c>
      <c r="BF225" s="129" t="s">
        <v>446</v>
      </c>
      <c r="BG225" s="141">
        <v>9.6840154999999997E-2</v>
      </c>
      <c r="BH225" s="129">
        <v>0.6</v>
      </c>
      <c r="BI225" s="129" t="s">
        <v>427</v>
      </c>
      <c r="BJ225" s="138">
        <v>0.08</v>
      </c>
      <c r="BK225" s="129">
        <v>8.8699999999999992</v>
      </c>
      <c r="BL225" s="129" t="s">
        <v>163</v>
      </c>
      <c r="BM225" s="129">
        <v>1.52</v>
      </c>
      <c r="BN225" s="129" t="s">
        <v>428</v>
      </c>
      <c r="BO225" s="129" t="s">
        <v>448</v>
      </c>
      <c r="BP225" s="141">
        <f t="shared" si="26"/>
        <v>18.272550000000003</v>
      </c>
      <c r="BQ225" s="129" t="s">
        <v>202</v>
      </c>
      <c r="BR225" s="217"/>
      <c r="BS225" s="129" t="s">
        <v>160</v>
      </c>
      <c r="BT225" s="129" t="s">
        <v>160</v>
      </c>
      <c r="BU225" s="129">
        <v>10</v>
      </c>
      <c r="BV225" s="129" t="s">
        <v>159</v>
      </c>
      <c r="BW225" s="129">
        <v>10</v>
      </c>
      <c r="BX225" s="141">
        <v>25.864817490053888</v>
      </c>
      <c r="BY225" s="129" t="s">
        <v>159</v>
      </c>
      <c r="BZ225" s="129">
        <v>1</v>
      </c>
      <c r="CA225" s="129">
        <v>1</v>
      </c>
      <c r="CB225" s="141">
        <v>3.7953751685012476</v>
      </c>
      <c r="CC225" s="141">
        <v>3.7953751685012476</v>
      </c>
      <c r="CD225" s="129" t="s">
        <v>449</v>
      </c>
      <c r="CE225" s="151">
        <f t="shared" si="27"/>
        <v>0.10247512954953368</v>
      </c>
      <c r="CF225" s="151">
        <f t="shared" si="28"/>
        <v>0.10247512954953368</v>
      </c>
      <c r="CG225" s="145" t="s">
        <v>203</v>
      </c>
      <c r="CH225" s="129" t="s">
        <v>204</v>
      </c>
      <c r="CI225" s="129" t="s">
        <v>205</v>
      </c>
      <c r="CJ225" s="129" t="s">
        <v>206</v>
      </c>
      <c r="CK225" s="129" t="s">
        <v>158</v>
      </c>
      <c r="CL225" s="129" t="s">
        <v>158</v>
      </c>
      <c r="CM225" s="129" t="s">
        <v>158</v>
      </c>
      <c r="CN225" s="129" t="s">
        <v>160</v>
      </c>
      <c r="CO225" s="129" t="s">
        <v>160</v>
      </c>
      <c r="CP225" s="129" t="s">
        <v>160</v>
      </c>
      <c r="CQ225" s="129" t="s">
        <v>160</v>
      </c>
      <c r="CR225" s="129" t="s">
        <v>160</v>
      </c>
      <c r="CS225" s="129" t="s">
        <v>160</v>
      </c>
      <c r="CT225" s="129" t="s">
        <v>160</v>
      </c>
      <c r="CU225" s="215">
        <v>35</v>
      </c>
      <c r="CV225" s="129" t="s">
        <v>393</v>
      </c>
      <c r="CW225" s="146">
        <v>1</v>
      </c>
      <c r="CX225" s="129" t="s">
        <v>207</v>
      </c>
      <c r="CY225" s="129">
        <v>1.06E-2</v>
      </c>
      <c r="CZ225" s="129" t="s">
        <v>159</v>
      </c>
      <c r="DA225" s="146">
        <v>0</v>
      </c>
      <c r="DB225" s="129" t="s">
        <v>208</v>
      </c>
      <c r="DC225" s="129">
        <v>5.5100000000000003E-2</v>
      </c>
      <c r="DD225" s="129" t="s">
        <v>159</v>
      </c>
      <c r="DE225" s="146">
        <v>0</v>
      </c>
      <c r="DF225" s="129" t="s">
        <v>208</v>
      </c>
      <c r="DG225" s="178" t="s">
        <v>160</v>
      </c>
      <c r="DH225" s="178" t="s">
        <v>160</v>
      </c>
      <c r="DI225" s="178" t="s">
        <v>160</v>
      </c>
      <c r="DJ225" s="178" t="s">
        <v>160</v>
      </c>
      <c r="DK225" s="145">
        <v>432.56244218316402</v>
      </c>
      <c r="DL225" s="129" t="s">
        <v>433</v>
      </c>
      <c r="DM225" s="145" t="s">
        <v>160</v>
      </c>
      <c r="DN225" s="129" t="s">
        <v>434</v>
      </c>
      <c r="DO225" s="129">
        <v>39.67201</v>
      </c>
      <c r="DP225" s="129" t="s">
        <v>160</v>
      </c>
      <c r="DQ225" s="129">
        <v>0.36910999999999916</v>
      </c>
      <c r="DR225" s="129" t="s">
        <v>450</v>
      </c>
      <c r="DS225" s="129" t="s">
        <v>212</v>
      </c>
      <c r="DT225" s="129" t="s">
        <v>213</v>
      </c>
      <c r="DU225" s="129">
        <v>1.0271999999999999</v>
      </c>
      <c r="DV225" s="129" t="s">
        <v>393</v>
      </c>
      <c r="DW225" s="129">
        <v>5.9999999999999995E-4</v>
      </c>
      <c r="DX225" s="129" t="s">
        <v>436</v>
      </c>
      <c r="DY225" s="129" t="s">
        <v>160</v>
      </c>
      <c r="DZ225" s="129" t="s">
        <v>160</v>
      </c>
      <c r="EA225" s="129" t="s">
        <v>216</v>
      </c>
      <c r="EB225" s="129" t="s">
        <v>212</v>
      </c>
      <c r="EC225" s="129" t="s">
        <v>212</v>
      </c>
      <c r="ED225" s="129" t="s">
        <v>212</v>
      </c>
      <c r="EE225" s="129" t="s">
        <v>217</v>
      </c>
      <c r="EF225" s="147" t="s">
        <v>213</v>
      </c>
      <c r="EG225" s="148" t="s">
        <v>213</v>
      </c>
      <c r="EH225" s="129" t="s">
        <v>218</v>
      </c>
      <c r="EI225" s="129" t="s">
        <v>417</v>
      </c>
      <c r="EJ225" s="129" t="s">
        <v>160</v>
      </c>
      <c r="EK225" s="129">
        <v>1951.826</v>
      </c>
      <c r="EL225" s="129" t="s">
        <v>163</v>
      </c>
      <c r="EM225" s="129">
        <v>39.479000000000035</v>
      </c>
      <c r="EN225" s="129">
        <v>40.129000000000076</v>
      </c>
      <c r="EO225" s="129" t="s">
        <v>160</v>
      </c>
      <c r="EP225" s="129" t="s">
        <v>160</v>
      </c>
      <c r="EQ225" s="129" t="s">
        <v>160</v>
      </c>
      <c r="ER225" s="129" t="s">
        <v>160</v>
      </c>
      <c r="ES225" s="141">
        <v>8.056298</v>
      </c>
      <c r="ET225" s="142" t="s">
        <v>165</v>
      </c>
      <c r="EU225" s="141">
        <v>4.4012000000000384E-2</v>
      </c>
      <c r="EV225" s="141">
        <v>4.5666000000000651E-2</v>
      </c>
      <c r="EW225" s="142" t="s">
        <v>160</v>
      </c>
      <c r="EX225" s="129" t="s">
        <v>160</v>
      </c>
      <c r="EY225" s="129" t="s">
        <v>160</v>
      </c>
      <c r="EZ225" s="141">
        <v>338.01369999999997</v>
      </c>
      <c r="FA225" s="141">
        <v>46.506800000000055</v>
      </c>
      <c r="FB225" s="141">
        <v>39.357999999999947</v>
      </c>
      <c r="FC225" s="129" t="s">
        <v>220</v>
      </c>
      <c r="FD225" s="129" t="s">
        <v>221</v>
      </c>
      <c r="FE225" s="129">
        <v>2210.8629999999998</v>
      </c>
      <c r="FF225" s="129">
        <v>56.343000000000302</v>
      </c>
      <c r="FG225" s="129">
        <v>55.88799999999992</v>
      </c>
      <c r="FH225" s="129" t="s">
        <v>437</v>
      </c>
      <c r="FI225" s="129" t="s">
        <v>437</v>
      </c>
      <c r="FJ225" s="129" t="s">
        <v>437</v>
      </c>
      <c r="FK225" s="129" t="s">
        <v>437</v>
      </c>
      <c r="FL225" s="129" t="s">
        <v>437</v>
      </c>
      <c r="FM225" s="129" t="s">
        <v>437</v>
      </c>
      <c r="FN225" s="151">
        <v>3.6381899999999998</v>
      </c>
      <c r="FO225" s="151">
        <v>0.31316000000000033</v>
      </c>
      <c r="FP225" s="151">
        <v>0.29235899999999981</v>
      </c>
      <c r="FQ225" s="178" t="s">
        <v>419</v>
      </c>
      <c r="FR225" s="129" t="s">
        <v>439</v>
      </c>
      <c r="FS225" s="129">
        <v>2015</v>
      </c>
      <c r="FT225" s="129" t="s">
        <v>440</v>
      </c>
    </row>
    <row r="226" spans="1:176" s="129" customFormat="1" ht="17">
      <c r="A226" s="123" t="s">
        <v>152</v>
      </c>
      <c r="B226" s="166" t="s">
        <v>183</v>
      </c>
      <c r="C226" s="166">
        <v>2018</v>
      </c>
      <c r="D226" s="166" t="s">
        <v>184</v>
      </c>
      <c r="E226" s="151">
        <f t="shared" si="25"/>
        <v>2410.9201659999999</v>
      </c>
      <c r="F226" s="191" t="s">
        <v>160</v>
      </c>
      <c r="G226" s="191" t="s">
        <v>160</v>
      </c>
      <c r="H226" s="151">
        <v>257.88209999999998</v>
      </c>
      <c r="I226" s="151">
        <v>32.222800000000007</v>
      </c>
      <c r="J226" s="151">
        <v>29.518099999999976</v>
      </c>
      <c r="K226" s="129" t="s">
        <v>457</v>
      </c>
      <c r="L226" s="131" t="s">
        <v>185</v>
      </c>
      <c r="M226" s="132" t="s">
        <v>186</v>
      </c>
      <c r="N226" s="129" t="s">
        <v>184</v>
      </c>
      <c r="O226" s="129" t="s">
        <v>420</v>
      </c>
      <c r="P226" s="129" t="s">
        <v>156</v>
      </c>
      <c r="Q226" s="178">
        <v>9</v>
      </c>
      <c r="R226" s="178">
        <v>4</v>
      </c>
      <c r="S226" s="178">
        <v>29</v>
      </c>
      <c r="T226" s="178">
        <v>31</v>
      </c>
      <c r="U226" s="178" t="s">
        <v>160</v>
      </c>
      <c r="V226" s="178" t="s">
        <v>160</v>
      </c>
      <c r="W226" s="178" t="s">
        <v>160</v>
      </c>
      <c r="X226" s="129" t="s">
        <v>157</v>
      </c>
      <c r="Y226" s="136">
        <v>12.75</v>
      </c>
      <c r="Z226" s="136">
        <v>-78.73</v>
      </c>
      <c r="AA226" s="136">
        <v>12.75</v>
      </c>
      <c r="AB226" s="136">
        <v>-78.73</v>
      </c>
      <c r="AC226" s="136">
        <v>-2828</v>
      </c>
      <c r="AD226" s="136">
        <v>-2828</v>
      </c>
      <c r="AE226" s="129" t="s">
        <v>160</v>
      </c>
      <c r="AF226" s="129" t="s">
        <v>160</v>
      </c>
      <c r="AG226" s="141">
        <v>2410.9201659999999</v>
      </c>
      <c r="AH226" s="138" t="s">
        <v>159</v>
      </c>
      <c r="AI226" s="129" t="s">
        <v>160</v>
      </c>
      <c r="AJ226" s="129" t="s">
        <v>160</v>
      </c>
      <c r="AK226" s="178" t="s">
        <v>160</v>
      </c>
      <c r="AL226" s="178" t="s">
        <v>441</v>
      </c>
      <c r="AM226" s="178" t="s">
        <v>160</v>
      </c>
      <c r="AN226" s="129" t="s">
        <v>160</v>
      </c>
      <c r="AO226" s="129" t="s">
        <v>160</v>
      </c>
      <c r="AP226" s="129" t="s">
        <v>160</v>
      </c>
      <c r="AQ226" s="129" t="s">
        <v>160</v>
      </c>
      <c r="AR226" s="129" t="s">
        <v>160</v>
      </c>
      <c r="AS226" s="129" t="s">
        <v>160</v>
      </c>
      <c r="AT226" s="129" t="s">
        <v>160</v>
      </c>
      <c r="AU226" s="213" t="s">
        <v>442</v>
      </c>
      <c r="AV226" s="129" t="s">
        <v>161</v>
      </c>
      <c r="AW226" s="189" t="s">
        <v>443</v>
      </c>
      <c r="AX226" s="189" t="s">
        <v>444</v>
      </c>
      <c r="AY226" s="205" t="s">
        <v>353</v>
      </c>
      <c r="AZ226" s="205" t="s">
        <v>325</v>
      </c>
      <c r="BA226" s="129" t="s">
        <v>162</v>
      </c>
      <c r="BB226" s="129" t="s">
        <v>445</v>
      </c>
      <c r="BC226" s="129" t="s">
        <v>445</v>
      </c>
      <c r="BD226" s="129" t="s">
        <v>445</v>
      </c>
      <c r="BE226" s="141">
        <v>20.567969999999999</v>
      </c>
      <c r="BF226" s="129" t="s">
        <v>446</v>
      </c>
      <c r="BG226" s="141">
        <v>9.1897218000000003E-2</v>
      </c>
      <c r="BH226" s="129">
        <v>0.6</v>
      </c>
      <c r="BI226" s="129" t="s">
        <v>427</v>
      </c>
      <c r="BJ226" s="138">
        <v>0.08</v>
      </c>
      <c r="BK226" s="129">
        <v>8.8699999999999992</v>
      </c>
      <c r="BL226" s="129" t="s">
        <v>163</v>
      </c>
      <c r="BM226" s="129">
        <v>1.52</v>
      </c>
      <c r="BN226" s="129" t="s">
        <v>428</v>
      </c>
      <c r="BO226" s="129" t="s">
        <v>448</v>
      </c>
      <c r="BP226" s="141">
        <f t="shared" si="26"/>
        <v>19.496616666666668</v>
      </c>
      <c r="BQ226" s="129" t="s">
        <v>202</v>
      </c>
      <c r="BR226" s="217"/>
      <c r="BS226" s="129" t="s">
        <v>160</v>
      </c>
      <c r="BT226" s="129" t="s">
        <v>160</v>
      </c>
      <c r="BU226" s="129">
        <v>10</v>
      </c>
      <c r="BV226" s="129" t="s">
        <v>159</v>
      </c>
      <c r="BW226" s="129">
        <v>10</v>
      </c>
      <c r="BX226" s="141">
        <v>26.627844130325673</v>
      </c>
      <c r="BY226" s="129" t="s">
        <v>159</v>
      </c>
      <c r="BZ226" s="129">
        <v>1</v>
      </c>
      <c r="CA226" s="129">
        <v>1</v>
      </c>
      <c r="CB226" s="141">
        <v>4.0642368266665896</v>
      </c>
      <c r="CC226" s="141">
        <v>4.0642368266665896</v>
      </c>
      <c r="CD226" s="129" t="s">
        <v>449</v>
      </c>
      <c r="CE226" s="151">
        <f t="shared" si="27"/>
        <v>0.10973439431999792</v>
      </c>
      <c r="CF226" s="151">
        <f t="shared" si="28"/>
        <v>0.10973439431999792</v>
      </c>
      <c r="CG226" s="145" t="s">
        <v>203</v>
      </c>
      <c r="CH226" s="129" t="s">
        <v>204</v>
      </c>
      <c r="CI226" s="129" t="s">
        <v>205</v>
      </c>
      <c r="CJ226" s="129" t="s">
        <v>206</v>
      </c>
      <c r="CK226" s="129" t="s">
        <v>158</v>
      </c>
      <c r="CL226" s="129" t="s">
        <v>158</v>
      </c>
      <c r="CM226" s="129" t="s">
        <v>158</v>
      </c>
      <c r="CN226" s="129" t="s">
        <v>160</v>
      </c>
      <c r="CO226" s="129" t="s">
        <v>160</v>
      </c>
      <c r="CP226" s="129" t="s">
        <v>160</v>
      </c>
      <c r="CQ226" s="129" t="s">
        <v>160</v>
      </c>
      <c r="CR226" s="129" t="s">
        <v>160</v>
      </c>
      <c r="CS226" s="129" t="s">
        <v>160</v>
      </c>
      <c r="CT226" s="129" t="s">
        <v>160</v>
      </c>
      <c r="CU226" s="215">
        <v>35</v>
      </c>
      <c r="CV226" s="129" t="s">
        <v>393</v>
      </c>
      <c r="CW226" s="146">
        <v>1</v>
      </c>
      <c r="CX226" s="129" t="s">
        <v>207</v>
      </c>
      <c r="CY226" s="129">
        <v>1.06E-2</v>
      </c>
      <c r="CZ226" s="129" t="s">
        <v>159</v>
      </c>
      <c r="DA226" s="146">
        <v>0</v>
      </c>
      <c r="DB226" s="129" t="s">
        <v>208</v>
      </c>
      <c r="DC226" s="129">
        <v>5.5100000000000003E-2</v>
      </c>
      <c r="DD226" s="129" t="s">
        <v>159</v>
      </c>
      <c r="DE226" s="146">
        <v>0</v>
      </c>
      <c r="DF226" s="129" t="s">
        <v>208</v>
      </c>
      <c r="DG226" s="178" t="s">
        <v>160</v>
      </c>
      <c r="DH226" s="178" t="s">
        <v>160</v>
      </c>
      <c r="DI226" s="178" t="s">
        <v>160</v>
      </c>
      <c r="DJ226" s="178" t="s">
        <v>160</v>
      </c>
      <c r="DK226" s="145">
        <v>432.56244218316402</v>
      </c>
      <c r="DL226" s="129" t="s">
        <v>433</v>
      </c>
      <c r="DM226" s="145" t="s">
        <v>160</v>
      </c>
      <c r="DN226" s="129" t="s">
        <v>434</v>
      </c>
      <c r="DO226" s="129">
        <v>39.67597</v>
      </c>
      <c r="DP226" s="129" t="s">
        <v>160</v>
      </c>
      <c r="DQ226" s="129">
        <v>0.3613199999999992</v>
      </c>
      <c r="DR226" s="129" t="s">
        <v>450</v>
      </c>
      <c r="DS226" s="129" t="s">
        <v>212</v>
      </c>
      <c r="DT226" s="129" t="s">
        <v>213</v>
      </c>
      <c r="DU226" s="129">
        <v>1.0271999999999999</v>
      </c>
      <c r="DV226" s="129" t="s">
        <v>393</v>
      </c>
      <c r="DW226" s="129">
        <v>5.9999999999999995E-4</v>
      </c>
      <c r="DX226" s="129" t="s">
        <v>436</v>
      </c>
      <c r="DY226" s="129" t="s">
        <v>160</v>
      </c>
      <c r="DZ226" s="129" t="s">
        <v>160</v>
      </c>
      <c r="EA226" s="129" t="s">
        <v>216</v>
      </c>
      <c r="EB226" s="129" t="s">
        <v>212</v>
      </c>
      <c r="EC226" s="129" t="s">
        <v>212</v>
      </c>
      <c r="ED226" s="129" t="s">
        <v>212</v>
      </c>
      <c r="EE226" s="129" t="s">
        <v>217</v>
      </c>
      <c r="EF226" s="147" t="s">
        <v>213</v>
      </c>
      <c r="EG226" s="148" t="s">
        <v>213</v>
      </c>
      <c r="EH226" s="129" t="s">
        <v>218</v>
      </c>
      <c r="EI226" s="129" t="s">
        <v>417</v>
      </c>
      <c r="EJ226" s="129" t="s">
        <v>160</v>
      </c>
      <c r="EK226" s="129">
        <v>1951.3609999999999</v>
      </c>
      <c r="EL226" s="129" t="s">
        <v>163</v>
      </c>
      <c r="EM226" s="129">
        <v>41.024000000000179</v>
      </c>
      <c r="EN226" s="129">
        <v>41.072000000000074</v>
      </c>
      <c r="EO226" s="129" t="s">
        <v>160</v>
      </c>
      <c r="EP226" s="129" t="s">
        <v>160</v>
      </c>
      <c r="EQ226" s="129" t="s">
        <v>160</v>
      </c>
      <c r="ER226" s="129" t="s">
        <v>160</v>
      </c>
      <c r="ES226" s="141">
        <v>8.1514310000000005</v>
      </c>
      <c r="ET226" s="142" t="s">
        <v>165</v>
      </c>
      <c r="EU226" s="141">
        <v>4.0967000000000198E-2</v>
      </c>
      <c r="EV226" s="141">
        <v>4.0346000000001325E-2</v>
      </c>
      <c r="EW226" s="142" t="s">
        <v>160</v>
      </c>
      <c r="EX226" s="129" t="s">
        <v>160</v>
      </c>
      <c r="EY226" s="129" t="s">
        <v>160</v>
      </c>
      <c r="EZ226" s="141">
        <v>257.88209999999998</v>
      </c>
      <c r="FA226" s="141">
        <v>32.222800000000007</v>
      </c>
      <c r="FB226" s="141">
        <v>29.518099999999976</v>
      </c>
      <c r="FC226" s="129" t="s">
        <v>220</v>
      </c>
      <c r="FD226" s="129" t="s">
        <v>221</v>
      </c>
      <c r="FE226" s="129">
        <v>2283.4880000000003</v>
      </c>
      <c r="FF226" s="129">
        <v>59.248000000000047</v>
      </c>
      <c r="FG226" s="129">
        <v>55.802000000000135</v>
      </c>
      <c r="FH226" s="129" t="s">
        <v>437</v>
      </c>
      <c r="FI226" s="129" t="s">
        <v>437</v>
      </c>
      <c r="FJ226" s="129" t="s">
        <v>437</v>
      </c>
      <c r="FK226" s="129" t="s">
        <v>437</v>
      </c>
      <c r="FL226" s="129" t="s">
        <v>437</v>
      </c>
      <c r="FM226" s="129" t="s">
        <v>437</v>
      </c>
      <c r="FN226" s="151">
        <v>4.5357620000000001</v>
      </c>
      <c r="FO226" s="151">
        <v>0.33673399999999987</v>
      </c>
      <c r="FP226" s="151">
        <v>0.3226230000000001</v>
      </c>
      <c r="FQ226" s="178" t="s">
        <v>419</v>
      </c>
      <c r="FR226" s="129" t="s">
        <v>439</v>
      </c>
      <c r="FS226" s="129">
        <v>2015</v>
      </c>
      <c r="FT226" s="129" t="s">
        <v>440</v>
      </c>
    </row>
    <row r="227" spans="1:176" s="129" customFormat="1" ht="17">
      <c r="A227" s="123" t="s">
        <v>152</v>
      </c>
      <c r="B227" s="166" t="s">
        <v>183</v>
      </c>
      <c r="C227" s="166">
        <v>2018</v>
      </c>
      <c r="D227" s="166" t="s">
        <v>184</v>
      </c>
      <c r="E227" s="151">
        <f t="shared" si="25"/>
        <v>2424.8889159999999</v>
      </c>
      <c r="F227" s="191" t="s">
        <v>160</v>
      </c>
      <c r="G227" s="191" t="s">
        <v>160</v>
      </c>
      <c r="H227" s="151">
        <v>303.32550000000003</v>
      </c>
      <c r="I227" s="151">
        <v>39.223599999999976</v>
      </c>
      <c r="J227" s="151">
        <v>35.220300000000066</v>
      </c>
      <c r="K227" s="129" t="s">
        <v>457</v>
      </c>
      <c r="L227" s="131" t="s">
        <v>185</v>
      </c>
      <c r="M227" s="132" t="s">
        <v>186</v>
      </c>
      <c r="N227" s="129" t="s">
        <v>184</v>
      </c>
      <c r="O227" s="129" t="s">
        <v>420</v>
      </c>
      <c r="P227" s="129" t="s">
        <v>156</v>
      </c>
      <c r="Q227" s="178">
        <v>9</v>
      </c>
      <c r="R227" s="178">
        <v>4</v>
      </c>
      <c r="S227" s="178">
        <v>96</v>
      </c>
      <c r="T227" s="178">
        <v>98</v>
      </c>
      <c r="U227" s="178" t="s">
        <v>160</v>
      </c>
      <c r="V227" s="178" t="s">
        <v>160</v>
      </c>
      <c r="W227" s="178" t="s">
        <v>160</v>
      </c>
      <c r="X227" s="129" t="s">
        <v>157</v>
      </c>
      <c r="Y227" s="136">
        <v>12.75</v>
      </c>
      <c r="Z227" s="136">
        <v>-78.73</v>
      </c>
      <c r="AA227" s="136">
        <v>12.75</v>
      </c>
      <c r="AB227" s="136">
        <v>-78.73</v>
      </c>
      <c r="AC227" s="136">
        <v>-2828</v>
      </c>
      <c r="AD227" s="136">
        <v>-2828</v>
      </c>
      <c r="AE227" s="129" t="s">
        <v>160</v>
      </c>
      <c r="AF227" s="129" t="s">
        <v>160</v>
      </c>
      <c r="AG227" s="141">
        <v>2424.8889159999999</v>
      </c>
      <c r="AH227" s="138" t="s">
        <v>159</v>
      </c>
      <c r="AI227" s="129" t="s">
        <v>160</v>
      </c>
      <c r="AJ227" s="129" t="s">
        <v>160</v>
      </c>
      <c r="AK227" s="178" t="s">
        <v>160</v>
      </c>
      <c r="AL227" s="178" t="s">
        <v>441</v>
      </c>
      <c r="AM227" s="178" t="s">
        <v>160</v>
      </c>
      <c r="AN227" s="129" t="s">
        <v>160</v>
      </c>
      <c r="AO227" s="129" t="s">
        <v>160</v>
      </c>
      <c r="AP227" s="129" t="s">
        <v>160</v>
      </c>
      <c r="AQ227" s="129" t="s">
        <v>160</v>
      </c>
      <c r="AR227" s="129" t="s">
        <v>160</v>
      </c>
      <c r="AS227" s="129" t="s">
        <v>160</v>
      </c>
      <c r="AT227" s="129" t="s">
        <v>160</v>
      </c>
      <c r="AU227" s="213" t="s">
        <v>442</v>
      </c>
      <c r="AV227" s="129" t="s">
        <v>161</v>
      </c>
      <c r="AW227" s="189" t="s">
        <v>443</v>
      </c>
      <c r="AX227" s="205" t="s">
        <v>444</v>
      </c>
      <c r="AY227" s="205" t="s">
        <v>353</v>
      </c>
      <c r="AZ227" s="205" t="s">
        <v>325</v>
      </c>
      <c r="BA227" s="214" t="s">
        <v>162</v>
      </c>
      <c r="BB227" s="129" t="s">
        <v>445</v>
      </c>
      <c r="BC227" s="129" t="s">
        <v>445</v>
      </c>
      <c r="BD227" s="129" t="s">
        <v>445</v>
      </c>
      <c r="BE227" s="141">
        <v>20.10464</v>
      </c>
      <c r="BF227" s="129" t="s">
        <v>446</v>
      </c>
      <c r="BG227" s="141">
        <v>9.5025298999999994E-2</v>
      </c>
      <c r="BH227" s="129">
        <v>0.6</v>
      </c>
      <c r="BI227" s="129" t="s">
        <v>427</v>
      </c>
      <c r="BJ227" s="138">
        <v>0.08</v>
      </c>
      <c r="BK227" s="129">
        <v>8.8699999999999992</v>
      </c>
      <c r="BL227" s="129" t="s">
        <v>163</v>
      </c>
      <c r="BM227" s="129">
        <v>1.52</v>
      </c>
      <c r="BN227" s="129" t="s">
        <v>428</v>
      </c>
      <c r="BO227" s="129" t="s">
        <v>448</v>
      </c>
      <c r="BP227" s="141">
        <f t="shared" si="26"/>
        <v>18.724400000000003</v>
      </c>
      <c r="BQ227" s="129" t="s">
        <v>202</v>
      </c>
      <c r="BR227" s="217"/>
      <c r="BS227" s="129" t="s">
        <v>160</v>
      </c>
      <c r="BT227" s="129" t="s">
        <v>160</v>
      </c>
      <c r="BU227" s="129">
        <v>10</v>
      </c>
      <c r="BV227" s="129" t="s">
        <v>159</v>
      </c>
      <c r="BW227" s="129">
        <v>10</v>
      </c>
      <c r="BX227" s="141">
        <v>25.912823204574359</v>
      </c>
      <c r="BY227" s="129" t="s">
        <v>159</v>
      </c>
      <c r="BZ227" s="129">
        <v>1</v>
      </c>
      <c r="CA227" s="129">
        <v>1</v>
      </c>
      <c r="CB227" s="141">
        <v>3.8103673764157837</v>
      </c>
      <c r="CC227" s="141">
        <v>3.8103673764157837</v>
      </c>
      <c r="CD227" s="129" t="s">
        <v>449</v>
      </c>
      <c r="CE227" s="151">
        <f t="shared" si="27"/>
        <v>0.10287991916322616</v>
      </c>
      <c r="CF227" s="151">
        <f t="shared" si="28"/>
        <v>0.10287991916322616</v>
      </c>
      <c r="CG227" s="145" t="s">
        <v>203</v>
      </c>
      <c r="CH227" s="129" t="s">
        <v>204</v>
      </c>
      <c r="CI227" s="129" t="s">
        <v>205</v>
      </c>
      <c r="CJ227" s="129" t="s">
        <v>206</v>
      </c>
      <c r="CK227" s="129" t="s">
        <v>158</v>
      </c>
      <c r="CL227" s="129" t="s">
        <v>158</v>
      </c>
      <c r="CM227" s="129" t="s">
        <v>158</v>
      </c>
      <c r="CN227" s="129" t="s">
        <v>160</v>
      </c>
      <c r="CO227" s="129" t="s">
        <v>160</v>
      </c>
      <c r="CP227" s="129" t="s">
        <v>160</v>
      </c>
      <c r="CQ227" s="129" t="s">
        <v>160</v>
      </c>
      <c r="CR227" s="129" t="s">
        <v>160</v>
      </c>
      <c r="CS227" s="129" t="s">
        <v>160</v>
      </c>
      <c r="CT227" s="129" t="s">
        <v>160</v>
      </c>
      <c r="CU227" s="215">
        <v>35</v>
      </c>
      <c r="CV227" s="129" t="s">
        <v>393</v>
      </c>
      <c r="CW227" s="146">
        <v>1</v>
      </c>
      <c r="CX227" s="129" t="s">
        <v>207</v>
      </c>
      <c r="CY227" s="129">
        <v>1.06E-2</v>
      </c>
      <c r="CZ227" s="129" t="s">
        <v>159</v>
      </c>
      <c r="DA227" s="146">
        <v>0</v>
      </c>
      <c r="DB227" s="129" t="s">
        <v>208</v>
      </c>
      <c r="DC227" s="129">
        <v>5.5100000000000003E-2</v>
      </c>
      <c r="DD227" s="129" t="s">
        <v>159</v>
      </c>
      <c r="DE227" s="146">
        <v>0</v>
      </c>
      <c r="DF227" s="129" t="s">
        <v>208</v>
      </c>
      <c r="DG227" s="178" t="s">
        <v>160</v>
      </c>
      <c r="DH227" s="178" t="s">
        <v>160</v>
      </c>
      <c r="DI227" s="178" t="s">
        <v>160</v>
      </c>
      <c r="DJ227" s="178" t="s">
        <v>160</v>
      </c>
      <c r="DK227" s="145">
        <v>432.56244218316402</v>
      </c>
      <c r="DL227" s="129" t="s">
        <v>433</v>
      </c>
      <c r="DM227" s="145" t="s">
        <v>160</v>
      </c>
      <c r="DN227" s="129" t="s">
        <v>434</v>
      </c>
      <c r="DO227" s="129">
        <v>39.68177</v>
      </c>
      <c r="DP227" s="129" t="s">
        <v>160</v>
      </c>
      <c r="DQ227" s="129">
        <v>0.36330999999999847</v>
      </c>
      <c r="DR227" s="129" t="s">
        <v>450</v>
      </c>
      <c r="DS227" s="129" t="s">
        <v>212</v>
      </c>
      <c r="DT227" s="129" t="s">
        <v>213</v>
      </c>
      <c r="DU227" s="129">
        <v>1.0271999999999999</v>
      </c>
      <c r="DV227" s="129" t="s">
        <v>393</v>
      </c>
      <c r="DW227" s="129">
        <v>5.9999999999999995E-4</v>
      </c>
      <c r="DX227" s="129" t="s">
        <v>436</v>
      </c>
      <c r="DY227" s="129" t="s">
        <v>160</v>
      </c>
      <c r="DZ227" s="129" t="s">
        <v>160</v>
      </c>
      <c r="EA227" s="129" t="s">
        <v>216</v>
      </c>
      <c r="EB227" s="129" t="s">
        <v>212</v>
      </c>
      <c r="EC227" s="129" t="s">
        <v>212</v>
      </c>
      <c r="ED227" s="129" t="s">
        <v>212</v>
      </c>
      <c r="EE227" s="129" t="s">
        <v>217</v>
      </c>
      <c r="EF227" s="147" t="s">
        <v>213</v>
      </c>
      <c r="EG227" s="148" t="s">
        <v>213</v>
      </c>
      <c r="EH227" s="129" t="s">
        <v>218</v>
      </c>
      <c r="EI227" s="129" t="s">
        <v>417</v>
      </c>
      <c r="EJ227" s="129" t="s">
        <v>160</v>
      </c>
      <c r="EK227" s="129">
        <v>1950.904</v>
      </c>
      <c r="EL227" s="129" t="s">
        <v>163</v>
      </c>
      <c r="EM227" s="129">
        <v>40.897000000000027</v>
      </c>
      <c r="EN227" s="129">
        <v>40.080000000000062</v>
      </c>
      <c r="EO227" s="129" t="s">
        <v>160</v>
      </c>
      <c r="EP227" s="129" t="s">
        <v>160</v>
      </c>
      <c r="EQ227" s="129" t="s">
        <v>160</v>
      </c>
      <c r="ER227" s="129" t="s">
        <v>160</v>
      </c>
      <c r="ES227" s="141">
        <v>8.0949170000000006</v>
      </c>
      <c r="ET227" s="142" t="s">
        <v>165</v>
      </c>
      <c r="EU227" s="141">
        <v>4.2638000000000176E-2</v>
      </c>
      <c r="EV227" s="141">
        <v>4.3193999999999733E-2</v>
      </c>
      <c r="EW227" s="142" t="s">
        <v>160</v>
      </c>
      <c r="EX227" s="129" t="s">
        <v>160</v>
      </c>
      <c r="EY227" s="129" t="s">
        <v>160</v>
      </c>
      <c r="EZ227" s="141">
        <v>303.32550000000003</v>
      </c>
      <c r="FA227" s="141">
        <v>39.223599999999976</v>
      </c>
      <c r="FB227" s="141">
        <v>35.220300000000066</v>
      </c>
      <c r="FC227" s="129" t="s">
        <v>220</v>
      </c>
      <c r="FD227" s="129" t="s">
        <v>221</v>
      </c>
      <c r="FE227" s="129">
        <v>2235.5640000000003</v>
      </c>
      <c r="FF227" s="129">
        <v>57.493999999999687</v>
      </c>
      <c r="FG227" s="129">
        <v>55.938000000000102</v>
      </c>
      <c r="FH227" s="129" t="s">
        <v>437</v>
      </c>
      <c r="FI227" s="129" t="s">
        <v>437</v>
      </c>
      <c r="FJ227" s="129" t="s">
        <v>437</v>
      </c>
      <c r="FK227" s="129" t="s">
        <v>437</v>
      </c>
      <c r="FL227" s="129" t="s">
        <v>437</v>
      </c>
      <c r="FM227" s="129" t="s">
        <v>437</v>
      </c>
      <c r="FN227" s="151">
        <v>3.9449939999999999</v>
      </c>
      <c r="FO227" s="151">
        <v>0.3153760000000001</v>
      </c>
      <c r="FP227" s="151">
        <v>0.30874699999999988</v>
      </c>
      <c r="FQ227" s="178" t="s">
        <v>419</v>
      </c>
      <c r="FR227" s="129" t="s">
        <v>439</v>
      </c>
      <c r="FS227" s="129">
        <v>2015</v>
      </c>
      <c r="FT227" s="129" t="s">
        <v>440</v>
      </c>
    </row>
    <row r="228" spans="1:176" s="129" customFormat="1" ht="17">
      <c r="A228" s="123" t="s">
        <v>152</v>
      </c>
      <c r="B228" s="166" t="s">
        <v>183</v>
      </c>
      <c r="C228" s="166">
        <v>2018</v>
      </c>
      <c r="D228" s="166" t="s">
        <v>184</v>
      </c>
      <c r="E228" s="151">
        <f t="shared" si="25"/>
        <v>2451.2316890000002</v>
      </c>
      <c r="F228" s="191" t="s">
        <v>160</v>
      </c>
      <c r="G228" s="191" t="s">
        <v>160</v>
      </c>
      <c r="H228" s="151">
        <v>293.88479999999998</v>
      </c>
      <c r="I228" s="151">
        <v>37.731200000000058</v>
      </c>
      <c r="J228" s="151">
        <v>33.829800000000034</v>
      </c>
      <c r="K228" s="129" t="s">
        <v>457</v>
      </c>
      <c r="L228" s="131" t="s">
        <v>185</v>
      </c>
      <c r="M228" s="132" t="s">
        <v>186</v>
      </c>
      <c r="N228" s="129" t="s">
        <v>184</v>
      </c>
      <c r="O228" s="129" t="s">
        <v>420</v>
      </c>
      <c r="P228" s="129" t="s">
        <v>156</v>
      </c>
      <c r="Q228" s="205">
        <v>9</v>
      </c>
      <c r="R228" s="178">
        <v>5</v>
      </c>
      <c r="S228" s="178">
        <v>45</v>
      </c>
      <c r="T228" s="178">
        <v>47</v>
      </c>
      <c r="U228" s="178" t="s">
        <v>160</v>
      </c>
      <c r="V228" s="178" t="s">
        <v>160</v>
      </c>
      <c r="W228" s="178" t="s">
        <v>160</v>
      </c>
      <c r="X228" s="129" t="s">
        <v>157</v>
      </c>
      <c r="Y228" s="136">
        <v>12.75</v>
      </c>
      <c r="Z228" s="136">
        <v>-78.73</v>
      </c>
      <c r="AA228" s="136">
        <v>12.75</v>
      </c>
      <c r="AB228" s="136">
        <v>-78.73</v>
      </c>
      <c r="AC228" s="136">
        <v>-2828</v>
      </c>
      <c r="AD228" s="136">
        <v>-2828</v>
      </c>
      <c r="AE228" s="129" t="s">
        <v>160</v>
      </c>
      <c r="AF228" s="129" t="s">
        <v>160</v>
      </c>
      <c r="AG228" s="141">
        <v>2451.2316890000002</v>
      </c>
      <c r="AH228" s="138" t="s">
        <v>159</v>
      </c>
      <c r="AI228" s="129" t="s">
        <v>160</v>
      </c>
      <c r="AJ228" s="129" t="s">
        <v>160</v>
      </c>
      <c r="AK228" s="178" t="s">
        <v>160</v>
      </c>
      <c r="AL228" s="178" t="s">
        <v>441</v>
      </c>
      <c r="AM228" s="178" t="s">
        <v>160</v>
      </c>
      <c r="AN228" s="129" t="s">
        <v>160</v>
      </c>
      <c r="AO228" s="129" t="s">
        <v>160</v>
      </c>
      <c r="AP228" s="129" t="s">
        <v>160</v>
      </c>
      <c r="AQ228" s="129" t="s">
        <v>160</v>
      </c>
      <c r="AR228" s="129" t="s">
        <v>160</v>
      </c>
      <c r="AS228" s="129" t="s">
        <v>160</v>
      </c>
      <c r="AT228" s="129" t="s">
        <v>160</v>
      </c>
      <c r="AU228" s="213" t="s">
        <v>442</v>
      </c>
      <c r="AV228" s="129" t="s">
        <v>161</v>
      </c>
      <c r="AW228" s="189" t="s">
        <v>443</v>
      </c>
      <c r="AX228" s="189" t="s">
        <v>444</v>
      </c>
      <c r="AY228" s="205" t="s">
        <v>353</v>
      </c>
      <c r="AZ228" s="205" t="s">
        <v>325</v>
      </c>
      <c r="BA228" s="129" t="s">
        <v>162</v>
      </c>
      <c r="BB228" s="129" t="s">
        <v>445</v>
      </c>
      <c r="BC228" s="129" t="s">
        <v>445</v>
      </c>
      <c r="BD228" s="129" t="s">
        <v>445</v>
      </c>
      <c r="BE228" s="141">
        <v>20.195499999999999</v>
      </c>
      <c r="BF228" s="129" t="s">
        <v>446</v>
      </c>
      <c r="BG228" s="141">
        <v>9.0091598999999994E-2</v>
      </c>
      <c r="BH228" s="129">
        <v>0.6</v>
      </c>
      <c r="BI228" s="129" t="s">
        <v>427</v>
      </c>
      <c r="BJ228" s="138">
        <v>0.08</v>
      </c>
      <c r="BK228" s="129">
        <v>8.8699999999999992</v>
      </c>
      <c r="BL228" s="129" t="s">
        <v>163</v>
      </c>
      <c r="BM228" s="129">
        <v>1.52</v>
      </c>
      <c r="BN228" s="129" t="s">
        <v>428</v>
      </c>
      <c r="BO228" s="129" t="s">
        <v>448</v>
      </c>
      <c r="BP228" s="141">
        <f t="shared" si="26"/>
        <v>18.875833333333333</v>
      </c>
      <c r="BQ228" s="129" t="s">
        <v>202</v>
      </c>
      <c r="BR228" s="217"/>
      <c r="BS228" s="129" t="s">
        <v>160</v>
      </c>
      <c r="BT228" s="129" t="s">
        <v>160</v>
      </c>
      <c r="BU228" s="129">
        <v>10</v>
      </c>
      <c r="BV228" s="129" t="s">
        <v>159</v>
      </c>
      <c r="BW228" s="129">
        <v>10</v>
      </c>
      <c r="BX228" s="141">
        <v>26.038405915971687</v>
      </c>
      <c r="BY228" s="129" t="s">
        <v>159</v>
      </c>
      <c r="BZ228" s="129">
        <v>1</v>
      </c>
      <c r="CA228" s="129">
        <v>1</v>
      </c>
      <c r="CB228" s="141">
        <v>3.8525992611583857</v>
      </c>
      <c r="CC228" s="141">
        <v>3.8525992611583857</v>
      </c>
      <c r="CD228" s="129" t="s">
        <v>449</v>
      </c>
      <c r="CE228" s="151">
        <f t="shared" si="27"/>
        <v>0.10402018005127642</v>
      </c>
      <c r="CF228" s="151">
        <f t="shared" si="28"/>
        <v>0.10402018005127642</v>
      </c>
      <c r="CG228" s="145" t="s">
        <v>203</v>
      </c>
      <c r="CH228" s="129" t="s">
        <v>204</v>
      </c>
      <c r="CI228" s="129" t="s">
        <v>205</v>
      </c>
      <c r="CJ228" s="129" t="s">
        <v>206</v>
      </c>
      <c r="CK228" s="129" t="s">
        <v>158</v>
      </c>
      <c r="CL228" s="129" t="s">
        <v>158</v>
      </c>
      <c r="CM228" s="129" t="s">
        <v>158</v>
      </c>
      <c r="CN228" s="129" t="s">
        <v>160</v>
      </c>
      <c r="CO228" s="129" t="s">
        <v>160</v>
      </c>
      <c r="CP228" s="129" t="s">
        <v>160</v>
      </c>
      <c r="CQ228" s="129" t="s">
        <v>160</v>
      </c>
      <c r="CR228" s="129" t="s">
        <v>160</v>
      </c>
      <c r="CS228" s="129" t="s">
        <v>160</v>
      </c>
      <c r="CT228" s="129" t="s">
        <v>160</v>
      </c>
      <c r="CU228" s="215">
        <v>35</v>
      </c>
      <c r="CV228" s="129" t="s">
        <v>393</v>
      </c>
      <c r="CW228" s="146">
        <v>1</v>
      </c>
      <c r="CX228" s="129" t="s">
        <v>207</v>
      </c>
      <c r="CY228" s="129">
        <v>1.06E-2</v>
      </c>
      <c r="CZ228" s="129" t="s">
        <v>159</v>
      </c>
      <c r="DA228" s="146">
        <v>0</v>
      </c>
      <c r="DB228" s="129" t="s">
        <v>208</v>
      </c>
      <c r="DC228" s="129">
        <v>5.5100000000000003E-2</v>
      </c>
      <c r="DD228" s="129" t="s">
        <v>159</v>
      </c>
      <c r="DE228" s="146">
        <v>0</v>
      </c>
      <c r="DF228" s="129" t="s">
        <v>208</v>
      </c>
      <c r="DG228" s="178" t="s">
        <v>160</v>
      </c>
      <c r="DH228" s="178" t="s">
        <v>160</v>
      </c>
      <c r="DI228" s="178" t="s">
        <v>160</v>
      </c>
      <c r="DJ228" s="178" t="s">
        <v>160</v>
      </c>
      <c r="DK228" s="145">
        <v>432.56244218316402</v>
      </c>
      <c r="DL228" s="129" t="s">
        <v>433</v>
      </c>
      <c r="DM228" s="145" t="s">
        <v>160</v>
      </c>
      <c r="DN228" s="129" t="s">
        <v>434</v>
      </c>
      <c r="DO228" s="129">
        <v>39.685589999999998</v>
      </c>
      <c r="DP228" s="129" t="s">
        <v>160</v>
      </c>
      <c r="DQ228" s="129">
        <v>0.35397999999999996</v>
      </c>
      <c r="DR228" s="129" t="s">
        <v>450</v>
      </c>
      <c r="DS228" s="129" t="s">
        <v>212</v>
      </c>
      <c r="DT228" s="129" t="s">
        <v>213</v>
      </c>
      <c r="DU228" s="129">
        <v>1.0271999999999999</v>
      </c>
      <c r="DV228" s="129" t="s">
        <v>393</v>
      </c>
      <c r="DW228" s="129">
        <v>5.9999999999999995E-4</v>
      </c>
      <c r="DX228" s="129" t="s">
        <v>436</v>
      </c>
      <c r="DY228" s="129" t="s">
        <v>160</v>
      </c>
      <c r="DZ228" s="129" t="s">
        <v>160</v>
      </c>
      <c r="EA228" s="129" t="s">
        <v>216</v>
      </c>
      <c r="EB228" s="129" t="s">
        <v>212</v>
      </c>
      <c r="EC228" s="129" t="s">
        <v>212</v>
      </c>
      <c r="ED228" s="129" t="s">
        <v>212</v>
      </c>
      <c r="EE228" s="129" t="s">
        <v>217</v>
      </c>
      <c r="EF228" s="147" t="s">
        <v>213</v>
      </c>
      <c r="EG228" s="148" t="s">
        <v>213</v>
      </c>
      <c r="EH228" s="129" t="s">
        <v>218</v>
      </c>
      <c r="EI228" s="129" t="s">
        <v>417</v>
      </c>
      <c r="EJ228" s="129" t="s">
        <v>160</v>
      </c>
      <c r="EK228" s="129">
        <v>1950.4959999999999</v>
      </c>
      <c r="EL228" s="129" t="s">
        <v>163</v>
      </c>
      <c r="EM228" s="129">
        <v>41.884000000000277</v>
      </c>
      <c r="EN228" s="129">
        <v>42.142000000000003</v>
      </c>
      <c r="EO228" s="129" t="s">
        <v>160</v>
      </c>
      <c r="EP228" s="129" t="s">
        <v>160</v>
      </c>
      <c r="EQ228" s="129" t="s">
        <v>160</v>
      </c>
      <c r="ER228" s="129" t="s">
        <v>160</v>
      </c>
      <c r="ES228" s="141">
        <v>8.1061390000000006</v>
      </c>
      <c r="ET228" s="142" t="s">
        <v>165</v>
      </c>
      <c r="EU228" s="141">
        <v>4.1680999999998747E-2</v>
      </c>
      <c r="EV228" s="141">
        <v>4.2452000000000822E-2</v>
      </c>
      <c r="EW228" s="142" t="s">
        <v>160</v>
      </c>
      <c r="EX228" s="129" t="s">
        <v>160</v>
      </c>
      <c r="EY228" s="129" t="s">
        <v>160</v>
      </c>
      <c r="EZ228" s="141">
        <v>293.88479999999998</v>
      </c>
      <c r="FA228" s="141">
        <v>37.731200000000058</v>
      </c>
      <c r="FB228" s="141">
        <v>33.829800000000034</v>
      </c>
      <c r="FC228" s="129" t="s">
        <v>220</v>
      </c>
      <c r="FD228" s="129" t="s">
        <v>221</v>
      </c>
      <c r="FE228" s="129">
        <v>2244.2950000000001</v>
      </c>
      <c r="FF228" s="129">
        <v>56.601999999999862</v>
      </c>
      <c r="FG228" s="129">
        <v>57.135999999999967</v>
      </c>
      <c r="FH228" s="129" t="s">
        <v>437</v>
      </c>
      <c r="FI228" s="129" t="s">
        <v>437</v>
      </c>
      <c r="FJ228" s="129" t="s">
        <v>437</v>
      </c>
      <c r="FK228" s="129" t="s">
        <v>437</v>
      </c>
      <c r="FL228" s="129" t="s">
        <v>437</v>
      </c>
      <c r="FM228" s="129" t="s">
        <v>437</v>
      </c>
      <c r="FN228" s="151">
        <v>4.0574240000000001</v>
      </c>
      <c r="FO228" s="151">
        <v>0.30874899999999972</v>
      </c>
      <c r="FP228" s="151">
        <v>0.30419499999999999</v>
      </c>
      <c r="FQ228" s="178" t="s">
        <v>419</v>
      </c>
      <c r="FR228" s="129" t="s">
        <v>439</v>
      </c>
      <c r="FS228" s="129">
        <v>2015</v>
      </c>
      <c r="FT228" s="129" t="s">
        <v>440</v>
      </c>
    </row>
    <row r="229" spans="1:176" s="129" customFormat="1" ht="17">
      <c r="A229" s="123" t="s">
        <v>152</v>
      </c>
      <c r="B229" s="166" t="s">
        <v>183</v>
      </c>
      <c r="C229" s="166">
        <v>2018</v>
      </c>
      <c r="D229" s="166" t="s">
        <v>184</v>
      </c>
      <c r="E229" s="151">
        <f t="shared" si="25"/>
        <v>2474.4941410000001</v>
      </c>
      <c r="F229" s="191" t="s">
        <v>160</v>
      </c>
      <c r="G229" s="191" t="s">
        <v>160</v>
      </c>
      <c r="H229" s="151">
        <v>312.00359999999995</v>
      </c>
      <c r="I229" s="151">
        <v>40.296400000000062</v>
      </c>
      <c r="J229" s="151">
        <v>35.516399999999919</v>
      </c>
      <c r="K229" s="129" t="s">
        <v>457</v>
      </c>
      <c r="L229" s="131" t="s">
        <v>185</v>
      </c>
      <c r="M229" s="132" t="s">
        <v>186</v>
      </c>
      <c r="N229" s="129" t="s">
        <v>184</v>
      </c>
      <c r="O229" s="129" t="s">
        <v>420</v>
      </c>
      <c r="P229" s="129" t="s">
        <v>156</v>
      </c>
      <c r="Q229" s="178">
        <v>9</v>
      </c>
      <c r="R229" s="178">
        <v>5</v>
      </c>
      <c r="S229" s="178">
        <v>123</v>
      </c>
      <c r="T229" s="178">
        <v>125</v>
      </c>
      <c r="U229" s="178" t="s">
        <v>160</v>
      </c>
      <c r="V229" s="178" t="s">
        <v>160</v>
      </c>
      <c r="W229" s="178" t="s">
        <v>160</v>
      </c>
      <c r="X229" s="129" t="s">
        <v>157</v>
      </c>
      <c r="Y229" s="136">
        <v>12.75</v>
      </c>
      <c r="Z229" s="136">
        <v>-78.73</v>
      </c>
      <c r="AA229" s="136">
        <v>12.75</v>
      </c>
      <c r="AB229" s="136">
        <v>-78.73</v>
      </c>
      <c r="AC229" s="136">
        <v>-2828</v>
      </c>
      <c r="AD229" s="136">
        <v>-2828</v>
      </c>
      <c r="AE229" s="129" t="s">
        <v>160</v>
      </c>
      <c r="AF229" s="129" t="s">
        <v>160</v>
      </c>
      <c r="AG229" s="141">
        <v>2474.4941410000001</v>
      </c>
      <c r="AH229" s="138" t="s">
        <v>159</v>
      </c>
      <c r="AI229" s="129" t="s">
        <v>160</v>
      </c>
      <c r="AJ229" s="129" t="s">
        <v>160</v>
      </c>
      <c r="AK229" s="178" t="s">
        <v>160</v>
      </c>
      <c r="AL229" s="178" t="s">
        <v>441</v>
      </c>
      <c r="AM229" s="178" t="s">
        <v>160</v>
      </c>
      <c r="AN229" s="129" t="s">
        <v>160</v>
      </c>
      <c r="AO229" s="129" t="s">
        <v>160</v>
      </c>
      <c r="AP229" s="129" t="s">
        <v>160</v>
      </c>
      <c r="AQ229" s="129" t="s">
        <v>160</v>
      </c>
      <c r="AR229" s="129" t="s">
        <v>160</v>
      </c>
      <c r="AS229" s="129" t="s">
        <v>160</v>
      </c>
      <c r="AT229" s="129" t="s">
        <v>160</v>
      </c>
      <c r="AU229" s="213" t="s">
        <v>442</v>
      </c>
      <c r="AV229" s="129" t="s">
        <v>161</v>
      </c>
      <c r="AW229" s="189" t="s">
        <v>443</v>
      </c>
      <c r="AX229" s="205" t="s">
        <v>444</v>
      </c>
      <c r="AY229" s="205" t="s">
        <v>353</v>
      </c>
      <c r="AZ229" s="205" t="s">
        <v>325</v>
      </c>
      <c r="BA229" s="214" t="s">
        <v>162</v>
      </c>
      <c r="BB229" s="129" t="s">
        <v>445</v>
      </c>
      <c r="BC229" s="129" t="s">
        <v>445</v>
      </c>
      <c r="BD229" s="129" t="s">
        <v>445</v>
      </c>
      <c r="BE229" s="141">
        <v>20.038689999999999</v>
      </c>
      <c r="BF229" s="129" t="s">
        <v>446</v>
      </c>
      <c r="BG229" s="141">
        <v>9.4145796000000004E-2</v>
      </c>
      <c r="BH229" s="129">
        <v>0.6</v>
      </c>
      <c r="BI229" s="129" t="s">
        <v>427</v>
      </c>
      <c r="BJ229" s="138">
        <v>0.08</v>
      </c>
      <c r="BK229" s="129">
        <v>8.8699999999999992</v>
      </c>
      <c r="BL229" s="129" t="s">
        <v>163</v>
      </c>
      <c r="BM229" s="129">
        <v>1.52</v>
      </c>
      <c r="BN229" s="129" t="s">
        <v>428</v>
      </c>
      <c r="BO229" s="129" t="s">
        <v>448</v>
      </c>
      <c r="BP229" s="141">
        <f t="shared" si="26"/>
        <v>18.614483333333332</v>
      </c>
      <c r="BQ229" s="129" t="s">
        <v>202</v>
      </c>
      <c r="BR229" s="217"/>
      <c r="BS229" s="129" t="s">
        <v>160</v>
      </c>
      <c r="BT229" s="129" t="s">
        <v>160</v>
      </c>
      <c r="BU229" s="129">
        <v>10</v>
      </c>
      <c r="BV229" s="129" t="s">
        <v>159</v>
      </c>
      <c r="BW229" s="129">
        <v>10</v>
      </c>
      <c r="BX229" s="141">
        <v>25.90923633509852</v>
      </c>
      <c r="BY229" s="129" t="s">
        <v>159</v>
      </c>
      <c r="BZ229" s="129">
        <v>1</v>
      </c>
      <c r="CA229" s="129">
        <v>1</v>
      </c>
      <c r="CB229" s="141">
        <v>3.8071297729361122</v>
      </c>
      <c r="CC229" s="141">
        <v>3.8071297729361122</v>
      </c>
      <c r="CD229" s="129" t="s">
        <v>449</v>
      </c>
      <c r="CE229" s="151">
        <f t="shared" si="27"/>
        <v>0.10279250386927503</v>
      </c>
      <c r="CF229" s="151">
        <f t="shared" si="28"/>
        <v>0.10279250386927503</v>
      </c>
      <c r="CG229" s="145" t="s">
        <v>203</v>
      </c>
      <c r="CH229" s="129" t="s">
        <v>204</v>
      </c>
      <c r="CI229" s="129" t="s">
        <v>205</v>
      </c>
      <c r="CJ229" s="129" t="s">
        <v>206</v>
      </c>
      <c r="CK229" s="129" t="s">
        <v>158</v>
      </c>
      <c r="CL229" s="129" t="s">
        <v>158</v>
      </c>
      <c r="CM229" s="129" t="s">
        <v>158</v>
      </c>
      <c r="CN229" s="129" t="s">
        <v>160</v>
      </c>
      <c r="CO229" s="129" t="s">
        <v>160</v>
      </c>
      <c r="CP229" s="129" t="s">
        <v>160</v>
      </c>
      <c r="CQ229" s="129" t="s">
        <v>160</v>
      </c>
      <c r="CR229" s="129" t="s">
        <v>160</v>
      </c>
      <c r="CS229" s="129" t="s">
        <v>160</v>
      </c>
      <c r="CT229" s="129" t="s">
        <v>160</v>
      </c>
      <c r="CU229" s="215">
        <v>35</v>
      </c>
      <c r="CV229" s="129" t="s">
        <v>393</v>
      </c>
      <c r="CW229" s="146">
        <v>1</v>
      </c>
      <c r="CX229" s="129" t="s">
        <v>207</v>
      </c>
      <c r="CY229" s="129">
        <v>1.06E-2</v>
      </c>
      <c r="CZ229" s="129" t="s">
        <v>159</v>
      </c>
      <c r="DA229" s="146">
        <v>0</v>
      </c>
      <c r="DB229" s="129" t="s">
        <v>208</v>
      </c>
      <c r="DC229" s="129">
        <v>5.5100000000000003E-2</v>
      </c>
      <c r="DD229" s="129" t="s">
        <v>159</v>
      </c>
      <c r="DE229" s="146">
        <v>0</v>
      </c>
      <c r="DF229" s="129" t="s">
        <v>208</v>
      </c>
      <c r="DG229" s="178" t="s">
        <v>160</v>
      </c>
      <c r="DH229" s="178" t="s">
        <v>160</v>
      </c>
      <c r="DI229" s="178" t="s">
        <v>160</v>
      </c>
      <c r="DJ229" s="178" t="s">
        <v>160</v>
      </c>
      <c r="DK229" s="145">
        <v>432.56244218316402</v>
      </c>
      <c r="DL229" s="129" t="s">
        <v>433</v>
      </c>
      <c r="DM229" s="145" t="s">
        <v>160</v>
      </c>
      <c r="DN229" s="129" t="s">
        <v>434</v>
      </c>
      <c r="DO229" s="129">
        <v>39.690640000000002</v>
      </c>
      <c r="DP229" s="129" t="s">
        <v>160</v>
      </c>
      <c r="DQ229" s="129">
        <v>0.35136999999999574</v>
      </c>
      <c r="DR229" s="129" t="s">
        <v>450</v>
      </c>
      <c r="DS229" s="129" t="s">
        <v>212</v>
      </c>
      <c r="DT229" s="129" t="s">
        <v>213</v>
      </c>
      <c r="DU229" s="129">
        <v>1.0271999999999999</v>
      </c>
      <c r="DV229" s="129" t="s">
        <v>393</v>
      </c>
      <c r="DW229" s="129">
        <v>5.9999999999999995E-4</v>
      </c>
      <c r="DX229" s="129" t="s">
        <v>436</v>
      </c>
      <c r="DY229" s="129" t="s">
        <v>160</v>
      </c>
      <c r="DZ229" s="129" t="s">
        <v>160</v>
      </c>
      <c r="EA229" s="129" t="s">
        <v>216</v>
      </c>
      <c r="EB229" s="129" t="s">
        <v>212</v>
      </c>
      <c r="EC229" s="129" t="s">
        <v>212</v>
      </c>
      <c r="ED229" s="129" t="s">
        <v>212</v>
      </c>
      <c r="EE229" s="129" t="s">
        <v>217</v>
      </c>
      <c r="EF229" s="147" t="s">
        <v>213</v>
      </c>
      <c r="EG229" s="148" t="s">
        <v>213</v>
      </c>
      <c r="EH229" s="129" t="s">
        <v>218</v>
      </c>
      <c r="EI229" s="129" t="s">
        <v>417</v>
      </c>
      <c r="EJ229" s="129" t="s">
        <v>160</v>
      </c>
      <c r="EK229" s="129">
        <v>1949.8589999999999</v>
      </c>
      <c r="EL229" s="129" t="s">
        <v>163</v>
      </c>
      <c r="EM229" s="129">
        <v>42.186999999999955</v>
      </c>
      <c r="EN229" s="129">
        <v>42.441000000000052</v>
      </c>
      <c r="EO229" s="129" t="s">
        <v>160</v>
      </c>
      <c r="EP229" s="129" t="s">
        <v>160</v>
      </c>
      <c r="EQ229" s="129" t="s">
        <v>160</v>
      </c>
      <c r="ER229" s="129" t="s">
        <v>160</v>
      </c>
      <c r="ES229" s="141">
        <v>8.0844000000000005</v>
      </c>
      <c r="ET229" s="142" t="s">
        <v>165</v>
      </c>
      <c r="EU229" s="141">
        <v>4.2102999999999113E-2</v>
      </c>
      <c r="EV229" s="141">
        <v>4.1434000000000637E-2</v>
      </c>
      <c r="EW229" s="142" t="s">
        <v>160</v>
      </c>
      <c r="EX229" s="129" t="s">
        <v>160</v>
      </c>
      <c r="EY229" s="129" t="s">
        <v>160</v>
      </c>
      <c r="EZ229" s="141">
        <v>312.00359999999995</v>
      </c>
      <c r="FA229" s="141">
        <v>40.296400000000062</v>
      </c>
      <c r="FB229" s="141">
        <v>35.516399999999919</v>
      </c>
      <c r="FC229" s="129" t="s">
        <v>220</v>
      </c>
      <c r="FD229" s="129" t="s">
        <v>221</v>
      </c>
      <c r="FE229" s="129">
        <v>2228.1139999999996</v>
      </c>
      <c r="FF229" s="129">
        <v>57.839000000000397</v>
      </c>
      <c r="FG229" s="129">
        <v>58.361999999999625</v>
      </c>
      <c r="FH229" s="129" t="s">
        <v>437</v>
      </c>
      <c r="FI229" s="129" t="s">
        <v>437</v>
      </c>
      <c r="FJ229" s="129" t="s">
        <v>437</v>
      </c>
      <c r="FK229" s="129" t="s">
        <v>437</v>
      </c>
      <c r="FL229" s="129" t="s">
        <v>437</v>
      </c>
      <c r="FM229" s="129" t="s">
        <v>437</v>
      </c>
      <c r="FN229" s="151">
        <v>3.8649650000000002</v>
      </c>
      <c r="FO229" s="151">
        <v>0.31435099999999983</v>
      </c>
      <c r="FP229" s="151">
        <v>0.30217400000000039</v>
      </c>
      <c r="FQ229" s="178" t="s">
        <v>419</v>
      </c>
      <c r="FR229" s="129" t="s">
        <v>439</v>
      </c>
      <c r="FS229" s="129">
        <v>2015</v>
      </c>
      <c r="FT229" s="129" t="s">
        <v>440</v>
      </c>
    </row>
    <row r="230" spans="1:176" s="129" customFormat="1" ht="17">
      <c r="A230" s="123" t="s">
        <v>152</v>
      </c>
      <c r="B230" s="166" t="s">
        <v>183</v>
      </c>
      <c r="C230" s="166">
        <v>2018</v>
      </c>
      <c r="D230" s="166" t="s">
        <v>184</v>
      </c>
      <c r="E230" s="151">
        <f t="shared" si="25"/>
        <v>2500.4033199999999</v>
      </c>
      <c r="F230" s="191" t="s">
        <v>160</v>
      </c>
      <c r="G230" s="191" t="s">
        <v>160</v>
      </c>
      <c r="H230" s="151">
        <v>325.80540000000002</v>
      </c>
      <c r="I230" s="151">
        <v>44.224699999999984</v>
      </c>
      <c r="J230" s="151">
        <v>38.823200000000043</v>
      </c>
      <c r="K230" s="129" t="s">
        <v>457</v>
      </c>
      <c r="L230" s="131" t="s">
        <v>185</v>
      </c>
      <c r="M230" s="132" t="s">
        <v>186</v>
      </c>
      <c r="N230" s="129" t="s">
        <v>184</v>
      </c>
      <c r="O230" s="129" t="s">
        <v>420</v>
      </c>
      <c r="P230" s="129" t="s">
        <v>156</v>
      </c>
      <c r="Q230" s="178">
        <v>9</v>
      </c>
      <c r="R230" s="178">
        <v>6</v>
      </c>
      <c r="S230" s="178">
        <v>50</v>
      </c>
      <c r="T230" s="178">
        <v>52</v>
      </c>
      <c r="U230" s="178" t="s">
        <v>160</v>
      </c>
      <c r="V230" s="178" t="s">
        <v>160</v>
      </c>
      <c r="W230" s="178" t="s">
        <v>160</v>
      </c>
      <c r="X230" s="129" t="s">
        <v>157</v>
      </c>
      <c r="Y230" s="136">
        <v>12.75</v>
      </c>
      <c r="Z230" s="136">
        <v>-78.73</v>
      </c>
      <c r="AA230" s="136">
        <v>12.75</v>
      </c>
      <c r="AB230" s="136">
        <v>-78.73</v>
      </c>
      <c r="AC230" s="136">
        <v>-2828</v>
      </c>
      <c r="AD230" s="136">
        <v>-2828</v>
      </c>
      <c r="AE230" s="129" t="s">
        <v>160</v>
      </c>
      <c r="AF230" s="129" t="s">
        <v>160</v>
      </c>
      <c r="AG230" s="141">
        <v>2500.4033199999999</v>
      </c>
      <c r="AH230" s="138" t="s">
        <v>159</v>
      </c>
      <c r="AI230" s="129" t="s">
        <v>160</v>
      </c>
      <c r="AJ230" s="129" t="s">
        <v>160</v>
      </c>
      <c r="AK230" s="178" t="s">
        <v>160</v>
      </c>
      <c r="AL230" s="178" t="s">
        <v>441</v>
      </c>
      <c r="AM230" s="178" t="s">
        <v>160</v>
      </c>
      <c r="AN230" s="129" t="s">
        <v>160</v>
      </c>
      <c r="AO230" s="129" t="s">
        <v>160</v>
      </c>
      <c r="AP230" s="129" t="s">
        <v>160</v>
      </c>
      <c r="AQ230" s="129" t="s">
        <v>160</v>
      </c>
      <c r="AR230" s="129" t="s">
        <v>160</v>
      </c>
      <c r="AS230" s="129" t="s">
        <v>160</v>
      </c>
      <c r="AT230" s="129" t="s">
        <v>160</v>
      </c>
      <c r="AU230" s="213" t="s">
        <v>442</v>
      </c>
      <c r="AV230" s="129" t="s">
        <v>161</v>
      </c>
      <c r="AW230" s="189" t="s">
        <v>443</v>
      </c>
      <c r="AX230" s="189" t="s">
        <v>444</v>
      </c>
      <c r="AY230" s="205" t="s">
        <v>353</v>
      </c>
      <c r="AZ230" s="205" t="s">
        <v>325</v>
      </c>
      <c r="BA230" s="129" t="s">
        <v>162</v>
      </c>
      <c r="BB230" s="129" t="s">
        <v>445</v>
      </c>
      <c r="BC230" s="129" t="s">
        <v>445</v>
      </c>
      <c r="BD230" s="129" t="s">
        <v>445</v>
      </c>
      <c r="BE230" s="141">
        <v>19.90691</v>
      </c>
      <c r="BF230" s="129" t="s">
        <v>446</v>
      </c>
      <c r="BG230" s="141">
        <v>0.107936428</v>
      </c>
      <c r="BH230" s="129">
        <v>0.6</v>
      </c>
      <c r="BI230" s="129" t="s">
        <v>427</v>
      </c>
      <c r="BJ230" s="138">
        <v>0.08</v>
      </c>
      <c r="BK230" s="129">
        <v>8.8699999999999992</v>
      </c>
      <c r="BL230" s="129" t="s">
        <v>163</v>
      </c>
      <c r="BM230" s="129">
        <v>1.52</v>
      </c>
      <c r="BN230" s="129" t="s">
        <v>428</v>
      </c>
      <c r="BO230" s="129" t="s">
        <v>448</v>
      </c>
      <c r="BP230" s="141">
        <f t="shared" si="26"/>
        <v>18.394850000000002</v>
      </c>
      <c r="BQ230" s="129" t="s">
        <v>202</v>
      </c>
      <c r="BR230" s="217"/>
      <c r="BS230" s="129" t="s">
        <v>160</v>
      </c>
      <c r="BT230" s="129" t="s">
        <v>160</v>
      </c>
      <c r="BU230" s="129">
        <v>10</v>
      </c>
      <c r="BV230" s="129" t="s">
        <v>159</v>
      </c>
      <c r="BW230" s="129">
        <v>10</v>
      </c>
      <c r="BX230" s="141">
        <v>25.582419322567834</v>
      </c>
      <c r="BY230" s="129" t="s">
        <v>159</v>
      </c>
      <c r="BZ230" s="129">
        <v>1</v>
      </c>
      <c r="CA230" s="129">
        <v>1</v>
      </c>
      <c r="CB230" s="141">
        <v>3.6957618401084651</v>
      </c>
      <c r="CC230" s="141">
        <v>3.6957618401084651</v>
      </c>
      <c r="CD230" s="129" t="s">
        <v>449</v>
      </c>
      <c r="CE230" s="151">
        <f t="shared" si="27"/>
        <v>9.9785569682928552E-2</v>
      </c>
      <c r="CF230" s="151">
        <f t="shared" si="28"/>
        <v>9.9785569682928552E-2</v>
      </c>
      <c r="CG230" s="145" t="s">
        <v>203</v>
      </c>
      <c r="CH230" s="129" t="s">
        <v>204</v>
      </c>
      <c r="CI230" s="129" t="s">
        <v>205</v>
      </c>
      <c r="CJ230" s="129" t="s">
        <v>206</v>
      </c>
      <c r="CK230" s="129" t="s">
        <v>158</v>
      </c>
      <c r="CL230" s="129" t="s">
        <v>158</v>
      </c>
      <c r="CM230" s="129" t="s">
        <v>158</v>
      </c>
      <c r="CN230" s="129" t="s">
        <v>160</v>
      </c>
      <c r="CO230" s="129" t="s">
        <v>160</v>
      </c>
      <c r="CP230" s="129" t="s">
        <v>160</v>
      </c>
      <c r="CQ230" s="129" t="s">
        <v>160</v>
      </c>
      <c r="CR230" s="129" t="s">
        <v>160</v>
      </c>
      <c r="CS230" s="129" t="s">
        <v>160</v>
      </c>
      <c r="CT230" s="129" t="s">
        <v>160</v>
      </c>
      <c r="CU230" s="215">
        <v>35</v>
      </c>
      <c r="CV230" s="129" t="s">
        <v>393</v>
      </c>
      <c r="CW230" s="146">
        <v>1</v>
      </c>
      <c r="CX230" s="129" t="s">
        <v>207</v>
      </c>
      <c r="CY230" s="129">
        <v>1.06E-2</v>
      </c>
      <c r="CZ230" s="129" t="s">
        <v>159</v>
      </c>
      <c r="DA230" s="146">
        <v>0</v>
      </c>
      <c r="DB230" s="129" t="s">
        <v>208</v>
      </c>
      <c r="DC230" s="129">
        <v>5.5100000000000003E-2</v>
      </c>
      <c r="DD230" s="129" t="s">
        <v>159</v>
      </c>
      <c r="DE230" s="146">
        <v>0</v>
      </c>
      <c r="DF230" s="129" t="s">
        <v>208</v>
      </c>
      <c r="DG230" s="178" t="s">
        <v>160</v>
      </c>
      <c r="DH230" s="178" t="s">
        <v>160</v>
      </c>
      <c r="DI230" s="178" t="s">
        <v>160</v>
      </c>
      <c r="DJ230" s="178" t="s">
        <v>160</v>
      </c>
      <c r="DK230" s="145">
        <v>432.56244218316402</v>
      </c>
      <c r="DL230" s="129" t="s">
        <v>433</v>
      </c>
      <c r="DM230" s="145" t="s">
        <v>160</v>
      </c>
      <c r="DN230" s="129" t="s">
        <v>434</v>
      </c>
      <c r="DO230" s="129">
        <v>39.696300000000001</v>
      </c>
      <c r="DP230" s="129" t="s">
        <v>160</v>
      </c>
      <c r="DQ230" s="129">
        <v>0.34814000000000078</v>
      </c>
      <c r="DR230" s="129" t="s">
        <v>450</v>
      </c>
      <c r="DS230" s="129" t="s">
        <v>212</v>
      </c>
      <c r="DT230" s="129" t="s">
        <v>213</v>
      </c>
      <c r="DU230" s="129">
        <v>1.0271999999999999</v>
      </c>
      <c r="DV230" s="129" t="s">
        <v>393</v>
      </c>
      <c r="DW230" s="129">
        <v>5.9999999999999995E-4</v>
      </c>
      <c r="DX230" s="129" t="s">
        <v>436</v>
      </c>
      <c r="DY230" s="129" t="s">
        <v>160</v>
      </c>
      <c r="DZ230" s="129" t="s">
        <v>160</v>
      </c>
      <c r="EA230" s="129" t="s">
        <v>216</v>
      </c>
      <c r="EB230" s="129" t="s">
        <v>212</v>
      </c>
      <c r="EC230" s="129" t="s">
        <v>212</v>
      </c>
      <c r="ED230" s="129" t="s">
        <v>212</v>
      </c>
      <c r="EE230" s="129" t="s">
        <v>217</v>
      </c>
      <c r="EF230" s="147" t="s">
        <v>213</v>
      </c>
      <c r="EG230" s="148" t="s">
        <v>213</v>
      </c>
      <c r="EH230" s="129" t="s">
        <v>218</v>
      </c>
      <c r="EI230" s="129" t="s">
        <v>417</v>
      </c>
      <c r="EJ230" s="129" t="s">
        <v>160</v>
      </c>
      <c r="EK230" s="129">
        <v>1949.5360000000001</v>
      </c>
      <c r="EL230" s="129" t="s">
        <v>163</v>
      </c>
      <c r="EM230" s="129">
        <v>42.046000000000014</v>
      </c>
      <c r="EN230" s="129">
        <v>42.519999999999882</v>
      </c>
      <c r="EO230" s="129" t="s">
        <v>160</v>
      </c>
      <c r="EP230" s="129" t="s">
        <v>160</v>
      </c>
      <c r="EQ230" s="129" t="s">
        <v>160</v>
      </c>
      <c r="ER230" s="129" t="s">
        <v>160</v>
      </c>
      <c r="ES230" s="141">
        <v>8.0687440000000006</v>
      </c>
      <c r="ET230" s="142" t="s">
        <v>165</v>
      </c>
      <c r="EU230" s="141">
        <v>4.4208999999998611E-2</v>
      </c>
      <c r="EV230" s="141">
        <v>4.5201000000000491E-2</v>
      </c>
      <c r="EW230" s="142" t="s">
        <v>160</v>
      </c>
      <c r="EX230" s="129" t="s">
        <v>160</v>
      </c>
      <c r="EY230" s="129" t="s">
        <v>160</v>
      </c>
      <c r="EZ230" s="141">
        <v>325.80540000000002</v>
      </c>
      <c r="FA230" s="141">
        <v>44.224699999999984</v>
      </c>
      <c r="FB230" s="141">
        <v>38.823200000000043</v>
      </c>
      <c r="FC230" s="129" t="s">
        <v>220</v>
      </c>
      <c r="FD230" s="129" t="s">
        <v>221</v>
      </c>
      <c r="FE230" s="129">
        <v>2213.5059999999999</v>
      </c>
      <c r="FF230" s="129">
        <v>57.327999999999975</v>
      </c>
      <c r="FG230" s="129">
        <v>57.989999999999782</v>
      </c>
      <c r="FH230" s="129" t="s">
        <v>437</v>
      </c>
      <c r="FI230" s="129" t="s">
        <v>437</v>
      </c>
      <c r="FJ230" s="129" t="s">
        <v>437</v>
      </c>
      <c r="FK230" s="129" t="s">
        <v>437</v>
      </c>
      <c r="FL230" s="129" t="s">
        <v>437</v>
      </c>
      <c r="FM230" s="129" t="s">
        <v>437</v>
      </c>
      <c r="FN230" s="151">
        <v>3.695262</v>
      </c>
      <c r="FO230" s="151">
        <v>0.30750699999999975</v>
      </c>
      <c r="FP230" s="151">
        <v>0.30206700000000009</v>
      </c>
      <c r="FQ230" s="178" t="s">
        <v>419</v>
      </c>
      <c r="FR230" s="129" t="s">
        <v>439</v>
      </c>
      <c r="FS230" s="129">
        <v>2015</v>
      </c>
      <c r="FT230" s="129" t="s">
        <v>440</v>
      </c>
    </row>
    <row r="231" spans="1:176" s="129" customFormat="1" ht="17">
      <c r="A231" s="123" t="s">
        <v>152</v>
      </c>
      <c r="B231" s="166" t="s">
        <v>183</v>
      </c>
      <c r="C231" s="166">
        <v>2018</v>
      </c>
      <c r="D231" s="166" t="s">
        <v>184</v>
      </c>
      <c r="E231" s="151">
        <f t="shared" si="25"/>
        <v>2501.4025879999999</v>
      </c>
      <c r="F231" s="191" t="s">
        <v>160</v>
      </c>
      <c r="G231" s="191" t="s">
        <v>160</v>
      </c>
      <c r="H231" s="151">
        <v>329.85380000000004</v>
      </c>
      <c r="I231" s="151">
        <v>43.638199999999983</v>
      </c>
      <c r="J231" s="151">
        <v>38.071100000000058</v>
      </c>
      <c r="K231" s="129" t="s">
        <v>457</v>
      </c>
      <c r="L231" s="131" t="s">
        <v>185</v>
      </c>
      <c r="M231" s="132" t="s">
        <v>186</v>
      </c>
      <c r="N231" s="129" t="s">
        <v>184</v>
      </c>
      <c r="O231" s="129" t="s">
        <v>420</v>
      </c>
      <c r="P231" s="129" t="s">
        <v>156</v>
      </c>
      <c r="Q231" s="205">
        <v>9</v>
      </c>
      <c r="R231" s="178">
        <v>6</v>
      </c>
      <c r="S231" s="178">
        <v>53</v>
      </c>
      <c r="T231" s="178">
        <v>55</v>
      </c>
      <c r="U231" s="178" t="s">
        <v>160</v>
      </c>
      <c r="V231" s="178" t="s">
        <v>160</v>
      </c>
      <c r="W231" s="178" t="s">
        <v>160</v>
      </c>
      <c r="X231" s="129" t="s">
        <v>157</v>
      </c>
      <c r="Y231" s="136">
        <v>12.75</v>
      </c>
      <c r="Z231" s="136">
        <v>-78.73</v>
      </c>
      <c r="AA231" s="136">
        <v>12.75</v>
      </c>
      <c r="AB231" s="136">
        <v>-78.73</v>
      </c>
      <c r="AC231" s="136">
        <v>-2828</v>
      </c>
      <c r="AD231" s="136">
        <v>-2828</v>
      </c>
      <c r="AE231" s="129" t="s">
        <v>160</v>
      </c>
      <c r="AF231" s="129" t="s">
        <v>160</v>
      </c>
      <c r="AG231" s="141">
        <v>2501.4025879999999</v>
      </c>
      <c r="AH231" s="138" t="s">
        <v>159</v>
      </c>
      <c r="AI231" s="129" t="s">
        <v>160</v>
      </c>
      <c r="AJ231" s="129" t="s">
        <v>160</v>
      </c>
      <c r="AK231" s="178" t="s">
        <v>160</v>
      </c>
      <c r="AL231" s="178" t="s">
        <v>441</v>
      </c>
      <c r="AM231" s="178" t="s">
        <v>160</v>
      </c>
      <c r="AN231" s="129" t="s">
        <v>160</v>
      </c>
      <c r="AO231" s="129" t="s">
        <v>160</v>
      </c>
      <c r="AP231" s="129" t="s">
        <v>160</v>
      </c>
      <c r="AQ231" s="129" t="s">
        <v>160</v>
      </c>
      <c r="AR231" s="129" t="s">
        <v>160</v>
      </c>
      <c r="AS231" s="129" t="s">
        <v>160</v>
      </c>
      <c r="AT231" s="129" t="s">
        <v>160</v>
      </c>
      <c r="AU231" s="213" t="s">
        <v>442</v>
      </c>
      <c r="AV231" s="129" t="s">
        <v>161</v>
      </c>
      <c r="AW231" s="189" t="s">
        <v>443</v>
      </c>
      <c r="AX231" s="205" t="s">
        <v>444</v>
      </c>
      <c r="AY231" s="205" t="s">
        <v>353</v>
      </c>
      <c r="AZ231" s="205" t="s">
        <v>325</v>
      </c>
      <c r="BA231" s="214" t="s">
        <v>162</v>
      </c>
      <c r="BB231" s="129" t="s">
        <v>445</v>
      </c>
      <c r="BC231" s="129" t="s">
        <v>445</v>
      </c>
      <c r="BD231" s="129" t="s">
        <v>445</v>
      </c>
      <c r="BE231" s="141">
        <v>19.875129999999999</v>
      </c>
      <c r="BF231" s="129" t="s">
        <v>446</v>
      </c>
      <c r="BG231" s="141">
        <v>9.3739923000000003E-2</v>
      </c>
      <c r="BH231" s="129">
        <v>0.6</v>
      </c>
      <c r="BI231" s="129" t="s">
        <v>427</v>
      </c>
      <c r="BJ231" s="138">
        <v>0.08</v>
      </c>
      <c r="BK231" s="129">
        <v>8.8699999999999992</v>
      </c>
      <c r="BL231" s="129" t="s">
        <v>163</v>
      </c>
      <c r="BM231" s="129">
        <v>1.52</v>
      </c>
      <c r="BN231" s="129" t="s">
        <v>428</v>
      </c>
      <c r="BO231" s="129" t="s">
        <v>448</v>
      </c>
      <c r="BP231" s="141">
        <f t="shared" si="26"/>
        <v>18.341883333333332</v>
      </c>
      <c r="BQ231" s="129" t="s">
        <v>202</v>
      </c>
      <c r="BR231" s="217"/>
      <c r="BS231" s="129" t="s">
        <v>160</v>
      </c>
      <c r="BT231" s="129" t="s">
        <v>160</v>
      </c>
      <c r="BU231" s="129">
        <v>10</v>
      </c>
      <c r="BV231" s="129" t="s">
        <v>159</v>
      </c>
      <c r="BW231" s="129">
        <v>10</v>
      </c>
      <c r="BX231" s="141">
        <v>25.563545897859058</v>
      </c>
      <c r="BY231" s="129" t="s">
        <v>159</v>
      </c>
      <c r="BZ231" s="129">
        <v>1</v>
      </c>
      <c r="CA231" s="129">
        <v>1</v>
      </c>
      <c r="CB231" s="141">
        <v>3.6894503432609507</v>
      </c>
      <c r="CC231" s="141">
        <v>3.6894503432609507</v>
      </c>
      <c r="CD231" s="129" t="s">
        <v>449</v>
      </c>
      <c r="CE231" s="151">
        <f t="shared" si="27"/>
        <v>9.9615159268045664E-2</v>
      </c>
      <c r="CF231" s="151">
        <f t="shared" si="28"/>
        <v>9.9615159268045664E-2</v>
      </c>
      <c r="CG231" s="145" t="s">
        <v>203</v>
      </c>
      <c r="CH231" s="129" t="s">
        <v>204</v>
      </c>
      <c r="CI231" s="129" t="s">
        <v>205</v>
      </c>
      <c r="CJ231" s="129" t="s">
        <v>206</v>
      </c>
      <c r="CK231" s="129" t="s">
        <v>158</v>
      </c>
      <c r="CL231" s="129" t="s">
        <v>158</v>
      </c>
      <c r="CM231" s="129" t="s">
        <v>158</v>
      </c>
      <c r="CN231" s="129" t="s">
        <v>160</v>
      </c>
      <c r="CO231" s="129" t="s">
        <v>160</v>
      </c>
      <c r="CP231" s="129" t="s">
        <v>160</v>
      </c>
      <c r="CQ231" s="129" t="s">
        <v>160</v>
      </c>
      <c r="CR231" s="129" t="s">
        <v>160</v>
      </c>
      <c r="CS231" s="129" t="s">
        <v>160</v>
      </c>
      <c r="CT231" s="129" t="s">
        <v>160</v>
      </c>
      <c r="CU231" s="215">
        <v>35</v>
      </c>
      <c r="CV231" s="129" t="s">
        <v>393</v>
      </c>
      <c r="CW231" s="146">
        <v>1</v>
      </c>
      <c r="CX231" s="129" t="s">
        <v>207</v>
      </c>
      <c r="CY231" s="129">
        <v>1.06E-2</v>
      </c>
      <c r="CZ231" s="129" t="s">
        <v>159</v>
      </c>
      <c r="DA231" s="146">
        <v>0</v>
      </c>
      <c r="DB231" s="129" t="s">
        <v>208</v>
      </c>
      <c r="DC231" s="129">
        <v>5.5100000000000003E-2</v>
      </c>
      <c r="DD231" s="129" t="s">
        <v>159</v>
      </c>
      <c r="DE231" s="146">
        <v>0</v>
      </c>
      <c r="DF231" s="129" t="s">
        <v>208</v>
      </c>
      <c r="DG231" s="178" t="s">
        <v>160</v>
      </c>
      <c r="DH231" s="178" t="s">
        <v>160</v>
      </c>
      <c r="DI231" s="178" t="s">
        <v>160</v>
      </c>
      <c r="DJ231" s="178" t="s">
        <v>160</v>
      </c>
      <c r="DK231" s="145">
        <v>432.56244218316402</v>
      </c>
      <c r="DL231" s="129" t="s">
        <v>433</v>
      </c>
      <c r="DM231" s="145" t="s">
        <v>160</v>
      </c>
      <c r="DN231" s="129" t="s">
        <v>434</v>
      </c>
      <c r="DO231" s="129">
        <v>39.695569999999996</v>
      </c>
      <c r="DP231" s="129" t="s">
        <v>160</v>
      </c>
      <c r="DQ231" s="129">
        <v>0.3508200000000059</v>
      </c>
      <c r="DR231" s="129" t="s">
        <v>450</v>
      </c>
      <c r="DS231" s="129" t="s">
        <v>212</v>
      </c>
      <c r="DT231" s="129" t="s">
        <v>213</v>
      </c>
      <c r="DU231" s="129">
        <v>1.0271999999999999</v>
      </c>
      <c r="DV231" s="129" t="s">
        <v>393</v>
      </c>
      <c r="DW231" s="129">
        <v>5.9999999999999995E-4</v>
      </c>
      <c r="DX231" s="129" t="s">
        <v>436</v>
      </c>
      <c r="DY231" s="129" t="s">
        <v>160</v>
      </c>
      <c r="DZ231" s="129" t="s">
        <v>160</v>
      </c>
      <c r="EA231" s="129" t="s">
        <v>216</v>
      </c>
      <c r="EB231" s="129" t="s">
        <v>212</v>
      </c>
      <c r="EC231" s="129" t="s">
        <v>212</v>
      </c>
      <c r="ED231" s="129" t="s">
        <v>212</v>
      </c>
      <c r="EE231" s="129" t="s">
        <v>217</v>
      </c>
      <c r="EF231" s="147" t="s">
        <v>213</v>
      </c>
      <c r="EG231" s="148" t="s">
        <v>213</v>
      </c>
      <c r="EH231" s="129" t="s">
        <v>218</v>
      </c>
      <c r="EI231" s="129" t="s">
        <v>417</v>
      </c>
      <c r="EJ231" s="129" t="s">
        <v>160</v>
      </c>
      <c r="EK231" s="129">
        <v>1949.0309999999999</v>
      </c>
      <c r="EL231" s="129" t="s">
        <v>163</v>
      </c>
      <c r="EM231" s="129">
        <v>42.982999999999912</v>
      </c>
      <c r="EN231" s="129">
        <v>41.674000000000007</v>
      </c>
      <c r="EO231" s="129" t="s">
        <v>160</v>
      </c>
      <c r="EP231" s="129" t="s">
        <v>160</v>
      </c>
      <c r="EQ231" s="129" t="s">
        <v>160</v>
      </c>
      <c r="ER231" s="129" t="s">
        <v>160</v>
      </c>
      <c r="ES231" s="141">
        <v>8.0643069999999994</v>
      </c>
      <c r="ET231" s="142" t="s">
        <v>165</v>
      </c>
      <c r="EU231" s="141">
        <v>4.2862000000001288E-2</v>
      </c>
      <c r="EV231" s="141">
        <v>4.3859999999998678E-2</v>
      </c>
      <c r="EW231" s="142" t="s">
        <v>160</v>
      </c>
      <c r="EX231" s="129" t="s">
        <v>160</v>
      </c>
      <c r="EY231" s="129" t="s">
        <v>160</v>
      </c>
      <c r="EZ231" s="141">
        <v>329.85380000000004</v>
      </c>
      <c r="FA231" s="141">
        <v>43.638199999999983</v>
      </c>
      <c r="FB231" s="141">
        <v>38.071100000000058</v>
      </c>
      <c r="FC231" s="129" t="s">
        <v>220</v>
      </c>
      <c r="FD231" s="129" t="s">
        <v>221</v>
      </c>
      <c r="FE231" s="129">
        <v>2209.6779999999999</v>
      </c>
      <c r="FF231" s="129">
        <v>58.484000000000378</v>
      </c>
      <c r="FG231" s="129">
        <v>57.13799999999992</v>
      </c>
      <c r="FH231" s="129" t="s">
        <v>437</v>
      </c>
      <c r="FI231" s="129" t="s">
        <v>437</v>
      </c>
      <c r="FJ231" s="129" t="s">
        <v>437</v>
      </c>
      <c r="FK231" s="129" t="s">
        <v>437</v>
      </c>
      <c r="FL231" s="129" t="s">
        <v>437</v>
      </c>
      <c r="FM231" s="129" t="s">
        <v>437</v>
      </c>
      <c r="FN231" s="151">
        <v>3.6556060000000001</v>
      </c>
      <c r="FO231" s="151">
        <v>0.30500599999999967</v>
      </c>
      <c r="FP231" s="151">
        <v>0.2933410000000003</v>
      </c>
      <c r="FQ231" s="178" t="s">
        <v>419</v>
      </c>
      <c r="FR231" s="129" t="s">
        <v>439</v>
      </c>
      <c r="FS231" s="129">
        <v>2015</v>
      </c>
      <c r="FT231" s="129" t="s">
        <v>440</v>
      </c>
    </row>
    <row r="232" spans="1:176" s="129" customFormat="1" ht="17">
      <c r="A232" s="123" t="s">
        <v>152</v>
      </c>
      <c r="B232" s="166" t="s">
        <v>183</v>
      </c>
      <c r="C232" s="166">
        <v>2018</v>
      </c>
      <c r="D232" s="166" t="s">
        <v>184</v>
      </c>
      <c r="E232" s="151">
        <f t="shared" si="25"/>
        <v>2521.9323730000001</v>
      </c>
      <c r="F232" s="191" t="s">
        <v>160</v>
      </c>
      <c r="G232" s="191" t="s">
        <v>160</v>
      </c>
      <c r="H232" s="151">
        <v>231.23950000000002</v>
      </c>
      <c r="I232" s="151">
        <v>28.608699999999942</v>
      </c>
      <c r="J232" s="151">
        <v>25.815200000000033</v>
      </c>
      <c r="K232" s="129" t="s">
        <v>457</v>
      </c>
      <c r="L232" s="131" t="s">
        <v>185</v>
      </c>
      <c r="M232" s="132" t="s">
        <v>186</v>
      </c>
      <c r="N232" s="129" t="s">
        <v>184</v>
      </c>
      <c r="O232" s="129" t="s">
        <v>420</v>
      </c>
      <c r="P232" s="129" t="s">
        <v>156</v>
      </c>
      <c r="Q232" s="178">
        <v>9</v>
      </c>
      <c r="R232" s="178">
        <v>6</v>
      </c>
      <c r="S232" s="178">
        <v>112</v>
      </c>
      <c r="T232" s="178">
        <v>114</v>
      </c>
      <c r="U232" s="178" t="s">
        <v>160</v>
      </c>
      <c r="V232" s="178" t="s">
        <v>160</v>
      </c>
      <c r="W232" s="178" t="s">
        <v>160</v>
      </c>
      <c r="X232" s="129" t="s">
        <v>157</v>
      </c>
      <c r="Y232" s="136">
        <v>12.75</v>
      </c>
      <c r="Z232" s="136">
        <v>-78.73</v>
      </c>
      <c r="AA232" s="136">
        <v>12.75</v>
      </c>
      <c r="AB232" s="136">
        <v>-78.73</v>
      </c>
      <c r="AC232" s="136">
        <v>-2828</v>
      </c>
      <c r="AD232" s="136">
        <v>-2828</v>
      </c>
      <c r="AE232" s="129" t="s">
        <v>160</v>
      </c>
      <c r="AF232" s="129" t="s">
        <v>160</v>
      </c>
      <c r="AG232" s="141">
        <v>2521.9323730000001</v>
      </c>
      <c r="AH232" s="138" t="s">
        <v>159</v>
      </c>
      <c r="AI232" s="129" t="s">
        <v>160</v>
      </c>
      <c r="AJ232" s="129" t="s">
        <v>160</v>
      </c>
      <c r="AK232" s="178" t="s">
        <v>160</v>
      </c>
      <c r="AL232" s="178" t="s">
        <v>441</v>
      </c>
      <c r="AM232" s="178" t="s">
        <v>160</v>
      </c>
      <c r="AN232" s="129" t="s">
        <v>160</v>
      </c>
      <c r="AO232" s="129" t="s">
        <v>160</v>
      </c>
      <c r="AP232" s="129" t="s">
        <v>160</v>
      </c>
      <c r="AQ232" s="129" t="s">
        <v>160</v>
      </c>
      <c r="AR232" s="129" t="s">
        <v>160</v>
      </c>
      <c r="AS232" s="129" t="s">
        <v>160</v>
      </c>
      <c r="AT232" s="129" t="s">
        <v>160</v>
      </c>
      <c r="AU232" s="213" t="s">
        <v>442</v>
      </c>
      <c r="AV232" s="129" t="s">
        <v>161</v>
      </c>
      <c r="AW232" s="189" t="s">
        <v>443</v>
      </c>
      <c r="AX232" s="189" t="s">
        <v>444</v>
      </c>
      <c r="AY232" s="205" t="s">
        <v>353</v>
      </c>
      <c r="AZ232" s="205" t="s">
        <v>325</v>
      </c>
      <c r="BA232" s="129" t="s">
        <v>162</v>
      </c>
      <c r="BB232" s="129" t="s">
        <v>445</v>
      </c>
      <c r="BC232" s="129" t="s">
        <v>445</v>
      </c>
      <c r="BD232" s="129" t="s">
        <v>445</v>
      </c>
      <c r="BE232" s="141">
        <v>20.705839999999998</v>
      </c>
      <c r="BF232" s="129" t="s">
        <v>446</v>
      </c>
      <c r="BG232" s="141">
        <v>8.5358745E-2</v>
      </c>
      <c r="BH232" s="129">
        <v>0.6</v>
      </c>
      <c r="BI232" s="129" t="s">
        <v>427</v>
      </c>
      <c r="BJ232" s="138">
        <v>0.08</v>
      </c>
      <c r="BK232" s="129">
        <v>8.8699999999999992</v>
      </c>
      <c r="BL232" s="129" t="s">
        <v>163</v>
      </c>
      <c r="BM232" s="129">
        <v>1.52</v>
      </c>
      <c r="BN232" s="129" t="s">
        <v>428</v>
      </c>
      <c r="BO232" s="129" t="s">
        <v>448</v>
      </c>
      <c r="BP232" s="141">
        <f t="shared" si="26"/>
        <v>19.726399999999998</v>
      </c>
      <c r="BQ232" s="129" t="s">
        <v>202</v>
      </c>
      <c r="BR232" s="217"/>
      <c r="BS232" s="129" t="s">
        <v>160</v>
      </c>
      <c r="BT232" s="129" t="s">
        <v>160</v>
      </c>
      <c r="BU232" s="129">
        <v>10</v>
      </c>
      <c r="BV232" s="129" t="s">
        <v>159</v>
      </c>
      <c r="BW232" s="129">
        <v>10</v>
      </c>
      <c r="BX232" s="141">
        <v>24.957878978864297</v>
      </c>
      <c r="BY232" s="129" t="s">
        <v>159</v>
      </c>
      <c r="BZ232" s="129">
        <v>1</v>
      </c>
      <c r="CA232" s="129">
        <v>1</v>
      </c>
      <c r="CB232" s="141">
        <v>3.4929593825806515</v>
      </c>
      <c r="CC232" s="141">
        <v>3.4929593825806515</v>
      </c>
      <c r="CD232" s="129" t="s">
        <v>449</v>
      </c>
      <c r="CE232" s="151">
        <f t="shared" si="27"/>
        <v>9.4309903329677591E-2</v>
      </c>
      <c r="CF232" s="151">
        <f t="shared" si="28"/>
        <v>9.4309903329677591E-2</v>
      </c>
      <c r="CG232" s="145" t="s">
        <v>203</v>
      </c>
      <c r="CH232" s="129" t="s">
        <v>204</v>
      </c>
      <c r="CI232" s="129" t="s">
        <v>205</v>
      </c>
      <c r="CJ232" s="129" t="s">
        <v>206</v>
      </c>
      <c r="CK232" s="129" t="s">
        <v>158</v>
      </c>
      <c r="CL232" s="129" t="s">
        <v>158</v>
      </c>
      <c r="CM232" s="129" t="s">
        <v>158</v>
      </c>
      <c r="CN232" s="129" t="s">
        <v>160</v>
      </c>
      <c r="CO232" s="129" t="s">
        <v>160</v>
      </c>
      <c r="CP232" s="129" t="s">
        <v>160</v>
      </c>
      <c r="CQ232" s="129" t="s">
        <v>160</v>
      </c>
      <c r="CR232" s="129" t="s">
        <v>160</v>
      </c>
      <c r="CS232" s="129" t="s">
        <v>160</v>
      </c>
      <c r="CT232" s="129" t="s">
        <v>160</v>
      </c>
      <c r="CU232" s="215">
        <v>35</v>
      </c>
      <c r="CV232" s="129" t="s">
        <v>393</v>
      </c>
      <c r="CW232" s="146">
        <v>1</v>
      </c>
      <c r="CX232" s="129" t="s">
        <v>207</v>
      </c>
      <c r="CY232" s="129">
        <v>1.06E-2</v>
      </c>
      <c r="CZ232" s="129" t="s">
        <v>159</v>
      </c>
      <c r="DA232" s="146">
        <v>0</v>
      </c>
      <c r="DB232" s="129" t="s">
        <v>208</v>
      </c>
      <c r="DC232" s="129">
        <v>5.5100000000000003E-2</v>
      </c>
      <c r="DD232" s="129" t="s">
        <v>159</v>
      </c>
      <c r="DE232" s="146">
        <v>0</v>
      </c>
      <c r="DF232" s="129" t="s">
        <v>208</v>
      </c>
      <c r="DG232" s="178" t="s">
        <v>160</v>
      </c>
      <c r="DH232" s="178" t="s">
        <v>160</v>
      </c>
      <c r="DI232" s="178" t="s">
        <v>160</v>
      </c>
      <c r="DJ232" s="178" t="s">
        <v>160</v>
      </c>
      <c r="DK232" s="145">
        <v>432.56244218316402</v>
      </c>
      <c r="DL232" s="129" t="s">
        <v>433</v>
      </c>
      <c r="DM232" s="145" t="s">
        <v>160</v>
      </c>
      <c r="DN232" s="129" t="s">
        <v>434</v>
      </c>
      <c r="DO232" s="129">
        <v>39.698540000000001</v>
      </c>
      <c r="DP232" s="129" t="s">
        <v>160</v>
      </c>
      <c r="DQ232" s="129">
        <v>0.34722999999999615</v>
      </c>
      <c r="DR232" s="129" t="s">
        <v>450</v>
      </c>
      <c r="DS232" s="129" t="s">
        <v>212</v>
      </c>
      <c r="DT232" s="129" t="s">
        <v>213</v>
      </c>
      <c r="DU232" s="129">
        <v>1.0271999999999999</v>
      </c>
      <c r="DV232" s="129" t="s">
        <v>393</v>
      </c>
      <c r="DW232" s="129">
        <v>5.9999999999999995E-4</v>
      </c>
      <c r="DX232" s="129" t="s">
        <v>436</v>
      </c>
      <c r="DY232" s="129" t="s">
        <v>160</v>
      </c>
      <c r="DZ232" s="129" t="s">
        <v>160</v>
      </c>
      <c r="EA232" s="129" t="s">
        <v>216</v>
      </c>
      <c r="EB232" s="129" t="s">
        <v>212</v>
      </c>
      <c r="EC232" s="129" t="s">
        <v>212</v>
      </c>
      <c r="ED232" s="129" t="s">
        <v>212</v>
      </c>
      <c r="EE232" s="129" t="s">
        <v>217</v>
      </c>
      <c r="EF232" s="147" t="s">
        <v>213</v>
      </c>
      <c r="EG232" s="148" t="s">
        <v>213</v>
      </c>
      <c r="EH232" s="129" t="s">
        <v>218</v>
      </c>
      <c r="EI232" s="129" t="s">
        <v>417</v>
      </c>
      <c r="EJ232" s="129" t="s">
        <v>160</v>
      </c>
      <c r="EK232" s="129">
        <v>1948.6559999999999</v>
      </c>
      <c r="EL232" s="129" t="s">
        <v>163</v>
      </c>
      <c r="EM232" s="129">
        <v>42.804000000000016</v>
      </c>
      <c r="EN232" s="129">
        <v>43.356000000000037</v>
      </c>
      <c r="EO232" s="129" t="s">
        <v>160</v>
      </c>
      <c r="EP232" s="129" t="s">
        <v>160</v>
      </c>
      <c r="EQ232" s="129" t="s">
        <v>160</v>
      </c>
      <c r="ER232" s="129" t="s">
        <v>160</v>
      </c>
      <c r="ES232" s="141">
        <v>8.1877089999999999</v>
      </c>
      <c r="ET232" s="142" t="s">
        <v>165</v>
      </c>
      <c r="EU232" s="141">
        <v>3.977300000000028E-2</v>
      </c>
      <c r="EV232" s="141">
        <v>3.9104000000000028E-2</v>
      </c>
      <c r="EW232" s="142" t="s">
        <v>160</v>
      </c>
      <c r="EX232" s="129" t="s">
        <v>160</v>
      </c>
      <c r="EY232" s="129" t="s">
        <v>160</v>
      </c>
      <c r="EZ232" s="141">
        <v>231.23950000000002</v>
      </c>
      <c r="FA232" s="141">
        <v>28.608699999999942</v>
      </c>
      <c r="FB232" s="141">
        <v>25.815200000000033</v>
      </c>
      <c r="FC232" s="129" t="s">
        <v>220</v>
      </c>
      <c r="FD232" s="129" t="s">
        <v>221</v>
      </c>
      <c r="FE232" s="129">
        <v>2290.4879999999998</v>
      </c>
      <c r="FF232" s="129">
        <v>60.11600000000044</v>
      </c>
      <c r="FG232" s="129">
        <v>58.617999999999938</v>
      </c>
      <c r="FH232" s="129" t="s">
        <v>437</v>
      </c>
      <c r="FI232" s="129" t="s">
        <v>437</v>
      </c>
      <c r="FJ232" s="129" t="s">
        <v>437</v>
      </c>
      <c r="FK232" s="129" t="s">
        <v>437</v>
      </c>
      <c r="FL232" s="129" t="s">
        <v>437</v>
      </c>
      <c r="FM232" s="129" t="s">
        <v>437</v>
      </c>
      <c r="FN232" s="151">
        <v>4.5917289999999999</v>
      </c>
      <c r="FO232" s="151">
        <v>0.32770800000000033</v>
      </c>
      <c r="FP232" s="151">
        <v>0.30691100000000038</v>
      </c>
      <c r="FQ232" s="178" t="s">
        <v>419</v>
      </c>
      <c r="FR232" s="129" t="s">
        <v>439</v>
      </c>
      <c r="FS232" s="129">
        <v>2015</v>
      </c>
      <c r="FT232" s="129" t="s">
        <v>440</v>
      </c>
    </row>
    <row r="233" spans="1:176" s="129" customFormat="1" ht="17">
      <c r="A233" s="123" t="s">
        <v>152</v>
      </c>
      <c r="B233" s="166" t="s">
        <v>183</v>
      </c>
      <c r="C233" s="166">
        <v>2018</v>
      </c>
      <c r="D233" s="166" t="s">
        <v>184</v>
      </c>
      <c r="E233" s="151">
        <f t="shared" si="25"/>
        <v>2545.1545409999999</v>
      </c>
      <c r="F233" s="191" t="s">
        <v>160</v>
      </c>
      <c r="G233" s="191" t="s">
        <v>160</v>
      </c>
      <c r="H233" s="151">
        <v>307.41120000000001</v>
      </c>
      <c r="I233" s="151">
        <v>39.61549999999994</v>
      </c>
      <c r="J233" s="151">
        <v>35.591399999999965</v>
      </c>
      <c r="K233" s="129" t="s">
        <v>457</v>
      </c>
      <c r="L233" s="131" t="s">
        <v>185</v>
      </c>
      <c r="M233" s="132" t="s">
        <v>186</v>
      </c>
      <c r="N233" s="129" t="s">
        <v>184</v>
      </c>
      <c r="O233" s="129" t="s">
        <v>420</v>
      </c>
      <c r="P233" s="129" t="s">
        <v>156</v>
      </c>
      <c r="Q233" s="178">
        <v>9</v>
      </c>
      <c r="R233" s="178">
        <v>7</v>
      </c>
      <c r="S233" s="178">
        <v>37</v>
      </c>
      <c r="T233" s="178">
        <v>39</v>
      </c>
      <c r="U233" s="178" t="s">
        <v>160</v>
      </c>
      <c r="V233" s="178" t="s">
        <v>160</v>
      </c>
      <c r="W233" s="178" t="s">
        <v>160</v>
      </c>
      <c r="X233" s="129" t="s">
        <v>157</v>
      </c>
      <c r="Y233" s="136">
        <v>12.75</v>
      </c>
      <c r="Z233" s="136">
        <v>-78.73</v>
      </c>
      <c r="AA233" s="136">
        <v>12.75</v>
      </c>
      <c r="AB233" s="136">
        <v>-78.73</v>
      </c>
      <c r="AC233" s="136">
        <v>-2828</v>
      </c>
      <c r="AD233" s="136">
        <v>-2828</v>
      </c>
      <c r="AE233" s="129" t="s">
        <v>160</v>
      </c>
      <c r="AF233" s="129" t="s">
        <v>160</v>
      </c>
      <c r="AG233" s="141">
        <v>2545.1545409999999</v>
      </c>
      <c r="AH233" s="138" t="s">
        <v>159</v>
      </c>
      <c r="AI233" s="129" t="s">
        <v>160</v>
      </c>
      <c r="AJ233" s="129" t="s">
        <v>160</v>
      </c>
      <c r="AK233" s="178" t="s">
        <v>160</v>
      </c>
      <c r="AL233" s="178" t="s">
        <v>441</v>
      </c>
      <c r="AM233" s="178" t="s">
        <v>160</v>
      </c>
      <c r="AN233" s="129" t="s">
        <v>160</v>
      </c>
      <c r="AO233" s="129" t="s">
        <v>160</v>
      </c>
      <c r="AP233" s="129" t="s">
        <v>160</v>
      </c>
      <c r="AQ233" s="129" t="s">
        <v>160</v>
      </c>
      <c r="AR233" s="129" t="s">
        <v>160</v>
      </c>
      <c r="AS233" s="129" t="s">
        <v>160</v>
      </c>
      <c r="AT233" s="129" t="s">
        <v>160</v>
      </c>
      <c r="AU233" s="213" t="s">
        <v>442</v>
      </c>
      <c r="AV233" s="129" t="s">
        <v>161</v>
      </c>
      <c r="AW233" s="189" t="s">
        <v>443</v>
      </c>
      <c r="AX233" s="205" t="s">
        <v>444</v>
      </c>
      <c r="AY233" s="205" t="s">
        <v>353</v>
      </c>
      <c r="AZ233" s="205" t="s">
        <v>325</v>
      </c>
      <c r="BA233" s="214" t="s">
        <v>162</v>
      </c>
      <c r="BB233" s="129" t="s">
        <v>445</v>
      </c>
      <c r="BC233" s="129" t="s">
        <v>445</v>
      </c>
      <c r="BD233" s="129" t="s">
        <v>445</v>
      </c>
      <c r="BE233" s="141">
        <v>19.996870000000001</v>
      </c>
      <c r="BF233" s="129" t="s">
        <v>446</v>
      </c>
      <c r="BG233" s="141">
        <v>9.0761997999999997E-2</v>
      </c>
      <c r="BH233" s="129">
        <v>0.6</v>
      </c>
      <c r="BI233" s="129" t="s">
        <v>427</v>
      </c>
      <c r="BJ233" s="138">
        <v>0.08</v>
      </c>
      <c r="BK233" s="129">
        <v>8.8699999999999992</v>
      </c>
      <c r="BL233" s="129" t="s">
        <v>163</v>
      </c>
      <c r="BM233" s="129">
        <v>1.52</v>
      </c>
      <c r="BN233" s="129" t="s">
        <v>428</v>
      </c>
      <c r="BO233" s="129" t="s">
        <v>448</v>
      </c>
      <c r="BP233" s="141">
        <f t="shared" si="26"/>
        <v>18.544783333333339</v>
      </c>
      <c r="BQ233" s="129" t="s">
        <v>202</v>
      </c>
      <c r="BR233" s="217"/>
      <c r="BS233" s="129" t="s">
        <v>160</v>
      </c>
      <c r="BT233" s="129" t="s">
        <v>160</v>
      </c>
      <c r="BU233" s="129">
        <v>10</v>
      </c>
      <c r="BV233" s="129" t="s">
        <v>159</v>
      </c>
      <c r="BW233" s="129">
        <v>10</v>
      </c>
      <c r="BX233" s="141">
        <v>24.912844054033634</v>
      </c>
      <c r="BY233" s="129" t="s">
        <v>159</v>
      </c>
      <c r="BZ233" s="129">
        <v>1</v>
      </c>
      <c r="CA233" s="129">
        <v>1</v>
      </c>
      <c r="CB233" s="141">
        <v>3.4779724263059086</v>
      </c>
      <c r="CC233" s="141">
        <v>3.4779724263059086</v>
      </c>
      <c r="CD233" s="129" t="s">
        <v>449</v>
      </c>
      <c r="CE233" s="151">
        <f t="shared" si="27"/>
        <v>9.3905255510259536E-2</v>
      </c>
      <c r="CF233" s="151">
        <f t="shared" si="28"/>
        <v>9.3905255510259536E-2</v>
      </c>
      <c r="CG233" s="145" t="s">
        <v>203</v>
      </c>
      <c r="CH233" s="129" t="s">
        <v>204</v>
      </c>
      <c r="CI233" s="129" t="s">
        <v>205</v>
      </c>
      <c r="CJ233" s="129" t="s">
        <v>206</v>
      </c>
      <c r="CK233" s="129" t="s">
        <v>158</v>
      </c>
      <c r="CL233" s="129" t="s">
        <v>158</v>
      </c>
      <c r="CM233" s="129" t="s">
        <v>158</v>
      </c>
      <c r="CN233" s="129" t="s">
        <v>160</v>
      </c>
      <c r="CO233" s="129" t="s">
        <v>160</v>
      </c>
      <c r="CP233" s="129" t="s">
        <v>160</v>
      </c>
      <c r="CQ233" s="129" t="s">
        <v>160</v>
      </c>
      <c r="CR233" s="129" t="s">
        <v>160</v>
      </c>
      <c r="CS233" s="129" t="s">
        <v>160</v>
      </c>
      <c r="CT233" s="129" t="s">
        <v>160</v>
      </c>
      <c r="CU233" s="215">
        <v>35</v>
      </c>
      <c r="CV233" s="129" t="s">
        <v>393</v>
      </c>
      <c r="CW233" s="146">
        <v>1</v>
      </c>
      <c r="CX233" s="129" t="s">
        <v>207</v>
      </c>
      <c r="CY233" s="129">
        <v>1.06E-2</v>
      </c>
      <c r="CZ233" s="129" t="s">
        <v>159</v>
      </c>
      <c r="DA233" s="146">
        <v>0</v>
      </c>
      <c r="DB233" s="129" t="s">
        <v>208</v>
      </c>
      <c r="DC233" s="129">
        <v>5.5100000000000003E-2</v>
      </c>
      <c r="DD233" s="129" t="s">
        <v>159</v>
      </c>
      <c r="DE233" s="146">
        <v>0</v>
      </c>
      <c r="DF233" s="129" t="s">
        <v>208</v>
      </c>
      <c r="DG233" s="178" t="s">
        <v>160</v>
      </c>
      <c r="DH233" s="178" t="s">
        <v>160</v>
      </c>
      <c r="DI233" s="178" t="s">
        <v>160</v>
      </c>
      <c r="DJ233" s="178" t="s">
        <v>160</v>
      </c>
      <c r="DK233" s="145">
        <v>432.56244218316402</v>
      </c>
      <c r="DL233" s="129" t="s">
        <v>433</v>
      </c>
      <c r="DM233" s="145" t="s">
        <v>160</v>
      </c>
      <c r="DN233" s="129" t="s">
        <v>434</v>
      </c>
      <c r="DO233" s="129">
        <v>39.7012</v>
      </c>
      <c r="DP233" s="129" t="s">
        <v>160</v>
      </c>
      <c r="DQ233" s="129">
        <v>0.344140000000003</v>
      </c>
      <c r="DR233" s="129" t="s">
        <v>450</v>
      </c>
      <c r="DS233" s="129" t="s">
        <v>212</v>
      </c>
      <c r="DT233" s="129" t="s">
        <v>213</v>
      </c>
      <c r="DU233" s="129">
        <v>1.0271999999999999</v>
      </c>
      <c r="DV233" s="129" t="s">
        <v>393</v>
      </c>
      <c r="DW233" s="129">
        <v>5.9999999999999995E-4</v>
      </c>
      <c r="DX233" s="129" t="s">
        <v>436</v>
      </c>
      <c r="DY233" s="129" t="s">
        <v>160</v>
      </c>
      <c r="DZ233" s="129" t="s">
        <v>160</v>
      </c>
      <c r="EA233" s="129" t="s">
        <v>216</v>
      </c>
      <c r="EB233" s="129" t="s">
        <v>212</v>
      </c>
      <c r="EC233" s="129" t="s">
        <v>212</v>
      </c>
      <c r="ED233" s="129" t="s">
        <v>212</v>
      </c>
      <c r="EE233" s="129" t="s">
        <v>217</v>
      </c>
      <c r="EF233" s="147" t="s">
        <v>213</v>
      </c>
      <c r="EG233" s="148" t="s">
        <v>213</v>
      </c>
      <c r="EH233" s="129" t="s">
        <v>218</v>
      </c>
      <c r="EI233" s="129" t="s">
        <v>417</v>
      </c>
      <c r="EJ233" s="129" t="s">
        <v>160</v>
      </c>
      <c r="EK233" s="129">
        <v>1948.356</v>
      </c>
      <c r="EL233" s="129" t="s">
        <v>163</v>
      </c>
      <c r="EM233" s="129">
        <v>42.766000000000069</v>
      </c>
      <c r="EN233" s="129">
        <v>43.506000000000014</v>
      </c>
      <c r="EO233" s="129" t="s">
        <v>160</v>
      </c>
      <c r="EP233" s="129" t="s">
        <v>160</v>
      </c>
      <c r="EQ233" s="129" t="s">
        <v>160</v>
      </c>
      <c r="ER233" s="129" t="s">
        <v>160</v>
      </c>
      <c r="ES233" s="141">
        <v>8.0889679999999995</v>
      </c>
      <c r="ET233" s="142" t="s">
        <v>165</v>
      </c>
      <c r="EU233" s="141">
        <v>4.2542000000000968E-2</v>
      </c>
      <c r="EV233" s="141">
        <v>4.2078999999999311E-2</v>
      </c>
      <c r="EW233" s="142" t="s">
        <v>160</v>
      </c>
      <c r="EX233" s="129" t="s">
        <v>160</v>
      </c>
      <c r="EY233" s="129" t="s">
        <v>160</v>
      </c>
      <c r="EZ233" s="141">
        <v>307.41120000000001</v>
      </c>
      <c r="FA233" s="141">
        <v>39.61549999999994</v>
      </c>
      <c r="FB233" s="141">
        <v>35.591399999999965</v>
      </c>
      <c r="FC233" s="129" t="s">
        <v>220</v>
      </c>
      <c r="FD233" s="129" t="s">
        <v>221</v>
      </c>
      <c r="FE233" s="129">
        <v>2219.73</v>
      </c>
      <c r="FF233" s="129">
        <v>57.666000000000167</v>
      </c>
      <c r="FG233" s="129">
        <v>58.795000000000073</v>
      </c>
      <c r="FH233" s="129" t="s">
        <v>437</v>
      </c>
      <c r="FI233" s="129" t="s">
        <v>437</v>
      </c>
      <c r="FJ233" s="129" t="s">
        <v>437</v>
      </c>
      <c r="FK233" s="129" t="s">
        <v>437</v>
      </c>
      <c r="FL233" s="129" t="s">
        <v>437</v>
      </c>
      <c r="FM233" s="129" t="s">
        <v>437</v>
      </c>
      <c r="FN233" s="151">
        <v>3.7600440000000002</v>
      </c>
      <c r="FO233" s="151">
        <v>0.30150199999999971</v>
      </c>
      <c r="FP233" s="151">
        <v>0.27766000000000002</v>
      </c>
      <c r="FQ233" s="178" t="s">
        <v>419</v>
      </c>
      <c r="FR233" s="129" t="s">
        <v>439</v>
      </c>
      <c r="FS233" s="129">
        <v>2015</v>
      </c>
      <c r="FT233" s="129" t="s">
        <v>440</v>
      </c>
    </row>
    <row r="234" spans="1:176" s="129" customFormat="1" ht="17">
      <c r="A234" s="123" t="s">
        <v>152</v>
      </c>
      <c r="B234" s="166" t="s">
        <v>183</v>
      </c>
      <c r="C234" s="166">
        <v>2018</v>
      </c>
      <c r="D234" s="166" t="s">
        <v>184</v>
      </c>
      <c r="E234" s="151">
        <f t="shared" si="25"/>
        <v>2561.8984380000002</v>
      </c>
      <c r="F234" s="191" t="s">
        <v>160</v>
      </c>
      <c r="G234" s="191" t="s">
        <v>160</v>
      </c>
      <c r="H234" s="151">
        <v>279.23669999999998</v>
      </c>
      <c r="I234" s="151">
        <v>36.327200000000062</v>
      </c>
      <c r="J234" s="151">
        <v>31.598899999999986</v>
      </c>
      <c r="K234" s="129" t="s">
        <v>457</v>
      </c>
      <c r="L234" s="131" t="s">
        <v>185</v>
      </c>
      <c r="M234" s="132" t="s">
        <v>186</v>
      </c>
      <c r="N234" s="129" t="s">
        <v>184</v>
      </c>
      <c r="O234" s="129" t="s">
        <v>420</v>
      </c>
      <c r="P234" s="129" t="s">
        <v>156</v>
      </c>
      <c r="Q234" s="205">
        <v>9</v>
      </c>
      <c r="R234" s="178" t="s">
        <v>293</v>
      </c>
      <c r="S234" s="178">
        <v>23</v>
      </c>
      <c r="T234" s="178">
        <v>25</v>
      </c>
      <c r="U234" s="178" t="s">
        <v>160</v>
      </c>
      <c r="V234" s="178" t="s">
        <v>160</v>
      </c>
      <c r="W234" s="178" t="s">
        <v>160</v>
      </c>
      <c r="X234" s="129" t="s">
        <v>157</v>
      </c>
      <c r="Y234" s="136">
        <v>12.75</v>
      </c>
      <c r="Z234" s="136">
        <v>-78.73</v>
      </c>
      <c r="AA234" s="136">
        <v>12.75</v>
      </c>
      <c r="AB234" s="136">
        <v>-78.73</v>
      </c>
      <c r="AC234" s="136">
        <v>-2828</v>
      </c>
      <c r="AD234" s="136">
        <v>-2828</v>
      </c>
      <c r="AE234" s="129" t="s">
        <v>160</v>
      </c>
      <c r="AF234" s="129" t="s">
        <v>160</v>
      </c>
      <c r="AG234" s="141">
        <v>2561.8984380000002</v>
      </c>
      <c r="AH234" s="138" t="s">
        <v>159</v>
      </c>
      <c r="AI234" s="129" t="s">
        <v>160</v>
      </c>
      <c r="AJ234" s="129" t="s">
        <v>160</v>
      </c>
      <c r="AK234" s="178" t="s">
        <v>160</v>
      </c>
      <c r="AL234" s="178" t="s">
        <v>441</v>
      </c>
      <c r="AM234" s="178" t="s">
        <v>160</v>
      </c>
      <c r="AN234" s="129" t="s">
        <v>160</v>
      </c>
      <c r="AO234" s="129" t="s">
        <v>160</v>
      </c>
      <c r="AP234" s="129" t="s">
        <v>160</v>
      </c>
      <c r="AQ234" s="129" t="s">
        <v>160</v>
      </c>
      <c r="AR234" s="129" t="s">
        <v>160</v>
      </c>
      <c r="AS234" s="129" t="s">
        <v>160</v>
      </c>
      <c r="AT234" s="129" t="s">
        <v>160</v>
      </c>
      <c r="AU234" s="213" t="s">
        <v>442</v>
      </c>
      <c r="AV234" s="129" t="s">
        <v>161</v>
      </c>
      <c r="AW234" s="189" t="s">
        <v>443</v>
      </c>
      <c r="AX234" s="189" t="s">
        <v>444</v>
      </c>
      <c r="AY234" s="205" t="s">
        <v>353</v>
      </c>
      <c r="AZ234" s="205" t="s">
        <v>325</v>
      </c>
      <c r="BA234" s="129" t="s">
        <v>162</v>
      </c>
      <c r="BB234" s="129" t="s">
        <v>445</v>
      </c>
      <c r="BC234" s="129" t="s">
        <v>445</v>
      </c>
      <c r="BD234" s="129" t="s">
        <v>445</v>
      </c>
      <c r="BE234" s="141">
        <v>20.316089999999999</v>
      </c>
      <c r="BF234" s="129" t="s">
        <v>446</v>
      </c>
      <c r="BG234" s="141">
        <v>0.100098414</v>
      </c>
      <c r="BH234" s="129">
        <v>0.6</v>
      </c>
      <c r="BI234" s="129" t="s">
        <v>427</v>
      </c>
      <c r="BJ234" s="138">
        <v>0.08</v>
      </c>
      <c r="BK234" s="129">
        <v>8.8699999999999992</v>
      </c>
      <c r="BL234" s="129" t="s">
        <v>163</v>
      </c>
      <c r="BM234" s="129">
        <v>1.52</v>
      </c>
      <c r="BN234" s="129" t="s">
        <v>428</v>
      </c>
      <c r="BO234" s="129" t="s">
        <v>448</v>
      </c>
      <c r="BP234" s="141">
        <f t="shared" si="26"/>
        <v>19.076816666666666</v>
      </c>
      <c r="BQ234" s="129" t="s">
        <v>202</v>
      </c>
      <c r="BR234" s="217"/>
      <c r="BS234" s="129" t="s">
        <v>160</v>
      </c>
      <c r="BT234" s="129" t="s">
        <v>160</v>
      </c>
      <c r="BU234" s="129">
        <v>10</v>
      </c>
      <c r="BV234" s="129" t="s">
        <v>159</v>
      </c>
      <c r="BW234" s="129">
        <v>10</v>
      </c>
      <c r="BX234" s="141">
        <v>25.891259453855348</v>
      </c>
      <c r="BY234" s="129" t="s">
        <v>159</v>
      </c>
      <c r="BZ234" s="129">
        <v>1</v>
      </c>
      <c r="CA234" s="129">
        <v>1</v>
      </c>
      <c r="CB234" s="141">
        <v>3.7974470407174046</v>
      </c>
      <c r="CC234" s="141">
        <v>3.7974470407174046</v>
      </c>
      <c r="CD234" s="129" t="s">
        <v>449</v>
      </c>
      <c r="CE234" s="151">
        <f t="shared" si="27"/>
        <v>0.10253107009936992</v>
      </c>
      <c r="CF234" s="151">
        <f t="shared" si="28"/>
        <v>0.10253107009936992</v>
      </c>
      <c r="CG234" s="145" t="s">
        <v>203</v>
      </c>
      <c r="CH234" s="129" t="s">
        <v>204</v>
      </c>
      <c r="CI234" s="129" t="s">
        <v>205</v>
      </c>
      <c r="CJ234" s="129" t="s">
        <v>206</v>
      </c>
      <c r="CK234" s="129" t="s">
        <v>158</v>
      </c>
      <c r="CL234" s="129" t="s">
        <v>158</v>
      </c>
      <c r="CM234" s="129" t="s">
        <v>158</v>
      </c>
      <c r="CN234" s="129" t="s">
        <v>160</v>
      </c>
      <c r="CO234" s="129" t="s">
        <v>160</v>
      </c>
      <c r="CP234" s="129" t="s">
        <v>160</v>
      </c>
      <c r="CQ234" s="129" t="s">
        <v>160</v>
      </c>
      <c r="CR234" s="129" t="s">
        <v>160</v>
      </c>
      <c r="CS234" s="129" t="s">
        <v>160</v>
      </c>
      <c r="CT234" s="129" t="s">
        <v>160</v>
      </c>
      <c r="CU234" s="215">
        <v>35</v>
      </c>
      <c r="CV234" s="129" t="s">
        <v>393</v>
      </c>
      <c r="CW234" s="146">
        <v>1</v>
      </c>
      <c r="CX234" s="129" t="s">
        <v>207</v>
      </c>
      <c r="CY234" s="129">
        <v>1.06E-2</v>
      </c>
      <c r="CZ234" s="129" t="s">
        <v>159</v>
      </c>
      <c r="DA234" s="146">
        <v>0</v>
      </c>
      <c r="DB234" s="129" t="s">
        <v>208</v>
      </c>
      <c r="DC234" s="129">
        <v>5.5100000000000003E-2</v>
      </c>
      <c r="DD234" s="129" t="s">
        <v>159</v>
      </c>
      <c r="DE234" s="146">
        <v>0</v>
      </c>
      <c r="DF234" s="129" t="s">
        <v>208</v>
      </c>
      <c r="DG234" s="178" t="s">
        <v>160</v>
      </c>
      <c r="DH234" s="178" t="s">
        <v>160</v>
      </c>
      <c r="DI234" s="178" t="s">
        <v>160</v>
      </c>
      <c r="DJ234" s="178" t="s">
        <v>160</v>
      </c>
      <c r="DK234" s="145">
        <v>432.56244218316402</v>
      </c>
      <c r="DL234" s="129" t="s">
        <v>433</v>
      </c>
      <c r="DM234" s="145" t="s">
        <v>160</v>
      </c>
      <c r="DN234" s="129" t="s">
        <v>434</v>
      </c>
      <c r="DO234" s="129">
        <v>39.705680000000001</v>
      </c>
      <c r="DP234" s="129" t="s">
        <v>160</v>
      </c>
      <c r="DQ234" s="129">
        <v>0.33901999999999788</v>
      </c>
      <c r="DR234" s="129" t="s">
        <v>450</v>
      </c>
      <c r="DS234" s="129" t="s">
        <v>212</v>
      </c>
      <c r="DT234" s="129" t="s">
        <v>213</v>
      </c>
      <c r="DU234" s="129">
        <v>1.0271999999999999</v>
      </c>
      <c r="DV234" s="129" t="s">
        <v>393</v>
      </c>
      <c r="DW234" s="129">
        <v>5.9999999999999995E-4</v>
      </c>
      <c r="DX234" s="129" t="s">
        <v>436</v>
      </c>
      <c r="DY234" s="129" t="s">
        <v>160</v>
      </c>
      <c r="DZ234" s="129" t="s">
        <v>160</v>
      </c>
      <c r="EA234" s="129" t="s">
        <v>216</v>
      </c>
      <c r="EB234" s="129" t="s">
        <v>212</v>
      </c>
      <c r="EC234" s="129" t="s">
        <v>212</v>
      </c>
      <c r="ED234" s="129" t="s">
        <v>212</v>
      </c>
      <c r="EE234" s="129" t="s">
        <v>217</v>
      </c>
      <c r="EF234" s="147" t="s">
        <v>213</v>
      </c>
      <c r="EG234" s="148" t="s">
        <v>213</v>
      </c>
      <c r="EH234" s="129" t="s">
        <v>218</v>
      </c>
      <c r="EI234" s="129" t="s">
        <v>417</v>
      </c>
      <c r="EJ234" s="129" t="s">
        <v>160</v>
      </c>
      <c r="EK234" s="129">
        <v>1948.364</v>
      </c>
      <c r="EL234" s="129" t="s">
        <v>163</v>
      </c>
      <c r="EM234" s="129">
        <v>43.325000000000088</v>
      </c>
      <c r="EN234" s="129">
        <v>42.818000000000026</v>
      </c>
      <c r="EO234" s="129" t="s">
        <v>160</v>
      </c>
      <c r="EP234" s="129" t="s">
        <v>160</v>
      </c>
      <c r="EQ234" s="129" t="s">
        <v>160</v>
      </c>
      <c r="ER234" s="129" t="s">
        <v>160</v>
      </c>
      <c r="ES234" s="141">
        <v>8.1233109999999993</v>
      </c>
      <c r="ET234" s="142" t="s">
        <v>165</v>
      </c>
      <c r="EU234" s="141">
        <v>4.0605000000001112E-2</v>
      </c>
      <c r="EV234" s="141">
        <v>4.1641999999999513E-2</v>
      </c>
      <c r="EW234" s="142" t="s">
        <v>160</v>
      </c>
      <c r="EX234" s="129" t="s">
        <v>160</v>
      </c>
      <c r="EY234" s="129" t="s">
        <v>160</v>
      </c>
      <c r="EZ234" s="141">
        <v>279.23669999999998</v>
      </c>
      <c r="FA234" s="141">
        <v>36.327200000000062</v>
      </c>
      <c r="FB234" s="141">
        <v>31.598899999999986</v>
      </c>
      <c r="FC234" s="129" t="s">
        <v>220</v>
      </c>
      <c r="FD234" s="129" t="s">
        <v>221</v>
      </c>
      <c r="FE234" s="129">
        <v>2252.4009999999998</v>
      </c>
      <c r="FF234" s="129">
        <v>58.405999999999949</v>
      </c>
      <c r="FG234" s="129">
        <v>58.315999999999804</v>
      </c>
      <c r="FH234" s="129" t="s">
        <v>437</v>
      </c>
      <c r="FI234" s="129" t="s">
        <v>437</v>
      </c>
      <c r="FJ234" s="129" t="s">
        <v>437</v>
      </c>
      <c r="FK234" s="129" t="s">
        <v>437</v>
      </c>
      <c r="FL234" s="129" t="s">
        <v>437</v>
      </c>
      <c r="FM234" s="129" t="s">
        <v>437</v>
      </c>
      <c r="FN234" s="151">
        <v>4.1808490000000003</v>
      </c>
      <c r="FO234" s="151">
        <v>0.31979299999999977</v>
      </c>
      <c r="FP234" s="151">
        <v>0.31077900000000014</v>
      </c>
      <c r="FQ234" s="178" t="s">
        <v>419</v>
      </c>
      <c r="FR234" s="129" t="s">
        <v>439</v>
      </c>
      <c r="FS234" s="129">
        <v>2015</v>
      </c>
      <c r="FT234" s="129" t="s">
        <v>440</v>
      </c>
    </row>
    <row r="235" spans="1:176" s="129" customFormat="1" ht="17">
      <c r="A235" s="123" t="s">
        <v>152</v>
      </c>
      <c r="B235" s="166" t="s">
        <v>183</v>
      </c>
      <c r="C235" s="166">
        <v>2018</v>
      </c>
      <c r="D235" s="166" t="s">
        <v>184</v>
      </c>
      <c r="E235" s="151">
        <f t="shared" si="25"/>
        <v>2579.4250489999999</v>
      </c>
      <c r="F235" s="191" t="s">
        <v>160</v>
      </c>
      <c r="G235" s="191" t="s">
        <v>160</v>
      </c>
      <c r="H235" s="151">
        <v>303.62909999999999</v>
      </c>
      <c r="I235" s="151">
        <v>38.689399999999978</v>
      </c>
      <c r="J235" s="151">
        <v>34.326299999999947</v>
      </c>
      <c r="K235" s="129" t="s">
        <v>457</v>
      </c>
      <c r="L235" s="131" t="s">
        <v>185</v>
      </c>
      <c r="M235" s="132" t="s">
        <v>186</v>
      </c>
      <c r="N235" s="129" t="s">
        <v>184</v>
      </c>
      <c r="O235" s="129" t="s">
        <v>420</v>
      </c>
      <c r="P235" s="129" t="s">
        <v>156</v>
      </c>
      <c r="Q235" s="178">
        <v>10</v>
      </c>
      <c r="R235" s="178">
        <v>1</v>
      </c>
      <c r="S235" s="178">
        <v>52</v>
      </c>
      <c r="T235" s="178">
        <v>54</v>
      </c>
      <c r="U235" s="178" t="s">
        <v>160</v>
      </c>
      <c r="V235" s="178" t="s">
        <v>160</v>
      </c>
      <c r="W235" s="178" t="s">
        <v>160</v>
      </c>
      <c r="X235" s="129" t="s">
        <v>157</v>
      </c>
      <c r="Y235" s="136">
        <v>12.75</v>
      </c>
      <c r="Z235" s="136">
        <v>-78.73</v>
      </c>
      <c r="AA235" s="136">
        <v>12.75</v>
      </c>
      <c r="AB235" s="136">
        <v>-78.73</v>
      </c>
      <c r="AC235" s="136">
        <v>-2828</v>
      </c>
      <c r="AD235" s="136">
        <v>-2828</v>
      </c>
      <c r="AE235" s="129" t="s">
        <v>160</v>
      </c>
      <c r="AF235" s="129" t="s">
        <v>160</v>
      </c>
      <c r="AG235" s="141">
        <v>2579.4250489999999</v>
      </c>
      <c r="AH235" s="138" t="s">
        <v>159</v>
      </c>
      <c r="AI235" s="129" t="s">
        <v>160</v>
      </c>
      <c r="AJ235" s="129" t="s">
        <v>160</v>
      </c>
      <c r="AK235" s="178" t="s">
        <v>160</v>
      </c>
      <c r="AL235" s="178" t="s">
        <v>441</v>
      </c>
      <c r="AM235" s="178" t="s">
        <v>160</v>
      </c>
      <c r="AN235" s="129" t="s">
        <v>160</v>
      </c>
      <c r="AO235" s="129" t="s">
        <v>160</v>
      </c>
      <c r="AP235" s="129" t="s">
        <v>160</v>
      </c>
      <c r="AQ235" s="129" t="s">
        <v>160</v>
      </c>
      <c r="AR235" s="129" t="s">
        <v>160</v>
      </c>
      <c r="AS235" s="129" t="s">
        <v>160</v>
      </c>
      <c r="AT235" s="129" t="s">
        <v>160</v>
      </c>
      <c r="AU235" s="213" t="s">
        <v>442</v>
      </c>
      <c r="AV235" s="129" t="s">
        <v>161</v>
      </c>
      <c r="AW235" s="189" t="s">
        <v>443</v>
      </c>
      <c r="AX235" s="205" t="s">
        <v>444</v>
      </c>
      <c r="AY235" s="205" t="s">
        <v>353</v>
      </c>
      <c r="AZ235" s="205" t="s">
        <v>325</v>
      </c>
      <c r="BA235" s="214" t="s">
        <v>162</v>
      </c>
      <c r="BB235" s="129" t="s">
        <v>445</v>
      </c>
      <c r="BC235" s="129" t="s">
        <v>445</v>
      </c>
      <c r="BD235" s="129" t="s">
        <v>445</v>
      </c>
      <c r="BE235" s="141">
        <v>20.03998</v>
      </c>
      <c r="BF235" s="129" t="s">
        <v>446</v>
      </c>
      <c r="BG235" s="141">
        <v>9.5873624000000005E-2</v>
      </c>
      <c r="BH235" s="129">
        <v>0.6</v>
      </c>
      <c r="BI235" s="129" t="s">
        <v>427</v>
      </c>
      <c r="BJ235" s="138">
        <v>0.08</v>
      </c>
      <c r="BK235" s="129">
        <v>8.8699999999999992</v>
      </c>
      <c r="BL235" s="129" t="s">
        <v>163</v>
      </c>
      <c r="BM235" s="129">
        <v>1.52</v>
      </c>
      <c r="BN235" s="129" t="s">
        <v>428</v>
      </c>
      <c r="BO235" s="129" t="s">
        <v>448</v>
      </c>
      <c r="BP235" s="141">
        <f t="shared" si="26"/>
        <v>18.616633333333336</v>
      </c>
      <c r="BQ235" s="129" t="s">
        <v>202</v>
      </c>
      <c r="BR235" s="217"/>
      <c r="BS235" s="129" t="s">
        <v>160</v>
      </c>
      <c r="BT235" s="129" t="s">
        <v>160</v>
      </c>
      <c r="BU235" s="129">
        <v>10</v>
      </c>
      <c r="BV235" s="129" t="s">
        <v>159</v>
      </c>
      <c r="BW235" s="129">
        <v>10</v>
      </c>
      <c r="BX235" s="141">
        <v>25.056246660074063</v>
      </c>
      <c r="BY235" s="129" t="s">
        <v>159</v>
      </c>
      <c r="BZ235" s="129">
        <v>1</v>
      </c>
      <c r="CA235" s="129">
        <v>1</v>
      </c>
      <c r="CB235" s="141">
        <v>3.5218685824195624</v>
      </c>
      <c r="CC235" s="141">
        <v>3.5218685824195624</v>
      </c>
      <c r="CD235" s="129" t="s">
        <v>449</v>
      </c>
      <c r="CE235" s="151">
        <f t="shared" si="27"/>
        <v>9.5090451725328179E-2</v>
      </c>
      <c r="CF235" s="151">
        <f t="shared" si="28"/>
        <v>9.5090451725328179E-2</v>
      </c>
      <c r="CG235" s="145" t="s">
        <v>203</v>
      </c>
      <c r="CH235" s="129" t="s">
        <v>204</v>
      </c>
      <c r="CI235" s="129" t="s">
        <v>205</v>
      </c>
      <c r="CJ235" s="129" t="s">
        <v>206</v>
      </c>
      <c r="CK235" s="129" t="s">
        <v>158</v>
      </c>
      <c r="CL235" s="129" t="s">
        <v>158</v>
      </c>
      <c r="CM235" s="129" t="s">
        <v>158</v>
      </c>
      <c r="CN235" s="129" t="s">
        <v>160</v>
      </c>
      <c r="CO235" s="129" t="s">
        <v>160</v>
      </c>
      <c r="CP235" s="129" t="s">
        <v>160</v>
      </c>
      <c r="CQ235" s="129" t="s">
        <v>160</v>
      </c>
      <c r="CR235" s="129" t="s">
        <v>160</v>
      </c>
      <c r="CS235" s="129" t="s">
        <v>160</v>
      </c>
      <c r="CT235" s="129" t="s">
        <v>160</v>
      </c>
      <c r="CU235" s="215">
        <v>35</v>
      </c>
      <c r="CV235" s="129" t="s">
        <v>393</v>
      </c>
      <c r="CW235" s="146">
        <v>1</v>
      </c>
      <c r="CX235" s="129" t="s">
        <v>207</v>
      </c>
      <c r="CY235" s="129">
        <v>1.06E-2</v>
      </c>
      <c r="CZ235" s="129" t="s">
        <v>159</v>
      </c>
      <c r="DA235" s="146">
        <v>0</v>
      </c>
      <c r="DB235" s="129" t="s">
        <v>208</v>
      </c>
      <c r="DC235" s="129">
        <v>5.5100000000000003E-2</v>
      </c>
      <c r="DD235" s="129" t="s">
        <v>159</v>
      </c>
      <c r="DE235" s="146">
        <v>0</v>
      </c>
      <c r="DF235" s="129" t="s">
        <v>208</v>
      </c>
      <c r="DG235" s="178" t="s">
        <v>160</v>
      </c>
      <c r="DH235" s="178" t="s">
        <v>160</v>
      </c>
      <c r="DI235" s="178" t="s">
        <v>160</v>
      </c>
      <c r="DJ235" s="178" t="s">
        <v>160</v>
      </c>
      <c r="DK235" s="145">
        <v>432.56244218316402</v>
      </c>
      <c r="DL235" s="129" t="s">
        <v>433</v>
      </c>
      <c r="DM235" s="145" t="s">
        <v>160</v>
      </c>
      <c r="DN235" s="129" t="s">
        <v>434</v>
      </c>
      <c r="DO235" s="129">
        <v>39.710560000000001</v>
      </c>
      <c r="DP235" s="129" t="s">
        <v>160</v>
      </c>
      <c r="DQ235" s="129">
        <v>0.33182000000000045</v>
      </c>
      <c r="DR235" s="129" t="s">
        <v>450</v>
      </c>
      <c r="DS235" s="129" t="s">
        <v>212</v>
      </c>
      <c r="DT235" s="129" t="s">
        <v>213</v>
      </c>
      <c r="DU235" s="129">
        <v>1.0271999999999999</v>
      </c>
      <c r="DV235" s="129" t="s">
        <v>393</v>
      </c>
      <c r="DW235" s="129">
        <v>5.9999999999999995E-4</v>
      </c>
      <c r="DX235" s="129" t="s">
        <v>436</v>
      </c>
      <c r="DY235" s="129" t="s">
        <v>160</v>
      </c>
      <c r="DZ235" s="129" t="s">
        <v>160</v>
      </c>
      <c r="EA235" s="129" t="s">
        <v>216</v>
      </c>
      <c r="EB235" s="129" t="s">
        <v>212</v>
      </c>
      <c r="EC235" s="129" t="s">
        <v>212</v>
      </c>
      <c r="ED235" s="129" t="s">
        <v>212</v>
      </c>
      <c r="EE235" s="129" t="s">
        <v>217</v>
      </c>
      <c r="EF235" s="147" t="s">
        <v>213</v>
      </c>
      <c r="EG235" s="148" t="s">
        <v>213</v>
      </c>
      <c r="EH235" s="129" t="s">
        <v>218</v>
      </c>
      <c r="EI235" s="129" t="s">
        <v>417</v>
      </c>
      <c r="EJ235" s="129" t="s">
        <v>160</v>
      </c>
      <c r="EK235" s="129">
        <v>1948.096</v>
      </c>
      <c r="EL235" s="129" t="s">
        <v>163</v>
      </c>
      <c r="EM235" s="129">
        <v>43.936999999999749</v>
      </c>
      <c r="EN235" s="129">
        <v>44.072000000000038</v>
      </c>
      <c r="EO235" s="129" t="s">
        <v>160</v>
      </c>
      <c r="EP235" s="129" t="s">
        <v>160</v>
      </c>
      <c r="EQ235" s="129" t="s">
        <v>160</v>
      </c>
      <c r="ER235" s="129" t="s">
        <v>160</v>
      </c>
      <c r="ES235" s="141">
        <v>8.0932560000000002</v>
      </c>
      <c r="ET235" s="142" t="s">
        <v>165</v>
      </c>
      <c r="EU235" s="141">
        <v>4.1261000000000436E-2</v>
      </c>
      <c r="EV235" s="141">
        <v>4.194200000000059E-2</v>
      </c>
      <c r="EW235" s="142" t="s">
        <v>160</v>
      </c>
      <c r="EX235" s="129" t="s">
        <v>160</v>
      </c>
      <c r="EY235" s="129" t="s">
        <v>160</v>
      </c>
      <c r="EZ235" s="141">
        <v>303.62909999999999</v>
      </c>
      <c r="FA235" s="141">
        <v>38.689399999999978</v>
      </c>
      <c r="FB235" s="141">
        <v>34.326299999999947</v>
      </c>
      <c r="FC235" s="129" t="s">
        <v>220</v>
      </c>
      <c r="FD235" s="129" t="s">
        <v>221</v>
      </c>
      <c r="FE235" s="129">
        <v>2222.4570000000003</v>
      </c>
      <c r="FF235" s="129">
        <v>60.089999999999236</v>
      </c>
      <c r="FG235" s="129">
        <v>57.787000000000262</v>
      </c>
      <c r="FH235" s="129" t="s">
        <v>437</v>
      </c>
      <c r="FI235" s="129" t="s">
        <v>437</v>
      </c>
      <c r="FJ235" s="129" t="s">
        <v>437</v>
      </c>
      <c r="FK235" s="129" t="s">
        <v>437</v>
      </c>
      <c r="FL235" s="129" t="s">
        <v>437</v>
      </c>
      <c r="FM235" s="129" t="s">
        <v>437</v>
      </c>
      <c r="FN235" s="151">
        <v>3.807226</v>
      </c>
      <c r="FO235" s="151">
        <v>0.30933999999999973</v>
      </c>
      <c r="FP235" s="151">
        <v>0.28630500000000003</v>
      </c>
      <c r="FQ235" s="178" t="s">
        <v>419</v>
      </c>
      <c r="FR235" s="129" t="s">
        <v>439</v>
      </c>
      <c r="FS235" s="129">
        <v>2015</v>
      </c>
      <c r="FT235" s="129" t="s">
        <v>440</v>
      </c>
    </row>
    <row r="236" spans="1:176" s="129" customFormat="1" ht="17">
      <c r="A236" s="123" t="s">
        <v>152</v>
      </c>
      <c r="B236" s="166" t="s">
        <v>183</v>
      </c>
      <c r="C236" s="166">
        <v>2018</v>
      </c>
      <c r="D236" s="166" t="s">
        <v>184</v>
      </c>
      <c r="E236" s="151">
        <f t="shared" si="25"/>
        <v>2594.8364259999998</v>
      </c>
      <c r="F236" s="191" t="s">
        <v>160</v>
      </c>
      <c r="G236" s="191" t="s">
        <v>160</v>
      </c>
      <c r="H236" s="151">
        <v>333.00479999999999</v>
      </c>
      <c r="I236" s="151">
        <v>46.72120000000001</v>
      </c>
      <c r="J236" s="151">
        <v>40.286999999999978</v>
      </c>
      <c r="K236" s="129" t="s">
        <v>457</v>
      </c>
      <c r="L236" s="131" t="s">
        <v>185</v>
      </c>
      <c r="M236" s="132" t="s">
        <v>186</v>
      </c>
      <c r="N236" s="129" t="s">
        <v>184</v>
      </c>
      <c r="O236" s="129" t="s">
        <v>420</v>
      </c>
      <c r="P236" s="129" t="s">
        <v>156</v>
      </c>
      <c r="Q236" s="178">
        <v>10</v>
      </c>
      <c r="R236" s="178">
        <v>1</v>
      </c>
      <c r="S236" s="178">
        <v>107</v>
      </c>
      <c r="T236" s="178">
        <v>109</v>
      </c>
      <c r="U236" s="178" t="s">
        <v>160</v>
      </c>
      <c r="V236" s="178" t="s">
        <v>160</v>
      </c>
      <c r="W236" s="178" t="s">
        <v>160</v>
      </c>
      <c r="X236" s="129" t="s">
        <v>157</v>
      </c>
      <c r="Y236" s="136">
        <v>12.75</v>
      </c>
      <c r="Z236" s="136">
        <v>-78.73</v>
      </c>
      <c r="AA236" s="136">
        <v>12.75</v>
      </c>
      <c r="AB236" s="136">
        <v>-78.73</v>
      </c>
      <c r="AC236" s="136">
        <v>-2828</v>
      </c>
      <c r="AD236" s="136">
        <v>-2828</v>
      </c>
      <c r="AE236" s="129" t="s">
        <v>160</v>
      </c>
      <c r="AF236" s="129" t="s">
        <v>160</v>
      </c>
      <c r="AG236" s="141">
        <v>2594.8364259999998</v>
      </c>
      <c r="AH236" s="138" t="s">
        <v>159</v>
      </c>
      <c r="AI236" s="129" t="s">
        <v>160</v>
      </c>
      <c r="AJ236" s="129" t="s">
        <v>160</v>
      </c>
      <c r="AK236" s="178" t="s">
        <v>160</v>
      </c>
      <c r="AL236" s="178" t="s">
        <v>441</v>
      </c>
      <c r="AM236" s="178" t="s">
        <v>160</v>
      </c>
      <c r="AN236" s="129" t="s">
        <v>160</v>
      </c>
      <c r="AO236" s="129" t="s">
        <v>160</v>
      </c>
      <c r="AP236" s="129" t="s">
        <v>160</v>
      </c>
      <c r="AQ236" s="129" t="s">
        <v>160</v>
      </c>
      <c r="AR236" s="129" t="s">
        <v>160</v>
      </c>
      <c r="AS236" s="129" t="s">
        <v>160</v>
      </c>
      <c r="AT236" s="129" t="s">
        <v>160</v>
      </c>
      <c r="AU236" s="213" t="s">
        <v>442</v>
      </c>
      <c r="AV236" s="129" t="s">
        <v>161</v>
      </c>
      <c r="AW236" s="189" t="s">
        <v>443</v>
      </c>
      <c r="AX236" s="189" t="s">
        <v>444</v>
      </c>
      <c r="AY236" s="205" t="s">
        <v>353</v>
      </c>
      <c r="AZ236" s="205" t="s">
        <v>325</v>
      </c>
      <c r="BA236" s="129" t="s">
        <v>162</v>
      </c>
      <c r="BB236" s="129" t="s">
        <v>445</v>
      </c>
      <c r="BC236" s="129" t="s">
        <v>445</v>
      </c>
      <c r="BD236" s="129" t="s">
        <v>445</v>
      </c>
      <c r="BE236" s="141">
        <v>19.93046</v>
      </c>
      <c r="BF236" s="129" t="s">
        <v>446</v>
      </c>
      <c r="BG236" s="141">
        <v>0.13456475300000001</v>
      </c>
      <c r="BH236" s="129">
        <v>0.6</v>
      </c>
      <c r="BI236" s="129" t="s">
        <v>427</v>
      </c>
      <c r="BJ236" s="138">
        <v>0.08</v>
      </c>
      <c r="BK236" s="129">
        <v>8.8699999999999992</v>
      </c>
      <c r="BL236" s="129" t="s">
        <v>163</v>
      </c>
      <c r="BM236" s="129">
        <v>1.52</v>
      </c>
      <c r="BN236" s="129" t="s">
        <v>428</v>
      </c>
      <c r="BO236" s="129" t="s">
        <v>448</v>
      </c>
      <c r="BP236" s="141">
        <f t="shared" si="26"/>
        <v>18.434100000000001</v>
      </c>
      <c r="BQ236" s="129" t="s">
        <v>202</v>
      </c>
      <c r="BR236" s="217"/>
      <c r="BS236" s="129" t="s">
        <v>160</v>
      </c>
      <c r="BT236" s="129" t="s">
        <v>160</v>
      </c>
      <c r="BU236" s="129">
        <v>10</v>
      </c>
      <c r="BV236" s="129" t="s">
        <v>159</v>
      </c>
      <c r="BW236" s="129">
        <v>10</v>
      </c>
      <c r="BX236" s="141">
        <v>26.3993192687274</v>
      </c>
      <c r="BY236" s="129" t="s">
        <v>159</v>
      </c>
      <c r="BZ236" s="129">
        <v>1</v>
      </c>
      <c r="CA236" s="129">
        <v>1</v>
      </c>
      <c r="CB236" s="141">
        <v>3.9737274169382664</v>
      </c>
      <c r="CC236" s="141">
        <v>3.9737274169382664</v>
      </c>
      <c r="CD236" s="129" t="s">
        <v>449</v>
      </c>
      <c r="CE236" s="151">
        <f t="shared" si="27"/>
        <v>0.10729064025733319</v>
      </c>
      <c r="CF236" s="151">
        <f t="shared" si="28"/>
        <v>0.10729064025733319</v>
      </c>
      <c r="CG236" s="145" t="s">
        <v>203</v>
      </c>
      <c r="CH236" s="129" t="s">
        <v>204</v>
      </c>
      <c r="CI236" s="129" t="s">
        <v>205</v>
      </c>
      <c r="CJ236" s="129" t="s">
        <v>206</v>
      </c>
      <c r="CK236" s="129" t="s">
        <v>158</v>
      </c>
      <c r="CL236" s="129" t="s">
        <v>158</v>
      </c>
      <c r="CM236" s="129" t="s">
        <v>158</v>
      </c>
      <c r="CN236" s="129" t="s">
        <v>160</v>
      </c>
      <c r="CO236" s="129" t="s">
        <v>160</v>
      </c>
      <c r="CP236" s="129" t="s">
        <v>160</v>
      </c>
      <c r="CQ236" s="129" t="s">
        <v>160</v>
      </c>
      <c r="CR236" s="129" t="s">
        <v>160</v>
      </c>
      <c r="CS236" s="129" t="s">
        <v>160</v>
      </c>
      <c r="CT236" s="129" t="s">
        <v>160</v>
      </c>
      <c r="CU236" s="215">
        <v>35</v>
      </c>
      <c r="CV236" s="129" t="s">
        <v>393</v>
      </c>
      <c r="CW236" s="146">
        <v>1</v>
      </c>
      <c r="CX236" s="129" t="s">
        <v>207</v>
      </c>
      <c r="CY236" s="129">
        <v>1.06E-2</v>
      </c>
      <c r="CZ236" s="129" t="s">
        <v>159</v>
      </c>
      <c r="DA236" s="146">
        <v>0</v>
      </c>
      <c r="DB236" s="129" t="s">
        <v>208</v>
      </c>
      <c r="DC236" s="129">
        <v>5.5100000000000003E-2</v>
      </c>
      <c r="DD236" s="129" t="s">
        <v>159</v>
      </c>
      <c r="DE236" s="146">
        <v>0</v>
      </c>
      <c r="DF236" s="129" t="s">
        <v>208</v>
      </c>
      <c r="DG236" s="178" t="s">
        <v>160</v>
      </c>
      <c r="DH236" s="178" t="s">
        <v>160</v>
      </c>
      <c r="DI236" s="178" t="s">
        <v>160</v>
      </c>
      <c r="DJ236" s="178" t="s">
        <v>160</v>
      </c>
      <c r="DK236" s="145">
        <v>432.56244218316402</v>
      </c>
      <c r="DL236" s="129" t="s">
        <v>433</v>
      </c>
      <c r="DM236" s="145" t="s">
        <v>160</v>
      </c>
      <c r="DN236" s="129" t="s">
        <v>434</v>
      </c>
      <c r="DO236" s="129">
        <v>39.710830000000001</v>
      </c>
      <c r="DP236" s="129" t="s">
        <v>160</v>
      </c>
      <c r="DQ236" s="129">
        <v>0.34355999999999653</v>
      </c>
      <c r="DR236" s="129" t="s">
        <v>450</v>
      </c>
      <c r="DS236" s="129" t="s">
        <v>212</v>
      </c>
      <c r="DT236" s="129" t="s">
        <v>213</v>
      </c>
      <c r="DU236" s="129">
        <v>1.0271999999999999</v>
      </c>
      <c r="DV236" s="129" t="s">
        <v>393</v>
      </c>
      <c r="DW236" s="129">
        <v>5.9999999999999995E-4</v>
      </c>
      <c r="DX236" s="129" t="s">
        <v>436</v>
      </c>
      <c r="DY236" s="129" t="s">
        <v>160</v>
      </c>
      <c r="DZ236" s="129" t="s">
        <v>160</v>
      </c>
      <c r="EA236" s="129" t="s">
        <v>216</v>
      </c>
      <c r="EB236" s="129" t="s">
        <v>212</v>
      </c>
      <c r="EC236" s="129" t="s">
        <v>212</v>
      </c>
      <c r="ED236" s="129" t="s">
        <v>212</v>
      </c>
      <c r="EE236" s="129" t="s">
        <v>217</v>
      </c>
      <c r="EF236" s="147" t="s">
        <v>213</v>
      </c>
      <c r="EG236" s="148" t="s">
        <v>213</v>
      </c>
      <c r="EH236" s="129" t="s">
        <v>218</v>
      </c>
      <c r="EI236" s="129" t="s">
        <v>417</v>
      </c>
      <c r="EJ236" s="129" t="s">
        <v>160</v>
      </c>
      <c r="EK236" s="129">
        <v>1947.4780000000001</v>
      </c>
      <c r="EL236" s="129" t="s">
        <v>163</v>
      </c>
      <c r="EM236" s="129">
        <v>43.565999999999875</v>
      </c>
      <c r="EN236" s="129">
        <v>43.187000000000083</v>
      </c>
      <c r="EO236" s="129" t="s">
        <v>160</v>
      </c>
      <c r="EP236" s="129" t="s">
        <v>160</v>
      </c>
      <c r="EQ236" s="129" t="s">
        <v>160</v>
      </c>
      <c r="ER236" s="129" t="s">
        <v>160</v>
      </c>
      <c r="ES236" s="141">
        <v>8.0612879999999993</v>
      </c>
      <c r="ET236" s="142" t="s">
        <v>165</v>
      </c>
      <c r="EU236" s="141">
        <v>4.5378000000001251E-2</v>
      </c>
      <c r="EV236" s="141">
        <v>4.713799999999857E-2</v>
      </c>
      <c r="EW236" s="142" t="s">
        <v>160</v>
      </c>
      <c r="EX236" s="129" t="s">
        <v>160</v>
      </c>
      <c r="EY236" s="129" t="s">
        <v>160</v>
      </c>
      <c r="EZ236" s="141">
        <v>333.00479999999999</v>
      </c>
      <c r="FA236" s="141">
        <v>46.72120000000001</v>
      </c>
      <c r="FB236" s="141">
        <v>40.286999999999978</v>
      </c>
      <c r="FC236" s="129" t="s">
        <v>220</v>
      </c>
      <c r="FD236" s="129" t="s">
        <v>221</v>
      </c>
      <c r="FE236" s="129">
        <v>2213.7870000000003</v>
      </c>
      <c r="FF236" s="129">
        <v>59.270999999999731</v>
      </c>
      <c r="FG236" s="129">
        <v>60.251000000000204</v>
      </c>
      <c r="FH236" s="129" t="s">
        <v>437</v>
      </c>
      <c r="FI236" s="129" t="s">
        <v>437</v>
      </c>
      <c r="FJ236" s="129" t="s">
        <v>437</v>
      </c>
      <c r="FK236" s="129" t="s">
        <v>437</v>
      </c>
      <c r="FL236" s="129" t="s">
        <v>437</v>
      </c>
      <c r="FM236" s="129" t="s">
        <v>437</v>
      </c>
      <c r="FN236" s="151">
        <v>3.7526440000000001</v>
      </c>
      <c r="FO236" s="151">
        <v>0.32438699999999976</v>
      </c>
      <c r="FP236" s="151">
        <v>0.3183419999999999</v>
      </c>
      <c r="FQ236" s="178" t="s">
        <v>419</v>
      </c>
      <c r="FR236" s="129" t="s">
        <v>439</v>
      </c>
      <c r="FS236" s="129">
        <v>2015</v>
      </c>
      <c r="FT236" s="129" t="s">
        <v>440</v>
      </c>
    </row>
    <row r="237" spans="1:176" s="129" customFormat="1" ht="17">
      <c r="A237" s="123" t="s">
        <v>152</v>
      </c>
      <c r="B237" s="166" t="s">
        <v>183</v>
      </c>
      <c r="C237" s="166">
        <v>2018</v>
      </c>
      <c r="D237" s="166" t="s">
        <v>184</v>
      </c>
      <c r="E237" s="151">
        <f t="shared" si="25"/>
        <v>2615.069336</v>
      </c>
      <c r="F237" s="191" t="s">
        <v>160</v>
      </c>
      <c r="G237" s="191" t="s">
        <v>160</v>
      </c>
      <c r="H237" s="151">
        <v>260.75170000000003</v>
      </c>
      <c r="I237" s="151">
        <v>33.83929999999998</v>
      </c>
      <c r="J237" s="151">
        <v>29.150800000000032</v>
      </c>
      <c r="K237" s="129" t="s">
        <v>457</v>
      </c>
      <c r="L237" s="131" t="s">
        <v>185</v>
      </c>
      <c r="M237" s="132" t="s">
        <v>186</v>
      </c>
      <c r="N237" s="129" t="s">
        <v>184</v>
      </c>
      <c r="O237" s="129" t="s">
        <v>420</v>
      </c>
      <c r="P237" s="129" t="s">
        <v>156</v>
      </c>
      <c r="Q237" s="178">
        <v>10</v>
      </c>
      <c r="R237" s="178">
        <v>2</v>
      </c>
      <c r="S237" s="178">
        <v>21</v>
      </c>
      <c r="T237" s="178">
        <v>23</v>
      </c>
      <c r="U237" s="178" t="s">
        <v>160</v>
      </c>
      <c r="V237" s="178" t="s">
        <v>160</v>
      </c>
      <c r="W237" s="178" t="s">
        <v>160</v>
      </c>
      <c r="X237" s="129" t="s">
        <v>157</v>
      </c>
      <c r="Y237" s="136">
        <v>12.75</v>
      </c>
      <c r="Z237" s="136">
        <v>-78.73</v>
      </c>
      <c r="AA237" s="136">
        <v>12.75</v>
      </c>
      <c r="AB237" s="136">
        <v>-78.73</v>
      </c>
      <c r="AC237" s="136">
        <v>-2828</v>
      </c>
      <c r="AD237" s="136">
        <v>-2828</v>
      </c>
      <c r="AE237" s="129" t="s">
        <v>160</v>
      </c>
      <c r="AF237" s="129" t="s">
        <v>160</v>
      </c>
      <c r="AG237" s="141">
        <v>2615.069336</v>
      </c>
      <c r="AH237" s="138" t="s">
        <v>159</v>
      </c>
      <c r="AI237" s="129" t="s">
        <v>160</v>
      </c>
      <c r="AJ237" s="129" t="s">
        <v>160</v>
      </c>
      <c r="AK237" s="178" t="s">
        <v>160</v>
      </c>
      <c r="AL237" s="178" t="s">
        <v>441</v>
      </c>
      <c r="AM237" s="178" t="s">
        <v>160</v>
      </c>
      <c r="AN237" s="129" t="s">
        <v>160</v>
      </c>
      <c r="AO237" s="129" t="s">
        <v>160</v>
      </c>
      <c r="AP237" s="129" t="s">
        <v>160</v>
      </c>
      <c r="AQ237" s="129" t="s">
        <v>160</v>
      </c>
      <c r="AR237" s="129" t="s">
        <v>160</v>
      </c>
      <c r="AS237" s="129" t="s">
        <v>160</v>
      </c>
      <c r="AT237" s="129" t="s">
        <v>160</v>
      </c>
      <c r="AU237" s="213" t="s">
        <v>442</v>
      </c>
      <c r="AV237" s="129" t="s">
        <v>161</v>
      </c>
      <c r="AW237" s="189" t="s">
        <v>443</v>
      </c>
      <c r="AX237" s="205" t="s">
        <v>444</v>
      </c>
      <c r="AY237" s="205" t="s">
        <v>353</v>
      </c>
      <c r="AZ237" s="205" t="s">
        <v>325</v>
      </c>
      <c r="BA237" s="214" t="s">
        <v>162</v>
      </c>
      <c r="BB237" s="129" t="s">
        <v>445</v>
      </c>
      <c r="BC237" s="129" t="s">
        <v>445</v>
      </c>
      <c r="BD237" s="129" t="s">
        <v>445</v>
      </c>
      <c r="BE237" s="141">
        <v>20.4209</v>
      </c>
      <c r="BF237" s="129" t="s">
        <v>446</v>
      </c>
      <c r="BG237" s="141">
        <v>9.1060144999999995E-2</v>
      </c>
      <c r="BH237" s="129">
        <v>0.6</v>
      </c>
      <c r="BI237" s="129" t="s">
        <v>427</v>
      </c>
      <c r="BJ237" s="138">
        <v>0.08</v>
      </c>
      <c r="BK237" s="129">
        <v>8.8699999999999992</v>
      </c>
      <c r="BL237" s="129" t="s">
        <v>163</v>
      </c>
      <c r="BM237" s="129">
        <v>1.52</v>
      </c>
      <c r="BN237" s="129" t="s">
        <v>428</v>
      </c>
      <c r="BO237" s="129" t="s">
        <v>448</v>
      </c>
      <c r="BP237" s="141">
        <f t="shared" si="26"/>
        <v>19.2515</v>
      </c>
      <c r="BQ237" s="129" t="s">
        <v>202</v>
      </c>
      <c r="BR237" s="217"/>
      <c r="BS237" s="129" t="s">
        <v>160</v>
      </c>
      <c r="BT237" s="129" t="s">
        <v>160</v>
      </c>
      <c r="BU237" s="129">
        <v>10</v>
      </c>
      <c r="BV237" s="129" t="s">
        <v>159</v>
      </c>
      <c r="BW237" s="129">
        <v>10</v>
      </c>
      <c r="BX237" s="141">
        <v>25.089559547670813</v>
      </c>
      <c r="BY237" s="129" t="s">
        <v>159</v>
      </c>
      <c r="BZ237" s="129">
        <v>1</v>
      </c>
      <c r="CA237" s="129">
        <v>1</v>
      </c>
      <c r="CB237" s="141">
        <v>3.5311065999738918</v>
      </c>
      <c r="CC237" s="141">
        <v>3.5311065999738918</v>
      </c>
      <c r="CD237" s="129" t="s">
        <v>449</v>
      </c>
      <c r="CE237" s="151">
        <f t="shared" si="27"/>
        <v>9.5339878199295069E-2</v>
      </c>
      <c r="CF237" s="151">
        <f t="shared" si="28"/>
        <v>9.5339878199295069E-2</v>
      </c>
      <c r="CG237" s="145" t="s">
        <v>203</v>
      </c>
      <c r="CH237" s="129" t="s">
        <v>204</v>
      </c>
      <c r="CI237" s="129" t="s">
        <v>205</v>
      </c>
      <c r="CJ237" s="129" t="s">
        <v>206</v>
      </c>
      <c r="CK237" s="129" t="s">
        <v>158</v>
      </c>
      <c r="CL237" s="129" t="s">
        <v>158</v>
      </c>
      <c r="CM237" s="129" t="s">
        <v>158</v>
      </c>
      <c r="CN237" s="129" t="s">
        <v>160</v>
      </c>
      <c r="CO237" s="129" t="s">
        <v>160</v>
      </c>
      <c r="CP237" s="129" t="s">
        <v>160</v>
      </c>
      <c r="CQ237" s="129" t="s">
        <v>160</v>
      </c>
      <c r="CR237" s="129" t="s">
        <v>160</v>
      </c>
      <c r="CS237" s="129" t="s">
        <v>160</v>
      </c>
      <c r="CT237" s="129" t="s">
        <v>160</v>
      </c>
      <c r="CU237" s="215">
        <v>35</v>
      </c>
      <c r="CV237" s="129" t="s">
        <v>393</v>
      </c>
      <c r="CW237" s="146">
        <v>1</v>
      </c>
      <c r="CX237" s="129" t="s">
        <v>207</v>
      </c>
      <c r="CY237" s="129">
        <v>1.06E-2</v>
      </c>
      <c r="CZ237" s="129" t="s">
        <v>159</v>
      </c>
      <c r="DA237" s="146">
        <v>0</v>
      </c>
      <c r="DB237" s="129" t="s">
        <v>208</v>
      </c>
      <c r="DC237" s="129">
        <v>5.5100000000000003E-2</v>
      </c>
      <c r="DD237" s="129" t="s">
        <v>159</v>
      </c>
      <c r="DE237" s="146">
        <v>0</v>
      </c>
      <c r="DF237" s="129" t="s">
        <v>208</v>
      </c>
      <c r="DG237" s="178" t="s">
        <v>160</v>
      </c>
      <c r="DH237" s="178" t="s">
        <v>160</v>
      </c>
      <c r="DI237" s="178" t="s">
        <v>160</v>
      </c>
      <c r="DJ237" s="178" t="s">
        <v>160</v>
      </c>
      <c r="DK237" s="145">
        <v>432.56244218316402</v>
      </c>
      <c r="DL237" s="129" t="s">
        <v>433</v>
      </c>
      <c r="DM237" s="145" t="s">
        <v>160</v>
      </c>
      <c r="DN237" s="129" t="s">
        <v>434</v>
      </c>
      <c r="DO237" s="129">
        <v>39.713590000000003</v>
      </c>
      <c r="DP237" s="129" t="s">
        <v>160</v>
      </c>
      <c r="DQ237" s="129">
        <v>0.33571999999999491</v>
      </c>
      <c r="DR237" s="129" t="s">
        <v>450</v>
      </c>
      <c r="DS237" s="129" t="s">
        <v>212</v>
      </c>
      <c r="DT237" s="129" t="s">
        <v>213</v>
      </c>
      <c r="DU237" s="129">
        <v>1.0271999999999999</v>
      </c>
      <c r="DV237" s="129" t="s">
        <v>393</v>
      </c>
      <c r="DW237" s="129">
        <v>5.9999999999999995E-4</v>
      </c>
      <c r="DX237" s="129" t="s">
        <v>436</v>
      </c>
      <c r="DY237" s="129" t="s">
        <v>160</v>
      </c>
      <c r="DZ237" s="129" t="s">
        <v>160</v>
      </c>
      <c r="EA237" s="129" t="s">
        <v>216</v>
      </c>
      <c r="EB237" s="129" t="s">
        <v>212</v>
      </c>
      <c r="EC237" s="129" t="s">
        <v>212</v>
      </c>
      <c r="ED237" s="129" t="s">
        <v>212</v>
      </c>
      <c r="EE237" s="129" t="s">
        <v>217</v>
      </c>
      <c r="EF237" s="147" t="s">
        <v>213</v>
      </c>
      <c r="EG237" s="148" t="s">
        <v>213</v>
      </c>
      <c r="EH237" s="129" t="s">
        <v>218</v>
      </c>
      <c r="EI237" s="129" t="s">
        <v>417</v>
      </c>
      <c r="EJ237" s="129" t="s">
        <v>160</v>
      </c>
      <c r="EK237" s="129">
        <v>1947.117</v>
      </c>
      <c r="EL237" s="129" t="s">
        <v>163</v>
      </c>
      <c r="EM237" s="129">
        <v>44.266000000000268</v>
      </c>
      <c r="EN237" s="129">
        <v>44.942999999999977</v>
      </c>
      <c r="EO237" s="129" t="s">
        <v>160</v>
      </c>
      <c r="EP237" s="129" t="s">
        <v>160</v>
      </c>
      <c r="EQ237" s="129" t="s">
        <v>160</v>
      </c>
      <c r="ER237" s="129" t="s">
        <v>160</v>
      </c>
      <c r="ES237" s="141">
        <v>8.146528</v>
      </c>
      <c r="ET237" s="142" t="s">
        <v>165</v>
      </c>
      <c r="EU237" s="141">
        <v>3.9820000000000633E-2</v>
      </c>
      <c r="EV237" s="141">
        <v>4.1881000000000057E-2</v>
      </c>
      <c r="EW237" s="142" t="s">
        <v>160</v>
      </c>
      <c r="EX237" s="129" t="s">
        <v>160</v>
      </c>
      <c r="EY237" s="129" t="s">
        <v>160</v>
      </c>
      <c r="EZ237" s="141">
        <v>260.75170000000003</v>
      </c>
      <c r="FA237" s="141">
        <v>33.83929999999998</v>
      </c>
      <c r="FB237" s="141">
        <v>29.150800000000032</v>
      </c>
      <c r="FC237" s="129" t="s">
        <v>220</v>
      </c>
      <c r="FD237" s="129" t="s">
        <v>221</v>
      </c>
      <c r="FE237" s="129">
        <v>2259.2689999999998</v>
      </c>
      <c r="FF237" s="129">
        <v>60.99100000000044</v>
      </c>
      <c r="FG237" s="129">
        <v>58.924999999999727</v>
      </c>
      <c r="FH237" s="129" t="s">
        <v>437</v>
      </c>
      <c r="FI237" s="129" t="s">
        <v>437</v>
      </c>
      <c r="FJ237" s="129" t="s">
        <v>437</v>
      </c>
      <c r="FK237" s="129" t="s">
        <v>437</v>
      </c>
      <c r="FL237" s="129" t="s">
        <v>437</v>
      </c>
      <c r="FM237" s="129" t="s">
        <v>437</v>
      </c>
      <c r="FN237" s="151">
        <v>4.2514209999999997</v>
      </c>
      <c r="FO237" s="151">
        <v>0.30935300000000066</v>
      </c>
      <c r="FP237" s="151">
        <v>0.29926899999999979</v>
      </c>
      <c r="FQ237" s="178" t="s">
        <v>419</v>
      </c>
      <c r="FR237" s="129" t="s">
        <v>439</v>
      </c>
      <c r="FS237" s="129">
        <v>2015</v>
      </c>
      <c r="FT237" s="129" t="s">
        <v>440</v>
      </c>
    </row>
    <row r="238" spans="1:176" s="129" customFormat="1" ht="17">
      <c r="A238" s="123" t="s">
        <v>152</v>
      </c>
      <c r="B238" s="166" t="s">
        <v>183</v>
      </c>
      <c r="C238" s="166">
        <v>2018</v>
      </c>
      <c r="D238" s="166" t="s">
        <v>184</v>
      </c>
      <c r="E238" s="151">
        <f t="shared" si="25"/>
        <v>2624.4960940000001</v>
      </c>
      <c r="F238" s="191" t="s">
        <v>160</v>
      </c>
      <c r="G238" s="191" t="s">
        <v>160</v>
      </c>
      <c r="H238" s="151">
        <v>283.12360000000001</v>
      </c>
      <c r="I238" s="151">
        <v>36.605799999999988</v>
      </c>
      <c r="J238" s="151">
        <v>31.913900000000041</v>
      </c>
      <c r="K238" s="129" t="s">
        <v>457</v>
      </c>
      <c r="L238" s="131" t="s">
        <v>185</v>
      </c>
      <c r="M238" s="132" t="s">
        <v>186</v>
      </c>
      <c r="N238" s="129" t="s">
        <v>184</v>
      </c>
      <c r="O238" s="129" t="s">
        <v>420</v>
      </c>
      <c r="P238" s="129" t="s">
        <v>156</v>
      </c>
      <c r="Q238" s="178">
        <v>10</v>
      </c>
      <c r="R238" s="178">
        <v>2</v>
      </c>
      <c r="S238" s="178">
        <v>50</v>
      </c>
      <c r="T238" s="178">
        <v>52</v>
      </c>
      <c r="U238" s="178" t="s">
        <v>160</v>
      </c>
      <c r="V238" s="178" t="s">
        <v>160</v>
      </c>
      <c r="W238" s="178" t="s">
        <v>160</v>
      </c>
      <c r="X238" s="129" t="s">
        <v>157</v>
      </c>
      <c r="Y238" s="136">
        <v>12.75</v>
      </c>
      <c r="Z238" s="136">
        <v>-78.73</v>
      </c>
      <c r="AA238" s="136">
        <v>12.75</v>
      </c>
      <c r="AB238" s="136">
        <v>-78.73</v>
      </c>
      <c r="AC238" s="136">
        <v>-2828</v>
      </c>
      <c r="AD238" s="136">
        <v>-2828</v>
      </c>
      <c r="AE238" s="129" t="s">
        <v>160</v>
      </c>
      <c r="AF238" s="129" t="s">
        <v>160</v>
      </c>
      <c r="AG238" s="141">
        <v>2624.4960940000001</v>
      </c>
      <c r="AH238" s="138" t="s">
        <v>159</v>
      </c>
      <c r="AI238" s="129" t="s">
        <v>160</v>
      </c>
      <c r="AJ238" s="129" t="s">
        <v>160</v>
      </c>
      <c r="AK238" s="178" t="s">
        <v>160</v>
      </c>
      <c r="AL238" s="178" t="s">
        <v>441</v>
      </c>
      <c r="AM238" s="178" t="s">
        <v>160</v>
      </c>
      <c r="AN238" s="129" t="s">
        <v>160</v>
      </c>
      <c r="AO238" s="129" t="s">
        <v>160</v>
      </c>
      <c r="AP238" s="129" t="s">
        <v>160</v>
      </c>
      <c r="AQ238" s="129" t="s">
        <v>160</v>
      </c>
      <c r="AR238" s="129" t="s">
        <v>160</v>
      </c>
      <c r="AS238" s="129" t="s">
        <v>160</v>
      </c>
      <c r="AT238" s="129" t="s">
        <v>160</v>
      </c>
      <c r="AU238" s="213" t="s">
        <v>442</v>
      </c>
      <c r="AV238" s="129" t="s">
        <v>161</v>
      </c>
      <c r="AW238" s="189" t="s">
        <v>443</v>
      </c>
      <c r="AX238" s="189" t="s">
        <v>444</v>
      </c>
      <c r="AY238" s="205" t="s">
        <v>353</v>
      </c>
      <c r="AZ238" s="205" t="s">
        <v>325</v>
      </c>
      <c r="BA238" s="129" t="s">
        <v>162</v>
      </c>
      <c r="BB238" s="129" t="s">
        <v>445</v>
      </c>
      <c r="BC238" s="129" t="s">
        <v>445</v>
      </c>
      <c r="BD238" s="129" t="s">
        <v>445</v>
      </c>
      <c r="BE238" s="141">
        <v>20.23123</v>
      </c>
      <c r="BF238" s="129" t="s">
        <v>446</v>
      </c>
      <c r="BG238" s="141">
        <v>0.10461555</v>
      </c>
      <c r="BH238" s="129">
        <v>0.6</v>
      </c>
      <c r="BI238" s="129" t="s">
        <v>427</v>
      </c>
      <c r="BJ238" s="138">
        <v>0.08</v>
      </c>
      <c r="BK238" s="129">
        <v>8.8699999999999992</v>
      </c>
      <c r="BL238" s="129" t="s">
        <v>163</v>
      </c>
      <c r="BM238" s="129">
        <v>1.52</v>
      </c>
      <c r="BN238" s="129" t="s">
        <v>428</v>
      </c>
      <c r="BO238" s="129" t="s">
        <v>448</v>
      </c>
      <c r="BP238" s="141">
        <f t="shared" si="26"/>
        <v>18.935383333333334</v>
      </c>
      <c r="BQ238" s="129" t="s">
        <v>202</v>
      </c>
      <c r="BR238" s="217"/>
      <c r="BS238" s="129" t="s">
        <v>160</v>
      </c>
      <c r="BT238" s="129" t="s">
        <v>160</v>
      </c>
      <c r="BU238" s="129">
        <v>10</v>
      </c>
      <c r="BV238" s="129" t="s">
        <v>159</v>
      </c>
      <c r="BW238" s="129">
        <v>10</v>
      </c>
      <c r="BX238" s="141">
        <v>25.306051019642371</v>
      </c>
      <c r="BY238" s="129" t="s">
        <v>159</v>
      </c>
      <c r="BZ238" s="129">
        <v>1</v>
      </c>
      <c r="CA238" s="129">
        <v>1</v>
      </c>
      <c r="CB238" s="141">
        <v>3.6002217340636267</v>
      </c>
      <c r="CC238" s="141">
        <v>3.6002217340636267</v>
      </c>
      <c r="CD238" s="129" t="s">
        <v>449</v>
      </c>
      <c r="CE238" s="151">
        <f t="shared" si="27"/>
        <v>9.7205986819717913E-2</v>
      </c>
      <c r="CF238" s="151">
        <f t="shared" si="28"/>
        <v>9.7205986819717913E-2</v>
      </c>
      <c r="CG238" s="145" t="s">
        <v>203</v>
      </c>
      <c r="CH238" s="129" t="s">
        <v>204</v>
      </c>
      <c r="CI238" s="129" t="s">
        <v>205</v>
      </c>
      <c r="CJ238" s="129" t="s">
        <v>206</v>
      </c>
      <c r="CK238" s="129" t="s">
        <v>158</v>
      </c>
      <c r="CL238" s="129" t="s">
        <v>158</v>
      </c>
      <c r="CM238" s="129" t="s">
        <v>158</v>
      </c>
      <c r="CN238" s="129" t="s">
        <v>160</v>
      </c>
      <c r="CO238" s="129" t="s">
        <v>160</v>
      </c>
      <c r="CP238" s="129" t="s">
        <v>160</v>
      </c>
      <c r="CQ238" s="129" t="s">
        <v>160</v>
      </c>
      <c r="CR238" s="129" t="s">
        <v>160</v>
      </c>
      <c r="CS238" s="129" t="s">
        <v>160</v>
      </c>
      <c r="CT238" s="129" t="s">
        <v>160</v>
      </c>
      <c r="CU238" s="215">
        <v>35</v>
      </c>
      <c r="CV238" s="129" t="s">
        <v>393</v>
      </c>
      <c r="CW238" s="146">
        <v>1</v>
      </c>
      <c r="CX238" s="129" t="s">
        <v>207</v>
      </c>
      <c r="CY238" s="129">
        <v>1.06E-2</v>
      </c>
      <c r="CZ238" s="129" t="s">
        <v>159</v>
      </c>
      <c r="DA238" s="146">
        <v>0</v>
      </c>
      <c r="DB238" s="129" t="s">
        <v>208</v>
      </c>
      <c r="DC238" s="129">
        <v>5.5100000000000003E-2</v>
      </c>
      <c r="DD238" s="129" t="s">
        <v>159</v>
      </c>
      <c r="DE238" s="146">
        <v>0</v>
      </c>
      <c r="DF238" s="129" t="s">
        <v>208</v>
      </c>
      <c r="DG238" s="178" t="s">
        <v>160</v>
      </c>
      <c r="DH238" s="178" t="s">
        <v>160</v>
      </c>
      <c r="DI238" s="178" t="s">
        <v>160</v>
      </c>
      <c r="DJ238" s="178" t="s">
        <v>160</v>
      </c>
      <c r="DK238" s="145">
        <v>432.56244218316402</v>
      </c>
      <c r="DL238" s="129" t="s">
        <v>433</v>
      </c>
      <c r="DM238" s="145" t="s">
        <v>160</v>
      </c>
      <c r="DN238" s="129" t="s">
        <v>434</v>
      </c>
      <c r="DO238" s="129">
        <v>39.715890000000002</v>
      </c>
      <c r="DP238" s="129" t="s">
        <v>160</v>
      </c>
      <c r="DQ238" s="129">
        <v>0.33795999999999538</v>
      </c>
      <c r="DR238" s="129" t="s">
        <v>450</v>
      </c>
      <c r="DS238" s="129" t="s">
        <v>212</v>
      </c>
      <c r="DT238" s="129" t="s">
        <v>213</v>
      </c>
      <c r="DU238" s="129">
        <v>1.0271999999999999</v>
      </c>
      <c r="DV238" s="129" t="s">
        <v>393</v>
      </c>
      <c r="DW238" s="129">
        <v>5.9999999999999995E-4</v>
      </c>
      <c r="DX238" s="129" t="s">
        <v>436</v>
      </c>
      <c r="DY238" s="129" t="s">
        <v>160</v>
      </c>
      <c r="DZ238" s="129" t="s">
        <v>160</v>
      </c>
      <c r="EA238" s="129" t="s">
        <v>216</v>
      </c>
      <c r="EB238" s="129" t="s">
        <v>212</v>
      </c>
      <c r="EC238" s="129" t="s">
        <v>212</v>
      </c>
      <c r="ED238" s="129" t="s">
        <v>212</v>
      </c>
      <c r="EE238" s="129" t="s">
        <v>217</v>
      </c>
      <c r="EF238" s="147" t="s">
        <v>213</v>
      </c>
      <c r="EG238" s="148" t="s">
        <v>213</v>
      </c>
      <c r="EH238" s="129" t="s">
        <v>218</v>
      </c>
      <c r="EI238" s="129" t="s">
        <v>417</v>
      </c>
      <c r="EJ238" s="129" t="s">
        <v>160</v>
      </c>
      <c r="EK238" s="129">
        <v>1947.1860000000001</v>
      </c>
      <c r="EL238" s="129" t="s">
        <v>163</v>
      </c>
      <c r="EM238" s="129">
        <v>44.245000000000047</v>
      </c>
      <c r="EN238" s="129">
        <v>44.313000000000038</v>
      </c>
      <c r="EO238" s="129" t="s">
        <v>160</v>
      </c>
      <c r="EP238" s="129" t="s">
        <v>160</v>
      </c>
      <c r="EQ238" s="129" t="s">
        <v>160</v>
      </c>
      <c r="ER238" s="129" t="s">
        <v>160</v>
      </c>
      <c r="ES238" s="141">
        <v>8.1180640000000004</v>
      </c>
      <c r="ET238" s="142" t="s">
        <v>165</v>
      </c>
      <c r="EU238" s="141">
        <v>4.0552999999999173E-2</v>
      </c>
      <c r="EV238" s="141">
        <v>4.2127999999999943E-2</v>
      </c>
      <c r="EW238" s="142" t="s">
        <v>160</v>
      </c>
      <c r="EX238" s="129" t="s">
        <v>160</v>
      </c>
      <c r="EY238" s="129" t="s">
        <v>160</v>
      </c>
      <c r="EZ238" s="141">
        <v>283.12360000000001</v>
      </c>
      <c r="FA238" s="141">
        <v>36.605799999999988</v>
      </c>
      <c r="FB238" s="141">
        <v>31.913900000000041</v>
      </c>
      <c r="FC238" s="129" t="s">
        <v>220</v>
      </c>
      <c r="FD238" s="129" t="s">
        <v>221</v>
      </c>
      <c r="FE238" s="129">
        <v>2239.8249999999998</v>
      </c>
      <c r="FF238" s="129">
        <v>60.197000000000116</v>
      </c>
      <c r="FG238" s="129">
        <v>58.076999999999771</v>
      </c>
      <c r="FH238" s="129" t="s">
        <v>437</v>
      </c>
      <c r="FI238" s="129" t="s">
        <v>437</v>
      </c>
      <c r="FJ238" s="129" t="s">
        <v>437</v>
      </c>
      <c r="FK238" s="129" t="s">
        <v>437</v>
      </c>
      <c r="FL238" s="129" t="s">
        <v>437</v>
      </c>
      <c r="FM238" s="129" t="s">
        <v>437</v>
      </c>
      <c r="FN238" s="151">
        <v>4.0382449999999999</v>
      </c>
      <c r="FO238" s="151">
        <v>0.31214600000000026</v>
      </c>
      <c r="FP238" s="151">
        <v>0.30143899999999979</v>
      </c>
      <c r="FQ238" s="178" t="s">
        <v>419</v>
      </c>
      <c r="FR238" s="129" t="s">
        <v>439</v>
      </c>
      <c r="FS238" s="129">
        <v>2015</v>
      </c>
      <c r="FT238" s="129" t="s">
        <v>440</v>
      </c>
    </row>
    <row r="239" spans="1:176" s="129" customFormat="1" ht="17">
      <c r="A239" s="123" t="s">
        <v>152</v>
      </c>
      <c r="B239" s="166" t="s">
        <v>183</v>
      </c>
      <c r="C239" s="166">
        <v>2018</v>
      </c>
      <c r="D239" s="166" t="s">
        <v>184</v>
      </c>
      <c r="E239" s="151">
        <f t="shared" si="25"/>
        <v>2630.9147950000001</v>
      </c>
      <c r="F239" s="191" t="s">
        <v>160</v>
      </c>
      <c r="G239" s="191" t="s">
        <v>160</v>
      </c>
      <c r="H239" s="151">
        <v>233.67789999999999</v>
      </c>
      <c r="I239" s="151">
        <v>28.972600000000028</v>
      </c>
      <c r="J239" s="151">
        <v>26.352599999999995</v>
      </c>
      <c r="K239" s="129" t="s">
        <v>457</v>
      </c>
      <c r="L239" s="131" t="s">
        <v>185</v>
      </c>
      <c r="M239" s="132" t="s">
        <v>186</v>
      </c>
      <c r="N239" s="129" t="s">
        <v>184</v>
      </c>
      <c r="O239" s="129" t="s">
        <v>420</v>
      </c>
      <c r="P239" s="129" t="s">
        <v>156</v>
      </c>
      <c r="Q239" s="178">
        <v>10</v>
      </c>
      <c r="R239" s="178">
        <v>2</v>
      </c>
      <c r="S239" s="178">
        <v>70</v>
      </c>
      <c r="T239" s="178">
        <v>72</v>
      </c>
      <c r="U239" s="178" t="s">
        <v>160</v>
      </c>
      <c r="V239" s="178" t="s">
        <v>160</v>
      </c>
      <c r="W239" s="178" t="s">
        <v>160</v>
      </c>
      <c r="X239" s="129" t="s">
        <v>157</v>
      </c>
      <c r="Y239" s="136">
        <v>12.75</v>
      </c>
      <c r="Z239" s="136">
        <v>-78.73</v>
      </c>
      <c r="AA239" s="136">
        <v>12.75</v>
      </c>
      <c r="AB239" s="136">
        <v>-78.73</v>
      </c>
      <c r="AC239" s="136">
        <v>-2828</v>
      </c>
      <c r="AD239" s="136">
        <v>-2828</v>
      </c>
      <c r="AE239" s="129" t="s">
        <v>160</v>
      </c>
      <c r="AF239" s="129" t="s">
        <v>160</v>
      </c>
      <c r="AG239" s="141">
        <v>2630.9147950000001</v>
      </c>
      <c r="AH239" s="138" t="s">
        <v>159</v>
      </c>
      <c r="AI239" s="129" t="s">
        <v>160</v>
      </c>
      <c r="AJ239" s="129" t="s">
        <v>160</v>
      </c>
      <c r="AK239" s="178" t="s">
        <v>160</v>
      </c>
      <c r="AL239" s="178" t="s">
        <v>441</v>
      </c>
      <c r="AM239" s="178" t="s">
        <v>160</v>
      </c>
      <c r="AN239" s="129" t="s">
        <v>160</v>
      </c>
      <c r="AO239" s="129" t="s">
        <v>160</v>
      </c>
      <c r="AP239" s="129" t="s">
        <v>160</v>
      </c>
      <c r="AQ239" s="129" t="s">
        <v>160</v>
      </c>
      <c r="AR239" s="129" t="s">
        <v>160</v>
      </c>
      <c r="AS239" s="129" t="s">
        <v>160</v>
      </c>
      <c r="AT239" s="129" t="s">
        <v>160</v>
      </c>
      <c r="AU239" s="213" t="s">
        <v>442</v>
      </c>
      <c r="AV239" s="129" t="s">
        <v>161</v>
      </c>
      <c r="AW239" s="189" t="s">
        <v>443</v>
      </c>
      <c r="AX239" s="205" t="s">
        <v>444</v>
      </c>
      <c r="AY239" s="205" t="s">
        <v>353</v>
      </c>
      <c r="AZ239" s="205" t="s">
        <v>325</v>
      </c>
      <c r="BA239" s="214" t="s">
        <v>162</v>
      </c>
      <c r="BB239" s="129" t="s">
        <v>445</v>
      </c>
      <c r="BC239" s="129" t="s">
        <v>445</v>
      </c>
      <c r="BD239" s="129" t="s">
        <v>445</v>
      </c>
      <c r="BE239" s="141">
        <v>20.798290000000001</v>
      </c>
      <c r="BF239" s="129" t="s">
        <v>446</v>
      </c>
      <c r="BG239" s="141">
        <v>0.101870302</v>
      </c>
      <c r="BH239" s="129">
        <v>0.6</v>
      </c>
      <c r="BI239" s="129" t="s">
        <v>427</v>
      </c>
      <c r="BJ239" s="138">
        <v>0.08</v>
      </c>
      <c r="BK239" s="129">
        <v>8.8699999999999992</v>
      </c>
      <c r="BL239" s="129" t="s">
        <v>163</v>
      </c>
      <c r="BM239" s="129">
        <v>1.52</v>
      </c>
      <c r="BN239" s="129" t="s">
        <v>428</v>
      </c>
      <c r="BO239" s="129" t="s">
        <v>448</v>
      </c>
      <c r="BP239" s="141">
        <f t="shared" si="26"/>
        <v>19.880483333333338</v>
      </c>
      <c r="BQ239" s="129" t="s">
        <v>202</v>
      </c>
      <c r="BR239" s="217"/>
      <c r="BS239" s="129" t="s">
        <v>160</v>
      </c>
      <c r="BT239" s="129" t="s">
        <v>160</v>
      </c>
      <c r="BU239" s="129">
        <v>10</v>
      </c>
      <c r="BV239" s="129" t="s">
        <v>159</v>
      </c>
      <c r="BW239" s="129">
        <v>10</v>
      </c>
      <c r="BX239" s="141">
        <v>26.172080678214687</v>
      </c>
      <c r="BY239" s="129" t="s">
        <v>159</v>
      </c>
      <c r="BZ239" s="129">
        <v>1</v>
      </c>
      <c r="CA239" s="129">
        <v>1</v>
      </c>
      <c r="CB239" s="141">
        <v>3.891792889639659</v>
      </c>
      <c r="CC239" s="141">
        <v>3.891792889639659</v>
      </c>
      <c r="CD239" s="129" t="s">
        <v>449</v>
      </c>
      <c r="CE239" s="151">
        <f t="shared" si="27"/>
        <v>0.1050784080202708</v>
      </c>
      <c r="CF239" s="151">
        <f t="shared" si="28"/>
        <v>0.1050784080202708</v>
      </c>
      <c r="CG239" s="145" t="s">
        <v>203</v>
      </c>
      <c r="CH239" s="129" t="s">
        <v>204</v>
      </c>
      <c r="CI239" s="129" t="s">
        <v>205</v>
      </c>
      <c r="CJ239" s="129" t="s">
        <v>206</v>
      </c>
      <c r="CK239" s="129" t="s">
        <v>158</v>
      </c>
      <c r="CL239" s="129" t="s">
        <v>158</v>
      </c>
      <c r="CM239" s="129" t="s">
        <v>158</v>
      </c>
      <c r="CN239" s="129" t="s">
        <v>160</v>
      </c>
      <c r="CO239" s="129" t="s">
        <v>160</v>
      </c>
      <c r="CP239" s="129" t="s">
        <v>160</v>
      </c>
      <c r="CQ239" s="129" t="s">
        <v>160</v>
      </c>
      <c r="CR239" s="129" t="s">
        <v>160</v>
      </c>
      <c r="CS239" s="129" t="s">
        <v>160</v>
      </c>
      <c r="CT239" s="129" t="s">
        <v>160</v>
      </c>
      <c r="CU239" s="215">
        <v>35</v>
      </c>
      <c r="CV239" s="129" t="s">
        <v>393</v>
      </c>
      <c r="CW239" s="146">
        <v>1</v>
      </c>
      <c r="CX239" s="129" t="s">
        <v>207</v>
      </c>
      <c r="CY239" s="129">
        <v>1.06E-2</v>
      </c>
      <c r="CZ239" s="129" t="s">
        <v>159</v>
      </c>
      <c r="DA239" s="146">
        <v>0</v>
      </c>
      <c r="DB239" s="129" t="s">
        <v>208</v>
      </c>
      <c r="DC239" s="129">
        <v>5.5100000000000003E-2</v>
      </c>
      <c r="DD239" s="129" t="s">
        <v>159</v>
      </c>
      <c r="DE239" s="146">
        <v>0</v>
      </c>
      <c r="DF239" s="129" t="s">
        <v>208</v>
      </c>
      <c r="DG239" s="178" t="s">
        <v>160</v>
      </c>
      <c r="DH239" s="178" t="s">
        <v>160</v>
      </c>
      <c r="DI239" s="178" t="s">
        <v>160</v>
      </c>
      <c r="DJ239" s="178" t="s">
        <v>160</v>
      </c>
      <c r="DK239" s="145">
        <v>432.56244218316402</v>
      </c>
      <c r="DL239" s="129" t="s">
        <v>433</v>
      </c>
      <c r="DM239" s="145" t="s">
        <v>160</v>
      </c>
      <c r="DN239" s="129" t="s">
        <v>434</v>
      </c>
      <c r="DO239" s="129">
        <v>39.722259999999999</v>
      </c>
      <c r="DP239" s="129" t="s">
        <v>160</v>
      </c>
      <c r="DQ239" s="129">
        <v>0.33895000000000408</v>
      </c>
      <c r="DR239" s="129" t="s">
        <v>450</v>
      </c>
      <c r="DS239" s="129" t="s">
        <v>212</v>
      </c>
      <c r="DT239" s="129" t="s">
        <v>213</v>
      </c>
      <c r="DU239" s="129">
        <v>1.0271999999999999</v>
      </c>
      <c r="DV239" s="129" t="s">
        <v>393</v>
      </c>
      <c r="DW239" s="129">
        <v>5.9999999999999995E-4</v>
      </c>
      <c r="DX239" s="129" t="s">
        <v>436</v>
      </c>
      <c r="DY239" s="129" t="s">
        <v>160</v>
      </c>
      <c r="DZ239" s="129" t="s">
        <v>160</v>
      </c>
      <c r="EA239" s="129" t="s">
        <v>216</v>
      </c>
      <c r="EB239" s="129" t="s">
        <v>212</v>
      </c>
      <c r="EC239" s="129" t="s">
        <v>212</v>
      </c>
      <c r="ED239" s="129" t="s">
        <v>212</v>
      </c>
      <c r="EE239" s="129" t="s">
        <v>217</v>
      </c>
      <c r="EF239" s="147" t="s">
        <v>213</v>
      </c>
      <c r="EG239" s="148" t="s">
        <v>213</v>
      </c>
      <c r="EH239" s="129" t="s">
        <v>218</v>
      </c>
      <c r="EI239" s="129" t="s">
        <v>417</v>
      </c>
      <c r="EJ239" s="129" t="s">
        <v>160</v>
      </c>
      <c r="EK239" s="129">
        <v>1946.9690000000001</v>
      </c>
      <c r="EL239" s="129" t="s">
        <v>163</v>
      </c>
      <c r="EM239" s="129">
        <v>44.266000000000055</v>
      </c>
      <c r="EN239" s="129">
        <v>45.651999999999973</v>
      </c>
      <c r="EO239" s="129" t="s">
        <v>160</v>
      </c>
      <c r="EP239" s="129" t="s">
        <v>160</v>
      </c>
      <c r="EQ239" s="129" t="s">
        <v>160</v>
      </c>
      <c r="ER239" s="129" t="s">
        <v>160</v>
      </c>
      <c r="ES239" s="141">
        <v>8.1841589999999993</v>
      </c>
      <c r="ET239" s="142" t="s">
        <v>165</v>
      </c>
      <c r="EU239" s="141">
        <v>3.9724000000001425E-2</v>
      </c>
      <c r="EV239" s="141">
        <v>4.00469999999995E-2</v>
      </c>
      <c r="EW239" s="142" t="s">
        <v>160</v>
      </c>
      <c r="EX239" s="129" t="s">
        <v>160</v>
      </c>
      <c r="EY239" s="129" t="s">
        <v>160</v>
      </c>
      <c r="EZ239" s="141">
        <v>233.67789999999999</v>
      </c>
      <c r="FA239" s="141">
        <v>28.972600000000028</v>
      </c>
      <c r="FB239" s="141">
        <v>26.352599999999995</v>
      </c>
      <c r="FC239" s="129" t="s">
        <v>220</v>
      </c>
      <c r="FD239" s="129" t="s">
        <v>221</v>
      </c>
      <c r="FE239" s="129">
        <v>2298.7910000000002</v>
      </c>
      <c r="FF239" s="129">
        <v>63.522999999999683</v>
      </c>
      <c r="FG239" s="129">
        <v>61.864999999999782</v>
      </c>
      <c r="FH239" s="129" t="s">
        <v>437</v>
      </c>
      <c r="FI239" s="129" t="s">
        <v>437</v>
      </c>
      <c r="FJ239" s="129" t="s">
        <v>437</v>
      </c>
      <c r="FK239" s="129" t="s">
        <v>437</v>
      </c>
      <c r="FL239" s="129" t="s">
        <v>437</v>
      </c>
      <c r="FM239" s="129" t="s">
        <v>437</v>
      </c>
      <c r="FN239" s="151">
        <v>4.7646110000000004</v>
      </c>
      <c r="FO239" s="151">
        <v>0.3497489999999992</v>
      </c>
      <c r="FP239" s="151">
        <v>0.32481399999999994</v>
      </c>
      <c r="FQ239" s="178" t="s">
        <v>419</v>
      </c>
      <c r="FR239" s="129" t="s">
        <v>439</v>
      </c>
      <c r="FS239" s="129">
        <v>2015</v>
      </c>
      <c r="FT239" s="129" t="s">
        <v>440</v>
      </c>
    </row>
    <row r="240" spans="1:176" s="129" customFormat="1" ht="17">
      <c r="A240" s="123" t="s">
        <v>152</v>
      </c>
      <c r="B240" s="166" t="s">
        <v>183</v>
      </c>
      <c r="C240" s="166">
        <v>2018</v>
      </c>
      <c r="D240" s="166" t="s">
        <v>184</v>
      </c>
      <c r="E240" s="151">
        <f t="shared" si="25"/>
        <v>2648.2578130000002</v>
      </c>
      <c r="F240" s="191" t="s">
        <v>160</v>
      </c>
      <c r="G240" s="191" t="s">
        <v>160</v>
      </c>
      <c r="H240" s="151">
        <v>264.20679999999999</v>
      </c>
      <c r="I240" s="151">
        <v>33.334400000000016</v>
      </c>
      <c r="J240" s="151">
        <v>28.702199999999976</v>
      </c>
      <c r="K240" s="129" t="s">
        <v>457</v>
      </c>
      <c r="L240" s="131" t="s">
        <v>185</v>
      </c>
      <c r="M240" s="132" t="s">
        <v>186</v>
      </c>
      <c r="N240" s="129" t="s">
        <v>184</v>
      </c>
      <c r="O240" s="129" t="s">
        <v>420</v>
      </c>
      <c r="P240" s="129" t="s">
        <v>156</v>
      </c>
      <c r="Q240" s="178">
        <v>10</v>
      </c>
      <c r="R240" s="178">
        <v>2</v>
      </c>
      <c r="S240" s="178">
        <v>121</v>
      </c>
      <c r="T240" s="178">
        <v>123</v>
      </c>
      <c r="U240" s="178" t="s">
        <v>160</v>
      </c>
      <c r="V240" s="178" t="s">
        <v>160</v>
      </c>
      <c r="W240" s="178" t="s">
        <v>160</v>
      </c>
      <c r="X240" s="129" t="s">
        <v>157</v>
      </c>
      <c r="Y240" s="136">
        <v>12.75</v>
      </c>
      <c r="Z240" s="136">
        <v>-78.73</v>
      </c>
      <c r="AA240" s="136">
        <v>12.75</v>
      </c>
      <c r="AB240" s="136">
        <v>-78.73</v>
      </c>
      <c r="AC240" s="136">
        <v>-2828</v>
      </c>
      <c r="AD240" s="136">
        <v>-2828</v>
      </c>
      <c r="AE240" s="129" t="s">
        <v>160</v>
      </c>
      <c r="AF240" s="129" t="s">
        <v>160</v>
      </c>
      <c r="AG240" s="141">
        <v>2648.2578130000002</v>
      </c>
      <c r="AH240" s="138" t="s">
        <v>159</v>
      </c>
      <c r="AI240" s="129" t="s">
        <v>160</v>
      </c>
      <c r="AJ240" s="129" t="s">
        <v>160</v>
      </c>
      <c r="AK240" s="178" t="s">
        <v>160</v>
      </c>
      <c r="AL240" s="178" t="s">
        <v>441</v>
      </c>
      <c r="AM240" s="178" t="s">
        <v>160</v>
      </c>
      <c r="AN240" s="129" t="s">
        <v>160</v>
      </c>
      <c r="AO240" s="129" t="s">
        <v>160</v>
      </c>
      <c r="AP240" s="129" t="s">
        <v>160</v>
      </c>
      <c r="AQ240" s="129" t="s">
        <v>160</v>
      </c>
      <c r="AR240" s="129" t="s">
        <v>160</v>
      </c>
      <c r="AS240" s="129" t="s">
        <v>160</v>
      </c>
      <c r="AT240" s="129" t="s">
        <v>160</v>
      </c>
      <c r="AU240" s="213" t="s">
        <v>442</v>
      </c>
      <c r="AV240" s="129" t="s">
        <v>161</v>
      </c>
      <c r="AW240" s="189" t="s">
        <v>443</v>
      </c>
      <c r="AX240" s="189" t="s">
        <v>444</v>
      </c>
      <c r="AY240" s="205" t="s">
        <v>353</v>
      </c>
      <c r="AZ240" s="205" t="s">
        <v>325</v>
      </c>
      <c r="BA240" s="129" t="s">
        <v>162</v>
      </c>
      <c r="BB240" s="129" t="s">
        <v>445</v>
      </c>
      <c r="BC240" s="129" t="s">
        <v>445</v>
      </c>
      <c r="BD240" s="129" t="s">
        <v>445</v>
      </c>
      <c r="BE240" s="141">
        <v>20.425730000000001</v>
      </c>
      <c r="BF240" s="129" t="s">
        <v>446</v>
      </c>
      <c r="BG240" s="141">
        <v>9.3641294E-2</v>
      </c>
      <c r="BH240" s="129">
        <v>0.6</v>
      </c>
      <c r="BI240" s="129" t="s">
        <v>427</v>
      </c>
      <c r="BJ240" s="138">
        <v>0.08</v>
      </c>
      <c r="BK240" s="129">
        <v>8.8699999999999992</v>
      </c>
      <c r="BL240" s="129" t="s">
        <v>163</v>
      </c>
      <c r="BM240" s="129">
        <v>1.52</v>
      </c>
      <c r="BN240" s="129" t="s">
        <v>428</v>
      </c>
      <c r="BO240" s="129" t="s">
        <v>448</v>
      </c>
      <c r="BP240" s="141">
        <f t="shared" si="26"/>
        <v>19.259550000000004</v>
      </c>
      <c r="BQ240" s="129" t="s">
        <v>202</v>
      </c>
      <c r="BR240" s="217"/>
      <c r="BS240" s="129" t="s">
        <v>160</v>
      </c>
      <c r="BT240" s="129" t="s">
        <v>160</v>
      </c>
      <c r="BU240" s="129">
        <v>10</v>
      </c>
      <c r="BV240" s="129" t="s">
        <v>159</v>
      </c>
      <c r="BW240" s="129">
        <v>10</v>
      </c>
      <c r="BX240" s="141">
        <v>25.52645697748649</v>
      </c>
      <c r="BY240" s="129" t="s">
        <v>159</v>
      </c>
      <c r="BZ240" s="129">
        <v>1</v>
      </c>
      <c r="CA240" s="129">
        <v>1</v>
      </c>
      <c r="CB240" s="141">
        <v>3.6714242642324173</v>
      </c>
      <c r="CC240" s="141">
        <v>3.6714242642324173</v>
      </c>
      <c r="CD240" s="129" t="s">
        <v>449</v>
      </c>
      <c r="CE240" s="151">
        <f t="shared" si="27"/>
        <v>9.9128455134275262E-2</v>
      </c>
      <c r="CF240" s="151">
        <f t="shared" si="28"/>
        <v>9.9128455134275262E-2</v>
      </c>
      <c r="CG240" s="145" t="s">
        <v>203</v>
      </c>
      <c r="CH240" s="129" t="s">
        <v>204</v>
      </c>
      <c r="CI240" s="129" t="s">
        <v>205</v>
      </c>
      <c r="CJ240" s="129" t="s">
        <v>206</v>
      </c>
      <c r="CK240" s="129" t="s">
        <v>158</v>
      </c>
      <c r="CL240" s="129" t="s">
        <v>158</v>
      </c>
      <c r="CM240" s="129" t="s">
        <v>158</v>
      </c>
      <c r="CN240" s="129" t="s">
        <v>160</v>
      </c>
      <c r="CO240" s="129" t="s">
        <v>160</v>
      </c>
      <c r="CP240" s="129" t="s">
        <v>160</v>
      </c>
      <c r="CQ240" s="129" t="s">
        <v>160</v>
      </c>
      <c r="CR240" s="129" t="s">
        <v>160</v>
      </c>
      <c r="CS240" s="129" t="s">
        <v>160</v>
      </c>
      <c r="CT240" s="129" t="s">
        <v>160</v>
      </c>
      <c r="CU240" s="215">
        <v>35</v>
      </c>
      <c r="CV240" s="129" t="s">
        <v>393</v>
      </c>
      <c r="CW240" s="146">
        <v>1</v>
      </c>
      <c r="CX240" s="129" t="s">
        <v>207</v>
      </c>
      <c r="CY240" s="129">
        <v>1.06E-2</v>
      </c>
      <c r="CZ240" s="129" t="s">
        <v>159</v>
      </c>
      <c r="DA240" s="146">
        <v>0</v>
      </c>
      <c r="DB240" s="129" t="s">
        <v>208</v>
      </c>
      <c r="DC240" s="129">
        <v>5.5100000000000003E-2</v>
      </c>
      <c r="DD240" s="129" t="s">
        <v>159</v>
      </c>
      <c r="DE240" s="146">
        <v>0</v>
      </c>
      <c r="DF240" s="129" t="s">
        <v>208</v>
      </c>
      <c r="DG240" s="178" t="s">
        <v>160</v>
      </c>
      <c r="DH240" s="178" t="s">
        <v>160</v>
      </c>
      <c r="DI240" s="178" t="s">
        <v>160</v>
      </c>
      <c r="DJ240" s="178" t="s">
        <v>160</v>
      </c>
      <c r="DK240" s="145">
        <v>432.56244218316402</v>
      </c>
      <c r="DL240" s="129" t="s">
        <v>433</v>
      </c>
      <c r="DM240" s="145" t="s">
        <v>160</v>
      </c>
      <c r="DN240" s="129" t="s">
        <v>434</v>
      </c>
      <c r="DO240" s="129">
        <v>39.718170000000001</v>
      </c>
      <c r="DP240" s="129" t="s">
        <v>160</v>
      </c>
      <c r="DQ240" s="129">
        <v>0.34006999999999721</v>
      </c>
      <c r="DR240" s="129" t="s">
        <v>450</v>
      </c>
      <c r="DS240" s="129" t="s">
        <v>212</v>
      </c>
      <c r="DT240" s="129" t="s">
        <v>213</v>
      </c>
      <c r="DU240" s="129">
        <v>1.0271999999999999</v>
      </c>
      <c r="DV240" s="129" t="s">
        <v>393</v>
      </c>
      <c r="DW240" s="129">
        <v>5.9999999999999995E-4</v>
      </c>
      <c r="DX240" s="129" t="s">
        <v>436</v>
      </c>
      <c r="DY240" s="129" t="s">
        <v>160</v>
      </c>
      <c r="DZ240" s="129" t="s">
        <v>160</v>
      </c>
      <c r="EA240" s="129" t="s">
        <v>216</v>
      </c>
      <c r="EB240" s="129" t="s">
        <v>212</v>
      </c>
      <c r="EC240" s="129" t="s">
        <v>212</v>
      </c>
      <c r="ED240" s="129" t="s">
        <v>212</v>
      </c>
      <c r="EE240" s="129" t="s">
        <v>217</v>
      </c>
      <c r="EF240" s="147" t="s">
        <v>213</v>
      </c>
      <c r="EG240" s="148" t="s">
        <v>213</v>
      </c>
      <c r="EH240" s="129" t="s">
        <v>218</v>
      </c>
      <c r="EI240" s="129" t="s">
        <v>417</v>
      </c>
      <c r="EJ240" s="129" t="s">
        <v>160</v>
      </c>
      <c r="EK240" s="129">
        <v>1946.2049999999999</v>
      </c>
      <c r="EL240" s="129" t="s">
        <v>163</v>
      </c>
      <c r="EM240" s="129">
        <v>44.013000000000297</v>
      </c>
      <c r="EN240" s="129">
        <v>43.983999999999952</v>
      </c>
      <c r="EO240" s="129" t="s">
        <v>160</v>
      </c>
      <c r="EP240" s="129" t="s">
        <v>160</v>
      </c>
      <c r="EQ240" s="129" t="s">
        <v>160</v>
      </c>
      <c r="ER240" s="129" t="s">
        <v>160</v>
      </c>
      <c r="ES240" s="141">
        <v>8.1419510000000006</v>
      </c>
      <c r="ET240" s="142" t="s">
        <v>165</v>
      </c>
      <c r="EU240" s="141">
        <v>3.9064999999999017E-2</v>
      </c>
      <c r="EV240" s="141">
        <v>4.1109000000000506E-2</v>
      </c>
      <c r="EW240" s="142" t="s">
        <v>160</v>
      </c>
      <c r="EX240" s="129" t="s">
        <v>160</v>
      </c>
      <c r="EY240" s="129" t="s">
        <v>160</v>
      </c>
      <c r="EZ240" s="141">
        <v>264.20679999999999</v>
      </c>
      <c r="FA240" s="141">
        <v>33.334400000000016</v>
      </c>
      <c r="FB240" s="141">
        <v>28.702199999999976</v>
      </c>
      <c r="FC240" s="129" t="s">
        <v>220</v>
      </c>
      <c r="FD240" s="129" t="s">
        <v>221</v>
      </c>
      <c r="FE240" s="129">
        <v>2259.877</v>
      </c>
      <c r="FF240" s="129">
        <v>59.641000000000076</v>
      </c>
      <c r="FG240" s="129">
        <v>61.172999999999774</v>
      </c>
      <c r="FH240" s="129" t="s">
        <v>437</v>
      </c>
      <c r="FI240" s="129" t="s">
        <v>437</v>
      </c>
      <c r="FJ240" s="129" t="s">
        <v>437</v>
      </c>
      <c r="FK240" s="129" t="s">
        <v>437</v>
      </c>
      <c r="FL240" s="129" t="s">
        <v>437</v>
      </c>
      <c r="FM240" s="129" t="s">
        <v>437</v>
      </c>
      <c r="FN240" s="151">
        <v>4.2787959999999998</v>
      </c>
      <c r="FO240" s="151">
        <v>0.31807500000000033</v>
      </c>
      <c r="FP240" s="151">
        <v>0.30571499999999974</v>
      </c>
      <c r="FQ240" s="178" t="s">
        <v>419</v>
      </c>
      <c r="FR240" s="129" t="s">
        <v>439</v>
      </c>
      <c r="FS240" s="129">
        <v>2015</v>
      </c>
      <c r="FT240" s="129" t="s">
        <v>440</v>
      </c>
    </row>
    <row r="241" spans="1:176" s="129" customFormat="1" ht="17">
      <c r="A241" s="123" t="s">
        <v>152</v>
      </c>
      <c r="B241" s="166" t="s">
        <v>183</v>
      </c>
      <c r="C241" s="166">
        <v>2018</v>
      </c>
      <c r="D241" s="166" t="s">
        <v>184</v>
      </c>
      <c r="E241" s="151">
        <f t="shared" si="25"/>
        <v>2664.6970209999999</v>
      </c>
      <c r="F241" s="191" t="s">
        <v>160</v>
      </c>
      <c r="G241" s="191" t="s">
        <v>160</v>
      </c>
      <c r="H241" s="151">
        <v>283.84269999999998</v>
      </c>
      <c r="I241" s="151">
        <v>37.292900000000031</v>
      </c>
      <c r="J241" s="151">
        <v>32.332499999999982</v>
      </c>
      <c r="K241" s="129" t="s">
        <v>457</v>
      </c>
      <c r="L241" s="131" t="s">
        <v>185</v>
      </c>
      <c r="M241" s="132" t="s">
        <v>186</v>
      </c>
      <c r="N241" s="129" t="s">
        <v>184</v>
      </c>
      <c r="O241" s="129" t="s">
        <v>420</v>
      </c>
      <c r="P241" s="129" t="s">
        <v>156</v>
      </c>
      <c r="Q241" s="178">
        <v>10</v>
      </c>
      <c r="R241" s="178">
        <v>3</v>
      </c>
      <c r="S241" s="178">
        <v>19</v>
      </c>
      <c r="T241" s="178">
        <v>20</v>
      </c>
      <c r="U241" s="178" t="s">
        <v>160</v>
      </c>
      <c r="V241" s="178" t="s">
        <v>160</v>
      </c>
      <c r="W241" s="178" t="s">
        <v>160</v>
      </c>
      <c r="X241" s="129" t="s">
        <v>157</v>
      </c>
      <c r="Y241" s="136">
        <v>12.75</v>
      </c>
      <c r="Z241" s="136">
        <v>-78.73</v>
      </c>
      <c r="AA241" s="136">
        <v>12.75</v>
      </c>
      <c r="AB241" s="136">
        <v>-78.73</v>
      </c>
      <c r="AC241" s="136">
        <v>-2828</v>
      </c>
      <c r="AD241" s="136">
        <v>-2828</v>
      </c>
      <c r="AE241" s="129" t="s">
        <v>160</v>
      </c>
      <c r="AF241" s="129" t="s">
        <v>160</v>
      </c>
      <c r="AG241" s="141">
        <v>2664.6970209999999</v>
      </c>
      <c r="AH241" s="138" t="s">
        <v>159</v>
      </c>
      <c r="AI241" s="129" t="s">
        <v>160</v>
      </c>
      <c r="AJ241" s="129" t="s">
        <v>160</v>
      </c>
      <c r="AK241" s="178" t="s">
        <v>160</v>
      </c>
      <c r="AL241" s="178" t="s">
        <v>441</v>
      </c>
      <c r="AM241" s="178" t="s">
        <v>160</v>
      </c>
      <c r="AN241" s="129" t="s">
        <v>160</v>
      </c>
      <c r="AO241" s="129" t="s">
        <v>160</v>
      </c>
      <c r="AP241" s="129" t="s">
        <v>160</v>
      </c>
      <c r="AQ241" s="129" t="s">
        <v>160</v>
      </c>
      <c r="AR241" s="129" t="s">
        <v>160</v>
      </c>
      <c r="AS241" s="129" t="s">
        <v>160</v>
      </c>
      <c r="AT241" s="129" t="s">
        <v>160</v>
      </c>
      <c r="AU241" s="213" t="s">
        <v>442</v>
      </c>
      <c r="AV241" s="129" t="s">
        <v>161</v>
      </c>
      <c r="AW241" s="189" t="s">
        <v>443</v>
      </c>
      <c r="AX241" s="205" t="s">
        <v>444</v>
      </c>
      <c r="AY241" s="205" t="s">
        <v>353</v>
      </c>
      <c r="AZ241" s="205" t="s">
        <v>325</v>
      </c>
      <c r="BA241" s="214" t="s">
        <v>162</v>
      </c>
      <c r="BB241" s="129" t="s">
        <v>445</v>
      </c>
      <c r="BC241" s="129" t="s">
        <v>445</v>
      </c>
      <c r="BD241" s="129" t="s">
        <v>445</v>
      </c>
      <c r="BE241" s="141">
        <v>20.358799999999999</v>
      </c>
      <c r="BF241" s="129" t="s">
        <v>446</v>
      </c>
      <c r="BG241" s="141">
        <v>0.11260533</v>
      </c>
      <c r="BH241" s="129">
        <v>0.6</v>
      </c>
      <c r="BI241" s="129" t="s">
        <v>427</v>
      </c>
      <c r="BJ241" s="138">
        <v>0.08</v>
      </c>
      <c r="BK241" s="129">
        <v>8.8699999999999992</v>
      </c>
      <c r="BL241" s="129" t="s">
        <v>163</v>
      </c>
      <c r="BM241" s="129">
        <v>1.52</v>
      </c>
      <c r="BN241" s="129" t="s">
        <v>428</v>
      </c>
      <c r="BO241" s="129" t="s">
        <v>448</v>
      </c>
      <c r="BP241" s="141">
        <f t="shared" si="26"/>
        <v>19.148</v>
      </c>
      <c r="BQ241" s="129" t="s">
        <v>202</v>
      </c>
      <c r="BR241" s="217"/>
      <c r="BS241" s="129" t="s">
        <v>160</v>
      </c>
      <c r="BT241" s="129" t="s">
        <v>160</v>
      </c>
      <c r="BU241" s="129">
        <v>10</v>
      </c>
      <c r="BV241" s="129" t="s">
        <v>159</v>
      </c>
      <c r="BW241" s="129">
        <v>10</v>
      </c>
      <c r="BX241" s="141">
        <v>26.803193369145092</v>
      </c>
      <c r="BY241" s="129" t="s">
        <v>159</v>
      </c>
      <c r="BZ241" s="129">
        <v>1</v>
      </c>
      <c r="CA241" s="129">
        <v>1</v>
      </c>
      <c r="CB241" s="141">
        <v>4.1177685848099683</v>
      </c>
      <c r="CC241" s="141">
        <v>4.1177685848099683</v>
      </c>
      <c r="CD241" s="129" t="s">
        <v>449</v>
      </c>
      <c r="CE241" s="151">
        <f t="shared" si="27"/>
        <v>0.11117975178986915</v>
      </c>
      <c r="CF241" s="151">
        <f t="shared" si="28"/>
        <v>0.11117975178986915</v>
      </c>
      <c r="CG241" s="145" t="s">
        <v>203</v>
      </c>
      <c r="CH241" s="129" t="s">
        <v>204</v>
      </c>
      <c r="CI241" s="129" t="s">
        <v>205</v>
      </c>
      <c r="CJ241" s="129" t="s">
        <v>206</v>
      </c>
      <c r="CK241" s="129" t="s">
        <v>158</v>
      </c>
      <c r="CL241" s="129" t="s">
        <v>158</v>
      </c>
      <c r="CM241" s="129" t="s">
        <v>158</v>
      </c>
      <c r="CN241" s="129" t="s">
        <v>160</v>
      </c>
      <c r="CO241" s="129" t="s">
        <v>160</v>
      </c>
      <c r="CP241" s="129" t="s">
        <v>160</v>
      </c>
      <c r="CQ241" s="129" t="s">
        <v>160</v>
      </c>
      <c r="CR241" s="129" t="s">
        <v>160</v>
      </c>
      <c r="CS241" s="129" t="s">
        <v>160</v>
      </c>
      <c r="CT241" s="129" t="s">
        <v>160</v>
      </c>
      <c r="CU241" s="215">
        <v>35</v>
      </c>
      <c r="CV241" s="129" t="s">
        <v>393</v>
      </c>
      <c r="CW241" s="146">
        <v>1</v>
      </c>
      <c r="CX241" s="129" t="s">
        <v>207</v>
      </c>
      <c r="CY241" s="129">
        <v>1.06E-2</v>
      </c>
      <c r="CZ241" s="129" t="s">
        <v>159</v>
      </c>
      <c r="DA241" s="146">
        <v>0</v>
      </c>
      <c r="DB241" s="129" t="s">
        <v>208</v>
      </c>
      <c r="DC241" s="129">
        <v>5.5100000000000003E-2</v>
      </c>
      <c r="DD241" s="129" t="s">
        <v>159</v>
      </c>
      <c r="DE241" s="146">
        <v>0</v>
      </c>
      <c r="DF241" s="129" t="s">
        <v>208</v>
      </c>
      <c r="DG241" s="178" t="s">
        <v>160</v>
      </c>
      <c r="DH241" s="178" t="s">
        <v>160</v>
      </c>
      <c r="DI241" s="178" t="s">
        <v>160</v>
      </c>
      <c r="DJ241" s="178" t="s">
        <v>160</v>
      </c>
      <c r="DK241" s="145">
        <v>432.56244218316402</v>
      </c>
      <c r="DL241" s="129" t="s">
        <v>433</v>
      </c>
      <c r="DM241" s="145" t="s">
        <v>160</v>
      </c>
      <c r="DN241" s="129" t="s">
        <v>434</v>
      </c>
      <c r="DO241" s="129">
        <v>39.719479999999997</v>
      </c>
      <c r="DP241" s="129" t="s">
        <v>160</v>
      </c>
      <c r="DQ241" s="129">
        <v>0.33867000000000047</v>
      </c>
      <c r="DR241" s="129" t="s">
        <v>450</v>
      </c>
      <c r="DS241" s="129" t="s">
        <v>212</v>
      </c>
      <c r="DT241" s="129" t="s">
        <v>213</v>
      </c>
      <c r="DU241" s="129">
        <v>1.0271999999999999</v>
      </c>
      <c r="DV241" s="129" t="s">
        <v>393</v>
      </c>
      <c r="DW241" s="129">
        <v>5.9999999999999995E-4</v>
      </c>
      <c r="DX241" s="129" t="s">
        <v>436</v>
      </c>
      <c r="DY241" s="129" t="s">
        <v>160</v>
      </c>
      <c r="DZ241" s="129" t="s">
        <v>160</v>
      </c>
      <c r="EA241" s="129" t="s">
        <v>216</v>
      </c>
      <c r="EB241" s="129" t="s">
        <v>212</v>
      </c>
      <c r="EC241" s="129" t="s">
        <v>212</v>
      </c>
      <c r="ED241" s="129" t="s">
        <v>212</v>
      </c>
      <c r="EE241" s="129" t="s">
        <v>217</v>
      </c>
      <c r="EF241" s="147" t="s">
        <v>213</v>
      </c>
      <c r="EG241" s="148" t="s">
        <v>213</v>
      </c>
      <c r="EH241" s="129" t="s">
        <v>218</v>
      </c>
      <c r="EI241" s="129" t="s">
        <v>417</v>
      </c>
      <c r="EJ241" s="129" t="s">
        <v>160</v>
      </c>
      <c r="EK241" s="129">
        <v>1945.8130000000001</v>
      </c>
      <c r="EL241" s="129" t="s">
        <v>163</v>
      </c>
      <c r="EM241" s="129">
        <v>44.347999999999828</v>
      </c>
      <c r="EN241" s="129">
        <v>44.923000000000101</v>
      </c>
      <c r="EO241" s="129" t="s">
        <v>160</v>
      </c>
      <c r="EP241" s="129" t="s">
        <v>160</v>
      </c>
      <c r="EQ241" s="129" t="s">
        <v>160</v>
      </c>
      <c r="ER241" s="129" t="s">
        <v>160</v>
      </c>
      <c r="ES241" s="141">
        <v>8.1171659999999992</v>
      </c>
      <c r="ET241" s="142" t="s">
        <v>165</v>
      </c>
      <c r="EU241" s="141">
        <v>4.1411000000000087E-2</v>
      </c>
      <c r="EV241" s="141">
        <v>4.1995999999999256E-2</v>
      </c>
      <c r="EW241" s="142" t="s">
        <v>160</v>
      </c>
      <c r="EX241" s="129" t="s">
        <v>160</v>
      </c>
      <c r="EY241" s="129" t="s">
        <v>160</v>
      </c>
      <c r="EZ241" s="141">
        <v>283.84269999999998</v>
      </c>
      <c r="FA241" s="141">
        <v>37.292900000000031</v>
      </c>
      <c r="FB241" s="141">
        <v>32.332499999999982</v>
      </c>
      <c r="FC241" s="129" t="s">
        <v>220</v>
      </c>
      <c r="FD241" s="129" t="s">
        <v>221</v>
      </c>
      <c r="FE241" s="129">
        <v>2255.364</v>
      </c>
      <c r="FF241" s="129">
        <v>62.570999999999913</v>
      </c>
      <c r="FG241" s="129">
        <v>60.065000000000055</v>
      </c>
      <c r="FH241" s="129" t="s">
        <v>437</v>
      </c>
      <c r="FI241" s="129" t="s">
        <v>437</v>
      </c>
      <c r="FJ241" s="129" t="s">
        <v>437</v>
      </c>
      <c r="FK241" s="129" t="s">
        <v>437</v>
      </c>
      <c r="FL241" s="129" t="s">
        <v>437</v>
      </c>
      <c r="FM241" s="129" t="s">
        <v>437</v>
      </c>
      <c r="FN241" s="151">
        <v>4.2716519999999996</v>
      </c>
      <c r="FO241" s="151">
        <v>0.33828800000000037</v>
      </c>
      <c r="FP241" s="151">
        <v>0.32497499999999935</v>
      </c>
      <c r="FQ241" s="178" t="s">
        <v>419</v>
      </c>
      <c r="FR241" s="129" t="s">
        <v>439</v>
      </c>
      <c r="FS241" s="129">
        <v>2015</v>
      </c>
      <c r="FT241" s="129" t="s">
        <v>440</v>
      </c>
    </row>
    <row r="242" spans="1:176" s="129" customFormat="1" ht="17">
      <c r="A242" s="123" t="s">
        <v>152</v>
      </c>
      <c r="B242" s="166" t="s">
        <v>183</v>
      </c>
      <c r="C242" s="166">
        <v>2018</v>
      </c>
      <c r="D242" s="166" t="s">
        <v>184</v>
      </c>
      <c r="E242" s="151">
        <f t="shared" si="25"/>
        <v>2673.0161130000001</v>
      </c>
      <c r="F242" s="191" t="s">
        <v>160</v>
      </c>
      <c r="G242" s="191" t="s">
        <v>160</v>
      </c>
      <c r="H242" s="151">
        <v>247.5068</v>
      </c>
      <c r="I242" s="151">
        <v>32.040300000000002</v>
      </c>
      <c r="J242" s="151">
        <v>28.053800000000024</v>
      </c>
      <c r="K242" s="129" t="s">
        <v>457</v>
      </c>
      <c r="L242" s="131" t="s">
        <v>185</v>
      </c>
      <c r="M242" s="132" t="s">
        <v>186</v>
      </c>
      <c r="N242" s="129" t="s">
        <v>184</v>
      </c>
      <c r="O242" s="129" t="s">
        <v>420</v>
      </c>
      <c r="P242" s="129" t="s">
        <v>156</v>
      </c>
      <c r="Q242" s="178">
        <v>10</v>
      </c>
      <c r="R242" s="178">
        <v>3</v>
      </c>
      <c r="S242" s="178">
        <v>50</v>
      </c>
      <c r="T242" s="178">
        <v>52</v>
      </c>
      <c r="U242" s="178" t="s">
        <v>160</v>
      </c>
      <c r="V242" s="178" t="s">
        <v>160</v>
      </c>
      <c r="W242" s="178" t="s">
        <v>160</v>
      </c>
      <c r="X242" s="129" t="s">
        <v>157</v>
      </c>
      <c r="Y242" s="136">
        <v>12.75</v>
      </c>
      <c r="Z242" s="136">
        <v>-78.73</v>
      </c>
      <c r="AA242" s="136">
        <v>12.75</v>
      </c>
      <c r="AB242" s="136">
        <v>-78.73</v>
      </c>
      <c r="AC242" s="136">
        <v>-2828</v>
      </c>
      <c r="AD242" s="136">
        <v>-2828</v>
      </c>
      <c r="AE242" s="129" t="s">
        <v>160</v>
      </c>
      <c r="AF242" s="129" t="s">
        <v>160</v>
      </c>
      <c r="AG242" s="141">
        <v>2673.0161130000001</v>
      </c>
      <c r="AH242" s="138" t="s">
        <v>159</v>
      </c>
      <c r="AI242" s="129" t="s">
        <v>160</v>
      </c>
      <c r="AJ242" s="129" t="s">
        <v>160</v>
      </c>
      <c r="AK242" s="178" t="s">
        <v>160</v>
      </c>
      <c r="AL242" s="178" t="s">
        <v>441</v>
      </c>
      <c r="AM242" s="178" t="s">
        <v>160</v>
      </c>
      <c r="AN242" s="129" t="s">
        <v>160</v>
      </c>
      <c r="AO242" s="129" t="s">
        <v>160</v>
      </c>
      <c r="AP242" s="129" t="s">
        <v>160</v>
      </c>
      <c r="AQ242" s="129" t="s">
        <v>160</v>
      </c>
      <c r="AR242" s="129" t="s">
        <v>160</v>
      </c>
      <c r="AS242" s="129" t="s">
        <v>160</v>
      </c>
      <c r="AT242" s="129" t="s">
        <v>160</v>
      </c>
      <c r="AU242" s="213" t="s">
        <v>442</v>
      </c>
      <c r="AV242" s="129" t="s">
        <v>161</v>
      </c>
      <c r="AW242" s="189" t="s">
        <v>443</v>
      </c>
      <c r="AX242" s="189" t="s">
        <v>444</v>
      </c>
      <c r="AY242" s="205" t="s">
        <v>353</v>
      </c>
      <c r="AZ242" s="205" t="s">
        <v>325</v>
      </c>
      <c r="BA242" s="129" t="s">
        <v>162</v>
      </c>
      <c r="BB242" s="129" t="s">
        <v>445</v>
      </c>
      <c r="BC242" s="129" t="s">
        <v>445</v>
      </c>
      <c r="BD242" s="129" t="s">
        <v>445</v>
      </c>
      <c r="BE242" s="141">
        <v>20.575669999999999</v>
      </c>
      <c r="BF242" s="129" t="s">
        <v>446</v>
      </c>
      <c r="BG242" s="141">
        <v>0.10936436200000001</v>
      </c>
      <c r="BH242" s="129">
        <v>0.6</v>
      </c>
      <c r="BI242" s="129" t="s">
        <v>427</v>
      </c>
      <c r="BJ242" s="138">
        <v>0.08</v>
      </c>
      <c r="BK242" s="129">
        <v>8.8699999999999992</v>
      </c>
      <c r="BL242" s="129" t="s">
        <v>163</v>
      </c>
      <c r="BM242" s="129">
        <v>1.52</v>
      </c>
      <c r="BN242" s="129" t="s">
        <v>428</v>
      </c>
      <c r="BO242" s="129" t="s">
        <v>448</v>
      </c>
      <c r="BP242" s="141">
        <f t="shared" si="26"/>
        <v>19.509450000000001</v>
      </c>
      <c r="BQ242" s="129" t="s">
        <v>202</v>
      </c>
      <c r="BR242" s="217"/>
      <c r="BS242" s="129" t="s">
        <v>160</v>
      </c>
      <c r="BT242" s="129" t="s">
        <v>160</v>
      </c>
      <c r="BU242" s="129">
        <v>10</v>
      </c>
      <c r="BV242" s="129" t="s">
        <v>159</v>
      </c>
      <c r="BW242" s="129">
        <v>10</v>
      </c>
      <c r="BX242" s="141">
        <v>25.357105498530252</v>
      </c>
      <c r="BY242" s="129" t="s">
        <v>159</v>
      </c>
      <c r="BZ242" s="129">
        <v>1</v>
      </c>
      <c r="CA242" s="129">
        <v>1</v>
      </c>
      <c r="CB242" s="141">
        <v>3.6149397366903968</v>
      </c>
      <c r="CC242" s="141">
        <v>3.6149397366903968</v>
      </c>
      <c r="CD242" s="129" t="s">
        <v>449</v>
      </c>
      <c r="CE242" s="151">
        <f t="shared" si="27"/>
        <v>9.7603372890640708E-2</v>
      </c>
      <c r="CF242" s="151">
        <f t="shared" si="28"/>
        <v>9.7603372890640708E-2</v>
      </c>
      <c r="CG242" s="145" t="s">
        <v>203</v>
      </c>
      <c r="CH242" s="129" t="s">
        <v>204</v>
      </c>
      <c r="CI242" s="129" t="s">
        <v>205</v>
      </c>
      <c r="CJ242" s="129" t="s">
        <v>206</v>
      </c>
      <c r="CK242" s="129" t="s">
        <v>158</v>
      </c>
      <c r="CL242" s="129" t="s">
        <v>158</v>
      </c>
      <c r="CM242" s="129" t="s">
        <v>158</v>
      </c>
      <c r="CN242" s="129" t="s">
        <v>160</v>
      </c>
      <c r="CO242" s="129" t="s">
        <v>160</v>
      </c>
      <c r="CP242" s="129" t="s">
        <v>160</v>
      </c>
      <c r="CQ242" s="129" t="s">
        <v>160</v>
      </c>
      <c r="CR242" s="129" t="s">
        <v>160</v>
      </c>
      <c r="CS242" s="129" t="s">
        <v>160</v>
      </c>
      <c r="CT242" s="129" t="s">
        <v>160</v>
      </c>
      <c r="CU242" s="215">
        <v>35</v>
      </c>
      <c r="CV242" s="129" t="s">
        <v>393</v>
      </c>
      <c r="CW242" s="146">
        <v>1</v>
      </c>
      <c r="CX242" s="129" t="s">
        <v>207</v>
      </c>
      <c r="CY242" s="129">
        <v>1.06E-2</v>
      </c>
      <c r="CZ242" s="129" t="s">
        <v>159</v>
      </c>
      <c r="DA242" s="146">
        <v>0</v>
      </c>
      <c r="DB242" s="129" t="s">
        <v>208</v>
      </c>
      <c r="DC242" s="129">
        <v>5.5100000000000003E-2</v>
      </c>
      <c r="DD242" s="129" t="s">
        <v>159</v>
      </c>
      <c r="DE242" s="146">
        <v>0</v>
      </c>
      <c r="DF242" s="129" t="s">
        <v>208</v>
      </c>
      <c r="DG242" s="178" t="s">
        <v>160</v>
      </c>
      <c r="DH242" s="178" t="s">
        <v>160</v>
      </c>
      <c r="DI242" s="178" t="s">
        <v>160</v>
      </c>
      <c r="DJ242" s="178" t="s">
        <v>160</v>
      </c>
      <c r="DK242" s="145">
        <v>432.56244218316402</v>
      </c>
      <c r="DL242" s="129" t="s">
        <v>433</v>
      </c>
      <c r="DM242" s="145" t="s">
        <v>160</v>
      </c>
      <c r="DN242" s="129" t="s">
        <v>434</v>
      </c>
      <c r="DO242" s="129">
        <v>39.716160000000002</v>
      </c>
      <c r="DP242" s="129" t="s">
        <v>160</v>
      </c>
      <c r="DQ242" s="129">
        <v>0.34488999999999947</v>
      </c>
      <c r="DR242" s="129" t="s">
        <v>450</v>
      </c>
      <c r="DS242" s="129" t="s">
        <v>212</v>
      </c>
      <c r="DT242" s="129" t="s">
        <v>213</v>
      </c>
      <c r="DU242" s="129">
        <v>1.0271999999999999</v>
      </c>
      <c r="DV242" s="129" t="s">
        <v>393</v>
      </c>
      <c r="DW242" s="129">
        <v>5.9999999999999995E-4</v>
      </c>
      <c r="DX242" s="129" t="s">
        <v>436</v>
      </c>
      <c r="DY242" s="129" t="s">
        <v>160</v>
      </c>
      <c r="DZ242" s="129" t="s">
        <v>160</v>
      </c>
      <c r="EA242" s="129" t="s">
        <v>216</v>
      </c>
      <c r="EB242" s="129" t="s">
        <v>212</v>
      </c>
      <c r="EC242" s="129" t="s">
        <v>212</v>
      </c>
      <c r="ED242" s="129" t="s">
        <v>212</v>
      </c>
      <c r="EE242" s="129" t="s">
        <v>217</v>
      </c>
      <c r="EF242" s="147" t="s">
        <v>213</v>
      </c>
      <c r="EG242" s="148" t="s">
        <v>213</v>
      </c>
      <c r="EH242" s="129" t="s">
        <v>218</v>
      </c>
      <c r="EI242" s="129" t="s">
        <v>417</v>
      </c>
      <c r="EJ242" s="129" t="s">
        <v>160</v>
      </c>
      <c r="EK242" s="129">
        <v>1946.21</v>
      </c>
      <c r="EL242" s="129" t="s">
        <v>163</v>
      </c>
      <c r="EM242" s="129">
        <v>44.398999999999873</v>
      </c>
      <c r="EN242" s="129">
        <v>46.24000000000013</v>
      </c>
      <c r="EO242" s="129" t="s">
        <v>160</v>
      </c>
      <c r="EP242" s="129" t="s">
        <v>160</v>
      </c>
      <c r="EQ242" s="129" t="s">
        <v>160</v>
      </c>
      <c r="ER242" s="129" t="s">
        <v>160</v>
      </c>
      <c r="ES242" s="141">
        <v>8.1641879999999993</v>
      </c>
      <c r="ET242" s="142" t="s">
        <v>165</v>
      </c>
      <c r="EU242" s="141">
        <v>4.0458000000000993E-2</v>
      </c>
      <c r="EV242" s="141">
        <v>4.1500999999998456E-2</v>
      </c>
      <c r="EW242" s="142" t="s">
        <v>160</v>
      </c>
      <c r="EX242" s="129" t="s">
        <v>160</v>
      </c>
      <c r="EY242" s="129" t="s">
        <v>160</v>
      </c>
      <c r="EZ242" s="141">
        <v>247.5068</v>
      </c>
      <c r="FA242" s="141">
        <v>32.040300000000002</v>
      </c>
      <c r="FB242" s="141">
        <v>28.053800000000024</v>
      </c>
      <c r="FC242" s="129" t="s">
        <v>220</v>
      </c>
      <c r="FD242" s="129" t="s">
        <v>221</v>
      </c>
      <c r="FE242" s="129">
        <v>2274.1109999999999</v>
      </c>
      <c r="FF242" s="129">
        <v>62.128000000000156</v>
      </c>
      <c r="FG242" s="129">
        <v>62.234999999999673</v>
      </c>
      <c r="FH242" s="129" t="s">
        <v>437</v>
      </c>
      <c r="FI242" s="129" t="s">
        <v>437</v>
      </c>
      <c r="FJ242" s="129" t="s">
        <v>437</v>
      </c>
      <c r="FK242" s="129" t="s">
        <v>437</v>
      </c>
      <c r="FL242" s="129" t="s">
        <v>437</v>
      </c>
      <c r="FM242" s="129" t="s">
        <v>437</v>
      </c>
      <c r="FN242" s="151">
        <v>4.4491719999999999</v>
      </c>
      <c r="FO242" s="151">
        <v>0.33790799999999965</v>
      </c>
      <c r="FP242" s="151">
        <v>0.31864600000000021</v>
      </c>
      <c r="FQ242" s="178" t="s">
        <v>419</v>
      </c>
      <c r="FR242" s="129" t="s">
        <v>439</v>
      </c>
      <c r="FS242" s="129">
        <v>2015</v>
      </c>
      <c r="FT242" s="129" t="s">
        <v>440</v>
      </c>
    </row>
    <row r="243" spans="1:176" s="129" customFormat="1" ht="17">
      <c r="A243" s="123" t="s">
        <v>152</v>
      </c>
      <c r="B243" s="166" t="s">
        <v>183</v>
      </c>
      <c r="C243" s="166">
        <v>2018</v>
      </c>
      <c r="D243" s="166" t="s">
        <v>184</v>
      </c>
      <c r="E243" s="151">
        <f t="shared" si="25"/>
        <v>2680.359375</v>
      </c>
      <c r="F243" s="191" t="s">
        <v>160</v>
      </c>
      <c r="G243" s="191" t="s">
        <v>160</v>
      </c>
      <c r="H243" s="151">
        <v>297.9658</v>
      </c>
      <c r="I243" s="151">
        <v>39.291899999999998</v>
      </c>
      <c r="J243" s="151">
        <v>33.713599999999985</v>
      </c>
      <c r="K243" s="129" t="s">
        <v>457</v>
      </c>
      <c r="L243" s="131" t="s">
        <v>185</v>
      </c>
      <c r="M243" s="132" t="s">
        <v>186</v>
      </c>
      <c r="N243" s="129" t="s">
        <v>184</v>
      </c>
      <c r="O243" s="129" t="s">
        <v>420</v>
      </c>
      <c r="P243" s="129" t="s">
        <v>156</v>
      </c>
      <c r="Q243" s="219">
        <v>10</v>
      </c>
      <c r="R243" s="219">
        <v>3</v>
      </c>
      <c r="S243" s="219">
        <v>77</v>
      </c>
      <c r="T243" s="219">
        <v>79</v>
      </c>
      <c r="U243" s="178" t="s">
        <v>160</v>
      </c>
      <c r="V243" s="178" t="s">
        <v>160</v>
      </c>
      <c r="W243" s="178" t="s">
        <v>160</v>
      </c>
      <c r="X243" s="129" t="s">
        <v>157</v>
      </c>
      <c r="Y243" s="136">
        <v>12.75</v>
      </c>
      <c r="Z243" s="136">
        <v>-78.73</v>
      </c>
      <c r="AA243" s="136">
        <v>12.75</v>
      </c>
      <c r="AB243" s="136">
        <v>-78.73</v>
      </c>
      <c r="AC243" s="136">
        <v>-2828</v>
      </c>
      <c r="AD243" s="136">
        <v>-2828</v>
      </c>
      <c r="AE243" s="129" t="s">
        <v>160</v>
      </c>
      <c r="AF243" s="129" t="s">
        <v>160</v>
      </c>
      <c r="AG243" s="141">
        <v>2680.359375</v>
      </c>
      <c r="AH243" s="138" t="s">
        <v>159</v>
      </c>
      <c r="AI243" s="129" t="s">
        <v>160</v>
      </c>
      <c r="AJ243" s="129" t="s">
        <v>160</v>
      </c>
      <c r="AK243" s="178" t="s">
        <v>160</v>
      </c>
      <c r="AL243" s="178" t="s">
        <v>441</v>
      </c>
      <c r="AM243" s="178" t="s">
        <v>160</v>
      </c>
      <c r="AN243" s="129" t="s">
        <v>160</v>
      </c>
      <c r="AO243" s="129" t="s">
        <v>160</v>
      </c>
      <c r="AP243" s="129" t="s">
        <v>160</v>
      </c>
      <c r="AQ243" s="129" t="s">
        <v>160</v>
      </c>
      <c r="AR243" s="129" t="s">
        <v>160</v>
      </c>
      <c r="AS243" s="129" t="s">
        <v>160</v>
      </c>
      <c r="AT243" s="129" t="s">
        <v>160</v>
      </c>
      <c r="AU243" s="213" t="s">
        <v>442</v>
      </c>
      <c r="AV243" s="129" t="s">
        <v>161</v>
      </c>
      <c r="AW243" s="189" t="s">
        <v>443</v>
      </c>
      <c r="AX243" s="205" t="s">
        <v>444</v>
      </c>
      <c r="AY243" s="205" t="s">
        <v>353</v>
      </c>
      <c r="AZ243" s="205" t="s">
        <v>325</v>
      </c>
      <c r="BA243" s="214" t="s">
        <v>162</v>
      </c>
      <c r="BB243" s="129" t="s">
        <v>445</v>
      </c>
      <c r="BC243" s="129" t="s">
        <v>445</v>
      </c>
      <c r="BD243" s="129" t="s">
        <v>445</v>
      </c>
      <c r="BE243" s="141">
        <v>20.041049999999998</v>
      </c>
      <c r="BF243" s="129" t="s">
        <v>446</v>
      </c>
      <c r="BG243" s="141">
        <v>9.4179804000000006E-2</v>
      </c>
      <c r="BH243" s="129">
        <v>0.6</v>
      </c>
      <c r="BI243" s="129" t="s">
        <v>427</v>
      </c>
      <c r="BJ243" s="138">
        <v>0.08</v>
      </c>
      <c r="BK243" s="129">
        <v>8.8699999999999992</v>
      </c>
      <c r="BL243" s="129" t="s">
        <v>163</v>
      </c>
      <c r="BM243" s="129">
        <v>1.52</v>
      </c>
      <c r="BN243" s="129" t="s">
        <v>428</v>
      </c>
      <c r="BO243" s="129" t="s">
        <v>448</v>
      </c>
      <c r="BP243" s="141">
        <f t="shared" si="26"/>
        <v>18.618416666666665</v>
      </c>
      <c r="BQ243" s="129" t="s">
        <v>202</v>
      </c>
      <c r="BR243" s="217"/>
      <c r="BS243" s="129" t="s">
        <v>160</v>
      </c>
      <c r="BT243" s="129" t="s">
        <v>160</v>
      </c>
      <c r="BU243" s="129">
        <v>10</v>
      </c>
      <c r="BV243" s="129" t="s">
        <v>159</v>
      </c>
      <c r="BW243" s="129">
        <v>10</v>
      </c>
      <c r="BX243" s="141">
        <v>24.483638149928829</v>
      </c>
      <c r="BY243" s="129" t="s">
        <v>159</v>
      </c>
      <c r="BZ243" s="129">
        <v>1</v>
      </c>
      <c r="CA243" s="129">
        <v>1</v>
      </c>
      <c r="CB243" s="141">
        <v>3.3413842560206395</v>
      </c>
      <c r="CC243" s="141">
        <v>3.3413842560206395</v>
      </c>
      <c r="CD243" s="129" t="s">
        <v>449</v>
      </c>
      <c r="CE243" s="151">
        <f t="shared" si="27"/>
        <v>9.0217374912557269E-2</v>
      </c>
      <c r="CF243" s="151">
        <f t="shared" si="28"/>
        <v>9.0217374912557269E-2</v>
      </c>
      <c r="CG243" s="145" t="s">
        <v>203</v>
      </c>
      <c r="CH243" s="129" t="s">
        <v>204</v>
      </c>
      <c r="CI243" s="129" t="s">
        <v>205</v>
      </c>
      <c r="CJ243" s="129" t="s">
        <v>206</v>
      </c>
      <c r="CK243" s="129" t="s">
        <v>158</v>
      </c>
      <c r="CL243" s="129" t="s">
        <v>158</v>
      </c>
      <c r="CM243" s="129" t="s">
        <v>158</v>
      </c>
      <c r="CN243" s="129" t="s">
        <v>160</v>
      </c>
      <c r="CO243" s="129" t="s">
        <v>160</v>
      </c>
      <c r="CP243" s="129" t="s">
        <v>160</v>
      </c>
      <c r="CQ243" s="129" t="s">
        <v>160</v>
      </c>
      <c r="CR243" s="129" t="s">
        <v>160</v>
      </c>
      <c r="CS243" s="129" t="s">
        <v>160</v>
      </c>
      <c r="CT243" s="129" t="s">
        <v>160</v>
      </c>
      <c r="CU243" s="215">
        <v>35</v>
      </c>
      <c r="CV243" s="129" t="s">
        <v>393</v>
      </c>
      <c r="CW243" s="146">
        <v>1</v>
      </c>
      <c r="CX243" s="129" t="s">
        <v>207</v>
      </c>
      <c r="CY243" s="129">
        <v>1.06E-2</v>
      </c>
      <c r="CZ243" s="129" t="s">
        <v>159</v>
      </c>
      <c r="DA243" s="146">
        <v>0</v>
      </c>
      <c r="DB243" s="129" t="s">
        <v>208</v>
      </c>
      <c r="DC243" s="129">
        <v>5.5100000000000003E-2</v>
      </c>
      <c r="DD243" s="129" t="s">
        <v>159</v>
      </c>
      <c r="DE243" s="146">
        <v>0</v>
      </c>
      <c r="DF243" s="129" t="s">
        <v>208</v>
      </c>
      <c r="DG243" s="178" t="s">
        <v>160</v>
      </c>
      <c r="DH243" s="178" t="s">
        <v>160</v>
      </c>
      <c r="DI243" s="178" t="s">
        <v>160</v>
      </c>
      <c r="DJ243" s="178" t="s">
        <v>160</v>
      </c>
      <c r="DK243" s="145">
        <v>432.56244218316402</v>
      </c>
      <c r="DL243" s="129" t="s">
        <v>433</v>
      </c>
      <c r="DM243" s="145" t="s">
        <v>160</v>
      </c>
      <c r="DN243" s="129" t="s">
        <v>434</v>
      </c>
      <c r="DO243" s="129">
        <v>39.717230000000001</v>
      </c>
      <c r="DP243" s="129" t="s">
        <v>160</v>
      </c>
      <c r="DQ243" s="129">
        <v>0.34355999999999653</v>
      </c>
      <c r="DR243" s="129" t="s">
        <v>450</v>
      </c>
      <c r="DS243" s="129" t="s">
        <v>212</v>
      </c>
      <c r="DT243" s="129" t="s">
        <v>213</v>
      </c>
      <c r="DU243" s="129">
        <v>1.0271999999999999</v>
      </c>
      <c r="DV243" s="129" t="s">
        <v>393</v>
      </c>
      <c r="DW243" s="129">
        <v>5.9999999999999995E-4</v>
      </c>
      <c r="DX243" s="129" t="s">
        <v>436</v>
      </c>
      <c r="DY243" s="129" t="s">
        <v>160</v>
      </c>
      <c r="DZ243" s="129" t="s">
        <v>160</v>
      </c>
      <c r="EA243" s="129" t="s">
        <v>216</v>
      </c>
      <c r="EB243" s="129" t="s">
        <v>212</v>
      </c>
      <c r="EC243" s="129" t="s">
        <v>212</v>
      </c>
      <c r="ED243" s="129" t="s">
        <v>212</v>
      </c>
      <c r="EE243" s="129" t="s">
        <v>217</v>
      </c>
      <c r="EF243" s="147" t="s">
        <v>213</v>
      </c>
      <c r="EG243" s="148" t="s">
        <v>213</v>
      </c>
      <c r="EH243" s="129" t="s">
        <v>218</v>
      </c>
      <c r="EI243" s="129" t="s">
        <v>417</v>
      </c>
      <c r="EJ243" s="129" t="s">
        <v>160</v>
      </c>
      <c r="EK243" s="129">
        <v>1945.2380000000001</v>
      </c>
      <c r="EL243" s="129" t="s">
        <v>163</v>
      </c>
      <c r="EM243" s="129">
        <v>46.643999999999984</v>
      </c>
      <c r="EN243" s="129">
        <v>44.519000000000027</v>
      </c>
      <c r="EO243" s="129" t="s">
        <v>160</v>
      </c>
      <c r="EP243" s="129" t="s">
        <v>160</v>
      </c>
      <c r="EQ243" s="129" t="s">
        <v>160</v>
      </c>
      <c r="ER243" s="129" t="s">
        <v>160</v>
      </c>
      <c r="ES243" s="141">
        <v>8.0992639999999998</v>
      </c>
      <c r="ET243" s="142" t="s">
        <v>165</v>
      </c>
      <c r="EU243" s="141">
        <v>4.146099999999997E-2</v>
      </c>
      <c r="EV243" s="141">
        <v>4.3590000000000018E-2</v>
      </c>
      <c r="EW243" s="142" t="s">
        <v>160</v>
      </c>
      <c r="EX243" s="129" t="s">
        <v>160</v>
      </c>
      <c r="EY243" s="129" t="s">
        <v>160</v>
      </c>
      <c r="EZ243" s="141">
        <v>297.9658</v>
      </c>
      <c r="FA243" s="141">
        <v>39.291899999999998</v>
      </c>
      <c r="FB243" s="141">
        <v>33.713599999999985</v>
      </c>
      <c r="FC243" s="129" t="s">
        <v>220</v>
      </c>
      <c r="FD243" s="129" t="s">
        <v>221</v>
      </c>
      <c r="FE243" s="129">
        <v>2219.453</v>
      </c>
      <c r="FF243" s="129">
        <v>59.9050000000002</v>
      </c>
      <c r="FG243" s="129">
        <v>59.985999999999876</v>
      </c>
      <c r="FH243" s="129" t="s">
        <v>437</v>
      </c>
      <c r="FI243" s="129" t="s">
        <v>437</v>
      </c>
      <c r="FJ243" s="129" t="s">
        <v>437</v>
      </c>
      <c r="FK243" s="129" t="s">
        <v>437</v>
      </c>
      <c r="FL243" s="129" t="s">
        <v>437</v>
      </c>
      <c r="FM243" s="129" t="s">
        <v>437</v>
      </c>
      <c r="FN243" s="151">
        <v>3.7802709999999999</v>
      </c>
      <c r="FO243" s="151">
        <v>0.30610400000000038</v>
      </c>
      <c r="FP243" s="151">
        <v>0.29492899999999977</v>
      </c>
      <c r="FQ243" s="178" t="s">
        <v>419</v>
      </c>
      <c r="FR243" s="129" t="s">
        <v>439</v>
      </c>
      <c r="FS243" s="129">
        <v>2015</v>
      </c>
      <c r="FT243" s="129" t="s">
        <v>440</v>
      </c>
    </row>
    <row r="244" spans="1:176" s="129" customFormat="1" ht="17">
      <c r="A244" s="123" t="s">
        <v>152</v>
      </c>
      <c r="B244" s="166" t="s">
        <v>183</v>
      </c>
      <c r="C244" s="166">
        <v>2018</v>
      </c>
      <c r="D244" s="166" t="s">
        <v>184</v>
      </c>
      <c r="E244" s="151">
        <f t="shared" si="25"/>
        <v>2686.5603030000002</v>
      </c>
      <c r="F244" s="191" t="s">
        <v>160</v>
      </c>
      <c r="G244" s="191" t="s">
        <v>160</v>
      </c>
      <c r="H244" s="151">
        <v>265.0711</v>
      </c>
      <c r="I244" s="151">
        <v>33.880999999999972</v>
      </c>
      <c r="J244" s="151">
        <v>30.5137</v>
      </c>
      <c r="K244" s="129" t="s">
        <v>457</v>
      </c>
      <c r="L244" s="131" t="s">
        <v>185</v>
      </c>
      <c r="M244" s="132" t="s">
        <v>186</v>
      </c>
      <c r="N244" s="129" t="s">
        <v>184</v>
      </c>
      <c r="O244" s="129" t="s">
        <v>420</v>
      </c>
      <c r="P244" s="129" t="s">
        <v>156</v>
      </c>
      <c r="Q244" s="178">
        <v>10</v>
      </c>
      <c r="R244" s="178">
        <v>3</v>
      </c>
      <c r="S244" s="178">
        <v>100</v>
      </c>
      <c r="T244" s="178">
        <v>102</v>
      </c>
      <c r="U244" s="178" t="s">
        <v>160</v>
      </c>
      <c r="V244" s="178" t="s">
        <v>160</v>
      </c>
      <c r="W244" s="178" t="s">
        <v>160</v>
      </c>
      <c r="X244" s="129" t="s">
        <v>157</v>
      </c>
      <c r="Y244" s="136">
        <v>12.75</v>
      </c>
      <c r="Z244" s="136">
        <v>-78.73</v>
      </c>
      <c r="AA244" s="136">
        <v>12.75</v>
      </c>
      <c r="AB244" s="136">
        <v>-78.73</v>
      </c>
      <c r="AC244" s="136">
        <v>-2828</v>
      </c>
      <c r="AD244" s="136">
        <v>-2828</v>
      </c>
      <c r="AE244" s="129" t="s">
        <v>160</v>
      </c>
      <c r="AF244" s="129" t="s">
        <v>160</v>
      </c>
      <c r="AG244" s="141">
        <v>2686.5603030000002</v>
      </c>
      <c r="AH244" s="138" t="s">
        <v>159</v>
      </c>
      <c r="AI244" s="129" t="s">
        <v>160</v>
      </c>
      <c r="AJ244" s="129" t="s">
        <v>160</v>
      </c>
      <c r="AK244" s="178" t="s">
        <v>160</v>
      </c>
      <c r="AL244" s="178" t="s">
        <v>441</v>
      </c>
      <c r="AM244" s="178" t="s">
        <v>160</v>
      </c>
      <c r="AN244" s="129" t="s">
        <v>160</v>
      </c>
      <c r="AO244" s="129" t="s">
        <v>160</v>
      </c>
      <c r="AP244" s="129" t="s">
        <v>160</v>
      </c>
      <c r="AQ244" s="129" t="s">
        <v>160</v>
      </c>
      <c r="AR244" s="129" t="s">
        <v>160</v>
      </c>
      <c r="AS244" s="129" t="s">
        <v>160</v>
      </c>
      <c r="AT244" s="129" t="s">
        <v>160</v>
      </c>
      <c r="AU244" s="213" t="s">
        <v>442</v>
      </c>
      <c r="AV244" s="129" t="s">
        <v>161</v>
      </c>
      <c r="AW244" s="189" t="s">
        <v>443</v>
      </c>
      <c r="AX244" s="189" t="s">
        <v>444</v>
      </c>
      <c r="AY244" s="205" t="s">
        <v>353</v>
      </c>
      <c r="AZ244" s="205" t="s">
        <v>325</v>
      </c>
      <c r="BA244" s="129" t="s">
        <v>162</v>
      </c>
      <c r="BB244" s="129" t="s">
        <v>445</v>
      </c>
      <c r="BC244" s="129" t="s">
        <v>445</v>
      </c>
      <c r="BD244" s="129" t="s">
        <v>445</v>
      </c>
      <c r="BE244" s="141">
        <v>20.31268</v>
      </c>
      <c r="BF244" s="129" t="s">
        <v>446</v>
      </c>
      <c r="BG244" s="141">
        <v>0.100049095</v>
      </c>
      <c r="BH244" s="129">
        <v>0.6</v>
      </c>
      <c r="BI244" s="129" t="s">
        <v>427</v>
      </c>
      <c r="BJ244" s="138">
        <v>0.08</v>
      </c>
      <c r="BK244" s="129">
        <v>8.8699999999999992</v>
      </c>
      <c r="BL244" s="129" t="s">
        <v>163</v>
      </c>
      <c r="BM244" s="129">
        <v>1.52</v>
      </c>
      <c r="BN244" s="129" t="s">
        <v>428</v>
      </c>
      <c r="BO244" s="129" t="s">
        <v>448</v>
      </c>
      <c r="BP244" s="141">
        <f t="shared" si="26"/>
        <v>19.071133333333336</v>
      </c>
      <c r="BQ244" s="129" t="s">
        <v>202</v>
      </c>
      <c r="BR244" s="217"/>
      <c r="BS244" s="129" t="s">
        <v>160</v>
      </c>
      <c r="BT244" s="129" t="s">
        <v>160</v>
      </c>
      <c r="BU244" s="129">
        <v>10</v>
      </c>
      <c r="BV244" s="129" t="s">
        <v>159</v>
      </c>
      <c r="BW244" s="129">
        <v>10</v>
      </c>
      <c r="BX244" s="141">
        <v>24.267028351232899</v>
      </c>
      <c r="BY244" s="129" t="s">
        <v>159</v>
      </c>
      <c r="BZ244" s="129">
        <v>1</v>
      </c>
      <c r="CA244" s="129">
        <v>1</v>
      </c>
      <c r="CB244" s="141">
        <v>3.2766595106834946</v>
      </c>
      <c r="CC244" s="141">
        <v>3.2766595106834946</v>
      </c>
      <c r="CD244" s="129" t="s">
        <v>449</v>
      </c>
      <c r="CE244" s="151">
        <f t="shared" si="27"/>
        <v>8.8469806788454355E-2</v>
      </c>
      <c r="CF244" s="151">
        <f t="shared" si="28"/>
        <v>8.8469806788454355E-2</v>
      </c>
      <c r="CG244" s="145" t="s">
        <v>203</v>
      </c>
      <c r="CH244" s="129" t="s">
        <v>204</v>
      </c>
      <c r="CI244" s="129" t="s">
        <v>205</v>
      </c>
      <c r="CJ244" s="129" t="s">
        <v>206</v>
      </c>
      <c r="CK244" s="129" t="s">
        <v>158</v>
      </c>
      <c r="CL244" s="129" t="s">
        <v>158</v>
      </c>
      <c r="CM244" s="129" t="s">
        <v>158</v>
      </c>
      <c r="CN244" s="129" t="s">
        <v>160</v>
      </c>
      <c r="CO244" s="129" t="s">
        <v>160</v>
      </c>
      <c r="CP244" s="129" t="s">
        <v>160</v>
      </c>
      <c r="CQ244" s="129" t="s">
        <v>160</v>
      </c>
      <c r="CR244" s="129" t="s">
        <v>160</v>
      </c>
      <c r="CS244" s="129" t="s">
        <v>160</v>
      </c>
      <c r="CT244" s="129" t="s">
        <v>160</v>
      </c>
      <c r="CU244" s="215">
        <v>35</v>
      </c>
      <c r="CV244" s="129" t="s">
        <v>393</v>
      </c>
      <c r="CW244" s="146">
        <v>1</v>
      </c>
      <c r="CX244" s="129" t="s">
        <v>207</v>
      </c>
      <c r="CY244" s="129">
        <v>1.06E-2</v>
      </c>
      <c r="CZ244" s="129" t="s">
        <v>159</v>
      </c>
      <c r="DA244" s="146">
        <v>0</v>
      </c>
      <c r="DB244" s="129" t="s">
        <v>208</v>
      </c>
      <c r="DC244" s="129">
        <v>5.5100000000000003E-2</v>
      </c>
      <c r="DD244" s="129" t="s">
        <v>159</v>
      </c>
      <c r="DE244" s="146">
        <v>0</v>
      </c>
      <c r="DF244" s="129" t="s">
        <v>208</v>
      </c>
      <c r="DG244" s="178" t="s">
        <v>160</v>
      </c>
      <c r="DH244" s="178" t="s">
        <v>160</v>
      </c>
      <c r="DI244" s="178" t="s">
        <v>160</v>
      </c>
      <c r="DJ244" s="178" t="s">
        <v>160</v>
      </c>
      <c r="DK244" s="145">
        <v>432.56244218316402</v>
      </c>
      <c r="DL244" s="129" t="s">
        <v>433</v>
      </c>
      <c r="DM244" s="145" t="s">
        <v>160</v>
      </c>
      <c r="DN244" s="129" t="s">
        <v>434</v>
      </c>
      <c r="DO244" s="129">
        <v>39.723779999999998</v>
      </c>
      <c r="DP244" s="129" t="s">
        <v>160</v>
      </c>
      <c r="DQ244" s="129">
        <v>0.33960000000000434</v>
      </c>
      <c r="DR244" s="129" t="s">
        <v>450</v>
      </c>
      <c r="DS244" s="129" t="s">
        <v>212</v>
      </c>
      <c r="DT244" s="129" t="s">
        <v>213</v>
      </c>
      <c r="DU244" s="129">
        <v>1.0271999999999999</v>
      </c>
      <c r="DV244" s="129" t="s">
        <v>393</v>
      </c>
      <c r="DW244" s="129">
        <v>5.9999999999999995E-4</v>
      </c>
      <c r="DX244" s="129" t="s">
        <v>436</v>
      </c>
      <c r="DY244" s="129" t="s">
        <v>160</v>
      </c>
      <c r="DZ244" s="129" t="s">
        <v>160</v>
      </c>
      <c r="EA244" s="129" t="s">
        <v>216</v>
      </c>
      <c r="EB244" s="129" t="s">
        <v>212</v>
      </c>
      <c r="EC244" s="129" t="s">
        <v>212</v>
      </c>
      <c r="ED244" s="129" t="s">
        <v>212</v>
      </c>
      <c r="EE244" s="129" t="s">
        <v>217</v>
      </c>
      <c r="EF244" s="147" t="s">
        <v>213</v>
      </c>
      <c r="EG244" s="148" t="s">
        <v>213</v>
      </c>
      <c r="EH244" s="129" t="s">
        <v>218</v>
      </c>
      <c r="EI244" s="129" t="s">
        <v>417</v>
      </c>
      <c r="EJ244" s="129" t="s">
        <v>160</v>
      </c>
      <c r="EK244" s="129">
        <v>1945.6869999999999</v>
      </c>
      <c r="EL244" s="129" t="s">
        <v>163</v>
      </c>
      <c r="EM244" s="129">
        <v>44.739000000000019</v>
      </c>
      <c r="EN244" s="129">
        <v>45.42999999999995</v>
      </c>
      <c r="EO244" s="129" t="s">
        <v>160</v>
      </c>
      <c r="EP244" s="129" t="s">
        <v>160</v>
      </c>
      <c r="EQ244" s="129" t="s">
        <v>160</v>
      </c>
      <c r="ER244" s="129" t="s">
        <v>160</v>
      </c>
      <c r="ES244" s="141">
        <v>8.1401900000000005</v>
      </c>
      <c r="ET244" s="142" t="s">
        <v>165</v>
      </c>
      <c r="EU244" s="141">
        <v>4.0841999999999601E-2</v>
      </c>
      <c r="EV244" s="141">
        <v>4.19350000000005E-2</v>
      </c>
      <c r="EW244" s="142" t="s">
        <v>160</v>
      </c>
      <c r="EX244" s="129" t="s">
        <v>160</v>
      </c>
      <c r="EY244" s="129" t="s">
        <v>160</v>
      </c>
      <c r="EZ244" s="141">
        <v>265.0711</v>
      </c>
      <c r="FA244" s="141">
        <v>33.880999999999972</v>
      </c>
      <c r="FB244" s="141">
        <v>30.5137</v>
      </c>
      <c r="FC244" s="129" t="s">
        <v>220</v>
      </c>
      <c r="FD244" s="129" t="s">
        <v>221</v>
      </c>
      <c r="FE244" s="129">
        <v>2244.4639999999999</v>
      </c>
      <c r="FF244" s="129">
        <v>62.335000000000036</v>
      </c>
      <c r="FG244" s="129">
        <v>61.39200000000028</v>
      </c>
      <c r="FH244" s="129" t="s">
        <v>437</v>
      </c>
      <c r="FI244" s="129" t="s">
        <v>437</v>
      </c>
      <c r="FJ244" s="129" t="s">
        <v>437</v>
      </c>
      <c r="FK244" s="129" t="s">
        <v>437</v>
      </c>
      <c r="FL244" s="129" t="s">
        <v>437</v>
      </c>
      <c r="FM244" s="129" t="s">
        <v>437</v>
      </c>
      <c r="FN244" s="151">
        <v>4.0744199999999999</v>
      </c>
      <c r="FO244" s="151">
        <v>0.31918700000000033</v>
      </c>
      <c r="FP244" s="151">
        <v>0.29799400000000009</v>
      </c>
      <c r="FQ244" s="178" t="s">
        <v>419</v>
      </c>
      <c r="FR244" s="129" t="s">
        <v>439</v>
      </c>
      <c r="FS244" s="129">
        <v>2015</v>
      </c>
      <c r="FT244" s="129" t="s">
        <v>440</v>
      </c>
    </row>
    <row r="245" spans="1:176" s="129" customFormat="1" ht="17">
      <c r="A245" s="123" t="s">
        <v>152</v>
      </c>
      <c r="B245" s="166" t="s">
        <v>183</v>
      </c>
      <c r="C245" s="166">
        <v>2018</v>
      </c>
      <c r="D245" s="166" t="s">
        <v>184</v>
      </c>
      <c r="E245" s="151">
        <f t="shared" si="25"/>
        <v>2695.158203</v>
      </c>
      <c r="F245" s="191" t="s">
        <v>160</v>
      </c>
      <c r="G245" s="191" t="s">
        <v>160</v>
      </c>
      <c r="H245" s="151">
        <v>256.3254</v>
      </c>
      <c r="I245" s="151">
        <v>32.805799999999977</v>
      </c>
      <c r="J245" s="151">
        <v>29.304599999999994</v>
      </c>
      <c r="K245" s="129" t="s">
        <v>457</v>
      </c>
      <c r="L245" s="131" t="s">
        <v>185</v>
      </c>
      <c r="M245" s="132" t="s">
        <v>186</v>
      </c>
      <c r="N245" s="129" t="s">
        <v>184</v>
      </c>
      <c r="O245" s="129" t="s">
        <v>420</v>
      </c>
      <c r="P245" s="129" t="s">
        <v>156</v>
      </c>
      <c r="Q245" s="178">
        <v>10</v>
      </c>
      <c r="R245" s="178">
        <v>3</v>
      </c>
      <c r="S245" s="178">
        <v>140</v>
      </c>
      <c r="T245" s="178">
        <v>142</v>
      </c>
      <c r="U245" s="178" t="s">
        <v>160</v>
      </c>
      <c r="V245" s="178" t="s">
        <v>160</v>
      </c>
      <c r="W245" s="178" t="s">
        <v>160</v>
      </c>
      <c r="X245" s="129" t="s">
        <v>157</v>
      </c>
      <c r="Y245" s="136">
        <v>12.75</v>
      </c>
      <c r="Z245" s="136">
        <v>-78.73</v>
      </c>
      <c r="AA245" s="136">
        <v>12.75</v>
      </c>
      <c r="AB245" s="136">
        <v>-78.73</v>
      </c>
      <c r="AC245" s="136">
        <v>-2828</v>
      </c>
      <c r="AD245" s="136">
        <v>-2828</v>
      </c>
      <c r="AE245" s="129" t="s">
        <v>160</v>
      </c>
      <c r="AF245" s="129" t="s">
        <v>160</v>
      </c>
      <c r="AG245" s="141">
        <v>2695.158203</v>
      </c>
      <c r="AH245" s="138" t="s">
        <v>159</v>
      </c>
      <c r="AI245" s="129" t="s">
        <v>160</v>
      </c>
      <c r="AJ245" s="129" t="s">
        <v>160</v>
      </c>
      <c r="AK245" s="178" t="s">
        <v>160</v>
      </c>
      <c r="AL245" s="178" t="s">
        <v>441</v>
      </c>
      <c r="AM245" s="178" t="s">
        <v>160</v>
      </c>
      <c r="AN245" s="129" t="s">
        <v>160</v>
      </c>
      <c r="AO245" s="129" t="s">
        <v>160</v>
      </c>
      <c r="AP245" s="129" t="s">
        <v>160</v>
      </c>
      <c r="AQ245" s="129" t="s">
        <v>160</v>
      </c>
      <c r="AR245" s="129" t="s">
        <v>160</v>
      </c>
      <c r="AS245" s="129" t="s">
        <v>160</v>
      </c>
      <c r="AT245" s="129" t="s">
        <v>160</v>
      </c>
      <c r="AU245" s="213" t="s">
        <v>442</v>
      </c>
      <c r="AV245" s="129" t="s">
        <v>161</v>
      </c>
      <c r="AW245" s="189" t="s">
        <v>443</v>
      </c>
      <c r="AX245" s="205" t="s">
        <v>444</v>
      </c>
      <c r="AY245" s="205" t="s">
        <v>353</v>
      </c>
      <c r="AZ245" s="205" t="s">
        <v>325</v>
      </c>
      <c r="BA245" s="214" t="s">
        <v>162</v>
      </c>
      <c r="BB245" s="129" t="s">
        <v>445</v>
      </c>
      <c r="BC245" s="129" t="s">
        <v>445</v>
      </c>
      <c r="BD245" s="129" t="s">
        <v>445</v>
      </c>
      <c r="BE245" s="141">
        <v>20.347470000000001</v>
      </c>
      <c r="BF245" s="129" t="s">
        <v>446</v>
      </c>
      <c r="BG245" s="141">
        <v>9.0696233000000001E-2</v>
      </c>
      <c r="BH245" s="129">
        <v>0.6</v>
      </c>
      <c r="BI245" s="129" t="s">
        <v>427</v>
      </c>
      <c r="BJ245" s="138">
        <v>0.08</v>
      </c>
      <c r="BK245" s="129">
        <v>8.8699999999999992</v>
      </c>
      <c r="BL245" s="129" t="s">
        <v>163</v>
      </c>
      <c r="BM245" s="129">
        <v>1.52</v>
      </c>
      <c r="BN245" s="129" t="s">
        <v>428</v>
      </c>
      <c r="BO245" s="129" t="s">
        <v>448</v>
      </c>
      <c r="BP245" s="141">
        <f t="shared" si="26"/>
        <v>19.129116666666672</v>
      </c>
      <c r="BQ245" s="129" t="s">
        <v>202</v>
      </c>
      <c r="BR245" s="217"/>
      <c r="BS245" s="129" t="s">
        <v>160</v>
      </c>
      <c r="BT245" s="129" t="s">
        <v>160</v>
      </c>
      <c r="BU245" s="129">
        <v>10</v>
      </c>
      <c r="BV245" s="129" t="s">
        <v>159</v>
      </c>
      <c r="BW245" s="129">
        <v>10</v>
      </c>
      <c r="BX245" s="141">
        <v>23.758357704861243</v>
      </c>
      <c r="BY245" s="129" t="s">
        <v>159</v>
      </c>
      <c r="BZ245" s="129">
        <v>1</v>
      </c>
      <c r="CA245" s="129">
        <v>1</v>
      </c>
      <c r="CB245" s="141">
        <v>3.1297490837155149</v>
      </c>
      <c r="CC245" s="141">
        <v>3.1297490837155149</v>
      </c>
      <c r="CD245" s="129" t="s">
        <v>449</v>
      </c>
      <c r="CE245" s="151">
        <f t="shared" si="27"/>
        <v>8.4503225260318907E-2</v>
      </c>
      <c r="CF245" s="151">
        <f t="shared" si="28"/>
        <v>8.4503225260318907E-2</v>
      </c>
      <c r="CG245" s="145" t="s">
        <v>203</v>
      </c>
      <c r="CH245" s="129" t="s">
        <v>204</v>
      </c>
      <c r="CI245" s="129" t="s">
        <v>205</v>
      </c>
      <c r="CJ245" s="129" t="s">
        <v>206</v>
      </c>
      <c r="CK245" s="129" t="s">
        <v>158</v>
      </c>
      <c r="CL245" s="129" t="s">
        <v>158</v>
      </c>
      <c r="CM245" s="129" t="s">
        <v>158</v>
      </c>
      <c r="CN245" s="129" t="s">
        <v>160</v>
      </c>
      <c r="CO245" s="129" t="s">
        <v>160</v>
      </c>
      <c r="CP245" s="129" t="s">
        <v>160</v>
      </c>
      <c r="CQ245" s="129" t="s">
        <v>160</v>
      </c>
      <c r="CR245" s="129" t="s">
        <v>160</v>
      </c>
      <c r="CS245" s="129" t="s">
        <v>160</v>
      </c>
      <c r="CT245" s="129" t="s">
        <v>160</v>
      </c>
      <c r="CU245" s="215">
        <v>35</v>
      </c>
      <c r="CV245" s="129" t="s">
        <v>393</v>
      </c>
      <c r="CW245" s="146">
        <v>1</v>
      </c>
      <c r="CX245" s="129" t="s">
        <v>207</v>
      </c>
      <c r="CY245" s="129">
        <v>1.06E-2</v>
      </c>
      <c r="CZ245" s="129" t="s">
        <v>159</v>
      </c>
      <c r="DA245" s="146">
        <v>0</v>
      </c>
      <c r="DB245" s="129" t="s">
        <v>208</v>
      </c>
      <c r="DC245" s="129">
        <v>5.5100000000000003E-2</v>
      </c>
      <c r="DD245" s="129" t="s">
        <v>159</v>
      </c>
      <c r="DE245" s="146">
        <v>0</v>
      </c>
      <c r="DF245" s="129" t="s">
        <v>208</v>
      </c>
      <c r="DG245" s="178" t="s">
        <v>160</v>
      </c>
      <c r="DH245" s="178" t="s">
        <v>160</v>
      </c>
      <c r="DI245" s="178" t="s">
        <v>160</v>
      </c>
      <c r="DJ245" s="178" t="s">
        <v>160</v>
      </c>
      <c r="DK245" s="145">
        <v>432.56244218316402</v>
      </c>
      <c r="DL245" s="129" t="s">
        <v>433</v>
      </c>
      <c r="DM245" s="145" t="s">
        <v>160</v>
      </c>
      <c r="DN245" s="129" t="s">
        <v>434</v>
      </c>
      <c r="DO245" s="129">
        <v>39.718980000000002</v>
      </c>
      <c r="DP245" s="129" t="s">
        <v>160</v>
      </c>
      <c r="DQ245" s="129">
        <v>0.34900999999999982</v>
      </c>
      <c r="DR245" s="129" t="s">
        <v>450</v>
      </c>
      <c r="DS245" s="129" t="s">
        <v>212</v>
      </c>
      <c r="DT245" s="129" t="s">
        <v>213</v>
      </c>
      <c r="DU245" s="129">
        <v>1.0271999999999999</v>
      </c>
      <c r="DV245" s="129" t="s">
        <v>393</v>
      </c>
      <c r="DW245" s="129">
        <v>5.9999999999999995E-4</v>
      </c>
      <c r="DX245" s="129" t="s">
        <v>436</v>
      </c>
      <c r="DY245" s="129" t="s">
        <v>160</v>
      </c>
      <c r="DZ245" s="129" t="s">
        <v>160</v>
      </c>
      <c r="EA245" s="129" t="s">
        <v>216</v>
      </c>
      <c r="EB245" s="129" t="s">
        <v>212</v>
      </c>
      <c r="EC245" s="129" t="s">
        <v>212</v>
      </c>
      <c r="ED245" s="129" t="s">
        <v>212</v>
      </c>
      <c r="EE245" s="129" t="s">
        <v>217</v>
      </c>
      <c r="EF245" s="147" t="s">
        <v>213</v>
      </c>
      <c r="EG245" s="148" t="s">
        <v>213</v>
      </c>
      <c r="EH245" s="129" t="s">
        <v>218</v>
      </c>
      <c r="EI245" s="129" t="s">
        <v>417</v>
      </c>
      <c r="EJ245" s="129" t="s">
        <v>160</v>
      </c>
      <c r="EK245" s="129">
        <v>1945.2139999999999</v>
      </c>
      <c r="EL245" s="129" t="s">
        <v>163</v>
      </c>
      <c r="EM245" s="129">
        <v>45.085999999999956</v>
      </c>
      <c r="EN245" s="129">
        <v>45.939999999999955</v>
      </c>
      <c r="EO245" s="129" t="s">
        <v>160</v>
      </c>
      <c r="EP245" s="129" t="s">
        <v>160</v>
      </c>
      <c r="EQ245" s="129" t="s">
        <v>160</v>
      </c>
      <c r="ER245" s="129" t="s">
        <v>160</v>
      </c>
      <c r="ES245" s="141">
        <v>8.151294</v>
      </c>
      <c r="ET245" s="142" t="s">
        <v>165</v>
      </c>
      <c r="EU245" s="141">
        <v>4.1040000000000632E-2</v>
      </c>
      <c r="EV245" s="141">
        <v>4.1074000000000055E-2</v>
      </c>
      <c r="EW245" s="142" t="s">
        <v>160</v>
      </c>
      <c r="EX245" s="129" t="s">
        <v>160</v>
      </c>
      <c r="EY245" s="129" t="s">
        <v>160</v>
      </c>
      <c r="EZ245" s="141">
        <v>256.3254</v>
      </c>
      <c r="FA245" s="141">
        <v>32.805799999999977</v>
      </c>
      <c r="FB245" s="141">
        <v>29.304599999999994</v>
      </c>
      <c r="FC245" s="129" t="s">
        <v>220</v>
      </c>
      <c r="FD245" s="129" t="s">
        <v>221</v>
      </c>
      <c r="FE245" s="129">
        <v>2247.3409999999999</v>
      </c>
      <c r="FF245" s="129">
        <v>61.483999999999924</v>
      </c>
      <c r="FG245" s="129">
        <v>61.856999999999971</v>
      </c>
      <c r="FH245" s="129" t="s">
        <v>437</v>
      </c>
      <c r="FI245" s="129" t="s">
        <v>437</v>
      </c>
      <c r="FJ245" s="129" t="s">
        <v>437</v>
      </c>
      <c r="FK245" s="129" t="s">
        <v>437</v>
      </c>
      <c r="FL245" s="129" t="s">
        <v>437</v>
      </c>
      <c r="FM245" s="129" t="s">
        <v>437</v>
      </c>
      <c r="FN245" s="151">
        <v>4.0908569999999997</v>
      </c>
      <c r="FO245" s="151">
        <v>0.31033899999999992</v>
      </c>
      <c r="FP245" s="151">
        <v>0.30337799999999993</v>
      </c>
      <c r="FQ245" s="178" t="s">
        <v>419</v>
      </c>
      <c r="FR245" s="129" t="s">
        <v>439</v>
      </c>
      <c r="FS245" s="129">
        <v>2015</v>
      </c>
      <c r="FT245" s="129" t="s">
        <v>440</v>
      </c>
    </row>
    <row r="246" spans="1:176" s="129" customFormat="1" ht="17">
      <c r="A246" s="123" t="s">
        <v>152</v>
      </c>
      <c r="B246" s="166" t="s">
        <v>183</v>
      </c>
      <c r="C246" s="166">
        <v>2018</v>
      </c>
      <c r="D246" s="166" t="s">
        <v>184</v>
      </c>
      <c r="E246" s="151">
        <f t="shared" si="25"/>
        <v>2700.0434570000002</v>
      </c>
      <c r="F246" s="191" t="s">
        <v>160</v>
      </c>
      <c r="G246" s="191" t="s">
        <v>160</v>
      </c>
      <c r="H246" s="151">
        <v>221.6276</v>
      </c>
      <c r="I246" s="151">
        <v>35.169900000000013</v>
      </c>
      <c r="J246" s="151">
        <v>31.582400000000007</v>
      </c>
      <c r="K246" s="129" t="s">
        <v>457</v>
      </c>
      <c r="L246" s="131" t="s">
        <v>185</v>
      </c>
      <c r="M246" s="132" t="s">
        <v>186</v>
      </c>
      <c r="N246" s="129" t="s">
        <v>184</v>
      </c>
      <c r="O246" s="129" t="s">
        <v>420</v>
      </c>
      <c r="P246" s="129" t="s">
        <v>156</v>
      </c>
      <c r="Q246" s="178">
        <v>10</v>
      </c>
      <c r="R246" s="178">
        <v>4</v>
      </c>
      <c r="S246" s="178">
        <v>14</v>
      </c>
      <c r="T246" s="178">
        <v>16</v>
      </c>
      <c r="U246" s="178" t="s">
        <v>160</v>
      </c>
      <c r="V246" s="178" t="s">
        <v>160</v>
      </c>
      <c r="W246" s="178" t="s">
        <v>160</v>
      </c>
      <c r="X246" s="129" t="s">
        <v>157</v>
      </c>
      <c r="Y246" s="136">
        <v>12.75</v>
      </c>
      <c r="Z246" s="136">
        <v>-78.73</v>
      </c>
      <c r="AA246" s="136">
        <v>12.75</v>
      </c>
      <c r="AB246" s="136">
        <v>-78.73</v>
      </c>
      <c r="AC246" s="136">
        <v>-2828</v>
      </c>
      <c r="AD246" s="136">
        <v>-2828</v>
      </c>
      <c r="AE246" s="129" t="s">
        <v>160</v>
      </c>
      <c r="AF246" s="129" t="s">
        <v>160</v>
      </c>
      <c r="AG246" s="141">
        <v>2700.0434570000002</v>
      </c>
      <c r="AH246" s="138" t="s">
        <v>159</v>
      </c>
      <c r="AI246" s="129" t="s">
        <v>160</v>
      </c>
      <c r="AJ246" s="129" t="s">
        <v>160</v>
      </c>
      <c r="AK246" s="178" t="s">
        <v>160</v>
      </c>
      <c r="AL246" s="178" t="s">
        <v>441</v>
      </c>
      <c r="AM246" s="178" t="s">
        <v>160</v>
      </c>
      <c r="AN246" s="129" t="s">
        <v>160</v>
      </c>
      <c r="AO246" s="129" t="s">
        <v>160</v>
      </c>
      <c r="AP246" s="129" t="s">
        <v>160</v>
      </c>
      <c r="AQ246" s="129" t="s">
        <v>160</v>
      </c>
      <c r="AR246" s="129" t="s">
        <v>160</v>
      </c>
      <c r="AS246" s="129" t="s">
        <v>160</v>
      </c>
      <c r="AT246" s="129" t="s">
        <v>160</v>
      </c>
      <c r="AU246" s="213" t="s">
        <v>442</v>
      </c>
      <c r="AV246" s="129" t="s">
        <v>161</v>
      </c>
      <c r="AW246" s="189" t="s">
        <v>443</v>
      </c>
      <c r="AX246" s="189" t="s">
        <v>444</v>
      </c>
      <c r="AY246" s="205" t="s">
        <v>353</v>
      </c>
      <c r="AZ246" s="205" t="s">
        <v>325</v>
      </c>
      <c r="BA246" s="129" t="s">
        <v>162</v>
      </c>
      <c r="BB246" s="129" t="s">
        <v>445</v>
      </c>
      <c r="BC246" s="129" t="s">
        <v>445</v>
      </c>
      <c r="BD246" s="129" t="s">
        <v>445</v>
      </c>
      <c r="BE246" s="141">
        <v>20.745819999999998</v>
      </c>
      <c r="BF246" s="129" t="s">
        <v>446</v>
      </c>
      <c r="BG246" s="141">
        <v>0.21723298899999999</v>
      </c>
      <c r="BH246" s="129">
        <v>0.6</v>
      </c>
      <c r="BI246" s="129" t="s">
        <v>427</v>
      </c>
      <c r="BJ246" s="138">
        <v>0.08</v>
      </c>
      <c r="BK246" s="129">
        <v>8.8699999999999992</v>
      </c>
      <c r="BL246" s="129" t="s">
        <v>163</v>
      </c>
      <c r="BM246" s="129">
        <v>1.52</v>
      </c>
      <c r="BN246" s="129" t="s">
        <v>428</v>
      </c>
      <c r="BO246" s="129" t="s">
        <v>448</v>
      </c>
      <c r="BP246" s="141">
        <f t="shared" si="26"/>
        <v>19.793033333333334</v>
      </c>
      <c r="BQ246" s="129" t="s">
        <v>202</v>
      </c>
      <c r="BR246" s="217"/>
      <c r="BS246" s="129" t="s">
        <v>160</v>
      </c>
      <c r="BT246" s="129" t="s">
        <v>160</v>
      </c>
      <c r="BU246" s="129">
        <v>10</v>
      </c>
      <c r="BV246" s="129" t="s">
        <v>159</v>
      </c>
      <c r="BW246" s="129">
        <v>10</v>
      </c>
      <c r="BX246" s="141">
        <v>24.050727990961928</v>
      </c>
      <c r="BY246" s="129" t="s">
        <v>159</v>
      </c>
      <c r="BZ246" s="129">
        <v>1</v>
      </c>
      <c r="CA246" s="129">
        <v>1</v>
      </c>
      <c r="CB246" s="141">
        <v>3.2130296454663103</v>
      </c>
      <c r="CC246" s="141">
        <v>3.2130296454663103</v>
      </c>
      <c r="CD246" s="129" t="s">
        <v>449</v>
      </c>
      <c r="CE246" s="151">
        <f t="shared" si="27"/>
        <v>8.6751800427590384E-2</v>
      </c>
      <c r="CF246" s="151">
        <f t="shared" si="28"/>
        <v>8.6751800427590384E-2</v>
      </c>
      <c r="CG246" s="145" t="s">
        <v>203</v>
      </c>
      <c r="CH246" s="129" t="s">
        <v>204</v>
      </c>
      <c r="CI246" s="129" t="s">
        <v>205</v>
      </c>
      <c r="CJ246" s="129" t="s">
        <v>206</v>
      </c>
      <c r="CK246" s="129" t="s">
        <v>158</v>
      </c>
      <c r="CL246" s="129" t="s">
        <v>158</v>
      </c>
      <c r="CM246" s="129" t="s">
        <v>158</v>
      </c>
      <c r="CN246" s="129" t="s">
        <v>160</v>
      </c>
      <c r="CO246" s="129" t="s">
        <v>160</v>
      </c>
      <c r="CP246" s="129" t="s">
        <v>160</v>
      </c>
      <c r="CQ246" s="129" t="s">
        <v>160</v>
      </c>
      <c r="CR246" s="129" t="s">
        <v>160</v>
      </c>
      <c r="CS246" s="129" t="s">
        <v>160</v>
      </c>
      <c r="CT246" s="129" t="s">
        <v>160</v>
      </c>
      <c r="CU246" s="215">
        <v>35</v>
      </c>
      <c r="CV246" s="129" t="s">
        <v>393</v>
      </c>
      <c r="CW246" s="146">
        <v>1</v>
      </c>
      <c r="CX246" s="129" t="s">
        <v>207</v>
      </c>
      <c r="CY246" s="129">
        <v>1.06E-2</v>
      </c>
      <c r="CZ246" s="129" t="s">
        <v>159</v>
      </c>
      <c r="DA246" s="146">
        <v>0</v>
      </c>
      <c r="DB246" s="129" t="s">
        <v>208</v>
      </c>
      <c r="DC246" s="129">
        <v>5.5100000000000003E-2</v>
      </c>
      <c r="DD246" s="129" t="s">
        <v>159</v>
      </c>
      <c r="DE246" s="146">
        <v>0</v>
      </c>
      <c r="DF246" s="129" t="s">
        <v>208</v>
      </c>
      <c r="DG246" s="178" t="s">
        <v>160</v>
      </c>
      <c r="DH246" s="178" t="s">
        <v>160</v>
      </c>
      <c r="DI246" s="178" t="s">
        <v>160</v>
      </c>
      <c r="DJ246" s="178" t="s">
        <v>160</v>
      </c>
      <c r="DK246" s="145">
        <v>432.56244218316402</v>
      </c>
      <c r="DL246" s="129" t="s">
        <v>433</v>
      </c>
      <c r="DM246" s="145" t="s">
        <v>160</v>
      </c>
      <c r="DN246" s="129" t="s">
        <v>434</v>
      </c>
      <c r="DO246" s="129">
        <v>39.721879999999999</v>
      </c>
      <c r="DP246" s="129" t="s">
        <v>160</v>
      </c>
      <c r="DQ246" s="129">
        <v>0.34705000000000297</v>
      </c>
      <c r="DR246" s="129" t="s">
        <v>450</v>
      </c>
      <c r="DS246" s="129" t="s">
        <v>212</v>
      </c>
      <c r="DT246" s="129" t="s">
        <v>213</v>
      </c>
      <c r="DU246" s="129">
        <v>1.0271999999999999</v>
      </c>
      <c r="DV246" s="129" t="s">
        <v>393</v>
      </c>
      <c r="DW246" s="129">
        <v>5.9999999999999995E-4</v>
      </c>
      <c r="DX246" s="129" t="s">
        <v>436</v>
      </c>
      <c r="DY246" s="129" t="s">
        <v>160</v>
      </c>
      <c r="DZ246" s="129" t="s">
        <v>160</v>
      </c>
      <c r="EA246" s="129" t="s">
        <v>216</v>
      </c>
      <c r="EB246" s="129" t="s">
        <v>212</v>
      </c>
      <c r="EC246" s="129" t="s">
        <v>212</v>
      </c>
      <c r="ED246" s="129" t="s">
        <v>212</v>
      </c>
      <c r="EE246" s="129" t="s">
        <v>217</v>
      </c>
      <c r="EF246" s="147" t="s">
        <v>213</v>
      </c>
      <c r="EG246" s="148" t="s">
        <v>213</v>
      </c>
      <c r="EH246" s="129" t="s">
        <v>218</v>
      </c>
      <c r="EI246" s="129" t="s">
        <v>417</v>
      </c>
      <c r="EJ246" s="129" t="s">
        <v>160</v>
      </c>
      <c r="EK246" s="129">
        <v>1945.171</v>
      </c>
      <c r="EL246" s="129" t="s">
        <v>163</v>
      </c>
      <c r="EM246" s="129">
        <v>44.909999999999783</v>
      </c>
      <c r="EN246" s="129">
        <v>44.892000000000152</v>
      </c>
      <c r="EO246" s="129" t="s">
        <v>160</v>
      </c>
      <c r="EP246" s="129" t="s">
        <v>160</v>
      </c>
      <c r="EQ246" s="129" t="s">
        <v>160</v>
      </c>
      <c r="ER246" s="129" t="s">
        <v>160</v>
      </c>
      <c r="ES246" s="141">
        <v>8.2014739999999993</v>
      </c>
      <c r="ET246" s="142" t="s">
        <v>165</v>
      </c>
      <c r="EU246" s="141">
        <v>5.0325000000000841E-2</v>
      </c>
      <c r="EV246" s="141">
        <v>4.9645999999999191E-2</v>
      </c>
      <c r="EW246" s="142" t="s">
        <v>160</v>
      </c>
      <c r="EX246" s="129" t="s">
        <v>160</v>
      </c>
      <c r="EY246" s="129" t="s">
        <v>160</v>
      </c>
      <c r="EZ246" s="141">
        <v>221.6276</v>
      </c>
      <c r="FA246" s="141">
        <v>35.169900000000013</v>
      </c>
      <c r="FB246" s="141">
        <v>31.582400000000007</v>
      </c>
      <c r="FC246" s="129" t="s">
        <v>220</v>
      </c>
      <c r="FD246" s="129" t="s">
        <v>221</v>
      </c>
      <c r="FE246" s="129">
        <v>2286.5720000000001</v>
      </c>
      <c r="FF246" s="129">
        <v>67.424999999999727</v>
      </c>
      <c r="FG246" s="129">
        <v>66.31899999999996</v>
      </c>
      <c r="FH246" s="129" t="s">
        <v>437</v>
      </c>
      <c r="FI246" s="129" t="s">
        <v>437</v>
      </c>
      <c r="FJ246" s="129" t="s">
        <v>437</v>
      </c>
      <c r="FK246" s="129" t="s">
        <v>437</v>
      </c>
      <c r="FL246" s="129" t="s">
        <v>437</v>
      </c>
      <c r="FM246" s="129" t="s">
        <v>437</v>
      </c>
      <c r="FN246" s="151">
        <v>4.5681909999999997</v>
      </c>
      <c r="FO246" s="151">
        <v>0.44182800000000011</v>
      </c>
      <c r="FP246" s="151">
        <v>0.41120399999999968</v>
      </c>
      <c r="FQ246" s="178" t="s">
        <v>419</v>
      </c>
      <c r="FR246" s="129" t="s">
        <v>439</v>
      </c>
      <c r="FS246" s="129">
        <v>2015</v>
      </c>
      <c r="FT246" s="129" t="s">
        <v>440</v>
      </c>
    </row>
    <row r="247" spans="1:176" s="129" customFormat="1" ht="17">
      <c r="A247" s="123" t="s">
        <v>152</v>
      </c>
      <c r="B247" s="166" t="s">
        <v>183</v>
      </c>
      <c r="C247" s="166">
        <v>2018</v>
      </c>
      <c r="D247" s="166" t="s">
        <v>184</v>
      </c>
      <c r="E247" s="151">
        <f t="shared" si="25"/>
        <v>2703.2026369999999</v>
      </c>
      <c r="F247" s="191" t="s">
        <v>160</v>
      </c>
      <c r="G247" s="191" t="s">
        <v>160</v>
      </c>
      <c r="H247" s="151">
        <v>294.10150000000004</v>
      </c>
      <c r="I247" s="151">
        <v>39.952699999999936</v>
      </c>
      <c r="J247" s="151">
        <v>35.585300000000075</v>
      </c>
      <c r="K247" s="129" t="s">
        <v>457</v>
      </c>
      <c r="L247" s="131" t="s">
        <v>185</v>
      </c>
      <c r="M247" s="132" t="s">
        <v>186</v>
      </c>
      <c r="N247" s="129" t="s">
        <v>184</v>
      </c>
      <c r="O247" s="129" t="s">
        <v>420</v>
      </c>
      <c r="P247" s="129" t="s">
        <v>156</v>
      </c>
      <c r="Q247" s="178">
        <v>10</v>
      </c>
      <c r="R247" s="178">
        <v>4</v>
      </c>
      <c r="S247" s="178">
        <v>29</v>
      </c>
      <c r="T247" s="178">
        <v>31</v>
      </c>
      <c r="U247" s="178" t="s">
        <v>160</v>
      </c>
      <c r="V247" s="178" t="s">
        <v>160</v>
      </c>
      <c r="W247" s="178" t="s">
        <v>160</v>
      </c>
      <c r="X247" s="129" t="s">
        <v>157</v>
      </c>
      <c r="Y247" s="136">
        <v>12.75</v>
      </c>
      <c r="Z247" s="136">
        <v>-78.73</v>
      </c>
      <c r="AA247" s="136">
        <v>12.75</v>
      </c>
      <c r="AB247" s="136">
        <v>-78.73</v>
      </c>
      <c r="AC247" s="136">
        <v>-2828</v>
      </c>
      <c r="AD247" s="136">
        <v>-2828</v>
      </c>
      <c r="AE247" s="129" t="s">
        <v>160</v>
      </c>
      <c r="AF247" s="129" t="s">
        <v>160</v>
      </c>
      <c r="AG247" s="141">
        <v>2703.2026369999999</v>
      </c>
      <c r="AH247" s="138" t="s">
        <v>159</v>
      </c>
      <c r="AI247" s="129" t="s">
        <v>160</v>
      </c>
      <c r="AJ247" s="129" t="s">
        <v>160</v>
      </c>
      <c r="AK247" s="178" t="s">
        <v>160</v>
      </c>
      <c r="AL247" s="178" t="s">
        <v>441</v>
      </c>
      <c r="AM247" s="178" t="s">
        <v>160</v>
      </c>
      <c r="AN247" s="129" t="s">
        <v>160</v>
      </c>
      <c r="AO247" s="129" t="s">
        <v>160</v>
      </c>
      <c r="AP247" s="129" t="s">
        <v>160</v>
      </c>
      <c r="AQ247" s="129" t="s">
        <v>160</v>
      </c>
      <c r="AR247" s="129" t="s">
        <v>160</v>
      </c>
      <c r="AS247" s="129" t="s">
        <v>160</v>
      </c>
      <c r="AT247" s="129" t="s">
        <v>160</v>
      </c>
      <c r="AU247" s="213" t="s">
        <v>442</v>
      </c>
      <c r="AV247" s="129" t="s">
        <v>161</v>
      </c>
      <c r="AW247" s="189" t="s">
        <v>443</v>
      </c>
      <c r="AX247" s="205" t="s">
        <v>444</v>
      </c>
      <c r="AY247" s="205" t="s">
        <v>353</v>
      </c>
      <c r="AZ247" s="205" t="s">
        <v>325</v>
      </c>
      <c r="BA247" s="214" t="s">
        <v>162</v>
      </c>
      <c r="BB247" s="129" t="s">
        <v>445</v>
      </c>
      <c r="BC247" s="129" t="s">
        <v>445</v>
      </c>
      <c r="BD247" s="129" t="s">
        <v>445</v>
      </c>
      <c r="BE247" s="141">
        <v>20.052980000000002</v>
      </c>
      <c r="BF247" s="129" t="s">
        <v>446</v>
      </c>
      <c r="BG247" s="141">
        <v>0.12726322400000001</v>
      </c>
      <c r="BH247" s="129">
        <v>0.6</v>
      </c>
      <c r="BI247" s="129" t="s">
        <v>427</v>
      </c>
      <c r="BJ247" s="138">
        <v>0.08</v>
      </c>
      <c r="BK247" s="129">
        <v>8.8699999999999992</v>
      </c>
      <c r="BL247" s="129" t="s">
        <v>163</v>
      </c>
      <c r="BM247" s="129">
        <v>1.52</v>
      </c>
      <c r="BN247" s="129" t="s">
        <v>428</v>
      </c>
      <c r="BO247" s="129" t="s">
        <v>448</v>
      </c>
      <c r="BP247" s="141">
        <f t="shared" si="26"/>
        <v>18.638300000000005</v>
      </c>
      <c r="BQ247" s="129" t="s">
        <v>202</v>
      </c>
      <c r="BR247" s="217"/>
      <c r="BS247" s="129" t="s">
        <v>160</v>
      </c>
      <c r="BT247" s="129" t="s">
        <v>160</v>
      </c>
      <c r="BU247" s="129">
        <v>10</v>
      </c>
      <c r="BV247" s="129" t="s">
        <v>159</v>
      </c>
      <c r="BW247" s="129">
        <v>10</v>
      </c>
      <c r="BX247" s="141">
        <v>24.220555021649364</v>
      </c>
      <c r="BY247" s="129" t="s">
        <v>159</v>
      </c>
      <c r="BZ247" s="129">
        <v>1</v>
      </c>
      <c r="CA247" s="129">
        <v>1</v>
      </c>
      <c r="CB247" s="141">
        <v>3.2624068047467349</v>
      </c>
      <c r="CC247" s="141">
        <v>3.2624068047467349</v>
      </c>
      <c r="CD247" s="129" t="s">
        <v>449</v>
      </c>
      <c r="CE247" s="151">
        <f t="shared" si="27"/>
        <v>8.8084983728161842E-2</v>
      </c>
      <c r="CF247" s="151">
        <f t="shared" si="28"/>
        <v>8.8084983728161842E-2</v>
      </c>
      <c r="CG247" s="145" t="s">
        <v>203</v>
      </c>
      <c r="CH247" s="129" t="s">
        <v>204</v>
      </c>
      <c r="CI247" s="129" t="s">
        <v>205</v>
      </c>
      <c r="CJ247" s="129" t="s">
        <v>206</v>
      </c>
      <c r="CK247" s="129" t="s">
        <v>158</v>
      </c>
      <c r="CL247" s="129" t="s">
        <v>158</v>
      </c>
      <c r="CM247" s="129" t="s">
        <v>158</v>
      </c>
      <c r="CN247" s="129" t="s">
        <v>160</v>
      </c>
      <c r="CO247" s="129" t="s">
        <v>160</v>
      </c>
      <c r="CP247" s="129" t="s">
        <v>160</v>
      </c>
      <c r="CQ247" s="129" t="s">
        <v>160</v>
      </c>
      <c r="CR247" s="129" t="s">
        <v>160</v>
      </c>
      <c r="CS247" s="129" t="s">
        <v>160</v>
      </c>
      <c r="CT247" s="129" t="s">
        <v>160</v>
      </c>
      <c r="CU247" s="215">
        <v>35</v>
      </c>
      <c r="CV247" s="129" t="s">
        <v>393</v>
      </c>
      <c r="CW247" s="146">
        <v>1</v>
      </c>
      <c r="CX247" s="129" t="s">
        <v>207</v>
      </c>
      <c r="CY247" s="129">
        <v>1.06E-2</v>
      </c>
      <c r="CZ247" s="129" t="s">
        <v>159</v>
      </c>
      <c r="DA247" s="146">
        <v>0</v>
      </c>
      <c r="DB247" s="129" t="s">
        <v>208</v>
      </c>
      <c r="DC247" s="129">
        <v>5.5100000000000003E-2</v>
      </c>
      <c r="DD247" s="129" t="s">
        <v>159</v>
      </c>
      <c r="DE247" s="146">
        <v>0</v>
      </c>
      <c r="DF247" s="129" t="s">
        <v>208</v>
      </c>
      <c r="DG247" s="178" t="s">
        <v>160</v>
      </c>
      <c r="DH247" s="178" t="s">
        <v>160</v>
      </c>
      <c r="DI247" s="178" t="s">
        <v>160</v>
      </c>
      <c r="DJ247" s="178" t="s">
        <v>160</v>
      </c>
      <c r="DK247" s="145">
        <v>432.56244218316402</v>
      </c>
      <c r="DL247" s="129" t="s">
        <v>433</v>
      </c>
      <c r="DM247" s="145" t="s">
        <v>160</v>
      </c>
      <c r="DN247" s="129" t="s">
        <v>434</v>
      </c>
      <c r="DO247" s="129">
        <v>39.716769999999997</v>
      </c>
      <c r="DP247" s="129" t="s">
        <v>160</v>
      </c>
      <c r="DQ247" s="129">
        <v>0.34236000000000644</v>
      </c>
      <c r="DR247" s="129" t="s">
        <v>450</v>
      </c>
      <c r="DS247" s="129" t="s">
        <v>212</v>
      </c>
      <c r="DT247" s="129" t="s">
        <v>213</v>
      </c>
      <c r="DU247" s="129">
        <v>1.0271999999999999</v>
      </c>
      <c r="DV247" s="129" t="s">
        <v>393</v>
      </c>
      <c r="DW247" s="129">
        <v>5.9999999999999995E-4</v>
      </c>
      <c r="DX247" s="129" t="s">
        <v>436</v>
      </c>
      <c r="DY247" s="129" t="s">
        <v>160</v>
      </c>
      <c r="DZ247" s="129" t="s">
        <v>160</v>
      </c>
      <c r="EA247" s="129" t="s">
        <v>216</v>
      </c>
      <c r="EB247" s="129" t="s">
        <v>212</v>
      </c>
      <c r="EC247" s="129" t="s">
        <v>212</v>
      </c>
      <c r="ED247" s="129" t="s">
        <v>212</v>
      </c>
      <c r="EE247" s="129" t="s">
        <v>217</v>
      </c>
      <c r="EF247" s="147" t="s">
        <v>213</v>
      </c>
      <c r="EG247" s="148" t="s">
        <v>213</v>
      </c>
      <c r="EH247" s="129" t="s">
        <v>218</v>
      </c>
      <c r="EI247" s="129" t="s">
        <v>417</v>
      </c>
      <c r="EJ247" s="129" t="s">
        <v>160</v>
      </c>
      <c r="EK247" s="129">
        <v>1945.3389999999999</v>
      </c>
      <c r="EL247" s="129" t="s">
        <v>163</v>
      </c>
      <c r="EM247" s="129">
        <v>44.400999999999904</v>
      </c>
      <c r="EN247" s="129">
        <v>46.209999999999873</v>
      </c>
      <c r="EO247" s="129" t="s">
        <v>160</v>
      </c>
      <c r="EP247" s="129" t="s">
        <v>160</v>
      </c>
      <c r="EQ247" s="129" t="s">
        <v>160</v>
      </c>
      <c r="ER247" s="129" t="s">
        <v>160</v>
      </c>
      <c r="ES247" s="141">
        <v>8.1035070000000005</v>
      </c>
      <c r="ET247" s="142" t="s">
        <v>165</v>
      </c>
      <c r="EU247" s="141">
        <v>4.5135000000000147E-2</v>
      </c>
      <c r="EV247" s="141">
        <v>4.4310000000001182E-2</v>
      </c>
      <c r="EW247" s="142" t="s">
        <v>160</v>
      </c>
      <c r="EX247" s="129" t="s">
        <v>160</v>
      </c>
      <c r="EY247" s="129" t="s">
        <v>160</v>
      </c>
      <c r="EZ247" s="141">
        <v>294.10150000000004</v>
      </c>
      <c r="FA247" s="141">
        <v>39.952699999999936</v>
      </c>
      <c r="FB247" s="141">
        <v>35.585300000000075</v>
      </c>
      <c r="FC247" s="129" t="s">
        <v>220</v>
      </c>
      <c r="FD247" s="129" t="s">
        <v>221</v>
      </c>
      <c r="FE247" s="129">
        <v>2219.2280000000001</v>
      </c>
      <c r="FF247" s="129">
        <v>61.804999999999836</v>
      </c>
      <c r="FG247" s="129">
        <v>60.503000000000156</v>
      </c>
      <c r="FH247" s="129" t="s">
        <v>437</v>
      </c>
      <c r="FI247" s="129" t="s">
        <v>437</v>
      </c>
      <c r="FJ247" s="129" t="s">
        <v>437</v>
      </c>
      <c r="FK247" s="129" t="s">
        <v>437</v>
      </c>
      <c r="FL247" s="129" t="s">
        <v>437</v>
      </c>
      <c r="FM247" s="129" t="s">
        <v>437</v>
      </c>
      <c r="FN247" s="151">
        <v>3.7780200000000002</v>
      </c>
      <c r="FO247" s="151">
        <v>0.32274299999999956</v>
      </c>
      <c r="FP247" s="151">
        <v>0.30452499999999993</v>
      </c>
      <c r="FQ247" s="178" t="s">
        <v>419</v>
      </c>
      <c r="FR247" s="129" t="s">
        <v>439</v>
      </c>
      <c r="FS247" s="129">
        <v>2015</v>
      </c>
      <c r="FT247" s="129" t="s">
        <v>440</v>
      </c>
    </row>
    <row r="248" spans="1:176" s="129" customFormat="1" ht="17">
      <c r="A248" s="123" t="s">
        <v>152</v>
      </c>
      <c r="B248" s="166" t="s">
        <v>183</v>
      </c>
      <c r="C248" s="166">
        <v>2018</v>
      </c>
      <c r="D248" s="166" t="s">
        <v>184</v>
      </c>
      <c r="E248" s="151">
        <f t="shared" si="25"/>
        <v>2707.2141109999998</v>
      </c>
      <c r="F248" s="191" t="s">
        <v>160</v>
      </c>
      <c r="G248" s="191" t="s">
        <v>160</v>
      </c>
      <c r="H248" s="151">
        <v>246.29030000000003</v>
      </c>
      <c r="I248" s="151">
        <v>30.163599999999946</v>
      </c>
      <c r="J248" s="151">
        <v>27.366200000000049</v>
      </c>
      <c r="K248" s="129" t="s">
        <v>457</v>
      </c>
      <c r="L248" s="131" t="s">
        <v>185</v>
      </c>
      <c r="M248" s="132" t="s">
        <v>186</v>
      </c>
      <c r="N248" s="129" t="s">
        <v>184</v>
      </c>
      <c r="O248" s="129" t="s">
        <v>420</v>
      </c>
      <c r="P248" s="129" t="s">
        <v>156</v>
      </c>
      <c r="Q248" s="178">
        <v>10</v>
      </c>
      <c r="R248" s="178">
        <v>4</v>
      </c>
      <c r="S248" s="178">
        <v>49</v>
      </c>
      <c r="T248" s="178">
        <v>51</v>
      </c>
      <c r="U248" s="178" t="s">
        <v>160</v>
      </c>
      <c r="V248" s="178" t="s">
        <v>160</v>
      </c>
      <c r="W248" s="178" t="s">
        <v>160</v>
      </c>
      <c r="X248" s="129" t="s">
        <v>157</v>
      </c>
      <c r="Y248" s="136">
        <v>12.75</v>
      </c>
      <c r="Z248" s="136">
        <v>-78.73</v>
      </c>
      <c r="AA248" s="136">
        <v>12.75</v>
      </c>
      <c r="AB248" s="136">
        <v>-78.73</v>
      </c>
      <c r="AC248" s="136">
        <v>-2828</v>
      </c>
      <c r="AD248" s="136">
        <v>-2828</v>
      </c>
      <c r="AE248" s="129" t="s">
        <v>160</v>
      </c>
      <c r="AF248" s="129" t="s">
        <v>160</v>
      </c>
      <c r="AG248" s="141">
        <v>2707.2141109999998</v>
      </c>
      <c r="AH248" s="138" t="s">
        <v>159</v>
      </c>
      <c r="AI248" s="129" t="s">
        <v>160</v>
      </c>
      <c r="AJ248" s="129" t="s">
        <v>160</v>
      </c>
      <c r="AK248" s="178" t="s">
        <v>160</v>
      </c>
      <c r="AL248" s="178" t="s">
        <v>441</v>
      </c>
      <c r="AM248" s="178" t="s">
        <v>160</v>
      </c>
      <c r="AN248" s="129" t="s">
        <v>160</v>
      </c>
      <c r="AO248" s="129" t="s">
        <v>160</v>
      </c>
      <c r="AP248" s="129" t="s">
        <v>160</v>
      </c>
      <c r="AQ248" s="129" t="s">
        <v>160</v>
      </c>
      <c r="AR248" s="129" t="s">
        <v>160</v>
      </c>
      <c r="AS248" s="129" t="s">
        <v>160</v>
      </c>
      <c r="AT248" s="129" t="s">
        <v>160</v>
      </c>
      <c r="AU248" s="213" t="s">
        <v>442</v>
      </c>
      <c r="AV248" s="129" t="s">
        <v>161</v>
      </c>
      <c r="AW248" s="189" t="s">
        <v>443</v>
      </c>
      <c r="AX248" s="189" t="s">
        <v>444</v>
      </c>
      <c r="AY248" s="205" t="s">
        <v>353</v>
      </c>
      <c r="AZ248" s="205" t="s">
        <v>325</v>
      </c>
      <c r="BA248" s="129" t="s">
        <v>162</v>
      </c>
      <c r="BB248" s="129" t="s">
        <v>445</v>
      </c>
      <c r="BC248" s="129" t="s">
        <v>445</v>
      </c>
      <c r="BD248" s="129" t="s">
        <v>445</v>
      </c>
      <c r="BE248" s="141">
        <v>20.510300000000001</v>
      </c>
      <c r="BF248" s="129" t="s">
        <v>446</v>
      </c>
      <c r="BG248" s="141">
        <v>8.8837017000000004E-2</v>
      </c>
      <c r="BH248" s="129">
        <v>0.6</v>
      </c>
      <c r="BI248" s="129" t="s">
        <v>427</v>
      </c>
      <c r="BJ248" s="138">
        <v>0.08</v>
      </c>
      <c r="BK248" s="129">
        <v>8.8699999999999992</v>
      </c>
      <c r="BL248" s="129" t="s">
        <v>163</v>
      </c>
      <c r="BM248" s="129">
        <v>1.52</v>
      </c>
      <c r="BN248" s="129" t="s">
        <v>428</v>
      </c>
      <c r="BO248" s="129" t="s">
        <v>448</v>
      </c>
      <c r="BP248" s="141">
        <f t="shared" si="26"/>
        <v>19.400500000000005</v>
      </c>
      <c r="BQ248" s="129" t="s">
        <v>202</v>
      </c>
      <c r="BR248" s="217"/>
      <c r="BS248" s="129" t="s">
        <v>160</v>
      </c>
      <c r="BT248" s="129" t="s">
        <v>160</v>
      </c>
      <c r="BU248" s="129">
        <v>10</v>
      </c>
      <c r="BV248" s="129" t="s">
        <v>159</v>
      </c>
      <c r="BW248" s="129">
        <v>10</v>
      </c>
      <c r="BX248" s="141">
        <v>24.439728490915577</v>
      </c>
      <c r="BY248" s="129" t="s">
        <v>159</v>
      </c>
      <c r="BZ248" s="129">
        <v>1</v>
      </c>
      <c r="CA248" s="129">
        <v>1</v>
      </c>
      <c r="CB248" s="141">
        <v>3.3272569976464914</v>
      </c>
      <c r="CC248" s="141">
        <v>3.3272569976464914</v>
      </c>
      <c r="CD248" s="129" t="s">
        <v>449</v>
      </c>
      <c r="CE248" s="151">
        <f t="shared" si="27"/>
        <v>8.9835938936455265E-2</v>
      </c>
      <c r="CF248" s="151">
        <f t="shared" si="28"/>
        <v>8.9835938936455265E-2</v>
      </c>
      <c r="CG248" s="145" t="s">
        <v>203</v>
      </c>
      <c r="CH248" s="129" t="s">
        <v>204</v>
      </c>
      <c r="CI248" s="129" t="s">
        <v>205</v>
      </c>
      <c r="CJ248" s="129" t="s">
        <v>206</v>
      </c>
      <c r="CK248" s="129" t="s">
        <v>158</v>
      </c>
      <c r="CL248" s="129" t="s">
        <v>158</v>
      </c>
      <c r="CM248" s="129" t="s">
        <v>158</v>
      </c>
      <c r="CN248" s="129" t="s">
        <v>160</v>
      </c>
      <c r="CO248" s="129" t="s">
        <v>160</v>
      </c>
      <c r="CP248" s="129" t="s">
        <v>160</v>
      </c>
      <c r="CQ248" s="129" t="s">
        <v>160</v>
      </c>
      <c r="CR248" s="129" t="s">
        <v>160</v>
      </c>
      <c r="CS248" s="129" t="s">
        <v>160</v>
      </c>
      <c r="CT248" s="129" t="s">
        <v>160</v>
      </c>
      <c r="CU248" s="215">
        <v>35</v>
      </c>
      <c r="CV248" s="129" t="s">
        <v>393</v>
      </c>
      <c r="CW248" s="146">
        <v>1</v>
      </c>
      <c r="CX248" s="129" t="s">
        <v>207</v>
      </c>
      <c r="CY248" s="129">
        <v>1.06E-2</v>
      </c>
      <c r="CZ248" s="129" t="s">
        <v>159</v>
      </c>
      <c r="DA248" s="146">
        <v>0</v>
      </c>
      <c r="DB248" s="129" t="s">
        <v>208</v>
      </c>
      <c r="DC248" s="129">
        <v>5.5100000000000003E-2</v>
      </c>
      <c r="DD248" s="129" t="s">
        <v>159</v>
      </c>
      <c r="DE248" s="146">
        <v>0</v>
      </c>
      <c r="DF248" s="129" t="s">
        <v>208</v>
      </c>
      <c r="DG248" s="178" t="s">
        <v>160</v>
      </c>
      <c r="DH248" s="178" t="s">
        <v>160</v>
      </c>
      <c r="DI248" s="178" t="s">
        <v>160</v>
      </c>
      <c r="DJ248" s="178" t="s">
        <v>160</v>
      </c>
      <c r="DK248" s="145">
        <v>432.56244218316402</v>
      </c>
      <c r="DL248" s="129" t="s">
        <v>433</v>
      </c>
      <c r="DM248" s="145" t="s">
        <v>160</v>
      </c>
      <c r="DN248" s="129" t="s">
        <v>434</v>
      </c>
      <c r="DO248" s="129">
        <v>39.717849999999999</v>
      </c>
      <c r="DP248" s="129" t="s">
        <v>160</v>
      </c>
      <c r="DQ248" s="129">
        <v>0.34647000000000361</v>
      </c>
      <c r="DR248" s="129" t="s">
        <v>450</v>
      </c>
      <c r="DS248" s="129" t="s">
        <v>212</v>
      </c>
      <c r="DT248" s="129" t="s">
        <v>213</v>
      </c>
      <c r="DU248" s="129">
        <v>1.0271999999999999</v>
      </c>
      <c r="DV248" s="129" t="s">
        <v>393</v>
      </c>
      <c r="DW248" s="129">
        <v>5.9999999999999995E-4</v>
      </c>
      <c r="DX248" s="129" t="s">
        <v>436</v>
      </c>
      <c r="DY248" s="129" t="s">
        <v>160</v>
      </c>
      <c r="DZ248" s="129" t="s">
        <v>160</v>
      </c>
      <c r="EA248" s="129" t="s">
        <v>216</v>
      </c>
      <c r="EB248" s="129" t="s">
        <v>212</v>
      </c>
      <c r="EC248" s="129" t="s">
        <v>212</v>
      </c>
      <c r="ED248" s="129" t="s">
        <v>212</v>
      </c>
      <c r="EE248" s="129" t="s">
        <v>217</v>
      </c>
      <c r="EF248" s="147" t="s">
        <v>213</v>
      </c>
      <c r="EG248" s="148" t="s">
        <v>213</v>
      </c>
      <c r="EH248" s="129" t="s">
        <v>218</v>
      </c>
      <c r="EI248" s="129" t="s">
        <v>417</v>
      </c>
      <c r="EJ248" s="129" t="s">
        <v>160</v>
      </c>
      <c r="EK248" s="129">
        <v>1945.0150000000001</v>
      </c>
      <c r="EL248" s="129" t="s">
        <v>163</v>
      </c>
      <c r="EM248" s="129">
        <v>46.482000000000035</v>
      </c>
      <c r="EN248" s="129">
        <v>47.296999999999962</v>
      </c>
      <c r="EO248" s="129" t="s">
        <v>160</v>
      </c>
      <c r="EP248" s="129" t="s">
        <v>160</v>
      </c>
      <c r="EQ248" s="129" t="s">
        <v>160</v>
      </c>
      <c r="ER248" s="129" t="s">
        <v>160</v>
      </c>
      <c r="ES248" s="141">
        <v>8.1657159999999998</v>
      </c>
      <c r="ET248" s="142" t="s">
        <v>165</v>
      </c>
      <c r="EU248" s="141">
        <v>3.9483999999999853E-2</v>
      </c>
      <c r="EV248" s="141">
        <v>4.0233999999999881E-2</v>
      </c>
      <c r="EW248" s="142" t="s">
        <v>160</v>
      </c>
      <c r="EX248" s="129" t="s">
        <v>160</v>
      </c>
      <c r="EY248" s="129" t="s">
        <v>160</v>
      </c>
      <c r="EZ248" s="141">
        <v>246.29030000000003</v>
      </c>
      <c r="FA248" s="141">
        <v>30.163599999999946</v>
      </c>
      <c r="FB248" s="141">
        <v>27.366200000000049</v>
      </c>
      <c r="FC248" s="129" t="s">
        <v>220</v>
      </c>
      <c r="FD248" s="129" t="s">
        <v>221</v>
      </c>
      <c r="FE248" s="129">
        <v>2264.2330000000002</v>
      </c>
      <c r="FF248" s="129">
        <v>61.9050000000002</v>
      </c>
      <c r="FG248" s="129">
        <v>62.298999999999978</v>
      </c>
      <c r="FH248" s="129" t="s">
        <v>437</v>
      </c>
      <c r="FI248" s="129" t="s">
        <v>437</v>
      </c>
      <c r="FJ248" s="129" t="s">
        <v>437</v>
      </c>
      <c r="FK248" s="129" t="s">
        <v>437</v>
      </c>
      <c r="FL248" s="129" t="s">
        <v>437</v>
      </c>
      <c r="FM248" s="129" t="s">
        <v>437</v>
      </c>
      <c r="FN248" s="151">
        <v>4.318937</v>
      </c>
      <c r="FO248" s="151">
        <v>0.32197000000000031</v>
      </c>
      <c r="FP248" s="151">
        <v>0.31272500000000036</v>
      </c>
      <c r="FQ248" s="178" t="s">
        <v>419</v>
      </c>
      <c r="FR248" s="129" t="s">
        <v>439</v>
      </c>
      <c r="FS248" s="129">
        <v>2015</v>
      </c>
      <c r="FT248" s="129" t="s">
        <v>440</v>
      </c>
    </row>
    <row r="249" spans="1:176" s="129" customFormat="1" ht="17">
      <c r="A249" s="123" t="s">
        <v>152</v>
      </c>
      <c r="B249" s="166" t="s">
        <v>183</v>
      </c>
      <c r="C249" s="166">
        <v>2018</v>
      </c>
      <c r="D249" s="166" t="s">
        <v>184</v>
      </c>
      <c r="E249" s="151">
        <f t="shared" si="25"/>
        <v>2745.515625</v>
      </c>
      <c r="F249" s="191" t="s">
        <v>160</v>
      </c>
      <c r="G249" s="191" t="s">
        <v>160</v>
      </c>
      <c r="H249" s="151">
        <v>313.09019999999998</v>
      </c>
      <c r="I249" s="151">
        <v>40.924000000000035</v>
      </c>
      <c r="J249" s="151">
        <v>36.107899999999972</v>
      </c>
      <c r="K249" s="129" t="s">
        <v>457</v>
      </c>
      <c r="L249" s="131" t="s">
        <v>185</v>
      </c>
      <c r="M249" s="132" t="s">
        <v>186</v>
      </c>
      <c r="N249" s="129" t="s">
        <v>184</v>
      </c>
      <c r="O249" s="129" t="s">
        <v>420</v>
      </c>
      <c r="P249" s="129" t="s">
        <v>156</v>
      </c>
      <c r="Q249" s="178">
        <v>10</v>
      </c>
      <c r="R249" s="178">
        <v>4</v>
      </c>
      <c r="S249" s="178">
        <v>148</v>
      </c>
      <c r="T249" s="178">
        <v>150</v>
      </c>
      <c r="U249" s="178" t="s">
        <v>160</v>
      </c>
      <c r="V249" s="178" t="s">
        <v>160</v>
      </c>
      <c r="W249" s="178" t="s">
        <v>160</v>
      </c>
      <c r="X249" s="129" t="s">
        <v>157</v>
      </c>
      <c r="Y249" s="136">
        <v>12.75</v>
      </c>
      <c r="Z249" s="136">
        <v>-78.73</v>
      </c>
      <c r="AA249" s="136">
        <v>12.75</v>
      </c>
      <c r="AB249" s="136">
        <v>-78.73</v>
      </c>
      <c r="AC249" s="136">
        <v>-2828</v>
      </c>
      <c r="AD249" s="136">
        <v>-2828</v>
      </c>
      <c r="AE249" s="129" t="s">
        <v>160</v>
      </c>
      <c r="AF249" s="129" t="s">
        <v>160</v>
      </c>
      <c r="AG249" s="141">
        <v>2745.515625</v>
      </c>
      <c r="AH249" s="138" t="s">
        <v>159</v>
      </c>
      <c r="AI249" s="129" t="s">
        <v>160</v>
      </c>
      <c r="AJ249" s="129" t="s">
        <v>160</v>
      </c>
      <c r="AK249" s="178" t="s">
        <v>160</v>
      </c>
      <c r="AL249" s="178" t="s">
        <v>441</v>
      </c>
      <c r="AM249" s="178" t="s">
        <v>160</v>
      </c>
      <c r="AN249" s="129" t="s">
        <v>160</v>
      </c>
      <c r="AO249" s="129" t="s">
        <v>160</v>
      </c>
      <c r="AP249" s="129" t="s">
        <v>160</v>
      </c>
      <c r="AQ249" s="129" t="s">
        <v>160</v>
      </c>
      <c r="AR249" s="129" t="s">
        <v>160</v>
      </c>
      <c r="AS249" s="129" t="s">
        <v>160</v>
      </c>
      <c r="AT249" s="129" t="s">
        <v>160</v>
      </c>
      <c r="AU249" s="213" t="s">
        <v>442</v>
      </c>
      <c r="AV249" s="129" t="s">
        <v>161</v>
      </c>
      <c r="AW249" s="189" t="s">
        <v>443</v>
      </c>
      <c r="AX249" s="205" t="s">
        <v>444</v>
      </c>
      <c r="AY249" s="205" t="s">
        <v>353</v>
      </c>
      <c r="AZ249" s="205" t="s">
        <v>325</v>
      </c>
      <c r="BA249" s="214" t="s">
        <v>162</v>
      </c>
      <c r="BB249" s="129" t="s">
        <v>445</v>
      </c>
      <c r="BC249" s="129" t="s">
        <v>445</v>
      </c>
      <c r="BD249" s="129" t="s">
        <v>445</v>
      </c>
      <c r="BE249" s="141">
        <v>19.99044</v>
      </c>
      <c r="BF249" s="129" t="s">
        <v>446</v>
      </c>
      <c r="BG249" s="141">
        <v>9.4352038999999999E-2</v>
      </c>
      <c r="BH249" s="129">
        <v>0.6</v>
      </c>
      <c r="BI249" s="129" t="s">
        <v>427</v>
      </c>
      <c r="BJ249" s="138">
        <v>0.08</v>
      </c>
      <c r="BK249" s="129">
        <v>8.8699999999999992</v>
      </c>
      <c r="BL249" s="129" t="s">
        <v>163</v>
      </c>
      <c r="BM249" s="129">
        <v>1.52</v>
      </c>
      <c r="BN249" s="129" t="s">
        <v>428</v>
      </c>
      <c r="BO249" s="129" t="s">
        <v>448</v>
      </c>
      <c r="BP249" s="141">
        <f t="shared" si="26"/>
        <v>18.534066666666668</v>
      </c>
      <c r="BQ249" s="129" t="s">
        <v>202</v>
      </c>
      <c r="BR249" s="217"/>
      <c r="BS249" s="129" t="s">
        <v>160</v>
      </c>
      <c r="BT249" s="129" t="s">
        <v>160</v>
      </c>
      <c r="BU249" s="129">
        <v>10</v>
      </c>
      <c r="BV249" s="129" t="s">
        <v>159</v>
      </c>
      <c r="BW249" s="129">
        <v>10</v>
      </c>
      <c r="BX249" s="141">
        <v>25.327688724924425</v>
      </c>
      <c r="BY249" s="129" t="s">
        <v>159</v>
      </c>
      <c r="BZ249" s="129">
        <v>1</v>
      </c>
      <c r="CA249" s="129">
        <v>1</v>
      </c>
      <c r="CB249" s="141">
        <v>3.6026084915859102</v>
      </c>
      <c r="CC249" s="141">
        <v>3.6026084915859102</v>
      </c>
      <c r="CD249" s="129" t="s">
        <v>449</v>
      </c>
      <c r="CE249" s="151">
        <f t="shared" si="27"/>
        <v>9.7270429272819578E-2</v>
      </c>
      <c r="CF249" s="151">
        <f t="shared" si="28"/>
        <v>9.7270429272819578E-2</v>
      </c>
      <c r="CG249" s="145" t="s">
        <v>203</v>
      </c>
      <c r="CH249" s="129" t="s">
        <v>204</v>
      </c>
      <c r="CI249" s="129" t="s">
        <v>205</v>
      </c>
      <c r="CJ249" s="129" t="s">
        <v>206</v>
      </c>
      <c r="CK249" s="129" t="s">
        <v>158</v>
      </c>
      <c r="CL249" s="129" t="s">
        <v>158</v>
      </c>
      <c r="CM249" s="129" t="s">
        <v>158</v>
      </c>
      <c r="CN249" s="129" t="s">
        <v>160</v>
      </c>
      <c r="CO249" s="129" t="s">
        <v>160</v>
      </c>
      <c r="CP249" s="129" t="s">
        <v>160</v>
      </c>
      <c r="CQ249" s="129" t="s">
        <v>160</v>
      </c>
      <c r="CR249" s="129" t="s">
        <v>160</v>
      </c>
      <c r="CS249" s="129" t="s">
        <v>160</v>
      </c>
      <c r="CT249" s="129" t="s">
        <v>160</v>
      </c>
      <c r="CU249" s="215">
        <v>35</v>
      </c>
      <c r="CV249" s="129" t="s">
        <v>393</v>
      </c>
      <c r="CW249" s="146">
        <v>1</v>
      </c>
      <c r="CX249" s="129" t="s">
        <v>207</v>
      </c>
      <c r="CY249" s="129">
        <v>1.06E-2</v>
      </c>
      <c r="CZ249" s="129" t="s">
        <v>159</v>
      </c>
      <c r="DA249" s="146">
        <v>0</v>
      </c>
      <c r="DB249" s="129" t="s">
        <v>208</v>
      </c>
      <c r="DC249" s="129">
        <v>5.5100000000000003E-2</v>
      </c>
      <c r="DD249" s="129" t="s">
        <v>159</v>
      </c>
      <c r="DE249" s="146">
        <v>0</v>
      </c>
      <c r="DF249" s="129" t="s">
        <v>208</v>
      </c>
      <c r="DG249" s="178" t="s">
        <v>160</v>
      </c>
      <c r="DH249" s="178" t="s">
        <v>160</v>
      </c>
      <c r="DI249" s="178" t="s">
        <v>160</v>
      </c>
      <c r="DJ249" s="178" t="s">
        <v>160</v>
      </c>
      <c r="DK249" s="145">
        <v>432.56244218316402</v>
      </c>
      <c r="DL249" s="129" t="s">
        <v>433</v>
      </c>
      <c r="DM249" s="145" t="s">
        <v>160</v>
      </c>
      <c r="DN249" s="129" t="s">
        <v>434</v>
      </c>
      <c r="DO249" s="129">
        <v>39.715719999999997</v>
      </c>
      <c r="DP249" s="129" t="s">
        <v>160</v>
      </c>
      <c r="DQ249" s="129">
        <v>0.35329000000000121</v>
      </c>
      <c r="DR249" s="129" t="s">
        <v>450</v>
      </c>
      <c r="DS249" s="129" t="s">
        <v>212</v>
      </c>
      <c r="DT249" s="129" t="s">
        <v>213</v>
      </c>
      <c r="DU249" s="129">
        <v>1.0271999999999999</v>
      </c>
      <c r="DV249" s="129" t="s">
        <v>393</v>
      </c>
      <c r="DW249" s="129">
        <v>5.9999999999999995E-4</v>
      </c>
      <c r="DX249" s="129" t="s">
        <v>436</v>
      </c>
      <c r="DY249" s="129" t="s">
        <v>160</v>
      </c>
      <c r="DZ249" s="129" t="s">
        <v>160</v>
      </c>
      <c r="EA249" s="129" t="s">
        <v>216</v>
      </c>
      <c r="EB249" s="129" t="s">
        <v>212</v>
      </c>
      <c r="EC249" s="129" t="s">
        <v>212</v>
      </c>
      <c r="ED249" s="129" t="s">
        <v>212</v>
      </c>
      <c r="EE249" s="129" t="s">
        <v>217</v>
      </c>
      <c r="EF249" s="147" t="s">
        <v>213</v>
      </c>
      <c r="EG249" s="148" t="s">
        <v>213</v>
      </c>
      <c r="EH249" s="129" t="s">
        <v>218</v>
      </c>
      <c r="EI249" s="129" t="s">
        <v>417</v>
      </c>
      <c r="EJ249" s="129" t="s">
        <v>160</v>
      </c>
      <c r="EK249" s="129">
        <v>1944.32</v>
      </c>
      <c r="EL249" s="129" t="s">
        <v>163</v>
      </c>
      <c r="EM249" s="129">
        <v>47.10399999999985</v>
      </c>
      <c r="EN249" s="129">
        <v>47.413999999999966</v>
      </c>
      <c r="EO249" s="129" t="s">
        <v>160</v>
      </c>
      <c r="EP249" s="129" t="s">
        <v>160</v>
      </c>
      <c r="EQ249" s="129" t="s">
        <v>160</v>
      </c>
      <c r="ER249" s="129" t="s">
        <v>160</v>
      </c>
      <c r="ES249" s="141">
        <v>8.082198</v>
      </c>
      <c r="ET249" s="142" t="s">
        <v>165</v>
      </c>
      <c r="EU249" s="141">
        <v>4.1921000000000319E-2</v>
      </c>
      <c r="EV249" s="141">
        <v>4.3535999999999575E-2</v>
      </c>
      <c r="EW249" s="142" t="s">
        <v>160</v>
      </c>
      <c r="EX249" s="129" t="s">
        <v>160</v>
      </c>
      <c r="EY249" s="129" t="s">
        <v>160</v>
      </c>
      <c r="EZ249" s="141">
        <v>313.09019999999998</v>
      </c>
      <c r="FA249" s="141">
        <v>40.924000000000035</v>
      </c>
      <c r="FB249" s="141">
        <v>36.107899999999972</v>
      </c>
      <c r="FC249" s="129" t="s">
        <v>220</v>
      </c>
      <c r="FD249" s="129" t="s">
        <v>221</v>
      </c>
      <c r="FE249" s="129">
        <v>2214.2960000000003</v>
      </c>
      <c r="FF249" s="129">
        <v>61.628999999999451</v>
      </c>
      <c r="FG249" s="129">
        <v>61.467000000000098</v>
      </c>
      <c r="FH249" s="129" t="s">
        <v>437</v>
      </c>
      <c r="FI249" s="129" t="s">
        <v>437</v>
      </c>
      <c r="FJ249" s="129" t="s">
        <v>437</v>
      </c>
      <c r="FK249" s="129" t="s">
        <v>437</v>
      </c>
      <c r="FL249" s="129" t="s">
        <v>437</v>
      </c>
      <c r="FM249" s="129" t="s">
        <v>437</v>
      </c>
      <c r="FN249" s="151">
        <v>3.7668509999999999</v>
      </c>
      <c r="FO249" s="151">
        <v>0.30648300000000006</v>
      </c>
      <c r="FP249" s="151">
        <v>0.29463699999999982</v>
      </c>
      <c r="FQ249" s="178" t="s">
        <v>419</v>
      </c>
      <c r="FR249" s="129" t="s">
        <v>439</v>
      </c>
      <c r="FS249" s="129">
        <v>2015</v>
      </c>
      <c r="FT249" s="129" t="s">
        <v>440</v>
      </c>
    </row>
    <row r="250" spans="1:176" s="129" customFormat="1" ht="17">
      <c r="A250" s="123" t="s">
        <v>152</v>
      </c>
      <c r="B250" s="166" t="s">
        <v>183</v>
      </c>
      <c r="C250" s="166">
        <v>2018</v>
      </c>
      <c r="D250" s="166" t="s">
        <v>184</v>
      </c>
      <c r="E250" s="151">
        <f t="shared" si="25"/>
        <v>2751.4826659999999</v>
      </c>
      <c r="F250" s="191" t="s">
        <v>160</v>
      </c>
      <c r="G250" s="191" t="s">
        <v>160</v>
      </c>
      <c r="H250" s="151">
        <v>297.45100000000002</v>
      </c>
      <c r="I250" s="151">
        <v>42.59069999999997</v>
      </c>
      <c r="J250" s="151">
        <v>36.838200000000029</v>
      </c>
      <c r="K250" s="129" t="s">
        <v>457</v>
      </c>
      <c r="L250" s="131" t="s">
        <v>185</v>
      </c>
      <c r="M250" s="132" t="s">
        <v>186</v>
      </c>
      <c r="N250" s="129" t="s">
        <v>184</v>
      </c>
      <c r="O250" s="129" t="s">
        <v>420</v>
      </c>
      <c r="P250" s="129" t="s">
        <v>156</v>
      </c>
      <c r="Q250" s="178">
        <v>10</v>
      </c>
      <c r="R250" s="178">
        <v>5</v>
      </c>
      <c r="S250" s="178">
        <v>22</v>
      </c>
      <c r="T250" s="178">
        <v>24</v>
      </c>
      <c r="U250" s="178" t="s">
        <v>160</v>
      </c>
      <c r="V250" s="178" t="s">
        <v>160</v>
      </c>
      <c r="W250" s="178" t="s">
        <v>160</v>
      </c>
      <c r="X250" s="129" t="s">
        <v>157</v>
      </c>
      <c r="Y250" s="136">
        <v>12.75</v>
      </c>
      <c r="Z250" s="136">
        <v>-78.73</v>
      </c>
      <c r="AA250" s="136">
        <v>12.75</v>
      </c>
      <c r="AB250" s="136">
        <v>-78.73</v>
      </c>
      <c r="AC250" s="136">
        <v>-2828</v>
      </c>
      <c r="AD250" s="136">
        <v>-2828</v>
      </c>
      <c r="AE250" s="129" t="s">
        <v>160</v>
      </c>
      <c r="AF250" s="129" t="s">
        <v>160</v>
      </c>
      <c r="AG250" s="141">
        <v>2751.4826659999999</v>
      </c>
      <c r="AH250" s="138" t="s">
        <v>159</v>
      </c>
      <c r="AI250" s="129" t="s">
        <v>160</v>
      </c>
      <c r="AJ250" s="129" t="s">
        <v>160</v>
      </c>
      <c r="AK250" s="178" t="s">
        <v>160</v>
      </c>
      <c r="AL250" s="178" t="s">
        <v>441</v>
      </c>
      <c r="AM250" s="178" t="s">
        <v>160</v>
      </c>
      <c r="AN250" s="129" t="s">
        <v>160</v>
      </c>
      <c r="AO250" s="129" t="s">
        <v>160</v>
      </c>
      <c r="AP250" s="129" t="s">
        <v>160</v>
      </c>
      <c r="AQ250" s="129" t="s">
        <v>160</v>
      </c>
      <c r="AR250" s="129" t="s">
        <v>160</v>
      </c>
      <c r="AS250" s="129" t="s">
        <v>160</v>
      </c>
      <c r="AT250" s="129" t="s">
        <v>160</v>
      </c>
      <c r="AU250" s="213" t="s">
        <v>442</v>
      </c>
      <c r="AV250" s="129" t="s">
        <v>161</v>
      </c>
      <c r="AW250" s="189" t="s">
        <v>443</v>
      </c>
      <c r="AX250" s="189" t="s">
        <v>444</v>
      </c>
      <c r="AY250" s="205" t="s">
        <v>353</v>
      </c>
      <c r="AZ250" s="205" t="s">
        <v>325</v>
      </c>
      <c r="BA250" s="129" t="s">
        <v>162</v>
      </c>
      <c r="BB250" s="129" t="s">
        <v>445</v>
      </c>
      <c r="BC250" s="129" t="s">
        <v>445</v>
      </c>
      <c r="BD250" s="129" t="s">
        <v>445</v>
      </c>
      <c r="BE250" s="141">
        <v>20.11</v>
      </c>
      <c r="BF250" s="129" t="s">
        <v>446</v>
      </c>
      <c r="BG250" s="141">
        <v>0.14606470599999999</v>
      </c>
      <c r="BH250" s="129">
        <v>0.6</v>
      </c>
      <c r="BI250" s="129" t="s">
        <v>427</v>
      </c>
      <c r="BJ250" s="138">
        <v>0.08</v>
      </c>
      <c r="BK250" s="129">
        <v>8.8699999999999992</v>
      </c>
      <c r="BL250" s="129" t="s">
        <v>163</v>
      </c>
      <c r="BM250" s="129">
        <v>1.52</v>
      </c>
      <c r="BN250" s="129" t="s">
        <v>428</v>
      </c>
      <c r="BO250" s="129" t="s">
        <v>448</v>
      </c>
      <c r="BP250" s="141">
        <f t="shared" si="26"/>
        <v>18.733333333333334</v>
      </c>
      <c r="BQ250" s="129" t="s">
        <v>202</v>
      </c>
      <c r="BR250" s="217"/>
      <c r="BS250" s="129" t="s">
        <v>160</v>
      </c>
      <c r="BT250" s="129" t="s">
        <v>160</v>
      </c>
      <c r="BU250" s="129">
        <v>10</v>
      </c>
      <c r="BV250" s="129" t="s">
        <v>159</v>
      </c>
      <c r="BW250" s="129">
        <v>10</v>
      </c>
      <c r="BX250" s="141">
        <v>25.27394228911022</v>
      </c>
      <c r="BY250" s="129" t="s">
        <v>159</v>
      </c>
      <c r="BZ250" s="129">
        <v>1</v>
      </c>
      <c r="CA250" s="129">
        <v>1</v>
      </c>
      <c r="CB250" s="141">
        <v>3.5849970938460105</v>
      </c>
      <c r="CC250" s="141">
        <v>3.5849970938460105</v>
      </c>
      <c r="CD250" s="129" t="s">
        <v>449</v>
      </c>
      <c r="CE250" s="151">
        <f t="shared" si="27"/>
        <v>9.6794921533842282E-2</v>
      </c>
      <c r="CF250" s="151">
        <f t="shared" si="28"/>
        <v>9.6794921533842282E-2</v>
      </c>
      <c r="CG250" s="145" t="s">
        <v>203</v>
      </c>
      <c r="CH250" s="129" t="s">
        <v>204</v>
      </c>
      <c r="CI250" s="129" t="s">
        <v>205</v>
      </c>
      <c r="CJ250" s="129" t="s">
        <v>206</v>
      </c>
      <c r="CK250" s="129" t="s">
        <v>158</v>
      </c>
      <c r="CL250" s="129" t="s">
        <v>158</v>
      </c>
      <c r="CM250" s="129" t="s">
        <v>158</v>
      </c>
      <c r="CN250" s="129" t="s">
        <v>160</v>
      </c>
      <c r="CO250" s="129" t="s">
        <v>160</v>
      </c>
      <c r="CP250" s="129" t="s">
        <v>160</v>
      </c>
      <c r="CQ250" s="129" t="s">
        <v>160</v>
      </c>
      <c r="CR250" s="129" t="s">
        <v>160</v>
      </c>
      <c r="CS250" s="129" t="s">
        <v>160</v>
      </c>
      <c r="CT250" s="129" t="s">
        <v>160</v>
      </c>
      <c r="CU250" s="215">
        <v>35</v>
      </c>
      <c r="CV250" s="129" t="s">
        <v>393</v>
      </c>
      <c r="CW250" s="146">
        <v>1</v>
      </c>
      <c r="CX250" s="129" t="s">
        <v>207</v>
      </c>
      <c r="CY250" s="129">
        <v>1.06E-2</v>
      </c>
      <c r="CZ250" s="129" t="s">
        <v>159</v>
      </c>
      <c r="DA250" s="146">
        <v>0</v>
      </c>
      <c r="DB250" s="129" t="s">
        <v>208</v>
      </c>
      <c r="DC250" s="129">
        <v>5.5100000000000003E-2</v>
      </c>
      <c r="DD250" s="129" t="s">
        <v>159</v>
      </c>
      <c r="DE250" s="146">
        <v>0</v>
      </c>
      <c r="DF250" s="129" t="s">
        <v>208</v>
      </c>
      <c r="DG250" s="178" t="s">
        <v>160</v>
      </c>
      <c r="DH250" s="178" t="s">
        <v>160</v>
      </c>
      <c r="DI250" s="178" t="s">
        <v>160</v>
      </c>
      <c r="DJ250" s="178" t="s">
        <v>160</v>
      </c>
      <c r="DK250" s="145">
        <v>432.56244218316402</v>
      </c>
      <c r="DL250" s="129" t="s">
        <v>433</v>
      </c>
      <c r="DM250" s="145" t="s">
        <v>160</v>
      </c>
      <c r="DN250" s="129" t="s">
        <v>434</v>
      </c>
      <c r="DO250" s="129">
        <v>39.71819</v>
      </c>
      <c r="DP250" s="129" t="s">
        <v>160</v>
      </c>
      <c r="DQ250" s="129">
        <v>0.34573999999999927</v>
      </c>
      <c r="DR250" s="129" t="s">
        <v>450</v>
      </c>
      <c r="DS250" s="129" t="s">
        <v>212</v>
      </c>
      <c r="DT250" s="129" t="s">
        <v>213</v>
      </c>
      <c r="DU250" s="129">
        <v>1.0271999999999999</v>
      </c>
      <c r="DV250" s="129" t="s">
        <v>393</v>
      </c>
      <c r="DW250" s="129">
        <v>5.9999999999999995E-4</v>
      </c>
      <c r="DX250" s="129" t="s">
        <v>436</v>
      </c>
      <c r="DY250" s="129" t="s">
        <v>160</v>
      </c>
      <c r="DZ250" s="129" t="s">
        <v>160</v>
      </c>
      <c r="EA250" s="129" t="s">
        <v>216</v>
      </c>
      <c r="EB250" s="129" t="s">
        <v>212</v>
      </c>
      <c r="EC250" s="129" t="s">
        <v>212</v>
      </c>
      <c r="ED250" s="129" t="s">
        <v>212</v>
      </c>
      <c r="EE250" s="129" t="s">
        <v>217</v>
      </c>
      <c r="EF250" s="147" t="s">
        <v>213</v>
      </c>
      <c r="EG250" s="148" t="s">
        <v>213</v>
      </c>
      <c r="EH250" s="129" t="s">
        <v>218</v>
      </c>
      <c r="EI250" s="129" t="s">
        <v>417</v>
      </c>
      <c r="EJ250" s="129" t="s">
        <v>160</v>
      </c>
      <c r="EK250" s="129">
        <v>1944.248</v>
      </c>
      <c r="EL250" s="129" t="s">
        <v>163</v>
      </c>
      <c r="EM250" s="129">
        <v>45.994000000000156</v>
      </c>
      <c r="EN250" s="129">
        <v>46.99999999999995</v>
      </c>
      <c r="EO250" s="129" t="s">
        <v>160</v>
      </c>
      <c r="EP250" s="129" t="s">
        <v>160</v>
      </c>
      <c r="EQ250" s="129" t="s">
        <v>160</v>
      </c>
      <c r="ER250" s="129" t="s">
        <v>160</v>
      </c>
      <c r="ES250" s="141">
        <v>8.1000949999999996</v>
      </c>
      <c r="ET250" s="142" t="s">
        <v>165</v>
      </c>
      <c r="EU250" s="141">
        <v>4.4721000000000899E-2</v>
      </c>
      <c r="EV250" s="141">
        <v>4.7407999999999006E-2</v>
      </c>
      <c r="EW250" s="142" t="s">
        <v>160</v>
      </c>
      <c r="EX250" s="129" t="s">
        <v>160</v>
      </c>
      <c r="EY250" s="129" t="s">
        <v>160</v>
      </c>
      <c r="EZ250" s="141">
        <v>297.45100000000002</v>
      </c>
      <c r="FA250" s="141">
        <v>42.59069999999997</v>
      </c>
      <c r="FB250" s="141">
        <v>36.838200000000029</v>
      </c>
      <c r="FC250" s="129" t="s">
        <v>220</v>
      </c>
      <c r="FD250" s="129" t="s">
        <v>221</v>
      </c>
      <c r="FE250" s="129">
        <v>2225.7240000000002</v>
      </c>
      <c r="FF250" s="129">
        <v>63.922000000000025</v>
      </c>
      <c r="FG250" s="129">
        <v>62.552000000000135</v>
      </c>
      <c r="FH250" s="129" t="s">
        <v>437</v>
      </c>
      <c r="FI250" s="129" t="s">
        <v>437</v>
      </c>
      <c r="FJ250" s="129" t="s">
        <v>437</v>
      </c>
      <c r="FK250" s="129" t="s">
        <v>437</v>
      </c>
      <c r="FL250" s="129" t="s">
        <v>437</v>
      </c>
      <c r="FM250" s="129" t="s">
        <v>437</v>
      </c>
      <c r="FN250" s="151">
        <v>3.9043230000000002</v>
      </c>
      <c r="FO250" s="151">
        <v>0.34840799999999961</v>
      </c>
      <c r="FP250" s="151">
        <v>0.33854600000000001</v>
      </c>
      <c r="FQ250" s="178" t="s">
        <v>419</v>
      </c>
      <c r="FR250" s="129" t="s">
        <v>439</v>
      </c>
      <c r="FS250" s="129">
        <v>2015</v>
      </c>
      <c r="FT250" s="129" t="s">
        <v>440</v>
      </c>
    </row>
    <row r="251" spans="1:176" s="129" customFormat="1" ht="17">
      <c r="A251" s="123" t="s">
        <v>152</v>
      </c>
      <c r="B251" s="166" t="s">
        <v>183</v>
      </c>
      <c r="C251" s="166">
        <v>2018</v>
      </c>
      <c r="D251" s="166" t="s">
        <v>184</v>
      </c>
      <c r="E251" s="151">
        <f t="shared" si="25"/>
        <v>2764.1870119999999</v>
      </c>
      <c r="F251" s="191" t="s">
        <v>160</v>
      </c>
      <c r="G251" s="191" t="s">
        <v>160</v>
      </c>
      <c r="H251" s="151">
        <v>328.6703</v>
      </c>
      <c r="I251" s="151">
        <v>44.034500000000037</v>
      </c>
      <c r="J251" s="151">
        <v>38.917400000000043</v>
      </c>
      <c r="K251" s="129" t="s">
        <v>457</v>
      </c>
      <c r="L251" s="131" t="s">
        <v>185</v>
      </c>
      <c r="M251" s="132" t="s">
        <v>186</v>
      </c>
      <c r="N251" s="129" t="s">
        <v>184</v>
      </c>
      <c r="O251" s="129" t="s">
        <v>420</v>
      </c>
      <c r="P251" s="129" t="s">
        <v>156</v>
      </c>
      <c r="Q251" s="178">
        <v>10</v>
      </c>
      <c r="R251" s="178">
        <v>5</v>
      </c>
      <c r="S251" s="178">
        <v>71</v>
      </c>
      <c r="T251" s="178">
        <v>73</v>
      </c>
      <c r="U251" s="178" t="s">
        <v>160</v>
      </c>
      <c r="V251" s="178" t="s">
        <v>160</v>
      </c>
      <c r="W251" s="178" t="s">
        <v>160</v>
      </c>
      <c r="X251" s="129" t="s">
        <v>157</v>
      </c>
      <c r="Y251" s="136">
        <v>12.75</v>
      </c>
      <c r="Z251" s="136">
        <v>-78.73</v>
      </c>
      <c r="AA251" s="136">
        <v>12.75</v>
      </c>
      <c r="AB251" s="136">
        <v>-78.73</v>
      </c>
      <c r="AC251" s="136">
        <v>-2828</v>
      </c>
      <c r="AD251" s="136">
        <v>-2828</v>
      </c>
      <c r="AE251" s="129" t="s">
        <v>160</v>
      </c>
      <c r="AF251" s="129" t="s">
        <v>160</v>
      </c>
      <c r="AG251" s="141">
        <v>2764.1870119999999</v>
      </c>
      <c r="AH251" s="138" t="s">
        <v>159</v>
      </c>
      <c r="AI251" s="129" t="s">
        <v>160</v>
      </c>
      <c r="AJ251" s="129" t="s">
        <v>160</v>
      </c>
      <c r="AK251" s="178" t="s">
        <v>160</v>
      </c>
      <c r="AL251" s="178" t="s">
        <v>441</v>
      </c>
      <c r="AM251" s="178" t="s">
        <v>160</v>
      </c>
      <c r="AN251" s="129" t="s">
        <v>160</v>
      </c>
      <c r="AO251" s="129" t="s">
        <v>160</v>
      </c>
      <c r="AP251" s="129" t="s">
        <v>160</v>
      </c>
      <c r="AQ251" s="129" t="s">
        <v>160</v>
      </c>
      <c r="AR251" s="129" t="s">
        <v>160</v>
      </c>
      <c r="AS251" s="129" t="s">
        <v>160</v>
      </c>
      <c r="AT251" s="129" t="s">
        <v>160</v>
      </c>
      <c r="AU251" s="213" t="s">
        <v>442</v>
      </c>
      <c r="AV251" s="129" t="s">
        <v>161</v>
      </c>
      <c r="AW251" s="189" t="s">
        <v>443</v>
      </c>
      <c r="AX251" s="205" t="s">
        <v>444</v>
      </c>
      <c r="AY251" s="205" t="s">
        <v>353</v>
      </c>
      <c r="AZ251" s="205" t="s">
        <v>325</v>
      </c>
      <c r="BA251" s="214" t="s">
        <v>162</v>
      </c>
      <c r="BB251" s="129" t="s">
        <v>445</v>
      </c>
      <c r="BC251" s="129" t="s">
        <v>445</v>
      </c>
      <c r="BD251" s="129" t="s">
        <v>445</v>
      </c>
      <c r="BE251" s="141">
        <v>19.859529999999999</v>
      </c>
      <c r="BF251" s="129" t="s">
        <v>446</v>
      </c>
      <c r="BG251" s="141">
        <v>0.107019087</v>
      </c>
      <c r="BH251" s="129">
        <v>0.6</v>
      </c>
      <c r="BI251" s="129" t="s">
        <v>427</v>
      </c>
      <c r="BJ251" s="138">
        <v>0.08</v>
      </c>
      <c r="BK251" s="129">
        <v>8.8699999999999992</v>
      </c>
      <c r="BL251" s="129" t="s">
        <v>163</v>
      </c>
      <c r="BM251" s="129">
        <v>1.52</v>
      </c>
      <c r="BN251" s="129" t="s">
        <v>428</v>
      </c>
      <c r="BO251" s="129" t="s">
        <v>448</v>
      </c>
      <c r="BP251" s="141">
        <f t="shared" si="26"/>
        <v>18.315883333333336</v>
      </c>
      <c r="BQ251" s="129" t="s">
        <v>202</v>
      </c>
      <c r="BR251" s="217"/>
      <c r="BS251" s="129" t="s">
        <v>160</v>
      </c>
      <c r="BT251" s="129" t="s">
        <v>160</v>
      </c>
      <c r="BU251" s="129">
        <v>10</v>
      </c>
      <c r="BV251" s="129" t="s">
        <v>159</v>
      </c>
      <c r="BW251" s="129">
        <v>10</v>
      </c>
      <c r="BX251" s="141">
        <v>25.159259786280469</v>
      </c>
      <c r="BY251" s="129" t="s">
        <v>159</v>
      </c>
      <c r="BZ251" s="129">
        <v>1</v>
      </c>
      <c r="CA251" s="129">
        <v>1</v>
      </c>
      <c r="CB251" s="141">
        <v>3.5477068173877262</v>
      </c>
      <c r="CC251" s="141">
        <v>3.5477068173877262</v>
      </c>
      <c r="CD251" s="129" t="s">
        <v>449</v>
      </c>
      <c r="CE251" s="151">
        <f t="shared" si="27"/>
        <v>9.5788084069468607E-2</v>
      </c>
      <c r="CF251" s="151">
        <f t="shared" si="28"/>
        <v>9.5788084069468607E-2</v>
      </c>
      <c r="CG251" s="145" t="s">
        <v>203</v>
      </c>
      <c r="CH251" s="129" t="s">
        <v>204</v>
      </c>
      <c r="CI251" s="129" t="s">
        <v>205</v>
      </c>
      <c r="CJ251" s="129" t="s">
        <v>206</v>
      </c>
      <c r="CK251" s="129" t="s">
        <v>158</v>
      </c>
      <c r="CL251" s="129" t="s">
        <v>158</v>
      </c>
      <c r="CM251" s="129" t="s">
        <v>158</v>
      </c>
      <c r="CN251" s="129" t="s">
        <v>160</v>
      </c>
      <c r="CO251" s="129" t="s">
        <v>160</v>
      </c>
      <c r="CP251" s="129" t="s">
        <v>160</v>
      </c>
      <c r="CQ251" s="129" t="s">
        <v>160</v>
      </c>
      <c r="CR251" s="129" t="s">
        <v>160</v>
      </c>
      <c r="CS251" s="129" t="s">
        <v>160</v>
      </c>
      <c r="CT251" s="129" t="s">
        <v>160</v>
      </c>
      <c r="CU251" s="215">
        <v>35</v>
      </c>
      <c r="CV251" s="129" t="s">
        <v>393</v>
      </c>
      <c r="CW251" s="146">
        <v>1</v>
      </c>
      <c r="CX251" s="129" t="s">
        <v>207</v>
      </c>
      <c r="CY251" s="129">
        <v>1.06E-2</v>
      </c>
      <c r="CZ251" s="129" t="s">
        <v>159</v>
      </c>
      <c r="DA251" s="146">
        <v>0</v>
      </c>
      <c r="DB251" s="129" t="s">
        <v>208</v>
      </c>
      <c r="DC251" s="129">
        <v>5.5100000000000003E-2</v>
      </c>
      <c r="DD251" s="129" t="s">
        <v>159</v>
      </c>
      <c r="DE251" s="146">
        <v>0</v>
      </c>
      <c r="DF251" s="129" t="s">
        <v>208</v>
      </c>
      <c r="DG251" s="178" t="s">
        <v>160</v>
      </c>
      <c r="DH251" s="178" t="s">
        <v>160</v>
      </c>
      <c r="DI251" s="178" t="s">
        <v>160</v>
      </c>
      <c r="DJ251" s="178" t="s">
        <v>160</v>
      </c>
      <c r="DK251" s="145">
        <v>432.56244218316402</v>
      </c>
      <c r="DL251" s="129" t="s">
        <v>433</v>
      </c>
      <c r="DM251" s="145" t="s">
        <v>160</v>
      </c>
      <c r="DN251" s="129" t="s">
        <v>434</v>
      </c>
      <c r="DO251" s="129">
        <v>39.720039999999997</v>
      </c>
      <c r="DP251" s="129" t="s">
        <v>160</v>
      </c>
      <c r="DQ251" s="129">
        <v>0.35147000000000617</v>
      </c>
      <c r="DR251" s="129" t="s">
        <v>450</v>
      </c>
      <c r="DS251" s="129" t="s">
        <v>212</v>
      </c>
      <c r="DT251" s="129" t="s">
        <v>213</v>
      </c>
      <c r="DU251" s="129">
        <v>1.0271999999999999</v>
      </c>
      <c r="DV251" s="129" t="s">
        <v>393</v>
      </c>
      <c r="DW251" s="129">
        <v>5.9999999999999995E-4</v>
      </c>
      <c r="DX251" s="129" t="s">
        <v>436</v>
      </c>
      <c r="DY251" s="129" t="s">
        <v>160</v>
      </c>
      <c r="DZ251" s="129" t="s">
        <v>160</v>
      </c>
      <c r="EA251" s="129" t="s">
        <v>216</v>
      </c>
      <c r="EB251" s="129" t="s">
        <v>212</v>
      </c>
      <c r="EC251" s="129" t="s">
        <v>212</v>
      </c>
      <c r="ED251" s="129" t="s">
        <v>212</v>
      </c>
      <c r="EE251" s="129" t="s">
        <v>217</v>
      </c>
      <c r="EF251" s="147" t="s">
        <v>213</v>
      </c>
      <c r="EG251" s="148" t="s">
        <v>213</v>
      </c>
      <c r="EH251" s="129" t="s">
        <v>218</v>
      </c>
      <c r="EI251" s="129" t="s">
        <v>417</v>
      </c>
      <c r="EJ251" s="129" t="s">
        <v>160</v>
      </c>
      <c r="EK251" s="129">
        <v>1944.1980000000001</v>
      </c>
      <c r="EL251" s="129" t="s">
        <v>163</v>
      </c>
      <c r="EM251" s="129">
        <v>45.718999999999838</v>
      </c>
      <c r="EN251" s="129">
        <v>47.158999999999956</v>
      </c>
      <c r="EO251" s="129" t="s">
        <v>160</v>
      </c>
      <c r="EP251" s="129" t="s">
        <v>160</v>
      </c>
      <c r="EQ251" s="129" t="s">
        <v>160</v>
      </c>
      <c r="ER251" s="129" t="s">
        <v>160</v>
      </c>
      <c r="ES251" s="141">
        <v>8.0642320000000005</v>
      </c>
      <c r="ET251" s="142" t="s">
        <v>165</v>
      </c>
      <c r="EU251" s="141">
        <v>4.4008999999999077E-2</v>
      </c>
      <c r="EV251" s="141">
        <v>4.4177000000001243E-2</v>
      </c>
      <c r="EW251" s="142" t="s">
        <v>160</v>
      </c>
      <c r="EX251" s="129" t="s">
        <v>160</v>
      </c>
      <c r="EY251" s="129" t="s">
        <v>160</v>
      </c>
      <c r="EZ251" s="141">
        <v>328.6703</v>
      </c>
      <c r="FA251" s="141">
        <v>44.034500000000037</v>
      </c>
      <c r="FB251" s="141">
        <v>38.917400000000043</v>
      </c>
      <c r="FC251" s="129" t="s">
        <v>220</v>
      </c>
      <c r="FD251" s="129" t="s">
        <v>221</v>
      </c>
      <c r="FE251" s="129">
        <v>2200.819</v>
      </c>
      <c r="FF251" s="129">
        <v>62.036000000000058</v>
      </c>
      <c r="FG251" s="129">
        <v>60.831000000000131</v>
      </c>
      <c r="FH251" s="129" t="s">
        <v>437</v>
      </c>
      <c r="FI251" s="129" t="s">
        <v>437</v>
      </c>
      <c r="FJ251" s="129" t="s">
        <v>437</v>
      </c>
      <c r="FK251" s="129" t="s">
        <v>437</v>
      </c>
      <c r="FL251" s="129" t="s">
        <v>437</v>
      </c>
      <c r="FM251" s="129" t="s">
        <v>437</v>
      </c>
      <c r="FN251" s="151">
        <v>3.6094889999999999</v>
      </c>
      <c r="FO251" s="151">
        <v>0.31129400000000018</v>
      </c>
      <c r="FP251" s="151">
        <v>0.30183500000000008</v>
      </c>
      <c r="FQ251" s="178" t="s">
        <v>419</v>
      </c>
      <c r="FR251" s="129" t="s">
        <v>439</v>
      </c>
      <c r="FS251" s="129">
        <v>2015</v>
      </c>
      <c r="FT251" s="129" t="s">
        <v>440</v>
      </c>
    </row>
    <row r="252" spans="1:176" s="129" customFormat="1" ht="17">
      <c r="A252" s="123" t="s">
        <v>152</v>
      </c>
      <c r="B252" s="166" t="s">
        <v>183</v>
      </c>
      <c r="C252" s="166">
        <v>2018</v>
      </c>
      <c r="D252" s="166" t="s">
        <v>184</v>
      </c>
      <c r="E252" s="151">
        <f t="shared" si="25"/>
        <v>2777.4809570000002</v>
      </c>
      <c r="F252" s="191" t="s">
        <v>160</v>
      </c>
      <c r="G252" s="191" t="s">
        <v>160</v>
      </c>
      <c r="H252" s="151">
        <v>260.50139999999999</v>
      </c>
      <c r="I252" s="151">
        <v>33.510300000000029</v>
      </c>
      <c r="J252" s="151">
        <v>29.579100000000011</v>
      </c>
      <c r="K252" s="129" t="s">
        <v>457</v>
      </c>
      <c r="L252" s="131" t="s">
        <v>185</v>
      </c>
      <c r="M252" s="132" t="s">
        <v>186</v>
      </c>
      <c r="N252" s="129" t="s">
        <v>184</v>
      </c>
      <c r="O252" s="129" t="s">
        <v>420</v>
      </c>
      <c r="P252" s="129" t="s">
        <v>156</v>
      </c>
      <c r="Q252" s="178">
        <v>10</v>
      </c>
      <c r="R252" s="178">
        <v>5</v>
      </c>
      <c r="S252" s="178">
        <v>120</v>
      </c>
      <c r="T252" s="178">
        <v>122</v>
      </c>
      <c r="U252" s="178" t="s">
        <v>160</v>
      </c>
      <c r="V252" s="178" t="s">
        <v>160</v>
      </c>
      <c r="W252" s="178" t="s">
        <v>160</v>
      </c>
      <c r="X252" s="129" t="s">
        <v>157</v>
      </c>
      <c r="Y252" s="136">
        <v>12.75</v>
      </c>
      <c r="Z252" s="136">
        <v>-78.73</v>
      </c>
      <c r="AA252" s="136">
        <v>12.75</v>
      </c>
      <c r="AB252" s="136">
        <v>-78.73</v>
      </c>
      <c r="AC252" s="136">
        <v>-2828</v>
      </c>
      <c r="AD252" s="136">
        <v>-2828</v>
      </c>
      <c r="AE252" s="129" t="s">
        <v>160</v>
      </c>
      <c r="AF252" s="129" t="s">
        <v>160</v>
      </c>
      <c r="AG252" s="141">
        <v>2777.4809570000002</v>
      </c>
      <c r="AH252" s="138" t="s">
        <v>159</v>
      </c>
      <c r="AI252" s="129" t="s">
        <v>160</v>
      </c>
      <c r="AJ252" s="129" t="s">
        <v>160</v>
      </c>
      <c r="AK252" s="178" t="s">
        <v>160</v>
      </c>
      <c r="AL252" s="178" t="s">
        <v>441</v>
      </c>
      <c r="AM252" s="178" t="s">
        <v>160</v>
      </c>
      <c r="AN252" s="129" t="s">
        <v>160</v>
      </c>
      <c r="AO252" s="129" t="s">
        <v>160</v>
      </c>
      <c r="AP252" s="129" t="s">
        <v>160</v>
      </c>
      <c r="AQ252" s="129" t="s">
        <v>160</v>
      </c>
      <c r="AR252" s="129" t="s">
        <v>160</v>
      </c>
      <c r="AS252" s="129" t="s">
        <v>160</v>
      </c>
      <c r="AT252" s="129" t="s">
        <v>160</v>
      </c>
      <c r="AU252" s="213" t="s">
        <v>442</v>
      </c>
      <c r="AV252" s="129" t="s">
        <v>161</v>
      </c>
      <c r="AW252" s="189" t="s">
        <v>443</v>
      </c>
      <c r="AX252" s="189" t="s">
        <v>444</v>
      </c>
      <c r="AY252" s="205" t="s">
        <v>353</v>
      </c>
      <c r="AZ252" s="205" t="s">
        <v>325</v>
      </c>
      <c r="BA252" s="129" t="s">
        <v>162</v>
      </c>
      <c r="BB252" s="129" t="s">
        <v>445</v>
      </c>
      <c r="BC252" s="129" t="s">
        <v>445</v>
      </c>
      <c r="BD252" s="129" t="s">
        <v>445</v>
      </c>
      <c r="BE252" s="141">
        <v>20.370550000000001</v>
      </c>
      <c r="BF252" s="129" t="s">
        <v>446</v>
      </c>
      <c r="BG252" s="141">
        <v>9.3124295999999995E-2</v>
      </c>
      <c r="BH252" s="129">
        <v>0.6</v>
      </c>
      <c r="BI252" s="129" t="s">
        <v>427</v>
      </c>
      <c r="BJ252" s="138">
        <v>0.08</v>
      </c>
      <c r="BK252" s="129">
        <v>8.8699999999999992</v>
      </c>
      <c r="BL252" s="129" t="s">
        <v>163</v>
      </c>
      <c r="BM252" s="129">
        <v>1.52</v>
      </c>
      <c r="BN252" s="129" t="s">
        <v>428</v>
      </c>
      <c r="BO252" s="129" t="s">
        <v>448</v>
      </c>
      <c r="BP252" s="141">
        <f t="shared" si="26"/>
        <v>19.167583333333337</v>
      </c>
      <c r="BQ252" s="129" t="s">
        <v>202</v>
      </c>
      <c r="BR252" s="217"/>
      <c r="BS252" s="129" t="s">
        <v>160</v>
      </c>
      <c r="BT252" s="129" t="s">
        <v>160</v>
      </c>
      <c r="BU252" s="129">
        <v>10</v>
      </c>
      <c r="BV252" s="129" t="s">
        <v>159</v>
      </c>
      <c r="BW252" s="129">
        <v>10</v>
      </c>
      <c r="BX252" s="141">
        <v>24.49855606634522</v>
      </c>
      <c r="BY252" s="129" t="s">
        <v>159</v>
      </c>
      <c r="BZ252" s="129">
        <v>1</v>
      </c>
      <c r="CA252" s="129">
        <v>1</v>
      </c>
      <c r="CB252" s="141">
        <v>3.3424264849756011</v>
      </c>
      <c r="CC252" s="141">
        <v>3.3424264849756011</v>
      </c>
      <c r="CD252" s="129" t="s">
        <v>449</v>
      </c>
      <c r="CE252" s="151">
        <f t="shared" si="27"/>
        <v>9.0245515094341228E-2</v>
      </c>
      <c r="CF252" s="151">
        <f t="shared" si="28"/>
        <v>9.0245515094341228E-2</v>
      </c>
      <c r="CG252" s="145" t="s">
        <v>203</v>
      </c>
      <c r="CH252" s="129" t="s">
        <v>204</v>
      </c>
      <c r="CI252" s="129" t="s">
        <v>205</v>
      </c>
      <c r="CJ252" s="129" t="s">
        <v>206</v>
      </c>
      <c r="CK252" s="129" t="s">
        <v>158</v>
      </c>
      <c r="CL252" s="129" t="s">
        <v>158</v>
      </c>
      <c r="CM252" s="129" t="s">
        <v>158</v>
      </c>
      <c r="CN252" s="129" t="s">
        <v>160</v>
      </c>
      <c r="CO252" s="129" t="s">
        <v>160</v>
      </c>
      <c r="CP252" s="129" t="s">
        <v>160</v>
      </c>
      <c r="CQ252" s="129" t="s">
        <v>160</v>
      </c>
      <c r="CR252" s="129" t="s">
        <v>160</v>
      </c>
      <c r="CS252" s="129" t="s">
        <v>160</v>
      </c>
      <c r="CT252" s="129" t="s">
        <v>160</v>
      </c>
      <c r="CU252" s="215">
        <v>35</v>
      </c>
      <c r="CV252" s="129" t="s">
        <v>393</v>
      </c>
      <c r="CW252" s="146">
        <v>1</v>
      </c>
      <c r="CX252" s="129" t="s">
        <v>207</v>
      </c>
      <c r="CY252" s="129">
        <v>1.06E-2</v>
      </c>
      <c r="CZ252" s="129" t="s">
        <v>159</v>
      </c>
      <c r="DA252" s="146">
        <v>0</v>
      </c>
      <c r="DB252" s="129" t="s">
        <v>208</v>
      </c>
      <c r="DC252" s="129">
        <v>5.5100000000000003E-2</v>
      </c>
      <c r="DD252" s="129" t="s">
        <v>159</v>
      </c>
      <c r="DE252" s="146">
        <v>0</v>
      </c>
      <c r="DF252" s="129" t="s">
        <v>208</v>
      </c>
      <c r="DG252" s="178" t="s">
        <v>160</v>
      </c>
      <c r="DH252" s="178" t="s">
        <v>160</v>
      </c>
      <c r="DI252" s="178" t="s">
        <v>160</v>
      </c>
      <c r="DJ252" s="178" t="s">
        <v>160</v>
      </c>
      <c r="DK252" s="145">
        <v>432.56244218316402</v>
      </c>
      <c r="DL252" s="129" t="s">
        <v>433</v>
      </c>
      <c r="DM252" s="145" t="s">
        <v>160</v>
      </c>
      <c r="DN252" s="129" t="s">
        <v>434</v>
      </c>
      <c r="DO252" s="129">
        <v>39.719169999999998</v>
      </c>
      <c r="DP252" s="129" t="s">
        <v>160</v>
      </c>
      <c r="DQ252" s="129">
        <v>0.35162000000000404</v>
      </c>
      <c r="DR252" s="129" t="s">
        <v>450</v>
      </c>
      <c r="DS252" s="129" t="s">
        <v>212</v>
      </c>
      <c r="DT252" s="129" t="s">
        <v>213</v>
      </c>
      <c r="DU252" s="129">
        <v>1.0271999999999999</v>
      </c>
      <c r="DV252" s="129" t="s">
        <v>393</v>
      </c>
      <c r="DW252" s="129">
        <v>5.9999999999999995E-4</v>
      </c>
      <c r="DX252" s="129" t="s">
        <v>436</v>
      </c>
      <c r="DY252" s="129" t="s">
        <v>160</v>
      </c>
      <c r="DZ252" s="129" t="s">
        <v>160</v>
      </c>
      <c r="EA252" s="129" t="s">
        <v>216</v>
      </c>
      <c r="EB252" s="129" t="s">
        <v>212</v>
      </c>
      <c r="EC252" s="129" t="s">
        <v>212</v>
      </c>
      <c r="ED252" s="129" t="s">
        <v>212</v>
      </c>
      <c r="EE252" s="129" t="s">
        <v>217</v>
      </c>
      <c r="EF252" s="147" t="s">
        <v>213</v>
      </c>
      <c r="EG252" s="148" t="s">
        <v>213</v>
      </c>
      <c r="EH252" s="129" t="s">
        <v>218</v>
      </c>
      <c r="EI252" s="129" t="s">
        <v>417</v>
      </c>
      <c r="EJ252" s="129" t="s">
        <v>160</v>
      </c>
      <c r="EK252" s="129">
        <v>1943.95</v>
      </c>
      <c r="EL252" s="129" t="s">
        <v>163</v>
      </c>
      <c r="EM252" s="129">
        <v>45.961999999999868</v>
      </c>
      <c r="EN252" s="129">
        <v>46.643000000000072</v>
      </c>
      <c r="EO252" s="129" t="s">
        <v>160</v>
      </c>
      <c r="EP252" s="129" t="s">
        <v>160</v>
      </c>
      <c r="EQ252" s="129" t="s">
        <v>160</v>
      </c>
      <c r="ER252" s="129" t="s">
        <v>160</v>
      </c>
      <c r="ES252" s="141">
        <v>8.145759</v>
      </c>
      <c r="ET252" s="142" t="s">
        <v>165</v>
      </c>
      <c r="EU252" s="141">
        <v>4.0791999999999717E-2</v>
      </c>
      <c r="EV252" s="141">
        <v>4.130900000000004E-2</v>
      </c>
      <c r="EW252" s="142" t="s">
        <v>160</v>
      </c>
      <c r="EX252" s="129" t="s">
        <v>160</v>
      </c>
      <c r="EY252" s="129" t="s">
        <v>160</v>
      </c>
      <c r="EZ252" s="141">
        <v>260.50139999999999</v>
      </c>
      <c r="FA252" s="141">
        <v>33.510300000000029</v>
      </c>
      <c r="FB252" s="141">
        <v>29.579100000000011</v>
      </c>
      <c r="FC252" s="129" t="s">
        <v>220</v>
      </c>
      <c r="FD252" s="129" t="s">
        <v>221</v>
      </c>
      <c r="FE252" s="129">
        <v>2248.6080000000002</v>
      </c>
      <c r="FF252" s="129">
        <v>61.557999999999993</v>
      </c>
      <c r="FG252" s="129">
        <v>62.494000000000142</v>
      </c>
      <c r="FH252" s="129" t="s">
        <v>437</v>
      </c>
      <c r="FI252" s="129" t="s">
        <v>437</v>
      </c>
      <c r="FJ252" s="129" t="s">
        <v>437</v>
      </c>
      <c r="FK252" s="129" t="s">
        <v>437</v>
      </c>
      <c r="FL252" s="129" t="s">
        <v>437</v>
      </c>
      <c r="FM252" s="129" t="s">
        <v>437</v>
      </c>
      <c r="FN252" s="151">
        <v>4.1571740000000004</v>
      </c>
      <c r="FO252" s="151">
        <v>0.31936799999999987</v>
      </c>
      <c r="FP252" s="151">
        <v>0.30658700000000039</v>
      </c>
      <c r="FQ252" s="178" t="s">
        <v>419</v>
      </c>
      <c r="FR252" s="129" t="s">
        <v>439</v>
      </c>
      <c r="FS252" s="129">
        <v>2015</v>
      </c>
      <c r="FT252" s="129" t="s">
        <v>440</v>
      </c>
    </row>
    <row r="253" spans="1:176" s="129" customFormat="1" ht="17">
      <c r="A253" s="123" t="s">
        <v>152</v>
      </c>
      <c r="B253" s="166" t="s">
        <v>183</v>
      </c>
      <c r="C253" s="166">
        <v>2018</v>
      </c>
      <c r="D253" s="166" t="s">
        <v>184</v>
      </c>
      <c r="E253" s="151">
        <f t="shared" si="25"/>
        <v>2798.5437010000001</v>
      </c>
      <c r="F253" s="191" t="s">
        <v>160</v>
      </c>
      <c r="G253" s="191" t="s">
        <v>160</v>
      </c>
      <c r="H253" s="151">
        <v>262.71170000000001</v>
      </c>
      <c r="I253" s="151">
        <v>34.451999999999998</v>
      </c>
      <c r="J253" s="151">
        <v>30.677700000000016</v>
      </c>
      <c r="K253" s="129" t="s">
        <v>457</v>
      </c>
      <c r="L253" s="131" t="s">
        <v>185</v>
      </c>
      <c r="M253" s="132" t="s">
        <v>186</v>
      </c>
      <c r="N253" s="129" t="s">
        <v>184</v>
      </c>
      <c r="O253" s="129" t="s">
        <v>420</v>
      </c>
      <c r="P253" s="129" t="s">
        <v>156</v>
      </c>
      <c r="Q253" s="178">
        <v>10</v>
      </c>
      <c r="R253" s="178">
        <v>6</v>
      </c>
      <c r="S253" s="178">
        <v>48</v>
      </c>
      <c r="T253" s="178">
        <v>50</v>
      </c>
      <c r="U253" s="178" t="s">
        <v>160</v>
      </c>
      <c r="V253" s="178" t="s">
        <v>160</v>
      </c>
      <c r="W253" s="178" t="s">
        <v>160</v>
      </c>
      <c r="X253" s="129" t="s">
        <v>157</v>
      </c>
      <c r="Y253" s="136">
        <v>12.75</v>
      </c>
      <c r="Z253" s="136">
        <v>-78.73</v>
      </c>
      <c r="AA253" s="136">
        <v>12.75</v>
      </c>
      <c r="AB253" s="136">
        <v>-78.73</v>
      </c>
      <c r="AC253" s="136">
        <v>-2828</v>
      </c>
      <c r="AD253" s="136">
        <v>-2828</v>
      </c>
      <c r="AE253" s="129" t="s">
        <v>160</v>
      </c>
      <c r="AF253" s="129" t="s">
        <v>160</v>
      </c>
      <c r="AG253" s="141">
        <v>2798.5437010000001</v>
      </c>
      <c r="AH253" s="138" t="s">
        <v>159</v>
      </c>
      <c r="AI253" s="129" t="s">
        <v>160</v>
      </c>
      <c r="AJ253" s="129" t="s">
        <v>160</v>
      </c>
      <c r="AK253" s="178" t="s">
        <v>160</v>
      </c>
      <c r="AL253" s="178" t="s">
        <v>441</v>
      </c>
      <c r="AM253" s="178" t="s">
        <v>160</v>
      </c>
      <c r="AN253" s="129" t="s">
        <v>160</v>
      </c>
      <c r="AO253" s="129" t="s">
        <v>160</v>
      </c>
      <c r="AP253" s="129" t="s">
        <v>160</v>
      </c>
      <c r="AQ253" s="129" t="s">
        <v>160</v>
      </c>
      <c r="AR253" s="129" t="s">
        <v>160</v>
      </c>
      <c r="AS253" s="129" t="s">
        <v>160</v>
      </c>
      <c r="AT253" s="129" t="s">
        <v>160</v>
      </c>
      <c r="AU253" s="213" t="s">
        <v>442</v>
      </c>
      <c r="AV253" s="129" t="s">
        <v>161</v>
      </c>
      <c r="AW253" s="189" t="s">
        <v>443</v>
      </c>
      <c r="AX253" s="205" t="s">
        <v>444</v>
      </c>
      <c r="AY253" s="205" t="s">
        <v>353</v>
      </c>
      <c r="AZ253" s="205" t="s">
        <v>325</v>
      </c>
      <c r="BA253" s="214" t="s">
        <v>162</v>
      </c>
      <c r="BB253" s="129" t="s">
        <v>445</v>
      </c>
      <c r="BC253" s="129" t="s">
        <v>445</v>
      </c>
      <c r="BD253" s="129" t="s">
        <v>445</v>
      </c>
      <c r="BE253" s="141">
        <v>20.39716</v>
      </c>
      <c r="BF253" s="129" t="s">
        <v>446</v>
      </c>
      <c r="BG253" s="141">
        <v>0.108623541</v>
      </c>
      <c r="BH253" s="129">
        <v>0.6</v>
      </c>
      <c r="BI253" s="129" t="s">
        <v>427</v>
      </c>
      <c r="BJ253" s="138">
        <v>0.08</v>
      </c>
      <c r="BK253" s="129">
        <v>8.8699999999999992</v>
      </c>
      <c r="BL253" s="129" t="s">
        <v>163</v>
      </c>
      <c r="BM253" s="129">
        <v>1.52</v>
      </c>
      <c r="BN253" s="129" t="s">
        <v>428</v>
      </c>
      <c r="BO253" s="129" t="s">
        <v>448</v>
      </c>
      <c r="BP253" s="141">
        <f t="shared" si="26"/>
        <v>19.211933333333334</v>
      </c>
      <c r="BQ253" s="129" t="s">
        <v>202</v>
      </c>
      <c r="BR253" s="217"/>
      <c r="BS253" s="129" t="s">
        <v>160</v>
      </c>
      <c r="BT253" s="129" t="s">
        <v>160</v>
      </c>
      <c r="BU253" s="129">
        <v>10</v>
      </c>
      <c r="BV253" s="129" t="s">
        <v>159</v>
      </c>
      <c r="BW253" s="129">
        <v>10</v>
      </c>
      <c r="BX253" s="141">
        <v>25.069382959578348</v>
      </c>
      <c r="BY253" s="129" t="s">
        <v>159</v>
      </c>
      <c r="BZ253" s="129">
        <v>1</v>
      </c>
      <c r="CA253" s="129">
        <v>1</v>
      </c>
      <c r="CB253" s="141">
        <v>3.5178428908274295</v>
      </c>
      <c r="CC253" s="141">
        <v>3.5178428908274295</v>
      </c>
      <c r="CD253" s="129" t="s">
        <v>449</v>
      </c>
      <c r="CE253" s="151">
        <f t="shared" si="27"/>
        <v>9.498175805234059E-2</v>
      </c>
      <c r="CF253" s="151">
        <f t="shared" si="28"/>
        <v>9.498175805234059E-2</v>
      </c>
      <c r="CG253" s="145" t="s">
        <v>203</v>
      </c>
      <c r="CH253" s="129" t="s">
        <v>204</v>
      </c>
      <c r="CI253" s="129" t="s">
        <v>205</v>
      </c>
      <c r="CJ253" s="129" t="s">
        <v>206</v>
      </c>
      <c r="CK253" s="129" t="s">
        <v>158</v>
      </c>
      <c r="CL253" s="129" t="s">
        <v>158</v>
      </c>
      <c r="CM253" s="129" t="s">
        <v>158</v>
      </c>
      <c r="CN253" s="129" t="s">
        <v>160</v>
      </c>
      <c r="CO253" s="129" t="s">
        <v>160</v>
      </c>
      <c r="CP253" s="129" t="s">
        <v>160</v>
      </c>
      <c r="CQ253" s="129" t="s">
        <v>160</v>
      </c>
      <c r="CR253" s="129" t="s">
        <v>160</v>
      </c>
      <c r="CS253" s="129" t="s">
        <v>160</v>
      </c>
      <c r="CT253" s="129" t="s">
        <v>160</v>
      </c>
      <c r="CU253" s="215">
        <v>35</v>
      </c>
      <c r="CV253" s="129" t="s">
        <v>393</v>
      </c>
      <c r="CW253" s="146">
        <v>1</v>
      </c>
      <c r="CX253" s="129" t="s">
        <v>207</v>
      </c>
      <c r="CY253" s="129">
        <v>1.06E-2</v>
      </c>
      <c r="CZ253" s="129" t="s">
        <v>159</v>
      </c>
      <c r="DA253" s="146">
        <v>0</v>
      </c>
      <c r="DB253" s="129" t="s">
        <v>208</v>
      </c>
      <c r="DC253" s="129">
        <v>5.5100000000000003E-2</v>
      </c>
      <c r="DD253" s="129" t="s">
        <v>159</v>
      </c>
      <c r="DE253" s="146">
        <v>0</v>
      </c>
      <c r="DF253" s="129" t="s">
        <v>208</v>
      </c>
      <c r="DG253" s="178" t="s">
        <v>160</v>
      </c>
      <c r="DH253" s="178" t="s">
        <v>160</v>
      </c>
      <c r="DI253" s="178" t="s">
        <v>160</v>
      </c>
      <c r="DJ253" s="178" t="s">
        <v>160</v>
      </c>
      <c r="DK253" s="145">
        <v>432.56244218316402</v>
      </c>
      <c r="DL253" s="129" t="s">
        <v>433</v>
      </c>
      <c r="DM253" s="145" t="s">
        <v>160</v>
      </c>
      <c r="DN253" s="129" t="s">
        <v>434</v>
      </c>
      <c r="DO253" s="129">
        <v>39.720489999999998</v>
      </c>
      <c r="DP253" s="129" t="s">
        <v>160</v>
      </c>
      <c r="DQ253" s="129">
        <v>0.35157000000000238</v>
      </c>
      <c r="DR253" s="129" t="s">
        <v>450</v>
      </c>
      <c r="DS253" s="129" t="s">
        <v>212</v>
      </c>
      <c r="DT253" s="129" t="s">
        <v>213</v>
      </c>
      <c r="DU253" s="129">
        <v>1.0271999999999999</v>
      </c>
      <c r="DV253" s="129" t="s">
        <v>393</v>
      </c>
      <c r="DW253" s="129">
        <v>5.9999999999999995E-4</v>
      </c>
      <c r="DX253" s="129" t="s">
        <v>436</v>
      </c>
      <c r="DY253" s="129" t="s">
        <v>160</v>
      </c>
      <c r="DZ253" s="129" t="s">
        <v>160</v>
      </c>
      <c r="EA253" s="129" t="s">
        <v>216</v>
      </c>
      <c r="EB253" s="129" t="s">
        <v>212</v>
      </c>
      <c r="EC253" s="129" t="s">
        <v>212</v>
      </c>
      <c r="ED253" s="129" t="s">
        <v>212</v>
      </c>
      <c r="EE253" s="129" t="s">
        <v>217</v>
      </c>
      <c r="EF253" s="147" t="s">
        <v>213</v>
      </c>
      <c r="EG253" s="148" t="s">
        <v>213</v>
      </c>
      <c r="EH253" s="129" t="s">
        <v>218</v>
      </c>
      <c r="EI253" s="129" t="s">
        <v>417</v>
      </c>
      <c r="EJ253" s="129" t="s">
        <v>160</v>
      </c>
      <c r="EK253" s="129">
        <v>1943.328</v>
      </c>
      <c r="EL253" s="129" t="s">
        <v>163</v>
      </c>
      <c r="EM253" s="129">
        <v>46.306999999999988</v>
      </c>
      <c r="EN253" s="129">
        <v>48.838999999999956</v>
      </c>
      <c r="EO253" s="129" t="s">
        <v>160</v>
      </c>
      <c r="EP253" s="129" t="s">
        <v>160</v>
      </c>
      <c r="EQ253" s="129" t="s">
        <v>160</v>
      </c>
      <c r="ER253" s="129" t="s">
        <v>160</v>
      </c>
      <c r="ES253" s="141">
        <v>8.1430640000000007</v>
      </c>
      <c r="ET253" s="142" t="s">
        <v>165</v>
      </c>
      <c r="EU253" s="141">
        <v>4.2302999999998647E-2</v>
      </c>
      <c r="EV253" s="141">
        <v>4.1549000000001612E-2</v>
      </c>
      <c r="EW253" s="142" t="s">
        <v>160</v>
      </c>
      <c r="EX253" s="129" t="s">
        <v>160</v>
      </c>
      <c r="EY253" s="129" t="s">
        <v>160</v>
      </c>
      <c r="EZ253" s="141">
        <v>262.71170000000001</v>
      </c>
      <c r="FA253" s="141">
        <v>34.451999999999998</v>
      </c>
      <c r="FB253" s="141">
        <v>30.677700000000016</v>
      </c>
      <c r="FC253" s="129" t="s">
        <v>220</v>
      </c>
      <c r="FD253" s="129" t="s">
        <v>221</v>
      </c>
      <c r="FE253" s="129">
        <v>2251.806</v>
      </c>
      <c r="FF253" s="129">
        <v>63.410000000000309</v>
      </c>
      <c r="FG253" s="129">
        <v>62.945000000000164</v>
      </c>
      <c r="FH253" s="129" t="s">
        <v>437</v>
      </c>
      <c r="FI253" s="129" t="s">
        <v>437</v>
      </c>
      <c r="FJ253" s="129" t="s">
        <v>437</v>
      </c>
      <c r="FK253" s="129" t="s">
        <v>437</v>
      </c>
      <c r="FL253" s="129" t="s">
        <v>437</v>
      </c>
      <c r="FM253" s="129" t="s">
        <v>437</v>
      </c>
      <c r="FN253" s="151">
        <v>4.2210520000000002</v>
      </c>
      <c r="FO253" s="151">
        <v>0.33728499999999961</v>
      </c>
      <c r="FP253" s="151">
        <v>0.32018200000000041</v>
      </c>
      <c r="FQ253" s="178" t="s">
        <v>419</v>
      </c>
      <c r="FR253" s="129" t="s">
        <v>439</v>
      </c>
      <c r="FS253" s="129">
        <v>2015</v>
      </c>
      <c r="FT253" s="129" t="s">
        <v>440</v>
      </c>
    </row>
    <row r="254" spans="1:176" s="129" customFormat="1" ht="17">
      <c r="A254" s="123" t="s">
        <v>152</v>
      </c>
      <c r="B254" s="166" t="s">
        <v>183</v>
      </c>
      <c r="C254" s="166">
        <v>2018</v>
      </c>
      <c r="D254" s="166" t="s">
        <v>184</v>
      </c>
      <c r="E254" s="151">
        <f t="shared" si="25"/>
        <v>2830.1762699999999</v>
      </c>
      <c r="F254" s="191" t="s">
        <v>160</v>
      </c>
      <c r="G254" s="191" t="s">
        <v>160</v>
      </c>
      <c r="H254" s="151">
        <v>295.46510000000001</v>
      </c>
      <c r="I254" s="151">
        <v>38.733000000000004</v>
      </c>
      <c r="J254" s="151">
        <v>34.157199999999989</v>
      </c>
      <c r="K254" s="129" t="s">
        <v>457</v>
      </c>
      <c r="L254" s="131" t="s">
        <v>185</v>
      </c>
      <c r="M254" s="132" t="s">
        <v>186</v>
      </c>
      <c r="N254" s="129" t="s">
        <v>184</v>
      </c>
      <c r="O254" s="129" t="s">
        <v>420</v>
      </c>
      <c r="P254" s="129" t="s">
        <v>156</v>
      </c>
      <c r="Q254" s="178">
        <v>10</v>
      </c>
      <c r="R254" s="178">
        <v>6</v>
      </c>
      <c r="S254" s="178">
        <v>127</v>
      </c>
      <c r="T254" s="178">
        <v>129</v>
      </c>
      <c r="U254" s="178" t="s">
        <v>160</v>
      </c>
      <c r="V254" s="178" t="s">
        <v>160</v>
      </c>
      <c r="W254" s="178" t="s">
        <v>160</v>
      </c>
      <c r="X254" s="129" t="s">
        <v>157</v>
      </c>
      <c r="Y254" s="136">
        <v>12.75</v>
      </c>
      <c r="Z254" s="136">
        <v>-78.73</v>
      </c>
      <c r="AA254" s="136">
        <v>12.75</v>
      </c>
      <c r="AB254" s="136">
        <v>-78.73</v>
      </c>
      <c r="AC254" s="136">
        <v>-2828</v>
      </c>
      <c r="AD254" s="136">
        <v>-2828</v>
      </c>
      <c r="AE254" s="129" t="s">
        <v>160</v>
      </c>
      <c r="AF254" s="129" t="s">
        <v>160</v>
      </c>
      <c r="AG254" s="141">
        <v>2830.1762699999999</v>
      </c>
      <c r="AH254" s="138" t="s">
        <v>159</v>
      </c>
      <c r="AI254" s="129" t="s">
        <v>160</v>
      </c>
      <c r="AJ254" s="129" t="s">
        <v>160</v>
      </c>
      <c r="AK254" s="178" t="s">
        <v>160</v>
      </c>
      <c r="AL254" s="178" t="s">
        <v>441</v>
      </c>
      <c r="AM254" s="178" t="s">
        <v>160</v>
      </c>
      <c r="AN254" s="129" t="s">
        <v>160</v>
      </c>
      <c r="AO254" s="129" t="s">
        <v>160</v>
      </c>
      <c r="AP254" s="129" t="s">
        <v>160</v>
      </c>
      <c r="AQ254" s="129" t="s">
        <v>160</v>
      </c>
      <c r="AR254" s="129" t="s">
        <v>160</v>
      </c>
      <c r="AS254" s="129" t="s">
        <v>160</v>
      </c>
      <c r="AT254" s="129" t="s">
        <v>160</v>
      </c>
      <c r="AU254" s="213" t="s">
        <v>442</v>
      </c>
      <c r="AV254" s="129" t="s">
        <v>161</v>
      </c>
      <c r="AW254" s="189" t="s">
        <v>443</v>
      </c>
      <c r="AX254" s="189" t="s">
        <v>444</v>
      </c>
      <c r="AY254" s="205" t="s">
        <v>353</v>
      </c>
      <c r="AZ254" s="205" t="s">
        <v>325</v>
      </c>
      <c r="BA254" s="129" t="s">
        <v>162</v>
      </c>
      <c r="BB254" s="129" t="s">
        <v>445</v>
      </c>
      <c r="BC254" s="129" t="s">
        <v>445</v>
      </c>
      <c r="BD254" s="129" t="s">
        <v>445</v>
      </c>
      <c r="BE254" s="141">
        <v>20.197900000000001</v>
      </c>
      <c r="BF254" s="129" t="s">
        <v>446</v>
      </c>
      <c r="BG254" s="141">
        <v>0.105442673</v>
      </c>
      <c r="BH254" s="129">
        <v>0.6</v>
      </c>
      <c r="BI254" s="129" t="s">
        <v>427</v>
      </c>
      <c r="BJ254" s="138">
        <v>0.08</v>
      </c>
      <c r="BK254" s="129">
        <v>8.8699999999999992</v>
      </c>
      <c r="BL254" s="129" t="s">
        <v>163</v>
      </c>
      <c r="BM254" s="129">
        <v>1.52</v>
      </c>
      <c r="BN254" s="129" t="s">
        <v>428</v>
      </c>
      <c r="BO254" s="129" t="s">
        <v>448</v>
      </c>
      <c r="BP254" s="141">
        <f t="shared" si="26"/>
        <v>18.879833333333337</v>
      </c>
      <c r="BQ254" s="129" t="s">
        <v>202</v>
      </c>
      <c r="BR254" s="217"/>
      <c r="BS254" s="129" t="s">
        <v>160</v>
      </c>
      <c r="BT254" s="129" t="s">
        <v>160</v>
      </c>
      <c r="BU254" s="129">
        <v>10</v>
      </c>
      <c r="BV254" s="129" t="s">
        <v>159</v>
      </c>
      <c r="BW254" s="129">
        <v>10</v>
      </c>
      <c r="BX254" s="141">
        <v>26.141980970318407</v>
      </c>
      <c r="BY254" s="129" t="s">
        <v>159</v>
      </c>
      <c r="BZ254" s="129">
        <v>1</v>
      </c>
      <c r="CA254" s="129">
        <v>1</v>
      </c>
      <c r="CB254" s="141">
        <v>3.8730652235950234</v>
      </c>
      <c r="CC254" s="141">
        <v>3.8730652235950234</v>
      </c>
      <c r="CD254" s="129" t="s">
        <v>449</v>
      </c>
      <c r="CE254" s="151">
        <f t="shared" si="27"/>
        <v>0.10457276103706563</v>
      </c>
      <c r="CF254" s="151">
        <f t="shared" si="28"/>
        <v>0.10457276103706563</v>
      </c>
      <c r="CG254" s="145" t="s">
        <v>203</v>
      </c>
      <c r="CH254" s="129" t="s">
        <v>204</v>
      </c>
      <c r="CI254" s="129" t="s">
        <v>205</v>
      </c>
      <c r="CJ254" s="129" t="s">
        <v>206</v>
      </c>
      <c r="CK254" s="129" t="s">
        <v>158</v>
      </c>
      <c r="CL254" s="129" t="s">
        <v>158</v>
      </c>
      <c r="CM254" s="129" t="s">
        <v>158</v>
      </c>
      <c r="CN254" s="129" t="s">
        <v>160</v>
      </c>
      <c r="CO254" s="129" t="s">
        <v>160</v>
      </c>
      <c r="CP254" s="129" t="s">
        <v>160</v>
      </c>
      <c r="CQ254" s="129" t="s">
        <v>160</v>
      </c>
      <c r="CR254" s="129" t="s">
        <v>160</v>
      </c>
      <c r="CS254" s="129" t="s">
        <v>160</v>
      </c>
      <c r="CT254" s="129" t="s">
        <v>160</v>
      </c>
      <c r="CU254" s="215">
        <v>35</v>
      </c>
      <c r="CV254" s="129" t="s">
        <v>393</v>
      </c>
      <c r="CW254" s="146">
        <v>1</v>
      </c>
      <c r="CX254" s="129" t="s">
        <v>207</v>
      </c>
      <c r="CY254" s="129">
        <v>1.06E-2</v>
      </c>
      <c r="CZ254" s="129" t="s">
        <v>159</v>
      </c>
      <c r="DA254" s="146">
        <v>0</v>
      </c>
      <c r="DB254" s="129" t="s">
        <v>208</v>
      </c>
      <c r="DC254" s="129">
        <v>5.5100000000000003E-2</v>
      </c>
      <c r="DD254" s="129" t="s">
        <v>159</v>
      </c>
      <c r="DE254" s="146">
        <v>0</v>
      </c>
      <c r="DF254" s="129" t="s">
        <v>208</v>
      </c>
      <c r="DG254" s="178" t="s">
        <v>160</v>
      </c>
      <c r="DH254" s="178" t="s">
        <v>160</v>
      </c>
      <c r="DI254" s="178" t="s">
        <v>160</v>
      </c>
      <c r="DJ254" s="178" t="s">
        <v>160</v>
      </c>
      <c r="DK254" s="145">
        <v>432.56244218316402</v>
      </c>
      <c r="DL254" s="129" t="s">
        <v>433</v>
      </c>
      <c r="DM254" s="145" t="s">
        <v>160</v>
      </c>
      <c r="DN254" s="129" t="s">
        <v>434</v>
      </c>
      <c r="DO254" s="129">
        <v>39.714550000000003</v>
      </c>
      <c r="DP254" s="129" t="s">
        <v>160</v>
      </c>
      <c r="DQ254" s="129">
        <v>0.3579599999999985</v>
      </c>
      <c r="DR254" s="129" t="s">
        <v>450</v>
      </c>
      <c r="DS254" s="129" t="s">
        <v>212</v>
      </c>
      <c r="DT254" s="129" t="s">
        <v>213</v>
      </c>
      <c r="DU254" s="129">
        <v>1.0271999999999999</v>
      </c>
      <c r="DV254" s="129" t="s">
        <v>393</v>
      </c>
      <c r="DW254" s="129">
        <v>5.9999999999999995E-4</v>
      </c>
      <c r="DX254" s="129" t="s">
        <v>436</v>
      </c>
      <c r="DY254" s="129" t="s">
        <v>160</v>
      </c>
      <c r="DZ254" s="129" t="s">
        <v>160</v>
      </c>
      <c r="EA254" s="129" t="s">
        <v>216</v>
      </c>
      <c r="EB254" s="129" t="s">
        <v>212</v>
      </c>
      <c r="EC254" s="129" t="s">
        <v>212</v>
      </c>
      <c r="ED254" s="129" t="s">
        <v>212</v>
      </c>
      <c r="EE254" s="129" t="s">
        <v>217</v>
      </c>
      <c r="EF254" s="147" t="s">
        <v>213</v>
      </c>
      <c r="EG254" s="148" t="s">
        <v>213</v>
      </c>
      <c r="EH254" s="129" t="s">
        <v>218</v>
      </c>
      <c r="EI254" s="129" t="s">
        <v>417</v>
      </c>
      <c r="EJ254" s="129" t="s">
        <v>160</v>
      </c>
      <c r="EK254" s="129">
        <v>1942.7850000000001</v>
      </c>
      <c r="EL254" s="129" t="s">
        <v>163</v>
      </c>
      <c r="EM254" s="129">
        <v>48.734000000000144</v>
      </c>
      <c r="EN254" s="129">
        <v>46.729000000000127</v>
      </c>
      <c r="EO254" s="129" t="s">
        <v>160</v>
      </c>
      <c r="EP254" s="129" t="s">
        <v>160</v>
      </c>
      <c r="EQ254" s="129" t="s">
        <v>160</v>
      </c>
      <c r="ER254" s="129" t="s">
        <v>160</v>
      </c>
      <c r="ES254" s="141">
        <v>8.1025069999999992</v>
      </c>
      <c r="ET254" s="142" t="s">
        <v>165</v>
      </c>
      <c r="EU254" s="141">
        <v>4.2883000000001559E-2</v>
      </c>
      <c r="EV254" s="141">
        <v>4.3142999999998821E-2</v>
      </c>
      <c r="EW254" s="142" t="s">
        <v>160</v>
      </c>
      <c r="EX254" s="129" t="s">
        <v>160</v>
      </c>
      <c r="EY254" s="129" t="s">
        <v>160</v>
      </c>
      <c r="EZ254" s="141">
        <v>295.46510000000001</v>
      </c>
      <c r="FA254" s="141">
        <v>38.733000000000004</v>
      </c>
      <c r="FB254" s="141">
        <v>34.157199999999989</v>
      </c>
      <c r="FC254" s="129" t="s">
        <v>220</v>
      </c>
      <c r="FD254" s="129" t="s">
        <v>221</v>
      </c>
      <c r="FE254" s="129">
        <v>2233.8340000000003</v>
      </c>
      <c r="FF254" s="129">
        <v>64.575999999999567</v>
      </c>
      <c r="FG254" s="129">
        <v>63.2800000000002</v>
      </c>
      <c r="FH254" s="129" t="s">
        <v>437</v>
      </c>
      <c r="FI254" s="129" t="s">
        <v>437</v>
      </c>
      <c r="FJ254" s="129" t="s">
        <v>437</v>
      </c>
      <c r="FK254" s="129" t="s">
        <v>437</v>
      </c>
      <c r="FL254" s="129" t="s">
        <v>437</v>
      </c>
      <c r="FM254" s="129" t="s">
        <v>437</v>
      </c>
      <c r="FN254" s="151">
        <v>4.0507410000000004</v>
      </c>
      <c r="FO254" s="151">
        <v>0.33439599999999992</v>
      </c>
      <c r="FP254" s="151">
        <v>0.31569600000000042</v>
      </c>
      <c r="FQ254" s="178" t="s">
        <v>419</v>
      </c>
      <c r="FR254" s="129" t="s">
        <v>439</v>
      </c>
      <c r="FS254" s="129">
        <v>2015</v>
      </c>
      <c r="FT254" s="129" t="s">
        <v>440</v>
      </c>
    </row>
    <row r="255" spans="1:176" s="129" customFormat="1" ht="17">
      <c r="A255" s="123" t="s">
        <v>152</v>
      </c>
      <c r="B255" s="166" t="s">
        <v>183</v>
      </c>
      <c r="C255" s="166">
        <v>2018</v>
      </c>
      <c r="D255" s="166" t="s">
        <v>184</v>
      </c>
      <c r="E255" s="151">
        <f t="shared" si="25"/>
        <v>2831.6838379999999</v>
      </c>
      <c r="F255" s="191" t="s">
        <v>160</v>
      </c>
      <c r="G255" s="191" t="s">
        <v>160</v>
      </c>
      <c r="H255" s="151">
        <v>331.0052</v>
      </c>
      <c r="I255" s="151">
        <v>61.880200000000002</v>
      </c>
      <c r="J255" s="151">
        <v>49.678499999999985</v>
      </c>
      <c r="K255" s="129" t="s">
        <v>457</v>
      </c>
      <c r="L255" s="131" t="s">
        <v>185</v>
      </c>
      <c r="M255" s="132" t="s">
        <v>186</v>
      </c>
      <c r="N255" s="129" t="s">
        <v>184</v>
      </c>
      <c r="O255" s="129" t="s">
        <v>420</v>
      </c>
      <c r="P255" s="129" t="s">
        <v>156</v>
      </c>
      <c r="Q255" s="178">
        <v>10</v>
      </c>
      <c r="R255" s="178">
        <v>6</v>
      </c>
      <c r="S255" s="178">
        <v>132</v>
      </c>
      <c r="T255" s="178">
        <v>134</v>
      </c>
      <c r="U255" s="178" t="s">
        <v>160</v>
      </c>
      <c r="V255" s="178" t="s">
        <v>160</v>
      </c>
      <c r="W255" s="178" t="s">
        <v>160</v>
      </c>
      <c r="X255" s="129" t="s">
        <v>157</v>
      </c>
      <c r="Y255" s="136">
        <v>12.75</v>
      </c>
      <c r="Z255" s="136">
        <v>-78.73</v>
      </c>
      <c r="AA255" s="136">
        <v>12.75</v>
      </c>
      <c r="AB255" s="136">
        <v>-78.73</v>
      </c>
      <c r="AC255" s="136">
        <v>-2828</v>
      </c>
      <c r="AD255" s="136">
        <v>-2828</v>
      </c>
      <c r="AE255" s="129" t="s">
        <v>160</v>
      </c>
      <c r="AF255" s="129" t="s">
        <v>160</v>
      </c>
      <c r="AG255" s="141">
        <v>2831.6838379999999</v>
      </c>
      <c r="AH255" s="138" t="s">
        <v>159</v>
      </c>
      <c r="AI255" s="129" t="s">
        <v>160</v>
      </c>
      <c r="AJ255" s="129" t="s">
        <v>160</v>
      </c>
      <c r="AK255" s="178" t="s">
        <v>160</v>
      </c>
      <c r="AL255" s="178" t="s">
        <v>441</v>
      </c>
      <c r="AM255" s="178" t="s">
        <v>160</v>
      </c>
      <c r="AN255" s="129" t="s">
        <v>160</v>
      </c>
      <c r="AO255" s="129" t="s">
        <v>160</v>
      </c>
      <c r="AP255" s="129" t="s">
        <v>160</v>
      </c>
      <c r="AQ255" s="129" t="s">
        <v>160</v>
      </c>
      <c r="AR255" s="129" t="s">
        <v>160</v>
      </c>
      <c r="AS255" s="129" t="s">
        <v>160</v>
      </c>
      <c r="AT255" s="129" t="s">
        <v>160</v>
      </c>
      <c r="AU255" s="213" t="s">
        <v>442</v>
      </c>
      <c r="AV255" s="129" t="s">
        <v>161</v>
      </c>
      <c r="AW255" s="189" t="s">
        <v>443</v>
      </c>
      <c r="AX255" s="205" t="s">
        <v>444</v>
      </c>
      <c r="AY255" s="205" t="s">
        <v>353</v>
      </c>
      <c r="AZ255" s="205" t="s">
        <v>325</v>
      </c>
      <c r="BA255" s="214" t="s">
        <v>162</v>
      </c>
      <c r="BB255" s="129" t="s">
        <v>445</v>
      </c>
      <c r="BC255" s="129" t="s">
        <v>445</v>
      </c>
      <c r="BD255" s="129" t="s">
        <v>445</v>
      </c>
      <c r="BE255" s="141">
        <v>19.87284</v>
      </c>
      <c r="BF255" s="129" t="s">
        <v>446</v>
      </c>
      <c r="BG255" s="141">
        <v>0.24043832300000001</v>
      </c>
      <c r="BH255" s="129">
        <v>0.6</v>
      </c>
      <c r="BI255" s="129" t="s">
        <v>427</v>
      </c>
      <c r="BJ255" s="138">
        <v>0.08</v>
      </c>
      <c r="BK255" s="129">
        <v>8.8699999999999992</v>
      </c>
      <c r="BL255" s="129" t="s">
        <v>163</v>
      </c>
      <c r="BM255" s="129">
        <v>1.52</v>
      </c>
      <c r="BN255" s="129" t="s">
        <v>428</v>
      </c>
      <c r="BO255" s="129" t="s">
        <v>448</v>
      </c>
      <c r="BP255" s="141">
        <f t="shared" si="26"/>
        <v>18.33806666666667</v>
      </c>
      <c r="BQ255" s="129" t="s">
        <v>202</v>
      </c>
      <c r="BR255" s="217"/>
      <c r="BS255" s="129" t="s">
        <v>160</v>
      </c>
      <c r="BT255" s="129" t="s">
        <v>160</v>
      </c>
      <c r="BU255" s="129">
        <v>10</v>
      </c>
      <c r="BV255" s="129" t="s">
        <v>159</v>
      </c>
      <c r="BW255" s="129">
        <v>10</v>
      </c>
      <c r="BX255" s="141">
        <v>25.57694779148413</v>
      </c>
      <c r="BY255" s="129" t="s">
        <v>159</v>
      </c>
      <c r="BZ255" s="129">
        <v>1</v>
      </c>
      <c r="CA255" s="129">
        <v>1</v>
      </c>
      <c r="CB255" s="141">
        <v>3.6809735306482367</v>
      </c>
      <c r="CC255" s="141">
        <v>3.6809735306482367</v>
      </c>
      <c r="CD255" s="129" t="s">
        <v>449</v>
      </c>
      <c r="CE255" s="151">
        <f t="shared" si="27"/>
        <v>9.9386285327502391E-2</v>
      </c>
      <c r="CF255" s="151">
        <f t="shared" si="28"/>
        <v>9.9386285327502391E-2</v>
      </c>
      <c r="CG255" s="145" t="s">
        <v>203</v>
      </c>
      <c r="CH255" s="129" t="s">
        <v>204</v>
      </c>
      <c r="CI255" s="129" t="s">
        <v>205</v>
      </c>
      <c r="CJ255" s="129" t="s">
        <v>206</v>
      </c>
      <c r="CK255" s="129" t="s">
        <v>158</v>
      </c>
      <c r="CL255" s="129" t="s">
        <v>158</v>
      </c>
      <c r="CM255" s="129" t="s">
        <v>158</v>
      </c>
      <c r="CN255" s="129" t="s">
        <v>160</v>
      </c>
      <c r="CO255" s="129" t="s">
        <v>160</v>
      </c>
      <c r="CP255" s="129" t="s">
        <v>160</v>
      </c>
      <c r="CQ255" s="129" t="s">
        <v>160</v>
      </c>
      <c r="CR255" s="129" t="s">
        <v>160</v>
      </c>
      <c r="CS255" s="129" t="s">
        <v>160</v>
      </c>
      <c r="CT255" s="129" t="s">
        <v>160</v>
      </c>
      <c r="CU255" s="215">
        <v>35</v>
      </c>
      <c r="CV255" s="129" t="s">
        <v>393</v>
      </c>
      <c r="CW255" s="146">
        <v>1</v>
      </c>
      <c r="CX255" s="129" t="s">
        <v>207</v>
      </c>
      <c r="CY255" s="129">
        <v>1.06E-2</v>
      </c>
      <c r="CZ255" s="129" t="s">
        <v>159</v>
      </c>
      <c r="DA255" s="146">
        <v>0</v>
      </c>
      <c r="DB255" s="129" t="s">
        <v>208</v>
      </c>
      <c r="DC255" s="129">
        <v>5.5100000000000003E-2</v>
      </c>
      <c r="DD255" s="129" t="s">
        <v>159</v>
      </c>
      <c r="DE255" s="146">
        <v>0</v>
      </c>
      <c r="DF255" s="129" t="s">
        <v>208</v>
      </c>
      <c r="DG255" s="178" t="s">
        <v>160</v>
      </c>
      <c r="DH255" s="178" t="s">
        <v>160</v>
      </c>
      <c r="DI255" s="178" t="s">
        <v>160</v>
      </c>
      <c r="DJ255" s="178" t="s">
        <v>160</v>
      </c>
      <c r="DK255" s="145">
        <v>432.56244218316402</v>
      </c>
      <c r="DL255" s="129" t="s">
        <v>433</v>
      </c>
      <c r="DM255" s="145" t="s">
        <v>160</v>
      </c>
      <c r="DN255" s="129" t="s">
        <v>434</v>
      </c>
      <c r="DO255" s="129">
        <v>39.716769999999997</v>
      </c>
      <c r="DP255" s="129" t="s">
        <v>160</v>
      </c>
      <c r="DQ255" s="129">
        <v>0.35119000000000256</v>
      </c>
      <c r="DR255" s="129" t="s">
        <v>450</v>
      </c>
      <c r="DS255" s="129" t="s">
        <v>212</v>
      </c>
      <c r="DT255" s="129" t="s">
        <v>213</v>
      </c>
      <c r="DU255" s="129">
        <v>1.0271999999999999</v>
      </c>
      <c r="DV255" s="129" t="s">
        <v>393</v>
      </c>
      <c r="DW255" s="129">
        <v>5.9999999999999995E-4</v>
      </c>
      <c r="DX255" s="129" t="s">
        <v>436</v>
      </c>
      <c r="DY255" s="129" t="s">
        <v>160</v>
      </c>
      <c r="DZ255" s="129" t="s">
        <v>160</v>
      </c>
      <c r="EA255" s="129" t="s">
        <v>216</v>
      </c>
      <c r="EB255" s="129" t="s">
        <v>212</v>
      </c>
      <c r="EC255" s="129" t="s">
        <v>212</v>
      </c>
      <c r="ED255" s="129" t="s">
        <v>212</v>
      </c>
      <c r="EE255" s="129" t="s">
        <v>217</v>
      </c>
      <c r="EF255" s="147" t="s">
        <v>213</v>
      </c>
      <c r="EG255" s="148" t="s">
        <v>213</v>
      </c>
      <c r="EH255" s="129" t="s">
        <v>218</v>
      </c>
      <c r="EI255" s="129" t="s">
        <v>417</v>
      </c>
      <c r="EJ255" s="129" t="s">
        <v>160</v>
      </c>
      <c r="EK255" s="129">
        <v>1942.874</v>
      </c>
      <c r="EL255" s="129" t="s">
        <v>163</v>
      </c>
      <c r="EM255" s="129">
        <v>48.37900000000009</v>
      </c>
      <c r="EN255" s="129">
        <v>48.773000000000003</v>
      </c>
      <c r="EO255" s="129" t="s">
        <v>160</v>
      </c>
      <c r="EP255" s="129" t="s">
        <v>160</v>
      </c>
      <c r="EQ255" s="129" t="s">
        <v>160</v>
      </c>
      <c r="ER255" s="129" t="s">
        <v>160</v>
      </c>
      <c r="ES255" s="141">
        <v>8.0616190000000003</v>
      </c>
      <c r="ET255" s="142" t="s">
        <v>165</v>
      </c>
      <c r="EU255" s="141">
        <v>5.7100999999999402E-2</v>
      </c>
      <c r="EV255" s="141">
        <v>6.1768999999999963E-2</v>
      </c>
      <c r="EW255" s="142" t="s">
        <v>160</v>
      </c>
      <c r="EX255" s="129" t="s">
        <v>160</v>
      </c>
      <c r="EY255" s="129" t="s">
        <v>160</v>
      </c>
      <c r="EZ255" s="141">
        <v>331.0052</v>
      </c>
      <c r="FA255" s="141">
        <v>61.880200000000002</v>
      </c>
      <c r="FB255" s="141">
        <v>49.678499999999985</v>
      </c>
      <c r="FC255" s="129" t="s">
        <v>220</v>
      </c>
      <c r="FD255" s="129" t="s">
        <v>221</v>
      </c>
      <c r="FE255" s="129">
        <v>2201.489</v>
      </c>
      <c r="FF255" s="129">
        <v>67.27599999999984</v>
      </c>
      <c r="FG255" s="129">
        <v>67.965000000000146</v>
      </c>
      <c r="FH255" s="129" t="s">
        <v>437</v>
      </c>
      <c r="FI255" s="129" t="s">
        <v>437</v>
      </c>
      <c r="FJ255" s="129" t="s">
        <v>437</v>
      </c>
      <c r="FK255" s="129" t="s">
        <v>437</v>
      </c>
      <c r="FL255" s="129" t="s">
        <v>437</v>
      </c>
      <c r="FM255" s="129" t="s">
        <v>437</v>
      </c>
      <c r="FN255" s="151">
        <v>3.6454270000000002</v>
      </c>
      <c r="FO255" s="151">
        <v>0.43463900000000022</v>
      </c>
      <c r="FP255" s="151">
        <v>0.40583000000000036</v>
      </c>
      <c r="FQ255" s="178" t="s">
        <v>419</v>
      </c>
      <c r="FR255" s="129" t="s">
        <v>439</v>
      </c>
      <c r="FS255" s="129">
        <v>2015</v>
      </c>
      <c r="FT255" s="129" t="s">
        <v>440</v>
      </c>
    </row>
    <row r="256" spans="1:176" s="129" customFormat="1" ht="17">
      <c r="A256" s="123" t="s">
        <v>152</v>
      </c>
      <c r="B256" s="166" t="s">
        <v>183</v>
      </c>
      <c r="C256" s="166">
        <v>2018</v>
      </c>
      <c r="D256" s="166" t="s">
        <v>184</v>
      </c>
      <c r="E256" s="151">
        <f t="shared" si="25"/>
        <v>2838.900635</v>
      </c>
      <c r="F256" s="191" t="s">
        <v>160</v>
      </c>
      <c r="G256" s="191" t="s">
        <v>160</v>
      </c>
      <c r="H256" s="151">
        <v>353.81129999999996</v>
      </c>
      <c r="I256" s="151">
        <v>48.296500000000037</v>
      </c>
      <c r="J256" s="151">
        <v>43.269199999999955</v>
      </c>
      <c r="K256" s="129" t="s">
        <v>457</v>
      </c>
      <c r="L256" s="131" t="s">
        <v>185</v>
      </c>
      <c r="M256" s="132" t="s">
        <v>186</v>
      </c>
      <c r="N256" s="129" t="s">
        <v>184</v>
      </c>
      <c r="O256" s="129" t="s">
        <v>420</v>
      </c>
      <c r="P256" s="129" t="s">
        <v>156</v>
      </c>
      <c r="Q256" s="219">
        <v>10</v>
      </c>
      <c r="R256" s="219">
        <v>7</v>
      </c>
      <c r="S256" s="219">
        <v>10</v>
      </c>
      <c r="T256" s="219">
        <v>12</v>
      </c>
      <c r="U256" s="178" t="s">
        <v>160</v>
      </c>
      <c r="V256" s="178" t="s">
        <v>160</v>
      </c>
      <c r="W256" s="178" t="s">
        <v>160</v>
      </c>
      <c r="X256" s="129" t="s">
        <v>157</v>
      </c>
      <c r="Y256" s="136">
        <v>12.75</v>
      </c>
      <c r="Z256" s="136">
        <v>-78.73</v>
      </c>
      <c r="AA256" s="136">
        <v>12.75</v>
      </c>
      <c r="AB256" s="136">
        <v>-78.73</v>
      </c>
      <c r="AC256" s="136">
        <v>-2828</v>
      </c>
      <c r="AD256" s="136">
        <v>-2828</v>
      </c>
      <c r="AE256" s="129" t="s">
        <v>160</v>
      </c>
      <c r="AF256" s="129" t="s">
        <v>160</v>
      </c>
      <c r="AG256" s="141">
        <v>2838.900635</v>
      </c>
      <c r="AH256" s="138" t="s">
        <v>159</v>
      </c>
      <c r="AI256" s="129" t="s">
        <v>160</v>
      </c>
      <c r="AJ256" s="129" t="s">
        <v>160</v>
      </c>
      <c r="AK256" s="178" t="s">
        <v>160</v>
      </c>
      <c r="AL256" s="178" t="s">
        <v>441</v>
      </c>
      <c r="AM256" s="178" t="s">
        <v>160</v>
      </c>
      <c r="AN256" s="129" t="s">
        <v>160</v>
      </c>
      <c r="AO256" s="129" t="s">
        <v>160</v>
      </c>
      <c r="AP256" s="129" t="s">
        <v>160</v>
      </c>
      <c r="AQ256" s="129" t="s">
        <v>160</v>
      </c>
      <c r="AR256" s="129" t="s">
        <v>160</v>
      </c>
      <c r="AS256" s="129" t="s">
        <v>160</v>
      </c>
      <c r="AT256" s="129" t="s">
        <v>160</v>
      </c>
      <c r="AU256" s="213" t="s">
        <v>442</v>
      </c>
      <c r="AV256" s="129" t="s">
        <v>161</v>
      </c>
      <c r="AW256" s="189" t="s">
        <v>443</v>
      </c>
      <c r="AX256" s="189" t="s">
        <v>444</v>
      </c>
      <c r="AY256" s="205" t="s">
        <v>353</v>
      </c>
      <c r="AZ256" s="205" t="s">
        <v>325</v>
      </c>
      <c r="BA256" s="129" t="s">
        <v>162</v>
      </c>
      <c r="BB256" s="129" t="s">
        <v>445</v>
      </c>
      <c r="BC256" s="129" t="s">
        <v>445</v>
      </c>
      <c r="BD256" s="129" t="s">
        <v>445</v>
      </c>
      <c r="BE256" s="141">
        <v>19.670649999999998</v>
      </c>
      <c r="BF256" s="129" t="s">
        <v>446</v>
      </c>
      <c r="BG256" s="141">
        <v>9.5088858999999998E-2</v>
      </c>
      <c r="BH256" s="129">
        <v>0.6</v>
      </c>
      <c r="BI256" s="129" t="s">
        <v>427</v>
      </c>
      <c r="BJ256" s="138">
        <v>0.08</v>
      </c>
      <c r="BK256" s="129">
        <v>8.8699999999999992</v>
      </c>
      <c r="BL256" s="129" t="s">
        <v>163</v>
      </c>
      <c r="BM256" s="129">
        <v>1.52</v>
      </c>
      <c r="BN256" s="129" t="s">
        <v>428</v>
      </c>
      <c r="BO256" s="129" t="s">
        <v>448</v>
      </c>
      <c r="BP256" s="141">
        <f t="shared" si="26"/>
        <v>18.001083333333334</v>
      </c>
      <c r="BQ256" s="129" t="s">
        <v>202</v>
      </c>
      <c r="BR256" s="217"/>
      <c r="BS256" s="129" t="s">
        <v>160</v>
      </c>
      <c r="BT256" s="129" t="s">
        <v>160</v>
      </c>
      <c r="BU256" s="129">
        <v>10</v>
      </c>
      <c r="BV256" s="129" t="s">
        <v>159</v>
      </c>
      <c r="BW256" s="129">
        <v>10</v>
      </c>
      <c r="BX256" s="141">
        <v>24.908492407763912</v>
      </c>
      <c r="BY256" s="129" t="s">
        <v>159</v>
      </c>
      <c r="BZ256" s="129">
        <v>1</v>
      </c>
      <c r="CA256" s="129">
        <v>1</v>
      </c>
      <c r="CB256" s="141">
        <v>3.4657869802559342</v>
      </c>
      <c r="CC256" s="141">
        <v>3.4657869802559342</v>
      </c>
      <c r="CD256" s="129" t="s">
        <v>449</v>
      </c>
      <c r="CE256" s="151">
        <f t="shared" si="27"/>
        <v>9.357624846691022E-2</v>
      </c>
      <c r="CF256" s="151">
        <f t="shared" si="28"/>
        <v>9.357624846691022E-2</v>
      </c>
      <c r="CG256" s="145" t="s">
        <v>203</v>
      </c>
      <c r="CH256" s="129" t="s">
        <v>204</v>
      </c>
      <c r="CI256" s="129" t="s">
        <v>205</v>
      </c>
      <c r="CJ256" s="129" t="s">
        <v>206</v>
      </c>
      <c r="CK256" s="129" t="s">
        <v>158</v>
      </c>
      <c r="CL256" s="129" t="s">
        <v>158</v>
      </c>
      <c r="CM256" s="129" t="s">
        <v>158</v>
      </c>
      <c r="CN256" s="129" t="s">
        <v>160</v>
      </c>
      <c r="CO256" s="129" t="s">
        <v>160</v>
      </c>
      <c r="CP256" s="129" t="s">
        <v>160</v>
      </c>
      <c r="CQ256" s="129" t="s">
        <v>160</v>
      </c>
      <c r="CR256" s="129" t="s">
        <v>160</v>
      </c>
      <c r="CS256" s="129" t="s">
        <v>160</v>
      </c>
      <c r="CT256" s="129" t="s">
        <v>160</v>
      </c>
      <c r="CU256" s="215">
        <v>35</v>
      </c>
      <c r="CV256" s="129" t="s">
        <v>393</v>
      </c>
      <c r="CW256" s="146">
        <v>1</v>
      </c>
      <c r="CX256" s="129" t="s">
        <v>207</v>
      </c>
      <c r="CY256" s="129">
        <v>1.06E-2</v>
      </c>
      <c r="CZ256" s="129" t="s">
        <v>159</v>
      </c>
      <c r="DA256" s="146">
        <v>0</v>
      </c>
      <c r="DB256" s="129" t="s">
        <v>208</v>
      </c>
      <c r="DC256" s="129">
        <v>5.5100000000000003E-2</v>
      </c>
      <c r="DD256" s="129" t="s">
        <v>159</v>
      </c>
      <c r="DE256" s="146">
        <v>0</v>
      </c>
      <c r="DF256" s="129" t="s">
        <v>208</v>
      </c>
      <c r="DG256" s="178" t="s">
        <v>160</v>
      </c>
      <c r="DH256" s="178" t="s">
        <v>160</v>
      </c>
      <c r="DI256" s="178" t="s">
        <v>160</v>
      </c>
      <c r="DJ256" s="178" t="s">
        <v>160</v>
      </c>
      <c r="DK256" s="145">
        <v>432.56244218316402</v>
      </c>
      <c r="DL256" s="129" t="s">
        <v>433</v>
      </c>
      <c r="DM256" s="145" t="s">
        <v>160</v>
      </c>
      <c r="DN256" s="129" t="s">
        <v>434</v>
      </c>
      <c r="DO256" s="129">
        <v>39.723269999999999</v>
      </c>
      <c r="DP256" s="129" t="s">
        <v>160</v>
      </c>
      <c r="DQ256" s="129">
        <v>0.35426000000000357</v>
      </c>
      <c r="DR256" s="129" t="s">
        <v>450</v>
      </c>
      <c r="DS256" s="129" t="s">
        <v>212</v>
      </c>
      <c r="DT256" s="129" t="s">
        <v>213</v>
      </c>
      <c r="DU256" s="129">
        <v>1.0271999999999999</v>
      </c>
      <c r="DV256" s="129" t="s">
        <v>393</v>
      </c>
      <c r="DW256" s="129">
        <v>5.9999999999999995E-4</v>
      </c>
      <c r="DX256" s="129" t="s">
        <v>436</v>
      </c>
      <c r="DY256" s="129" t="s">
        <v>160</v>
      </c>
      <c r="DZ256" s="129" t="s">
        <v>160</v>
      </c>
      <c r="EA256" s="129" t="s">
        <v>216</v>
      </c>
      <c r="EB256" s="129" t="s">
        <v>212</v>
      </c>
      <c r="EC256" s="129" t="s">
        <v>212</v>
      </c>
      <c r="ED256" s="129" t="s">
        <v>212</v>
      </c>
      <c r="EE256" s="129" t="s">
        <v>217</v>
      </c>
      <c r="EF256" s="147" t="s">
        <v>213</v>
      </c>
      <c r="EG256" s="148" t="s">
        <v>213</v>
      </c>
      <c r="EH256" s="129" t="s">
        <v>218</v>
      </c>
      <c r="EI256" s="129" t="s">
        <v>417</v>
      </c>
      <c r="EJ256" s="129" t="s">
        <v>160</v>
      </c>
      <c r="EK256" s="129">
        <v>1942.356</v>
      </c>
      <c r="EL256" s="129" t="s">
        <v>163</v>
      </c>
      <c r="EM256" s="129">
        <v>47.198000000000249</v>
      </c>
      <c r="EN256" s="129">
        <v>47.616999999999798</v>
      </c>
      <c r="EO256" s="129" t="s">
        <v>160</v>
      </c>
      <c r="EP256" s="129" t="s">
        <v>160</v>
      </c>
      <c r="EQ256" s="129" t="s">
        <v>160</v>
      </c>
      <c r="ER256" s="129" t="s">
        <v>160</v>
      </c>
      <c r="ES256" s="141">
        <v>8.0374149999999993</v>
      </c>
      <c r="ET256" s="142" t="s">
        <v>165</v>
      </c>
      <c r="EU256" s="141">
        <v>4.5577000000001533E-2</v>
      </c>
      <c r="EV256" s="141">
        <v>4.5675999999999384E-2</v>
      </c>
      <c r="EW256" s="142" t="s">
        <v>160</v>
      </c>
      <c r="EX256" s="129" t="s">
        <v>160</v>
      </c>
      <c r="EY256" s="129" t="s">
        <v>160</v>
      </c>
      <c r="EZ256" s="141">
        <v>353.81129999999996</v>
      </c>
      <c r="FA256" s="141">
        <v>48.296500000000037</v>
      </c>
      <c r="FB256" s="141">
        <v>43.269199999999955</v>
      </c>
      <c r="FC256" s="129" t="s">
        <v>220</v>
      </c>
      <c r="FD256" s="129" t="s">
        <v>221</v>
      </c>
      <c r="FE256" s="129">
        <v>2180.0990000000002</v>
      </c>
      <c r="FF256" s="129">
        <v>63.721000000000004</v>
      </c>
      <c r="FG256" s="129">
        <v>61.240000000000236</v>
      </c>
      <c r="FH256" s="129" t="s">
        <v>437</v>
      </c>
      <c r="FI256" s="129" t="s">
        <v>437</v>
      </c>
      <c r="FJ256" s="129" t="s">
        <v>437</v>
      </c>
      <c r="FK256" s="129" t="s">
        <v>437</v>
      </c>
      <c r="FL256" s="129" t="s">
        <v>437</v>
      </c>
      <c r="FM256" s="129" t="s">
        <v>437</v>
      </c>
      <c r="FN256" s="151">
        <v>3.3852340000000001</v>
      </c>
      <c r="FO256" s="151">
        <v>0.30442800000000014</v>
      </c>
      <c r="FP256" s="151">
        <v>0.28119100000000019</v>
      </c>
      <c r="FQ256" s="178" t="s">
        <v>419</v>
      </c>
      <c r="FR256" s="129" t="s">
        <v>439</v>
      </c>
      <c r="FS256" s="129">
        <v>2015</v>
      </c>
      <c r="FT256" s="129" t="s">
        <v>440</v>
      </c>
    </row>
    <row r="257" spans="1:176" s="129" customFormat="1" ht="17">
      <c r="A257" s="123" t="s">
        <v>152</v>
      </c>
      <c r="B257" s="166" t="s">
        <v>183</v>
      </c>
      <c r="C257" s="166">
        <v>2018</v>
      </c>
      <c r="D257" s="166" t="s">
        <v>184</v>
      </c>
      <c r="E257" s="151">
        <f t="shared" si="25"/>
        <v>2849.1823730000001</v>
      </c>
      <c r="F257" s="191" t="s">
        <v>160</v>
      </c>
      <c r="G257" s="191" t="s">
        <v>160</v>
      </c>
      <c r="H257" s="151">
        <v>283.8922</v>
      </c>
      <c r="I257" s="151">
        <v>37.97059999999999</v>
      </c>
      <c r="J257" s="151">
        <v>33.836699999999979</v>
      </c>
      <c r="K257" s="129" t="s">
        <v>457</v>
      </c>
      <c r="L257" s="131" t="s">
        <v>185</v>
      </c>
      <c r="M257" s="132" t="s">
        <v>186</v>
      </c>
      <c r="N257" s="129" t="s">
        <v>184</v>
      </c>
      <c r="O257" s="129" t="s">
        <v>420</v>
      </c>
      <c r="P257" s="129" t="s">
        <v>156</v>
      </c>
      <c r="Q257" s="178">
        <v>10</v>
      </c>
      <c r="R257" s="178">
        <v>7</v>
      </c>
      <c r="S257" s="178">
        <v>50</v>
      </c>
      <c r="T257" s="178">
        <v>52</v>
      </c>
      <c r="U257" s="178" t="s">
        <v>160</v>
      </c>
      <c r="V257" s="178" t="s">
        <v>160</v>
      </c>
      <c r="W257" s="178" t="s">
        <v>160</v>
      </c>
      <c r="X257" s="129" t="s">
        <v>157</v>
      </c>
      <c r="Y257" s="136">
        <v>12.75</v>
      </c>
      <c r="Z257" s="136">
        <v>-78.73</v>
      </c>
      <c r="AA257" s="136">
        <v>12.75</v>
      </c>
      <c r="AB257" s="136">
        <v>-78.73</v>
      </c>
      <c r="AC257" s="136">
        <v>-2828</v>
      </c>
      <c r="AD257" s="136">
        <v>-2828</v>
      </c>
      <c r="AE257" s="129" t="s">
        <v>160</v>
      </c>
      <c r="AF257" s="129" t="s">
        <v>160</v>
      </c>
      <c r="AG257" s="141">
        <v>2849.1823730000001</v>
      </c>
      <c r="AH257" s="138" t="s">
        <v>159</v>
      </c>
      <c r="AI257" s="129" t="s">
        <v>160</v>
      </c>
      <c r="AJ257" s="129" t="s">
        <v>160</v>
      </c>
      <c r="AK257" s="178" t="s">
        <v>160</v>
      </c>
      <c r="AL257" s="178" t="s">
        <v>441</v>
      </c>
      <c r="AM257" s="178" t="s">
        <v>160</v>
      </c>
      <c r="AN257" s="129" t="s">
        <v>160</v>
      </c>
      <c r="AO257" s="129" t="s">
        <v>160</v>
      </c>
      <c r="AP257" s="129" t="s">
        <v>160</v>
      </c>
      <c r="AQ257" s="129" t="s">
        <v>160</v>
      </c>
      <c r="AR257" s="129" t="s">
        <v>160</v>
      </c>
      <c r="AS257" s="129" t="s">
        <v>160</v>
      </c>
      <c r="AT257" s="129" t="s">
        <v>160</v>
      </c>
      <c r="AU257" s="213" t="s">
        <v>442</v>
      </c>
      <c r="AV257" s="129" t="s">
        <v>161</v>
      </c>
      <c r="AW257" s="189" t="s">
        <v>443</v>
      </c>
      <c r="AX257" s="205" t="s">
        <v>444</v>
      </c>
      <c r="AY257" s="205" t="s">
        <v>353</v>
      </c>
      <c r="AZ257" s="205" t="s">
        <v>325</v>
      </c>
      <c r="BA257" s="214" t="s">
        <v>162</v>
      </c>
      <c r="BB257" s="129" t="s">
        <v>445</v>
      </c>
      <c r="BC257" s="129" t="s">
        <v>445</v>
      </c>
      <c r="BD257" s="129" t="s">
        <v>445</v>
      </c>
      <c r="BE257" s="141">
        <v>20.160060000000001</v>
      </c>
      <c r="BF257" s="129" t="s">
        <v>446</v>
      </c>
      <c r="BG257" s="141">
        <v>0.111171903</v>
      </c>
      <c r="BH257" s="129">
        <v>0.6</v>
      </c>
      <c r="BI257" s="129" t="s">
        <v>427</v>
      </c>
      <c r="BJ257" s="138">
        <v>0.08</v>
      </c>
      <c r="BK257" s="129">
        <v>8.8699999999999992</v>
      </c>
      <c r="BL257" s="129" t="s">
        <v>163</v>
      </c>
      <c r="BM257" s="129">
        <v>1.52</v>
      </c>
      <c r="BN257" s="129" t="s">
        <v>428</v>
      </c>
      <c r="BO257" s="129" t="s">
        <v>448</v>
      </c>
      <c r="BP257" s="141">
        <f t="shared" si="26"/>
        <v>18.81676666666667</v>
      </c>
      <c r="BQ257" s="129" t="s">
        <v>202</v>
      </c>
      <c r="BR257" s="217"/>
      <c r="BS257" s="129" t="s">
        <v>160</v>
      </c>
      <c r="BT257" s="129" t="s">
        <v>160</v>
      </c>
      <c r="BU257" s="129">
        <v>10</v>
      </c>
      <c r="BV257" s="129" t="s">
        <v>159</v>
      </c>
      <c r="BW257" s="129">
        <v>10</v>
      </c>
      <c r="BX257" s="141">
        <v>24.574072045064604</v>
      </c>
      <c r="BY257" s="129" t="s">
        <v>159</v>
      </c>
      <c r="BZ257" s="129">
        <v>1</v>
      </c>
      <c r="CA257" s="129">
        <v>1</v>
      </c>
      <c r="CB257" s="141">
        <v>3.3626617309197604</v>
      </c>
      <c r="CC257" s="141">
        <v>3.3626617309197604</v>
      </c>
      <c r="CD257" s="129" t="s">
        <v>449</v>
      </c>
      <c r="CE257" s="151">
        <f t="shared" si="27"/>
        <v>9.0791866734833526E-2</v>
      </c>
      <c r="CF257" s="151">
        <f t="shared" si="28"/>
        <v>9.0791866734833526E-2</v>
      </c>
      <c r="CG257" s="145" t="s">
        <v>203</v>
      </c>
      <c r="CH257" s="129" t="s">
        <v>204</v>
      </c>
      <c r="CI257" s="129" t="s">
        <v>205</v>
      </c>
      <c r="CJ257" s="129" t="s">
        <v>206</v>
      </c>
      <c r="CK257" s="129" t="s">
        <v>158</v>
      </c>
      <c r="CL257" s="129" t="s">
        <v>158</v>
      </c>
      <c r="CM257" s="129" t="s">
        <v>158</v>
      </c>
      <c r="CN257" s="129" t="s">
        <v>160</v>
      </c>
      <c r="CO257" s="129" t="s">
        <v>160</v>
      </c>
      <c r="CP257" s="129" t="s">
        <v>160</v>
      </c>
      <c r="CQ257" s="129" t="s">
        <v>160</v>
      </c>
      <c r="CR257" s="129" t="s">
        <v>160</v>
      </c>
      <c r="CS257" s="129" t="s">
        <v>160</v>
      </c>
      <c r="CT257" s="129" t="s">
        <v>160</v>
      </c>
      <c r="CU257" s="215">
        <v>35</v>
      </c>
      <c r="CV257" s="129" t="s">
        <v>393</v>
      </c>
      <c r="CW257" s="146">
        <v>1</v>
      </c>
      <c r="CX257" s="129" t="s">
        <v>207</v>
      </c>
      <c r="CY257" s="129">
        <v>1.06E-2</v>
      </c>
      <c r="CZ257" s="129" t="s">
        <v>159</v>
      </c>
      <c r="DA257" s="146">
        <v>0</v>
      </c>
      <c r="DB257" s="129" t="s">
        <v>208</v>
      </c>
      <c r="DC257" s="129">
        <v>5.5100000000000003E-2</v>
      </c>
      <c r="DD257" s="129" t="s">
        <v>159</v>
      </c>
      <c r="DE257" s="146">
        <v>0</v>
      </c>
      <c r="DF257" s="129" t="s">
        <v>208</v>
      </c>
      <c r="DG257" s="178" t="s">
        <v>160</v>
      </c>
      <c r="DH257" s="178" t="s">
        <v>160</v>
      </c>
      <c r="DI257" s="178" t="s">
        <v>160</v>
      </c>
      <c r="DJ257" s="178" t="s">
        <v>160</v>
      </c>
      <c r="DK257" s="145">
        <v>432.56244218316402</v>
      </c>
      <c r="DL257" s="129" t="s">
        <v>433</v>
      </c>
      <c r="DM257" s="145" t="s">
        <v>160</v>
      </c>
      <c r="DN257" s="129" t="s">
        <v>434</v>
      </c>
      <c r="DO257" s="129">
        <v>39.715429999999998</v>
      </c>
      <c r="DP257" s="129" t="s">
        <v>160</v>
      </c>
      <c r="DQ257" s="129">
        <v>0.35302000000000078</v>
      </c>
      <c r="DR257" s="129" t="s">
        <v>450</v>
      </c>
      <c r="DS257" s="129" t="s">
        <v>212</v>
      </c>
      <c r="DT257" s="129" t="s">
        <v>213</v>
      </c>
      <c r="DU257" s="129">
        <v>1.0271999999999999</v>
      </c>
      <c r="DV257" s="129" t="s">
        <v>393</v>
      </c>
      <c r="DW257" s="129">
        <v>5.9999999999999995E-4</v>
      </c>
      <c r="DX257" s="129" t="s">
        <v>436</v>
      </c>
      <c r="DY257" s="129" t="s">
        <v>160</v>
      </c>
      <c r="DZ257" s="129" t="s">
        <v>160</v>
      </c>
      <c r="EA257" s="129" t="s">
        <v>216</v>
      </c>
      <c r="EB257" s="129" t="s">
        <v>212</v>
      </c>
      <c r="EC257" s="129" t="s">
        <v>212</v>
      </c>
      <c r="ED257" s="129" t="s">
        <v>212</v>
      </c>
      <c r="EE257" s="129" t="s">
        <v>217</v>
      </c>
      <c r="EF257" s="147" t="s">
        <v>213</v>
      </c>
      <c r="EG257" s="148" t="s">
        <v>213</v>
      </c>
      <c r="EH257" s="129" t="s">
        <v>218</v>
      </c>
      <c r="EI257" s="129" t="s">
        <v>417</v>
      </c>
      <c r="EJ257" s="129" t="s">
        <v>160</v>
      </c>
      <c r="EK257" s="129">
        <v>1942.31</v>
      </c>
      <c r="EL257" s="129" t="s">
        <v>163</v>
      </c>
      <c r="EM257" s="129">
        <v>47.933999999999912</v>
      </c>
      <c r="EN257" s="129">
        <v>47.61299999999995</v>
      </c>
      <c r="EO257" s="129" t="s">
        <v>160</v>
      </c>
      <c r="EP257" s="129" t="s">
        <v>160</v>
      </c>
      <c r="EQ257" s="129" t="s">
        <v>160</v>
      </c>
      <c r="ER257" s="129" t="s">
        <v>160</v>
      </c>
      <c r="ES257" s="141">
        <v>8.1156089999999992</v>
      </c>
      <c r="ET257" s="142" t="s">
        <v>165</v>
      </c>
      <c r="EU257" s="141">
        <v>4.3995000000000672E-2</v>
      </c>
      <c r="EV257" s="141">
        <v>4.4145999999999574E-2</v>
      </c>
      <c r="EW257" s="142" t="s">
        <v>160</v>
      </c>
      <c r="EX257" s="129" t="s">
        <v>160</v>
      </c>
      <c r="EY257" s="129" t="s">
        <v>160</v>
      </c>
      <c r="EZ257" s="141">
        <v>283.8922</v>
      </c>
      <c r="FA257" s="141">
        <v>37.97059999999999</v>
      </c>
      <c r="FB257" s="141">
        <v>33.836699999999979</v>
      </c>
      <c r="FC257" s="129" t="s">
        <v>220</v>
      </c>
      <c r="FD257" s="129" t="s">
        <v>221</v>
      </c>
      <c r="FE257" s="129">
        <v>2226.8689999999997</v>
      </c>
      <c r="FF257" s="129">
        <v>64.067000000000462</v>
      </c>
      <c r="FG257" s="129">
        <v>63.158999999999651</v>
      </c>
      <c r="FH257" s="129" t="s">
        <v>437</v>
      </c>
      <c r="FI257" s="129" t="s">
        <v>437</v>
      </c>
      <c r="FJ257" s="129" t="s">
        <v>437</v>
      </c>
      <c r="FK257" s="129" t="s">
        <v>437</v>
      </c>
      <c r="FL257" s="129" t="s">
        <v>437</v>
      </c>
      <c r="FM257" s="129" t="s">
        <v>437</v>
      </c>
      <c r="FN257" s="151">
        <v>3.9262329999999999</v>
      </c>
      <c r="FO257" s="151">
        <v>0.32674599999999998</v>
      </c>
      <c r="FP257" s="151">
        <v>0.31826399999999966</v>
      </c>
      <c r="FQ257" s="178" t="s">
        <v>419</v>
      </c>
      <c r="FR257" s="129" t="s">
        <v>439</v>
      </c>
      <c r="FS257" s="129">
        <v>2015</v>
      </c>
      <c r="FT257" s="129" t="s">
        <v>440</v>
      </c>
    </row>
    <row r="258" spans="1:176" s="129" customFormat="1" ht="17">
      <c r="A258" s="123" t="s">
        <v>152</v>
      </c>
      <c r="B258" s="166" t="s">
        <v>183</v>
      </c>
      <c r="C258" s="166">
        <v>2018</v>
      </c>
      <c r="D258" s="166" t="s">
        <v>184</v>
      </c>
      <c r="E258" s="151">
        <f t="shared" si="25"/>
        <v>2858.3210450000001</v>
      </c>
      <c r="F258" s="191" t="s">
        <v>160</v>
      </c>
      <c r="G258" s="191" t="s">
        <v>160</v>
      </c>
      <c r="H258" s="151">
        <v>398.76170000000002</v>
      </c>
      <c r="I258" s="151">
        <v>57.00509999999997</v>
      </c>
      <c r="J258" s="151">
        <v>50.837900000000047</v>
      </c>
      <c r="K258" s="129" t="s">
        <v>457</v>
      </c>
      <c r="L258" s="131" t="s">
        <v>185</v>
      </c>
      <c r="M258" s="132" t="s">
        <v>186</v>
      </c>
      <c r="N258" s="129" t="s">
        <v>184</v>
      </c>
      <c r="O258" s="129" t="s">
        <v>420</v>
      </c>
      <c r="P258" s="129" t="s">
        <v>156</v>
      </c>
      <c r="Q258" s="178">
        <v>10</v>
      </c>
      <c r="R258" s="178" t="s">
        <v>293</v>
      </c>
      <c r="S258" s="178">
        <v>19</v>
      </c>
      <c r="T258" s="178">
        <v>21</v>
      </c>
      <c r="U258" s="178" t="s">
        <v>160</v>
      </c>
      <c r="V258" s="178" t="s">
        <v>160</v>
      </c>
      <c r="W258" s="178" t="s">
        <v>160</v>
      </c>
      <c r="X258" s="129" t="s">
        <v>157</v>
      </c>
      <c r="Y258" s="136">
        <v>12.75</v>
      </c>
      <c r="Z258" s="136">
        <v>-78.73</v>
      </c>
      <c r="AA258" s="136">
        <v>12.75</v>
      </c>
      <c r="AB258" s="136">
        <v>-78.73</v>
      </c>
      <c r="AC258" s="136">
        <v>-2828</v>
      </c>
      <c r="AD258" s="136">
        <v>-2828</v>
      </c>
      <c r="AE258" s="129" t="s">
        <v>160</v>
      </c>
      <c r="AF258" s="129" t="s">
        <v>160</v>
      </c>
      <c r="AG258" s="141">
        <v>2858.3210450000001</v>
      </c>
      <c r="AH258" s="138" t="s">
        <v>159</v>
      </c>
      <c r="AI258" s="129" t="s">
        <v>160</v>
      </c>
      <c r="AJ258" s="129" t="s">
        <v>160</v>
      </c>
      <c r="AK258" s="178" t="s">
        <v>160</v>
      </c>
      <c r="AL258" s="178" t="s">
        <v>441</v>
      </c>
      <c r="AM258" s="178" t="s">
        <v>160</v>
      </c>
      <c r="AN258" s="129" t="s">
        <v>160</v>
      </c>
      <c r="AO258" s="129" t="s">
        <v>160</v>
      </c>
      <c r="AP258" s="129" t="s">
        <v>160</v>
      </c>
      <c r="AQ258" s="129" t="s">
        <v>160</v>
      </c>
      <c r="AR258" s="129" t="s">
        <v>160</v>
      </c>
      <c r="AS258" s="129" t="s">
        <v>160</v>
      </c>
      <c r="AT258" s="129" t="s">
        <v>160</v>
      </c>
      <c r="AU258" s="213" t="s">
        <v>442</v>
      </c>
      <c r="AV258" s="129" t="s">
        <v>161</v>
      </c>
      <c r="AW258" s="189" t="s">
        <v>443</v>
      </c>
      <c r="AX258" s="189" t="s">
        <v>444</v>
      </c>
      <c r="AY258" s="205" t="s">
        <v>353</v>
      </c>
      <c r="AZ258" s="205" t="s">
        <v>325</v>
      </c>
      <c r="BA258" s="129" t="s">
        <v>162</v>
      </c>
      <c r="BB258" s="129" t="s">
        <v>445</v>
      </c>
      <c r="BC258" s="129" t="s">
        <v>445</v>
      </c>
      <c r="BD258" s="129" t="s">
        <v>445</v>
      </c>
      <c r="BE258" s="141">
        <v>19.312259999999998</v>
      </c>
      <c r="BF258" s="129" t="s">
        <v>446</v>
      </c>
      <c r="BG258" s="141">
        <v>9.9492488000000004E-2</v>
      </c>
      <c r="BH258" s="129">
        <v>0.6</v>
      </c>
      <c r="BI258" s="129" t="s">
        <v>427</v>
      </c>
      <c r="BJ258" s="138">
        <v>0.08</v>
      </c>
      <c r="BK258" s="129">
        <v>8.8699999999999992</v>
      </c>
      <c r="BL258" s="129" t="s">
        <v>163</v>
      </c>
      <c r="BM258" s="129">
        <v>1.52</v>
      </c>
      <c r="BN258" s="129" t="s">
        <v>428</v>
      </c>
      <c r="BO258" s="129" t="s">
        <v>448</v>
      </c>
      <c r="BP258" s="141">
        <f t="shared" si="26"/>
        <v>17.403766666666666</v>
      </c>
      <c r="BQ258" s="129" t="s">
        <v>202</v>
      </c>
      <c r="BR258" s="217"/>
      <c r="BS258" s="129" t="s">
        <v>160</v>
      </c>
      <c r="BT258" s="129" t="s">
        <v>160</v>
      </c>
      <c r="BU258" s="129">
        <v>10</v>
      </c>
      <c r="BV258" s="129" t="s">
        <v>159</v>
      </c>
      <c r="BW258" s="129">
        <v>10</v>
      </c>
      <c r="BX258" s="141">
        <v>23.784166788912156</v>
      </c>
      <c r="BY258" s="129" t="s">
        <v>159</v>
      </c>
      <c r="BZ258" s="129">
        <v>1</v>
      </c>
      <c r="CA258" s="129">
        <v>1</v>
      </c>
      <c r="CB258" s="141">
        <v>3.1316012127254975</v>
      </c>
      <c r="CC258" s="141">
        <v>3.1316012127254975</v>
      </c>
      <c r="CD258" s="129" t="s">
        <v>449</v>
      </c>
      <c r="CE258" s="151">
        <f t="shared" si="27"/>
        <v>8.4553232743588433E-2</v>
      </c>
      <c r="CF258" s="151">
        <f t="shared" si="28"/>
        <v>8.4553232743588433E-2</v>
      </c>
      <c r="CG258" s="145" t="s">
        <v>203</v>
      </c>
      <c r="CH258" s="129" t="s">
        <v>204</v>
      </c>
      <c r="CI258" s="129" t="s">
        <v>205</v>
      </c>
      <c r="CJ258" s="129" t="s">
        <v>206</v>
      </c>
      <c r="CK258" s="129" t="s">
        <v>158</v>
      </c>
      <c r="CL258" s="129" t="s">
        <v>158</v>
      </c>
      <c r="CM258" s="129" t="s">
        <v>158</v>
      </c>
      <c r="CN258" s="129" t="s">
        <v>160</v>
      </c>
      <c r="CO258" s="129" t="s">
        <v>160</v>
      </c>
      <c r="CP258" s="129" t="s">
        <v>160</v>
      </c>
      <c r="CQ258" s="129" t="s">
        <v>160</v>
      </c>
      <c r="CR258" s="129" t="s">
        <v>160</v>
      </c>
      <c r="CS258" s="129" t="s">
        <v>160</v>
      </c>
      <c r="CT258" s="129" t="s">
        <v>160</v>
      </c>
      <c r="CU258" s="215">
        <v>35</v>
      </c>
      <c r="CV258" s="129" t="s">
        <v>393</v>
      </c>
      <c r="CW258" s="146">
        <v>1</v>
      </c>
      <c r="CX258" s="129" t="s">
        <v>207</v>
      </c>
      <c r="CY258" s="129">
        <v>1.06E-2</v>
      </c>
      <c r="CZ258" s="129" t="s">
        <v>159</v>
      </c>
      <c r="DA258" s="146">
        <v>0</v>
      </c>
      <c r="DB258" s="129" t="s">
        <v>208</v>
      </c>
      <c r="DC258" s="129">
        <v>5.5100000000000003E-2</v>
      </c>
      <c r="DD258" s="129" t="s">
        <v>159</v>
      </c>
      <c r="DE258" s="146">
        <v>0</v>
      </c>
      <c r="DF258" s="129" t="s">
        <v>208</v>
      </c>
      <c r="DG258" s="178" t="s">
        <v>160</v>
      </c>
      <c r="DH258" s="178" t="s">
        <v>160</v>
      </c>
      <c r="DI258" s="178" t="s">
        <v>160</v>
      </c>
      <c r="DJ258" s="178" t="s">
        <v>160</v>
      </c>
      <c r="DK258" s="145">
        <v>432.56244218316402</v>
      </c>
      <c r="DL258" s="129" t="s">
        <v>433</v>
      </c>
      <c r="DM258" s="145" t="s">
        <v>160</v>
      </c>
      <c r="DN258" s="129" t="s">
        <v>434</v>
      </c>
      <c r="DO258" s="129">
        <v>39.716740000000001</v>
      </c>
      <c r="DP258" s="129" t="s">
        <v>160</v>
      </c>
      <c r="DQ258" s="129">
        <v>0.348239999999997</v>
      </c>
      <c r="DR258" s="129" t="s">
        <v>450</v>
      </c>
      <c r="DS258" s="129" t="s">
        <v>212</v>
      </c>
      <c r="DT258" s="129" t="s">
        <v>213</v>
      </c>
      <c r="DU258" s="129">
        <v>1.0271999999999999</v>
      </c>
      <c r="DV258" s="129" t="s">
        <v>393</v>
      </c>
      <c r="DW258" s="129">
        <v>5.9999999999999995E-4</v>
      </c>
      <c r="DX258" s="129" t="s">
        <v>436</v>
      </c>
      <c r="DY258" s="129" t="s">
        <v>160</v>
      </c>
      <c r="DZ258" s="129" t="s">
        <v>160</v>
      </c>
      <c r="EA258" s="129" t="s">
        <v>216</v>
      </c>
      <c r="EB258" s="129" t="s">
        <v>212</v>
      </c>
      <c r="EC258" s="129" t="s">
        <v>212</v>
      </c>
      <c r="ED258" s="129" t="s">
        <v>212</v>
      </c>
      <c r="EE258" s="129" t="s">
        <v>217</v>
      </c>
      <c r="EF258" s="147" t="s">
        <v>213</v>
      </c>
      <c r="EG258" s="148" t="s">
        <v>213</v>
      </c>
      <c r="EH258" s="129" t="s">
        <v>218</v>
      </c>
      <c r="EI258" s="129" t="s">
        <v>417</v>
      </c>
      <c r="EJ258" s="129" t="s">
        <v>160</v>
      </c>
      <c r="EK258" s="129">
        <v>1942.1089999999999</v>
      </c>
      <c r="EL258" s="129" t="s">
        <v>163</v>
      </c>
      <c r="EM258" s="129">
        <v>47.240000000000045</v>
      </c>
      <c r="EN258" s="129">
        <v>48.45600000000011</v>
      </c>
      <c r="EO258" s="129" t="s">
        <v>160</v>
      </c>
      <c r="EP258" s="129" t="s">
        <v>160</v>
      </c>
      <c r="EQ258" s="129" t="s">
        <v>160</v>
      </c>
      <c r="ER258" s="129" t="s">
        <v>160</v>
      </c>
      <c r="ES258" s="141">
        <v>7.9916289999999996</v>
      </c>
      <c r="ET258" s="142" t="s">
        <v>165</v>
      </c>
      <c r="EU258" s="141">
        <v>4.8732000000001108E-2</v>
      </c>
      <c r="EV258" s="141">
        <v>4.7231000000000023E-2</v>
      </c>
      <c r="EW258" s="142" t="s">
        <v>160</v>
      </c>
      <c r="EX258" s="129" t="s">
        <v>160</v>
      </c>
      <c r="EY258" s="129" t="s">
        <v>160</v>
      </c>
      <c r="EZ258" s="141">
        <v>398.76170000000002</v>
      </c>
      <c r="FA258" s="141">
        <v>57.00509999999997</v>
      </c>
      <c r="FB258" s="141">
        <v>50.837900000000047</v>
      </c>
      <c r="FC258" s="129" t="s">
        <v>220</v>
      </c>
      <c r="FD258" s="129" t="s">
        <v>221</v>
      </c>
      <c r="FE258" s="129">
        <v>2143.6290000000004</v>
      </c>
      <c r="FF258" s="129">
        <v>59.750999999999749</v>
      </c>
      <c r="FG258" s="129">
        <v>60.770000000000437</v>
      </c>
      <c r="FH258" s="129" t="s">
        <v>437</v>
      </c>
      <c r="FI258" s="129" t="s">
        <v>437</v>
      </c>
      <c r="FJ258" s="129" t="s">
        <v>437</v>
      </c>
      <c r="FK258" s="129" t="s">
        <v>437</v>
      </c>
      <c r="FL258" s="129" t="s">
        <v>437</v>
      </c>
      <c r="FM258" s="129" t="s">
        <v>437</v>
      </c>
      <c r="FN258" s="151">
        <v>2.9506420000000002</v>
      </c>
      <c r="FO258" s="151">
        <v>0.28887499999999999</v>
      </c>
      <c r="FP258" s="151">
        <v>0.27092800000000006</v>
      </c>
      <c r="FQ258" s="178" t="s">
        <v>419</v>
      </c>
      <c r="FR258" s="129" t="s">
        <v>439</v>
      </c>
      <c r="FS258" s="129">
        <v>2015</v>
      </c>
      <c r="FT258" s="129" t="s">
        <v>440</v>
      </c>
    </row>
    <row r="259" spans="1:176" s="129" customFormat="1" ht="17">
      <c r="A259" s="123" t="s">
        <v>152</v>
      </c>
      <c r="B259" s="166" t="s">
        <v>183</v>
      </c>
      <c r="C259" s="166">
        <v>2018</v>
      </c>
      <c r="D259" s="166" t="s">
        <v>184</v>
      </c>
      <c r="E259" s="151">
        <f t="shared" si="25"/>
        <v>2912.3842770000001</v>
      </c>
      <c r="F259" s="191" t="s">
        <v>160</v>
      </c>
      <c r="G259" s="191" t="s">
        <v>160</v>
      </c>
      <c r="H259" s="151">
        <v>335.91520000000003</v>
      </c>
      <c r="I259" s="151">
        <v>46.29019999999997</v>
      </c>
      <c r="J259" s="151">
        <v>40.692000000000007</v>
      </c>
      <c r="K259" s="129" t="s">
        <v>457</v>
      </c>
      <c r="L259" s="131" t="s">
        <v>185</v>
      </c>
      <c r="M259" s="132" t="s">
        <v>186</v>
      </c>
      <c r="N259" s="129" t="s">
        <v>184</v>
      </c>
      <c r="O259" s="129" t="s">
        <v>420</v>
      </c>
      <c r="P259" s="129" t="s">
        <v>156</v>
      </c>
      <c r="Q259" s="178">
        <v>11</v>
      </c>
      <c r="R259" s="178">
        <v>1</v>
      </c>
      <c r="S259" s="178">
        <v>89</v>
      </c>
      <c r="T259" s="178">
        <v>90</v>
      </c>
      <c r="U259" s="178" t="s">
        <v>160</v>
      </c>
      <c r="V259" s="178" t="s">
        <v>160</v>
      </c>
      <c r="W259" s="178" t="s">
        <v>160</v>
      </c>
      <c r="X259" s="129" t="s">
        <v>157</v>
      </c>
      <c r="Y259" s="136">
        <v>12.75</v>
      </c>
      <c r="Z259" s="136">
        <v>-78.73</v>
      </c>
      <c r="AA259" s="136">
        <v>12.75</v>
      </c>
      <c r="AB259" s="136">
        <v>-78.73</v>
      </c>
      <c r="AC259" s="136">
        <v>-2828</v>
      </c>
      <c r="AD259" s="136">
        <v>-2828</v>
      </c>
      <c r="AE259" s="129" t="s">
        <v>160</v>
      </c>
      <c r="AF259" s="129" t="s">
        <v>160</v>
      </c>
      <c r="AG259" s="141">
        <v>2912.3842770000001</v>
      </c>
      <c r="AH259" s="138" t="s">
        <v>159</v>
      </c>
      <c r="AI259" s="129" t="s">
        <v>160</v>
      </c>
      <c r="AJ259" s="129" t="s">
        <v>160</v>
      </c>
      <c r="AK259" s="178" t="s">
        <v>160</v>
      </c>
      <c r="AL259" s="178" t="s">
        <v>441</v>
      </c>
      <c r="AM259" s="178" t="s">
        <v>160</v>
      </c>
      <c r="AN259" s="129" t="s">
        <v>160</v>
      </c>
      <c r="AO259" s="129" t="s">
        <v>160</v>
      </c>
      <c r="AP259" s="129" t="s">
        <v>160</v>
      </c>
      <c r="AQ259" s="129" t="s">
        <v>160</v>
      </c>
      <c r="AR259" s="129" t="s">
        <v>160</v>
      </c>
      <c r="AS259" s="129" t="s">
        <v>160</v>
      </c>
      <c r="AT259" s="129" t="s">
        <v>160</v>
      </c>
      <c r="AU259" s="213" t="s">
        <v>442</v>
      </c>
      <c r="AV259" s="129" t="s">
        <v>161</v>
      </c>
      <c r="AW259" s="189" t="s">
        <v>443</v>
      </c>
      <c r="AX259" s="205" t="s">
        <v>444</v>
      </c>
      <c r="AY259" s="205" t="s">
        <v>353</v>
      </c>
      <c r="AZ259" s="205" t="s">
        <v>325</v>
      </c>
      <c r="BA259" s="214" t="s">
        <v>162</v>
      </c>
      <c r="BB259" s="129" t="s">
        <v>445</v>
      </c>
      <c r="BC259" s="129" t="s">
        <v>445</v>
      </c>
      <c r="BD259" s="129" t="s">
        <v>445</v>
      </c>
      <c r="BE259" s="141">
        <v>19.70327</v>
      </c>
      <c r="BF259" s="129" t="s">
        <v>446</v>
      </c>
      <c r="BG259" s="141">
        <v>9.6916661000000001E-2</v>
      </c>
      <c r="BH259" s="129">
        <v>0.6</v>
      </c>
      <c r="BI259" s="129" t="s">
        <v>427</v>
      </c>
      <c r="BJ259" s="138">
        <v>0.08</v>
      </c>
      <c r="BK259" s="129">
        <v>8.8699999999999992</v>
      </c>
      <c r="BL259" s="129" t="s">
        <v>163</v>
      </c>
      <c r="BM259" s="129">
        <v>1.52</v>
      </c>
      <c r="BN259" s="129" t="s">
        <v>428</v>
      </c>
      <c r="BO259" s="129" t="s">
        <v>448</v>
      </c>
      <c r="BP259" s="141">
        <f t="shared" si="26"/>
        <v>18.05545</v>
      </c>
      <c r="BQ259" s="129" t="s">
        <v>202</v>
      </c>
      <c r="BR259" s="217"/>
      <c r="BS259" s="129" t="s">
        <v>160</v>
      </c>
      <c r="BT259" s="129" t="s">
        <v>160</v>
      </c>
      <c r="BU259" s="129">
        <v>10</v>
      </c>
      <c r="BV259" s="129" t="s">
        <v>159</v>
      </c>
      <c r="BW259" s="129">
        <v>10</v>
      </c>
      <c r="BX259" s="141">
        <v>23.882248502513963</v>
      </c>
      <c r="BY259" s="129" t="s">
        <v>159</v>
      </c>
      <c r="BZ259" s="129">
        <v>1</v>
      </c>
      <c r="CA259" s="129">
        <v>1</v>
      </c>
      <c r="CB259" s="141">
        <v>3.1575565644298691</v>
      </c>
      <c r="CC259" s="141">
        <v>3.1575565644298691</v>
      </c>
      <c r="CD259" s="129" t="s">
        <v>449</v>
      </c>
      <c r="CE259" s="151">
        <f t="shared" si="27"/>
        <v>8.525402723960647E-2</v>
      </c>
      <c r="CF259" s="151">
        <f t="shared" si="28"/>
        <v>8.525402723960647E-2</v>
      </c>
      <c r="CG259" s="145" t="s">
        <v>203</v>
      </c>
      <c r="CH259" s="129" t="s">
        <v>204</v>
      </c>
      <c r="CI259" s="129" t="s">
        <v>205</v>
      </c>
      <c r="CJ259" s="129" t="s">
        <v>206</v>
      </c>
      <c r="CK259" s="129" t="s">
        <v>158</v>
      </c>
      <c r="CL259" s="129" t="s">
        <v>158</v>
      </c>
      <c r="CM259" s="129" t="s">
        <v>158</v>
      </c>
      <c r="CN259" s="129" t="s">
        <v>160</v>
      </c>
      <c r="CO259" s="129" t="s">
        <v>160</v>
      </c>
      <c r="CP259" s="129" t="s">
        <v>160</v>
      </c>
      <c r="CQ259" s="129" t="s">
        <v>160</v>
      </c>
      <c r="CR259" s="129" t="s">
        <v>160</v>
      </c>
      <c r="CS259" s="129" t="s">
        <v>160</v>
      </c>
      <c r="CT259" s="129" t="s">
        <v>160</v>
      </c>
      <c r="CU259" s="215">
        <v>35</v>
      </c>
      <c r="CV259" s="129" t="s">
        <v>393</v>
      </c>
      <c r="CW259" s="146">
        <v>1</v>
      </c>
      <c r="CX259" s="129" t="s">
        <v>207</v>
      </c>
      <c r="CY259" s="129">
        <v>1.06E-2</v>
      </c>
      <c r="CZ259" s="129" t="s">
        <v>159</v>
      </c>
      <c r="DA259" s="146">
        <v>0</v>
      </c>
      <c r="DB259" s="129" t="s">
        <v>208</v>
      </c>
      <c r="DC259" s="129">
        <v>5.5100000000000003E-2</v>
      </c>
      <c r="DD259" s="129" t="s">
        <v>159</v>
      </c>
      <c r="DE259" s="146">
        <v>0</v>
      </c>
      <c r="DF259" s="129" t="s">
        <v>208</v>
      </c>
      <c r="DG259" s="178" t="s">
        <v>160</v>
      </c>
      <c r="DH259" s="178" t="s">
        <v>160</v>
      </c>
      <c r="DI259" s="178" t="s">
        <v>160</v>
      </c>
      <c r="DJ259" s="178" t="s">
        <v>160</v>
      </c>
      <c r="DK259" s="145">
        <v>432.56244218316402</v>
      </c>
      <c r="DL259" s="129" t="s">
        <v>433</v>
      </c>
      <c r="DM259" s="145" t="s">
        <v>160</v>
      </c>
      <c r="DN259" s="129" t="s">
        <v>434</v>
      </c>
      <c r="DO259" s="129">
        <v>39.721029999999999</v>
      </c>
      <c r="DP259" s="129" t="s">
        <v>160</v>
      </c>
      <c r="DQ259" s="129">
        <v>0.35372999999999877</v>
      </c>
      <c r="DR259" s="129" t="s">
        <v>450</v>
      </c>
      <c r="DS259" s="129" t="s">
        <v>212</v>
      </c>
      <c r="DT259" s="129" t="s">
        <v>213</v>
      </c>
      <c r="DU259" s="129">
        <v>1.0271999999999999</v>
      </c>
      <c r="DV259" s="129" t="s">
        <v>393</v>
      </c>
      <c r="DW259" s="129">
        <v>5.9999999999999995E-4</v>
      </c>
      <c r="DX259" s="129" t="s">
        <v>436</v>
      </c>
      <c r="DY259" s="129" t="s">
        <v>160</v>
      </c>
      <c r="DZ259" s="129" t="s">
        <v>160</v>
      </c>
      <c r="EA259" s="129" t="s">
        <v>216</v>
      </c>
      <c r="EB259" s="129" t="s">
        <v>212</v>
      </c>
      <c r="EC259" s="129" t="s">
        <v>212</v>
      </c>
      <c r="ED259" s="129" t="s">
        <v>212</v>
      </c>
      <c r="EE259" s="129" t="s">
        <v>217</v>
      </c>
      <c r="EF259" s="147" t="s">
        <v>213</v>
      </c>
      <c r="EG259" s="148" t="s">
        <v>213</v>
      </c>
      <c r="EH259" s="129" t="s">
        <v>218</v>
      </c>
      <c r="EI259" s="129" t="s">
        <v>417</v>
      </c>
      <c r="EJ259" s="129" t="s">
        <v>160</v>
      </c>
      <c r="EK259" s="129">
        <v>1941.116</v>
      </c>
      <c r="EL259" s="129" t="s">
        <v>163</v>
      </c>
      <c r="EM259" s="129">
        <v>49.297999999999917</v>
      </c>
      <c r="EN259" s="129">
        <v>48.667999999999978</v>
      </c>
      <c r="EO259" s="129" t="s">
        <v>160</v>
      </c>
      <c r="EP259" s="129" t="s">
        <v>160</v>
      </c>
      <c r="EQ259" s="129" t="s">
        <v>160</v>
      </c>
      <c r="ER259" s="129" t="s">
        <v>160</v>
      </c>
      <c r="ES259" s="141">
        <v>8.0548249999999992</v>
      </c>
      <c r="ET259" s="142" t="s">
        <v>165</v>
      </c>
      <c r="EU259" s="141">
        <v>4.4967000000001534E-2</v>
      </c>
      <c r="EV259" s="141">
        <v>4.5366999999998825E-2</v>
      </c>
      <c r="EW259" s="142" t="s">
        <v>160</v>
      </c>
      <c r="EX259" s="129" t="s">
        <v>160</v>
      </c>
      <c r="EY259" s="129" t="s">
        <v>160</v>
      </c>
      <c r="EZ259" s="141">
        <v>335.91520000000003</v>
      </c>
      <c r="FA259" s="141">
        <v>46.29019999999997</v>
      </c>
      <c r="FB259" s="141">
        <v>40.692000000000007</v>
      </c>
      <c r="FC259" s="129" t="s">
        <v>220</v>
      </c>
      <c r="FD259" s="129" t="s">
        <v>221</v>
      </c>
      <c r="FE259" s="129">
        <v>2179.944</v>
      </c>
      <c r="FF259" s="129">
        <v>63.755000000000109</v>
      </c>
      <c r="FG259" s="129">
        <v>63.945999999999913</v>
      </c>
      <c r="FH259" s="129" t="s">
        <v>437</v>
      </c>
      <c r="FI259" s="129" t="s">
        <v>437</v>
      </c>
      <c r="FJ259" s="129" t="s">
        <v>437</v>
      </c>
      <c r="FK259" s="129" t="s">
        <v>437</v>
      </c>
      <c r="FL259" s="129" t="s">
        <v>437</v>
      </c>
      <c r="FM259" s="129" t="s">
        <v>437</v>
      </c>
      <c r="FN259" s="151">
        <v>3.3770920000000002</v>
      </c>
      <c r="FO259" s="151">
        <v>0.3038829999999999</v>
      </c>
      <c r="FP259" s="151">
        <v>0.28561200000000042</v>
      </c>
      <c r="FQ259" s="178" t="s">
        <v>419</v>
      </c>
      <c r="FR259" s="129" t="s">
        <v>439</v>
      </c>
      <c r="FS259" s="129">
        <v>2015</v>
      </c>
      <c r="FT259" s="129" t="s">
        <v>440</v>
      </c>
    </row>
    <row r="260" spans="1:176" s="129" customFormat="1" ht="17">
      <c r="A260" s="123" t="s">
        <v>152</v>
      </c>
      <c r="B260" s="166" t="s">
        <v>183</v>
      </c>
      <c r="C260" s="166">
        <v>2018</v>
      </c>
      <c r="D260" s="166" t="s">
        <v>184</v>
      </c>
      <c r="E260" s="151">
        <f t="shared" si="25"/>
        <v>2923.5595699999999</v>
      </c>
      <c r="F260" s="191" t="s">
        <v>160</v>
      </c>
      <c r="G260" s="191" t="s">
        <v>160</v>
      </c>
      <c r="H260" s="151">
        <v>340.14480000000003</v>
      </c>
      <c r="I260" s="151">
        <v>48.802199999999971</v>
      </c>
      <c r="J260" s="151">
        <v>42.38130000000001</v>
      </c>
      <c r="K260" s="129" t="s">
        <v>457</v>
      </c>
      <c r="L260" s="131" t="s">
        <v>185</v>
      </c>
      <c r="M260" s="132" t="s">
        <v>186</v>
      </c>
      <c r="N260" s="129" t="s">
        <v>184</v>
      </c>
      <c r="O260" s="129" t="s">
        <v>420</v>
      </c>
      <c r="P260" s="129" t="s">
        <v>156</v>
      </c>
      <c r="Q260" s="219">
        <v>11</v>
      </c>
      <c r="R260" s="219">
        <v>1</v>
      </c>
      <c r="S260" s="219">
        <v>122</v>
      </c>
      <c r="T260" s="219">
        <v>124</v>
      </c>
      <c r="U260" s="178" t="s">
        <v>160</v>
      </c>
      <c r="V260" s="178" t="s">
        <v>160</v>
      </c>
      <c r="W260" s="178" t="s">
        <v>160</v>
      </c>
      <c r="X260" s="129" t="s">
        <v>157</v>
      </c>
      <c r="Y260" s="136">
        <v>12.75</v>
      </c>
      <c r="Z260" s="136">
        <v>-78.73</v>
      </c>
      <c r="AA260" s="136">
        <v>12.75</v>
      </c>
      <c r="AB260" s="136">
        <v>-78.73</v>
      </c>
      <c r="AC260" s="136">
        <v>-2828</v>
      </c>
      <c r="AD260" s="136">
        <v>-2828</v>
      </c>
      <c r="AE260" s="129" t="s">
        <v>160</v>
      </c>
      <c r="AF260" s="129" t="s">
        <v>160</v>
      </c>
      <c r="AG260" s="141">
        <v>2923.5595699999999</v>
      </c>
      <c r="AH260" s="138" t="s">
        <v>159</v>
      </c>
      <c r="AI260" s="129" t="s">
        <v>160</v>
      </c>
      <c r="AJ260" s="129" t="s">
        <v>160</v>
      </c>
      <c r="AK260" s="178" t="s">
        <v>160</v>
      </c>
      <c r="AL260" s="178" t="s">
        <v>441</v>
      </c>
      <c r="AM260" s="178" t="s">
        <v>160</v>
      </c>
      <c r="AN260" s="129" t="s">
        <v>160</v>
      </c>
      <c r="AO260" s="129" t="s">
        <v>160</v>
      </c>
      <c r="AP260" s="129" t="s">
        <v>160</v>
      </c>
      <c r="AQ260" s="129" t="s">
        <v>160</v>
      </c>
      <c r="AR260" s="129" t="s">
        <v>160</v>
      </c>
      <c r="AS260" s="129" t="s">
        <v>160</v>
      </c>
      <c r="AT260" s="129" t="s">
        <v>160</v>
      </c>
      <c r="AU260" s="213" t="s">
        <v>442</v>
      </c>
      <c r="AV260" s="129" t="s">
        <v>161</v>
      </c>
      <c r="AW260" s="189" t="s">
        <v>443</v>
      </c>
      <c r="AX260" s="189" t="s">
        <v>444</v>
      </c>
      <c r="AY260" s="205" t="s">
        <v>353</v>
      </c>
      <c r="AZ260" s="205" t="s">
        <v>325</v>
      </c>
      <c r="BA260" s="129" t="s">
        <v>162</v>
      </c>
      <c r="BB260" s="129" t="s">
        <v>445</v>
      </c>
      <c r="BC260" s="129" t="s">
        <v>445</v>
      </c>
      <c r="BD260" s="129" t="s">
        <v>445</v>
      </c>
      <c r="BE260" s="141">
        <v>19.657440000000001</v>
      </c>
      <c r="BF260" s="129" t="s">
        <v>446</v>
      </c>
      <c r="BG260" s="141">
        <v>0.103841052</v>
      </c>
      <c r="BH260" s="129">
        <v>0.6</v>
      </c>
      <c r="BI260" s="129" t="s">
        <v>427</v>
      </c>
      <c r="BJ260" s="138">
        <v>0.08</v>
      </c>
      <c r="BK260" s="129">
        <v>8.8699999999999992</v>
      </c>
      <c r="BL260" s="129" t="s">
        <v>163</v>
      </c>
      <c r="BM260" s="129">
        <v>1.52</v>
      </c>
      <c r="BN260" s="129" t="s">
        <v>428</v>
      </c>
      <c r="BO260" s="129" t="s">
        <v>448</v>
      </c>
      <c r="BP260" s="141">
        <f t="shared" si="26"/>
        <v>17.979066666666672</v>
      </c>
      <c r="BQ260" s="129" t="s">
        <v>202</v>
      </c>
      <c r="BR260" s="217"/>
      <c r="BS260" s="129" t="s">
        <v>160</v>
      </c>
      <c r="BT260" s="129" t="s">
        <v>160</v>
      </c>
      <c r="BU260" s="129">
        <v>10</v>
      </c>
      <c r="BV260" s="129" t="s">
        <v>159</v>
      </c>
      <c r="BW260" s="129">
        <v>10</v>
      </c>
      <c r="BX260" s="141">
        <v>23.719410444358427</v>
      </c>
      <c r="BY260" s="129" t="s">
        <v>159</v>
      </c>
      <c r="BZ260" s="129">
        <v>1</v>
      </c>
      <c r="CA260" s="129">
        <v>1</v>
      </c>
      <c r="CB260" s="141">
        <v>3.1112500060743207</v>
      </c>
      <c r="CC260" s="141">
        <v>3.1112500060743207</v>
      </c>
      <c r="CD260" s="129" t="s">
        <v>449</v>
      </c>
      <c r="CE260" s="151">
        <f t="shared" si="27"/>
        <v>8.4003750164006658E-2</v>
      </c>
      <c r="CF260" s="151">
        <f t="shared" si="28"/>
        <v>8.4003750164006658E-2</v>
      </c>
      <c r="CG260" s="145" t="s">
        <v>203</v>
      </c>
      <c r="CH260" s="129" t="s">
        <v>204</v>
      </c>
      <c r="CI260" s="129" t="s">
        <v>205</v>
      </c>
      <c r="CJ260" s="129" t="s">
        <v>206</v>
      </c>
      <c r="CK260" s="129" t="s">
        <v>158</v>
      </c>
      <c r="CL260" s="129" t="s">
        <v>158</v>
      </c>
      <c r="CM260" s="129" t="s">
        <v>158</v>
      </c>
      <c r="CN260" s="129" t="s">
        <v>160</v>
      </c>
      <c r="CO260" s="129" t="s">
        <v>160</v>
      </c>
      <c r="CP260" s="129" t="s">
        <v>160</v>
      </c>
      <c r="CQ260" s="129" t="s">
        <v>160</v>
      </c>
      <c r="CR260" s="129" t="s">
        <v>160</v>
      </c>
      <c r="CS260" s="129" t="s">
        <v>160</v>
      </c>
      <c r="CT260" s="129" t="s">
        <v>160</v>
      </c>
      <c r="CU260" s="215">
        <v>35</v>
      </c>
      <c r="CV260" s="129" t="s">
        <v>393</v>
      </c>
      <c r="CW260" s="146">
        <v>1</v>
      </c>
      <c r="CX260" s="129" t="s">
        <v>207</v>
      </c>
      <c r="CY260" s="129">
        <v>1.06E-2</v>
      </c>
      <c r="CZ260" s="129" t="s">
        <v>159</v>
      </c>
      <c r="DA260" s="146">
        <v>0</v>
      </c>
      <c r="DB260" s="129" t="s">
        <v>208</v>
      </c>
      <c r="DC260" s="129">
        <v>5.5100000000000003E-2</v>
      </c>
      <c r="DD260" s="129" t="s">
        <v>159</v>
      </c>
      <c r="DE260" s="146">
        <v>0</v>
      </c>
      <c r="DF260" s="129" t="s">
        <v>208</v>
      </c>
      <c r="DG260" s="178" t="s">
        <v>160</v>
      </c>
      <c r="DH260" s="178" t="s">
        <v>160</v>
      </c>
      <c r="DI260" s="178" t="s">
        <v>160</v>
      </c>
      <c r="DJ260" s="178" t="s">
        <v>160</v>
      </c>
      <c r="DK260" s="145">
        <v>432.56244218316402</v>
      </c>
      <c r="DL260" s="129" t="s">
        <v>433</v>
      </c>
      <c r="DM260" s="145" t="s">
        <v>160</v>
      </c>
      <c r="DN260" s="129" t="s">
        <v>434</v>
      </c>
      <c r="DO260" s="129">
        <v>39.712609999999998</v>
      </c>
      <c r="DP260" s="129" t="s">
        <v>160</v>
      </c>
      <c r="DQ260" s="129">
        <v>0.35251000000000232</v>
      </c>
      <c r="DR260" s="129" t="s">
        <v>450</v>
      </c>
      <c r="DS260" s="129" t="s">
        <v>212</v>
      </c>
      <c r="DT260" s="129" t="s">
        <v>213</v>
      </c>
      <c r="DU260" s="129">
        <v>1.0271999999999999</v>
      </c>
      <c r="DV260" s="129" t="s">
        <v>393</v>
      </c>
      <c r="DW260" s="129">
        <v>5.9999999999999995E-4</v>
      </c>
      <c r="DX260" s="129" t="s">
        <v>436</v>
      </c>
      <c r="DY260" s="129" t="s">
        <v>160</v>
      </c>
      <c r="DZ260" s="129" t="s">
        <v>160</v>
      </c>
      <c r="EA260" s="129" t="s">
        <v>216</v>
      </c>
      <c r="EB260" s="129" t="s">
        <v>212</v>
      </c>
      <c r="EC260" s="129" t="s">
        <v>212</v>
      </c>
      <c r="ED260" s="129" t="s">
        <v>212</v>
      </c>
      <c r="EE260" s="129" t="s">
        <v>217</v>
      </c>
      <c r="EF260" s="147" t="s">
        <v>213</v>
      </c>
      <c r="EG260" s="148" t="s">
        <v>213</v>
      </c>
      <c r="EH260" s="129" t="s">
        <v>218</v>
      </c>
      <c r="EI260" s="129" t="s">
        <v>417</v>
      </c>
      <c r="EJ260" s="129" t="s">
        <v>160</v>
      </c>
      <c r="EK260" s="129">
        <v>1940.3589999999999</v>
      </c>
      <c r="EL260" s="129" t="s">
        <v>163</v>
      </c>
      <c r="EM260" s="129">
        <v>49.617000000000061</v>
      </c>
      <c r="EN260" s="129">
        <v>49.348000000000056</v>
      </c>
      <c r="EO260" s="129" t="s">
        <v>160</v>
      </c>
      <c r="EP260" s="129" t="s">
        <v>160</v>
      </c>
      <c r="EQ260" s="129" t="s">
        <v>160</v>
      </c>
      <c r="ER260" s="129" t="s">
        <v>160</v>
      </c>
      <c r="ES260" s="141">
        <v>8.0500019999999992</v>
      </c>
      <c r="ET260" s="142" t="s">
        <v>165</v>
      </c>
      <c r="EU260" s="141">
        <v>4.5544000000001361E-2</v>
      </c>
      <c r="EV260" s="141">
        <v>4.7005999999999659E-2</v>
      </c>
      <c r="EW260" s="142" t="s">
        <v>160</v>
      </c>
      <c r="EX260" s="129" t="s">
        <v>160</v>
      </c>
      <c r="EY260" s="129" t="s">
        <v>160</v>
      </c>
      <c r="EZ260" s="141">
        <v>340.14480000000003</v>
      </c>
      <c r="FA260" s="141">
        <v>48.802199999999971</v>
      </c>
      <c r="FB260" s="141">
        <v>42.38130000000001</v>
      </c>
      <c r="FC260" s="129" t="s">
        <v>220</v>
      </c>
      <c r="FD260" s="129" t="s">
        <v>221</v>
      </c>
      <c r="FE260" s="129">
        <v>2175.5030000000002</v>
      </c>
      <c r="FF260" s="129">
        <v>63.230000000000018</v>
      </c>
      <c r="FG260" s="129">
        <v>64.287000000000262</v>
      </c>
      <c r="FH260" s="129" t="s">
        <v>437</v>
      </c>
      <c r="FI260" s="129" t="s">
        <v>437</v>
      </c>
      <c r="FJ260" s="129" t="s">
        <v>437</v>
      </c>
      <c r="FK260" s="129" t="s">
        <v>437</v>
      </c>
      <c r="FL260" s="129" t="s">
        <v>437</v>
      </c>
      <c r="FM260" s="129" t="s">
        <v>437</v>
      </c>
      <c r="FN260" s="151">
        <v>3.3246660000000001</v>
      </c>
      <c r="FO260" s="151">
        <v>0.29657700000000009</v>
      </c>
      <c r="FP260" s="151">
        <v>0.28718400000000033</v>
      </c>
      <c r="FQ260" s="178" t="s">
        <v>419</v>
      </c>
      <c r="FR260" s="129" t="s">
        <v>439</v>
      </c>
      <c r="FS260" s="129">
        <v>2015</v>
      </c>
      <c r="FT260" s="129" t="s">
        <v>440</v>
      </c>
    </row>
    <row r="261" spans="1:176" s="129" customFormat="1" ht="17">
      <c r="A261" s="123" t="s">
        <v>152</v>
      </c>
      <c r="B261" s="166" t="s">
        <v>183</v>
      </c>
      <c r="C261" s="166">
        <v>2018</v>
      </c>
      <c r="D261" s="166" t="s">
        <v>184</v>
      </c>
      <c r="E261" s="151">
        <f t="shared" si="25"/>
        <v>2941.578125</v>
      </c>
      <c r="F261" s="191" t="s">
        <v>160</v>
      </c>
      <c r="G261" s="191" t="s">
        <v>160</v>
      </c>
      <c r="H261" s="151">
        <v>308.25450000000001</v>
      </c>
      <c r="I261" s="151">
        <v>41.343299999999999</v>
      </c>
      <c r="J261" s="151">
        <v>35.769900000000007</v>
      </c>
      <c r="K261" s="129" t="s">
        <v>457</v>
      </c>
      <c r="L261" s="131" t="s">
        <v>185</v>
      </c>
      <c r="M261" s="132" t="s">
        <v>186</v>
      </c>
      <c r="N261" s="129" t="s">
        <v>184</v>
      </c>
      <c r="O261" s="129" t="s">
        <v>420</v>
      </c>
      <c r="P261" s="129" t="s">
        <v>156</v>
      </c>
      <c r="Q261" s="178">
        <v>11</v>
      </c>
      <c r="R261" s="178">
        <v>2</v>
      </c>
      <c r="S261" s="178">
        <v>27</v>
      </c>
      <c r="T261" s="178">
        <v>29</v>
      </c>
      <c r="U261" s="178" t="s">
        <v>160</v>
      </c>
      <c r="V261" s="178" t="s">
        <v>160</v>
      </c>
      <c r="W261" s="178" t="s">
        <v>160</v>
      </c>
      <c r="X261" s="129" t="s">
        <v>157</v>
      </c>
      <c r="Y261" s="136">
        <v>12.75</v>
      </c>
      <c r="Z261" s="136">
        <v>-78.73</v>
      </c>
      <c r="AA261" s="136">
        <v>12.75</v>
      </c>
      <c r="AB261" s="136">
        <v>-78.73</v>
      </c>
      <c r="AC261" s="136">
        <v>-2828</v>
      </c>
      <c r="AD261" s="136">
        <v>-2828</v>
      </c>
      <c r="AE261" s="129" t="s">
        <v>160</v>
      </c>
      <c r="AF261" s="129" t="s">
        <v>160</v>
      </c>
      <c r="AG261" s="141">
        <v>2941.578125</v>
      </c>
      <c r="AH261" s="138" t="s">
        <v>159</v>
      </c>
      <c r="AI261" s="129" t="s">
        <v>160</v>
      </c>
      <c r="AJ261" s="129" t="s">
        <v>160</v>
      </c>
      <c r="AK261" s="178" t="s">
        <v>160</v>
      </c>
      <c r="AL261" s="178" t="s">
        <v>441</v>
      </c>
      <c r="AM261" s="178" t="s">
        <v>160</v>
      </c>
      <c r="AN261" s="129" t="s">
        <v>160</v>
      </c>
      <c r="AO261" s="129" t="s">
        <v>160</v>
      </c>
      <c r="AP261" s="129" t="s">
        <v>160</v>
      </c>
      <c r="AQ261" s="129" t="s">
        <v>160</v>
      </c>
      <c r="AR261" s="129" t="s">
        <v>160</v>
      </c>
      <c r="AS261" s="129" t="s">
        <v>160</v>
      </c>
      <c r="AT261" s="129" t="s">
        <v>160</v>
      </c>
      <c r="AU261" s="213" t="s">
        <v>442</v>
      </c>
      <c r="AV261" s="129" t="s">
        <v>161</v>
      </c>
      <c r="AW261" s="189" t="s">
        <v>443</v>
      </c>
      <c r="AX261" s="205" t="s">
        <v>444</v>
      </c>
      <c r="AY261" s="205" t="s">
        <v>353</v>
      </c>
      <c r="AZ261" s="205" t="s">
        <v>325</v>
      </c>
      <c r="BA261" s="214" t="s">
        <v>162</v>
      </c>
      <c r="BB261" s="129" t="s">
        <v>445</v>
      </c>
      <c r="BC261" s="129" t="s">
        <v>445</v>
      </c>
      <c r="BD261" s="129" t="s">
        <v>445</v>
      </c>
      <c r="BE261" s="141">
        <v>19.973500000000001</v>
      </c>
      <c r="BF261" s="129" t="s">
        <v>446</v>
      </c>
      <c r="BG261" s="141">
        <v>9.0771784999999994E-2</v>
      </c>
      <c r="BH261" s="129">
        <v>0.6</v>
      </c>
      <c r="BI261" s="129" t="s">
        <v>427</v>
      </c>
      <c r="BJ261" s="138">
        <v>0.08</v>
      </c>
      <c r="BK261" s="129">
        <v>8.8699999999999992</v>
      </c>
      <c r="BL261" s="129" t="s">
        <v>163</v>
      </c>
      <c r="BM261" s="129">
        <v>1.52</v>
      </c>
      <c r="BN261" s="129" t="s">
        <v>428</v>
      </c>
      <c r="BO261" s="129" t="s">
        <v>448</v>
      </c>
      <c r="BP261" s="141">
        <f t="shared" si="26"/>
        <v>18.505833333333339</v>
      </c>
      <c r="BQ261" s="129" t="s">
        <v>202</v>
      </c>
      <c r="BR261" s="217"/>
      <c r="BS261" s="129" t="s">
        <v>160</v>
      </c>
      <c r="BT261" s="129" t="s">
        <v>160</v>
      </c>
      <c r="BU261" s="129">
        <v>10</v>
      </c>
      <c r="BV261" s="129" t="s">
        <v>159</v>
      </c>
      <c r="BW261" s="129">
        <v>10</v>
      </c>
      <c r="BX261" s="141">
        <v>24.800880101095185</v>
      </c>
      <c r="BY261" s="129" t="s">
        <v>159</v>
      </c>
      <c r="BZ261" s="129">
        <v>1</v>
      </c>
      <c r="CA261" s="129">
        <v>1</v>
      </c>
      <c r="CB261" s="141">
        <v>3.4286473195322031</v>
      </c>
      <c r="CC261" s="141">
        <v>3.4286473195322031</v>
      </c>
      <c r="CD261" s="129" t="s">
        <v>449</v>
      </c>
      <c r="CE261" s="151">
        <f t="shared" si="27"/>
        <v>9.2573477627369477E-2</v>
      </c>
      <c r="CF261" s="151">
        <f t="shared" si="28"/>
        <v>9.2573477627369477E-2</v>
      </c>
      <c r="CG261" s="145" t="s">
        <v>203</v>
      </c>
      <c r="CH261" s="129" t="s">
        <v>204</v>
      </c>
      <c r="CI261" s="129" t="s">
        <v>205</v>
      </c>
      <c r="CJ261" s="129" t="s">
        <v>206</v>
      </c>
      <c r="CK261" s="129" t="s">
        <v>158</v>
      </c>
      <c r="CL261" s="129" t="s">
        <v>158</v>
      </c>
      <c r="CM261" s="129" t="s">
        <v>158</v>
      </c>
      <c r="CN261" s="129" t="s">
        <v>160</v>
      </c>
      <c r="CO261" s="129" t="s">
        <v>160</v>
      </c>
      <c r="CP261" s="129" t="s">
        <v>160</v>
      </c>
      <c r="CQ261" s="129" t="s">
        <v>160</v>
      </c>
      <c r="CR261" s="129" t="s">
        <v>160</v>
      </c>
      <c r="CS261" s="129" t="s">
        <v>160</v>
      </c>
      <c r="CT261" s="129" t="s">
        <v>160</v>
      </c>
      <c r="CU261" s="215">
        <v>35</v>
      </c>
      <c r="CV261" s="129" t="s">
        <v>393</v>
      </c>
      <c r="CW261" s="146">
        <v>1</v>
      </c>
      <c r="CX261" s="129" t="s">
        <v>207</v>
      </c>
      <c r="CY261" s="129">
        <v>1.06E-2</v>
      </c>
      <c r="CZ261" s="129" t="s">
        <v>159</v>
      </c>
      <c r="DA261" s="146">
        <v>0</v>
      </c>
      <c r="DB261" s="129" t="s">
        <v>208</v>
      </c>
      <c r="DC261" s="129">
        <v>5.5100000000000003E-2</v>
      </c>
      <c r="DD261" s="129" t="s">
        <v>159</v>
      </c>
      <c r="DE261" s="146">
        <v>0</v>
      </c>
      <c r="DF261" s="129" t="s">
        <v>208</v>
      </c>
      <c r="DG261" s="178" t="s">
        <v>160</v>
      </c>
      <c r="DH261" s="178" t="s">
        <v>160</v>
      </c>
      <c r="DI261" s="178" t="s">
        <v>160</v>
      </c>
      <c r="DJ261" s="178" t="s">
        <v>160</v>
      </c>
      <c r="DK261" s="145">
        <v>432.56244218316402</v>
      </c>
      <c r="DL261" s="129" t="s">
        <v>433</v>
      </c>
      <c r="DM261" s="145" t="s">
        <v>160</v>
      </c>
      <c r="DN261" s="129" t="s">
        <v>434</v>
      </c>
      <c r="DO261" s="129">
        <v>39.71161</v>
      </c>
      <c r="DP261" s="129" t="s">
        <v>160</v>
      </c>
      <c r="DQ261" s="129">
        <v>0.3625899999999973</v>
      </c>
      <c r="DR261" s="129" t="s">
        <v>450</v>
      </c>
      <c r="DS261" s="129" t="s">
        <v>212</v>
      </c>
      <c r="DT261" s="129" t="s">
        <v>213</v>
      </c>
      <c r="DU261" s="129">
        <v>1.0271999999999999</v>
      </c>
      <c r="DV261" s="129" t="s">
        <v>393</v>
      </c>
      <c r="DW261" s="129">
        <v>5.9999999999999995E-4</v>
      </c>
      <c r="DX261" s="129" t="s">
        <v>436</v>
      </c>
      <c r="DY261" s="129" t="s">
        <v>160</v>
      </c>
      <c r="DZ261" s="129" t="s">
        <v>160</v>
      </c>
      <c r="EA261" s="129" t="s">
        <v>216</v>
      </c>
      <c r="EB261" s="129" t="s">
        <v>212</v>
      </c>
      <c r="EC261" s="129" t="s">
        <v>212</v>
      </c>
      <c r="ED261" s="129" t="s">
        <v>212</v>
      </c>
      <c r="EE261" s="129" t="s">
        <v>217</v>
      </c>
      <c r="EF261" s="147" t="s">
        <v>213</v>
      </c>
      <c r="EG261" s="148" t="s">
        <v>213</v>
      </c>
      <c r="EH261" s="129" t="s">
        <v>218</v>
      </c>
      <c r="EI261" s="129" t="s">
        <v>417</v>
      </c>
      <c r="EJ261" s="129" t="s">
        <v>160</v>
      </c>
      <c r="EK261" s="129">
        <v>1940.3249999999998</v>
      </c>
      <c r="EL261" s="129" t="s">
        <v>163</v>
      </c>
      <c r="EM261" s="129">
        <v>50.573000000000157</v>
      </c>
      <c r="EN261" s="129">
        <v>48.963999999999864</v>
      </c>
      <c r="EO261" s="129" t="s">
        <v>160</v>
      </c>
      <c r="EP261" s="129" t="s">
        <v>160</v>
      </c>
      <c r="EQ261" s="129" t="s">
        <v>160</v>
      </c>
      <c r="ER261" s="129" t="s">
        <v>160</v>
      </c>
      <c r="ES261" s="141">
        <v>8.0861750000000008</v>
      </c>
      <c r="ET261" s="142" t="s">
        <v>165</v>
      </c>
      <c r="EU261" s="141">
        <v>4.2582999999998705E-2</v>
      </c>
      <c r="EV261" s="141">
        <v>4.3801000000000201E-2</v>
      </c>
      <c r="EW261" s="142" t="s">
        <v>160</v>
      </c>
      <c r="EX261" s="129" t="s">
        <v>160</v>
      </c>
      <c r="EY261" s="129" t="s">
        <v>160</v>
      </c>
      <c r="EZ261" s="141">
        <v>308.25450000000001</v>
      </c>
      <c r="FA261" s="141">
        <v>41.343299999999999</v>
      </c>
      <c r="FB261" s="141">
        <v>35.769900000000007</v>
      </c>
      <c r="FC261" s="129" t="s">
        <v>220</v>
      </c>
      <c r="FD261" s="129" t="s">
        <v>221</v>
      </c>
      <c r="FE261" s="129">
        <v>2207.1669999999999</v>
      </c>
      <c r="FF261" s="129">
        <v>66.126000000000204</v>
      </c>
      <c r="FG261" s="129">
        <v>65.393000000000029</v>
      </c>
      <c r="FH261" s="129" t="s">
        <v>437</v>
      </c>
      <c r="FI261" s="129" t="s">
        <v>437</v>
      </c>
      <c r="FJ261" s="129" t="s">
        <v>437</v>
      </c>
      <c r="FK261" s="129" t="s">
        <v>437</v>
      </c>
      <c r="FL261" s="129" t="s">
        <v>437</v>
      </c>
      <c r="FM261" s="129" t="s">
        <v>437</v>
      </c>
      <c r="FN261" s="151">
        <v>3.7277420000000001</v>
      </c>
      <c r="FO261" s="151">
        <v>0.31518800000000002</v>
      </c>
      <c r="FP261" s="151">
        <v>0.2992370000000002</v>
      </c>
      <c r="FQ261" s="178" t="s">
        <v>419</v>
      </c>
      <c r="FR261" s="129" t="s">
        <v>439</v>
      </c>
      <c r="FS261" s="129">
        <v>2015</v>
      </c>
      <c r="FT261" s="129" t="s">
        <v>440</v>
      </c>
    </row>
    <row r="262" spans="1:176" s="129" customFormat="1" ht="17">
      <c r="A262" s="123" t="s">
        <v>152</v>
      </c>
      <c r="B262" s="166" t="s">
        <v>183</v>
      </c>
      <c r="C262" s="166">
        <v>2018</v>
      </c>
      <c r="D262" s="166" t="s">
        <v>184</v>
      </c>
      <c r="E262" s="151">
        <f t="shared" si="25"/>
        <v>2950.4926759999998</v>
      </c>
      <c r="F262" s="191" t="s">
        <v>160</v>
      </c>
      <c r="G262" s="191" t="s">
        <v>160</v>
      </c>
      <c r="H262" s="151">
        <v>323.34220000000005</v>
      </c>
      <c r="I262" s="151">
        <v>45.666699999999992</v>
      </c>
      <c r="J262" s="151">
        <v>39.422400000000039</v>
      </c>
      <c r="K262" s="129" t="s">
        <v>457</v>
      </c>
      <c r="L262" s="131" t="s">
        <v>185</v>
      </c>
      <c r="M262" s="132" t="s">
        <v>186</v>
      </c>
      <c r="N262" s="129" t="s">
        <v>184</v>
      </c>
      <c r="O262" s="129" t="s">
        <v>420</v>
      </c>
      <c r="P262" s="129" t="s">
        <v>156</v>
      </c>
      <c r="Q262" s="178">
        <v>11</v>
      </c>
      <c r="R262" s="178">
        <v>2</v>
      </c>
      <c r="S262" s="178">
        <v>53</v>
      </c>
      <c r="T262" s="178">
        <v>57</v>
      </c>
      <c r="U262" s="178" t="s">
        <v>160</v>
      </c>
      <c r="V262" s="178" t="s">
        <v>160</v>
      </c>
      <c r="W262" s="178" t="s">
        <v>160</v>
      </c>
      <c r="X262" s="129" t="s">
        <v>157</v>
      </c>
      <c r="Y262" s="136">
        <v>12.75</v>
      </c>
      <c r="Z262" s="136">
        <v>-78.73</v>
      </c>
      <c r="AA262" s="136">
        <v>12.75</v>
      </c>
      <c r="AB262" s="136">
        <v>-78.73</v>
      </c>
      <c r="AC262" s="136">
        <v>-2828</v>
      </c>
      <c r="AD262" s="136">
        <v>-2828</v>
      </c>
      <c r="AE262" s="129" t="s">
        <v>160</v>
      </c>
      <c r="AF262" s="129" t="s">
        <v>160</v>
      </c>
      <c r="AG262" s="141">
        <v>2950.4926759999998</v>
      </c>
      <c r="AH262" s="138" t="s">
        <v>159</v>
      </c>
      <c r="AI262" s="129" t="s">
        <v>160</v>
      </c>
      <c r="AJ262" s="129" t="s">
        <v>160</v>
      </c>
      <c r="AK262" s="178" t="s">
        <v>160</v>
      </c>
      <c r="AL262" s="178" t="s">
        <v>441</v>
      </c>
      <c r="AM262" s="178" t="s">
        <v>160</v>
      </c>
      <c r="AN262" s="129" t="s">
        <v>160</v>
      </c>
      <c r="AO262" s="129" t="s">
        <v>160</v>
      </c>
      <c r="AP262" s="129" t="s">
        <v>160</v>
      </c>
      <c r="AQ262" s="129" t="s">
        <v>160</v>
      </c>
      <c r="AR262" s="129" t="s">
        <v>160</v>
      </c>
      <c r="AS262" s="129" t="s">
        <v>160</v>
      </c>
      <c r="AT262" s="129" t="s">
        <v>160</v>
      </c>
      <c r="AU262" s="213" t="s">
        <v>442</v>
      </c>
      <c r="AV262" s="129" t="s">
        <v>161</v>
      </c>
      <c r="AW262" s="189" t="s">
        <v>443</v>
      </c>
      <c r="AX262" s="189" t="s">
        <v>444</v>
      </c>
      <c r="AY262" s="205" t="s">
        <v>353</v>
      </c>
      <c r="AZ262" s="205" t="s">
        <v>325</v>
      </c>
      <c r="BA262" s="129" t="s">
        <v>162</v>
      </c>
      <c r="BB262" s="129" t="s">
        <v>445</v>
      </c>
      <c r="BC262" s="129" t="s">
        <v>445</v>
      </c>
      <c r="BD262" s="129" t="s">
        <v>445</v>
      </c>
      <c r="BE262" s="141">
        <v>19.756710000000002</v>
      </c>
      <c r="BF262" s="129" t="s">
        <v>446</v>
      </c>
      <c r="BG262" s="141">
        <v>0.11186700199999999</v>
      </c>
      <c r="BH262" s="129">
        <v>0.6</v>
      </c>
      <c r="BI262" s="129" t="s">
        <v>427</v>
      </c>
      <c r="BJ262" s="138">
        <v>0.08</v>
      </c>
      <c r="BK262" s="129">
        <v>8.8699999999999992</v>
      </c>
      <c r="BL262" s="129" t="s">
        <v>163</v>
      </c>
      <c r="BM262" s="129">
        <v>1.52</v>
      </c>
      <c r="BN262" s="129" t="s">
        <v>428</v>
      </c>
      <c r="BO262" s="129" t="s">
        <v>448</v>
      </c>
      <c r="BP262" s="141">
        <f t="shared" si="26"/>
        <v>18.144516666666672</v>
      </c>
      <c r="BQ262" s="129" t="s">
        <v>202</v>
      </c>
      <c r="BR262" s="217"/>
      <c r="BS262" s="129" t="s">
        <v>160</v>
      </c>
      <c r="BT262" s="129" t="s">
        <v>160</v>
      </c>
      <c r="BU262" s="129">
        <v>10</v>
      </c>
      <c r="BV262" s="129" t="s">
        <v>159</v>
      </c>
      <c r="BW262" s="129">
        <v>10</v>
      </c>
      <c r="BX262" s="141">
        <v>23.54480798272272</v>
      </c>
      <c r="BY262" s="129" t="s">
        <v>159</v>
      </c>
      <c r="BZ262" s="129">
        <v>1</v>
      </c>
      <c r="CA262" s="129">
        <v>1</v>
      </c>
      <c r="CB262" s="141">
        <v>3.0618668789723391</v>
      </c>
      <c r="CC262" s="141">
        <v>3.0618668789723391</v>
      </c>
      <c r="CD262" s="129" t="s">
        <v>449</v>
      </c>
      <c r="CE262" s="151">
        <f t="shared" si="27"/>
        <v>8.2670405732253149E-2</v>
      </c>
      <c r="CF262" s="151">
        <f t="shared" si="28"/>
        <v>8.2670405732253149E-2</v>
      </c>
      <c r="CG262" s="145" t="s">
        <v>203</v>
      </c>
      <c r="CH262" s="129" t="s">
        <v>204</v>
      </c>
      <c r="CI262" s="129" t="s">
        <v>205</v>
      </c>
      <c r="CJ262" s="129" t="s">
        <v>206</v>
      </c>
      <c r="CK262" s="129" t="s">
        <v>158</v>
      </c>
      <c r="CL262" s="129" t="s">
        <v>158</v>
      </c>
      <c r="CM262" s="129" t="s">
        <v>158</v>
      </c>
      <c r="CN262" s="129" t="s">
        <v>160</v>
      </c>
      <c r="CO262" s="129" t="s">
        <v>160</v>
      </c>
      <c r="CP262" s="129" t="s">
        <v>160</v>
      </c>
      <c r="CQ262" s="129" t="s">
        <v>160</v>
      </c>
      <c r="CR262" s="129" t="s">
        <v>160</v>
      </c>
      <c r="CS262" s="129" t="s">
        <v>160</v>
      </c>
      <c r="CT262" s="129" t="s">
        <v>160</v>
      </c>
      <c r="CU262" s="215">
        <v>35</v>
      </c>
      <c r="CV262" s="129" t="s">
        <v>393</v>
      </c>
      <c r="CW262" s="146">
        <v>1</v>
      </c>
      <c r="CX262" s="129" t="s">
        <v>207</v>
      </c>
      <c r="CY262" s="129">
        <v>1.06E-2</v>
      </c>
      <c r="CZ262" s="129" t="s">
        <v>159</v>
      </c>
      <c r="DA262" s="146">
        <v>0</v>
      </c>
      <c r="DB262" s="129" t="s">
        <v>208</v>
      </c>
      <c r="DC262" s="129">
        <v>5.5100000000000003E-2</v>
      </c>
      <c r="DD262" s="129" t="s">
        <v>159</v>
      </c>
      <c r="DE262" s="146">
        <v>0</v>
      </c>
      <c r="DF262" s="129" t="s">
        <v>208</v>
      </c>
      <c r="DG262" s="178" t="s">
        <v>160</v>
      </c>
      <c r="DH262" s="178" t="s">
        <v>160</v>
      </c>
      <c r="DI262" s="178" t="s">
        <v>160</v>
      </c>
      <c r="DJ262" s="178" t="s">
        <v>160</v>
      </c>
      <c r="DK262" s="145">
        <v>432.56244218316402</v>
      </c>
      <c r="DL262" s="129" t="s">
        <v>433</v>
      </c>
      <c r="DM262" s="145" t="s">
        <v>160</v>
      </c>
      <c r="DN262" s="129" t="s">
        <v>434</v>
      </c>
      <c r="DO262" s="129">
        <v>39.710799999999999</v>
      </c>
      <c r="DP262" s="129" t="s">
        <v>160</v>
      </c>
      <c r="DQ262" s="129">
        <v>0.35690999999999917</v>
      </c>
      <c r="DR262" s="129" t="s">
        <v>450</v>
      </c>
      <c r="DS262" s="129" t="s">
        <v>212</v>
      </c>
      <c r="DT262" s="129" t="s">
        <v>213</v>
      </c>
      <c r="DU262" s="129">
        <v>1.0271999999999999</v>
      </c>
      <c r="DV262" s="129" t="s">
        <v>393</v>
      </c>
      <c r="DW262" s="129">
        <v>5.9999999999999995E-4</v>
      </c>
      <c r="DX262" s="129" t="s">
        <v>436</v>
      </c>
      <c r="DY262" s="129" t="s">
        <v>160</v>
      </c>
      <c r="DZ262" s="129" t="s">
        <v>160</v>
      </c>
      <c r="EA262" s="129" t="s">
        <v>216</v>
      </c>
      <c r="EB262" s="129" t="s">
        <v>212</v>
      </c>
      <c r="EC262" s="129" t="s">
        <v>212</v>
      </c>
      <c r="ED262" s="129" t="s">
        <v>212</v>
      </c>
      <c r="EE262" s="129" t="s">
        <v>217</v>
      </c>
      <c r="EF262" s="147" t="s">
        <v>213</v>
      </c>
      <c r="EG262" s="148" t="s">
        <v>213</v>
      </c>
      <c r="EH262" s="129" t="s">
        <v>218</v>
      </c>
      <c r="EI262" s="129" t="s">
        <v>417</v>
      </c>
      <c r="EJ262" s="129" t="s">
        <v>160</v>
      </c>
      <c r="EK262" s="129">
        <v>1940.1690000000001</v>
      </c>
      <c r="EL262" s="129" t="s">
        <v>163</v>
      </c>
      <c r="EM262" s="129">
        <v>51.081999999999823</v>
      </c>
      <c r="EN262" s="129">
        <v>48.997000000000057</v>
      </c>
      <c r="EO262" s="129" t="s">
        <v>160</v>
      </c>
      <c r="EP262" s="129" t="s">
        <v>160</v>
      </c>
      <c r="EQ262" s="129" t="s">
        <v>160</v>
      </c>
      <c r="ER262" s="129" t="s">
        <v>160</v>
      </c>
      <c r="ES262" s="141">
        <v>8.0679560000000006</v>
      </c>
      <c r="ET262" s="142" t="s">
        <v>165</v>
      </c>
      <c r="EU262" s="141">
        <v>4.497999999999891E-2</v>
      </c>
      <c r="EV262" s="141">
        <v>4.6653000000000944E-2</v>
      </c>
      <c r="EW262" s="142" t="s">
        <v>160</v>
      </c>
      <c r="EX262" s="129" t="s">
        <v>160</v>
      </c>
      <c r="EY262" s="129" t="s">
        <v>160</v>
      </c>
      <c r="EZ262" s="141">
        <v>323.34220000000005</v>
      </c>
      <c r="FA262" s="141">
        <v>45.666699999999992</v>
      </c>
      <c r="FB262" s="141">
        <v>39.422400000000039</v>
      </c>
      <c r="FC262" s="129" t="s">
        <v>220</v>
      </c>
      <c r="FD262" s="129" t="s">
        <v>221</v>
      </c>
      <c r="FE262" s="129">
        <v>2183.9810000000002</v>
      </c>
      <c r="FF262" s="129">
        <v>64.386999999999716</v>
      </c>
      <c r="FG262" s="129">
        <v>66.733000000000175</v>
      </c>
      <c r="FH262" s="129" t="s">
        <v>437</v>
      </c>
      <c r="FI262" s="129" t="s">
        <v>437</v>
      </c>
      <c r="FJ262" s="129" t="s">
        <v>437</v>
      </c>
      <c r="FK262" s="129" t="s">
        <v>437</v>
      </c>
      <c r="FL262" s="129" t="s">
        <v>437</v>
      </c>
      <c r="FM262" s="129" t="s">
        <v>437</v>
      </c>
      <c r="FN262" s="151">
        <v>3.4260190000000001</v>
      </c>
      <c r="FO262" s="151">
        <v>0.31417800000000007</v>
      </c>
      <c r="FP262" s="151">
        <v>0.29491400000000034</v>
      </c>
      <c r="FQ262" s="178" t="s">
        <v>419</v>
      </c>
      <c r="FR262" s="129" t="s">
        <v>439</v>
      </c>
      <c r="FS262" s="129">
        <v>2015</v>
      </c>
      <c r="FT262" s="129" t="s">
        <v>440</v>
      </c>
    </row>
    <row r="263" spans="1:176" s="129" customFormat="1" ht="17">
      <c r="A263" s="123" t="s">
        <v>152</v>
      </c>
      <c r="B263" s="166" t="s">
        <v>183</v>
      </c>
      <c r="C263" s="166">
        <v>2018</v>
      </c>
      <c r="D263" s="166" t="s">
        <v>184</v>
      </c>
      <c r="E263" s="151">
        <f t="shared" si="25"/>
        <v>2951.1613769999999</v>
      </c>
      <c r="F263" s="191" t="s">
        <v>160</v>
      </c>
      <c r="G263" s="191" t="s">
        <v>160</v>
      </c>
      <c r="H263" s="151">
        <v>375.89760000000001</v>
      </c>
      <c r="I263" s="151">
        <v>66.751300000000015</v>
      </c>
      <c r="J263" s="151">
        <v>54.087899999999991</v>
      </c>
      <c r="K263" s="129" t="s">
        <v>457</v>
      </c>
      <c r="L263" s="131" t="s">
        <v>185</v>
      </c>
      <c r="M263" s="132" t="s">
        <v>186</v>
      </c>
      <c r="N263" s="129" t="s">
        <v>184</v>
      </c>
      <c r="O263" s="129" t="s">
        <v>420</v>
      </c>
      <c r="P263" s="129" t="s">
        <v>156</v>
      </c>
      <c r="Q263" s="178">
        <v>11</v>
      </c>
      <c r="R263" s="178">
        <v>2</v>
      </c>
      <c r="S263" s="178">
        <v>55</v>
      </c>
      <c r="T263" s="178">
        <v>57</v>
      </c>
      <c r="U263" s="178" t="s">
        <v>160</v>
      </c>
      <c r="V263" s="178" t="s">
        <v>160</v>
      </c>
      <c r="W263" s="178" t="s">
        <v>160</v>
      </c>
      <c r="X263" s="129" t="s">
        <v>157</v>
      </c>
      <c r="Y263" s="136">
        <v>12.75</v>
      </c>
      <c r="Z263" s="136">
        <v>-78.73</v>
      </c>
      <c r="AA263" s="136">
        <v>12.75</v>
      </c>
      <c r="AB263" s="136">
        <v>-78.73</v>
      </c>
      <c r="AC263" s="136">
        <v>-2828</v>
      </c>
      <c r="AD263" s="136">
        <v>-2828</v>
      </c>
      <c r="AE263" s="129" t="s">
        <v>160</v>
      </c>
      <c r="AF263" s="129" t="s">
        <v>160</v>
      </c>
      <c r="AG263" s="141">
        <v>2951.1613769999999</v>
      </c>
      <c r="AH263" s="138" t="s">
        <v>159</v>
      </c>
      <c r="AI263" s="129" t="s">
        <v>160</v>
      </c>
      <c r="AJ263" s="129" t="s">
        <v>160</v>
      </c>
      <c r="AK263" s="178" t="s">
        <v>160</v>
      </c>
      <c r="AL263" s="178" t="s">
        <v>441</v>
      </c>
      <c r="AM263" s="178" t="s">
        <v>160</v>
      </c>
      <c r="AN263" s="129" t="s">
        <v>160</v>
      </c>
      <c r="AO263" s="129" t="s">
        <v>160</v>
      </c>
      <c r="AP263" s="129" t="s">
        <v>160</v>
      </c>
      <c r="AQ263" s="129" t="s">
        <v>160</v>
      </c>
      <c r="AR263" s="129" t="s">
        <v>160</v>
      </c>
      <c r="AS263" s="129" t="s">
        <v>160</v>
      </c>
      <c r="AT263" s="129" t="s">
        <v>160</v>
      </c>
      <c r="AU263" s="213" t="s">
        <v>442</v>
      </c>
      <c r="AV263" s="129" t="s">
        <v>161</v>
      </c>
      <c r="AW263" s="189" t="s">
        <v>443</v>
      </c>
      <c r="AX263" s="205" t="s">
        <v>444</v>
      </c>
      <c r="AY263" s="205" t="s">
        <v>353</v>
      </c>
      <c r="AZ263" s="205" t="s">
        <v>325</v>
      </c>
      <c r="BA263" s="214" t="s">
        <v>162</v>
      </c>
      <c r="BB263" s="129" t="s">
        <v>445</v>
      </c>
      <c r="BC263" s="129" t="s">
        <v>445</v>
      </c>
      <c r="BD263" s="129" t="s">
        <v>445</v>
      </c>
      <c r="BE263" s="141">
        <v>19.46</v>
      </c>
      <c r="BF263" s="129" t="s">
        <v>446</v>
      </c>
      <c r="BG263" s="141">
        <v>0.200511776</v>
      </c>
      <c r="BH263" s="129">
        <v>0.6</v>
      </c>
      <c r="BI263" s="129" t="s">
        <v>427</v>
      </c>
      <c r="BJ263" s="138">
        <v>0.08</v>
      </c>
      <c r="BK263" s="129">
        <v>8.8699999999999992</v>
      </c>
      <c r="BL263" s="129" t="s">
        <v>163</v>
      </c>
      <c r="BM263" s="129">
        <v>1.52</v>
      </c>
      <c r="BN263" s="129" t="s">
        <v>428</v>
      </c>
      <c r="BO263" s="129" t="s">
        <v>448</v>
      </c>
      <c r="BP263" s="141">
        <f t="shared" si="26"/>
        <v>17.650000000000002</v>
      </c>
      <c r="BQ263" s="129" t="s">
        <v>202</v>
      </c>
      <c r="BR263" s="217"/>
      <c r="BS263" s="129" t="s">
        <v>160</v>
      </c>
      <c r="BT263" s="129" t="s">
        <v>160</v>
      </c>
      <c r="BU263" s="129">
        <v>10</v>
      </c>
      <c r="BV263" s="129" t="s">
        <v>159</v>
      </c>
      <c r="BW263" s="129">
        <v>10</v>
      </c>
      <c r="BX263" s="141">
        <v>24.117025979967504</v>
      </c>
      <c r="BY263" s="129" t="s">
        <v>159</v>
      </c>
      <c r="BZ263" s="129">
        <v>1</v>
      </c>
      <c r="CA263" s="129">
        <v>1</v>
      </c>
      <c r="CB263" s="141">
        <v>3.2236599742960799</v>
      </c>
      <c r="CC263" s="141">
        <v>3.2236599742960799</v>
      </c>
      <c r="CD263" s="129" t="s">
        <v>449</v>
      </c>
      <c r="CE263" s="151">
        <f t="shared" si="27"/>
        <v>8.703881930599415E-2</v>
      </c>
      <c r="CF263" s="151">
        <f t="shared" si="28"/>
        <v>8.703881930599415E-2</v>
      </c>
      <c r="CG263" s="145" t="s">
        <v>203</v>
      </c>
      <c r="CH263" s="129" t="s">
        <v>204</v>
      </c>
      <c r="CI263" s="129" t="s">
        <v>205</v>
      </c>
      <c r="CJ263" s="129" t="s">
        <v>206</v>
      </c>
      <c r="CK263" s="129" t="s">
        <v>158</v>
      </c>
      <c r="CL263" s="129" t="s">
        <v>158</v>
      </c>
      <c r="CM263" s="129" t="s">
        <v>158</v>
      </c>
      <c r="CN263" s="129" t="s">
        <v>160</v>
      </c>
      <c r="CO263" s="129" t="s">
        <v>160</v>
      </c>
      <c r="CP263" s="129" t="s">
        <v>160</v>
      </c>
      <c r="CQ263" s="129" t="s">
        <v>160</v>
      </c>
      <c r="CR263" s="129" t="s">
        <v>160</v>
      </c>
      <c r="CS263" s="129" t="s">
        <v>160</v>
      </c>
      <c r="CT263" s="129" t="s">
        <v>160</v>
      </c>
      <c r="CU263" s="215">
        <v>35</v>
      </c>
      <c r="CV263" s="129" t="s">
        <v>393</v>
      </c>
      <c r="CW263" s="146">
        <v>1</v>
      </c>
      <c r="CX263" s="129" t="s">
        <v>207</v>
      </c>
      <c r="CY263" s="129">
        <v>1.06E-2</v>
      </c>
      <c r="CZ263" s="129" t="s">
        <v>159</v>
      </c>
      <c r="DA263" s="146">
        <v>0</v>
      </c>
      <c r="DB263" s="129" t="s">
        <v>208</v>
      </c>
      <c r="DC263" s="129">
        <v>5.5100000000000003E-2</v>
      </c>
      <c r="DD263" s="129" t="s">
        <v>159</v>
      </c>
      <c r="DE263" s="146">
        <v>0</v>
      </c>
      <c r="DF263" s="129" t="s">
        <v>208</v>
      </c>
      <c r="DG263" s="178" t="s">
        <v>160</v>
      </c>
      <c r="DH263" s="178" t="s">
        <v>160</v>
      </c>
      <c r="DI263" s="178" t="s">
        <v>160</v>
      </c>
      <c r="DJ263" s="178" t="s">
        <v>160</v>
      </c>
      <c r="DK263" s="145">
        <v>432.56244218316402</v>
      </c>
      <c r="DL263" s="129" t="s">
        <v>433</v>
      </c>
      <c r="DM263" s="145" t="s">
        <v>160</v>
      </c>
      <c r="DN263" s="129" t="s">
        <v>434</v>
      </c>
      <c r="DO263" s="129">
        <v>39.71143</v>
      </c>
      <c r="DP263" s="129" t="s">
        <v>160</v>
      </c>
      <c r="DQ263" s="129">
        <v>0.36039000000000243</v>
      </c>
      <c r="DR263" s="129" t="s">
        <v>450</v>
      </c>
      <c r="DS263" s="129" t="s">
        <v>212</v>
      </c>
      <c r="DT263" s="129" t="s">
        <v>213</v>
      </c>
      <c r="DU263" s="129">
        <v>1.0271999999999999</v>
      </c>
      <c r="DV263" s="129" t="s">
        <v>393</v>
      </c>
      <c r="DW263" s="129">
        <v>5.9999999999999995E-4</v>
      </c>
      <c r="DX263" s="129" t="s">
        <v>436</v>
      </c>
      <c r="DY263" s="129" t="s">
        <v>160</v>
      </c>
      <c r="DZ263" s="129" t="s">
        <v>160</v>
      </c>
      <c r="EA263" s="129" t="s">
        <v>216</v>
      </c>
      <c r="EB263" s="129" t="s">
        <v>212</v>
      </c>
      <c r="EC263" s="129" t="s">
        <v>212</v>
      </c>
      <c r="ED263" s="129" t="s">
        <v>212</v>
      </c>
      <c r="EE263" s="129" t="s">
        <v>217</v>
      </c>
      <c r="EF263" s="147" t="s">
        <v>213</v>
      </c>
      <c r="EG263" s="148" t="s">
        <v>213</v>
      </c>
      <c r="EH263" s="129" t="s">
        <v>218</v>
      </c>
      <c r="EI263" s="129" t="s">
        <v>417</v>
      </c>
      <c r="EJ263" s="129" t="s">
        <v>160</v>
      </c>
      <c r="EK263" s="129">
        <v>1940.4829999999999</v>
      </c>
      <c r="EL263" s="129" t="s">
        <v>163</v>
      </c>
      <c r="EM263" s="129">
        <v>49.540999999999954</v>
      </c>
      <c r="EN263" s="129">
        <v>48.759999999999906</v>
      </c>
      <c r="EO263" s="129" t="s">
        <v>160</v>
      </c>
      <c r="EP263" s="129" t="s">
        <v>160</v>
      </c>
      <c r="EQ263" s="129" t="s">
        <v>160</v>
      </c>
      <c r="ER263" s="129" t="s">
        <v>160</v>
      </c>
      <c r="ES263" s="141">
        <v>8.0135850000000008</v>
      </c>
      <c r="ET263" s="142" t="s">
        <v>165</v>
      </c>
      <c r="EU263" s="141">
        <v>5.6471999999999412E-2</v>
      </c>
      <c r="EV263" s="141">
        <v>5.9536000000000477E-2</v>
      </c>
      <c r="EW263" s="142" t="s">
        <v>160</v>
      </c>
      <c r="EX263" s="129" t="s">
        <v>160</v>
      </c>
      <c r="EY263" s="129" t="s">
        <v>160</v>
      </c>
      <c r="EZ263" s="141">
        <v>375.89760000000001</v>
      </c>
      <c r="FA263" s="141">
        <v>66.751300000000015</v>
      </c>
      <c r="FB263" s="141">
        <v>54.087899999999991</v>
      </c>
      <c r="FC263" s="129" t="s">
        <v>220</v>
      </c>
      <c r="FD263" s="129" t="s">
        <v>221</v>
      </c>
      <c r="FE263" s="129">
        <v>2156.2349999999997</v>
      </c>
      <c r="FF263" s="129">
        <v>66.373000000000502</v>
      </c>
      <c r="FG263" s="129">
        <v>65.170999999999367</v>
      </c>
      <c r="FH263" s="129" t="s">
        <v>437</v>
      </c>
      <c r="FI263" s="129" t="s">
        <v>437</v>
      </c>
      <c r="FJ263" s="129" t="s">
        <v>437</v>
      </c>
      <c r="FK263" s="129" t="s">
        <v>437</v>
      </c>
      <c r="FL263" s="129" t="s">
        <v>437</v>
      </c>
      <c r="FM263" s="129" t="s">
        <v>437</v>
      </c>
      <c r="FN263" s="151">
        <v>3.1275520000000001</v>
      </c>
      <c r="FO263" s="151">
        <v>0.38214900000000007</v>
      </c>
      <c r="FP263" s="151">
        <v>0.34709799999999991</v>
      </c>
      <c r="FQ263" s="178" t="s">
        <v>419</v>
      </c>
      <c r="FR263" s="129" t="s">
        <v>439</v>
      </c>
      <c r="FS263" s="129">
        <v>2015</v>
      </c>
      <c r="FT263" s="129" t="s">
        <v>440</v>
      </c>
    </row>
    <row r="264" spans="1:176" s="129" customFormat="1" ht="17">
      <c r="A264" s="123" t="s">
        <v>152</v>
      </c>
      <c r="B264" s="166" t="s">
        <v>183</v>
      </c>
      <c r="C264" s="166">
        <v>2018</v>
      </c>
      <c r="D264" s="166" t="s">
        <v>184</v>
      </c>
      <c r="E264" s="151">
        <f t="shared" si="25"/>
        <v>2959.599365</v>
      </c>
      <c r="F264" s="191" t="s">
        <v>160</v>
      </c>
      <c r="G264" s="191" t="s">
        <v>160</v>
      </c>
      <c r="H264" s="151">
        <v>317.3014</v>
      </c>
      <c r="I264" s="151">
        <v>39.938099999999963</v>
      </c>
      <c r="J264" s="151">
        <v>36.283599999999979</v>
      </c>
      <c r="K264" s="129" t="s">
        <v>457</v>
      </c>
      <c r="L264" s="131" t="s">
        <v>185</v>
      </c>
      <c r="M264" s="132" t="s">
        <v>186</v>
      </c>
      <c r="N264" s="129" t="s">
        <v>184</v>
      </c>
      <c r="O264" s="129" t="s">
        <v>420</v>
      </c>
      <c r="P264" s="129" t="s">
        <v>156</v>
      </c>
      <c r="Q264" s="178">
        <v>11</v>
      </c>
      <c r="R264" s="178">
        <v>2</v>
      </c>
      <c r="S264" s="178">
        <v>80</v>
      </c>
      <c r="T264" s="178">
        <v>82</v>
      </c>
      <c r="U264" s="178" t="s">
        <v>160</v>
      </c>
      <c r="V264" s="178" t="s">
        <v>160</v>
      </c>
      <c r="W264" s="178" t="s">
        <v>160</v>
      </c>
      <c r="X264" s="129" t="s">
        <v>157</v>
      </c>
      <c r="Y264" s="136">
        <v>12.75</v>
      </c>
      <c r="Z264" s="136">
        <v>-78.73</v>
      </c>
      <c r="AA264" s="136">
        <v>12.75</v>
      </c>
      <c r="AB264" s="136">
        <v>-78.73</v>
      </c>
      <c r="AC264" s="136">
        <v>-2828</v>
      </c>
      <c r="AD264" s="136">
        <v>-2828</v>
      </c>
      <c r="AE264" s="129" t="s">
        <v>160</v>
      </c>
      <c r="AF264" s="129" t="s">
        <v>160</v>
      </c>
      <c r="AG264" s="141">
        <v>2959.599365</v>
      </c>
      <c r="AH264" s="138" t="s">
        <v>159</v>
      </c>
      <c r="AI264" s="129" t="s">
        <v>160</v>
      </c>
      <c r="AJ264" s="129" t="s">
        <v>160</v>
      </c>
      <c r="AK264" s="178" t="s">
        <v>160</v>
      </c>
      <c r="AL264" s="178" t="s">
        <v>441</v>
      </c>
      <c r="AM264" s="178" t="s">
        <v>160</v>
      </c>
      <c r="AN264" s="129" t="s">
        <v>160</v>
      </c>
      <c r="AO264" s="129" t="s">
        <v>160</v>
      </c>
      <c r="AP264" s="129" t="s">
        <v>160</v>
      </c>
      <c r="AQ264" s="129" t="s">
        <v>160</v>
      </c>
      <c r="AR264" s="129" t="s">
        <v>160</v>
      </c>
      <c r="AS264" s="129" t="s">
        <v>160</v>
      </c>
      <c r="AT264" s="129" t="s">
        <v>160</v>
      </c>
      <c r="AU264" s="213" t="s">
        <v>442</v>
      </c>
      <c r="AV264" s="129" t="s">
        <v>161</v>
      </c>
      <c r="AW264" s="189" t="s">
        <v>443</v>
      </c>
      <c r="AX264" s="189" t="s">
        <v>444</v>
      </c>
      <c r="AY264" s="205" t="s">
        <v>353</v>
      </c>
      <c r="AZ264" s="205" t="s">
        <v>325</v>
      </c>
      <c r="BA264" s="129" t="s">
        <v>162</v>
      </c>
      <c r="BB264" s="129" t="s">
        <v>445</v>
      </c>
      <c r="BC264" s="129" t="s">
        <v>445</v>
      </c>
      <c r="BD264" s="129" t="s">
        <v>445</v>
      </c>
      <c r="BE264" s="141">
        <v>20.009589999999999</v>
      </c>
      <c r="BF264" s="129" t="s">
        <v>446</v>
      </c>
      <c r="BG264" s="141">
        <v>9.0781642999999995E-2</v>
      </c>
      <c r="BH264" s="129">
        <v>0.6</v>
      </c>
      <c r="BI264" s="129" t="s">
        <v>427</v>
      </c>
      <c r="BJ264" s="138">
        <v>0.08</v>
      </c>
      <c r="BK264" s="129">
        <v>8.8699999999999992</v>
      </c>
      <c r="BL264" s="129" t="s">
        <v>163</v>
      </c>
      <c r="BM264" s="129">
        <v>1.52</v>
      </c>
      <c r="BN264" s="129" t="s">
        <v>428</v>
      </c>
      <c r="BO264" s="129" t="s">
        <v>448</v>
      </c>
      <c r="BP264" s="141">
        <f t="shared" si="26"/>
        <v>18.565983333333335</v>
      </c>
      <c r="BQ264" s="129" t="s">
        <v>202</v>
      </c>
      <c r="BR264" s="217"/>
      <c r="BS264" s="129" t="s">
        <v>160</v>
      </c>
      <c r="BT264" s="129" t="s">
        <v>160</v>
      </c>
      <c r="BU264" s="129">
        <v>10</v>
      </c>
      <c r="BV264" s="129" t="s">
        <v>159</v>
      </c>
      <c r="BW264" s="129">
        <v>10</v>
      </c>
      <c r="BX264" s="141">
        <v>26.121472256543221</v>
      </c>
      <c r="BY264" s="129" t="s">
        <v>159</v>
      </c>
      <c r="BZ264" s="129">
        <v>1</v>
      </c>
      <c r="CA264" s="129">
        <v>1</v>
      </c>
      <c r="CB264" s="141">
        <v>3.8606210686464681</v>
      </c>
      <c r="CC264" s="141">
        <v>3.8606210686464681</v>
      </c>
      <c r="CD264" s="129" t="s">
        <v>449</v>
      </c>
      <c r="CE264" s="151">
        <f t="shared" si="27"/>
        <v>0.10423676885345463</v>
      </c>
      <c r="CF264" s="151">
        <f t="shared" si="28"/>
        <v>0.10423676885345463</v>
      </c>
      <c r="CG264" s="145" t="s">
        <v>203</v>
      </c>
      <c r="CH264" s="129" t="s">
        <v>204</v>
      </c>
      <c r="CI264" s="129" t="s">
        <v>205</v>
      </c>
      <c r="CJ264" s="129" t="s">
        <v>206</v>
      </c>
      <c r="CK264" s="129" t="s">
        <v>158</v>
      </c>
      <c r="CL264" s="129" t="s">
        <v>158</v>
      </c>
      <c r="CM264" s="129" t="s">
        <v>158</v>
      </c>
      <c r="CN264" s="129" t="s">
        <v>160</v>
      </c>
      <c r="CO264" s="129" t="s">
        <v>160</v>
      </c>
      <c r="CP264" s="129" t="s">
        <v>160</v>
      </c>
      <c r="CQ264" s="129" t="s">
        <v>160</v>
      </c>
      <c r="CR264" s="129" t="s">
        <v>160</v>
      </c>
      <c r="CS264" s="129" t="s">
        <v>160</v>
      </c>
      <c r="CT264" s="129" t="s">
        <v>160</v>
      </c>
      <c r="CU264" s="215">
        <v>35</v>
      </c>
      <c r="CV264" s="129" t="s">
        <v>393</v>
      </c>
      <c r="CW264" s="146">
        <v>1</v>
      </c>
      <c r="CX264" s="129" t="s">
        <v>207</v>
      </c>
      <c r="CY264" s="129">
        <v>1.06E-2</v>
      </c>
      <c r="CZ264" s="129" t="s">
        <v>159</v>
      </c>
      <c r="DA264" s="146">
        <v>0</v>
      </c>
      <c r="DB264" s="129" t="s">
        <v>208</v>
      </c>
      <c r="DC264" s="129">
        <v>5.5100000000000003E-2</v>
      </c>
      <c r="DD264" s="129" t="s">
        <v>159</v>
      </c>
      <c r="DE264" s="146">
        <v>0</v>
      </c>
      <c r="DF264" s="129" t="s">
        <v>208</v>
      </c>
      <c r="DG264" s="178" t="s">
        <v>160</v>
      </c>
      <c r="DH264" s="178" t="s">
        <v>160</v>
      </c>
      <c r="DI264" s="178" t="s">
        <v>160</v>
      </c>
      <c r="DJ264" s="178" t="s">
        <v>160</v>
      </c>
      <c r="DK264" s="145">
        <v>432.56244218316402</v>
      </c>
      <c r="DL264" s="129" t="s">
        <v>433</v>
      </c>
      <c r="DM264" s="145" t="s">
        <v>160</v>
      </c>
      <c r="DN264" s="129" t="s">
        <v>434</v>
      </c>
      <c r="DO264" s="129">
        <v>39.705939999999998</v>
      </c>
      <c r="DP264" s="129" t="s">
        <v>160</v>
      </c>
      <c r="DQ264" s="129">
        <v>0.35810000000000031</v>
      </c>
      <c r="DR264" s="129" t="s">
        <v>450</v>
      </c>
      <c r="DS264" s="129" t="s">
        <v>212</v>
      </c>
      <c r="DT264" s="129" t="s">
        <v>213</v>
      </c>
      <c r="DU264" s="129">
        <v>1.0271999999999999</v>
      </c>
      <c r="DV264" s="129" t="s">
        <v>393</v>
      </c>
      <c r="DW264" s="129">
        <v>5.9999999999999995E-4</v>
      </c>
      <c r="DX264" s="129" t="s">
        <v>436</v>
      </c>
      <c r="DY264" s="129" t="s">
        <v>160</v>
      </c>
      <c r="DZ264" s="129" t="s">
        <v>160</v>
      </c>
      <c r="EA264" s="129" t="s">
        <v>216</v>
      </c>
      <c r="EB264" s="129" t="s">
        <v>212</v>
      </c>
      <c r="EC264" s="129" t="s">
        <v>212</v>
      </c>
      <c r="ED264" s="129" t="s">
        <v>212</v>
      </c>
      <c r="EE264" s="129" t="s">
        <v>217</v>
      </c>
      <c r="EF264" s="147" t="s">
        <v>213</v>
      </c>
      <c r="EG264" s="148" t="s">
        <v>213</v>
      </c>
      <c r="EH264" s="129" t="s">
        <v>218</v>
      </c>
      <c r="EI264" s="129" t="s">
        <v>417</v>
      </c>
      <c r="EJ264" s="129" t="s">
        <v>160</v>
      </c>
      <c r="EK264" s="129">
        <v>1939.739</v>
      </c>
      <c r="EL264" s="129" t="s">
        <v>163</v>
      </c>
      <c r="EM264" s="129">
        <v>51.273999999999809</v>
      </c>
      <c r="EN264" s="129">
        <v>48.414000000000094</v>
      </c>
      <c r="EO264" s="129" t="s">
        <v>160</v>
      </c>
      <c r="EP264" s="129" t="s">
        <v>160</v>
      </c>
      <c r="EQ264" s="129" t="s">
        <v>160</v>
      </c>
      <c r="ER264" s="129" t="s">
        <v>160</v>
      </c>
      <c r="ES264" s="141">
        <v>8.0769400000000005</v>
      </c>
      <c r="ET264" s="142" t="s">
        <v>165</v>
      </c>
      <c r="EU264" s="141">
        <v>4.1724000000000316E-2</v>
      </c>
      <c r="EV264" s="141">
        <v>4.2595000000000383E-2</v>
      </c>
      <c r="EW264" s="142" t="s">
        <v>160</v>
      </c>
      <c r="EX264" s="129" t="s">
        <v>160</v>
      </c>
      <c r="EY264" s="129" t="s">
        <v>160</v>
      </c>
      <c r="EZ264" s="141">
        <v>317.3014</v>
      </c>
      <c r="FA264" s="141">
        <v>39.938099999999963</v>
      </c>
      <c r="FB264" s="141">
        <v>36.283599999999979</v>
      </c>
      <c r="FC264" s="129" t="s">
        <v>220</v>
      </c>
      <c r="FD264" s="129" t="s">
        <v>221</v>
      </c>
      <c r="FE264" s="129">
        <v>2213.2649999999999</v>
      </c>
      <c r="FF264" s="129">
        <v>64.974999999999909</v>
      </c>
      <c r="FG264" s="129">
        <v>65.735999999999876</v>
      </c>
      <c r="FH264" s="129" t="s">
        <v>437</v>
      </c>
      <c r="FI264" s="129" t="s">
        <v>437</v>
      </c>
      <c r="FJ264" s="129" t="s">
        <v>437</v>
      </c>
      <c r="FK264" s="129" t="s">
        <v>437</v>
      </c>
      <c r="FL264" s="129" t="s">
        <v>437</v>
      </c>
      <c r="FM264" s="129" t="s">
        <v>437</v>
      </c>
      <c r="FN264" s="151">
        <v>3.8391000000000002</v>
      </c>
      <c r="FO264" s="151">
        <v>0.31937099999999941</v>
      </c>
      <c r="FP264" s="151">
        <v>0.30405400000000027</v>
      </c>
      <c r="FQ264" s="178" t="s">
        <v>419</v>
      </c>
      <c r="FR264" s="129" t="s">
        <v>439</v>
      </c>
      <c r="FS264" s="129">
        <v>2015</v>
      </c>
      <c r="FT264" s="129" t="s">
        <v>440</v>
      </c>
    </row>
    <row r="265" spans="1:176" s="129" customFormat="1" ht="17">
      <c r="A265" s="123" t="s">
        <v>152</v>
      </c>
      <c r="B265" s="166" t="s">
        <v>183</v>
      </c>
      <c r="C265" s="166">
        <v>2018</v>
      </c>
      <c r="D265" s="166" t="s">
        <v>184</v>
      </c>
      <c r="E265" s="151">
        <f t="shared" si="25"/>
        <v>2978.0664059999999</v>
      </c>
      <c r="F265" s="191" t="s">
        <v>160</v>
      </c>
      <c r="G265" s="191" t="s">
        <v>160</v>
      </c>
      <c r="H265" s="151">
        <v>300.67240000000004</v>
      </c>
      <c r="I265" s="151">
        <v>39.963599999999985</v>
      </c>
      <c r="J265" s="151">
        <v>35.421900000000051</v>
      </c>
      <c r="K265" s="129" t="s">
        <v>457</v>
      </c>
      <c r="L265" s="131" t="s">
        <v>185</v>
      </c>
      <c r="M265" s="132" t="s">
        <v>186</v>
      </c>
      <c r="N265" s="129" t="s">
        <v>184</v>
      </c>
      <c r="O265" s="129" t="s">
        <v>420</v>
      </c>
      <c r="P265" s="129" t="s">
        <v>156</v>
      </c>
      <c r="Q265" s="178">
        <v>11</v>
      </c>
      <c r="R265" s="178">
        <v>2</v>
      </c>
      <c r="S265" s="178">
        <v>139</v>
      </c>
      <c r="T265" s="178">
        <v>140</v>
      </c>
      <c r="U265" s="178" t="s">
        <v>160</v>
      </c>
      <c r="V265" s="178" t="s">
        <v>160</v>
      </c>
      <c r="W265" s="178" t="s">
        <v>160</v>
      </c>
      <c r="X265" s="129" t="s">
        <v>157</v>
      </c>
      <c r="Y265" s="136">
        <v>12.75</v>
      </c>
      <c r="Z265" s="136">
        <v>-78.73</v>
      </c>
      <c r="AA265" s="136">
        <v>12.75</v>
      </c>
      <c r="AB265" s="136">
        <v>-78.73</v>
      </c>
      <c r="AC265" s="136">
        <v>-2828</v>
      </c>
      <c r="AD265" s="136">
        <v>-2828</v>
      </c>
      <c r="AE265" s="129" t="s">
        <v>160</v>
      </c>
      <c r="AF265" s="129" t="s">
        <v>160</v>
      </c>
      <c r="AG265" s="141">
        <v>2978.0664059999999</v>
      </c>
      <c r="AH265" s="138" t="s">
        <v>159</v>
      </c>
      <c r="AI265" s="129" t="s">
        <v>160</v>
      </c>
      <c r="AJ265" s="129" t="s">
        <v>160</v>
      </c>
      <c r="AK265" s="178" t="s">
        <v>160</v>
      </c>
      <c r="AL265" s="178" t="s">
        <v>441</v>
      </c>
      <c r="AM265" s="178" t="s">
        <v>160</v>
      </c>
      <c r="AN265" s="129" t="s">
        <v>160</v>
      </c>
      <c r="AO265" s="129" t="s">
        <v>160</v>
      </c>
      <c r="AP265" s="129" t="s">
        <v>160</v>
      </c>
      <c r="AQ265" s="129" t="s">
        <v>160</v>
      </c>
      <c r="AR265" s="129" t="s">
        <v>160</v>
      </c>
      <c r="AS265" s="129" t="s">
        <v>160</v>
      </c>
      <c r="AT265" s="129" t="s">
        <v>160</v>
      </c>
      <c r="AU265" s="213" t="s">
        <v>442</v>
      </c>
      <c r="AV265" s="129" t="s">
        <v>161</v>
      </c>
      <c r="AW265" s="189" t="s">
        <v>443</v>
      </c>
      <c r="AX265" s="205" t="s">
        <v>444</v>
      </c>
      <c r="AY265" s="205" t="s">
        <v>353</v>
      </c>
      <c r="AZ265" s="205" t="s">
        <v>325</v>
      </c>
      <c r="BA265" s="214" t="s">
        <v>162</v>
      </c>
      <c r="BB265" s="129" t="s">
        <v>445</v>
      </c>
      <c r="BC265" s="129" t="s">
        <v>445</v>
      </c>
      <c r="BD265" s="129" t="s">
        <v>445</v>
      </c>
      <c r="BE265" s="141">
        <v>20.02403</v>
      </c>
      <c r="BF265" s="129" t="s">
        <v>446</v>
      </c>
      <c r="BG265" s="141">
        <v>8.8352811000000003E-2</v>
      </c>
      <c r="BH265" s="129">
        <v>0.6</v>
      </c>
      <c r="BI265" s="129" t="s">
        <v>427</v>
      </c>
      <c r="BJ265" s="138">
        <v>0.08</v>
      </c>
      <c r="BK265" s="129">
        <v>8.8699999999999992</v>
      </c>
      <c r="BL265" s="129" t="s">
        <v>163</v>
      </c>
      <c r="BM265" s="129">
        <v>1.52</v>
      </c>
      <c r="BN265" s="129" t="s">
        <v>428</v>
      </c>
      <c r="BO265" s="129" t="s">
        <v>448</v>
      </c>
      <c r="BP265" s="141">
        <f t="shared" si="26"/>
        <v>18.590050000000002</v>
      </c>
      <c r="BQ265" s="129" t="s">
        <v>202</v>
      </c>
      <c r="BR265" s="217"/>
      <c r="BS265" s="129" t="s">
        <v>160</v>
      </c>
      <c r="BT265" s="129" t="s">
        <v>160</v>
      </c>
      <c r="BU265" s="129">
        <v>10</v>
      </c>
      <c r="BV265" s="129" t="s">
        <v>159</v>
      </c>
      <c r="BW265" s="129">
        <v>10</v>
      </c>
      <c r="BX265" s="141">
        <v>24.705388181935703</v>
      </c>
      <c r="BY265" s="129" t="s">
        <v>159</v>
      </c>
      <c r="BZ265" s="129">
        <v>1</v>
      </c>
      <c r="CA265" s="129">
        <v>1</v>
      </c>
      <c r="CB265" s="141">
        <v>3.3979922890765417</v>
      </c>
      <c r="CC265" s="141">
        <v>3.3979922890765417</v>
      </c>
      <c r="CD265" s="129" t="s">
        <v>449</v>
      </c>
      <c r="CE265" s="151">
        <f t="shared" si="27"/>
        <v>9.1745791805066632E-2</v>
      </c>
      <c r="CF265" s="151">
        <f t="shared" si="28"/>
        <v>9.1745791805066632E-2</v>
      </c>
      <c r="CG265" s="145" t="s">
        <v>203</v>
      </c>
      <c r="CH265" s="129" t="s">
        <v>204</v>
      </c>
      <c r="CI265" s="129" t="s">
        <v>205</v>
      </c>
      <c r="CJ265" s="129" t="s">
        <v>206</v>
      </c>
      <c r="CK265" s="129" t="s">
        <v>158</v>
      </c>
      <c r="CL265" s="129" t="s">
        <v>158</v>
      </c>
      <c r="CM265" s="129" t="s">
        <v>158</v>
      </c>
      <c r="CN265" s="129" t="s">
        <v>160</v>
      </c>
      <c r="CO265" s="129" t="s">
        <v>160</v>
      </c>
      <c r="CP265" s="129" t="s">
        <v>160</v>
      </c>
      <c r="CQ265" s="129" t="s">
        <v>160</v>
      </c>
      <c r="CR265" s="129" t="s">
        <v>160</v>
      </c>
      <c r="CS265" s="129" t="s">
        <v>160</v>
      </c>
      <c r="CT265" s="129" t="s">
        <v>160</v>
      </c>
      <c r="CU265" s="215">
        <v>35</v>
      </c>
      <c r="CV265" s="129" t="s">
        <v>393</v>
      </c>
      <c r="CW265" s="146">
        <v>1</v>
      </c>
      <c r="CX265" s="129" t="s">
        <v>207</v>
      </c>
      <c r="CY265" s="129">
        <v>1.06E-2</v>
      </c>
      <c r="CZ265" s="129" t="s">
        <v>159</v>
      </c>
      <c r="DA265" s="146">
        <v>0</v>
      </c>
      <c r="DB265" s="129" t="s">
        <v>208</v>
      </c>
      <c r="DC265" s="129">
        <v>5.5100000000000003E-2</v>
      </c>
      <c r="DD265" s="129" t="s">
        <v>159</v>
      </c>
      <c r="DE265" s="146">
        <v>0</v>
      </c>
      <c r="DF265" s="129" t="s">
        <v>208</v>
      </c>
      <c r="DG265" s="178" t="s">
        <v>160</v>
      </c>
      <c r="DH265" s="178" t="s">
        <v>160</v>
      </c>
      <c r="DI265" s="178" t="s">
        <v>160</v>
      </c>
      <c r="DJ265" s="178" t="s">
        <v>160</v>
      </c>
      <c r="DK265" s="145">
        <v>432.56244218316402</v>
      </c>
      <c r="DL265" s="129" t="s">
        <v>433</v>
      </c>
      <c r="DM265" s="145" t="s">
        <v>160</v>
      </c>
      <c r="DN265" s="129" t="s">
        <v>434</v>
      </c>
      <c r="DO265" s="129">
        <v>39.708240000000004</v>
      </c>
      <c r="DP265" s="129" t="s">
        <v>160</v>
      </c>
      <c r="DQ265" s="129">
        <v>0.35441999999999751</v>
      </c>
      <c r="DR265" s="129" t="s">
        <v>450</v>
      </c>
      <c r="DS265" s="129" t="s">
        <v>212</v>
      </c>
      <c r="DT265" s="129" t="s">
        <v>213</v>
      </c>
      <c r="DU265" s="129">
        <v>1.0271999999999999</v>
      </c>
      <c r="DV265" s="129" t="s">
        <v>393</v>
      </c>
      <c r="DW265" s="129">
        <v>5.9999999999999995E-4</v>
      </c>
      <c r="DX265" s="129" t="s">
        <v>436</v>
      </c>
      <c r="DY265" s="129" t="s">
        <v>160</v>
      </c>
      <c r="DZ265" s="129" t="s">
        <v>160</v>
      </c>
      <c r="EA265" s="129" t="s">
        <v>216</v>
      </c>
      <c r="EB265" s="129" t="s">
        <v>212</v>
      </c>
      <c r="EC265" s="129" t="s">
        <v>212</v>
      </c>
      <c r="ED265" s="129" t="s">
        <v>212</v>
      </c>
      <c r="EE265" s="129" t="s">
        <v>217</v>
      </c>
      <c r="EF265" s="147" t="s">
        <v>213</v>
      </c>
      <c r="EG265" s="148" t="s">
        <v>213</v>
      </c>
      <c r="EH265" s="129" t="s">
        <v>218</v>
      </c>
      <c r="EI265" s="129" t="s">
        <v>417</v>
      </c>
      <c r="EJ265" s="129" t="s">
        <v>160</v>
      </c>
      <c r="EK265" s="129">
        <v>1939.7550000000001</v>
      </c>
      <c r="EL265" s="129" t="s">
        <v>163</v>
      </c>
      <c r="EM265" s="129">
        <v>50.822999999999752</v>
      </c>
      <c r="EN265" s="129">
        <v>50.279000000000082</v>
      </c>
      <c r="EO265" s="129" t="s">
        <v>160</v>
      </c>
      <c r="EP265" s="129" t="s">
        <v>160</v>
      </c>
      <c r="EQ265" s="129" t="s">
        <v>160</v>
      </c>
      <c r="ER265" s="129" t="s">
        <v>160</v>
      </c>
      <c r="ES265" s="141">
        <v>8.0950830000000007</v>
      </c>
      <c r="ET265" s="142" t="s">
        <v>165</v>
      </c>
      <c r="EU265" s="141">
        <v>4.2090999999999212E-2</v>
      </c>
      <c r="EV265" s="141">
        <v>4.4150000000000134E-2</v>
      </c>
      <c r="EW265" s="142" t="s">
        <v>160</v>
      </c>
      <c r="EX265" s="129" t="s">
        <v>160</v>
      </c>
      <c r="EY265" s="129" t="s">
        <v>160</v>
      </c>
      <c r="EZ265" s="141">
        <v>300.67240000000004</v>
      </c>
      <c r="FA265" s="141">
        <v>39.963599999999985</v>
      </c>
      <c r="FB265" s="141">
        <v>35.421900000000051</v>
      </c>
      <c r="FC265" s="129" t="s">
        <v>220</v>
      </c>
      <c r="FD265" s="129" t="s">
        <v>221</v>
      </c>
      <c r="FE265" s="129">
        <v>2211.1740000000004</v>
      </c>
      <c r="FF265" s="129">
        <v>64.910999999999603</v>
      </c>
      <c r="FG265" s="129">
        <v>63.384000000000469</v>
      </c>
      <c r="FH265" s="129" t="s">
        <v>437</v>
      </c>
      <c r="FI265" s="129" t="s">
        <v>437</v>
      </c>
      <c r="FJ265" s="129" t="s">
        <v>437</v>
      </c>
      <c r="FK265" s="129" t="s">
        <v>437</v>
      </c>
      <c r="FL265" s="129" t="s">
        <v>437</v>
      </c>
      <c r="FM265" s="129" t="s">
        <v>437</v>
      </c>
      <c r="FN265" s="151">
        <v>3.7823899999999999</v>
      </c>
      <c r="FO265" s="151">
        <v>0.30938500000000024</v>
      </c>
      <c r="FP265" s="151">
        <v>0.29518099999999992</v>
      </c>
      <c r="FQ265" s="178" t="s">
        <v>419</v>
      </c>
      <c r="FR265" s="129" t="s">
        <v>439</v>
      </c>
      <c r="FS265" s="129">
        <v>2015</v>
      </c>
      <c r="FT265" s="129" t="s">
        <v>440</v>
      </c>
    </row>
    <row r="266" spans="1:176" s="129" customFormat="1" ht="17">
      <c r="A266" s="123" t="s">
        <v>152</v>
      </c>
      <c r="B266" s="166" t="s">
        <v>183</v>
      </c>
      <c r="C266" s="166">
        <v>2018</v>
      </c>
      <c r="D266" s="166" t="s">
        <v>184</v>
      </c>
      <c r="E266" s="151">
        <f t="shared" si="25"/>
        <v>3002.813721</v>
      </c>
      <c r="F266" s="191" t="s">
        <v>160</v>
      </c>
      <c r="G266" s="191" t="s">
        <v>160</v>
      </c>
      <c r="H266" s="151">
        <v>333.66880000000003</v>
      </c>
      <c r="I266" s="151">
        <v>46.929100000000005</v>
      </c>
      <c r="J266" s="151">
        <v>40.845800000000054</v>
      </c>
      <c r="K266" s="129" t="s">
        <v>457</v>
      </c>
      <c r="L266" s="131" t="s">
        <v>185</v>
      </c>
      <c r="M266" s="132" t="s">
        <v>186</v>
      </c>
      <c r="N266" s="129" t="s">
        <v>184</v>
      </c>
      <c r="O266" s="129" t="s">
        <v>420</v>
      </c>
      <c r="P266" s="129" t="s">
        <v>156</v>
      </c>
      <c r="Q266" s="178">
        <v>11</v>
      </c>
      <c r="R266" s="178">
        <v>3</v>
      </c>
      <c r="S266" s="178">
        <v>90</v>
      </c>
      <c r="T266" s="178">
        <v>92</v>
      </c>
      <c r="U266" s="178" t="s">
        <v>160</v>
      </c>
      <c r="V266" s="178" t="s">
        <v>160</v>
      </c>
      <c r="W266" s="178" t="s">
        <v>160</v>
      </c>
      <c r="X266" s="129" t="s">
        <v>157</v>
      </c>
      <c r="Y266" s="136">
        <v>12.75</v>
      </c>
      <c r="Z266" s="136">
        <v>-78.73</v>
      </c>
      <c r="AA266" s="136">
        <v>12.75</v>
      </c>
      <c r="AB266" s="136">
        <v>-78.73</v>
      </c>
      <c r="AC266" s="136">
        <v>-2828</v>
      </c>
      <c r="AD266" s="136">
        <v>-2828</v>
      </c>
      <c r="AE266" s="129" t="s">
        <v>160</v>
      </c>
      <c r="AF266" s="129" t="s">
        <v>160</v>
      </c>
      <c r="AG266" s="141">
        <v>3002.813721</v>
      </c>
      <c r="AH266" s="138" t="s">
        <v>159</v>
      </c>
      <c r="AI266" s="129" t="s">
        <v>160</v>
      </c>
      <c r="AJ266" s="129" t="s">
        <v>160</v>
      </c>
      <c r="AK266" s="178" t="s">
        <v>160</v>
      </c>
      <c r="AL266" s="178" t="s">
        <v>441</v>
      </c>
      <c r="AM266" s="178" t="s">
        <v>160</v>
      </c>
      <c r="AN266" s="129" t="s">
        <v>160</v>
      </c>
      <c r="AO266" s="129" t="s">
        <v>160</v>
      </c>
      <c r="AP266" s="129" t="s">
        <v>160</v>
      </c>
      <c r="AQ266" s="129" t="s">
        <v>160</v>
      </c>
      <c r="AR266" s="129" t="s">
        <v>160</v>
      </c>
      <c r="AS266" s="129" t="s">
        <v>160</v>
      </c>
      <c r="AT266" s="129" t="s">
        <v>160</v>
      </c>
      <c r="AU266" s="213" t="s">
        <v>442</v>
      </c>
      <c r="AV266" s="129" t="s">
        <v>161</v>
      </c>
      <c r="AW266" s="189" t="s">
        <v>443</v>
      </c>
      <c r="AX266" s="189" t="s">
        <v>444</v>
      </c>
      <c r="AY266" s="205" t="s">
        <v>353</v>
      </c>
      <c r="AZ266" s="205" t="s">
        <v>325</v>
      </c>
      <c r="BA266" s="129" t="s">
        <v>162</v>
      </c>
      <c r="BB266" s="129" t="s">
        <v>445</v>
      </c>
      <c r="BC266" s="129" t="s">
        <v>445</v>
      </c>
      <c r="BD266" s="129" t="s">
        <v>445</v>
      </c>
      <c r="BE266" s="141">
        <v>19.742699999999999</v>
      </c>
      <c r="BF266" s="129" t="s">
        <v>446</v>
      </c>
      <c r="BG266" s="141">
        <v>0.10188934500000001</v>
      </c>
      <c r="BH266" s="129">
        <v>0.6</v>
      </c>
      <c r="BI266" s="129" t="s">
        <v>427</v>
      </c>
      <c r="BJ266" s="138">
        <v>0.08</v>
      </c>
      <c r="BK266" s="129">
        <v>8.8699999999999992</v>
      </c>
      <c r="BL266" s="129" t="s">
        <v>163</v>
      </c>
      <c r="BM266" s="129">
        <v>1.52</v>
      </c>
      <c r="BN266" s="129" t="s">
        <v>428</v>
      </c>
      <c r="BO266" s="129" t="s">
        <v>448</v>
      </c>
      <c r="BP266" s="141">
        <f t="shared" si="26"/>
        <v>18.121166666666667</v>
      </c>
      <c r="BQ266" s="129" t="s">
        <v>202</v>
      </c>
      <c r="BR266" s="217"/>
      <c r="BS266" s="129" t="s">
        <v>160</v>
      </c>
      <c r="BT266" s="129" t="s">
        <v>160</v>
      </c>
      <c r="BU266" s="129">
        <v>10</v>
      </c>
      <c r="BV266" s="129" t="s">
        <v>159</v>
      </c>
      <c r="BW266" s="129">
        <v>10</v>
      </c>
      <c r="BX266" s="141">
        <v>24.30036609889806</v>
      </c>
      <c r="BY266" s="129" t="s">
        <v>159</v>
      </c>
      <c r="BZ266" s="129">
        <v>1</v>
      </c>
      <c r="CA266" s="129">
        <v>1</v>
      </c>
      <c r="CB266" s="141">
        <v>3.2754998282475962</v>
      </c>
      <c r="CC266" s="141">
        <v>3.2754998282475962</v>
      </c>
      <c r="CD266" s="129" t="s">
        <v>449</v>
      </c>
      <c r="CE266" s="151">
        <f t="shared" si="27"/>
        <v>8.8438495362685096E-2</v>
      </c>
      <c r="CF266" s="151">
        <f t="shared" si="28"/>
        <v>8.8438495362685096E-2</v>
      </c>
      <c r="CG266" s="145" t="s">
        <v>203</v>
      </c>
      <c r="CH266" s="129" t="s">
        <v>204</v>
      </c>
      <c r="CI266" s="129" t="s">
        <v>205</v>
      </c>
      <c r="CJ266" s="129" t="s">
        <v>206</v>
      </c>
      <c r="CK266" s="129" t="s">
        <v>158</v>
      </c>
      <c r="CL266" s="129" t="s">
        <v>158</v>
      </c>
      <c r="CM266" s="129" t="s">
        <v>158</v>
      </c>
      <c r="CN266" s="129" t="s">
        <v>160</v>
      </c>
      <c r="CO266" s="129" t="s">
        <v>160</v>
      </c>
      <c r="CP266" s="129" t="s">
        <v>160</v>
      </c>
      <c r="CQ266" s="129" t="s">
        <v>160</v>
      </c>
      <c r="CR266" s="129" t="s">
        <v>160</v>
      </c>
      <c r="CS266" s="129" t="s">
        <v>160</v>
      </c>
      <c r="CT266" s="129" t="s">
        <v>160</v>
      </c>
      <c r="CU266" s="215">
        <v>35</v>
      </c>
      <c r="CV266" s="129" t="s">
        <v>393</v>
      </c>
      <c r="CW266" s="146">
        <v>1</v>
      </c>
      <c r="CX266" s="129" t="s">
        <v>207</v>
      </c>
      <c r="CY266" s="129">
        <v>1.06E-2</v>
      </c>
      <c r="CZ266" s="129" t="s">
        <v>159</v>
      </c>
      <c r="DA266" s="146">
        <v>0</v>
      </c>
      <c r="DB266" s="129" t="s">
        <v>208</v>
      </c>
      <c r="DC266" s="129">
        <v>5.5100000000000003E-2</v>
      </c>
      <c r="DD266" s="129" t="s">
        <v>159</v>
      </c>
      <c r="DE266" s="146">
        <v>0</v>
      </c>
      <c r="DF266" s="129" t="s">
        <v>208</v>
      </c>
      <c r="DG266" s="178" t="s">
        <v>160</v>
      </c>
      <c r="DH266" s="178" t="s">
        <v>160</v>
      </c>
      <c r="DI266" s="178" t="s">
        <v>160</v>
      </c>
      <c r="DJ266" s="178" t="s">
        <v>160</v>
      </c>
      <c r="DK266" s="145">
        <v>432.56244218316402</v>
      </c>
      <c r="DL266" s="129" t="s">
        <v>433</v>
      </c>
      <c r="DM266" s="145" t="s">
        <v>160</v>
      </c>
      <c r="DN266" s="129" t="s">
        <v>434</v>
      </c>
      <c r="DO266" s="129">
        <v>39.710909999999998</v>
      </c>
      <c r="DP266" s="129" t="s">
        <v>160</v>
      </c>
      <c r="DQ266" s="129">
        <v>0.35388000000000375</v>
      </c>
      <c r="DR266" s="129" t="s">
        <v>450</v>
      </c>
      <c r="DS266" s="129" t="s">
        <v>212</v>
      </c>
      <c r="DT266" s="129" t="s">
        <v>213</v>
      </c>
      <c r="DU266" s="129">
        <v>1.0271999999999999</v>
      </c>
      <c r="DV266" s="129" t="s">
        <v>393</v>
      </c>
      <c r="DW266" s="129">
        <v>5.9999999999999995E-4</v>
      </c>
      <c r="DX266" s="129" t="s">
        <v>436</v>
      </c>
      <c r="DY266" s="129" t="s">
        <v>160</v>
      </c>
      <c r="DZ266" s="129" t="s">
        <v>160</v>
      </c>
      <c r="EA266" s="129" t="s">
        <v>216</v>
      </c>
      <c r="EB266" s="129" t="s">
        <v>212</v>
      </c>
      <c r="EC266" s="129" t="s">
        <v>212</v>
      </c>
      <c r="ED266" s="129" t="s">
        <v>212</v>
      </c>
      <c r="EE266" s="129" t="s">
        <v>217</v>
      </c>
      <c r="EF266" s="147" t="s">
        <v>213</v>
      </c>
      <c r="EG266" s="148" t="s">
        <v>213</v>
      </c>
      <c r="EH266" s="129" t="s">
        <v>218</v>
      </c>
      <c r="EI266" s="129" t="s">
        <v>417</v>
      </c>
      <c r="EJ266" s="129" t="s">
        <v>160</v>
      </c>
      <c r="EK266" s="129">
        <v>1939.395</v>
      </c>
      <c r="EL266" s="129" t="s">
        <v>163</v>
      </c>
      <c r="EM266" s="129">
        <v>49.991000000000099</v>
      </c>
      <c r="EN266" s="129">
        <v>49.030999999999942</v>
      </c>
      <c r="EO266" s="129" t="s">
        <v>160</v>
      </c>
      <c r="EP266" s="129" t="s">
        <v>160</v>
      </c>
      <c r="EQ266" s="129" t="s">
        <v>160</v>
      </c>
      <c r="ER266" s="129" t="s">
        <v>160</v>
      </c>
      <c r="ES266" s="141">
        <v>8.0570419999999991</v>
      </c>
      <c r="ET266" s="142" t="s">
        <v>165</v>
      </c>
      <c r="EU266" s="141">
        <v>4.5354000000001449E-2</v>
      </c>
      <c r="EV266" s="141">
        <v>4.6772999999999954E-2</v>
      </c>
      <c r="EW266" s="142" t="s">
        <v>160</v>
      </c>
      <c r="EX266" s="129" t="s">
        <v>160</v>
      </c>
      <c r="EY266" s="129" t="s">
        <v>160</v>
      </c>
      <c r="EZ266" s="141">
        <v>333.66880000000003</v>
      </c>
      <c r="FA266" s="141">
        <v>46.929100000000005</v>
      </c>
      <c r="FB266" s="141">
        <v>40.845800000000054</v>
      </c>
      <c r="FC266" s="129" t="s">
        <v>220</v>
      </c>
      <c r="FD266" s="129" t="s">
        <v>221</v>
      </c>
      <c r="FE266" s="129">
        <v>2183.116</v>
      </c>
      <c r="FF266" s="129">
        <v>63.523000000000138</v>
      </c>
      <c r="FG266" s="129">
        <v>65.288000000000011</v>
      </c>
      <c r="FH266" s="129" t="s">
        <v>437</v>
      </c>
      <c r="FI266" s="129" t="s">
        <v>437</v>
      </c>
      <c r="FJ266" s="129" t="s">
        <v>437</v>
      </c>
      <c r="FK266" s="129" t="s">
        <v>437</v>
      </c>
      <c r="FL266" s="129" t="s">
        <v>437</v>
      </c>
      <c r="FM266" s="129" t="s">
        <v>437</v>
      </c>
      <c r="FN266" s="151">
        <v>3.4470049999999999</v>
      </c>
      <c r="FO266" s="151">
        <v>0.30663100000000032</v>
      </c>
      <c r="FP266" s="151">
        <v>0.29368099999999986</v>
      </c>
      <c r="FQ266" s="178" t="s">
        <v>419</v>
      </c>
      <c r="FR266" s="129" t="s">
        <v>439</v>
      </c>
      <c r="FS266" s="129">
        <v>2015</v>
      </c>
      <c r="FT266" s="129" t="s">
        <v>440</v>
      </c>
    </row>
    <row r="267" spans="1:176" s="129" customFormat="1" ht="17">
      <c r="A267" s="123" t="s">
        <v>152</v>
      </c>
      <c r="B267" s="166" t="s">
        <v>183</v>
      </c>
      <c r="C267" s="166">
        <v>2018</v>
      </c>
      <c r="D267" s="166" t="s">
        <v>184</v>
      </c>
      <c r="E267" s="151">
        <f t="shared" si="25"/>
        <v>3010.9960940000001</v>
      </c>
      <c r="F267" s="191" t="s">
        <v>160</v>
      </c>
      <c r="G267" s="191" t="s">
        <v>160</v>
      </c>
      <c r="H267" s="151">
        <v>322.28319999999997</v>
      </c>
      <c r="I267" s="151">
        <v>45.199500000000057</v>
      </c>
      <c r="J267" s="151">
        <v>38.71369999999996</v>
      </c>
      <c r="K267" s="129" t="s">
        <v>457</v>
      </c>
      <c r="L267" s="131" t="s">
        <v>185</v>
      </c>
      <c r="M267" s="132" t="s">
        <v>186</v>
      </c>
      <c r="N267" s="129" t="s">
        <v>184</v>
      </c>
      <c r="O267" s="129" t="s">
        <v>420</v>
      </c>
      <c r="P267" s="129" t="s">
        <v>156</v>
      </c>
      <c r="Q267" s="219">
        <v>11</v>
      </c>
      <c r="R267" s="219">
        <v>3</v>
      </c>
      <c r="S267" s="219">
        <v>123</v>
      </c>
      <c r="T267" s="219">
        <v>125</v>
      </c>
      <c r="U267" s="178" t="s">
        <v>160</v>
      </c>
      <c r="V267" s="178" t="s">
        <v>160</v>
      </c>
      <c r="W267" s="178" t="s">
        <v>160</v>
      </c>
      <c r="X267" s="129" t="s">
        <v>157</v>
      </c>
      <c r="Y267" s="136">
        <v>12.75</v>
      </c>
      <c r="Z267" s="136">
        <v>-78.73</v>
      </c>
      <c r="AA267" s="136">
        <v>12.75</v>
      </c>
      <c r="AB267" s="136">
        <v>-78.73</v>
      </c>
      <c r="AC267" s="136">
        <v>-2828</v>
      </c>
      <c r="AD267" s="136">
        <v>-2828</v>
      </c>
      <c r="AE267" s="129" t="s">
        <v>160</v>
      </c>
      <c r="AF267" s="129" t="s">
        <v>160</v>
      </c>
      <c r="AG267" s="141">
        <v>3010.9960940000001</v>
      </c>
      <c r="AH267" s="138" t="s">
        <v>159</v>
      </c>
      <c r="AI267" s="129" t="s">
        <v>160</v>
      </c>
      <c r="AJ267" s="129" t="s">
        <v>160</v>
      </c>
      <c r="AK267" s="178" t="s">
        <v>160</v>
      </c>
      <c r="AL267" s="178" t="s">
        <v>441</v>
      </c>
      <c r="AM267" s="178" t="s">
        <v>160</v>
      </c>
      <c r="AN267" s="129" t="s">
        <v>160</v>
      </c>
      <c r="AO267" s="129" t="s">
        <v>160</v>
      </c>
      <c r="AP267" s="129" t="s">
        <v>160</v>
      </c>
      <c r="AQ267" s="129" t="s">
        <v>160</v>
      </c>
      <c r="AR267" s="129" t="s">
        <v>160</v>
      </c>
      <c r="AS267" s="129" t="s">
        <v>160</v>
      </c>
      <c r="AT267" s="129" t="s">
        <v>160</v>
      </c>
      <c r="AU267" s="213" t="s">
        <v>442</v>
      </c>
      <c r="AV267" s="129" t="s">
        <v>161</v>
      </c>
      <c r="AW267" s="189" t="s">
        <v>443</v>
      </c>
      <c r="AX267" s="205" t="s">
        <v>444</v>
      </c>
      <c r="AY267" s="205" t="s">
        <v>353</v>
      </c>
      <c r="AZ267" s="205" t="s">
        <v>325</v>
      </c>
      <c r="BA267" s="214" t="s">
        <v>162</v>
      </c>
      <c r="BB267" s="129" t="s">
        <v>445</v>
      </c>
      <c r="BC267" s="129" t="s">
        <v>445</v>
      </c>
      <c r="BD267" s="129" t="s">
        <v>445</v>
      </c>
      <c r="BE267" s="141">
        <v>19.7928</v>
      </c>
      <c r="BF267" s="129" t="s">
        <v>446</v>
      </c>
      <c r="BG267" s="141">
        <v>0.10640801499999999</v>
      </c>
      <c r="BH267" s="129">
        <v>0.6</v>
      </c>
      <c r="BI267" s="129" t="s">
        <v>427</v>
      </c>
      <c r="BJ267" s="138">
        <v>0.08</v>
      </c>
      <c r="BK267" s="129">
        <v>8.8699999999999992</v>
      </c>
      <c r="BL267" s="129" t="s">
        <v>163</v>
      </c>
      <c r="BM267" s="129">
        <v>1.52</v>
      </c>
      <c r="BN267" s="129" t="s">
        <v>428</v>
      </c>
      <c r="BO267" s="129" t="s">
        <v>448</v>
      </c>
      <c r="BP267" s="141">
        <f t="shared" si="26"/>
        <v>18.204666666666668</v>
      </c>
      <c r="BQ267" s="129" t="s">
        <v>202</v>
      </c>
      <c r="BR267" s="217"/>
      <c r="BS267" s="129" t="s">
        <v>160</v>
      </c>
      <c r="BT267" s="129" t="s">
        <v>160</v>
      </c>
      <c r="BU267" s="129">
        <v>10</v>
      </c>
      <c r="BV267" s="129" t="s">
        <v>159</v>
      </c>
      <c r="BW267" s="129">
        <v>10</v>
      </c>
      <c r="BX267" s="141">
        <v>23.973080127995974</v>
      </c>
      <c r="BY267" s="129" t="s">
        <v>159</v>
      </c>
      <c r="BZ267" s="129">
        <v>1</v>
      </c>
      <c r="CA267" s="129">
        <v>1</v>
      </c>
      <c r="CB267" s="141">
        <v>3.1801489139419252</v>
      </c>
      <c r="CC267" s="141">
        <v>3.1801489139419252</v>
      </c>
      <c r="CD267" s="129" t="s">
        <v>449</v>
      </c>
      <c r="CE267" s="151">
        <f t="shared" si="27"/>
        <v>8.5864020676431979E-2</v>
      </c>
      <c r="CF267" s="151">
        <f t="shared" si="28"/>
        <v>8.5864020676431979E-2</v>
      </c>
      <c r="CG267" s="145" t="s">
        <v>203</v>
      </c>
      <c r="CH267" s="129" t="s">
        <v>204</v>
      </c>
      <c r="CI267" s="129" t="s">
        <v>205</v>
      </c>
      <c r="CJ267" s="129" t="s">
        <v>206</v>
      </c>
      <c r="CK267" s="129" t="s">
        <v>158</v>
      </c>
      <c r="CL267" s="129" t="s">
        <v>158</v>
      </c>
      <c r="CM267" s="129" t="s">
        <v>158</v>
      </c>
      <c r="CN267" s="129" t="s">
        <v>160</v>
      </c>
      <c r="CO267" s="129" t="s">
        <v>160</v>
      </c>
      <c r="CP267" s="129" t="s">
        <v>160</v>
      </c>
      <c r="CQ267" s="129" t="s">
        <v>160</v>
      </c>
      <c r="CR267" s="129" t="s">
        <v>160</v>
      </c>
      <c r="CS267" s="129" t="s">
        <v>160</v>
      </c>
      <c r="CT267" s="129" t="s">
        <v>160</v>
      </c>
      <c r="CU267" s="215">
        <v>35</v>
      </c>
      <c r="CV267" s="129" t="s">
        <v>393</v>
      </c>
      <c r="CW267" s="146">
        <v>1</v>
      </c>
      <c r="CX267" s="129" t="s">
        <v>207</v>
      </c>
      <c r="CY267" s="129">
        <v>1.06E-2</v>
      </c>
      <c r="CZ267" s="129" t="s">
        <v>159</v>
      </c>
      <c r="DA267" s="146">
        <v>0</v>
      </c>
      <c r="DB267" s="129" t="s">
        <v>208</v>
      </c>
      <c r="DC267" s="129">
        <v>5.5100000000000003E-2</v>
      </c>
      <c r="DD267" s="129" t="s">
        <v>159</v>
      </c>
      <c r="DE267" s="146">
        <v>0</v>
      </c>
      <c r="DF267" s="129" t="s">
        <v>208</v>
      </c>
      <c r="DG267" s="178" t="s">
        <v>160</v>
      </c>
      <c r="DH267" s="178" t="s">
        <v>160</v>
      </c>
      <c r="DI267" s="178" t="s">
        <v>160</v>
      </c>
      <c r="DJ267" s="178" t="s">
        <v>160</v>
      </c>
      <c r="DK267" s="145">
        <v>432.56244218316402</v>
      </c>
      <c r="DL267" s="129" t="s">
        <v>433</v>
      </c>
      <c r="DM267" s="145" t="s">
        <v>160</v>
      </c>
      <c r="DN267" s="129" t="s">
        <v>434</v>
      </c>
      <c r="DO267" s="129">
        <v>39.703159999999997</v>
      </c>
      <c r="DP267" s="129" t="s">
        <v>160</v>
      </c>
      <c r="DQ267" s="129">
        <v>0.36307000000000045</v>
      </c>
      <c r="DR267" s="129" t="s">
        <v>450</v>
      </c>
      <c r="DS267" s="129" t="s">
        <v>212</v>
      </c>
      <c r="DT267" s="129" t="s">
        <v>213</v>
      </c>
      <c r="DU267" s="129">
        <v>1.0271999999999999</v>
      </c>
      <c r="DV267" s="129" t="s">
        <v>393</v>
      </c>
      <c r="DW267" s="129">
        <v>5.9999999999999995E-4</v>
      </c>
      <c r="DX267" s="129" t="s">
        <v>436</v>
      </c>
      <c r="DY267" s="129" t="s">
        <v>160</v>
      </c>
      <c r="DZ267" s="129" t="s">
        <v>160</v>
      </c>
      <c r="EA267" s="129" t="s">
        <v>216</v>
      </c>
      <c r="EB267" s="129" t="s">
        <v>212</v>
      </c>
      <c r="EC267" s="129" t="s">
        <v>212</v>
      </c>
      <c r="ED267" s="129" t="s">
        <v>212</v>
      </c>
      <c r="EE267" s="129" t="s">
        <v>217</v>
      </c>
      <c r="EF267" s="147" t="s">
        <v>213</v>
      </c>
      <c r="EG267" s="148" t="s">
        <v>213</v>
      </c>
      <c r="EH267" s="129" t="s">
        <v>218</v>
      </c>
      <c r="EI267" s="129" t="s">
        <v>417</v>
      </c>
      <c r="EJ267" s="129" t="s">
        <v>160</v>
      </c>
      <c r="EK267" s="129">
        <v>1938.8400000000001</v>
      </c>
      <c r="EL267" s="129" t="s">
        <v>163</v>
      </c>
      <c r="EM267" s="129">
        <v>50.681000000000118</v>
      </c>
      <c r="EN267" s="129">
        <v>49.028000000000006</v>
      </c>
      <c r="EO267" s="129" t="s">
        <v>160</v>
      </c>
      <c r="EP267" s="129" t="s">
        <v>160</v>
      </c>
      <c r="EQ267" s="129" t="s">
        <v>160</v>
      </c>
      <c r="ER267" s="129" t="s">
        <v>160</v>
      </c>
      <c r="ES267" s="141">
        <v>8.0694850000000002</v>
      </c>
      <c r="ET267" s="142" t="s">
        <v>165</v>
      </c>
      <c r="EU267" s="141">
        <v>4.4245999999999341E-2</v>
      </c>
      <c r="EV267" s="141">
        <v>4.6800000000001063E-2</v>
      </c>
      <c r="EW267" s="142" t="s">
        <v>160</v>
      </c>
      <c r="EX267" s="129" t="s">
        <v>160</v>
      </c>
      <c r="EY267" s="129" t="s">
        <v>160</v>
      </c>
      <c r="EZ267" s="141">
        <v>322.28319999999997</v>
      </c>
      <c r="FA267" s="141">
        <v>45.199500000000057</v>
      </c>
      <c r="FB267" s="141">
        <v>38.71369999999996</v>
      </c>
      <c r="FC267" s="129" t="s">
        <v>220</v>
      </c>
      <c r="FD267" s="129" t="s">
        <v>221</v>
      </c>
      <c r="FE267" s="129">
        <v>2186.9369999999999</v>
      </c>
      <c r="FF267" s="129">
        <v>65.082000000000335</v>
      </c>
      <c r="FG267" s="129">
        <v>63.432999999999993</v>
      </c>
      <c r="FH267" s="129" t="s">
        <v>437</v>
      </c>
      <c r="FI267" s="129" t="s">
        <v>437</v>
      </c>
      <c r="FJ267" s="129" t="s">
        <v>437</v>
      </c>
      <c r="FK267" s="129" t="s">
        <v>437</v>
      </c>
      <c r="FL267" s="129" t="s">
        <v>437</v>
      </c>
      <c r="FM267" s="129" t="s">
        <v>437</v>
      </c>
      <c r="FN267" s="151">
        <v>3.4917349999999998</v>
      </c>
      <c r="FO267" s="151">
        <v>0.31285500000000033</v>
      </c>
      <c r="FP267" s="151">
        <v>0.29907199999999978</v>
      </c>
      <c r="FQ267" s="178" t="s">
        <v>419</v>
      </c>
      <c r="FR267" s="129" t="s">
        <v>439</v>
      </c>
      <c r="FS267" s="129">
        <v>2015</v>
      </c>
      <c r="FT267" s="129" t="s">
        <v>440</v>
      </c>
    </row>
    <row r="268" spans="1:176" s="129" customFormat="1" ht="17">
      <c r="A268" s="123" t="s">
        <v>152</v>
      </c>
      <c r="B268" s="166" t="s">
        <v>183</v>
      </c>
      <c r="C268" s="166">
        <v>2018</v>
      </c>
      <c r="D268" s="166" t="s">
        <v>184</v>
      </c>
      <c r="E268" s="151">
        <f t="shared" si="25"/>
        <v>3027.5815429999998</v>
      </c>
      <c r="F268" s="191" t="s">
        <v>160</v>
      </c>
      <c r="G268" s="191" t="s">
        <v>160</v>
      </c>
      <c r="H268" s="151">
        <v>342.73820000000001</v>
      </c>
      <c r="I268" s="151">
        <v>46.745200000000011</v>
      </c>
      <c r="J268" s="151">
        <v>41.975700000000018</v>
      </c>
      <c r="K268" s="129" t="s">
        <v>457</v>
      </c>
      <c r="L268" s="131" t="s">
        <v>185</v>
      </c>
      <c r="M268" s="132" t="s">
        <v>186</v>
      </c>
      <c r="N268" s="129" t="s">
        <v>184</v>
      </c>
      <c r="O268" s="129" t="s">
        <v>420</v>
      </c>
      <c r="P268" s="129" t="s">
        <v>156</v>
      </c>
      <c r="Q268" s="178">
        <v>11</v>
      </c>
      <c r="R268" s="178">
        <v>4</v>
      </c>
      <c r="S268" s="178">
        <v>37</v>
      </c>
      <c r="T268" s="178">
        <v>39</v>
      </c>
      <c r="U268" s="178" t="s">
        <v>160</v>
      </c>
      <c r="V268" s="178" t="s">
        <v>160</v>
      </c>
      <c r="W268" s="178" t="s">
        <v>160</v>
      </c>
      <c r="X268" s="129" t="s">
        <v>157</v>
      </c>
      <c r="Y268" s="136">
        <v>12.75</v>
      </c>
      <c r="Z268" s="136">
        <v>-78.73</v>
      </c>
      <c r="AA268" s="136">
        <v>12.75</v>
      </c>
      <c r="AB268" s="136">
        <v>-78.73</v>
      </c>
      <c r="AC268" s="136">
        <v>-2828</v>
      </c>
      <c r="AD268" s="136">
        <v>-2828</v>
      </c>
      <c r="AE268" s="129" t="s">
        <v>160</v>
      </c>
      <c r="AF268" s="129" t="s">
        <v>160</v>
      </c>
      <c r="AG268" s="141">
        <v>3027.5815429999998</v>
      </c>
      <c r="AH268" s="138" t="s">
        <v>159</v>
      </c>
      <c r="AI268" s="129" t="s">
        <v>160</v>
      </c>
      <c r="AJ268" s="129" t="s">
        <v>160</v>
      </c>
      <c r="AK268" s="178" t="s">
        <v>160</v>
      </c>
      <c r="AL268" s="178" t="s">
        <v>441</v>
      </c>
      <c r="AM268" s="178" t="s">
        <v>160</v>
      </c>
      <c r="AN268" s="129" t="s">
        <v>160</v>
      </c>
      <c r="AO268" s="129" t="s">
        <v>160</v>
      </c>
      <c r="AP268" s="129" t="s">
        <v>160</v>
      </c>
      <c r="AQ268" s="129" t="s">
        <v>160</v>
      </c>
      <c r="AR268" s="129" t="s">
        <v>160</v>
      </c>
      <c r="AS268" s="129" t="s">
        <v>160</v>
      </c>
      <c r="AT268" s="129" t="s">
        <v>160</v>
      </c>
      <c r="AU268" s="213" t="s">
        <v>442</v>
      </c>
      <c r="AV268" s="129" t="s">
        <v>161</v>
      </c>
      <c r="AW268" s="189" t="s">
        <v>443</v>
      </c>
      <c r="AX268" s="189" t="s">
        <v>444</v>
      </c>
      <c r="AY268" s="205" t="s">
        <v>353</v>
      </c>
      <c r="AZ268" s="205" t="s">
        <v>325</v>
      </c>
      <c r="BA268" s="129" t="s">
        <v>162</v>
      </c>
      <c r="BB268" s="129" t="s">
        <v>445</v>
      </c>
      <c r="BC268" s="129" t="s">
        <v>445</v>
      </c>
      <c r="BD268" s="129" t="s">
        <v>445</v>
      </c>
      <c r="BE268" s="141">
        <v>19.65352</v>
      </c>
      <c r="BF268" s="129" t="s">
        <v>446</v>
      </c>
      <c r="BG268" s="141">
        <v>9.5820127000000005E-2</v>
      </c>
      <c r="BH268" s="129">
        <v>0.6</v>
      </c>
      <c r="BI268" s="129" t="s">
        <v>427</v>
      </c>
      <c r="BJ268" s="138">
        <v>0.08</v>
      </c>
      <c r="BK268" s="129">
        <v>8.8699999999999992</v>
      </c>
      <c r="BL268" s="129" t="s">
        <v>163</v>
      </c>
      <c r="BM268" s="129">
        <v>1.52</v>
      </c>
      <c r="BN268" s="129" t="s">
        <v>428</v>
      </c>
      <c r="BO268" s="129" t="s">
        <v>448</v>
      </c>
      <c r="BP268" s="141">
        <f t="shared" si="26"/>
        <v>17.972533333333335</v>
      </c>
      <c r="BQ268" s="129" t="s">
        <v>202</v>
      </c>
      <c r="BR268" s="217"/>
      <c r="BS268" s="129" t="s">
        <v>160</v>
      </c>
      <c r="BT268" s="129" t="s">
        <v>160</v>
      </c>
      <c r="BU268" s="129">
        <v>10</v>
      </c>
      <c r="BV268" s="129" t="s">
        <v>159</v>
      </c>
      <c r="BW268" s="129">
        <v>10</v>
      </c>
      <c r="BX268" s="141">
        <v>23.989826357166937</v>
      </c>
      <c r="BY268" s="129" t="s">
        <v>159</v>
      </c>
      <c r="BZ268" s="129">
        <v>1</v>
      </c>
      <c r="CA268" s="129">
        <v>1</v>
      </c>
      <c r="CB268" s="141">
        <v>3.1843857901523953</v>
      </c>
      <c r="CC268" s="141">
        <v>3.1843857901523953</v>
      </c>
      <c r="CD268" s="129" t="s">
        <v>449</v>
      </c>
      <c r="CE268" s="151">
        <f t="shared" si="27"/>
        <v>8.5978416334114668E-2</v>
      </c>
      <c r="CF268" s="151">
        <f t="shared" si="28"/>
        <v>8.5978416334114668E-2</v>
      </c>
      <c r="CG268" s="145" t="s">
        <v>203</v>
      </c>
      <c r="CH268" s="129" t="s">
        <v>204</v>
      </c>
      <c r="CI268" s="129" t="s">
        <v>205</v>
      </c>
      <c r="CJ268" s="129" t="s">
        <v>206</v>
      </c>
      <c r="CK268" s="129" t="s">
        <v>158</v>
      </c>
      <c r="CL268" s="129" t="s">
        <v>158</v>
      </c>
      <c r="CM268" s="129" t="s">
        <v>158</v>
      </c>
      <c r="CN268" s="129" t="s">
        <v>160</v>
      </c>
      <c r="CO268" s="129" t="s">
        <v>160</v>
      </c>
      <c r="CP268" s="129" t="s">
        <v>160</v>
      </c>
      <c r="CQ268" s="129" t="s">
        <v>160</v>
      </c>
      <c r="CR268" s="129" t="s">
        <v>160</v>
      </c>
      <c r="CS268" s="129" t="s">
        <v>160</v>
      </c>
      <c r="CT268" s="129" t="s">
        <v>160</v>
      </c>
      <c r="CU268" s="215">
        <v>35</v>
      </c>
      <c r="CV268" s="129" t="s">
        <v>393</v>
      </c>
      <c r="CW268" s="146">
        <v>1</v>
      </c>
      <c r="CX268" s="129" t="s">
        <v>207</v>
      </c>
      <c r="CY268" s="129">
        <v>1.06E-2</v>
      </c>
      <c r="CZ268" s="129" t="s">
        <v>159</v>
      </c>
      <c r="DA268" s="146">
        <v>0</v>
      </c>
      <c r="DB268" s="129" t="s">
        <v>208</v>
      </c>
      <c r="DC268" s="129">
        <v>5.5100000000000003E-2</v>
      </c>
      <c r="DD268" s="129" t="s">
        <v>159</v>
      </c>
      <c r="DE268" s="146">
        <v>0</v>
      </c>
      <c r="DF268" s="129" t="s">
        <v>208</v>
      </c>
      <c r="DG268" s="178" t="s">
        <v>160</v>
      </c>
      <c r="DH268" s="178" t="s">
        <v>160</v>
      </c>
      <c r="DI268" s="178" t="s">
        <v>160</v>
      </c>
      <c r="DJ268" s="178" t="s">
        <v>160</v>
      </c>
      <c r="DK268" s="145">
        <v>432.56244218316402</v>
      </c>
      <c r="DL268" s="129" t="s">
        <v>433</v>
      </c>
      <c r="DM268" s="145" t="s">
        <v>160</v>
      </c>
      <c r="DN268" s="129" t="s">
        <v>434</v>
      </c>
      <c r="DO268" s="129">
        <v>39.703670000000002</v>
      </c>
      <c r="DP268" s="129" t="s">
        <v>160</v>
      </c>
      <c r="DQ268" s="129">
        <v>0.35759999999999792</v>
      </c>
      <c r="DR268" s="129" t="s">
        <v>450</v>
      </c>
      <c r="DS268" s="129" t="s">
        <v>212</v>
      </c>
      <c r="DT268" s="129" t="s">
        <v>213</v>
      </c>
      <c r="DU268" s="129">
        <v>1.0271999999999999</v>
      </c>
      <c r="DV268" s="129" t="s">
        <v>393</v>
      </c>
      <c r="DW268" s="129">
        <v>5.9999999999999995E-4</v>
      </c>
      <c r="DX268" s="129" t="s">
        <v>436</v>
      </c>
      <c r="DY268" s="129" t="s">
        <v>160</v>
      </c>
      <c r="DZ268" s="129" t="s">
        <v>160</v>
      </c>
      <c r="EA268" s="129" t="s">
        <v>216</v>
      </c>
      <c r="EB268" s="129" t="s">
        <v>212</v>
      </c>
      <c r="EC268" s="129" t="s">
        <v>212</v>
      </c>
      <c r="ED268" s="129" t="s">
        <v>212</v>
      </c>
      <c r="EE268" s="129" t="s">
        <v>217</v>
      </c>
      <c r="EF268" s="147" t="s">
        <v>213</v>
      </c>
      <c r="EG268" s="148" t="s">
        <v>213</v>
      </c>
      <c r="EH268" s="129" t="s">
        <v>218</v>
      </c>
      <c r="EI268" s="129" t="s">
        <v>417</v>
      </c>
      <c r="EJ268" s="129" t="s">
        <v>160</v>
      </c>
      <c r="EK268" s="129">
        <v>1938.7149999999999</v>
      </c>
      <c r="EL268" s="129" t="s">
        <v>163</v>
      </c>
      <c r="EM268" s="129">
        <v>51.635000000000176</v>
      </c>
      <c r="EN268" s="129">
        <v>51.672000000000004</v>
      </c>
      <c r="EO268" s="129" t="s">
        <v>160</v>
      </c>
      <c r="EP268" s="129" t="s">
        <v>160</v>
      </c>
      <c r="EQ268" s="129" t="s">
        <v>160</v>
      </c>
      <c r="ER268" s="129" t="s">
        <v>160</v>
      </c>
      <c r="ES268" s="141">
        <v>8.0471819999999994</v>
      </c>
      <c r="ET268" s="142" t="s">
        <v>165</v>
      </c>
      <c r="EU268" s="141">
        <v>4.578799999999994E-2</v>
      </c>
      <c r="EV268" s="141">
        <v>4.5313000000000159E-2</v>
      </c>
      <c r="EW268" s="142" t="s">
        <v>160</v>
      </c>
      <c r="EX268" s="129" t="s">
        <v>160</v>
      </c>
      <c r="EY268" s="129" t="s">
        <v>160</v>
      </c>
      <c r="EZ268" s="141">
        <v>342.73820000000001</v>
      </c>
      <c r="FA268" s="141">
        <v>46.745200000000011</v>
      </c>
      <c r="FB268" s="141">
        <v>41.975700000000018</v>
      </c>
      <c r="FC268" s="129" t="s">
        <v>220</v>
      </c>
      <c r="FD268" s="129" t="s">
        <v>221</v>
      </c>
      <c r="FE268" s="129">
        <v>2173.6490000000003</v>
      </c>
      <c r="FF268" s="129">
        <v>64.901999999999589</v>
      </c>
      <c r="FG268" s="129">
        <v>65.121000000000095</v>
      </c>
      <c r="FH268" s="129" t="s">
        <v>437</v>
      </c>
      <c r="FI268" s="129" t="s">
        <v>437</v>
      </c>
      <c r="FJ268" s="129" t="s">
        <v>437</v>
      </c>
      <c r="FK268" s="129" t="s">
        <v>437</v>
      </c>
      <c r="FL268" s="129" t="s">
        <v>437</v>
      </c>
      <c r="FM268" s="129" t="s">
        <v>437</v>
      </c>
      <c r="FN268" s="151">
        <v>3.3405809999999998</v>
      </c>
      <c r="FO268" s="151">
        <v>0.2969280000000003</v>
      </c>
      <c r="FP268" s="151">
        <v>0.28858099999999975</v>
      </c>
      <c r="FQ268" s="178" t="s">
        <v>419</v>
      </c>
      <c r="FR268" s="129" t="s">
        <v>439</v>
      </c>
      <c r="FS268" s="129">
        <v>2015</v>
      </c>
      <c r="FT268" s="129" t="s">
        <v>440</v>
      </c>
    </row>
    <row r="269" spans="1:176" s="129" customFormat="1" ht="17">
      <c r="A269" s="123" t="s">
        <v>152</v>
      </c>
      <c r="B269" s="166" t="s">
        <v>183</v>
      </c>
      <c r="C269" s="166">
        <v>2018</v>
      </c>
      <c r="D269" s="166" t="s">
        <v>184</v>
      </c>
      <c r="E269" s="151">
        <f t="shared" si="25"/>
        <v>3042.6633299999999</v>
      </c>
      <c r="F269" s="191" t="s">
        <v>160</v>
      </c>
      <c r="G269" s="191" t="s">
        <v>160</v>
      </c>
      <c r="H269" s="151">
        <v>374.74809999999997</v>
      </c>
      <c r="I269" s="151">
        <v>55.292399999999986</v>
      </c>
      <c r="J269" s="151">
        <v>48.687399999999968</v>
      </c>
      <c r="K269" s="129" t="s">
        <v>457</v>
      </c>
      <c r="L269" s="131" t="s">
        <v>185</v>
      </c>
      <c r="M269" s="132" t="s">
        <v>186</v>
      </c>
      <c r="N269" s="129" t="s">
        <v>184</v>
      </c>
      <c r="O269" s="129" t="s">
        <v>420</v>
      </c>
      <c r="P269" s="129" t="s">
        <v>156</v>
      </c>
      <c r="Q269" s="178">
        <v>11</v>
      </c>
      <c r="R269" s="178">
        <v>4</v>
      </c>
      <c r="S269" s="178">
        <v>93</v>
      </c>
      <c r="T269" s="178">
        <v>95</v>
      </c>
      <c r="U269" s="178" t="s">
        <v>160</v>
      </c>
      <c r="V269" s="178" t="s">
        <v>160</v>
      </c>
      <c r="W269" s="178" t="s">
        <v>160</v>
      </c>
      <c r="X269" s="129" t="s">
        <v>157</v>
      </c>
      <c r="Y269" s="136">
        <v>12.75</v>
      </c>
      <c r="Z269" s="136">
        <v>-78.73</v>
      </c>
      <c r="AA269" s="136">
        <v>12.75</v>
      </c>
      <c r="AB269" s="136">
        <v>-78.73</v>
      </c>
      <c r="AC269" s="136">
        <v>-2828</v>
      </c>
      <c r="AD269" s="136">
        <v>-2828</v>
      </c>
      <c r="AE269" s="129" t="s">
        <v>160</v>
      </c>
      <c r="AF269" s="129" t="s">
        <v>160</v>
      </c>
      <c r="AG269" s="141">
        <v>3042.6633299999999</v>
      </c>
      <c r="AH269" s="138" t="s">
        <v>159</v>
      </c>
      <c r="AI269" s="129" t="s">
        <v>160</v>
      </c>
      <c r="AJ269" s="129" t="s">
        <v>160</v>
      </c>
      <c r="AK269" s="178" t="s">
        <v>160</v>
      </c>
      <c r="AL269" s="178" t="s">
        <v>441</v>
      </c>
      <c r="AM269" s="178" t="s">
        <v>160</v>
      </c>
      <c r="AN269" s="129" t="s">
        <v>160</v>
      </c>
      <c r="AO269" s="129" t="s">
        <v>160</v>
      </c>
      <c r="AP269" s="129" t="s">
        <v>160</v>
      </c>
      <c r="AQ269" s="129" t="s">
        <v>160</v>
      </c>
      <c r="AR269" s="129" t="s">
        <v>160</v>
      </c>
      <c r="AS269" s="129" t="s">
        <v>160</v>
      </c>
      <c r="AT269" s="129" t="s">
        <v>160</v>
      </c>
      <c r="AU269" s="213" t="s">
        <v>442</v>
      </c>
      <c r="AV269" s="129" t="s">
        <v>161</v>
      </c>
      <c r="AW269" s="189" t="s">
        <v>443</v>
      </c>
      <c r="AX269" s="205" t="s">
        <v>444</v>
      </c>
      <c r="AY269" s="205" t="s">
        <v>353</v>
      </c>
      <c r="AZ269" s="205" t="s">
        <v>325</v>
      </c>
      <c r="BA269" s="214" t="s">
        <v>162</v>
      </c>
      <c r="BB269" s="129" t="s">
        <v>445</v>
      </c>
      <c r="BC269" s="129" t="s">
        <v>445</v>
      </c>
      <c r="BD269" s="129" t="s">
        <v>445</v>
      </c>
      <c r="BE269" s="141">
        <v>19.459389999999999</v>
      </c>
      <c r="BF269" s="129" t="s">
        <v>446</v>
      </c>
      <c r="BG269" s="141">
        <v>0.12713133400000001</v>
      </c>
      <c r="BH269" s="129">
        <v>0.6</v>
      </c>
      <c r="BI269" s="129" t="s">
        <v>427</v>
      </c>
      <c r="BJ269" s="138">
        <v>0.08</v>
      </c>
      <c r="BK269" s="129">
        <v>8.8699999999999992</v>
      </c>
      <c r="BL269" s="129" t="s">
        <v>163</v>
      </c>
      <c r="BM269" s="129">
        <v>1.52</v>
      </c>
      <c r="BN269" s="129" t="s">
        <v>428</v>
      </c>
      <c r="BO269" s="129" t="s">
        <v>448</v>
      </c>
      <c r="BP269" s="141">
        <f t="shared" si="26"/>
        <v>17.648983333333334</v>
      </c>
      <c r="BQ269" s="129" t="s">
        <v>202</v>
      </c>
      <c r="BR269" s="217"/>
      <c r="BS269" s="129" t="s">
        <v>160</v>
      </c>
      <c r="BT269" s="129" t="s">
        <v>160</v>
      </c>
      <c r="BU269" s="129">
        <v>10</v>
      </c>
      <c r="BV269" s="129" t="s">
        <v>159</v>
      </c>
      <c r="BW269" s="129">
        <v>10</v>
      </c>
      <c r="BX269" s="141">
        <v>24.102025362440035</v>
      </c>
      <c r="BY269" s="129" t="s">
        <v>159</v>
      </c>
      <c r="BZ269" s="129">
        <v>1</v>
      </c>
      <c r="CA269" s="129">
        <v>1</v>
      </c>
      <c r="CB269" s="141">
        <v>3.2161903083087262</v>
      </c>
      <c r="CC269" s="141">
        <v>3.2161903083087262</v>
      </c>
      <c r="CD269" s="129" t="s">
        <v>449</v>
      </c>
      <c r="CE269" s="151">
        <f t="shared" si="27"/>
        <v>8.6837138324335608E-2</v>
      </c>
      <c r="CF269" s="151">
        <f t="shared" si="28"/>
        <v>8.6837138324335608E-2</v>
      </c>
      <c r="CG269" s="145" t="s">
        <v>203</v>
      </c>
      <c r="CH269" s="129" t="s">
        <v>204</v>
      </c>
      <c r="CI269" s="129" t="s">
        <v>205</v>
      </c>
      <c r="CJ269" s="129" t="s">
        <v>206</v>
      </c>
      <c r="CK269" s="129" t="s">
        <v>158</v>
      </c>
      <c r="CL269" s="129" t="s">
        <v>158</v>
      </c>
      <c r="CM269" s="129" t="s">
        <v>158</v>
      </c>
      <c r="CN269" s="129" t="s">
        <v>160</v>
      </c>
      <c r="CO269" s="129" t="s">
        <v>160</v>
      </c>
      <c r="CP269" s="129" t="s">
        <v>160</v>
      </c>
      <c r="CQ269" s="129" t="s">
        <v>160</v>
      </c>
      <c r="CR269" s="129" t="s">
        <v>160</v>
      </c>
      <c r="CS269" s="129" t="s">
        <v>160</v>
      </c>
      <c r="CT269" s="129" t="s">
        <v>160</v>
      </c>
      <c r="CU269" s="215">
        <v>35</v>
      </c>
      <c r="CV269" s="129" t="s">
        <v>393</v>
      </c>
      <c r="CW269" s="146">
        <v>1</v>
      </c>
      <c r="CX269" s="129" t="s">
        <v>207</v>
      </c>
      <c r="CY269" s="129">
        <v>1.06E-2</v>
      </c>
      <c r="CZ269" s="129" t="s">
        <v>159</v>
      </c>
      <c r="DA269" s="146">
        <v>0</v>
      </c>
      <c r="DB269" s="129" t="s">
        <v>208</v>
      </c>
      <c r="DC269" s="129">
        <v>5.5100000000000003E-2</v>
      </c>
      <c r="DD269" s="129" t="s">
        <v>159</v>
      </c>
      <c r="DE269" s="146">
        <v>0</v>
      </c>
      <c r="DF269" s="129" t="s">
        <v>208</v>
      </c>
      <c r="DG269" s="178" t="s">
        <v>160</v>
      </c>
      <c r="DH269" s="178" t="s">
        <v>160</v>
      </c>
      <c r="DI269" s="178" t="s">
        <v>160</v>
      </c>
      <c r="DJ269" s="178" t="s">
        <v>160</v>
      </c>
      <c r="DK269" s="145">
        <v>432.56244218316402</v>
      </c>
      <c r="DL269" s="129" t="s">
        <v>433</v>
      </c>
      <c r="DM269" s="145" t="s">
        <v>160</v>
      </c>
      <c r="DN269" s="129" t="s">
        <v>434</v>
      </c>
      <c r="DO269" s="129">
        <v>39.702770000000001</v>
      </c>
      <c r="DP269" s="129" t="s">
        <v>160</v>
      </c>
      <c r="DQ269" s="129">
        <v>0.35421000000000191</v>
      </c>
      <c r="DR269" s="129" t="s">
        <v>450</v>
      </c>
      <c r="DS269" s="129" t="s">
        <v>212</v>
      </c>
      <c r="DT269" s="129" t="s">
        <v>213</v>
      </c>
      <c r="DU269" s="129">
        <v>1.0271999999999999</v>
      </c>
      <c r="DV269" s="129" t="s">
        <v>393</v>
      </c>
      <c r="DW269" s="129">
        <v>5.9999999999999995E-4</v>
      </c>
      <c r="DX269" s="129" t="s">
        <v>436</v>
      </c>
      <c r="DY269" s="129" t="s">
        <v>160</v>
      </c>
      <c r="DZ269" s="129" t="s">
        <v>160</v>
      </c>
      <c r="EA269" s="129" t="s">
        <v>216</v>
      </c>
      <c r="EB269" s="129" t="s">
        <v>212</v>
      </c>
      <c r="EC269" s="129" t="s">
        <v>212</v>
      </c>
      <c r="ED269" s="129" t="s">
        <v>212</v>
      </c>
      <c r="EE269" s="129" t="s">
        <v>217</v>
      </c>
      <c r="EF269" s="147" t="s">
        <v>213</v>
      </c>
      <c r="EG269" s="148" t="s">
        <v>213</v>
      </c>
      <c r="EH269" s="129" t="s">
        <v>218</v>
      </c>
      <c r="EI269" s="129" t="s">
        <v>417</v>
      </c>
      <c r="EJ269" s="129" t="s">
        <v>160</v>
      </c>
      <c r="EK269" s="129">
        <v>1938.9559999999999</v>
      </c>
      <c r="EL269" s="129" t="s">
        <v>163</v>
      </c>
      <c r="EM269" s="129">
        <v>51.661000000000158</v>
      </c>
      <c r="EN269" s="129">
        <v>51.429999999999879</v>
      </c>
      <c r="EO269" s="129" t="s">
        <v>160</v>
      </c>
      <c r="EP269" s="129" t="s">
        <v>160</v>
      </c>
      <c r="EQ269" s="129" t="s">
        <v>160</v>
      </c>
      <c r="ER269" s="129" t="s">
        <v>160</v>
      </c>
      <c r="ES269" s="141">
        <v>8.014265</v>
      </c>
      <c r="ET269" s="142" t="s">
        <v>165</v>
      </c>
      <c r="EU269" s="141">
        <v>4.9300999999999817E-2</v>
      </c>
      <c r="EV269" s="141">
        <v>4.9229000000000411E-2</v>
      </c>
      <c r="EW269" s="142" t="s">
        <v>160</v>
      </c>
      <c r="EX269" s="129" t="s">
        <v>160</v>
      </c>
      <c r="EY269" s="129" t="s">
        <v>160</v>
      </c>
      <c r="EZ269" s="141">
        <v>374.74809999999997</v>
      </c>
      <c r="FA269" s="141">
        <v>55.292399999999986</v>
      </c>
      <c r="FB269" s="141">
        <v>48.687399999999968</v>
      </c>
      <c r="FC269" s="129" t="s">
        <v>220</v>
      </c>
      <c r="FD269" s="129" t="s">
        <v>221</v>
      </c>
      <c r="FE269" s="129">
        <v>2154.8620000000001</v>
      </c>
      <c r="FF269" s="129">
        <v>66.697999999999865</v>
      </c>
      <c r="FG269" s="129">
        <v>64.33199999999988</v>
      </c>
      <c r="FH269" s="129" t="s">
        <v>437</v>
      </c>
      <c r="FI269" s="129" t="s">
        <v>437</v>
      </c>
      <c r="FJ269" s="129" t="s">
        <v>437</v>
      </c>
      <c r="FK269" s="129" t="s">
        <v>437</v>
      </c>
      <c r="FL269" s="129" t="s">
        <v>437</v>
      </c>
      <c r="FM269" s="129" t="s">
        <v>437</v>
      </c>
      <c r="FN269" s="151">
        <v>3.13707</v>
      </c>
      <c r="FO269" s="151">
        <v>0.32349300000000003</v>
      </c>
      <c r="FP269" s="151">
        <v>0.29544499999999996</v>
      </c>
      <c r="FQ269" s="178" t="s">
        <v>419</v>
      </c>
      <c r="FR269" s="129" t="s">
        <v>439</v>
      </c>
      <c r="FS269" s="129">
        <v>2015</v>
      </c>
      <c r="FT269" s="129" t="s">
        <v>440</v>
      </c>
    </row>
    <row r="270" spans="1:176" s="129" customFormat="1" ht="17">
      <c r="A270" s="123" t="s">
        <v>152</v>
      </c>
      <c r="B270" s="166" t="s">
        <v>183</v>
      </c>
      <c r="C270" s="166">
        <v>2018</v>
      </c>
      <c r="D270" s="166" t="s">
        <v>184</v>
      </c>
      <c r="E270" s="151">
        <f t="shared" si="25"/>
        <v>3050.0161130000001</v>
      </c>
      <c r="F270" s="191" t="s">
        <v>160</v>
      </c>
      <c r="G270" s="191" t="s">
        <v>160</v>
      </c>
      <c r="H270" s="151">
        <v>376.19049999999999</v>
      </c>
      <c r="I270" s="151">
        <v>52.037200000000041</v>
      </c>
      <c r="J270" s="151">
        <v>46.057199999999966</v>
      </c>
      <c r="K270" s="129" t="s">
        <v>457</v>
      </c>
      <c r="L270" s="131" t="s">
        <v>185</v>
      </c>
      <c r="M270" s="132" t="s">
        <v>186</v>
      </c>
      <c r="N270" s="129" t="s">
        <v>184</v>
      </c>
      <c r="O270" s="129" t="s">
        <v>420</v>
      </c>
      <c r="P270" s="129" t="s">
        <v>156</v>
      </c>
      <c r="Q270" s="178">
        <v>11</v>
      </c>
      <c r="R270" s="178">
        <v>4</v>
      </c>
      <c r="S270" s="178">
        <v>120</v>
      </c>
      <c r="T270" s="178">
        <v>122</v>
      </c>
      <c r="U270" s="178" t="s">
        <v>160</v>
      </c>
      <c r="V270" s="178" t="s">
        <v>160</v>
      </c>
      <c r="W270" s="178" t="s">
        <v>160</v>
      </c>
      <c r="X270" s="129" t="s">
        <v>157</v>
      </c>
      <c r="Y270" s="136">
        <v>12.75</v>
      </c>
      <c r="Z270" s="136">
        <v>-78.73</v>
      </c>
      <c r="AA270" s="136">
        <v>12.75</v>
      </c>
      <c r="AB270" s="136">
        <v>-78.73</v>
      </c>
      <c r="AC270" s="136">
        <v>-2828</v>
      </c>
      <c r="AD270" s="136">
        <v>-2828</v>
      </c>
      <c r="AE270" s="129" t="s">
        <v>160</v>
      </c>
      <c r="AF270" s="129" t="s">
        <v>160</v>
      </c>
      <c r="AG270" s="141">
        <v>3050.0161130000001</v>
      </c>
      <c r="AH270" s="138" t="s">
        <v>159</v>
      </c>
      <c r="AI270" s="129" t="s">
        <v>160</v>
      </c>
      <c r="AJ270" s="129" t="s">
        <v>160</v>
      </c>
      <c r="AK270" s="178" t="s">
        <v>160</v>
      </c>
      <c r="AL270" s="178" t="s">
        <v>441</v>
      </c>
      <c r="AM270" s="178" t="s">
        <v>160</v>
      </c>
      <c r="AN270" s="129" t="s">
        <v>160</v>
      </c>
      <c r="AO270" s="129" t="s">
        <v>160</v>
      </c>
      <c r="AP270" s="129" t="s">
        <v>160</v>
      </c>
      <c r="AQ270" s="129" t="s">
        <v>160</v>
      </c>
      <c r="AR270" s="129" t="s">
        <v>160</v>
      </c>
      <c r="AS270" s="129" t="s">
        <v>160</v>
      </c>
      <c r="AT270" s="129" t="s">
        <v>160</v>
      </c>
      <c r="AU270" s="213" t="s">
        <v>442</v>
      </c>
      <c r="AV270" s="129" t="s">
        <v>161</v>
      </c>
      <c r="AW270" s="189" t="s">
        <v>443</v>
      </c>
      <c r="AX270" s="189" t="s">
        <v>444</v>
      </c>
      <c r="AY270" s="205" t="s">
        <v>353</v>
      </c>
      <c r="AZ270" s="205" t="s">
        <v>325</v>
      </c>
      <c r="BA270" s="129" t="s">
        <v>162</v>
      </c>
      <c r="BB270" s="129" t="s">
        <v>445</v>
      </c>
      <c r="BC270" s="129" t="s">
        <v>445</v>
      </c>
      <c r="BD270" s="129" t="s">
        <v>445</v>
      </c>
      <c r="BE270" s="141">
        <v>19.581440000000001</v>
      </c>
      <c r="BF270" s="129" t="s">
        <v>446</v>
      </c>
      <c r="BG270" s="141">
        <v>9.3808649999999993E-2</v>
      </c>
      <c r="BH270" s="129">
        <v>0.6</v>
      </c>
      <c r="BI270" s="129" t="s">
        <v>427</v>
      </c>
      <c r="BJ270" s="138">
        <v>0.08</v>
      </c>
      <c r="BK270" s="129">
        <v>8.8699999999999992</v>
      </c>
      <c r="BL270" s="129" t="s">
        <v>163</v>
      </c>
      <c r="BM270" s="129">
        <v>1.52</v>
      </c>
      <c r="BN270" s="129" t="s">
        <v>428</v>
      </c>
      <c r="BO270" s="129" t="s">
        <v>448</v>
      </c>
      <c r="BP270" s="141">
        <f t="shared" si="26"/>
        <v>17.852400000000003</v>
      </c>
      <c r="BQ270" s="129" t="s">
        <v>202</v>
      </c>
      <c r="BR270" s="217"/>
      <c r="BS270" s="129" t="s">
        <v>160</v>
      </c>
      <c r="BT270" s="129" t="s">
        <v>160</v>
      </c>
      <c r="BU270" s="129">
        <v>10</v>
      </c>
      <c r="BV270" s="129" t="s">
        <v>159</v>
      </c>
      <c r="BW270" s="129">
        <v>10</v>
      </c>
      <c r="BX270" s="141">
        <v>25.805747791144217</v>
      </c>
      <c r="BY270" s="129" t="s">
        <v>159</v>
      </c>
      <c r="BZ270" s="129">
        <v>1</v>
      </c>
      <c r="CA270" s="129">
        <v>1</v>
      </c>
      <c r="CB270" s="141">
        <v>3.7488706538751901</v>
      </c>
      <c r="CC270" s="141">
        <v>3.7488706538751901</v>
      </c>
      <c r="CD270" s="129" t="s">
        <v>449</v>
      </c>
      <c r="CE270" s="151">
        <f t="shared" si="27"/>
        <v>0.10121950765463013</v>
      </c>
      <c r="CF270" s="151">
        <f t="shared" si="28"/>
        <v>0.10121950765463013</v>
      </c>
      <c r="CG270" s="145" t="s">
        <v>203</v>
      </c>
      <c r="CH270" s="129" t="s">
        <v>204</v>
      </c>
      <c r="CI270" s="129" t="s">
        <v>205</v>
      </c>
      <c r="CJ270" s="129" t="s">
        <v>206</v>
      </c>
      <c r="CK270" s="129" t="s">
        <v>158</v>
      </c>
      <c r="CL270" s="129" t="s">
        <v>158</v>
      </c>
      <c r="CM270" s="129" t="s">
        <v>158</v>
      </c>
      <c r="CN270" s="129" t="s">
        <v>160</v>
      </c>
      <c r="CO270" s="129" t="s">
        <v>160</v>
      </c>
      <c r="CP270" s="129" t="s">
        <v>160</v>
      </c>
      <c r="CQ270" s="129" t="s">
        <v>160</v>
      </c>
      <c r="CR270" s="129" t="s">
        <v>160</v>
      </c>
      <c r="CS270" s="129" t="s">
        <v>160</v>
      </c>
      <c r="CT270" s="129" t="s">
        <v>160</v>
      </c>
      <c r="CU270" s="215">
        <v>35</v>
      </c>
      <c r="CV270" s="129" t="s">
        <v>393</v>
      </c>
      <c r="CW270" s="146">
        <v>1</v>
      </c>
      <c r="CX270" s="129" t="s">
        <v>207</v>
      </c>
      <c r="CY270" s="129">
        <v>1.06E-2</v>
      </c>
      <c r="CZ270" s="129" t="s">
        <v>159</v>
      </c>
      <c r="DA270" s="146">
        <v>0</v>
      </c>
      <c r="DB270" s="129" t="s">
        <v>208</v>
      </c>
      <c r="DC270" s="129">
        <v>5.5100000000000003E-2</v>
      </c>
      <c r="DD270" s="129" t="s">
        <v>159</v>
      </c>
      <c r="DE270" s="146">
        <v>0</v>
      </c>
      <c r="DF270" s="129" t="s">
        <v>208</v>
      </c>
      <c r="DG270" s="178" t="s">
        <v>160</v>
      </c>
      <c r="DH270" s="178" t="s">
        <v>160</v>
      </c>
      <c r="DI270" s="178" t="s">
        <v>160</v>
      </c>
      <c r="DJ270" s="178" t="s">
        <v>160</v>
      </c>
      <c r="DK270" s="145">
        <v>432.56244218316402</v>
      </c>
      <c r="DL270" s="129" t="s">
        <v>433</v>
      </c>
      <c r="DM270" s="145" t="s">
        <v>160</v>
      </c>
      <c r="DN270" s="129" t="s">
        <v>434</v>
      </c>
      <c r="DO270" s="129">
        <v>39.700279999999999</v>
      </c>
      <c r="DP270" s="129" t="s">
        <v>160</v>
      </c>
      <c r="DQ270" s="129">
        <v>0.36158000000000357</v>
      </c>
      <c r="DR270" s="129" t="s">
        <v>450</v>
      </c>
      <c r="DS270" s="129" t="s">
        <v>212</v>
      </c>
      <c r="DT270" s="129" t="s">
        <v>213</v>
      </c>
      <c r="DU270" s="129">
        <v>1.0271999999999999</v>
      </c>
      <c r="DV270" s="129" t="s">
        <v>393</v>
      </c>
      <c r="DW270" s="129">
        <v>5.9999999999999995E-4</v>
      </c>
      <c r="DX270" s="129" t="s">
        <v>436</v>
      </c>
      <c r="DY270" s="129" t="s">
        <v>160</v>
      </c>
      <c r="DZ270" s="129" t="s">
        <v>160</v>
      </c>
      <c r="EA270" s="129" t="s">
        <v>216</v>
      </c>
      <c r="EB270" s="129" t="s">
        <v>212</v>
      </c>
      <c r="EC270" s="129" t="s">
        <v>212</v>
      </c>
      <c r="ED270" s="129" t="s">
        <v>212</v>
      </c>
      <c r="EE270" s="129" t="s">
        <v>217</v>
      </c>
      <c r="EF270" s="147" t="s">
        <v>213</v>
      </c>
      <c r="EG270" s="148" t="s">
        <v>213</v>
      </c>
      <c r="EH270" s="129" t="s">
        <v>218</v>
      </c>
      <c r="EI270" s="129" t="s">
        <v>417</v>
      </c>
      <c r="EJ270" s="129" t="s">
        <v>160</v>
      </c>
      <c r="EK270" s="129">
        <v>1938.02</v>
      </c>
      <c r="EL270" s="129" t="s">
        <v>163</v>
      </c>
      <c r="EM270" s="129">
        <v>51.526999999999994</v>
      </c>
      <c r="EN270" s="129">
        <v>51.576000000000008</v>
      </c>
      <c r="EO270" s="129" t="s">
        <v>160</v>
      </c>
      <c r="EP270" s="129" t="s">
        <v>160</v>
      </c>
      <c r="EQ270" s="129" t="s">
        <v>160</v>
      </c>
      <c r="ER270" s="129" t="s">
        <v>160</v>
      </c>
      <c r="ES270" s="141">
        <v>8.0148019999999995</v>
      </c>
      <c r="ET270" s="142" t="s">
        <v>165</v>
      </c>
      <c r="EU270" s="141">
        <v>4.6356000000001174E-2</v>
      </c>
      <c r="EV270" s="141">
        <v>4.5656999999999393E-2</v>
      </c>
      <c r="EW270" s="142" t="s">
        <v>160</v>
      </c>
      <c r="EX270" s="129" t="s">
        <v>160</v>
      </c>
      <c r="EY270" s="129" t="s">
        <v>160</v>
      </c>
      <c r="EZ270" s="141">
        <v>376.19049999999999</v>
      </c>
      <c r="FA270" s="141">
        <v>52.037200000000041</v>
      </c>
      <c r="FB270" s="141">
        <v>46.057199999999966</v>
      </c>
      <c r="FC270" s="129" t="s">
        <v>220</v>
      </c>
      <c r="FD270" s="129" t="s">
        <v>221</v>
      </c>
      <c r="FE270" s="129">
        <v>2169.8049999999998</v>
      </c>
      <c r="FF270" s="129">
        <v>66.887000000000171</v>
      </c>
      <c r="FG270" s="129">
        <v>67.99599999999964</v>
      </c>
      <c r="FH270" s="129" t="s">
        <v>437</v>
      </c>
      <c r="FI270" s="129" t="s">
        <v>437</v>
      </c>
      <c r="FJ270" s="129" t="s">
        <v>437</v>
      </c>
      <c r="FK270" s="129" t="s">
        <v>437</v>
      </c>
      <c r="FL270" s="129" t="s">
        <v>437</v>
      </c>
      <c r="FM270" s="129" t="s">
        <v>437</v>
      </c>
      <c r="FN270" s="151">
        <v>3.3459720000000002</v>
      </c>
      <c r="FO270" s="151">
        <v>0.30458999999999969</v>
      </c>
      <c r="FP270" s="151">
        <v>0.2966000000000002</v>
      </c>
      <c r="FQ270" s="178" t="s">
        <v>419</v>
      </c>
      <c r="FR270" s="129" t="s">
        <v>439</v>
      </c>
      <c r="FS270" s="129">
        <v>2015</v>
      </c>
      <c r="FT270" s="129" t="s">
        <v>440</v>
      </c>
    </row>
    <row r="271" spans="1:176" s="129" customFormat="1" ht="17">
      <c r="A271" s="123" t="s">
        <v>152</v>
      </c>
      <c r="B271" s="166" t="s">
        <v>183</v>
      </c>
      <c r="C271" s="166">
        <v>2018</v>
      </c>
      <c r="D271" s="166" t="s">
        <v>184</v>
      </c>
      <c r="E271" s="151">
        <f t="shared" si="25"/>
        <v>3059.0261230000001</v>
      </c>
      <c r="F271" s="191" t="s">
        <v>160</v>
      </c>
      <c r="G271" s="191" t="s">
        <v>160</v>
      </c>
      <c r="H271" s="151">
        <v>326.48019999999997</v>
      </c>
      <c r="I271" s="151">
        <v>49.647400000000061</v>
      </c>
      <c r="J271" s="151">
        <v>42.847199999999987</v>
      </c>
      <c r="K271" s="129" t="s">
        <v>457</v>
      </c>
      <c r="L271" s="131" t="s">
        <v>185</v>
      </c>
      <c r="M271" s="132" t="s">
        <v>186</v>
      </c>
      <c r="N271" s="129" t="s">
        <v>184</v>
      </c>
      <c r="O271" s="129" t="s">
        <v>420</v>
      </c>
      <c r="P271" s="129" t="s">
        <v>156</v>
      </c>
      <c r="Q271" s="178">
        <v>11</v>
      </c>
      <c r="R271" s="178">
        <v>5</v>
      </c>
      <c r="S271" s="178">
        <v>2</v>
      </c>
      <c r="T271" s="178">
        <v>4</v>
      </c>
      <c r="U271" s="178" t="s">
        <v>160</v>
      </c>
      <c r="V271" s="178" t="s">
        <v>160</v>
      </c>
      <c r="W271" s="178" t="s">
        <v>160</v>
      </c>
      <c r="X271" s="129" t="s">
        <v>157</v>
      </c>
      <c r="Y271" s="136">
        <v>12.75</v>
      </c>
      <c r="Z271" s="136">
        <v>-78.73</v>
      </c>
      <c r="AA271" s="136">
        <v>12.75</v>
      </c>
      <c r="AB271" s="136">
        <v>-78.73</v>
      </c>
      <c r="AC271" s="136">
        <v>-2828</v>
      </c>
      <c r="AD271" s="136">
        <v>-2828</v>
      </c>
      <c r="AE271" s="129" t="s">
        <v>160</v>
      </c>
      <c r="AF271" s="129" t="s">
        <v>160</v>
      </c>
      <c r="AG271" s="141">
        <v>3059.0261230000001</v>
      </c>
      <c r="AH271" s="138" t="s">
        <v>159</v>
      </c>
      <c r="AI271" s="129" t="s">
        <v>160</v>
      </c>
      <c r="AJ271" s="129" t="s">
        <v>160</v>
      </c>
      <c r="AK271" s="178" t="s">
        <v>160</v>
      </c>
      <c r="AL271" s="178" t="s">
        <v>441</v>
      </c>
      <c r="AM271" s="178" t="s">
        <v>160</v>
      </c>
      <c r="AN271" s="129" t="s">
        <v>160</v>
      </c>
      <c r="AO271" s="129" t="s">
        <v>160</v>
      </c>
      <c r="AP271" s="129" t="s">
        <v>160</v>
      </c>
      <c r="AQ271" s="129" t="s">
        <v>160</v>
      </c>
      <c r="AR271" s="129" t="s">
        <v>160</v>
      </c>
      <c r="AS271" s="129" t="s">
        <v>160</v>
      </c>
      <c r="AT271" s="129" t="s">
        <v>160</v>
      </c>
      <c r="AU271" s="213" t="s">
        <v>442</v>
      </c>
      <c r="AV271" s="129" t="s">
        <v>161</v>
      </c>
      <c r="AW271" s="189" t="s">
        <v>443</v>
      </c>
      <c r="AX271" s="205" t="s">
        <v>444</v>
      </c>
      <c r="AY271" s="205" t="s">
        <v>353</v>
      </c>
      <c r="AZ271" s="205" t="s">
        <v>325</v>
      </c>
      <c r="BA271" s="214" t="s">
        <v>162</v>
      </c>
      <c r="BB271" s="129" t="s">
        <v>445</v>
      </c>
      <c r="BC271" s="129" t="s">
        <v>445</v>
      </c>
      <c r="BD271" s="129" t="s">
        <v>445</v>
      </c>
      <c r="BE271" s="141">
        <v>19.83933</v>
      </c>
      <c r="BF271" s="129" t="s">
        <v>446</v>
      </c>
      <c r="BG271" s="141">
        <v>0.150337269</v>
      </c>
      <c r="BH271" s="129">
        <v>0.6</v>
      </c>
      <c r="BI271" s="129" t="s">
        <v>427</v>
      </c>
      <c r="BJ271" s="138">
        <v>0.08</v>
      </c>
      <c r="BK271" s="129">
        <v>8.8699999999999992</v>
      </c>
      <c r="BL271" s="129" t="s">
        <v>163</v>
      </c>
      <c r="BM271" s="129">
        <v>1.52</v>
      </c>
      <c r="BN271" s="129" t="s">
        <v>428</v>
      </c>
      <c r="BO271" s="129" t="s">
        <v>448</v>
      </c>
      <c r="BP271" s="141">
        <f t="shared" si="26"/>
        <v>18.28221666666667</v>
      </c>
      <c r="BQ271" s="129" t="s">
        <v>202</v>
      </c>
      <c r="BR271" s="217"/>
      <c r="BS271" s="129" t="s">
        <v>160</v>
      </c>
      <c r="BT271" s="129" t="s">
        <v>160</v>
      </c>
      <c r="BU271" s="129">
        <v>10</v>
      </c>
      <c r="BV271" s="129" t="s">
        <v>159</v>
      </c>
      <c r="BW271" s="129">
        <v>10</v>
      </c>
      <c r="BX271" s="141">
        <v>24.918945233920727</v>
      </c>
      <c r="BY271" s="129" t="s">
        <v>159</v>
      </c>
      <c r="BZ271" s="129">
        <v>1</v>
      </c>
      <c r="CA271" s="129">
        <v>1</v>
      </c>
      <c r="CB271" s="141">
        <v>3.4609632352074677</v>
      </c>
      <c r="CC271" s="141">
        <v>3.4609632352074677</v>
      </c>
      <c r="CD271" s="129" t="s">
        <v>449</v>
      </c>
      <c r="CE271" s="151">
        <f t="shared" si="27"/>
        <v>9.3446007350601629E-2</v>
      </c>
      <c r="CF271" s="151">
        <f t="shared" si="28"/>
        <v>9.3446007350601629E-2</v>
      </c>
      <c r="CG271" s="145" t="s">
        <v>203</v>
      </c>
      <c r="CH271" s="129" t="s">
        <v>204</v>
      </c>
      <c r="CI271" s="129" t="s">
        <v>205</v>
      </c>
      <c r="CJ271" s="129" t="s">
        <v>206</v>
      </c>
      <c r="CK271" s="129" t="s">
        <v>158</v>
      </c>
      <c r="CL271" s="129" t="s">
        <v>158</v>
      </c>
      <c r="CM271" s="129" t="s">
        <v>158</v>
      </c>
      <c r="CN271" s="129" t="s">
        <v>160</v>
      </c>
      <c r="CO271" s="129" t="s">
        <v>160</v>
      </c>
      <c r="CP271" s="129" t="s">
        <v>160</v>
      </c>
      <c r="CQ271" s="129" t="s">
        <v>160</v>
      </c>
      <c r="CR271" s="129" t="s">
        <v>160</v>
      </c>
      <c r="CS271" s="129" t="s">
        <v>160</v>
      </c>
      <c r="CT271" s="129" t="s">
        <v>160</v>
      </c>
      <c r="CU271" s="215">
        <v>35</v>
      </c>
      <c r="CV271" s="129" t="s">
        <v>393</v>
      </c>
      <c r="CW271" s="146">
        <v>1</v>
      </c>
      <c r="CX271" s="129" t="s">
        <v>207</v>
      </c>
      <c r="CY271" s="129">
        <v>1.06E-2</v>
      </c>
      <c r="CZ271" s="129" t="s">
        <v>159</v>
      </c>
      <c r="DA271" s="146">
        <v>0</v>
      </c>
      <c r="DB271" s="129" t="s">
        <v>208</v>
      </c>
      <c r="DC271" s="129">
        <v>5.5100000000000003E-2</v>
      </c>
      <c r="DD271" s="129" t="s">
        <v>159</v>
      </c>
      <c r="DE271" s="146">
        <v>0</v>
      </c>
      <c r="DF271" s="129" t="s">
        <v>208</v>
      </c>
      <c r="DG271" s="178" t="s">
        <v>160</v>
      </c>
      <c r="DH271" s="178" t="s">
        <v>160</v>
      </c>
      <c r="DI271" s="178" t="s">
        <v>160</v>
      </c>
      <c r="DJ271" s="178" t="s">
        <v>160</v>
      </c>
      <c r="DK271" s="145">
        <v>432.56244218316402</v>
      </c>
      <c r="DL271" s="129" t="s">
        <v>433</v>
      </c>
      <c r="DM271" s="145" t="s">
        <v>160</v>
      </c>
      <c r="DN271" s="129" t="s">
        <v>434</v>
      </c>
      <c r="DO271" s="129">
        <v>39.702500000000001</v>
      </c>
      <c r="DP271" s="129" t="s">
        <v>160</v>
      </c>
      <c r="DQ271" s="129">
        <v>0.35961999999999961</v>
      </c>
      <c r="DR271" s="129" t="s">
        <v>450</v>
      </c>
      <c r="DS271" s="129" t="s">
        <v>212</v>
      </c>
      <c r="DT271" s="129" t="s">
        <v>213</v>
      </c>
      <c r="DU271" s="129">
        <v>1.0271999999999999</v>
      </c>
      <c r="DV271" s="129" t="s">
        <v>393</v>
      </c>
      <c r="DW271" s="129">
        <v>5.9999999999999995E-4</v>
      </c>
      <c r="DX271" s="129" t="s">
        <v>436</v>
      </c>
      <c r="DY271" s="129" t="s">
        <v>160</v>
      </c>
      <c r="DZ271" s="129" t="s">
        <v>160</v>
      </c>
      <c r="EA271" s="129" t="s">
        <v>216</v>
      </c>
      <c r="EB271" s="129" t="s">
        <v>212</v>
      </c>
      <c r="EC271" s="129" t="s">
        <v>212</v>
      </c>
      <c r="ED271" s="129" t="s">
        <v>212</v>
      </c>
      <c r="EE271" s="129" t="s">
        <v>217</v>
      </c>
      <c r="EF271" s="147" t="s">
        <v>213</v>
      </c>
      <c r="EG271" s="148" t="s">
        <v>213</v>
      </c>
      <c r="EH271" s="129" t="s">
        <v>218</v>
      </c>
      <c r="EI271" s="129" t="s">
        <v>417</v>
      </c>
      <c r="EJ271" s="129" t="s">
        <v>160</v>
      </c>
      <c r="EK271" s="129">
        <v>1937.9060000000002</v>
      </c>
      <c r="EL271" s="129" t="s">
        <v>163</v>
      </c>
      <c r="EM271" s="129">
        <v>51.706999999999795</v>
      </c>
      <c r="EN271" s="129">
        <v>50.083000000000027</v>
      </c>
      <c r="EO271" s="129" t="s">
        <v>160</v>
      </c>
      <c r="EP271" s="129" t="s">
        <v>160</v>
      </c>
      <c r="EQ271" s="129" t="s">
        <v>160</v>
      </c>
      <c r="ER271" s="129" t="s">
        <v>160</v>
      </c>
      <c r="ES271" s="141">
        <v>8.0653009999999998</v>
      </c>
      <c r="ET271" s="142" t="s">
        <v>165</v>
      </c>
      <c r="EU271" s="141">
        <v>4.9027000000000598E-2</v>
      </c>
      <c r="EV271" s="141">
        <v>5.0293999999999173E-2</v>
      </c>
      <c r="EW271" s="142" t="s">
        <v>160</v>
      </c>
      <c r="EX271" s="129" t="s">
        <v>160</v>
      </c>
      <c r="EY271" s="129" t="s">
        <v>160</v>
      </c>
      <c r="EZ271" s="141">
        <v>326.48019999999997</v>
      </c>
      <c r="FA271" s="141">
        <v>49.647400000000061</v>
      </c>
      <c r="FB271" s="141">
        <v>42.847199999999987</v>
      </c>
      <c r="FC271" s="129" t="s">
        <v>220</v>
      </c>
      <c r="FD271" s="129" t="s">
        <v>221</v>
      </c>
      <c r="FE271" s="129">
        <v>2192.9580000000001</v>
      </c>
      <c r="FF271" s="129">
        <v>69.065999999999804</v>
      </c>
      <c r="FG271" s="129">
        <v>67.113000000000284</v>
      </c>
      <c r="FH271" s="129" t="s">
        <v>437</v>
      </c>
      <c r="FI271" s="129" t="s">
        <v>437</v>
      </c>
      <c r="FJ271" s="129" t="s">
        <v>437</v>
      </c>
      <c r="FK271" s="129" t="s">
        <v>437</v>
      </c>
      <c r="FL271" s="129" t="s">
        <v>437</v>
      </c>
      <c r="FM271" s="129" t="s">
        <v>437</v>
      </c>
      <c r="FN271" s="151">
        <v>3.5930490000000002</v>
      </c>
      <c r="FO271" s="151">
        <v>0.35376699999999994</v>
      </c>
      <c r="FP271" s="151">
        <v>0.33915700000000015</v>
      </c>
      <c r="FQ271" s="178" t="s">
        <v>419</v>
      </c>
      <c r="FR271" s="129" t="s">
        <v>439</v>
      </c>
      <c r="FS271" s="129">
        <v>2015</v>
      </c>
      <c r="FT271" s="129" t="s">
        <v>440</v>
      </c>
    </row>
    <row r="272" spans="1:176" s="129" customFormat="1" ht="17">
      <c r="A272" s="123" t="s">
        <v>152</v>
      </c>
      <c r="B272" s="166" t="s">
        <v>183</v>
      </c>
      <c r="C272" s="166">
        <v>2018</v>
      </c>
      <c r="D272" s="166" t="s">
        <v>184</v>
      </c>
      <c r="E272" s="151">
        <f t="shared" si="25"/>
        <v>3062.9609380000002</v>
      </c>
      <c r="F272" s="191" t="s">
        <v>160</v>
      </c>
      <c r="G272" s="191" t="s">
        <v>160</v>
      </c>
      <c r="H272" s="151">
        <v>369.64179999999999</v>
      </c>
      <c r="I272" s="151">
        <v>54.646200000000022</v>
      </c>
      <c r="J272" s="151">
        <v>45.287800000000004</v>
      </c>
      <c r="K272" s="129" t="s">
        <v>457</v>
      </c>
      <c r="L272" s="131" t="s">
        <v>185</v>
      </c>
      <c r="M272" s="132" t="s">
        <v>186</v>
      </c>
      <c r="N272" s="129" t="s">
        <v>184</v>
      </c>
      <c r="O272" s="129" t="s">
        <v>420</v>
      </c>
      <c r="P272" s="129" t="s">
        <v>156</v>
      </c>
      <c r="Q272" s="178">
        <v>11</v>
      </c>
      <c r="R272" s="178">
        <v>5</v>
      </c>
      <c r="S272" s="178">
        <v>16</v>
      </c>
      <c r="T272" s="178">
        <v>18</v>
      </c>
      <c r="U272" s="178" t="s">
        <v>160</v>
      </c>
      <c r="V272" s="178" t="s">
        <v>160</v>
      </c>
      <c r="W272" s="178" t="s">
        <v>160</v>
      </c>
      <c r="X272" s="129" t="s">
        <v>157</v>
      </c>
      <c r="Y272" s="136">
        <v>12.75</v>
      </c>
      <c r="Z272" s="136">
        <v>-78.73</v>
      </c>
      <c r="AA272" s="136">
        <v>12.75</v>
      </c>
      <c r="AB272" s="136">
        <v>-78.73</v>
      </c>
      <c r="AC272" s="136">
        <v>-2828</v>
      </c>
      <c r="AD272" s="136">
        <v>-2828</v>
      </c>
      <c r="AE272" s="129" t="s">
        <v>160</v>
      </c>
      <c r="AF272" s="129" t="s">
        <v>160</v>
      </c>
      <c r="AG272" s="141">
        <v>3062.9609380000002</v>
      </c>
      <c r="AH272" s="138" t="s">
        <v>159</v>
      </c>
      <c r="AI272" s="129" t="s">
        <v>160</v>
      </c>
      <c r="AJ272" s="129" t="s">
        <v>160</v>
      </c>
      <c r="AK272" s="178" t="s">
        <v>160</v>
      </c>
      <c r="AL272" s="178" t="s">
        <v>441</v>
      </c>
      <c r="AM272" s="178" t="s">
        <v>160</v>
      </c>
      <c r="AN272" s="129" t="s">
        <v>160</v>
      </c>
      <c r="AO272" s="129" t="s">
        <v>160</v>
      </c>
      <c r="AP272" s="129" t="s">
        <v>160</v>
      </c>
      <c r="AQ272" s="129" t="s">
        <v>160</v>
      </c>
      <c r="AR272" s="129" t="s">
        <v>160</v>
      </c>
      <c r="AS272" s="129" t="s">
        <v>160</v>
      </c>
      <c r="AT272" s="129" t="s">
        <v>160</v>
      </c>
      <c r="AU272" s="213" t="s">
        <v>442</v>
      </c>
      <c r="AV272" s="129" t="s">
        <v>161</v>
      </c>
      <c r="AW272" s="189" t="s">
        <v>443</v>
      </c>
      <c r="AX272" s="189" t="s">
        <v>444</v>
      </c>
      <c r="AY272" s="205" t="s">
        <v>353</v>
      </c>
      <c r="AZ272" s="205" t="s">
        <v>325</v>
      </c>
      <c r="BA272" s="129" t="s">
        <v>162</v>
      </c>
      <c r="BB272" s="129" t="s">
        <v>445</v>
      </c>
      <c r="BC272" s="129" t="s">
        <v>445</v>
      </c>
      <c r="BD272" s="129" t="s">
        <v>445</v>
      </c>
      <c r="BE272" s="141">
        <v>19.522780000000001</v>
      </c>
      <c r="BF272" s="129" t="s">
        <v>446</v>
      </c>
      <c r="BG272" s="141">
        <v>0.114770092</v>
      </c>
      <c r="BH272" s="129">
        <v>0.6</v>
      </c>
      <c r="BI272" s="129" t="s">
        <v>427</v>
      </c>
      <c r="BJ272" s="138">
        <v>0.08</v>
      </c>
      <c r="BK272" s="129">
        <v>8.8699999999999992</v>
      </c>
      <c r="BL272" s="129" t="s">
        <v>163</v>
      </c>
      <c r="BM272" s="129">
        <v>1.52</v>
      </c>
      <c r="BN272" s="129" t="s">
        <v>428</v>
      </c>
      <c r="BO272" s="129" t="s">
        <v>448</v>
      </c>
      <c r="BP272" s="141">
        <f t="shared" si="26"/>
        <v>17.754633333333338</v>
      </c>
      <c r="BQ272" s="129" t="s">
        <v>202</v>
      </c>
      <c r="BR272" s="217"/>
      <c r="BS272" s="129" t="s">
        <v>160</v>
      </c>
      <c r="BT272" s="129" t="s">
        <v>160</v>
      </c>
      <c r="BU272" s="129">
        <v>10</v>
      </c>
      <c r="BV272" s="129" t="s">
        <v>159</v>
      </c>
      <c r="BW272" s="129">
        <v>10</v>
      </c>
      <c r="BX272" s="141">
        <v>24.556450622021593</v>
      </c>
      <c r="BY272" s="129" t="s">
        <v>159</v>
      </c>
      <c r="BZ272" s="129">
        <v>1</v>
      </c>
      <c r="CA272" s="129">
        <v>1</v>
      </c>
      <c r="CB272" s="141">
        <v>3.3497333239082376</v>
      </c>
      <c r="CC272" s="141">
        <v>3.3497333239082376</v>
      </c>
      <c r="CD272" s="129" t="s">
        <v>449</v>
      </c>
      <c r="CE272" s="151">
        <f t="shared" si="27"/>
        <v>9.0442799745522412E-2</v>
      </c>
      <c r="CF272" s="151">
        <f t="shared" si="28"/>
        <v>9.0442799745522412E-2</v>
      </c>
      <c r="CG272" s="145" t="s">
        <v>203</v>
      </c>
      <c r="CH272" s="129" t="s">
        <v>204</v>
      </c>
      <c r="CI272" s="129" t="s">
        <v>205</v>
      </c>
      <c r="CJ272" s="129" t="s">
        <v>206</v>
      </c>
      <c r="CK272" s="129" t="s">
        <v>158</v>
      </c>
      <c r="CL272" s="129" t="s">
        <v>158</v>
      </c>
      <c r="CM272" s="129" t="s">
        <v>158</v>
      </c>
      <c r="CN272" s="129" t="s">
        <v>160</v>
      </c>
      <c r="CO272" s="129" t="s">
        <v>160</v>
      </c>
      <c r="CP272" s="129" t="s">
        <v>160</v>
      </c>
      <c r="CQ272" s="129" t="s">
        <v>160</v>
      </c>
      <c r="CR272" s="129" t="s">
        <v>160</v>
      </c>
      <c r="CS272" s="129" t="s">
        <v>160</v>
      </c>
      <c r="CT272" s="129" t="s">
        <v>160</v>
      </c>
      <c r="CU272" s="215">
        <v>35</v>
      </c>
      <c r="CV272" s="129" t="s">
        <v>393</v>
      </c>
      <c r="CW272" s="146">
        <v>1</v>
      </c>
      <c r="CX272" s="129" t="s">
        <v>207</v>
      </c>
      <c r="CY272" s="129">
        <v>1.06E-2</v>
      </c>
      <c r="CZ272" s="129" t="s">
        <v>159</v>
      </c>
      <c r="DA272" s="146">
        <v>0</v>
      </c>
      <c r="DB272" s="129" t="s">
        <v>208</v>
      </c>
      <c r="DC272" s="129">
        <v>5.5100000000000003E-2</v>
      </c>
      <c r="DD272" s="129" t="s">
        <v>159</v>
      </c>
      <c r="DE272" s="146">
        <v>0</v>
      </c>
      <c r="DF272" s="129" t="s">
        <v>208</v>
      </c>
      <c r="DG272" s="178" t="s">
        <v>160</v>
      </c>
      <c r="DH272" s="178" t="s">
        <v>160</v>
      </c>
      <c r="DI272" s="178" t="s">
        <v>160</v>
      </c>
      <c r="DJ272" s="178" t="s">
        <v>160</v>
      </c>
      <c r="DK272" s="145">
        <v>432.56244218316402</v>
      </c>
      <c r="DL272" s="129" t="s">
        <v>433</v>
      </c>
      <c r="DM272" s="145" t="s">
        <v>160</v>
      </c>
      <c r="DN272" s="129" t="s">
        <v>434</v>
      </c>
      <c r="DO272" s="129">
        <v>39.703899999999997</v>
      </c>
      <c r="DP272" s="129" t="s">
        <v>160</v>
      </c>
      <c r="DQ272" s="129">
        <v>0.35589000000000226</v>
      </c>
      <c r="DR272" s="129" t="s">
        <v>450</v>
      </c>
      <c r="DS272" s="129" t="s">
        <v>212</v>
      </c>
      <c r="DT272" s="129" t="s">
        <v>213</v>
      </c>
      <c r="DU272" s="129">
        <v>1.0271999999999999</v>
      </c>
      <c r="DV272" s="129" t="s">
        <v>393</v>
      </c>
      <c r="DW272" s="129">
        <v>5.9999999999999995E-4</v>
      </c>
      <c r="DX272" s="129" t="s">
        <v>436</v>
      </c>
      <c r="DY272" s="129" t="s">
        <v>160</v>
      </c>
      <c r="DZ272" s="129" t="s">
        <v>160</v>
      </c>
      <c r="EA272" s="129" t="s">
        <v>216</v>
      </c>
      <c r="EB272" s="129" t="s">
        <v>212</v>
      </c>
      <c r="EC272" s="129" t="s">
        <v>212</v>
      </c>
      <c r="ED272" s="129" t="s">
        <v>212</v>
      </c>
      <c r="EE272" s="129" t="s">
        <v>217</v>
      </c>
      <c r="EF272" s="147" t="s">
        <v>213</v>
      </c>
      <c r="EG272" s="148" t="s">
        <v>213</v>
      </c>
      <c r="EH272" s="129" t="s">
        <v>218</v>
      </c>
      <c r="EI272" s="129" t="s">
        <v>417</v>
      </c>
      <c r="EJ272" s="129" t="s">
        <v>160</v>
      </c>
      <c r="EK272" s="129">
        <v>1938.2090000000001</v>
      </c>
      <c r="EL272" s="129" t="s">
        <v>163</v>
      </c>
      <c r="EM272" s="129">
        <v>51.714000000000233</v>
      </c>
      <c r="EN272" s="129">
        <v>52.603000000000023</v>
      </c>
      <c r="EO272" s="129" t="s">
        <v>160</v>
      </c>
      <c r="EP272" s="129" t="s">
        <v>160</v>
      </c>
      <c r="EQ272" s="129" t="s">
        <v>160</v>
      </c>
      <c r="ER272" s="129" t="s">
        <v>160</v>
      </c>
      <c r="ES272" s="141">
        <v>8.0199200000000008</v>
      </c>
      <c r="ET272" s="142" t="s">
        <v>165</v>
      </c>
      <c r="EU272" s="141">
        <v>4.7004999999998631E-2</v>
      </c>
      <c r="EV272" s="141">
        <v>4.9415000000000653E-2</v>
      </c>
      <c r="EW272" s="142" t="s">
        <v>160</v>
      </c>
      <c r="EX272" s="129" t="s">
        <v>160</v>
      </c>
      <c r="EY272" s="129" t="s">
        <v>160</v>
      </c>
      <c r="EZ272" s="141">
        <v>369.64179999999999</v>
      </c>
      <c r="FA272" s="141">
        <v>54.646200000000022</v>
      </c>
      <c r="FB272" s="141">
        <v>45.287800000000004</v>
      </c>
      <c r="FC272" s="129" t="s">
        <v>220</v>
      </c>
      <c r="FD272" s="129" t="s">
        <v>221</v>
      </c>
      <c r="FE272" s="129">
        <v>2161.6239999999998</v>
      </c>
      <c r="FF272" s="129">
        <v>64.865000000000236</v>
      </c>
      <c r="FG272" s="129">
        <v>66.246999999999844</v>
      </c>
      <c r="FH272" s="129" t="s">
        <v>437</v>
      </c>
      <c r="FI272" s="129" t="s">
        <v>437</v>
      </c>
      <c r="FJ272" s="129" t="s">
        <v>437</v>
      </c>
      <c r="FK272" s="129" t="s">
        <v>437</v>
      </c>
      <c r="FL272" s="129" t="s">
        <v>437</v>
      </c>
      <c r="FM272" s="129" t="s">
        <v>437</v>
      </c>
      <c r="FN272" s="151">
        <v>3.2257009999999999</v>
      </c>
      <c r="FO272" s="151">
        <v>0.30896699999999999</v>
      </c>
      <c r="FP272" s="151">
        <v>0.302311</v>
      </c>
      <c r="FQ272" s="178" t="s">
        <v>419</v>
      </c>
      <c r="FR272" s="129" t="s">
        <v>439</v>
      </c>
      <c r="FS272" s="129">
        <v>2015</v>
      </c>
      <c r="FT272" s="129" t="s">
        <v>440</v>
      </c>
    </row>
    <row r="273" spans="1:176" s="129" customFormat="1" ht="17">
      <c r="A273" s="123" t="s">
        <v>152</v>
      </c>
      <c r="B273" s="166" t="s">
        <v>183</v>
      </c>
      <c r="C273" s="166">
        <v>2018</v>
      </c>
      <c r="D273" s="166" t="s">
        <v>184</v>
      </c>
      <c r="E273" s="151">
        <f t="shared" si="25"/>
        <v>3066.538086</v>
      </c>
      <c r="F273" s="191" t="s">
        <v>160</v>
      </c>
      <c r="G273" s="191" t="s">
        <v>160</v>
      </c>
      <c r="H273" s="151">
        <v>341.39279999999997</v>
      </c>
      <c r="I273" s="151">
        <v>48.779300000000035</v>
      </c>
      <c r="J273" s="151">
        <v>43.36749999999995</v>
      </c>
      <c r="K273" s="129" t="s">
        <v>457</v>
      </c>
      <c r="L273" s="131" t="s">
        <v>185</v>
      </c>
      <c r="M273" s="132" t="s">
        <v>186</v>
      </c>
      <c r="N273" s="129" t="s">
        <v>184</v>
      </c>
      <c r="O273" s="129" t="s">
        <v>420</v>
      </c>
      <c r="P273" s="129" t="s">
        <v>156</v>
      </c>
      <c r="Q273" s="178">
        <v>11</v>
      </c>
      <c r="R273" s="178">
        <v>5</v>
      </c>
      <c r="S273" s="178">
        <v>28</v>
      </c>
      <c r="T273" s="178">
        <v>30</v>
      </c>
      <c r="U273" s="178" t="s">
        <v>160</v>
      </c>
      <c r="V273" s="178" t="s">
        <v>160</v>
      </c>
      <c r="W273" s="178" t="s">
        <v>160</v>
      </c>
      <c r="X273" s="129" t="s">
        <v>157</v>
      </c>
      <c r="Y273" s="136">
        <v>12.75</v>
      </c>
      <c r="Z273" s="136">
        <v>-78.73</v>
      </c>
      <c r="AA273" s="136">
        <v>12.75</v>
      </c>
      <c r="AB273" s="136">
        <v>-78.73</v>
      </c>
      <c r="AC273" s="136">
        <v>-2828</v>
      </c>
      <c r="AD273" s="136">
        <v>-2828</v>
      </c>
      <c r="AE273" s="129" t="s">
        <v>160</v>
      </c>
      <c r="AF273" s="129" t="s">
        <v>160</v>
      </c>
      <c r="AG273" s="141">
        <v>3066.538086</v>
      </c>
      <c r="AH273" s="138" t="s">
        <v>159</v>
      </c>
      <c r="AI273" s="129" t="s">
        <v>160</v>
      </c>
      <c r="AJ273" s="129" t="s">
        <v>160</v>
      </c>
      <c r="AK273" s="178" t="s">
        <v>160</v>
      </c>
      <c r="AL273" s="178" t="s">
        <v>441</v>
      </c>
      <c r="AM273" s="178" t="s">
        <v>160</v>
      </c>
      <c r="AN273" s="129" t="s">
        <v>160</v>
      </c>
      <c r="AO273" s="129" t="s">
        <v>160</v>
      </c>
      <c r="AP273" s="129" t="s">
        <v>160</v>
      </c>
      <c r="AQ273" s="129" t="s">
        <v>160</v>
      </c>
      <c r="AR273" s="129" t="s">
        <v>160</v>
      </c>
      <c r="AS273" s="129" t="s">
        <v>160</v>
      </c>
      <c r="AT273" s="129" t="s">
        <v>160</v>
      </c>
      <c r="AU273" s="213" t="s">
        <v>442</v>
      </c>
      <c r="AV273" s="129" t="s">
        <v>161</v>
      </c>
      <c r="AW273" s="189" t="s">
        <v>443</v>
      </c>
      <c r="AX273" s="205" t="s">
        <v>444</v>
      </c>
      <c r="AY273" s="205" t="s">
        <v>353</v>
      </c>
      <c r="AZ273" s="205" t="s">
        <v>325</v>
      </c>
      <c r="BA273" s="214" t="s">
        <v>162</v>
      </c>
      <c r="BB273" s="129" t="s">
        <v>445</v>
      </c>
      <c r="BC273" s="129" t="s">
        <v>445</v>
      </c>
      <c r="BD273" s="129" t="s">
        <v>445</v>
      </c>
      <c r="BE273" s="141">
        <v>19.6676</v>
      </c>
      <c r="BF273" s="129" t="s">
        <v>446</v>
      </c>
      <c r="BG273" s="141">
        <v>0.113555926</v>
      </c>
      <c r="BH273" s="129">
        <v>0.6</v>
      </c>
      <c r="BI273" s="129" t="s">
        <v>427</v>
      </c>
      <c r="BJ273" s="138">
        <v>0.08</v>
      </c>
      <c r="BK273" s="129">
        <v>8.8699999999999992</v>
      </c>
      <c r="BL273" s="129" t="s">
        <v>163</v>
      </c>
      <c r="BM273" s="129">
        <v>1.52</v>
      </c>
      <c r="BN273" s="129" t="s">
        <v>428</v>
      </c>
      <c r="BO273" s="129" t="s">
        <v>448</v>
      </c>
      <c r="BP273" s="141">
        <f t="shared" si="26"/>
        <v>17.996000000000002</v>
      </c>
      <c r="BQ273" s="129" t="s">
        <v>202</v>
      </c>
      <c r="BR273" s="217"/>
      <c r="BS273" s="129" t="s">
        <v>160</v>
      </c>
      <c r="BT273" s="129" t="s">
        <v>160</v>
      </c>
      <c r="BU273" s="129">
        <v>10</v>
      </c>
      <c r="BV273" s="129" t="s">
        <v>159</v>
      </c>
      <c r="BW273" s="129">
        <v>10</v>
      </c>
      <c r="BX273" s="141">
        <v>24.073535441563308</v>
      </c>
      <c r="BY273" s="129" t="s">
        <v>159</v>
      </c>
      <c r="BZ273" s="129">
        <v>1</v>
      </c>
      <c r="CA273" s="129">
        <v>1</v>
      </c>
      <c r="CB273" s="141">
        <v>3.2071428815076004</v>
      </c>
      <c r="CC273" s="141">
        <v>3.2071428815076004</v>
      </c>
      <c r="CD273" s="129" t="s">
        <v>449</v>
      </c>
      <c r="CE273" s="151">
        <f t="shared" si="27"/>
        <v>8.6592857800705206E-2</v>
      </c>
      <c r="CF273" s="151">
        <f t="shared" si="28"/>
        <v>8.6592857800705206E-2</v>
      </c>
      <c r="CG273" s="145" t="s">
        <v>203</v>
      </c>
      <c r="CH273" s="129" t="s">
        <v>204</v>
      </c>
      <c r="CI273" s="129" t="s">
        <v>205</v>
      </c>
      <c r="CJ273" s="129" t="s">
        <v>206</v>
      </c>
      <c r="CK273" s="129" t="s">
        <v>158</v>
      </c>
      <c r="CL273" s="129" t="s">
        <v>158</v>
      </c>
      <c r="CM273" s="129" t="s">
        <v>158</v>
      </c>
      <c r="CN273" s="129" t="s">
        <v>160</v>
      </c>
      <c r="CO273" s="129" t="s">
        <v>160</v>
      </c>
      <c r="CP273" s="129" t="s">
        <v>160</v>
      </c>
      <c r="CQ273" s="129" t="s">
        <v>160</v>
      </c>
      <c r="CR273" s="129" t="s">
        <v>160</v>
      </c>
      <c r="CS273" s="129" t="s">
        <v>160</v>
      </c>
      <c r="CT273" s="129" t="s">
        <v>160</v>
      </c>
      <c r="CU273" s="215">
        <v>35</v>
      </c>
      <c r="CV273" s="129" t="s">
        <v>393</v>
      </c>
      <c r="CW273" s="146">
        <v>1</v>
      </c>
      <c r="CX273" s="129" t="s">
        <v>207</v>
      </c>
      <c r="CY273" s="129">
        <v>1.06E-2</v>
      </c>
      <c r="CZ273" s="129" t="s">
        <v>159</v>
      </c>
      <c r="DA273" s="146">
        <v>0</v>
      </c>
      <c r="DB273" s="129" t="s">
        <v>208</v>
      </c>
      <c r="DC273" s="129">
        <v>5.5100000000000003E-2</v>
      </c>
      <c r="DD273" s="129" t="s">
        <v>159</v>
      </c>
      <c r="DE273" s="146">
        <v>0</v>
      </c>
      <c r="DF273" s="129" t="s">
        <v>208</v>
      </c>
      <c r="DG273" s="178" t="s">
        <v>160</v>
      </c>
      <c r="DH273" s="178" t="s">
        <v>160</v>
      </c>
      <c r="DI273" s="178" t="s">
        <v>160</v>
      </c>
      <c r="DJ273" s="178" t="s">
        <v>160</v>
      </c>
      <c r="DK273" s="145">
        <v>432.56244218316402</v>
      </c>
      <c r="DL273" s="129" t="s">
        <v>433</v>
      </c>
      <c r="DM273" s="145" t="s">
        <v>160</v>
      </c>
      <c r="DN273" s="129" t="s">
        <v>434</v>
      </c>
      <c r="DO273" s="129">
        <v>39.6982</v>
      </c>
      <c r="DP273" s="129" t="s">
        <v>160</v>
      </c>
      <c r="DQ273" s="129">
        <v>0.36617999999999995</v>
      </c>
      <c r="DR273" s="129" t="s">
        <v>450</v>
      </c>
      <c r="DS273" s="129" t="s">
        <v>212</v>
      </c>
      <c r="DT273" s="129" t="s">
        <v>213</v>
      </c>
      <c r="DU273" s="129">
        <v>1.0271999999999999</v>
      </c>
      <c r="DV273" s="129" t="s">
        <v>393</v>
      </c>
      <c r="DW273" s="129">
        <v>5.9999999999999995E-4</v>
      </c>
      <c r="DX273" s="129" t="s">
        <v>436</v>
      </c>
      <c r="DY273" s="129" t="s">
        <v>160</v>
      </c>
      <c r="DZ273" s="129" t="s">
        <v>160</v>
      </c>
      <c r="EA273" s="129" t="s">
        <v>216</v>
      </c>
      <c r="EB273" s="129" t="s">
        <v>212</v>
      </c>
      <c r="EC273" s="129" t="s">
        <v>212</v>
      </c>
      <c r="ED273" s="129" t="s">
        <v>212</v>
      </c>
      <c r="EE273" s="129" t="s">
        <v>217</v>
      </c>
      <c r="EF273" s="147" t="s">
        <v>213</v>
      </c>
      <c r="EG273" s="148" t="s">
        <v>213</v>
      </c>
      <c r="EH273" s="129" t="s">
        <v>218</v>
      </c>
      <c r="EI273" s="129" t="s">
        <v>417</v>
      </c>
      <c r="EJ273" s="129" t="s">
        <v>160</v>
      </c>
      <c r="EK273" s="129">
        <v>1937.5849999999998</v>
      </c>
      <c r="EL273" s="129" t="s">
        <v>163</v>
      </c>
      <c r="EM273" s="129">
        <v>51.535000000000124</v>
      </c>
      <c r="EN273" s="129">
        <v>49.994999999999941</v>
      </c>
      <c r="EO273" s="129" t="s">
        <v>160</v>
      </c>
      <c r="EP273" s="129" t="s">
        <v>160</v>
      </c>
      <c r="EQ273" s="129" t="s">
        <v>160</v>
      </c>
      <c r="ER273" s="129" t="s">
        <v>160</v>
      </c>
      <c r="ES273" s="141">
        <v>8.0486109999999993</v>
      </c>
      <c r="ET273" s="142" t="s">
        <v>165</v>
      </c>
      <c r="EU273" s="141">
        <v>4.7318000000000637E-2</v>
      </c>
      <c r="EV273" s="141">
        <v>4.7147999999999968E-2</v>
      </c>
      <c r="EW273" s="142" t="s">
        <v>160</v>
      </c>
      <c r="EX273" s="129" t="s">
        <v>160</v>
      </c>
      <c r="EY273" s="129" t="s">
        <v>160</v>
      </c>
      <c r="EZ273" s="141">
        <v>341.39279999999997</v>
      </c>
      <c r="FA273" s="141">
        <v>48.779300000000035</v>
      </c>
      <c r="FB273" s="141">
        <v>43.36749999999995</v>
      </c>
      <c r="FC273" s="129" t="s">
        <v>220</v>
      </c>
      <c r="FD273" s="129" t="s">
        <v>221</v>
      </c>
      <c r="FE273" s="129">
        <v>2175.2759999999998</v>
      </c>
      <c r="FF273" s="129">
        <v>64.637000000000171</v>
      </c>
      <c r="FG273" s="129">
        <v>66.391999999999825</v>
      </c>
      <c r="FH273" s="129" t="s">
        <v>437</v>
      </c>
      <c r="FI273" s="129" t="s">
        <v>437</v>
      </c>
      <c r="FJ273" s="129" t="s">
        <v>437</v>
      </c>
      <c r="FK273" s="129" t="s">
        <v>437</v>
      </c>
      <c r="FL273" s="129" t="s">
        <v>437</v>
      </c>
      <c r="FM273" s="129" t="s">
        <v>437</v>
      </c>
      <c r="FN273" s="151">
        <v>3.3649439999999999</v>
      </c>
      <c r="FO273" s="151">
        <v>0.31412299999999993</v>
      </c>
      <c r="FP273" s="151">
        <v>0.31073899999999988</v>
      </c>
      <c r="FQ273" s="178" t="s">
        <v>419</v>
      </c>
      <c r="FR273" s="129" t="s">
        <v>439</v>
      </c>
      <c r="FS273" s="129">
        <v>2015</v>
      </c>
      <c r="FT273" s="129" t="s">
        <v>440</v>
      </c>
    </row>
    <row r="274" spans="1:176" s="129" customFormat="1" ht="17">
      <c r="A274" s="123" t="s">
        <v>152</v>
      </c>
      <c r="B274" s="166" t="s">
        <v>183</v>
      </c>
      <c r="C274" s="166">
        <v>2018</v>
      </c>
      <c r="D274" s="166" t="s">
        <v>184</v>
      </c>
      <c r="E274" s="151">
        <f t="shared" si="25"/>
        <v>3091.1833499999998</v>
      </c>
      <c r="F274" s="191" t="s">
        <v>160</v>
      </c>
      <c r="G274" s="191" t="s">
        <v>160</v>
      </c>
      <c r="H274" s="151">
        <v>303.93549999999999</v>
      </c>
      <c r="I274" s="151">
        <v>42.135400000000004</v>
      </c>
      <c r="J274" s="151">
        <v>36.332299999999975</v>
      </c>
      <c r="K274" s="129" t="s">
        <v>457</v>
      </c>
      <c r="L274" s="131" t="s">
        <v>185</v>
      </c>
      <c r="M274" s="132" t="s">
        <v>186</v>
      </c>
      <c r="N274" s="129" t="s">
        <v>184</v>
      </c>
      <c r="O274" s="129" t="s">
        <v>420</v>
      </c>
      <c r="P274" s="129" t="s">
        <v>156</v>
      </c>
      <c r="Q274" s="178">
        <v>11</v>
      </c>
      <c r="R274" s="178">
        <v>5</v>
      </c>
      <c r="S274" s="178">
        <v>112</v>
      </c>
      <c r="T274" s="178">
        <v>114</v>
      </c>
      <c r="U274" s="178" t="s">
        <v>160</v>
      </c>
      <c r="V274" s="178" t="s">
        <v>160</v>
      </c>
      <c r="W274" s="178" t="s">
        <v>160</v>
      </c>
      <c r="X274" s="129" t="s">
        <v>157</v>
      </c>
      <c r="Y274" s="136">
        <v>12.75</v>
      </c>
      <c r="Z274" s="136">
        <v>-78.73</v>
      </c>
      <c r="AA274" s="136">
        <v>12.75</v>
      </c>
      <c r="AB274" s="136">
        <v>-78.73</v>
      </c>
      <c r="AC274" s="136">
        <v>-2828</v>
      </c>
      <c r="AD274" s="136">
        <v>-2828</v>
      </c>
      <c r="AE274" s="129" t="s">
        <v>160</v>
      </c>
      <c r="AF274" s="129" t="s">
        <v>160</v>
      </c>
      <c r="AG274" s="141">
        <v>3091.1833499999998</v>
      </c>
      <c r="AH274" s="138" t="s">
        <v>159</v>
      </c>
      <c r="AI274" s="129" t="s">
        <v>160</v>
      </c>
      <c r="AJ274" s="129" t="s">
        <v>160</v>
      </c>
      <c r="AK274" s="178" t="s">
        <v>160</v>
      </c>
      <c r="AL274" s="178" t="s">
        <v>441</v>
      </c>
      <c r="AM274" s="178" t="s">
        <v>160</v>
      </c>
      <c r="AN274" s="129" t="s">
        <v>160</v>
      </c>
      <c r="AO274" s="129" t="s">
        <v>160</v>
      </c>
      <c r="AP274" s="129" t="s">
        <v>160</v>
      </c>
      <c r="AQ274" s="129" t="s">
        <v>160</v>
      </c>
      <c r="AR274" s="129" t="s">
        <v>160</v>
      </c>
      <c r="AS274" s="129" t="s">
        <v>160</v>
      </c>
      <c r="AT274" s="129" t="s">
        <v>160</v>
      </c>
      <c r="AU274" s="213" t="s">
        <v>442</v>
      </c>
      <c r="AV274" s="129" t="s">
        <v>161</v>
      </c>
      <c r="AW274" s="189" t="s">
        <v>443</v>
      </c>
      <c r="AX274" s="189" t="s">
        <v>444</v>
      </c>
      <c r="AY274" s="205" t="s">
        <v>353</v>
      </c>
      <c r="AZ274" s="205" t="s">
        <v>325</v>
      </c>
      <c r="BA274" s="129" t="s">
        <v>162</v>
      </c>
      <c r="BB274" s="129" t="s">
        <v>445</v>
      </c>
      <c r="BC274" s="129" t="s">
        <v>445</v>
      </c>
      <c r="BD274" s="129" t="s">
        <v>445</v>
      </c>
      <c r="BE274" s="141">
        <v>20.033519999999999</v>
      </c>
      <c r="BF274" s="129" t="s">
        <v>446</v>
      </c>
      <c r="BG274" s="141">
        <v>0.108315068</v>
      </c>
      <c r="BH274" s="129">
        <v>0.6</v>
      </c>
      <c r="BI274" s="129" t="s">
        <v>427</v>
      </c>
      <c r="BJ274" s="138">
        <v>0.08</v>
      </c>
      <c r="BK274" s="129">
        <v>8.8699999999999992</v>
      </c>
      <c r="BL274" s="129" t="s">
        <v>163</v>
      </c>
      <c r="BM274" s="129">
        <v>1.52</v>
      </c>
      <c r="BN274" s="129" t="s">
        <v>428</v>
      </c>
      <c r="BO274" s="129" t="s">
        <v>448</v>
      </c>
      <c r="BP274" s="141">
        <f t="shared" si="26"/>
        <v>18.605866666666667</v>
      </c>
      <c r="BQ274" s="129" t="s">
        <v>202</v>
      </c>
      <c r="BR274" s="217"/>
      <c r="BS274" s="129" t="s">
        <v>160</v>
      </c>
      <c r="BT274" s="129" t="s">
        <v>160</v>
      </c>
      <c r="BU274" s="129">
        <v>10</v>
      </c>
      <c r="BV274" s="129" t="s">
        <v>159</v>
      </c>
      <c r="BW274" s="129">
        <v>10</v>
      </c>
      <c r="BX274" s="141">
        <v>25.255254976855156</v>
      </c>
      <c r="BY274" s="129" t="s">
        <v>159</v>
      </c>
      <c r="BZ274" s="129">
        <v>1</v>
      </c>
      <c r="CA274" s="129">
        <v>1</v>
      </c>
      <c r="CB274" s="141">
        <v>3.5661056276710639</v>
      </c>
      <c r="CC274" s="141">
        <v>3.5661056276710639</v>
      </c>
      <c r="CD274" s="129" t="s">
        <v>449</v>
      </c>
      <c r="CE274" s="151">
        <f t="shared" si="27"/>
        <v>9.6284851947118721E-2</v>
      </c>
      <c r="CF274" s="151">
        <f t="shared" si="28"/>
        <v>9.6284851947118721E-2</v>
      </c>
      <c r="CG274" s="145" t="s">
        <v>203</v>
      </c>
      <c r="CH274" s="129" t="s">
        <v>204</v>
      </c>
      <c r="CI274" s="129" t="s">
        <v>205</v>
      </c>
      <c r="CJ274" s="129" t="s">
        <v>206</v>
      </c>
      <c r="CK274" s="129" t="s">
        <v>158</v>
      </c>
      <c r="CL274" s="129" t="s">
        <v>158</v>
      </c>
      <c r="CM274" s="129" t="s">
        <v>158</v>
      </c>
      <c r="CN274" s="129" t="s">
        <v>160</v>
      </c>
      <c r="CO274" s="129" t="s">
        <v>160</v>
      </c>
      <c r="CP274" s="129" t="s">
        <v>160</v>
      </c>
      <c r="CQ274" s="129" t="s">
        <v>160</v>
      </c>
      <c r="CR274" s="129" t="s">
        <v>160</v>
      </c>
      <c r="CS274" s="129" t="s">
        <v>160</v>
      </c>
      <c r="CT274" s="129" t="s">
        <v>160</v>
      </c>
      <c r="CU274" s="215">
        <v>35</v>
      </c>
      <c r="CV274" s="129" t="s">
        <v>393</v>
      </c>
      <c r="CW274" s="146">
        <v>1</v>
      </c>
      <c r="CX274" s="129" t="s">
        <v>207</v>
      </c>
      <c r="CY274" s="129">
        <v>1.06E-2</v>
      </c>
      <c r="CZ274" s="129" t="s">
        <v>159</v>
      </c>
      <c r="DA274" s="146">
        <v>0</v>
      </c>
      <c r="DB274" s="129" t="s">
        <v>208</v>
      </c>
      <c r="DC274" s="129">
        <v>5.5100000000000003E-2</v>
      </c>
      <c r="DD274" s="129" t="s">
        <v>159</v>
      </c>
      <c r="DE274" s="146">
        <v>0</v>
      </c>
      <c r="DF274" s="129" t="s">
        <v>208</v>
      </c>
      <c r="DG274" s="178" t="s">
        <v>160</v>
      </c>
      <c r="DH274" s="178" t="s">
        <v>160</v>
      </c>
      <c r="DI274" s="178" t="s">
        <v>160</v>
      </c>
      <c r="DJ274" s="178" t="s">
        <v>160</v>
      </c>
      <c r="DK274" s="145">
        <v>432.56244218316402</v>
      </c>
      <c r="DL274" s="129" t="s">
        <v>433</v>
      </c>
      <c r="DM274" s="145" t="s">
        <v>160</v>
      </c>
      <c r="DN274" s="129" t="s">
        <v>434</v>
      </c>
      <c r="DO274" s="129">
        <v>39.698340000000002</v>
      </c>
      <c r="DP274" s="129" t="s">
        <v>160</v>
      </c>
      <c r="DQ274" s="129">
        <v>0.3669399999999996</v>
      </c>
      <c r="DR274" s="129" t="s">
        <v>450</v>
      </c>
      <c r="DS274" s="129" t="s">
        <v>212</v>
      </c>
      <c r="DT274" s="129" t="s">
        <v>213</v>
      </c>
      <c r="DU274" s="129">
        <v>1.0271999999999999</v>
      </c>
      <c r="DV274" s="129" t="s">
        <v>393</v>
      </c>
      <c r="DW274" s="129">
        <v>5.9999999999999995E-4</v>
      </c>
      <c r="DX274" s="129" t="s">
        <v>436</v>
      </c>
      <c r="DY274" s="129" t="s">
        <v>160</v>
      </c>
      <c r="DZ274" s="129" t="s">
        <v>160</v>
      </c>
      <c r="EA274" s="129" t="s">
        <v>216</v>
      </c>
      <c r="EB274" s="129" t="s">
        <v>212</v>
      </c>
      <c r="EC274" s="129" t="s">
        <v>212</v>
      </c>
      <c r="ED274" s="129" t="s">
        <v>212</v>
      </c>
      <c r="EE274" s="129" t="s">
        <v>217</v>
      </c>
      <c r="EF274" s="147" t="s">
        <v>213</v>
      </c>
      <c r="EG274" s="148" t="s">
        <v>213</v>
      </c>
      <c r="EH274" s="129" t="s">
        <v>218</v>
      </c>
      <c r="EI274" s="129" t="s">
        <v>417</v>
      </c>
      <c r="EJ274" s="129" t="s">
        <v>160</v>
      </c>
      <c r="EK274" s="129">
        <v>1937.2630000000001</v>
      </c>
      <c r="EL274" s="129" t="s">
        <v>163</v>
      </c>
      <c r="EM274" s="129">
        <v>51.272999999999904</v>
      </c>
      <c r="EN274" s="129">
        <v>51.43200000000013</v>
      </c>
      <c r="EO274" s="129" t="s">
        <v>160</v>
      </c>
      <c r="EP274" s="129" t="s">
        <v>160</v>
      </c>
      <c r="EQ274" s="129" t="s">
        <v>160</v>
      </c>
      <c r="ER274" s="129" t="s">
        <v>160</v>
      </c>
      <c r="ES274" s="141">
        <v>8.0907929999999997</v>
      </c>
      <c r="ET274" s="142" t="s">
        <v>165</v>
      </c>
      <c r="EU274" s="141">
        <v>4.3720999999999677E-2</v>
      </c>
      <c r="EV274" s="141">
        <v>4.4915999999998846E-2</v>
      </c>
      <c r="EW274" s="142" t="s">
        <v>160</v>
      </c>
      <c r="EX274" s="129" t="s">
        <v>160</v>
      </c>
      <c r="EY274" s="129" t="s">
        <v>160</v>
      </c>
      <c r="EZ274" s="141">
        <v>303.93549999999999</v>
      </c>
      <c r="FA274" s="141">
        <v>42.135400000000004</v>
      </c>
      <c r="FB274" s="141">
        <v>36.332299999999975</v>
      </c>
      <c r="FC274" s="129" t="s">
        <v>220</v>
      </c>
      <c r="FD274" s="129" t="s">
        <v>221</v>
      </c>
      <c r="FE274" s="129">
        <v>2210.8980000000001</v>
      </c>
      <c r="FF274" s="129">
        <v>66.965000000000146</v>
      </c>
      <c r="FG274" s="129">
        <v>66.777000000000044</v>
      </c>
      <c r="FH274" s="129" t="s">
        <v>437</v>
      </c>
      <c r="FI274" s="129" t="s">
        <v>437</v>
      </c>
      <c r="FJ274" s="129" t="s">
        <v>437</v>
      </c>
      <c r="FK274" s="129" t="s">
        <v>437</v>
      </c>
      <c r="FL274" s="129" t="s">
        <v>437</v>
      </c>
      <c r="FM274" s="129" t="s">
        <v>437</v>
      </c>
      <c r="FN274" s="151">
        <v>3.828227</v>
      </c>
      <c r="FO274" s="151">
        <v>0.34145299999999956</v>
      </c>
      <c r="FP274" s="151">
        <v>0.31049399999999983</v>
      </c>
      <c r="FQ274" s="178" t="s">
        <v>419</v>
      </c>
      <c r="FR274" s="129" t="s">
        <v>439</v>
      </c>
      <c r="FS274" s="129">
        <v>2015</v>
      </c>
      <c r="FT274" s="129" t="s">
        <v>440</v>
      </c>
    </row>
    <row r="275" spans="1:176" s="129" customFormat="1" ht="17">
      <c r="A275" s="123" t="s">
        <v>152</v>
      </c>
      <c r="B275" s="166" t="s">
        <v>183</v>
      </c>
      <c r="C275" s="166">
        <v>2018</v>
      </c>
      <c r="D275" s="166" t="s">
        <v>184</v>
      </c>
      <c r="E275" s="151">
        <f t="shared" si="25"/>
        <v>3100.1770019999999</v>
      </c>
      <c r="F275" s="191" t="s">
        <v>160</v>
      </c>
      <c r="G275" s="191" t="s">
        <v>160</v>
      </c>
      <c r="H275" s="151">
        <v>291.5539</v>
      </c>
      <c r="I275" s="151">
        <v>39.349899999999991</v>
      </c>
      <c r="J275" s="151">
        <v>33.93769999999995</v>
      </c>
      <c r="K275" s="129" t="s">
        <v>457</v>
      </c>
      <c r="L275" s="131" t="s">
        <v>185</v>
      </c>
      <c r="M275" s="132" t="s">
        <v>186</v>
      </c>
      <c r="N275" s="129" t="s">
        <v>184</v>
      </c>
      <c r="O275" s="129" t="s">
        <v>420</v>
      </c>
      <c r="P275" s="129" t="s">
        <v>156</v>
      </c>
      <c r="Q275" s="178">
        <v>11</v>
      </c>
      <c r="R275" s="178">
        <v>5</v>
      </c>
      <c r="S275" s="178">
        <v>142</v>
      </c>
      <c r="T275" s="178">
        <v>144</v>
      </c>
      <c r="U275" s="178" t="s">
        <v>160</v>
      </c>
      <c r="V275" s="178" t="s">
        <v>160</v>
      </c>
      <c r="W275" s="178" t="s">
        <v>160</v>
      </c>
      <c r="X275" s="129" t="s">
        <v>157</v>
      </c>
      <c r="Y275" s="136">
        <v>12.75</v>
      </c>
      <c r="Z275" s="136">
        <v>-78.73</v>
      </c>
      <c r="AA275" s="136">
        <v>12.75</v>
      </c>
      <c r="AB275" s="136">
        <v>-78.73</v>
      </c>
      <c r="AC275" s="136">
        <v>-2828</v>
      </c>
      <c r="AD275" s="136">
        <v>-2828</v>
      </c>
      <c r="AE275" s="129" t="s">
        <v>160</v>
      </c>
      <c r="AF275" s="129" t="s">
        <v>160</v>
      </c>
      <c r="AG275" s="141">
        <v>3100.1770019999999</v>
      </c>
      <c r="AH275" s="138" t="s">
        <v>159</v>
      </c>
      <c r="AI275" s="129" t="s">
        <v>160</v>
      </c>
      <c r="AJ275" s="129" t="s">
        <v>160</v>
      </c>
      <c r="AK275" s="178" t="s">
        <v>160</v>
      </c>
      <c r="AL275" s="178" t="s">
        <v>441</v>
      </c>
      <c r="AM275" s="178" t="s">
        <v>160</v>
      </c>
      <c r="AN275" s="129" t="s">
        <v>160</v>
      </c>
      <c r="AO275" s="129" t="s">
        <v>160</v>
      </c>
      <c r="AP275" s="129" t="s">
        <v>160</v>
      </c>
      <c r="AQ275" s="129" t="s">
        <v>160</v>
      </c>
      <c r="AR275" s="129" t="s">
        <v>160</v>
      </c>
      <c r="AS275" s="129" t="s">
        <v>160</v>
      </c>
      <c r="AT275" s="129" t="s">
        <v>160</v>
      </c>
      <c r="AU275" s="213" t="s">
        <v>442</v>
      </c>
      <c r="AV275" s="129" t="s">
        <v>161</v>
      </c>
      <c r="AW275" s="189" t="s">
        <v>443</v>
      </c>
      <c r="AX275" s="205" t="s">
        <v>444</v>
      </c>
      <c r="AY275" s="205" t="s">
        <v>353</v>
      </c>
      <c r="AZ275" s="205" t="s">
        <v>325</v>
      </c>
      <c r="BA275" s="214" t="s">
        <v>162</v>
      </c>
      <c r="BB275" s="129" t="s">
        <v>445</v>
      </c>
      <c r="BC275" s="129" t="s">
        <v>445</v>
      </c>
      <c r="BD275" s="129" t="s">
        <v>445</v>
      </c>
      <c r="BE275" s="141">
        <v>20.10444</v>
      </c>
      <c r="BF275" s="129" t="s">
        <v>446</v>
      </c>
      <c r="BG275" s="141">
        <v>0.10635955900000001</v>
      </c>
      <c r="BH275" s="129">
        <v>0.6</v>
      </c>
      <c r="BI275" s="129" t="s">
        <v>427</v>
      </c>
      <c r="BJ275" s="138">
        <v>0.08</v>
      </c>
      <c r="BK275" s="129">
        <v>8.8699999999999992</v>
      </c>
      <c r="BL275" s="129" t="s">
        <v>163</v>
      </c>
      <c r="BM275" s="129">
        <v>1.52</v>
      </c>
      <c r="BN275" s="129" t="s">
        <v>428</v>
      </c>
      <c r="BO275" s="129" t="s">
        <v>448</v>
      </c>
      <c r="BP275" s="141">
        <f t="shared" si="26"/>
        <v>18.724066666666669</v>
      </c>
      <c r="BQ275" s="129" t="s">
        <v>202</v>
      </c>
      <c r="BR275" s="217"/>
      <c r="BS275" s="129" t="s">
        <v>160</v>
      </c>
      <c r="BT275" s="129" t="s">
        <v>160</v>
      </c>
      <c r="BU275" s="129">
        <v>10</v>
      </c>
      <c r="BV275" s="129" t="s">
        <v>159</v>
      </c>
      <c r="BW275" s="129">
        <v>10</v>
      </c>
      <c r="BX275" s="141">
        <v>24.900272970392706</v>
      </c>
      <c r="BY275" s="129" t="s">
        <v>159</v>
      </c>
      <c r="BZ275" s="129">
        <v>1</v>
      </c>
      <c r="CA275" s="129">
        <v>1</v>
      </c>
      <c r="CB275" s="141">
        <v>3.4536460145750554</v>
      </c>
      <c r="CC275" s="141">
        <v>3.4536460145750554</v>
      </c>
      <c r="CD275" s="129" t="s">
        <v>449</v>
      </c>
      <c r="CE275" s="151">
        <f t="shared" si="27"/>
        <v>9.324844239352649E-2</v>
      </c>
      <c r="CF275" s="151">
        <f t="shared" si="28"/>
        <v>9.324844239352649E-2</v>
      </c>
      <c r="CG275" s="145" t="s">
        <v>203</v>
      </c>
      <c r="CH275" s="129" t="s">
        <v>204</v>
      </c>
      <c r="CI275" s="129" t="s">
        <v>205</v>
      </c>
      <c r="CJ275" s="129" t="s">
        <v>206</v>
      </c>
      <c r="CK275" s="129" t="s">
        <v>158</v>
      </c>
      <c r="CL275" s="129" t="s">
        <v>158</v>
      </c>
      <c r="CM275" s="129" t="s">
        <v>158</v>
      </c>
      <c r="CN275" s="129" t="s">
        <v>160</v>
      </c>
      <c r="CO275" s="129" t="s">
        <v>160</v>
      </c>
      <c r="CP275" s="129" t="s">
        <v>160</v>
      </c>
      <c r="CQ275" s="129" t="s">
        <v>160</v>
      </c>
      <c r="CR275" s="129" t="s">
        <v>160</v>
      </c>
      <c r="CS275" s="129" t="s">
        <v>160</v>
      </c>
      <c r="CT275" s="129" t="s">
        <v>160</v>
      </c>
      <c r="CU275" s="215">
        <v>35</v>
      </c>
      <c r="CV275" s="129" t="s">
        <v>393</v>
      </c>
      <c r="CW275" s="146">
        <v>1</v>
      </c>
      <c r="CX275" s="129" t="s">
        <v>207</v>
      </c>
      <c r="CY275" s="129">
        <v>1.06E-2</v>
      </c>
      <c r="CZ275" s="129" t="s">
        <v>159</v>
      </c>
      <c r="DA275" s="146">
        <v>0</v>
      </c>
      <c r="DB275" s="129" t="s">
        <v>208</v>
      </c>
      <c r="DC275" s="129">
        <v>5.5100000000000003E-2</v>
      </c>
      <c r="DD275" s="129" t="s">
        <v>159</v>
      </c>
      <c r="DE275" s="146">
        <v>0</v>
      </c>
      <c r="DF275" s="129" t="s">
        <v>208</v>
      </c>
      <c r="DG275" s="178" t="s">
        <v>160</v>
      </c>
      <c r="DH275" s="178" t="s">
        <v>160</v>
      </c>
      <c r="DI275" s="178" t="s">
        <v>160</v>
      </c>
      <c r="DJ275" s="178" t="s">
        <v>160</v>
      </c>
      <c r="DK275" s="145">
        <v>432.56244218316402</v>
      </c>
      <c r="DL275" s="129" t="s">
        <v>433</v>
      </c>
      <c r="DM275" s="145" t="s">
        <v>160</v>
      </c>
      <c r="DN275" s="129" t="s">
        <v>434</v>
      </c>
      <c r="DO275" s="129">
        <v>39.698349999999998</v>
      </c>
      <c r="DP275" s="129" t="s">
        <v>160</v>
      </c>
      <c r="DQ275" s="129">
        <v>0.36195000000000022</v>
      </c>
      <c r="DR275" s="129" t="s">
        <v>450</v>
      </c>
      <c r="DS275" s="129" t="s">
        <v>212</v>
      </c>
      <c r="DT275" s="129" t="s">
        <v>213</v>
      </c>
      <c r="DU275" s="129">
        <v>1.0271999999999999</v>
      </c>
      <c r="DV275" s="129" t="s">
        <v>393</v>
      </c>
      <c r="DW275" s="129">
        <v>5.9999999999999995E-4</v>
      </c>
      <c r="DX275" s="129" t="s">
        <v>436</v>
      </c>
      <c r="DY275" s="129" t="s">
        <v>160</v>
      </c>
      <c r="DZ275" s="129" t="s">
        <v>160</v>
      </c>
      <c r="EA275" s="129" t="s">
        <v>216</v>
      </c>
      <c r="EB275" s="129" t="s">
        <v>212</v>
      </c>
      <c r="EC275" s="129" t="s">
        <v>212</v>
      </c>
      <c r="ED275" s="129" t="s">
        <v>212</v>
      </c>
      <c r="EE275" s="129" t="s">
        <v>217</v>
      </c>
      <c r="EF275" s="147" t="s">
        <v>213</v>
      </c>
      <c r="EG275" s="148" t="s">
        <v>213</v>
      </c>
      <c r="EH275" s="129" t="s">
        <v>218</v>
      </c>
      <c r="EI275" s="129" t="s">
        <v>417</v>
      </c>
      <c r="EJ275" s="129" t="s">
        <v>160</v>
      </c>
      <c r="EK275" s="129">
        <v>1937.1690000000001</v>
      </c>
      <c r="EL275" s="129" t="s">
        <v>163</v>
      </c>
      <c r="EM275" s="129">
        <v>53.130999999999879</v>
      </c>
      <c r="EN275" s="129">
        <v>52.023000000000003</v>
      </c>
      <c r="EO275" s="129" t="s">
        <v>160</v>
      </c>
      <c r="EP275" s="129" t="s">
        <v>160</v>
      </c>
      <c r="EQ275" s="129" t="s">
        <v>160</v>
      </c>
      <c r="ER275" s="129" t="s">
        <v>160</v>
      </c>
      <c r="ES275" s="141">
        <v>8.1051889999999993</v>
      </c>
      <c r="ET275" s="142" t="s">
        <v>165</v>
      </c>
      <c r="EU275" s="141">
        <v>4.3290000000000717E-2</v>
      </c>
      <c r="EV275" s="141">
        <v>4.3780999999999182E-2</v>
      </c>
      <c r="EW275" s="142" t="s">
        <v>160</v>
      </c>
      <c r="EX275" s="129" t="s">
        <v>160</v>
      </c>
      <c r="EY275" s="129" t="s">
        <v>160</v>
      </c>
      <c r="EZ275" s="141">
        <v>291.5539</v>
      </c>
      <c r="FA275" s="141">
        <v>39.349899999999991</v>
      </c>
      <c r="FB275" s="141">
        <v>33.93769999999995</v>
      </c>
      <c r="FC275" s="129" t="s">
        <v>220</v>
      </c>
      <c r="FD275" s="129" t="s">
        <v>221</v>
      </c>
      <c r="FE275" s="129">
        <v>2217.4519999999998</v>
      </c>
      <c r="FF275" s="129">
        <v>67.302000000000135</v>
      </c>
      <c r="FG275" s="129">
        <v>66.248999999999796</v>
      </c>
      <c r="FH275" s="129" t="s">
        <v>437</v>
      </c>
      <c r="FI275" s="129" t="s">
        <v>437</v>
      </c>
      <c r="FJ275" s="129" t="s">
        <v>437</v>
      </c>
      <c r="FK275" s="129" t="s">
        <v>437</v>
      </c>
      <c r="FL275" s="129" t="s">
        <v>437</v>
      </c>
      <c r="FM275" s="129" t="s">
        <v>437</v>
      </c>
      <c r="FN275" s="151">
        <v>3.896058</v>
      </c>
      <c r="FO275" s="151">
        <v>0.32979100000000017</v>
      </c>
      <c r="FP275" s="151">
        <v>0.31300699999999981</v>
      </c>
      <c r="FQ275" s="178" t="s">
        <v>419</v>
      </c>
      <c r="FR275" s="129" t="s">
        <v>439</v>
      </c>
      <c r="FS275" s="129">
        <v>2015</v>
      </c>
      <c r="FT275" s="129" t="s">
        <v>440</v>
      </c>
    </row>
    <row r="276" spans="1:176" s="129" customFormat="1" ht="17">
      <c r="A276" s="123" t="s">
        <v>152</v>
      </c>
      <c r="B276" s="166" t="s">
        <v>183</v>
      </c>
      <c r="C276" s="166">
        <v>2018</v>
      </c>
      <c r="D276" s="166" t="s">
        <v>184</v>
      </c>
      <c r="E276" s="151">
        <f t="shared" si="25"/>
        <v>3114.2382809999999</v>
      </c>
      <c r="F276" s="191" t="s">
        <v>160</v>
      </c>
      <c r="G276" s="191" t="s">
        <v>160</v>
      </c>
      <c r="H276" s="151">
        <v>350.03980000000001</v>
      </c>
      <c r="I276" s="151">
        <v>50.309499999999957</v>
      </c>
      <c r="J276" s="151">
        <v>42.861199999999997</v>
      </c>
      <c r="K276" s="129" t="s">
        <v>457</v>
      </c>
      <c r="L276" s="131" t="s">
        <v>185</v>
      </c>
      <c r="M276" s="132" t="s">
        <v>186</v>
      </c>
      <c r="N276" s="129" t="s">
        <v>184</v>
      </c>
      <c r="O276" s="129" t="s">
        <v>420</v>
      </c>
      <c r="P276" s="129" t="s">
        <v>156</v>
      </c>
      <c r="Q276" s="178">
        <v>11</v>
      </c>
      <c r="R276" s="178">
        <v>6</v>
      </c>
      <c r="S276" s="178">
        <v>38</v>
      </c>
      <c r="T276" s="178">
        <v>40</v>
      </c>
      <c r="U276" s="178" t="s">
        <v>160</v>
      </c>
      <c r="V276" s="178" t="s">
        <v>160</v>
      </c>
      <c r="W276" s="178" t="s">
        <v>160</v>
      </c>
      <c r="X276" s="129" t="s">
        <v>157</v>
      </c>
      <c r="Y276" s="136">
        <v>12.75</v>
      </c>
      <c r="Z276" s="136">
        <v>-78.73</v>
      </c>
      <c r="AA276" s="136">
        <v>12.75</v>
      </c>
      <c r="AB276" s="136">
        <v>-78.73</v>
      </c>
      <c r="AC276" s="136">
        <v>-2828</v>
      </c>
      <c r="AD276" s="136">
        <v>-2828</v>
      </c>
      <c r="AE276" s="129" t="s">
        <v>160</v>
      </c>
      <c r="AF276" s="129" t="s">
        <v>160</v>
      </c>
      <c r="AG276" s="141">
        <v>3114.2382809999999</v>
      </c>
      <c r="AH276" s="138" t="s">
        <v>159</v>
      </c>
      <c r="AI276" s="129" t="s">
        <v>160</v>
      </c>
      <c r="AJ276" s="129" t="s">
        <v>160</v>
      </c>
      <c r="AK276" s="178" t="s">
        <v>160</v>
      </c>
      <c r="AL276" s="178" t="s">
        <v>441</v>
      </c>
      <c r="AM276" s="178" t="s">
        <v>160</v>
      </c>
      <c r="AN276" s="129" t="s">
        <v>160</v>
      </c>
      <c r="AO276" s="129" t="s">
        <v>160</v>
      </c>
      <c r="AP276" s="129" t="s">
        <v>160</v>
      </c>
      <c r="AQ276" s="129" t="s">
        <v>160</v>
      </c>
      <c r="AR276" s="129" t="s">
        <v>160</v>
      </c>
      <c r="AS276" s="129" t="s">
        <v>160</v>
      </c>
      <c r="AT276" s="129" t="s">
        <v>160</v>
      </c>
      <c r="AU276" s="213" t="s">
        <v>442</v>
      </c>
      <c r="AV276" s="129" t="s">
        <v>161</v>
      </c>
      <c r="AW276" s="189" t="s">
        <v>443</v>
      </c>
      <c r="AX276" s="189" t="s">
        <v>444</v>
      </c>
      <c r="AY276" s="205" t="s">
        <v>353</v>
      </c>
      <c r="AZ276" s="205" t="s">
        <v>325</v>
      </c>
      <c r="BA276" s="129" t="s">
        <v>162</v>
      </c>
      <c r="BB276" s="129" t="s">
        <v>445</v>
      </c>
      <c r="BC276" s="129" t="s">
        <v>445</v>
      </c>
      <c r="BD276" s="129" t="s">
        <v>445</v>
      </c>
      <c r="BE276" s="141">
        <v>19.609580000000001</v>
      </c>
      <c r="BF276" s="129" t="s">
        <v>446</v>
      </c>
      <c r="BG276" s="141">
        <v>9.9925189999999997E-2</v>
      </c>
      <c r="BH276" s="129">
        <v>0.6</v>
      </c>
      <c r="BI276" s="129" t="s">
        <v>427</v>
      </c>
      <c r="BJ276" s="138">
        <v>0.08</v>
      </c>
      <c r="BK276" s="129">
        <v>8.8699999999999992</v>
      </c>
      <c r="BL276" s="129" t="s">
        <v>163</v>
      </c>
      <c r="BM276" s="129">
        <v>1.52</v>
      </c>
      <c r="BN276" s="129" t="s">
        <v>428</v>
      </c>
      <c r="BO276" s="129" t="s">
        <v>448</v>
      </c>
      <c r="BP276" s="141">
        <f t="shared" si="26"/>
        <v>17.899300000000004</v>
      </c>
      <c r="BQ276" s="129" t="s">
        <v>202</v>
      </c>
      <c r="BR276" s="217"/>
      <c r="BS276" s="129" t="s">
        <v>160</v>
      </c>
      <c r="BT276" s="129" t="s">
        <v>160</v>
      </c>
      <c r="BU276" s="129">
        <v>10</v>
      </c>
      <c r="BV276" s="129" t="s">
        <v>159</v>
      </c>
      <c r="BW276" s="129">
        <v>10</v>
      </c>
      <c r="BX276" s="141">
        <v>24.173189600253725</v>
      </c>
      <c r="BY276" s="129" t="s">
        <v>159</v>
      </c>
      <c r="BZ276" s="129">
        <v>1</v>
      </c>
      <c r="CA276" s="129">
        <v>1</v>
      </c>
      <c r="CB276" s="141">
        <v>3.2344019495229932</v>
      </c>
      <c r="CC276" s="141">
        <v>3.2344019495229932</v>
      </c>
      <c r="CD276" s="129" t="s">
        <v>449</v>
      </c>
      <c r="CE276" s="151">
        <f t="shared" si="27"/>
        <v>8.7328852637120813E-2</v>
      </c>
      <c r="CF276" s="151">
        <f t="shared" si="28"/>
        <v>8.7328852637120813E-2</v>
      </c>
      <c r="CG276" s="145" t="s">
        <v>203</v>
      </c>
      <c r="CH276" s="129" t="s">
        <v>204</v>
      </c>
      <c r="CI276" s="129" t="s">
        <v>205</v>
      </c>
      <c r="CJ276" s="129" t="s">
        <v>206</v>
      </c>
      <c r="CK276" s="129" t="s">
        <v>158</v>
      </c>
      <c r="CL276" s="129" t="s">
        <v>158</v>
      </c>
      <c r="CM276" s="129" t="s">
        <v>158</v>
      </c>
      <c r="CN276" s="129" t="s">
        <v>160</v>
      </c>
      <c r="CO276" s="129" t="s">
        <v>160</v>
      </c>
      <c r="CP276" s="129" t="s">
        <v>160</v>
      </c>
      <c r="CQ276" s="129" t="s">
        <v>160</v>
      </c>
      <c r="CR276" s="129" t="s">
        <v>160</v>
      </c>
      <c r="CS276" s="129" t="s">
        <v>160</v>
      </c>
      <c r="CT276" s="129" t="s">
        <v>160</v>
      </c>
      <c r="CU276" s="215">
        <v>35</v>
      </c>
      <c r="CV276" s="129" t="s">
        <v>393</v>
      </c>
      <c r="CW276" s="146">
        <v>1</v>
      </c>
      <c r="CX276" s="129" t="s">
        <v>207</v>
      </c>
      <c r="CY276" s="129">
        <v>1.06E-2</v>
      </c>
      <c r="CZ276" s="129" t="s">
        <v>159</v>
      </c>
      <c r="DA276" s="146">
        <v>0</v>
      </c>
      <c r="DB276" s="129" t="s">
        <v>208</v>
      </c>
      <c r="DC276" s="129">
        <v>5.5100000000000003E-2</v>
      </c>
      <c r="DD276" s="129" t="s">
        <v>159</v>
      </c>
      <c r="DE276" s="146">
        <v>0</v>
      </c>
      <c r="DF276" s="129" t="s">
        <v>208</v>
      </c>
      <c r="DG276" s="178" t="s">
        <v>160</v>
      </c>
      <c r="DH276" s="178" t="s">
        <v>160</v>
      </c>
      <c r="DI276" s="178" t="s">
        <v>160</v>
      </c>
      <c r="DJ276" s="178" t="s">
        <v>160</v>
      </c>
      <c r="DK276" s="145">
        <v>432.56244218316402</v>
      </c>
      <c r="DL276" s="129" t="s">
        <v>433</v>
      </c>
      <c r="DM276" s="145" t="s">
        <v>160</v>
      </c>
      <c r="DN276" s="129" t="s">
        <v>434</v>
      </c>
      <c r="DO276" s="129">
        <v>39.692900000000002</v>
      </c>
      <c r="DP276" s="129" t="s">
        <v>160</v>
      </c>
      <c r="DQ276" s="129">
        <v>0.363119999999995</v>
      </c>
      <c r="DR276" s="129" t="s">
        <v>450</v>
      </c>
      <c r="DS276" s="129" t="s">
        <v>212</v>
      </c>
      <c r="DT276" s="129" t="s">
        <v>213</v>
      </c>
      <c r="DU276" s="129">
        <v>1.0271999999999999</v>
      </c>
      <c r="DV276" s="129" t="s">
        <v>393</v>
      </c>
      <c r="DW276" s="129">
        <v>5.9999999999999995E-4</v>
      </c>
      <c r="DX276" s="129" t="s">
        <v>436</v>
      </c>
      <c r="DY276" s="129" t="s">
        <v>160</v>
      </c>
      <c r="DZ276" s="129" t="s">
        <v>160</v>
      </c>
      <c r="EA276" s="129" t="s">
        <v>216</v>
      </c>
      <c r="EB276" s="129" t="s">
        <v>212</v>
      </c>
      <c r="EC276" s="129" t="s">
        <v>212</v>
      </c>
      <c r="ED276" s="129" t="s">
        <v>212</v>
      </c>
      <c r="EE276" s="129" t="s">
        <v>217</v>
      </c>
      <c r="EF276" s="147" t="s">
        <v>213</v>
      </c>
      <c r="EG276" s="148" t="s">
        <v>213</v>
      </c>
      <c r="EH276" s="129" t="s">
        <v>218</v>
      </c>
      <c r="EI276" s="129" t="s">
        <v>417</v>
      </c>
      <c r="EJ276" s="129" t="s">
        <v>160</v>
      </c>
      <c r="EK276" s="129">
        <v>1937.106</v>
      </c>
      <c r="EL276" s="129" t="s">
        <v>163</v>
      </c>
      <c r="EM276" s="129">
        <v>54.732000000000042</v>
      </c>
      <c r="EN276" s="129">
        <v>52.395000000000003</v>
      </c>
      <c r="EO276" s="129" t="s">
        <v>160</v>
      </c>
      <c r="EP276" s="129" t="s">
        <v>160</v>
      </c>
      <c r="EQ276" s="129" t="s">
        <v>160</v>
      </c>
      <c r="ER276" s="129" t="s">
        <v>160</v>
      </c>
      <c r="ES276" s="141">
        <v>8.0392980000000005</v>
      </c>
      <c r="ET276" s="142" t="s">
        <v>165</v>
      </c>
      <c r="EU276" s="141">
        <v>4.5249999999999346E-2</v>
      </c>
      <c r="EV276" s="141">
        <v>4.8421000000000269E-2</v>
      </c>
      <c r="EW276" s="142" t="s">
        <v>160</v>
      </c>
      <c r="EX276" s="129" t="s">
        <v>160</v>
      </c>
      <c r="EY276" s="129" t="s">
        <v>160</v>
      </c>
      <c r="EZ276" s="141">
        <v>350.03980000000001</v>
      </c>
      <c r="FA276" s="141">
        <v>50.309499999999957</v>
      </c>
      <c r="FB276" s="141">
        <v>42.861199999999997</v>
      </c>
      <c r="FC276" s="129" t="s">
        <v>220</v>
      </c>
      <c r="FD276" s="129" t="s">
        <v>221</v>
      </c>
      <c r="FE276" s="129">
        <v>2167.7359999999999</v>
      </c>
      <c r="FF276" s="129">
        <v>67.181999999999789</v>
      </c>
      <c r="FG276" s="129">
        <v>66.163000000000011</v>
      </c>
      <c r="FH276" s="129" t="s">
        <v>437</v>
      </c>
      <c r="FI276" s="129" t="s">
        <v>437</v>
      </c>
      <c r="FJ276" s="129" t="s">
        <v>437</v>
      </c>
      <c r="FK276" s="129" t="s">
        <v>437</v>
      </c>
      <c r="FL276" s="129" t="s">
        <v>437</v>
      </c>
      <c r="FM276" s="129" t="s">
        <v>437</v>
      </c>
      <c r="FN276" s="151">
        <v>3.3100990000000001</v>
      </c>
      <c r="FO276" s="151">
        <v>0.29994399999999999</v>
      </c>
      <c r="FP276" s="151">
        <v>0.29348600000000014</v>
      </c>
      <c r="FQ276" s="178" t="s">
        <v>419</v>
      </c>
      <c r="FR276" s="129" t="s">
        <v>439</v>
      </c>
      <c r="FS276" s="129">
        <v>2015</v>
      </c>
      <c r="FT276" s="129" t="s">
        <v>440</v>
      </c>
    </row>
    <row r="277" spans="1:176" s="129" customFormat="1" ht="17">
      <c r="A277" s="123" t="s">
        <v>152</v>
      </c>
      <c r="B277" s="166" t="s">
        <v>183</v>
      </c>
      <c r="C277" s="166">
        <v>2018</v>
      </c>
      <c r="D277" s="166" t="s">
        <v>184</v>
      </c>
      <c r="E277" s="151">
        <f t="shared" si="25"/>
        <v>3133.1547850000002</v>
      </c>
      <c r="F277" s="191" t="s">
        <v>160</v>
      </c>
      <c r="G277" s="191" t="s">
        <v>160</v>
      </c>
      <c r="H277" s="151">
        <v>309.32319999999999</v>
      </c>
      <c r="I277" s="151">
        <v>45.925900000000013</v>
      </c>
      <c r="J277" s="151">
        <v>39.850599999999986</v>
      </c>
      <c r="K277" s="129" t="s">
        <v>457</v>
      </c>
      <c r="L277" s="131" t="s">
        <v>185</v>
      </c>
      <c r="M277" s="132" t="s">
        <v>186</v>
      </c>
      <c r="N277" s="129" t="s">
        <v>184</v>
      </c>
      <c r="O277" s="129" t="s">
        <v>420</v>
      </c>
      <c r="P277" s="129" t="s">
        <v>156</v>
      </c>
      <c r="Q277" s="178">
        <v>11</v>
      </c>
      <c r="R277" s="178">
        <v>6</v>
      </c>
      <c r="S277" s="178">
        <v>99</v>
      </c>
      <c r="T277" s="178">
        <v>101</v>
      </c>
      <c r="U277" s="178" t="s">
        <v>160</v>
      </c>
      <c r="V277" s="178" t="s">
        <v>160</v>
      </c>
      <c r="W277" s="178" t="s">
        <v>160</v>
      </c>
      <c r="X277" s="129" t="s">
        <v>157</v>
      </c>
      <c r="Y277" s="136">
        <v>12.75</v>
      </c>
      <c r="Z277" s="136">
        <v>-78.73</v>
      </c>
      <c r="AA277" s="136">
        <v>12.75</v>
      </c>
      <c r="AB277" s="136">
        <v>-78.73</v>
      </c>
      <c r="AC277" s="136">
        <v>-2828</v>
      </c>
      <c r="AD277" s="136">
        <v>-2828</v>
      </c>
      <c r="AE277" s="129" t="s">
        <v>160</v>
      </c>
      <c r="AF277" s="129" t="s">
        <v>160</v>
      </c>
      <c r="AG277" s="141">
        <v>3133.1547850000002</v>
      </c>
      <c r="AH277" s="138" t="s">
        <v>159</v>
      </c>
      <c r="AI277" s="129" t="s">
        <v>160</v>
      </c>
      <c r="AJ277" s="129" t="s">
        <v>160</v>
      </c>
      <c r="AK277" s="178" t="s">
        <v>160</v>
      </c>
      <c r="AL277" s="178" t="s">
        <v>441</v>
      </c>
      <c r="AM277" s="178" t="s">
        <v>160</v>
      </c>
      <c r="AN277" s="129" t="s">
        <v>160</v>
      </c>
      <c r="AO277" s="129" t="s">
        <v>160</v>
      </c>
      <c r="AP277" s="129" t="s">
        <v>160</v>
      </c>
      <c r="AQ277" s="129" t="s">
        <v>160</v>
      </c>
      <c r="AR277" s="129" t="s">
        <v>160</v>
      </c>
      <c r="AS277" s="129" t="s">
        <v>160</v>
      </c>
      <c r="AT277" s="129" t="s">
        <v>160</v>
      </c>
      <c r="AU277" s="213" t="s">
        <v>442</v>
      </c>
      <c r="AV277" s="129" t="s">
        <v>161</v>
      </c>
      <c r="AW277" s="189" t="s">
        <v>443</v>
      </c>
      <c r="AX277" s="205" t="s">
        <v>444</v>
      </c>
      <c r="AY277" s="205" t="s">
        <v>353</v>
      </c>
      <c r="AZ277" s="205" t="s">
        <v>325</v>
      </c>
      <c r="BA277" s="214" t="s">
        <v>162</v>
      </c>
      <c r="BB277" s="129" t="s">
        <v>445</v>
      </c>
      <c r="BC277" s="129" t="s">
        <v>445</v>
      </c>
      <c r="BD277" s="129" t="s">
        <v>445</v>
      </c>
      <c r="BE277" s="141">
        <v>19.804919999999999</v>
      </c>
      <c r="BF277" s="129" t="s">
        <v>446</v>
      </c>
      <c r="BG277" s="141">
        <v>0.130653451</v>
      </c>
      <c r="BH277" s="129">
        <v>0.6</v>
      </c>
      <c r="BI277" s="129" t="s">
        <v>427</v>
      </c>
      <c r="BJ277" s="138">
        <v>0.08</v>
      </c>
      <c r="BK277" s="129">
        <v>8.8699999999999992</v>
      </c>
      <c r="BL277" s="129" t="s">
        <v>163</v>
      </c>
      <c r="BM277" s="129">
        <v>1.52</v>
      </c>
      <c r="BN277" s="129" t="s">
        <v>428</v>
      </c>
      <c r="BO277" s="129" t="s">
        <v>448</v>
      </c>
      <c r="BP277" s="141">
        <f t="shared" si="26"/>
        <v>18.224866666666667</v>
      </c>
      <c r="BQ277" s="129" t="s">
        <v>202</v>
      </c>
      <c r="BR277" s="217"/>
      <c r="BS277" s="129" t="s">
        <v>160</v>
      </c>
      <c r="BT277" s="129" t="s">
        <v>160</v>
      </c>
      <c r="BU277" s="129">
        <v>10</v>
      </c>
      <c r="BV277" s="129" t="s">
        <v>159</v>
      </c>
      <c r="BW277" s="129">
        <v>10</v>
      </c>
      <c r="BX277" s="141">
        <v>23.019780607793855</v>
      </c>
      <c r="BY277" s="129" t="s">
        <v>159</v>
      </c>
      <c r="BZ277" s="129">
        <v>1</v>
      </c>
      <c r="CA277" s="129">
        <v>1</v>
      </c>
      <c r="CB277" s="141">
        <v>2.9149039740697438</v>
      </c>
      <c r="CC277" s="141">
        <v>2.9149039740697438</v>
      </c>
      <c r="CD277" s="129" t="s">
        <v>449</v>
      </c>
      <c r="CE277" s="151">
        <f t="shared" si="27"/>
        <v>7.8702407299883079E-2</v>
      </c>
      <c r="CF277" s="151">
        <f t="shared" si="28"/>
        <v>7.8702407299883079E-2</v>
      </c>
      <c r="CG277" s="145" t="s">
        <v>203</v>
      </c>
      <c r="CH277" s="129" t="s">
        <v>204</v>
      </c>
      <c r="CI277" s="129" t="s">
        <v>205</v>
      </c>
      <c r="CJ277" s="129" t="s">
        <v>206</v>
      </c>
      <c r="CK277" s="129" t="s">
        <v>158</v>
      </c>
      <c r="CL277" s="129" t="s">
        <v>158</v>
      </c>
      <c r="CM277" s="129" t="s">
        <v>158</v>
      </c>
      <c r="CN277" s="129" t="s">
        <v>160</v>
      </c>
      <c r="CO277" s="129" t="s">
        <v>160</v>
      </c>
      <c r="CP277" s="129" t="s">
        <v>160</v>
      </c>
      <c r="CQ277" s="129" t="s">
        <v>160</v>
      </c>
      <c r="CR277" s="129" t="s">
        <v>160</v>
      </c>
      <c r="CS277" s="129" t="s">
        <v>160</v>
      </c>
      <c r="CT277" s="129" t="s">
        <v>160</v>
      </c>
      <c r="CU277" s="215">
        <v>35</v>
      </c>
      <c r="CV277" s="129" t="s">
        <v>393</v>
      </c>
      <c r="CW277" s="146">
        <v>1</v>
      </c>
      <c r="CX277" s="129" t="s">
        <v>207</v>
      </c>
      <c r="CY277" s="129">
        <v>1.06E-2</v>
      </c>
      <c r="CZ277" s="129" t="s">
        <v>159</v>
      </c>
      <c r="DA277" s="146">
        <v>0</v>
      </c>
      <c r="DB277" s="129" t="s">
        <v>208</v>
      </c>
      <c r="DC277" s="129">
        <v>5.5100000000000003E-2</v>
      </c>
      <c r="DD277" s="129" t="s">
        <v>159</v>
      </c>
      <c r="DE277" s="146">
        <v>0</v>
      </c>
      <c r="DF277" s="129" t="s">
        <v>208</v>
      </c>
      <c r="DG277" s="178" t="s">
        <v>160</v>
      </c>
      <c r="DH277" s="178" t="s">
        <v>160</v>
      </c>
      <c r="DI277" s="178" t="s">
        <v>160</v>
      </c>
      <c r="DJ277" s="178" t="s">
        <v>160</v>
      </c>
      <c r="DK277" s="145">
        <v>432.56244218316402</v>
      </c>
      <c r="DL277" s="129" t="s">
        <v>433</v>
      </c>
      <c r="DM277" s="145" t="s">
        <v>160</v>
      </c>
      <c r="DN277" s="129" t="s">
        <v>434</v>
      </c>
      <c r="DO277" s="129">
        <v>39.69782</v>
      </c>
      <c r="DP277" s="129" t="s">
        <v>160</v>
      </c>
      <c r="DQ277" s="129">
        <v>0.36874999999999858</v>
      </c>
      <c r="DR277" s="129" t="s">
        <v>450</v>
      </c>
      <c r="DS277" s="129" t="s">
        <v>212</v>
      </c>
      <c r="DT277" s="129" t="s">
        <v>213</v>
      </c>
      <c r="DU277" s="129">
        <v>1.0271999999999999</v>
      </c>
      <c r="DV277" s="129" t="s">
        <v>393</v>
      </c>
      <c r="DW277" s="129">
        <v>5.9999999999999995E-4</v>
      </c>
      <c r="DX277" s="129" t="s">
        <v>436</v>
      </c>
      <c r="DY277" s="129" t="s">
        <v>160</v>
      </c>
      <c r="DZ277" s="129" t="s">
        <v>160</v>
      </c>
      <c r="EA277" s="129" t="s">
        <v>216</v>
      </c>
      <c r="EB277" s="129" t="s">
        <v>212</v>
      </c>
      <c r="EC277" s="129" t="s">
        <v>212</v>
      </c>
      <c r="ED277" s="129" t="s">
        <v>212</v>
      </c>
      <c r="EE277" s="129" t="s">
        <v>217</v>
      </c>
      <c r="EF277" s="147" t="s">
        <v>213</v>
      </c>
      <c r="EG277" s="148" t="s">
        <v>213</v>
      </c>
      <c r="EH277" s="129" t="s">
        <v>218</v>
      </c>
      <c r="EI277" s="129" t="s">
        <v>417</v>
      </c>
      <c r="EJ277" s="129" t="s">
        <v>160</v>
      </c>
      <c r="EK277" s="129">
        <v>1936.3010000000002</v>
      </c>
      <c r="EL277" s="129" t="s">
        <v>163</v>
      </c>
      <c r="EM277" s="129">
        <v>53.974999999999945</v>
      </c>
      <c r="EN277" s="129">
        <v>53.080000000000055</v>
      </c>
      <c r="EO277" s="129" t="s">
        <v>160</v>
      </c>
      <c r="EP277" s="129" t="s">
        <v>160</v>
      </c>
      <c r="EQ277" s="129" t="s">
        <v>160</v>
      </c>
      <c r="ER277" s="129" t="s">
        <v>160</v>
      </c>
      <c r="ES277" s="141">
        <v>8.0830959999999994</v>
      </c>
      <c r="ET277" s="142" t="s">
        <v>165</v>
      </c>
      <c r="EU277" s="141">
        <v>4.7081000000000373E-2</v>
      </c>
      <c r="EV277" s="141">
        <v>4.9158000000000257E-2</v>
      </c>
      <c r="EW277" s="142" t="s">
        <v>160</v>
      </c>
      <c r="EX277" s="129" t="s">
        <v>160</v>
      </c>
      <c r="EY277" s="129" t="s">
        <v>160</v>
      </c>
      <c r="EZ277" s="141">
        <v>309.32319999999999</v>
      </c>
      <c r="FA277" s="141">
        <v>45.925900000000013</v>
      </c>
      <c r="FB277" s="141">
        <v>39.850599999999986</v>
      </c>
      <c r="FC277" s="129" t="s">
        <v>220</v>
      </c>
      <c r="FD277" s="129" t="s">
        <v>221</v>
      </c>
      <c r="FE277" s="129">
        <v>2184.7840000000001</v>
      </c>
      <c r="FF277" s="129">
        <v>67.409999999999854</v>
      </c>
      <c r="FG277" s="129">
        <v>69.465999999999894</v>
      </c>
      <c r="FH277" s="129" t="s">
        <v>437</v>
      </c>
      <c r="FI277" s="129" t="s">
        <v>437</v>
      </c>
      <c r="FJ277" s="129" t="s">
        <v>437</v>
      </c>
      <c r="FK277" s="129" t="s">
        <v>437</v>
      </c>
      <c r="FL277" s="129" t="s">
        <v>437</v>
      </c>
      <c r="FM277" s="129" t="s">
        <v>437</v>
      </c>
      <c r="FN277" s="151">
        <v>3.467311</v>
      </c>
      <c r="FO277" s="151">
        <v>0.32849199999999978</v>
      </c>
      <c r="FP277" s="151">
        <v>0.31564300000000012</v>
      </c>
      <c r="FQ277" s="178" t="s">
        <v>419</v>
      </c>
      <c r="FR277" s="129" t="s">
        <v>439</v>
      </c>
      <c r="FS277" s="129">
        <v>2015</v>
      </c>
      <c r="FT277" s="129" t="s">
        <v>440</v>
      </c>
    </row>
    <row r="278" spans="1:176" s="129" customFormat="1" ht="17">
      <c r="A278" s="123" t="s">
        <v>152</v>
      </c>
      <c r="B278" s="166" t="s">
        <v>183</v>
      </c>
      <c r="C278" s="166">
        <v>2018</v>
      </c>
      <c r="D278" s="166" t="s">
        <v>184</v>
      </c>
      <c r="E278" s="151">
        <f t="shared" si="25"/>
        <v>3143.1660160000001</v>
      </c>
      <c r="F278" s="191" t="s">
        <v>160</v>
      </c>
      <c r="G278" s="191" t="s">
        <v>160</v>
      </c>
      <c r="H278" s="151">
        <v>301.06900000000002</v>
      </c>
      <c r="I278" s="151">
        <v>45.503399999999999</v>
      </c>
      <c r="J278" s="151">
        <v>38.948599999999999</v>
      </c>
      <c r="K278" s="129" t="s">
        <v>457</v>
      </c>
      <c r="L278" s="131" t="s">
        <v>185</v>
      </c>
      <c r="M278" s="132" t="s">
        <v>186</v>
      </c>
      <c r="N278" s="129" t="s">
        <v>184</v>
      </c>
      <c r="O278" s="129" t="s">
        <v>420</v>
      </c>
      <c r="P278" s="129" t="s">
        <v>156</v>
      </c>
      <c r="Q278" s="178">
        <v>11</v>
      </c>
      <c r="R278" s="178">
        <v>6</v>
      </c>
      <c r="S278" s="178">
        <v>127</v>
      </c>
      <c r="T278" s="178">
        <v>129</v>
      </c>
      <c r="U278" s="178" t="s">
        <v>160</v>
      </c>
      <c r="V278" s="178" t="s">
        <v>160</v>
      </c>
      <c r="W278" s="178" t="s">
        <v>160</v>
      </c>
      <c r="X278" s="129" t="s">
        <v>157</v>
      </c>
      <c r="Y278" s="136">
        <v>12.75</v>
      </c>
      <c r="Z278" s="136">
        <v>-78.73</v>
      </c>
      <c r="AA278" s="136">
        <v>12.75</v>
      </c>
      <c r="AB278" s="136">
        <v>-78.73</v>
      </c>
      <c r="AC278" s="136">
        <v>-2828</v>
      </c>
      <c r="AD278" s="136">
        <v>-2828</v>
      </c>
      <c r="AE278" s="129" t="s">
        <v>160</v>
      </c>
      <c r="AF278" s="129" t="s">
        <v>160</v>
      </c>
      <c r="AG278" s="141">
        <v>3143.1660160000001</v>
      </c>
      <c r="AH278" s="138" t="s">
        <v>159</v>
      </c>
      <c r="AI278" s="129" t="s">
        <v>160</v>
      </c>
      <c r="AJ278" s="129" t="s">
        <v>160</v>
      </c>
      <c r="AK278" s="178" t="s">
        <v>160</v>
      </c>
      <c r="AL278" s="178" t="s">
        <v>441</v>
      </c>
      <c r="AM278" s="178" t="s">
        <v>160</v>
      </c>
      <c r="AN278" s="129" t="s">
        <v>160</v>
      </c>
      <c r="AO278" s="129" t="s">
        <v>160</v>
      </c>
      <c r="AP278" s="129" t="s">
        <v>160</v>
      </c>
      <c r="AQ278" s="129" t="s">
        <v>160</v>
      </c>
      <c r="AR278" s="129" t="s">
        <v>160</v>
      </c>
      <c r="AS278" s="129" t="s">
        <v>160</v>
      </c>
      <c r="AT278" s="129" t="s">
        <v>160</v>
      </c>
      <c r="AU278" s="213" t="s">
        <v>442</v>
      </c>
      <c r="AV278" s="129" t="s">
        <v>161</v>
      </c>
      <c r="AW278" s="189" t="s">
        <v>443</v>
      </c>
      <c r="AX278" s="189" t="s">
        <v>444</v>
      </c>
      <c r="AY278" s="205" t="s">
        <v>353</v>
      </c>
      <c r="AZ278" s="205" t="s">
        <v>325</v>
      </c>
      <c r="BA278" s="129" t="s">
        <v>162</v>
      </c>
      <c r="BB278" s="129" t="s">
        <v>445</v>
      </c>
      <c r="BC278" s="129" t="s">
        <v>445</v>
      </c>
      <c r="BD278" s="129" t="s">
        <v>445</v>
      </c>
      <c r="BE278" s="141">
        <v>19.950839999999999</v>
      </c>
      <c r="BF278" s="129" t="s">
        <v>446</v>
      </c>
      <c r="BG278" s="141">
        <v>0.14869110199999999</v>
      </c>
      <c r="BH278" s="129">
        <v>0.6</v>
      </c>
      <c r="BI278" s="129" t="s">
        <v>427</v>
      </c>
      <c r="BJ278" s="138">
        <v>0.08</v>
      </c>
      <c r="BK278" s="129">
        <v>8.8699999999999992</v>
      </c>
      <c r="BL278" s="129" t="s">
        <v>163</v>
      </c>
      <c r="BM278" s="129">
        <v>1.52</v>
      </c>
      <c r="BN278" s="129" t="s">
        <v>428</v>
      </c>
      <c r="BO278" s="129" t="s">
        <v>448</v>
      </c>
      <c r="BP278" s="141">
        <f t="shared" si="26"/>
        <v>18.468066666666669</v>
      </c>
      <c r="BQ278" s="129" t="s">
        <v>202</v>
      </c>
      <c r="BR278" s="217"/>
      <c r="BS278" s="129" t="s">
        <v>160</v>
      </c>
      <c r="BT278" s="129" t="s">
        <v>160</v>
      </c>
      <c r="BU278" s="129">
        <v>10</v>
      </c>
      <c r="BV278" s="129" t="s">
        <v>159</v>
      </c>
      <c r="BW278" s="129">
        <v>10</v>
      </c>
      <c r="BX278" s="141">
        <v>24.051379131978248</v>
      </c>
      <c r="BY278" s="129" t="s">
        <v>159</v>
      </c>
      <c r="BZ278" s="129">
        <v>1</v>
      </c>
      <c r="CA278" s="129">
        <v>1</v>
      </c>
      <c r="CB278" s="141">
        <v>3.1981570354880278</v>
      </c>
      <c r="CC278" s="141">
        <v>3.1981570354880278</v>
      </c>
      <c r="CD278" s="129" t="s">
        <v>449</v>
      </c>
      <c r="CE278" s="151">
        <f t="shared" si="27"/>
        <v>8.6350239958176755E-2</v>
      </c>
      <c r="CF278" s="151">
        <f t="shared" si="28"/>
        <v>8.6350239958176755E-2</v>
      </c>
      <c r="CG278" s="145" t="s">
        <v>203</v>
      </c>
      <c r="CH278" s="129" t="s">
        <v>204</v>
      </c>
      <c r="CI278" s="129" t="s">
        <v>205</v>
      </c>
      <c r="CJ278" s="129" t="s">
        <v>206</v>
      </c>
      <c r="CK278" s="129" t="s">
        <v>158</v>
      </c>
      <c r="CL278" s="129" t="s">
        <v>158</v>
      </c>
      <c r="CM278" s="129" t="s">
        <v>158</v>
      </c>
      <c r="CN278" s="129" t="s">
        <v>160</v>
      </c>
      <c r="CO278" s="129" t="s">
        <v>160</v>
      </c>
      <c r="CP278" s="129" t="s">
        <v>160</v>
      </c>
      <c r="CQ278" s="129" t="s">
        <v>160</v>
      </c>
      <c r="CR278" s="129" t="s">
        <v>160</v>
      </c>
      <c r="CS278" s="129" t="s">
        <v>160</v>
      </c>
      <c r="CT278" s="129" t="s">
        <v>160</v>
      </c>
      <c r="CU278" s="215">
        <v>35</v>
      </c>
      <c r="CV278" s="129" t="s">
        <v>393</v>
      </c>
      <c r="CW278" s="146">
        <v>1</v>
      </c>
      <c r="CX278" s="129" t="s">
        <v>207</v>
      </c>
      <c r="CY278" s="129">
        <v>1.06E-2</v>
      </c>
      <c r="CZ278" s="129" t="s">
        <v>159</v>
      </c>
      <c r="DA278" s="146">
        <v>0</v>
      </c>
      <c r="DB278" s="129" t="s">
        <v>208</v>
      </c>
      <c r="DC278" s="129">
        <v>5.5100000000000003E-2</v>
      </c>
      <c r="DD278" s="129" t="s">
        <v>159</v>
      </c>
      <c r="DE278" s="146">
        <v>0</v>
      </c>
      <c r="DF278" s="129" t="s">
        <v>208</v>
      </c>
      <c r="DG278" s="178" t="s">
        <v>160</v>
      </c>
      <c r="DH278" s="178" t="s">
        <v>160</v>
      </c>
      <c r="DI278" s="178" t="s">
        <v>160</v>
      </c>
      <c r="DJ278" s="178" t="s">
        <v>160</v>
      </c>
      <c r="DK278" s="145">
        <v>432.56244218316402</v>
      </c>
      <c r="DL278" s="129" t="s">
        <v>433</v>
      </c>
      <c r="DM278" s="145" t="s">
        <v>160</v>
      </c>
      <c r="DN278" s="129" t="s">
        <v>434</v>
      </c>
      <c r="DO278" s="129">
        <v>39.698129999999999</v>
      </c>
      <c r="DP278" s="129" t="s">
        <v>160</v>
      </c>
      <c r="DQ278" s="129">
        <v>0.35231000000000279</v>
      </c>
      <c r="DR278" s="129" t="s">
        <v>450</v>
      </c>
      <c r="DS278" s="129" t="s">
        <v>212</v>
      </c>
      <c r="DT278" s="129" t="s">
        <v>213</v>
      </c>
      <c r="DU278" s="129">
        <v>1.0271999999999999</v>
      </c>
      <c r="DV278" s="129" t="s">
        <v>393</v>
      </c>
      <c r="DW278" s="129">
        <v>5.9999999999999995E-4</v>
      </c>
      <c r="DX278" s="129" t="s">
        <v>436</v>
      </c>
      <c r="DY278" s="129" t="s">
        <v>160</v>
      </c>
      <c r="DZ278" s="129" t="s">
        <v>160</v>
      </c>
      <c r="EA278" s="129" t="s">
        <v>216</v>
      </c>
      <c r="EB278" s="129" t="s">
        <v>212</v>
      </c>
      <c r="EC278" s="129" t="s">
        <v>212</v>
      </c>
      <c r="ED278" s="129" t="s">
        <v>212</v>
      </c>
      <c r="EE278" s="129" t="s">
        <v>217</v>
      </c>
      <c r="EF278" s="147" t="s">
        <v>213</v>
      </c>
      <c r="EG278" s="148" t="s">
        <v>213</v>
      </c>
      <c r="EH278" s="129" t="s">
        <v>218</v>
      </c>
      <c r="EI278" s="129" t="s">
        <v>417</v>
      </c>
      <c r="EJ278" s="129" t="s">
        <v>160</v>
      </c>
      <c r="EK278" s="129">
        <v>1936.5029999999999</v>
      </c>
      <c r="EL278" s="129" t="s">
        <v>163</v>
      </c>
      <c r="EM278" s="129">
        <v>53.245999999999846</v>
      </c>
      <c r="EN278" s="129">
        <v>53.492999999999945</v>
      </c>
      <c r="EO278" s="129" t="s">
        <v>160</v>
      </c>
      <c r="EP278" s="129" t="s">
        <v>160</v>
      </c>
      <c r="EQ278" s="129" t="s">
        <v>160</v>
      </c>
      <c r="ER278" s="129" t="s">
        <v>160</v>
      </c>
      <c r="ES278" s="141">
        <v>8.0930909999999994</v>
      </c>
      <c r="ET278" s="142" t="s">
        <v>165</v>
      </c>
      <c r="EU278" s="141">
        <v>4.7887000000001123E-2</v>
      </c>
      <c r="EV278" s="141">
        <v>4.8564999999999969E-2</v>
      </c>
      <c r="EW278" s="142" t="s">
        <v>160</v>
      </c>
      <c r="EX278" s="129" t="s">
        <v>160</v>
      </c>
      <c r="EY278" s="129" t="s">
        <v>160</v>
      </c>
      <c r="EZ278" s="141">
        <v>301.06900000000002</v>
      </c>
      <c r="FA278" s="141">
        <v>45.503399999999999</v>
      </c>
      <c r="FB278" s="141">
        <v>38.948599999999999</v>
      </c>
      <c r="FC278" s="129" t="s">
        <v>220</v>
      </c>
      <c r="FD278" s="129" t="s">
        <v>221</v>
      </c>
      <c r="FE278" s="129">
        <v>2199.71</v>
      </c>
      <c r="FF278" s="129">
        <v>70.375</v>
      </c>
      <c r="FG278" s="129">
        <v>68.514000000000124</v>
      </c>
      <c r="FH278" s="129" t="s">
        <v>437</v>
      </c>
      <c r="FI278" s="129" t="s">
        <v>437</v>
      </c>
      <c r="FJ278" s="129" t="s">
        <v>437</v>
      </c>
      <c r="FK278" s="129" t="s">
        <v>437</v>
      </c>
      <c r="FL278" s="129" t="s">
        <v>437</v>
      </c>
      <c r="FM278" s="129" t="s">
        <v>437</v>
      </c>
      <c r="FN278" s="151">
        <v>3.6796359999999999</v>
      </c>
      <c r="FO278" s="151">
        <v>0.35476899999999967</v>
      </c>
      <c r="FP278" s="151">
        <v>0.33113999999999999</v>
      </c>
      <c r="FQ278" s="178" t="s">
        <v>419</v>
      </c>
      <c r="FR278" s="129" t="s">
        <v>439</v>
      </c>
      <c r="FS278" s="129">
        <v>2015</v>
      </c>
      <c r="FT278" s="129" t="s">
        <v>440</v>
      </c>
    </row>
    <row r="279" spans="1:176" s="129" customFormat="1" ht="17">
      <c r="A279" s="123" t="s">
        <v>152</v>
      </c>
      <c r="B279" s="166" t="s">
        <v>183</v>
      </c>
      <c r="C279" s="166">
        <v>2018</v>
      </c>
      <c r="D279" s="166" t="s">
        <v>184</v>
      </c>
      <c r="E279" s="151">
        <f t="shared" si="25"/>
        <v>3151.8999020000001</v>
      </c>
      <c r="F279" s="191" t="s">
        <v>160</v>
      </c>
      <c r="G279" s="191" t="s">
        <v>160</v>
      </c>
      <c r="H279" s="151">
        <v>356.31209999999999</v>
      </c>
      <c r="I279" s="151">
        <v>85.43930000000006</v>
      </c>
      <c r="J279" s="151">
        <v>66.236299999999972</v>
      </c>
      <c r="K279" s="129" t="s">
        <v>457</v>
      </c>
      <c r="L279" s="131" t="s">
        <v>185</v>
      </c>
      <c r="M279" s="132" t="s">
        <v>186</v>
      </c>
      <c r="N279" s="129" t="s">
        <v>184</v>
      </c>
      <c r="O279" s="129" t="s">
        <v>420</v>
      </c>
      <c r="P279" s="129" t="s">
        <v>156</v>
      </c>
      <c r="Q279" s="178">
        <v>11</v>
      </c>
      <c r="R279" s="178">
        <v>7</v>
      </c>
      <c r="S279" s="178">
        <v>0</v>
      </c>
      <c r="T279" s="178">
        <v>2</v>
      </c>
      <c r="U279" s="178" t="s">
        <v>160</v>
      </c>
      <c r="V279" s="178" t="s">
        <v>160</v>
      </c>
      <c r="W279" s="178" t="s">
        <v>160</v>
      </c>
      <c r="X279" s="129" t="s">
        <v>157</v>
      </c>
      <c r="Y279" s="136">
        <v>12.75</v>
      </c>
      <c r="Z279" s="136">
        <v>-78.73</v>
      </c>
      <c r="AA279" s="136">
        <v>12.75</v>
      </c>
      <c r="AB279" s="136">
        <v>-78.73</v>
      </c>
      <c r="AC279" s="136">
        <v>-2828</v>
      </c>
      <c r="AD279" s="136">
        <v>-2828</v>
      </c>
      <c r="AE279" s="129" t="s">
        <v>160</v>
      </c>
      <c r="AF279" s="129" t="s">
        <v>160</v>
      </c>
      <c r="AG279" s="141">
        <v>3151.8999020000001</v>
      </c>
      <c r="AH279" s="138" t="s">
        <v>159</v>
      </c>
      <c r="AI279" s="129" t="s">
        <v>160</v>
      </c>
      <c r="AJ279" s="129" t="s">
        <v>160</v>
      </c>
      <c r="AK279" s="178" t="s">
        <v>160</v>
      </c>
      <c r="AL279" s="178" t="s">
        <v>441</v>
      </c>
      <c r="AM279" s="178" t="s">
        <v>160</v>
      </c>
      <c r="AN279" s="129" t="s">
        <v>160</v>
      </c>
      <c r="AO279" s="129" t="s">
        <v>160</v>
      </c>
      <c r="AP279" s="129" t="s">
        <v>160</v>
      </c>
      <c r="AQ279" s="129" t="s">
        <v>160</v>
      </c>
      <c r="AR279" s="129" t="s">
        <v>160</v>
      </c>
      <c r="AS279" s="129" t="s">
        <v>160</v>
      </c>
      <c r="AT279" s="129" t="s">
        <v>160</v>
      </c>
      <c r="AU279" s="213" t="s">
        <v>442</v>
      </c>
      <c r="AV279" s="129" t="s">
        <v>161</v>
      </c>
      <c r="AW279" s="189" t="s">
        <v>443</v>
      </c>
      <c r="AX279" s="205" t="s">
        <v>444</v>
      </c>
      <c r="AY279" s="205" t="s">
        <v>353</v>
      </c>
      <c r="AZ279" s="205" t="s">
        <v>325</v>
      </c>
      <c r="BA279" s="214" t="s">
        <v>162</v>
      </c>
      <c r="BB279" s="129" t="s">
        <v>445</v>
      </c>
      <c r="BC279" s="129" t="s">
        <v>445</v>
      </c>
      <c r="BD279" s="129" t="s">
        <v>445</v>
      </c>
      <c r="BE279" s="141">
        <v>19.507429999999999</v>
      </c>
      <c r="BF279" s="129" t="s">
        <v>446</v>
      </c>
      <c r="BG279" s="141">
        <v>0.33308674599999999</v>
      </c>
      <c r="BH279" s="129">
        <v>0.6</v>
      </c>
      <c r="BI279" s="129" t="s">
        <v>427</v>
      </c>
      <c r="BJ279" s="138">
        <v>0.08</v>
      </c>
      <c r="BK279" s="129">
        <v>8.8699999999999992</v>
      </c>
      <c r="BL279" s="129" t="s">
        <v>163</v>
      </c>
      <c r="BM279" s="129">
        <v>1.52</v>
      </c>
      <c r="BN279" s="129" t="s">
        <v>428</v>
      </c>
      <c r="BO279" s="129" t="s">
        <v>448</v>
      </c>
      <c r="BP279" s="141">
        <f t="shared" si="26"/>
        <v>17.729050000000001</v>
      </c>
      <c r="BQ279" s="129" t="s">
        <v>202</v>
      </c>
      <c r="BR279" s="217"/>
      <c r="BS279" s="129" t="s">
        <v>160</v>
      </c>
      <c r="BT279" s="129" t="s">
        <v>160</v>
      </c>
      <c r="BU279" s="129">
        <v>10</v>
      </c>
      <c r="BV279" s="129" t="s">
        <v>159</v>
      </c>
      <c r="BW279" s="129">
        <v>10</v>
      </c>
      <c r="BX279" s="141">
        <v>23.298275447334781</v>
      </c>
      <c r="BY279" s="129" t="s">
        <v>159</v>
      </c>
      <c r="BZ279" s="129">
        <v>1</v>
      </c>
      <c r="CA279" s="129">
        <v>1</v>
      </c>
      <c r="CB279" s="141">
        <v>2.9882947033878104</v>
      </c>
      <c r="CC279" s="141">
        <v>2.9882947033878104</v>
      </c>
      <c r="CD279" s="129" t="s">
        <v>449</v>
      </c>
      <c r="CE279" s="151">
        <f t="shared" si="27"/>
        <v>8.0683956991470879E-2</v>
      </c>
      <c r="CF279" s="151">
        <f t="shared" si="28"/>
        <v>8.0683956991470879E-2</v>
      </c>
      <c r="CG279" s="145" t="s">
        <v>203</v>
      </c>
      <c r="CH279" s="129" t="s">
        <v>204</v>
      </c>
      <c r="CI279" s="129" t="s">
        <v>205</v>
      </c>
      <c r="CJ279" s="129" t="s">
        <v>206</v>
      </c>
      <c r="CK279" s="129" t="s">
        <v>158</v>
      </c>
      <c r="CL279" s="129" t="s">
        <v>158</v>
      </c>
      <c r="CM279" s="129" t="s">
        <v>158</v>
      </c>
      <c r="CN279" s="129" t="s">
        <v>160</v>
      </c>
      <c r="CO279" s="129" t="s">
        <v>160</v>
      </c>
      <c r="CP279" s="129" t="s">
        <v>160</v>
      </c>
      <c r="CQ279" s="129" t="s">
        <v>160</v>
      </c>
      <c r="CR279" s="129" t="s">
        <v>160</v>
      </c>
      <c r="CS279" s="129" t="s">
        <v>160</v>
      </c>
      <c r="CT279" s="129" t="s">
        <v>160</v>
      </c>
      <c r="CU279" s="215">
        <v>35</v>
      </c>
      <c r="CV279" s="129" t="s">
        <v>393</v>
      </c>
      <c r="CW279" s="146">
        <v>1</v>
      </c>
      <c r="CX279" s="129" t="s">
        <v>207</v>
      </c>
      <c r="CY279" s="129">
        <v>1.06E-2</v>
      </c>
      <c r="CZ279" s="129" t="s">
        <v>159</v>
      </c>
      <c r="DA279" s="146">
        <v>0</v>
      </c>
      <c r="DB279" s="129" t="s">
        <v>208</v>
      </c>
      <c r="DC279" s="129">
        <v>5.5100000000000003E-2</v>
      </c>
      <c r="DD279" s="129" t="s">
        <v>159</v>
      </c>
      <c r="DE279" s="146">
        <v>0</v>
      </c>
      <c r="DF279" s="129" t="s">
        <v>208</v>
      </c>
      <c r="DG279" s="178" t="s">
        <v>160</v>
      </c>
      <c r="DH279" s="178" t="s">
        <v>160</v>
      </c>
      <c r="DI279" s="178" t="s">
        <v>160</v>
      </c>
      <c r="DJ279" s="178" t="s">
        <v>160</v>
      </c>
      <c r="DK279" s="145">
        <v>432.56244218316402</v>
      </c>
      <c r="DL279" s="129" t="s">
        <v>433</v>
      </c>
      <c r="DM279" s="145" t="s">
        <v>160</v>
      </c>
      <c r="DN279" s="129" t="s">
        <v>434</v>
      </c>
      <c r="DO279" s="129">
        <v>39.697020000000002</v>
      </c>
      <c r="DP279" s="129" t="s">
        <v>160</v>
      </c>
      <c r="DQ279" s="129">
        <v>0.36567000000000149</v>
      </c>
      <c r="DR279" s="129" t="s">
        <v>450</v>
      </c>
      <c r="DS279" s="129" t="s">
        <v>212</v>
      </c>
      <c r="DT279" s="129" t="s">
        <v>213</v>
      </c>
      <c r="DU279" s="129">
        <v>1.0271999999999999</v>
      </c>
      <c r="DV279" s="129" t="s">
        <v>393</v>
      </c>
      <c r="DW279" s="129">
        <v>5.9999999999999995E-4</v>
      </c>
      <c r="DX279" s="129" t="s">
        <v>436</v>
      </c>
      <c r="DY279" s="129" t="s">
        <v>160</v>
      </c>
      <c r="DZ279" s="129" t="s">
        <v>160</v>
      </c>
      <c r="EA279" s="129" t="s">
        <v>216</v>
      </c>
      <c r="EB279" s="129" t="s">
        <v>212</v>
      </c>
      <c r="EC279" s="129" t="s">
        <v>212</v>
      </c>
      <c r="ED279" s="129" t="s">
        <v>212</v>
      </c>
      <c r="EE279" s="129" t="s">
        <v>217</v>
      </c>
      <c r="EF279" s="147" t="s">
        <v>213</v>
      </c>
      <c r="EG279" s="148" t="s">
        <v>213</v>
      </c>
      <c r="EH279" s="129" t="s">
        <v>218</v>
      </c>
      <c r="EI279" s="129" t="s">
        <v>417</v>
      </c>
      <c r="EJ279" s="129" t="s">
        <v>160</v>
      </c>
      <c r="EK279" s="129">
        <v>1936.0650000000001</v>
      </c>
      <c r="EL279" s="129" t="s">
        <v>163</v>
      </c>
      <c r="EM279" s="129">
        <v>53.228000000000002</v>
      </c>
      <c r="EN279" s="129">
        <v>53.395000000000138</v>
      </c>
      <c r="EO279" s="129" t="s">
        <v>160</v>
      </c>
      <c r="EP279" s="129" t="s">
        <v>160</v>
      </c>
      <c r="EQ279" s="129" t="s">
        <v>160</v>
      </c>
      <c r="ER279" s="129" t="s">
        <v>160</v>
      </c>
      <c r="ES279" s="141">
        <v>8.0319599999999998</v>
      </c>
      <c r="ET279" s="142" t="s">
        <v>165</v>
      </c>
      <c r="EU279" s="141">
        <v>7.3109999999999786E-2</v>
      </c>
      <c r="EV279" s="141">
        <v>7.9439999999999955E-2</v>
      </c>
      <c r="EW279" s="142" t="s">
        <v>160</v>
      </c>
      <c r="EX279" s="129" t="s">
        <v>160</v>
      </c>
      <c r="EY279" s="129" t="s">
        <v>160</v>
      </c>
      <c r="EZ279" s="141">
        <v>356.31209999999999</v>
      </c>
      <c r="FA279" s="141">
        <v>85.43930000000006</v>
      </c>
      <c r="FB279" s="141">
        <v>66.236299999999972</v>
      </c>
      <c r="FC279" s="129" t="s">
        <v>220</v>
      </c>
      <c r="FD279" s="129" t="s">
        <v>221</v>
      </c>
      <c r="FE279" s="129">
        <v>2155.9219999999996</v>
      </c>
      <c r="FF279" s="129">
        <v>75.977000000000317</v>
      </c>
      <c r="FG279" s="129">
        <v>75.201999999999771</v>
      </c>
      <c r="FH279" s="129" t="s">
        <v>437</v>
      </c>
      <c r="FI279" s="129" t="s">
        <v>437</v>
      </c>
      <c r="FJ279" s="129" t="s">
        <v>437</v>
      </c>
      <c r="FK279" s="129" t="s">
        <v>437</v>
      </c>
      <c r="FL279" s="129" t="s">
        <v>437</v>
      </c>
      <c r="FM279" s="129" t="s">
        <v>437</v>
      </c>
      <c r="FN279" s="151">
        <v>3.1566749999999999</v>
      </c>
      <c r="FO279" s="151">
        <v>0.5044780000000002</v>
      </c>
      <c r="FP279" s="151">
        <v>0.47691799999999995</v>
      </c>
      <c r="FQ279" s="178" t="s">
        <v>419</v>
      </c>
      <c r="FR279" s="129" t="s">
        <v>439</v>
      </c>
      <c r="FS279" s="129">
        <v>2015</v>
      </c>
      <c r="FT279" s="129" t="s">
        <v>440</v>
      </c>
    </row>
    <row r="280" spans="1:176" s="129" customFormat="1" ht="17">
      <c r="A280" s="123" t="s">
        <v>152</v>
      </c>
      <c r="B280" s="166" t="s">
        <v>183</v>
      </c>
      <c r="C280" s="166">
        <v>2018</v>
      </c>
      <c r="D280" s="166" t="s">
        <v>184</v>
      </c>
      <c r="E280" s="151">
        <f t="shared" si="25"/>
        <v>3157.9370119999999</v>
      </c>
      <c r="F280" s="191" t="s">
        <v>160</v>
      </c>
      <c r="G280" s="191" t="s">
        <v>160</v>
      </c>
      <c r="H280" s="151">
        <v>306.55469999999997</v>
      </c>
      <c r="I280" s="151">
        <v>42.824700000000064</v>
      </c>
      <c r="J280" s="151">
        <v>37.817699999999945</v>
      </c>
      <c r="K280" s="129" t="s">
        <v>457</v>
      </c>
      <c r="L280" s="131" t="s">
        <v>185</v>
      </c>
      <c r="M280" s="132" t="s">
        <v>186</v>
      </c>
      <c r="N280" s="129" t="s">
        <v>184</v>
      </c>
      <c r="O280" s="129" t="s">
        <v>420</v>
      </c>
      <c r="P280" s="129" t="s">
        <v>156</v>
      </c>
      <c r="Q280" s="178">
        <v>11</v>
      </c>
      <c r="R280" s="178">
        <v>7</v>
      </c>
      <c r="S280" s="178">
        <v>16</v>
      </c>
      <c r="T280" s="178">
        <v>18</v>
      </c>
      <c r="U280" s="178" t="s">
        <v>160</v>
      </c>
      <c r="V280" s="178" t="s">
        <v>160</v>
      </c>
      <c r="W280" s="178" t="s">
        <v>160</v>
      </c>
      <c r="X280" s="129" t="s">
        <v>157</v>
      </c>
      <c r="Y280" s="136">
        <v>12.75</v>
      </c>
      <c r="Z280" s="136">
        <v>-78.73</v>
      </c>
      <c r="AA280" s="136">
        <v>12.75</v>
      </c>
      <c r="AB280" s="136">
        <v>-78.73</v>
      </c>
      <c r="AC280" s="136">
        <v>-2828</v>
      </c>
      <c r="AD280" s="136">
        <v>-2828</v>
      </c>
      <c r="AE280" s="129" t="s">
        <v>160</v>
      </c>
      <c r="AF280" s="129" t="s">
        <v>160</v>
      </c>
      <c r="AG280" s="141">
        <v>3157.9370119999999</v>
      </c>
      <c r="AH280" s="138" t="s">
        <v>159</v>
      </c>
      <c r="AI280" s="129" t="s">
        <v>160</v>
      </c>
      <c r="AJ280" s="129" t="s">
        <v>160</v>
      </c>
      <c r="AK280" s="178" t="s">
        <v>160</v>
      </c>
      <c r="AL280" s="178" t="s">
        <v>441</v>
      </c>
      <c r="AM280" s="178" t="s">
        <v>160</v>
      </c>
      <c r="AN280" s="129" t="s">
        <v>160</v>
      </c>
      <c r="AO280" s="129" t="s">
        <v>160</v>
      </c>
      <c r="AP280" s="129" t="s">
        <v>160</v>
      </c>
      <c r="AQ280" s="129" t="s">
        <v>160</v>
      </c>
      <c r="AR280" s="129" t="s">
        <v>160</v>
      </c>
      <c r="AS280" s="129" t="s">
        <v>160</v>
      </c>
      <c r="AT280" s="129" t="s">
        <v>160</v>
      </c>
      <c r="AU280" s="213" t="s">
        <v>442</v>
      </c>
      <c r="AV280" s="129" t="s">
        <v>161</v>
      </c>
      <c r="AW280" s="189" t="s">
        <v>443</v>
      </c>
      <c r="AX280" s="189" t="s">
        <v>444</v>
      </c>
      <c r="AY280" s="205" t="s">
        <v>353</v>
      </c>
      <c r="AZ280" s="205" t="s">
        <v>325</v>
      </c>
      <c r="BA280" s="129" t="s">
        <v>162</v>
      </c>
      <c r="BB280" s="129" t="s">
        <v>445</v>
      </c>
      <c r="BC280" s="129" t="s">
        <v>445</v>
      </c>
      <c r="BD280" s="129" t="s">
        <v>445</v>
      </c>
      <c r="BE280" s="141">
        <v>19.93</v>
      </c>
      <c r="BF280" s="129" t="s">
        <v>446</v>
      </c>
      <c r="BG280" s="141">
        <v>0.11328068600000001</v>
      </c>
      <c r="BH280" s="129">
        <v>0.6</v>
      </c>
      <c r="BI280" s="129" t="s">
        <v>427</v>
      </c>
      <c r="BJ280" s="138">
        <v>0.08</v>
      </c>
      <c r="BK280" s="129">
        <v>8.8699999999999992</v>
      </c>
      <c r="BL280" s="129" t="s">
        <v>163</v>
      </c>
      <c r="BM280" s="129">
        <v>1.52</v>
      </c>
      <c r="BN280" s="129" t="s">
        <v>428</v>
      </c>
      <c r="BO280" s="129" t="s">
        <v>448</v>
      </c>
      <c r="BP280" s="141">
        <f t="shared" si="26"/>
        <v>18.433333333333334</v>
      </c>
      <c r="BQ280" s="129" t="s">
        <v>202</v>
      </c>
      <c r="BR280" s="217"/>
      <c r="BS280" s="129" t="s">
        <v>160</v>
      </c>
      <c r="BT280" s="129" t="s">
        <v>160</v>
      </c>
      <c r="BU280" s="129">
        <v>10</v>
      </c>
      <c r="BV280" s="129" t="s">
        <v>159</v>
      </c>
      <c r="BW280" s="129">
        <v>10</v>
      </c>
      <c r="BX280" s="141">
        <v>24.312525821056319</v>
      </c>
      <c r="BY280" s="129" t="s">
        <v>159</v>
      </c>
      <c r="BZ280" s="129">
        <v>1</v>
      </c>
      <c r="CA280" s="129">
        <v>1</v>
      </c>
      <c r="CB280" s="141">
        <v>3.2737021241846032</v>
      </c>
      <c r="CC280" s="141">
        <v>3.2737021241846032</v>
      </c>
      <c r="CD280" s="129" t="s">
        <v>449</v>
      </c>
      <c r="CE280" s="151">
        <f t="shared" si="27"/>
        <v>8.8389957352984286E-2</v>
      </c>
      <c r="CF280" s="151">
        <f t="shared" si="28"/>
        <v>8.8389957352984286E-2</v>
      </c>
      <c r="CG280" s="145" t="s">
        <v>203</v>
      </c>
      <c r="CH280" s="129" t="s">
        <v>204</v>
      </c>
      <c r="CI280" s="129" t="s">
        <v>205</v>
      </c>
      <c r="CJ280" s="129" t="s">
        <v>206</v>
      </c>
      <c r="CK280" s="129" t="s">
        <v>158</v>
      </c>
      <c r="CL280" s="129" t="s">
        <v>158</v>
      </c>
      <c r="CM280" s="129" t="s">
        <v>158</v>
      </c>
      <c r="CN280" s="129" t="s">
        <v>160</v>
      </c>
      <c r="CO280" s="129" t="s">
        <v>160</v>
      </c>
      <c r="CP280" s="129" t="s">
        <v>160</v>
      </c>
      <c r="CQ280" s="129" t="s">
        <v>160</v>
      </c>
      <c r="CR280" s="129" t="s">
        <v>160</v>
      </c>
      <c r="CS280" s="129" t="s">
        <v>160</v>
      </c>
      <c r="CT280" s="129" t="s">
        <v>160</v>
      </c>
      <c r="CU280" s="215">
        <v>35</v>
      </c>
      <c r="CV280" s="129" t="s">
        <v>393</v>
      </c>
      <c r="CW280" s="146">
        <v>1</v>
      </c>
      <c r="CX280" s="129" t="s">
        <v>207</v>
      </c>
      <c r="CY280" s="129">
        <v>1.06E-2</v>
      </c>
      <c r="CZ280" s="129" t="s">
        <v>159</v>
      </c>
      <c r="DA280" s="146">
        <v>0</v>
      </c>
      <c r="DB280" s="129" t="s">
        <v>208</v>
      </c>
      <c r="DC280" s="129">
        <v>5.5100000000000003E-2</v>
      </c>
      <c r="DD280" s="129" t="s">
        <v>159</v>
      </c>
      <c r="DE280" s="146">
        <v>0</v>
      </c>
      <c r="DF280" s="129" t="s">
        <v>208</v>
      </c>
      <c r="DG280" s="178" t="s">
        <v>160</v>
      </c>
      <c r="DH280" s="178" t="s">
        <v>160</v>
      </c>
      <c r="DI280" s="178" t="s">
        <v>160</v>
      </c>
      <c r="DJ280" s="178" t="s">
        <v>160</v>
      </c>
      <c r="DK280" s="145">
        <v>432.56244218316402</v>
      </c>
      <c r="DL280" s="129" t="s">
        <v>433</v>
      </c>
      <c r="DM280" s="145" t="s">
        <v>160</v>
      </c>
      <c r="DN280" s="129" t="s">
        <v>434</v>
      </c>
      <c r="DO280" s="129">
        <v>39.691780000000001</v>
      </c>
      <c r="DP280" s="129" t="s">
        <v>160</v>
      </c>
      <c r="DQ280" s="129">
        <v>0.36694999999999567</v>
      </c>
      <c r="DR280" s="129" t="s">
        <v>450</v>
      </c>
      <c r="DS280" s="129" t="s">
        <v>212</v>
      </c>
      <c r="DT280" s="129" t="s">
        <v>213</v>
      </c>
      <c r="DU280" s="129">
        <v>1.0271999999999999</v>
      </c>
      <c r="DV280" s="129" t="s">
        <v>393</v>
      </c>
      <c r="DW280" s="129">
        <v>5.9999999999999995E-4</v>
      </c>
      <c r="DX280" s="129" t="s">
        <v>436</v>
      </c>
      <c r="DY280" s="129" t="s">
        <v>160</v>
      </c>
      <c r="DZ280" s="129" t="s">
        <v>160</v>
      </c>
      <c r="EA280" s="129" t="s">
        <v>216</v>
      </c>
      <c r="EB280" s="129" t="s">
        <v>212</v>
      </c>
      <c r="EC280" s="129" t="s">
        <v>212</v>
      </c>
      <c r="ED280" s="129" t="s">
        <v>212</v>
      </c>
      <c r="EE280" s="129" t="s">
        <v>217</v>
      </c>
      <c r="EF280" s="147" t="s">
        <v>213</v>
      </c>
      <c r="EG280" s="148" t="s">
        <v>213</v>
      </c>
      <c r="EH280" s="129" t="s">
        <v>218</v>
      </c>
      <c r="EI280" s="129" t="s">
        <v>417</v>
      </c>
      <c r="EJ280" s="129" t="s">
        <v>160</v>
      </c>
      <c r="EK280" s="129">
        <v>1936.5450000000001</v>
      </c>
      <c r="EL280" s="129" t="s">
        <v>163</v>
      </c>
      <c r="EM280" s="129">
        <v>53.866000000000071</v>
      </c>
      <c r="EN280" s="129">
        <v>54.016000000000048</v>
      </c>
      <c r="EO280" s="129" t="s">
        <v>160</v>
      </c>
      <c r="EP280" s="129" t="s">
        <v>160</v>
      </c>
      <c r="EQ280" s="129" t="s">
        <v>160</v>
      </c>
      <c r="ER280" s="129" t="s">
        <v>160</v>
      </c>
      <c r="ES280" s="141">
        <v>8.0870409999999993</v>
      </c>
      <c r="ET280" s="142" t="s">
        <v>165</v>
      </c>
      <c r="EU280" s="141">
        <v>4.5434000000000196E-2</v>
      </c>
      <c r="EV280" s="141">
        <v>4.5703999999998857E-2</v>
      </c>
      <c r="EW280" s="142" t="s">
        <v>160</v>
      </c>
      <c r="EX280" s="129" t="s">
        <v>160</v>
      </c>
      <c r="EY280" s="129" t="s">
        <v>160</v>
      </c>
      <c r="EZ280" s="141">
        <v>306.55469999999997</v>
      </c>
      <c r="FA280" s="141">
        <v>42.824700000000064</v>
      </c>
      <c r="FB280" s="141">
        <v>37.817699999999945</v>
      </c>
      <c r="FC280" s="129" t="s">
        <v>220</v>
      </c>
      <c r="FD280" s="129" t="s">
        <v>221</v>
      </c>
      <c r="FE280" s="129">
        <v>2198.5099999999998</v>
      </c>
      <c r="FF280" s="129">
        <v>68.90900000000056</v>
      </c>
      <c r="FG280" s="129">
        <v>68.119999999999891</v>
      </c>
      <c r="FH280" s="129" t="s">
        <v>437</v>
      </c>
      <c r="FI280" s="129" t="s">
        <v>437</v>
      </c>
      <c r="FJ280" s="129" t="s">
        <v>437</v>
      </c>
      <c r="FK280" s="129" t="s">
        <v>437</v>
      </c>
      <c r="FL280" s="129" t="s">
        <v>437</v>
      </c>
      <c r="FM280" s="129" t="s">
        <v>437</v>
      </c>
      <c r="FN280" s="151">
        <v>3.6733319999999998</v>
      </c>
      <c r="FO280" s="151">
        <v>0.32902899999999979</v>
      </c>
      <c r="FP280" s="151">
        <v>0.3223969999999996</v>
      </c>
      <c r="FQ280" s="178" t="s">
        <v>419</v>
      </c>
      <c r="FR280" s="129" t="s">
        <v>439</v>
      </c>
      <c r="FS280" s="129">
        <v>2015</v>
      </c>
      <c r="FT280" s="129" t="s">
        <v>440</v>
      </c>
    </row>
    <row r="281" spans="1:176" s="129" customFormat="1" ht="17">
      <c r="A281" s="123" t="s">
        <v>152</v>
      </c>
      <c r="B281" s="166" t="s">
        <v>183</v>
      </c>
      <c r="C281" s="166">
        <v>2018</v>
      </c>
      <c r="D281" s="166" t="s">
        <v>184</v>
      </c>
      <c r="E281" s="151">
        <f t="shared" si="25"/>
        <v>3171.554932</v>
      </c>
      <c r="F281" s="191" t="s">
        <v>160</v>
      </c>
      <c r="G281" s="191" t="s">
        <v>160</v>
      </c>
      <c r="H281" s="151">
        <v>401.72310000000004</v>
      </c>
      <c r="I281" s="151">
        <v>58.983799999999974</v>
      </c>
      <c r="J281" s="151">
        <v>51.002300000000048</v>
      </c>
      <c r="K281" s="129" t="s">
        <v>457</v>
      </c>
      <c r="L281" s="131" t="s">
        <v>185</v>
      </c>
      <c r="M281" s="132" t="s">
        <v>186</v>
      </c>
      <c r="N281" s="129" t="s">
        <v>184</v>
      </c>
      <c r="O281" s="129" t="s">
        <v>420</v>
      </c>
      <c r="P281" s="129" t="s">
        <v>156</v>
      </c>
      <c r="Q281" s="178">
        <v>11</v>
      </c>
      <c r="R281" s="178">
        <v>7</v>
      </c>
      <c r="S281" s="178">
        <v>53</v>
      </c>
      <c r="T281" s="178">
        <v>55</v>
      </c>
      <c r="U281" s="178" t="s">
        <v>160</v>
      </c>
      <c r="V281" s="178" t="s">
        <v>160</v>
      </c>
      <c r="W281" s="178" t="s">
        <v>160</v>
      </c>
      <c r="X281" s="129" t="s">
        <v>157</v>
      </c>
      <c r="Y281" s="136">
        <v>12.75</v>
      </c>
      <c r="Z281" s="136">
        <v>-78.73</v>
      </c>
      <c r="AA281" s="136">
        <v>12.75</v>
      </c>
      <c r="AB281" s="136">
        <v>-78.73</v>
      </c>
      <c r="AC281" s="136">
        <v>-2828</v>
      </c>
      <c r="AD281" s="136">
        <v>-2828</v>
      </c>
      <c r="AE281" s="129" t="s">
        <v>160</v>
      </c>
      <c r="AF281" s="129" t="s">
        <v>160</v>
      </c>
      <c r="AG281" s="141">
        <v>3171.554932</v>
      </c>
      <c r="AH281" s="138" t="s">
        <v>159</v>
      </c>
      <c r="AI281" s="129" t="s">
        <v>160</v>
      </c>
      <c r="AJ281" s="129" t="s">
        <v>160</v>
      </c>
      <c r="AK281" s="178" t="s">
        <v>160</v>
      </c>
      <c r="AL281" s="178" t="s">
        <v>441</v>
      </c>
      <c r="AM281" s="178" t="s">
        <v>160</v>
      </c>
      <c r="AN281" s="129" t="s">
        <v>160</v>
      </c>
      <c r="AO281" s="129" t="s">
        <v>160</v>
      </c>
      <c r="AP281" s="129" t="s">
        <v>160</v>
      </c>
      <c r="AQ281" s="129" t="s">
        <v>160</v>
      </c>
      <c r="AR281" s="129" t="s">
        <v>160</v>
      </c>
      <c r="AS281" s="129" t="s">
        <v>160</v>
      </c>
      <c r="AT281" s="129" t="s">
        <v>160</v>
      </c>
      <c r="AU281" s="213" t="s">
        <v>442</v>
      </c>
      <c r="AV281" s="129" t="s">
        <v>161</v>
      </c>
      <c r="AW281" s="189" t="s">
        <v>443</v>
      </c>
      <c r="AX281" s="205" t="s">
        <v>444</v>
      </c>
      <c r="AY281" s="205" t="s">
        <v>353</v>
      </c>
      <c r="AZ281" s="205" t="s">
        <v>325</v>
      </c>
      <c r="BA281" s="214" t="s">
        <v>162</v>
      </c>
      <c r="BB281" s="129" t="s">
        <v>445</v>
      </c>
      <c r="BC281" s="129" t="s">
        <v>445</v>
      </c>
      <c r="BD281" s="129" t="s">
        <v>445</v>
      </c>
      <c r="BE281" s="141">
        <v>19.406479999999998</v>
      </c>
      <c r="BF281" s="129" t="s">
        <v>446</v>
      </c>
      <c r="BG281" s="141">
        <v>0.11233689600000001</v>
      </c>
      <c r="BH281" s="129">
        <v>0.6</v>
      </c>
      <c r="BI281" s="129" t="s">
        <v>427</v>
      </c>
      <c r="BJ281" s="138">
        <v>0.08</v>
      </c>
      <c r="BK281" s="129">
        <v>8.8699999999999992</v>
      </c>
      <c r="BL281" s="129" t="s">
        <v>163</v>
      </c>
      <c r="BM281" s="129">
        <v>1.52</v>
      </c>
      <c r="BN281" s="129" t="s">
        <v>428</v>
      </c>
      <c r="BO281" s="129" t="s">
        <v>448</v>
      </c>
      <c r="BP281" s="141">
        <f t="shared" si="26"/>
        <v>17.5608</v>
      </c>
      <c r="BQ281" s="129" t="s">
        <v>202</v>
      </c>
      <c r="BR281" s="217"/>
      <c r="BS281" s="129" t="s">
        <v>160</v>
      </c>
      <c r="BT281" s="129" t="s">
        <v>160</v>
      </c>
      <c r="BU281" s="129">
        <v>10</v>
      </c>
      <c r="BV281" s="129" t="s">
        <v>159</v>
      </c>
      <c r="BW281" s="129">
        <v>10</v>
      </c>
      <c r="BX281" s="141">
        <v>25.568096848574008</v>
      </c>
      <c r="BY281" s="129" t="s">
        <v>159</v>
      </c>
      <c r="BZ281" s="129">
        <v>1</v>
      </c>
      <c r="CA281" s="129">
        <v>1</v>
      </c>
      <c r="CB281" s="141">
        <v>3.6648180164556474</v>
      </c>
      <c r="CC281" s="141">
        <v>3.6648180164556474</v>
      </c>
      <c r="CD281" s="129" t="s">
        <v>449</v>
      </c>
      <c r="CE281" s="151">
        <f t="shared" si="27"/>
        <v>9.8950086444302476E-2</v>
      </c>
      <c r="CF281" s="151">
        <f t="shared" si="28"/>
        <v>9.8950086444302476E-2</v>
      </c>
      <c r="CG281" s="145" t="s">
        <v>203</v>
      </c>
      <c r="CH281" s="129" t="s">
        <v>204</v>
      </c>
      <c r="CI281" s="129" t="s">
        <v>205</v>
      </c>
      <c r="CJ281" s="129" t="s">
        <v>206</v>
      </c>
      <c r="CK281" s="129" t="s">
        <v>158</v>
      </c>
      <c r="CL281" s="129" t="s">
        <v>158</v>
      </c>
      <c r="CM281" s="129" t="s">
        <v>158</v>
      </c>
      <c r="CN281" s="129" t="s">
        <v>160</v>
      </c>
      <c r="CO281" s="129" t="s">
        <v>160</v>
      </c>
      <c r="CP281" s="129" t="s">
        <v>160</v>
      </c>
      <c r="CQ281" s="129" t="s">
        <v>160</v>
      </c>
      <c r="CR281" s="129" t="s">
        <v>160</v>
      </c>
      <c r="CS281" s="129" t="s">
        <v>160</v>
      </c>
      <c r="CT281" s="129" t="s">
        <v>160</v>
      </c>
      <c r="CU281" s="215">
        <v>35</v>
      </c>
      <c r="CV281" s="129" t="s">
        <v>393</v>
      </c>
      <c r="CW281" s="146">
        <v>1</v>
      </c>
      <c r="CX281" s="129" t="s">
        <v>207</v>
      </c>
      <c r="CY281" s="129">
        <v>1.06E-2</v>
      </c>
      <c r="CZ281" s="129" t="s">
        <v>159</v>
      </c>
      <c r="DA281" s="146">
        <v>0</v>
      </c>
      <c r="DB281" s="129" t="s">
        <v>208</v>
      </c>
      <c r="DC281" s="129">
        <v>5.5100000000000003E-2</v>
      </c>
      <c r="DD281" s="129" t="s">
        <v>159</v>
      </c>
      <c r="DE281" s="146">
        <v>0</v>
      </c>
      <c r="DF281" s="129" t="s">
        <v>208</v>
      </c>
      <c r="DG281" s="178" t="s">
        <v>160</v>
      </c>
      <c r="DH281" s="178" t="s">
        <v>160</v>
      </c>
      <c r="DI281" s="178" t="s">
        <v>160</v>
      </c>
      <c r="DJ281" s="178" t="s">
        <v>160</v>
      </c>
      <c r="DK281" s="145">
        <v>432.56244218316402</v>
      </c>
      <c r="DL281" s="129" t="s">
        <v>433</v>
      </c>
      <c r="DM281" s="145" t="s">
        <v>160</v>
      </c>
      <c r="DN281" s="129" t="s">
        <v>434</v>
      </c>
      <c r="DO281" s="129">
        <v>39.692279999999997</v>
      </c>
      <c r="DP281" s="129" t="s">
        <v>160</v>
      </c>
      <c r="DQ281" s="129">
        <v>0.36336000000000013</v>
      </c>
      <c r="DR281" s="129" t="s">
        <v>450</v>
      </c>
      <c r="DS281" s="129" t="s">
        <v>212</v>
      </c>
      <c r="DT281" s="129" t="s">
        <v>213</v>
      </c>
      <c r="DU281" s="129">
        <v>1.0271999999999999</v>
      </c>
      <c r="DV281" s="129" t="s">
        <v>393</v>
      </c>
      <c r="DW281" s="129">
        <v>5.9999999999999995E-4</v>
      </c>
      <c r="DX281" s="129" t="s">
        <v>436</v>
      </c>
      <c r="DY281" s="129" t="s">
        <v>160</v>
      </c>
      <c r="DZ281" s="129" t="s">
        <v>160</v>
      </c>
      <c r="EA281" s="129" t="s">
        <v>216</v>
      </c>
      <c r="EB281" s="129" t="s">
        <v>212</v>
      </c>
      <c r="EC281" s="129" t="s">
        <v>212</v>
      </c>
      <c r="ED281" s="129" t="s">
        <v>212</v>
      </c>
      <c r="EE281" s="129" t="s">
        <v>217</v>
      </c>
      <c r="EF281" s="147" t="s">
        <v>213</v>
      </c>
      <c r="EG281" s="148" t="s">
        <v>213</v>
      </c>
      <c r="EH281" s="129" t="s">
        <v>218</v>
      </c>
      <c r="EI281" s="129" t="s">
        <v>417</v>
      </c>
      <c r="EJ281" s="129" t="s">
        <v>160</v>
      </c>
      <c r="EK281" s="129">
        <v>1935.7729999999999</v>
      </c>
      <c r="EL281" s="129" t="s">
        <v>163</v>
      </c>
      <c r="EM281" s="129">
        <v>53.174999999999926</v>
      </c>
      <c r="EN281" s="129">
        <v>52.605000000000054</v>
      </c>
      <c r="EO281" s="129" t="s">
        <v>160</v>
      </c>
      <c r="EP281" s="129" t="s">
        <v>160</v>
      </c>
      <c r="EQ281" s="129" t="s">
        <v>160</v>
      </c>
      <c r="ER281" s="129" t="s">
        <v>160</v>
      </c>
      <c r="ES281" s="141">
        <v>7.9895880000000004</v>
      </c>
      <c r="ET281" s="142" t="s">
        <v>165</v>
      </c>
      <c r="EU281" s="141">
        <v>4.8468999999999873E-2</v>
      </c>
      <c r="EV281" s="141">
        <v>4.9252000000000073E-2</v>
      </c>
      <c r="EW281" s="142" t="s">
        <v>160</v>
      </c>
      <c r="EX281" s="129" t="s">
        <v>160</v>
      </c>
      <c r="EY281" s="129" t="s">
        <v>160</v>
      </c>
      <c r="EZ281" s="141">
        <v>401.72310000000004</v>
      </c>
      <c r="FA281" s="141">
        <v>58.983799999999974</v>
      </c>
      <c r="FB281" s="141">
        <v>51.002300000000048</v>
      </c>
      <c r="FC281" s="129" t="s">
        <v>220</v>
      </c>
      <c r="FD281" s="129" t="s">
        <v>221</v>
      </c>
      <c r="FE281" s="129">
        <v>2149.9010000000003</v>
      </c>
      <c r="FF281" s="129">
        <v>68.352999999999611</v>
      </c>
      <c r="FG281" s="129">
        <v>67.53400000000056</v>
      </c>
      <c r="FH281" s="129" t="s">
        <v>437</v>
      </c>
      <c r="FI281" s="129" t="s">
        <v>437</v>
      </c>
      <c r="FJ281" s="129" t="s">
        <v>437</v>
      </c>
      <c r="FK281" s="129" t="s">
        <v>437</v>
      </c>
      <c r="FL281" s="129" t="s">
        <v>437</v>
      </c>
      <c r="FM281" s="129" t="s">
        <v>437</v>
      </c>
      <c r="FN281" s="151">
        <v>3.1500490000000001</v>
      </c>
      <c r="FO281" s="151">
        <v>0.31695200000000012</v>
      </c>
      <c r="FP281" s="151">
        <v>0.29873900000000031</v>
      </c>
      <c r="FQ281" s="178" t="s">
        <v>419</v>
      </c>
      <c r="FR281" s="129" t="s">
        <v>439</v>
      </c>
      <c r="FS281" s="129">
        <v>2015</v>
      </c>
      <c r="FT281" s="129" t="s">
        <v>440</v>
      </c>
    </row>
    <row r="282" spans="1:176" s="129" customFormat="1" ht="17">
      <c r="A282" s="123" t="s">
        <v>152</v>
      </c>
      <c r="B282" s="166" t="s">
        <v>183</v>
      </c>
      <c r="C282" s="166">
        <v>2018</v>
      </c>
      <c r="D282" s="166" t="s">
        <v>184</v>
      </c>
      <c r="E282" s="151">
        <f t="shared" si="25"/>
        <v>3179.7871089999999</v>
      </c>
      <c r="F282" s="191" t="s">
        <v>160</v>
      </c>
      <c r="G282" s="191" t="s">
        <v>160</v>
      </c>
      <c r="H282" s="151">
        <v>343.07309999999995</v>
      </c>
      <c r="I282" s="151">
        <v>46.618300000000033</v>
      </c>
      <c r="J282" s="151">
        <v>42.090899999999976</v>
      </c>
      <c r="K282" s="129" t="s">
        <v>457</v>
      </c>
      <c r="L282" s="131" t="s">
        <v>185</v>
      </c>
      <c r="M282" s="132" t="s">
        <v>186</v>
      </c>
      <c r="N282" s="129" t="s">
        <v>184</v>
      </c>
      <c r="O282" s="129" t="s">
        <v>420</v>
      </c>
      <c r="P282" s="129" t="s">
        <v>156</v>
      </c>
      <c r="Q282" s="178">
        <v>11</v>
      </c>
      <c r="R282" s="178" t="s">
        <v>293</v>
      </c>
      <c r="S282" s="178">
        <v>3</v>
      </c>
      <c r="T282" s="178">
        <v>5</v>
      </c>
      <c r="U282" s="178" t="s">
        <v>160</v>
      </c>
      <c r="V282" s="178" t="s">
        <v>160</v>
      </c>
      <c r="W282" s="178" t="s">
        <v>160</v>
      </c>
      <c r="X282" s="129" t="s">
        <v>157</v>
      </c>
      <c r="Y282" s="136">
        <v>12.75</v>
      </c>
      <c r="Z282" s="136">
        <v>-78.73</v>
      </c>
      <c r="AA282" s="136">
        <v>12.75</v>
      </c>
      <c r="AB282" s="136">
        <v>-78.73</v>
      </c>
      <c r="AC282" s="136">
        <v>-2828</v>
      </c>
      <c r="AD282" s="136">
        <v>-2828</v>
      </c>
      <c r="AE282" s="129" t="s">
        <v>160</v>
      </c>
      <c r="AF282" s="129" t="s">
        <v>160</v>
      </c>
      <c r="AG282" s="141">
        <v>3179.7871089999999</v>
      </c>
      <c r="AH282" s="138" t="s">
        <v>159</v>
      </c>
      <c r="AI282" s="129" t="s">
        <v>160</v>
      </c>
      <c r="AJ282" s="129" t="s">
        <v>160</v>
      </c>
      <c r="AK282" s="178" t="s">
        <v>160</v>
      </c>
      <c r="AL282" s="178" t="s">
        <v>441</v>
      </c>
      <c r="AM282" s="178" t="s">
        <v>160</v>
      </c>
      <c r="AN282" s="129" t="s">
        <v>160</v>
      </c>
      <c r="AO282" s="129" t="s">
        <v>160</v>
      </c>
      <c r="AP282" s="129" t="s">
        <v>160</v>
      </c>
      <c r="AQ282" s="129" t="s">
        <v>160</v>
      </c>
      <c r="AR282" s="129" t="s">
        <v>160</v>
      </c>
      <c r="AS282" s="129" t="s">
        <v>160</v>
      </c>
      <c r="AT282" s="129" t="s">
        <v>160</v>
      </c>
      <c r="AU282" s="213" t="s">
        <v>442</v>
      </c>
      <c r="AV282" s="129" t="s">
        <v>161</v>
      </c>
      <c r="AW282" s="189" t="s">
        <v>443</v>
      </c>
      <c r="AX282" s="189" t="s">
        <v>444</v>
      </c>
      <c r="AY282" s="205" t="s">
        <v>353</v>
      </c>
      <c r="AZ282" s="205" t="s">
        <v>325</v>
      </c>
      <c r="BA282" s="129" t="s">
        <v>162</v>
      </c>
      <c r="BB282" s="129" t="s">
        <v>445</v>
      </c>
      <c r="BC282" s="129" t="s">
        <v>445</v>
      </c>
      <c r="BD282" s="129" t="s">
        <v>445</v>
      </c>
      <c r="BE282" s="141">
        <v>19.746120000000001</v>
      </c>
      <c r="BF282" s="129" t="s">
        <v>446</v>
      </c>
      <c r="BG282" s="141">
        <v>9.3528344999999999E-2</v>
      </c>
      <c r="BH282" s="129">
        <v>0.6</v>
      </c>
      <c r="BI282" s="129" t="s">
        <v>427</v>
      </c>
      <c r="BJ282" s="138">
        <v>0.08</v>
      </c>
      <c r="BK282" s="129">
        <v>8.8699999999999992</v>
      </c>
      <c r="BL282" s="129" t="s">
        <v>163</v>
      </c>
      <c r="BM282" s="129">
        <v>1.52</v>
      </c>
      <c r="BN282" s="129" t="s">
        <v>428</v>
      </c>
      <c r="BO282" s="129" t="s">
        <v>448</v>
      </c>
      <c r="BP282" s="141">
        <f t="shared" si="26"/>
        <v>18.126866666666672</v>
      </c>
      <c r="BQ282" s="129" t="s">
        <v>202</v>
      </c>
      <c r="BR282" s="217"/>
      <c r="BS282" s="129" t="s">
        <v>160</v>
      </c>
      <c r="BT282" s="129" t="s">
        <v>160</v>
      </c>
      <c r="BU282" s="129">
        <v>10</v>
      </c>
      <c r="BV282" s="129" t="s">
        <v>159</v>
      </c>
      <c r="BW282" s="129">
        <v>10</v>
      </c>
      <c r="BX282" s="141">
        <v>25.281429998476401</v>
      </c>
      <c r="BY282" s="129" t="s">
        <v>159</v>
      </c>
      <c r="BZ282" s="129">
        <v>1</v>
      </c>
      <c r="CA282" s="129">
        <v>1</v>
      </c>
      <c r="CB282" s="141">
        <v>3.5711636470697048</v>
      </c>
      <c r="CC282" s="141">
        <v>3.5711636470697048</v>
      </c>
      <c r="CD282" s="129" t="s">
        <v>449</v>
      </c>
      <c r="CE282" s="151">
        <f t="shared" si="27"/>
        <v>9.6421418470882023E-2</v>
      </c>
      <c r="CF282" s="151">
        <f t="shared" si="28"/>
        <v>9.6421418470882023E-2</v>
      </c>
      <c r="CG282" s="145" t="s">
        <v>203</v>
      </c>
      <c r="CH282" s="129" t="s">
        <v>204</v>
      </c>
      <c r="CI282" s="129" t="s">
        <v>205</v>
      </c>
      <c r="CJ282" s="129" t="s">
        <v>206</v>
      </c>
      <c r="CK282" s="129" t="s">
        <v>158</v>
      </c>
      <c r="CL282" s="129" t="s">
        <v>158</v>
      </c>
      <c r="CM282" s="129" t="s">
        <v>158</v>
      </c>
      <c r="CN282" s="129" t="s">
        <v>160</v>
      </c>
      <c r="CO282" s="129" t="s">
        <v>160</v>
      </c>
      <c r="CP282" s="129" t="s">
        <v>160</v>
      </c>
      <c r="CQ282" s="129" t="s">
        <v>160</v>
      </c>
      <c r="CR282" s="129" t="s">
        <v>160</v>
      </c>
      <c r="CS282" s="129" t="s">
        <v>160</v>
      </c>
      <c r="CT282" s="129" t="s">
        <v>160</v>
      </c>
      <c r="CU282" s="215">
        <v>35</v>
      </c>
      <c r="CV282" s="129" t="s">
        <v>393</v>
      </c>
      <c r="CW282" s="146">
        <v>1</v>
      </c>
      <c r="CX282" s="129" t="s">
        <v>207</v>
      </c>
      <c r="CY282" s="129">
        <v>1.06E-2</v>
      </c>
      <c r="CZ282" s="129" t="s">
        <v>159</v>
      </c>
      <c r="DA282" s="146">
        <v>0</v>
      </c>
      <c r="DB282" s="129" t="s">
        <v>208</v>
      </c>
      <c r="DC282" s="129">
        <v>5.5100000000000003E-2</v>
      </c>
      <c r="DD282" s="129" t="s">
        <v>159</v>
      </c>
      <c r="DE282" s="146">
        <v>0</v>
      </c>
      <c r="DF282" s="129" t="s">
        <v>208</v>
      </c>
      <c r="DG282" s="178" t="s">
        <v>160</v>
      </c>
      <c r="DH282" s="178" t="s">
        <v>160</v>
      </c>
      <c r="DI282" s="178" t="s">
        <v>160</v>
      </c>
      <c r="DJ282" s="178" t="s">
        <v>160</v>
      </c>
      <c r="DK282" s="145">
        <v>432.56244218316402</v>
      </c>
      <c r="DL282" s="129" t="s">
        <v>433</v>
      </c>
      <c r="DM282" s="145" t="s">
        <v>160</v>
      </c>
      <c r="DN282" s="129" t="s">
        <v>434</v>
      </c>
      <c r="DO282" s="129">
        <v>39.6935</v>
      </c>
      <c r="DP282" s="129" t="s">
        <v>160</v>
      </c>
      <c r="DQ282" s="129">
        <v>0.3706499999999977</v>
      </c>
      <c r="DR282" s="129" t="s">
        <v>450</v>
      </c>
      <c r="DS282" s="129" t="s">
        <v>212</v>
      </c>
      <c r="DT282" s="129" t="s">
        <v>213</v>
      </c>
      <c r="DU282" s="129">
        <v>1.0271999999999999</v>
      </c>
      <c r="DV282" s="129" t="s">
        <v>393</v>
      </c>
      <c r="DW282" s="129">
        <v>5.9999999999999995E-4</v>
      </c>
      <c r="DX282" s="129" t="s">
        <v>436</v>
      </c>
      <c r="DY282" s="129" t="s">
        <v>160</v>
      </c>
      <c r="DZ282" s="129" t="s">
        <v>160</v>
      </c>
      <c r="EA282" s="129" t="s">
        <v>216</v>
      </c>
      <c r="EB282" s="129" t="s">
        <v>212</v>
      </c>
      <c r="EC282" s="129" t="s">
        <v>212</v>
      </c>
      <c r="ED282" s="129" t="s">
        <v>212</v>
      </c>
      <c r="EE282" s="129" t="s">
        <v>217</v>
      </c>
      <c r="EF282" s="147" t="s">
        <v>213</v>
      </c>
      <c r="EG282" s="148" t="s">
        <v>213</v>
      </c>
      <c r="EH282" s="129" t="s">
        <v>218</v>
      </c>
      <c r="EI282" s="129" t="s">
        <v>417</v>
      </c>
      <c r="EJ282" s="129" t="s">
        <v>160</v>
      </c>
      <c r="EK282" s="129">
        <v>1935.4970000000001</v>
      </c>
      <c r="EL282" s="129" t="s">
        <v>163</v>
      </c>
      <c r="EM282" s="129">
        <v>53.734000000000158</v>
      </c>
      <c r="EN282" s="129">
        <v>53.379000000000097</v>
      </c>
      <c r="EO282" s="129" t="s">
        <v>160</v>
      </c>
      <c r="EP282" s="129" t="s">
        <v>160</v>
      </c>
      <c r="EQ282" s="129" t="s">
        <v>160</v>
      </c>
      <c r="ER282" s="129" t="s">
        <v>160</v>
      </c>
      <c r="ES282" s="141">
        <v>8.0473599999999994</v>
      </c>
      <c r="ET282" s="142" t="s">
        <v>165</v>
      </c>
      <c r="EU282" s="141">
        <v>4.5036000000001408E-2</v>
      </c>
      <c r="EV282" s="141">
        <v>4.5665999999998874E-2</v>
      </c>
      <c r="EW282" s="142" t="s">
        <v>160</v>
      </c>
      <c r="EX282" s="129" t="s">
        <v>160</v>
      </c>
      <c r="EY282" s="129" t="s">
        <v>160</v>
      </c>
      <c r="EZ282" s="141">
        <v>343.07309999999995</v>
      </c>
      <c r="FA282" s="141">
        <v>46.618300000000033</v>
      </c>
      <c r="FB282" s="141">
        <v>42.090899999999976</v>
      </c>
      <c r="FC282" s="129" t="s">
        <v>220</v>
      </c>
      <c r="FD282" s="129" t="s">
        <v>221</v>
      </c>
      <c r="FE282" s="129">
        <v>2181.4659999999999</v>
      </c>
      <c r="FF282" s="129">
        <v>68.194000000000415</v>
      </c>
      <c r="FG282" s="129">
        <v>67.391000000000076</v>
      </c>
      <c r="FH282" s="129" t="s">
        <v>437</v>
      </c>
      <c r="FI282" s="129" t="s">
        <v>437</v>
      </c>
      <c r="FJ282" s="129" t="s">
        <v>437</v>
      </c>
      <c r="FK282" s="129" t="s">
        <v>437</v>
      </c>
      <c r="FL282" s="129" t="s">
        <v>437</v>
      </c>
      <c r="FM282" s="129" t="s">
        <v>437</v>
      </c>
      <c r="FN282" s="151">
        <v>3.5112079999999999</v>
      </c>
      <c r="FO282" s="151">
        <v>0.31446700000000005</v>
      </c>
      <c r="FP282" s="151">
        <v>0.30499099999999979</v>
      </c>
      <c r="FQ282" s="178" t="s">
        <v>419</v>
      </c>
      <c r="FR282" s="129" t="s">
        <v>439</v>
      </c>
      <c r="FS282" s="129">
        <v>2015</v>
      </c>
      <c r="FT282" s="129" t="s">
        <v>440</v>
      </c>
    </row>
    <row r="283" spans="1:176" s="129" customFormat="1" ht="17">
      <c r="A283" s="123" t="s">
        <v>152</v>
      </c>
      <c r="B283" s="166" t="s">
        <v>183</v>
      </c>
      <c r="C283" s="166">
        <v>2018</v>
      </c>
      <c r="D283" s="166" t="s">
        <v>184</v>
      </c>
      <c r="E283" s="151">
        <f t="shared" ref="E283:E291" si="29">AG283</f>
        <v>3189.1899410000001</v>
      </c>
      <c r="F283" s="191" t="s">
        <v>160</v>
      </c>
      <c r="G283" s="191" t="s">
        <v>160</v>
      </c>
      <c r="H283" s="151">
        <v>261.36220000000003</v>
      </c>
      <c r="I283" s="151">
        <v>35.399799999999971</v>
      </c>
      <c r="J283" s="151">
        <v>30.900600000000054</v>
      </c>
      <c r="K283" s="129" t="s">
        <v>457</v>
      </c>
      <c r="L283" s="131" t="s">
        <v>185</v>
      </c>
      <c r="M283" s="132" t="s">
        <v>186</v>
      </c>
      <c r="N283" s="129" t="s">
        <v>184</v>
      </c>
      <c r="O283" s="129" t="s">
        <v>420</v>
      </c>
      <c r="P283" s="129" t="s">
        <v>156</v>
      </c>
      <c r="Q283" s="178">
        <v>12</v>
      </c>
      <c r="R283" s="178">
        <v>1</v>
      </c>
      <c r="S283" s="178">
        <v>4</v>
      </c>
      <c r="T283" s="178">
        <v>6</v>
      </c>
      <c r="U283" s="178" t="s">
        <v>160</v>
      </c>
      <c r="V283" s="178" t="s">
        <v>160</v>
      </c>
      <c r="W283" s="178" t="s">
        <v>160</v>
      </c>
      <c r="X283" s="129" t="s">
        <v>157</v>
      </c>
      <c r="Y283" s="136">
        <v>12.75</v>
      </c>
      <c r="Z283" s="136">
        <v>-78.73</v>
      </c>
      <c r="AA283" s="136">
        <v>12.75</v>
      </c>
      <c r="AB283" s="136">
        <v>-78.73</v>
      </c>
      <c r="AC283" s="136">
        <v>-2828</v>
      </c>
      <c r="AD283" s="136">
        <v>-2828</v>
      </c>
      <c r="AE283" s="129" t="s">
        <v>160</v>
      </c>
      <c r="AF283" s="129" t="s">
        <v>160</v>
      </c>
      <c r="AG283" s="141">
        <v>3189.1899410000001</v>
      </c>
      <c r="AH283" s="138" t="s">
        <v>159</v>
      </c>
      <c r="AI283" s="129" t="s">
        <v>160</v>
      </c>
      <c r="AJ283" s="129" t="s">
        <v>160</v>
      </c>
      <c r="AK283" s="178" t="s">
        <v>160</v>
      </c>
      <c r="AL283" s="178" t="s">
        <v>441</v>
      </c>
      <c r="AM283" s="178" t="s">
        <v>160</v>
      </c>
      <c r="AN283" s="129" t="s">
        <v>160</v>
      </c>
      <c r="AO283" s="129" t="s">
        <v>160</v>
      </c>
      <c r="AP283" s="129" t="s">
        <v>160</v>
      </c>
      <c r="AQ283" s="129" t="s">
        <v>160</v>
      </c>
      <c r="AR283" s="129" t="s">
        <v>160</v>
      </c>
      <c r="AS283" s="129" t="s">
        <v>160</v>
      </c>
      <c r="AT283" s="129" t="s">
        <v>160</v>
      </c>
      <c r="AU283" s="213" t="s">
        <v>442</v>
      </c>
      <c r="AV283" s="129" t="s">
        <v>161</v>
      </c>
      <c r="AW283" s="189" t="s">
        <v>443</v>
      </c>
      <c r="AX283" s="205" t="s">
        <v>444</v>
      </c>
      <c r="AY283" s="205" t="s">
        <v>353</v>
      </c>
      <c r="AZ283" s="205" t="s">
        <v>325</v>
      </c>
      <c r="BA283" s="214" t="s">
        <v>162</v>
      </c>
      <c r="BB283" s="129" t="s">
        <v>445</v>
      </c>
      <c r="BC283" s="129" t="s">
        <v>445</v>
      </c>
      <c r="BD283" s="129" t="s">
        <v>445</v>
      </c>
      <c r="BE283" s="141">
        <v>20.463830000000002</v>
      </c>
      <c r="BF283" s="129" t="s">
        <v>446</v>
      </c>
      <c r="BG283" s="141">
        <v>9.8452018000000002E-2</v>
      </c>
      <c r="BH283" s="129">
        <v>0.6</v>
      </c>
      <c r="BI283" s="129" t="s">
        <v>427</v>
      </c>
      <c r="BJ283" s="138">
        <v>0.08</v>
      </c>
      <c r="BK283" s="129">
        <v>8.8699999999999992</v>
      </c>
      <c r="BL283" s="129" t="s">
        <v>163</v>
      </c>
      <c r="BM283" s="129">
        <v>1.52</v>
      </c>
      <c r="BN283" s="129" t="s">
        <v>428</v>
      </c>
      <c r="BO283" s="129" t="s">
        <v>448</v>
      </c>
      <c r="BP283" s="141">
        <f t="shared" ref="BP283:BP292" si="30">(BE283-8.87)/0.6</f>
        <v>19.323050000000006</v>
      </c>
      <c r="BQ283" s="129" t="s">
        <v>202</v>
      </c>
      <c r="BR283" s="217"/>
      <c r="BS283" s="129" t="s">
        <v>160</v>
      </c>
      <c r="BT283" s="129" t="s">
        <v>160</v>
      </c>
      <c r="BU283" s="129">
        <v>10</v>
      </c>
      <c r="BV283" s="129" t="s">
        <v>159</v>
      </c>
      <c r="BW283" s="129">
        <v>10</v>
      </c>
      <c r="BX283" s="141">
        <v>26.00402158377122</v>
      </c>
      <c r="BY283" s="129" t="s">
        <v>159</v>
      </c>
      <c r="BZ283" s="129">
        <v>1</v>
      </c>
      <c r="CA283" s="129">
        <v>1</v>
      </c>
      <c r="CB283" s="141">
        <v>3.8107467853136208</v>
      </c>
      <c r="CC283" s="141">
        <v>3.8107467853136208</v>
      </c>
      <c r="CD283" s="129" t="s">
        <v>449</v>
      </c>
      <c r="CE283" s="151">
        <f t="shared" ref="CE283:CE292" si="31">CC283*0.027</f>
        <v>0.10289016320346776</v>
      </c>
      <c r="CF283" s="151">
        <f t="shared" ref="CF283:CF292" si="32">CC283*0.027</f>
        <v>0.10289016320346776</v>
      </c>
      <c r="CG283" s="145" t="s">
        <v>203</v>
      </c>
      <c r="CH283" s="129" t="s">
        <v>204</v>
      </c>
      <c r="CI283" s="129" t="s">
        <v>205</v>
      </c>
      <c r="CJ283" s="129" t="s">
        <v>206</v>
      </c>
      <c r="CK283" s="129" t="s">
        <v>158</v>
      </c>
      <c r="CL283" s="129" t="s">
        <v>158</v>
      </c>
      <c r="CM283" s="129" t="s">
        <v>158</v>
      </c>
      <c r="CN283" s="129" t="s">
        <v>160</v>
      </c>
      <c r="CO283" s="129" t="s">
        <v>160</v>
      </c>
      <c r="CP283" s="129" t="s">
        <v>160</v>
      </c>
      <c r="CQ283" s="129" t="s">
        <v>160</v>
      </c>
      <c r="CR283" s="129" t="s">
        <v>160</v>
      </c>
      <c r="CS283" s="129" t="s">
        <v>160</v>
      </c>
      <c r="CT283" s="129" t="s">
        <v>160</v>
      </c>
      <c r="CU283" s="215">
        <v>35</v>
      </c>
      <c r="CV283" s="129" t="s">
        <v>393</v>
      </c>
      <c r="CW283" s="146">
        <v>1</v>
      </c>
      <c r="CX283" s="129" t="s">
        <v>207</v>
      </c>
      <c r="CY283" s="129">
        <v>1.06E-2</v>
      </c>
      <c r="CZ283" s="129" t="s">
        <v>159</v>
      </c>
      <c r="DA283" s="146">
        <v>0</v>
      </c>
      <c r="DB283" s="129" t="s">
        <v>208</v>
      </c>
      <c r="DC283" s="129">
        <v>5.5100000000000003E-2</v>
      </c>
      <c r="DD283" s="129" t="s">
        <v>159</v>
      </c>
      <c r="DE283" s="146">
        <v>0</v>
      </c>
      <c r="DF283" s="129" t="s">
        <v>208</v>
      </c>
      <c r="DG283" s="178" t="s">
        <v>160</v>
      </c>
      <c r="DH283" s="178" t="s">
        <v>160</v>
      </c>
      <c r="DI283" s="178" t="s">
        <v>160</v>
      </c>
      <c r="DJ283" s="178" t="s">
        <v>160</v>
      </c>
      <c r="DK283" s="145">
        <v>432.56244218316402</v>
      </c>
      <c r="DL283" s="129" t="s">
        <v>433</v>
      </c>
      <c r="DM283" s="145" t="s">
        <v>160</v>
      </c>
      <c r="DN283" s="129" t="s">
        <v>434</v>
      </c>
      <c r="DO283" s="129">
        <v>39.693350000000002</v>
      </c>
      <c r="DP283" s="129" t="s">
        <v>160</v>
      </c>
      <c r="DQ283" s="129">
        <v>0.37773999999999575</v>
      </c>
      <c r="DR283" s="129" t="s">
        <v>450</v>
      </c>
      <c r="DS283" s="129" t="s">
        <v>212</v>
      </c>
      <c r="DT283" s="129" t="s">
        <v>213</v>
      </c>
      <c r="DU283" s="129">
        <v>1.0271999999999999</v>
      </c>
      <c r="DV283" s="129" t="s">
        <v>393</v>
      </c>
      <c r="DW283" s="129">
        <v>5.9999999999999995E-4</v>
      </c>
      <c r="DX283" s="129" t="s">
        <v>436</v>
      </c>
      <c r="DY283" s="129" t="s">
        <v>160</v>
      </c>
      <c r="DZ283" s="129" t="s">
        <v>160</v>
      </c>
      <c r="EA283" s="129" t="s">
        <v>216</v>
      </c>
      <c r="EB283" s="129" t="s">
        <v>212</v>
      </c>
      <c r="EC283" s="129" t="s">
        <v>212</v>
      </c>
      <c r="ED283" s="129" t="s">
        <v>212</v>
      </c>
      <c r="EE283" s="129" t="s">
        <v>217</v>
      </c>
      <c r="EF283" s="147" t="s">
        <v>213</v>
      </c>
      <c r="EG283" s="148" t="s">
        <v>213</v>
      </c>
      <c r="EH283" s="129" t="s">
        <v>218</v>
      </c>
      <c r="EI283" s="129" t="s">
        <v>417</v>
      </c>
      <c r="EJ283" s="129" t="s">
        <v>160</v>
      </c>
      <c r="EK283" s="129">
        <v>1936.307</v>
      </c>
      <c r="EL283" s="129" t="s">
        <v>163</v>
      </c>
      <c r="EM283" s="129">
        <v>54.12099999999986</v>
      </c>
      <c r="EN283" s="129">
        <v>56.105999999999995</v>
      </c>
      <c r="EO283" s="129" t="s">
        <v>160</v>
      </c>
      <c r="EP283" s="129" t="s">
        <v>160</v>
      </c>
      <c r="EQ283" s="129" t="s">
        <v>160</v>
      </c>
      <c r="ER283" s="129" t="s">
        <v>160</v>
      </c>
      <c r="ES283" s="141">
        <v>8.1437650000000001</v>
      </c>
      <c r="ET283" s="142" t="s">
        <v>165</v>
      </c>
      <c r="EU283" s="141">
        <v>4.2006000000000654E-2</v>
      </c>
      <c r="EV283" s="141">
        <v>4.2502000000000706E-2</v>
      </c>
      <c r="EW283" s="142" t="s">
        <v>160</v>
      </c>
      <c r="EX283" s="129" t="s">
        <v>160</v>
      </c>
      <c r="EY283" s="129" t="s">
        <v>160</v>
      </c>
      <c r="EZ283" s="141">
        <v>261.36220000000003</v>
      </c>
      <c r="FA283" s="141">
        <v>35.399799999999971</v>
      </c>
      <c r="FB283" s="141">
        <v>30.900600000000054</v>
      </c>
      <c r="FC283" s="129" t="s">
        <v>220</v>
      </c>
      <c r="FD283" s="129" t="s">
        <v>221</v>
      </c>
      <c r="FE283" s="129">
        <v>2252.7869999999998</v>
      </c>
      <c r="FF283" s="129">
        <v>72.541000000000622</v>
      </c>
      <c r="FG283" s="129">
        <v>69.398999999999887</v>
      </c>
      <c r="FH283" s="129" t="s">
        <v>437</v>
      </c>
      <c r="FI283" s="129" t="s">
        <v>437</v>
      </c>
      <c r="FJ283" s="129" t="s">
        <v>437</v>
      </c>
      <c r="FK283" s="129" t="s">
        <v>437</v>
      </c>
      <c r="FL283" s="129" t="s">
        <v>437</v>
      </c>
      <c r="FM283" s="129" t="s">
        <v>437</v>
      </c>
      <c r="FN283" s="151">
        <v>4.3817940000000002</v>
      </c>
      <c r="FO283" s="151">
        <v>0.35790699999999998</v>
      </c>
      <c r="FP283" s="151">
        <v>0.34024000000000054</v>
      </c>
      <c r="FQ283" s="178" t="s">
        <v>419</v>
      </c>
      <c r="FR283" s="129" t="s">
        <v>439</v>
      </c>
      <c r="FS283" s="129">
        <v>2015</v>
      </c>
      <c r="FT283" s="129" t="s">
        <v>440</v>
      </c>
    </row>
    <row r="284" spans="1:176" s="129" customFormat="1" ht="17">
      <c r="A284" s="123" t="s">
        <v>152</v>
      </c>
      <c r="B284" s="166" t="s">
        <v>183</v>
      </c>
      <c r="C284" s="166">
        <v>2018</v>
      </c>
      <c r="D284" s="166" t="s">
        <v>184</v>
      </c>
      <c r="E284" s="151">
        <f t="shared" si="29"/>
        <v>3198.7292480000001</v>
      </c>
      <c r="F284" s="191" t="s">
        <v>160</v>
      </c>
      <c r="G284" s="191" t="s">
        <v>160</v>
      </c>
      <c r="H284" s="151">
        <v>300.28859999999997</v>
      </c>
      <c r="I284" s="151">
        <v>41.624600000000044</v>
      </c>
      <c r="J284" s="151">
        <v>37.10329999999999</v>
      </c>
      <c r="K284" s="129" t="s">
        <v>457</v>
      </c>
      <c r="L284" s="131" t="s">
        <v>185</v>
      </c>
      <c r="M284" s="132" t="s">
        <v>186</v>
      </c>
      <c r="N284" s="129" t="s">
        <v>184</v>
      </c>
      <c r="O284" s="129" t="s">
        <v>420</v>
      </c>
      <c r="P284" s="129" t="s">
        <v>156</v>
      </c>
      <c r="Q284" s="178">
        <v>12</v>
      </c>
      <c r="R284" s="178">
        <v>1</v>
      </c>
      <c r="S284" s="178">
        <v>29</v>
      </c>
      <c r="T284" s="178">
        <v>30</v>
      </c>
      <c r="U284" s="178" t="s">
        <v>160</v>
      </c>
      <c r="V284" s="178" t="s">
        <v>160</v>
      </c>
      <c r="W284" s="178" t="s">
        <v>160</v>
      </c>
      <c r="X284" s="129" t="s">
        <v>157</v>
      </c>
      <c r="Y284" s="136">
        <v>12.75</v>
      </c>
      <c r="Z284" s="136">
        <v>-78.73</v>
      </c>
      <c r="AA284" s="136">
        <v>12.75</v>
      </c>
      <c r="AB284" s="136">
        <v>-78.73</v>
      </c>
      <c r="AC284" s="136">
        <v>-2828</v>
      </c>
      <c r="AD284" s="136">
        <v>-2828</v>
      </c>
      <c r="AE284" s="129" t="s">
        <v>160</v>
      </c>
      <c r="AF284" s="129" t="s">
        <v>160</v>
      </c>
      <c r="AG284" s="141">
        <v>3198.7292480000001</v>
      </c>
      <c r="AH284" s="138" t="s">
        <v>159</v>
      </c>
      <c r="AI284" s="129" t="s">
        <v>160</v>
      </c>
      <c r="AJ284" s="129" t="s">
        <v>160</v>
      </c>
      <c r="AK284" s="178" t="s">
        <v>160</v>
      </c>
      <c r="AL284" s="178" t="s">
        <v>441</v>
      </c>
      <c r="AM284" s="178" t="s">
        <v>160</v>
      </c>
      <c r="AN284" s="129" t="s">
        <v>160</v>
      </c>
      <c r="AO284" s="129" t="s">
        <v>160</v>
      </c>
      <c r="AP284" s="129" t="s">
        <v>160</v>
      </c>
      <c r="AQ284" s="129" t="s">
        <v>160</v>
      </c>
      <c r="AR284" s="129" t="s">
        <v>160</v>
      </c>
      <c r="AS284" s="129" t="s">
        <v>160</v>
      </c>
      <c r="AT284" s="129" t="s">
        <v>160</v>
      </c>
      <c r="AU284" s="213" t="s">
        <v>442</v>
      </c>
      <c r="AV284" s="129" t="s">
        <v>161</v>
      </c>
      <c r="AW284" s="189" t="s">
        <v>443</v>
      </c>
      <c r="AX284" s="189" t="s">
        <v>444</v>
      </c>
      <c r="AY284" s="205" t="s">
        <v>353</v>
      </c>
      <c r="AZ284" s="205" t="s">
        <v>325</v>
      </c>
      <c r="BA284" s="129" t="s">
        <v>162</v>
      </c>
      <c r="BB284" s="129" t="s">
        <v>445</v>
      </c>
      <c r="BC284" s="129" t="s">
        <v>445</v>
      </c>
      <c r="BD284" s="129" t="s">
        <v>445</v>
      </c>
      <c r="BE284" s="141">
        <v>20.061399999999999</v>
      </c>
      <c r="BF284" s="129" t="s">
        <v>446</v>
      </c>
      <c r="BG284" s="141">
        <v>0.116816926</v>
      </c>
      <c r="BH284" s="129">
        <v>0.6</v>
      </c>
      <c r="BI284" s="129" t="s">
        <v>427</v>
      </c>
      <c r="BJ284" s="138">
        <v>0.08</v>
      </c>
      <c r="BK284" s="129">
        <v>8.8699999999999992</v>
      </c>
      <c r="BL284" s="129" t="s">
        <v>163</v>
      </c>
      <c r="BM284" s="129">
        <v>1.52</v>
      </c>
      <c r="BN284" s="129" t="s">
        <v>428</v>
      </c>
      <c r="BO284" s="129" t="s">
        <v>448</v>
      </c>
      <c r="BP284" s="141">
        <f t="shared" si="30"/>
        <v>18.652333333333335</v>
      </c>
      <c r="BQ284" s="129" t="s">
        <v>202</v>
      </c>
      <c r="BR284" s="217"/>
      <c r="BS284" s="129" t="s">
        <v>160</v>
      </c>
      <c r="BT284" s="129" t="s">
        <v>160</v>
      </c>
      <c r="BU284" s="129">
        <v>10</v>
      </c>
      <c r="BV284" s="129" t="s">
        <v>159</v>
      </c>
      <c r="BW284" s="129">
        <v>10</v>
      </c>
      <c r="BX284" s="141">
        <v>25.30113503538637</v>
      </c>
      <c r="BY284" s="129" t="s">
        <v>159</v>
      </c>
      <c r="BZ284" s="129">
        <v>1</v>
      </c>
      <c r="CA284" s="129">
        <v>1</v>
      </c>
      <c r="CB284" s="141">
        <v>3.5767851230305161</v>
      </c>
      <c r="CC284" s="141">
        <v>3.5767851230305161</v>
      </c>
      <c r="CD284" s="129" t="s">
        <v>449</v>
      </c>
      <c r="CE284" s="151">
        <f t="shared" si="31"/>
        <v>9.6573198321823928E-2</v>
      </c>
      <c r="CF284" s="151">
        <f t="shared" si="32"/>
        <v>9.6573198321823928E-2</v>
      </c>
      <c r="CG284" s="145" t="s">
        <v>203</v>
      </c>
      <c r="CH284" s="129" t="s">
        <v>204</v>
      </c>
      <c r="CI284" s="129" t="s">
        <v>205</v>
      </c>
      <c r="CJ284" s="129" t="s">
        <v>206</v>
      </c>
      <c r="CK284" s="129" t="s">
        <v>158</v>
      </c>
      <c r="CL284" s="129" t="s">
        <v>158</v>
      </c>
      <c r="CM284" s="129" t="s">
        <v>158</v>
      </c>
      <c r="CN284" s="129" t="s">
        <v>160</v>
      </c>
      <c r="CO284" s="129" t="s">
        <v>160</v>
      </c>
      <c r="CP284" s="129" t="s">
        <v>160</v>
      </c>
      <c r="CQ284" s="129" t="s">
        <v>160</v>
      </c>
      <c r="CR284" s="129" t="s">
        <v>160</v>
      </c>
      <c r="CS284" s="129" t="s">
        <v>160</v>
      </c>
      <c r="CT284" s="129" t="s">
        <v>160</v>
      </c>
      <c r="CU284" s="215">
        <v>35</v>
      </c>
      <c r="CV284" s="129" t="s">
        <v>393</v>
      </c>
      <c r="CW284" s="146">
        <v>1</v>
      </c>
      <c r="CX284" s="129" t="s">
        <v>207</v>
      </c>
      <c r="CY284" s="129">
        <v>1.06E-2</v>
      </c>
      <c r="CZ284" s="129" t="s">
        <v>159</v>
      </c>
      <c r="DA284" s="146">
        <v>0</v>
      </c>
      <c r="DB284" s="129" t="s">
        <v>208</v>
      </c>
      <c r="DC284" s="129">
        <v>5.5100000000000003E-2</v>
      </c>
      <c r="DD284" s="129" t="s">
        <v>159</v>
      </c>
      <c r="DE284" s="146">
        <v>0</v>
      </c>
      <c r="DF284" s="129" t="s">
        <v>208</v>
      </c>
      <c r="DG284" s="178" t="s">
        <v>160</v>
      </c>
      <c r="DH284" s="178" t="s">
        <v>160</v>
      </c>
      <c r="DI284" s="178" t="s">
        <v>160</v>
      </c>
      <c r="DJ284" s="178" t="s">
        <v>160</v>
      </c>
      <c r="DK284" s="145">
        <v>432.56244218316402</v>
      </c>
      <c r="DL284" s="129" t="s">
        <v>433</v>
      </c>
      <c r="DM284" s="145" t="s">
        <v>160</v>
      </c>
      <c r="DN284" s="129" t="s">
        <v>434</v>
      </c>
      <c r="DO284" s="129">
        <v>39.692239999999998</v>
      </c>
      <c r="DP284" s="129" t="s">
        <v>160</v>
      </c>
      <c r="DQ284" s="129">
        <v>0.36446000000000112</v>
      </c>
      <c r="DR284" s="129" t="s">
        <v>450</v>
      </c>
      <c r="DS284" s="129" t="s">
        <v>212</v>
      </c>
      <c r="DT284" s="129" t="s">
        <v>213</v>
      </c>
      <c r="DU284" s="129">
        <v>1.0271999999999999</v>
      </c>
      <c r="DV284" s="129" t="s">
        <v>393</v>
      </c>
      <c r="DW284" s="129">
        <v>5.9999999999999995E-4</v>
      </c>
      <c r="DX284" s="129" t="s">
        <v>436</v>
      </c>
      <c r="DY284" s="129" t="s">
        <v>160</v>
      </c>
      <c r="DZ284" s="129" t="s">
        <v>160</v>
      </c>
      <c r="EA284" s="129" t="s">
        <v>216</v>
      </c>
      <c r="EB284" s="129" t="s">
        <v>212</v>
      </c>
      <c r="EC284" s="129" t="s">
        <v>212</v>
      </c>
      <c r="ED284" s="129" t="s">
        <v>212</v>
      </c>
      <c r="EE284" s="129" t="s">
        <v>217</v>
      </c>
      <c r="EF284" s="147" t="s">
        <v>213</v>
      </c>
      <c r="EG284" s="148" t="s">
        <v>213</v>
      </c>
      <c r="EH284" s="129" t="s">
        <v>218</v>
      </c>
      <c r="EI284" s="129" t="s">
        <v>417</v>
      </c>
      <c r="EJ284" s="129" t="s">
        <v>160</v>
      </c>
      <c r="EK284" s="129">
        <v>1935.221</v>
      </c>
      <c r="EL284" s="129" t="s">
        <v>163</v>
      </c>
      <c r="EM284" s="129">
        <v>53.575000000000152</v>
      </c>
      <c r="EN284" s="129">
        <v>53.24299999999991</v>
      </c>
      <c r="EO284" s="129" t="s">
        <v>160</v>
      </c>
      <c r="EP284" s="129" t="s">
        <v>160</v>
      </c>
      <c r="EQ284" s="129" t="s">
        <v>160</v>
      </c>
      <c r="ER284" s="129" t="s">
        <v>160</v>
      </c>
      <c r="ES284" s="141">
        <v>8.0948969999999996</v>
      </c>
      <c r="ET284" s="142" t="s">
        <v>165</v>
      </c>
      <c r="EU284" s="141">
        <v>4.4399999999999551E-2</v>
      </c>
      <c r="EV284" s="141">
        <v>4.5394999999999186E-2</v>
      </c>
      <c r="EW284" s="142" t="s">
        <v>160</v>
      </c>
      <c r="EX284" s="129" t="s">
        <v>160</v>
      </c>
      <c r="EY284" s="129" t="s">
        <v>160</v>
      </c>
      <c r="EZ284" s="141">
        <v>300.28859999999997</v>
      </c>
      <c r="FA284" s="141">
        <v>41.624600000000044</v>
      </c>
      <c r="FB284" s="141">
        <v>37.10329999999999</v>
      </c>
      <c r="FC284" s="129" t="s">
        <v>220</v>
      </c>
      <c r="FD284" s="129" t="s">
        <v>221</v>
      </c>
      <c r="FE284" s="129">
        <v>2211.4830000000002</v>
      </c>
      <c r="FF284" s="129">
        <v>67.717999999999847</v>
      </c>
      <c r="FG284" s="129">
        <v>69.594000000000051</v>
      </c>
      <c r="FH284" s="129" t="s">
        <v>437</v>
      </c>
      <c r="FI284" s="129" t="s">
        <v>437</v>
      </c>
      <c r="FJ284" s="129" t="s">
        <v>437</v>
      </c>
      <c r="FK284" s="129" t="s">
        <v>437</v>
      </c>
      <c r="FL284" s="129" t="s">
        <v>437</v>
      </c>
      <c r="FM284" s="129" t="s">
        <v>437</v>
      </c>
      <c r="FN284" s="151">
        <v>3.8699089999999998</v>
      </c>
      <c r="FO284" s="151">
        <v>0.33766500000000033</v>
      </c>
      <c r="FP284" s="151">
        <v>0.32757999999999976</v>
      </c>
      <c r="FQ284" s="178" t="s">
        <v>419</v>
      </c>
      <c r="FR284" s="129" t="s">
        <v>439</v>
      </c>
      <c r="FS284" s="129">
        <v>2015</v>
      </c>
      <c r="FT284" s="129" t="s">
        <v>440</v>
      </c>
    </row>
    <row r="285" spans="1:176" s="129" customFormat="1" ht="17">
      <c r="A285" s="123" t="s">
        <v>152</v>
      </c>
      <c r="B285" s="166" t="s">
        <v>183</v>
      </c>
      <c r="C285" s="166">
        <v>2018</v>
      </c>
      <c r="D285" s="166" t="s">
        <v>184</v>
      </c>
      <c r="E285" s="151">
        <f t="shared" si="29"/>
        <v>3209.3752439999998</v>
      </c>
      <c r="F285" s="191" t="s">
        <v>160</v>
      </c>
      <c r="G285" s="191" t="s">
        <v>160</v>
      </c>
      <c r="H285" s="151">
        <v>297.33729999999997</v>
      </c>
      <c r="I285" s="151">
        <v>43.190300000000036</v>
      </c>
      <c r="J285" s="151">
        <v>38.013699999999972</v>
      </c>
      <c r="K285" s="129" t="s">
        <v>457</v>
      </c>
      <c r="L285" s="131" t="s">
        <v>185</v>
      </c>
      <c r="M285" s="132" t="s">
        <v>186</v>
      </c>
      <c r="N285" s="129" t="s">
        <v>184</v>
      </c>
      <c r="O285" s="129" t="s">
        <v>420</v>
      </c>
      <c r="P285" s="129" t="s">
        <v>156</v>
      </c>
      <c r="Q285" s="178">
        <v>12</v>
      </c>
      <c r="R285" s="178">
        <v>1</v>
      </c>
      <c r="S285" s="178">
        <v>57</v>
      </c>
      <c r="T285" s="178">
        <v>59</v>
      </c>
      <c r="U285" s="178" t="s">
        <v>160</v>
      </c>
      <c r="V285" s="178" t="s">
        <v>160</v>
      </c>
      <c r="W285" s="178" t="s">
        <v>160</v>
      </c>
      <c r="X285" s="129" t="s">
        <v>157</v>
      </c>
      <c r="Y285" s="136">
        <v>12.75</v>
      </c>
      <c r="Z285" s="136">
        <v>-78.73</v>
      </c>
      <c r="AA285" s="136">
        <v>12.75</v>
      </c>
      <c r="AB285" s="136">
        <v>-78.73</v>
      </c>
      <c r="AC285" s="136">
        <v>-2828</v>
      </c>
      <c r="AD285" s="136">
        <v>-2828</v>
      </c>
      <c r="AE285" s="129" t="s">
        <v>160</v>
      </c>
      <c r="AF285" s="129" t="s">
        <v>160</v>
      </c>
      <c r="AG285" s="141">
        <v>3209.3752439999998</v>
      </c>
      <c r="AH285" s="138" t="s">
        <v>159</v>
      </c>
      <c r="AI285" s="129" t="s">
        <v>160</v>
      </c>
      <c r="AJ285" s="129" t="s">
        <v>160</v>
      </c>
      <c r="AK285" s="178" t="s">
        <v>160</v>
      </c>
      <c r="AL285" s="178" t="s">
        <v>441</v>
      </c>
      <c r="AM285" s="178" t="s">
        <v>160</v>
      </c>
      <c r="AN285" s="129" t="s">
        <v>160</v>
      </c>
      <c r="AO285" s="129" t="s">
        <v>160</v>
      </c>
      <c r="AP285" s="129" t="s">
        <v>160</v>
      </c>
      <c r="AQ285" s="129" t="s">
        <v>160</v>
      </c>
      <c r="AR285" s="129" t="s">
        <v>160</v>
      </c>
      <c r="AS285" s="129" t="s">
        <v>160</v>
      </c>
      <c r="AT285" s="129" t="s">
        <v>160</v>
      </c>
      <c r="AU285" s="213" t="s">
        <v>442</v>
      </c>
      <c r="AV285" s="129" t="s">
        <v>161</v>
      </c>
      <c r="AW285" s="189" t="s">
        <v>443</v>
      </c>
      <c r="AX285" s="205" t="s">
        <v>444</v>
      </c>
      <c r="AY285" s="205" t="s">
        <v>353</v>
      </c>
      <c r="AZ285" s="205" t="s">
        <v>325</v>
      </c>
      <c r="BA285" s="214" t="s">
        <v>162</v>
      </c>
      <c r="BB285" s="129" t="s">
        <v>445</v>
      </c>
      <c r="BC285" s="129" t="s">
        <v>445</v>
      </c>
      <c r="BD285" s="129" t="s">
        <v>445</v>
      </c>
      <c r="BE285" s="141">
        <v>20.123249999999999</v>
      </c>
      <c r="BF285" s="129" t="s">
        <v>446</v>
      </c>
      <c r="BG285" s="141">
        <v>0.14652628000000001</v>
      </c>
      <c r="BH285" s="129">
        <v>0.6</v>
      </c>
      <c r="BI285" s="129" t="s">
        <v>427</v>
      </c>
      <c r="BJ285" s="138">
        <v>0.08</v>
      </c>
      <c r="BK285" s="129">
        <v>8.8699999999999992</v>
      </c>
      <c r="BL285" s="129" t="s">
        <v>163</v>
      </c>
      <c r="BM285" s="129">
        <v>1.52</v>
      </c>
      <c r="BN285" s="129" t="s">
        <v>428</v>
      </c>
      <c r="BO285" s="129" t="s">
        <v>448</v>
      </c>
      <c r="BP285" s="141">
        <f t="shared" si="30"/>
        <v>18.755416666666665</v>
      </c>
      <c r="BQ285" s="129" t="s">
        <v>202</v>
      </c>
      <c r="BR285" s="217"/>
      <c r="BS285" s="129" t="s">
        <v>160</v>
      </c>
      <c r="BT285" s="129" t="s">
        <v>160</v>
      </c>
      <c r="BU285" s="129">
        <v>10</v>
      </c>
      <c r="BV285" s="129" t="s">
        <v>159</v>
      </c>
      <c r="BW285" s="129">
        <v>10</v>
      </c>
      <c r="BX285" s="141">
        <v>25.771459068478311</v>
      </c>
      <c r="BY285" s="129" t="s">
        <v>159</v>
      </c>
      <c r="BZ285" s="129">
        <v>1</v>
      </c>
      <c r="CA285" s="129">
        <v>1</v>
      </c>
      <c r="CB285" s="141">
        <v>3.7310169501453525</v>
      </c>
      <c r="CC285" s="141">
        <v>3.7310169501453525</v>
      </c>
      <c r="CD285" s="129" t="s">
        <v>449</v>
      </c>
      <c r="CE285" s="151">
        <f t="shared" si="31"/>
        <v>0.10073745765392451</v>
      </c>
      <c r="CF285" s="151">
        <f t="shared" si="32"/>
        <v>0.10073745765392451</v>
      </c>
      <c r="CG285" s="145" t="s">
        <v>203</v>
      </c>
      <c r="CH285" s="129" t="s">
        <v>204</v>
      </c>
      <c r="CI285" s="129" t="s">
        <v>205</v>
      </c>
      <c r="CJ285" s="129" t="s">
        <v>206</v>
      </c>
      <c r="CK285" s="129" t="s">
        <v>158</v>
      </c>
      <c r="CL285" s="129" t="s">
        <v>158</v>
      </c>
      <c r="CM285" s="129" t="s">
        <v>158</v>
      </c>
      <c r="CN285" s="129" t="s">
        <v>160</v>
      </c>
      <c r="CO285" s="129" t="s">
        <v>160</v>
      </c>
      <c r="CP285" s="129" t="s">
        <v>160</v>
      </c>
      <c r="CQ285" s="129" t="s">
        <v>160</v>
      </c>
      <c r="CR285" s="129" t="s">
        <v>160</v>
      </c>
      <c r="CS285" s="129" t="s">
        <v>160</v>
      </c>
      <c r="CT285" s="129" t="s">
        <v>160</v>
      </c>
      <c r="CU285" s="215">
        <v>35</v>
      </c>
      <c r="CV285" s="129" t="s">
        <v>393</v>
      </c>
      <c r="CW285" s="146">
        <v>1</v>
      </c>
      <c r="CX285" s="129" t="s">
        <v>207</v>
      </c>
      <c r="CY285" s="129">
        <v>1.06E-2</v>
      </c>
      <c r="CZ285" s="129" t="s">
        <v>159</v>
      </c>
      <c r="DA285" s="146">
        <v>0</v>
      </c>
      <c r="DB285" s="129" t="s">
        <v>208</v>
      </c>
      <c r="DC285" s="129">
        <v>5.5100000000000003E-2</v>
      </c>
      <c r="DD285" s="129" t="s">
        <v>159</v>
      </c>
      <c r="DE285" s="146">
        <v>0</v>
      </c>
      <c r="DF285" s="129" t="s">
        <v>208</v>
      </c>
      <c r="DG285" s="178" t="s">
        <v>160</v>
      </c>
      <c r="DH285" s="178" t="s">
        <v>160</v>
      </c>
      <c r="DI285" s="178" t="s">
        <v>160</v>
      </c>
      <c r="DJ285" s="178" t="s">
        <v>160</v>
      </c>
      <c r="DK285" s="145">
        <v>432.56244218316402</v>
      </c>
      <c r="DL285" s="129" t="s">
        <v>433</v>
      </c>
      <c r="DM285" s="145" t="s">
        <v>160</v>
      </c>
      <c r="DN285" s="129" t="s">
        <v>434</v>
      </c>
      <c r="DO285" s="129">
        <v>39.690280000000001</v>
      </c>
      <c r="DP285" s="129" t="s">
        <v>160</v>
      </c>
      <c r="DQ285" s="129">
        <v>0.36513000000000062</v>
      </c>
      <c r="DR285" s="129" t="s">
        <v>450</v>
      </c>
      <c r="DS285" s="129" t="s">
        <v>212</v>
      </c>
      <c r="DT285" s="129" t="s">
        <v>213</v>
      </c>
      <c r="DU285" s="129">
        <v>1.0271999999999999</v>
      </c>
      <c r="DV285" s="129" t="s">
        <v>393</v>
      </c>
      <c r="DW285" s="129">
        <v>5.9999999999999995E-4</v>
      </c>
      <c r="DX285" s="129" t="s">
        <v>436</v>
      </c>
      <c r="DY285" s="129" t="s">
        <v>160</v>
      </c>
      <c r="DZ285" s="129" t="s">
        <v>160</v>
      </c>
      <c r="EA285" s="129" t="s">
        <v>216</v>
      </c>
      <c r="EB285" s="129" t="s">
        <v>212</v>
      </c>
      <c r="EC285" s="129" t="s">
        <v>212</v>
      </c>
      <c r="ED285" s="129" t="s">
        <v>212</v>
      </c>
      <c r="EE285" s="129" t="s">
        <v>217</v>
      </c>
      <c r="EF285" s="147" t="s">
        <v>213</v>
      </c>
      <c r="EG285" s="148" t="s">
        <v>213</v>
      </c>
      <c r="EH285" s="129" t="s">
        <v>218</v>
      </c>
      <c r="EI285" s="129" t="s">
        <v>417</v>
      </c>
      <c r="EJ285" s="129" t="s">
        <v>160</v>
      </c>
      <c r="EK285" s="129">
        <v>1934.6719999999998</v>
      </c>
      <c r="EL285" s="129" t="s">
        <v>163</v>
      </c>
      <c r="EM285" s="129">
        <v>54.121999999999979</v>
      </c>
      <c r="EN285" s="129">
        <v>54.021999999999927</v>
      </c>
      <c r="EO285" s="129" t="s">
        <v>160</v>
      </c>
      <c r="EP285" s="129" t="s">
        <v>160</v>
      </c>
      <c r="EQ285" s="129" t="s">
        <v>160</v>
      </c>
      <c r="ER285" s="129" t="s">
        <v>160</v>
      </c>
      <c r="ES285" s="141">
        <v>8.0989120000000003</v>
      </c>
      <c r="ET285" s="142" t="s">
        <v>165</v>
      </c>
      <c r="EU285" s="141">
        <v>4.685199999999945E-2</v>
      </c>
      <c r="EV285" s="141">
        <v>4.7143000000000157E-2</v>
      </c>
      <c r="EW285" s="142" t="s">
        <v>160</v>
      </c>
      <c r="EX285" s="129" t="s">
        <v>160</v>
      </c>
      <c r="EY285" s="129" t="s">
        <v>160</v>
      </c>
      <c r="EZ285" s="141">
        <v>297.33729999999997</v>
      </c>
      <c r="FA285" s="141">
        <v>43.190300000000036</v>
      </c>
      <c r="FB285" s="141">
        <v>38.013699999999972</v>
      </c>
      <c r="FC285" s="129" t="s">
        <v>220</v>
      </c>
      <c r="FD285" s="129" t="s">
        <v>221</v>
      </c>
      <c r="FE285" s="129">
        <v>2219.2929999999997</v>
      </c>
      <c r="FF285" s="129">
        <v>71.18100000000004</v>
      </c>
      <c r="FG285" s="129">
        <v>70.670999999999367</v>
      </c>
      <c r="FH285" s="129" t="s">
        <v>437</v>
      </c>
      <c r="FI285" s="129" t="s">
        <v>437</v>
      </c>
      <c r="FJ285" s="129" t="s">
        <v>437</v>
      </c>
      <c r="FK285" s="129" t="s">
        <v>437</v>
      </c>
      <c r="FL285" s="129" t="s">
        <v>437</v>
      </c>
      <c r="FM285" s="129" t="s">
        <v>437</v>
      </c>
      <c r="FN285" s="151">
        <v>3.9736760000000002</v>
      </c>
      <c r="FO285" s="151">
        <v>0.36662000000000017</v>
      </c>
      <c r="FP285" s="151">
        <v>0.35575800000000024</v>
      </c>
      <c r="FQ285" s="178" t="s">
        <v>419</v>
      </c>
      <c r="FR285" s="129" t="s">
        <v>439</v>
      </c>
      <c r="FS285" s="129">
        <v>2015</v>
      </c>
      <c r="FT285" s="129" t="s">
        <v>440</v>
      </c>
    </row>
    <row r="286" spans="1:176" s="129" customFormat="1" ht="17">
      <c r="A286" s="123" t="s">
        <v>152</v>
      </c>
      <c r="B286" s="166" t="s">
        <v>183</v>
      </c>
      <c r="C286" s="166">
        <v>2018</v>
      </c>
      <c r="D286" s="166" t="s">
        <v>184</v>
      </c>
      <c r="E286" s="151">
        <f t="shared" si="29"/>
        <v>3224.6044919999999</v>
      </c>
      <c r="F286" s="191" t="s">
        <v>160</v>
      </c>
      <c r="G286" s="191" t="s">
        <v>160</v>
      </c>
      <c r="H286" s="151">
        <v>337.00319999999999</v>
      </c>
      <c r="I286" s="151">
        <v>50.02940000000001</v>
      </c>
      <c r="J286" s="151">
        <v>42.406099999999981</v>
      </c>
      <c r="K286" s="129" t="s">
        <v>457</v>
      </c>
      <c r="L286" s="131" t="s">
        <v>185</v>
      </c>
      <c r="M286" s="132" t="s">
        <v>186</v>
      </c>
      <c r="N286" s="129" t="s">
        <v>184</v>
      </c>
      <c r="O286" s="129" t="s">
        <v>420</v>
      </c>
      <c r="P286" s="129" t="s">
        <v>156</v>
      </c>
      <c r="Q286" s="178">
        <v>12</v>
      </c>
      <c r="R286" s="178">
        <v>1</v>
      </c>
      <c r="S286" s="178">
        <v>99</v>
      </c>
      <c r="T286" s="178">
        <v>101</v>
      </c>
      <c r="U286" s="178" t="s">
        <v>160</v>
      </c>
      <c r="V286" s="178" t="s">
        <v>160</v>
      </c>
      <c r="W286" s="178" t="s">
        <v>160</v>
      </c>
      <c r="X286" s="129" t="s">
        <v>157</v>
      </c>
      <c r="Y286" s="136">
        <v>12.75</v>
      </c>
      <c r="Z286" s="136">
        <v>-78.73</v>
      </c>
      <c r="AA286" s="136">
        <v>12.75</v>
      </c>
      <c r="AB286" s="136">
        <v>-78.73</v>
      </c>
      <c r="AC286" s="136">
        <v>-2828</v>
      </c>
      <c r="AD286" s="136">
        <v>-2828</v>
      </c>
      <c r="AE286" s="129" t="s">
        <v>160</v>
      </c>
      <c r="AF286" s="129" t="s">
        <v>160</v>
      </c>
      <c r="AG286" s="141">
        <v>3224.6044919999999</v>
      </c>
      <c r="AH286" s="138" t="s">
        <v>159</v>
      </c>
      <c r="AI286" s="129" t="s">
        <v>160</v>
      </c>
      <c r="AJ286" s="129" t="s">
        <v>160</v>
      </c>
      <c r="AK286" s="178" t="s">
        <v>160</v>
      </c>
      <c r="AL286" s="178" t="s">
        <v>441</v>
      </c>
      <c r="AM286" s="178" t="s">
        <v>160</v>
      </c>
      <c r="AN286" s="129" t="s">
        <v>160</v>
      </c>
      <c r="AO286" s="129" t="s">
        <v>160</v>
      </c>
      <c r="AP286" s="129" t="s">
        <v>160</v>
      </c>
      <c r="AQ286" s="129" t="s">
        <v>160</v>
      </c>
      <c r="AR286" s="129" t="s">
        <v>160</v>
      </c>
      <c r="AS286" s="129" t="s">
        <v>160</v>
      </c>
      <c r="AT286" s="129" t="s">
        <v>160</v>
      </c>
      <c r="AU286" s="213" t="s">
        <v>442</v>
      </c>
      <c r="AV286" s="129" t="s">
        <v>161</v>
      </c>
      <c r="AW286" s="189" t="s">
        <v>443</v>
      </c>
      <c r="AX286" s="189" t="s">
        <v>444</v>
      </c>
      <c r="AY286" s="205" t="s">
        <v>353</v>
      </c>
      <c r="AZ286" s="205" t="s">
        <v>325</v>
      </c>
      <c r="BA286" s="129" t="s">
        <v>162</v>
      </c>
      <c r="BB286" s="129" t="s">
        <v>445</v>
      </c>
      <c r="BC286" s="129" t="s">
        <v>445</v>
      </c>
      <c r="BD286" s="129" t="s">
        <v>445</v>
      </c>
      <c r="BE286" s="141">
        <v>19.766449999999999</v>
      </c>
      <c r="BF286" s="129" t="s">
        <v>446</v>
      </c>
      <c r="BG286" s="141">
        <v>0.12743700699999999</v>
      </c>
      <c r="BH286" s="129">
        <v>0.6</v>
      </c>
      <c r="BI286" s="129" t="s">
        <v>427</v>
      </c>
      <c r="BJ286" s="138">
        <v>0.08</v>
      </c>
      <c r="BK286" s="129">
        <v>8.8699999999999992</v>
      </c>
      <c r="BL286" s="129" t="s">
        <v>163</v>
      </c>
      <c r="BM286" s="129">
        <v>1.52</v>
      </c>
      <c r="BN286" s="129" t="s">
        <v>428</v>
      </c>
      <c r="BO286" s="129" t="s">
        <v>448</v>
      </c>
      <c r="BP286" s="141">
        <f t="shared" si="30"/>
        <v>18.16075</v>
      </c>
      <c r="BQ286" s="129" t="s">
        <v>202</v>
      </c>
      <c r="BR286" s="217"/>
      <c r="BS286" s="129" t="s">
        <v>160</v>
      </c>
      <c r="BT286" s="129" t="s">
        <v>160</v>
      </c>
      <c r="BU286" s="129">
        <v>10</v>
      </c>
      <c r="BV286" s="129" t="s">
        <v>159</v>
      </c>
      <c r="BW286" s="129">
        <v>10</v>
      </c>
      <c r="BX286" s="141">
        <v>25.094867308802634</v>
      </c>
      <c r="BY286" s="129" t="s">
        <v>159</v>
      </c>
      <c r="BZ286" s="129">
        <v>1</v>
      </c>
      <c r="CA286" s="129">
        <v>1</v>
      </c>
      <c r="CB286" s="141">
        <v>3.5100362069016069</v>
      </c>
      <c r="CC286" s="141">
        <v>3.5100362069016069</v>
      </c>
      <c r="CD286" s="129" t="s">
        <v>449</v>
      </c>
      <c r="CE286" s="151">
        <f t="shared" si="31"/>
        <v>9.4770977586343383E-2</v>
      </c>
      <c r="CF286" s="151">
        <f t="shared" si="32"/>
        <v>9.4770977586343383E-2</v>
      </c>
      <c r="CG286" s="145" t="s">
        <v>203</v>
      </c>
      <c r="CH286" s="129" t="s">
        <v>204</v>
      </c>
      <c r="CI286" s="129" t="s">
        <v>205</v>
      </c>
      <c r="CJ286" s="129" t="s">
        <v>206</v>
      </c>
      <c r="CK286" s="129" t="s">
        <v>158</v>
      </c>
      <c r="CL286" s="129" t="s">
        <v>158</v>
      </c>
      <c r="CM286" s="129" t="s">
        <v>158</v>
      </c>
      <c r="CN286" s="129" t="s">
        <v>160</v>
      </c>
      <c r="CO286" s="129" t="s">
        <v>160</v>
      </c>
      <c r="CP286" s="129" t="s">
        <v>160</v>
      </c>
      <c r="CQ286" s="129" t="s">
        <v>160</v>
      </c>
      <c r="CR286" s="129" t="s">
        <v>160</v>
      </c>
      <c r="CS286" s="129" t="s">
        <v>160</v>
      </c>
      <c r="CT286" s="129" t="s">
        <v>160</v>
      </c>
      <c r="CU286" s="215">
        <v>35</v>
      </c>
      <c r="CV286" s="129" t="s">
        <v>393</v>
      </c>
      <c r="CW286" s="146">
        <v>1</v>
      </c>
      <c r="CX286" s="129" t="s">
        <v>207</v>
      </c>
      <c r="CY286" s="129">
        <v>1.06E-2</v>
      </c>
      <c r="CZ286" s="129" t="s">
        <v>159</v>
      </c>
      <c r="DA286" s="146">
        <v>0</v>
      </c>
      <c r="DB286" s="129" t="s">
        <v>208</v>
      </c>
      <c r="DC286" s="129">
        <v>5.5100000000000003E-2</v>
      </c>
      <c r="DD286" s="129" t="s">
        <v>159</v>
      </c>
      <c r="DE286" s="146">
        <v>0</v>
      </c>
      <c r="DF286" s="129" t="s">
        <v>208</v>
      </c>
      <c r="DG286" s="178" t="s">
        <v>160</v>
      </c>
      <c r="DH286" s="178" t="s">
        <v>160</v>
      </c>
      <c r="DI286" s="178" t="s">
        <v>160</v>
      </c>
      <c r="DJ286" s="178" t="s">
        <v>160</v>
      </c>
      <c r="DK286" s="145">
        <v>432.56244218316402</v>
      </c>
      <c r="DL286" s="129" t="s">
        <v>433</v>
      </c>
      <c r="DM286" s="145" t="s">
        <v>160</v>
      </c>
      <c r="DN286" s="129" t="s">
        <v>434</v>
      </c>
      <c r="DO286" s="129">
        <v>39.690339999999999</v>
      </c>
      <c r="DP286" s="129" t="s">
        <v>160</v>
      </c>
      <c r="DQ286" s="129">
        <v>0.36749999999999972</v>
      </c>
      <c r="DR286" s="129" t="s">
        <v>450</v>
      </c>
      <c r="DS286" s="129" t="s">
        <v>212</v>
      </c>
      <c r="DT286" s="129" t="s">
        <v>213</v>
      </c>
      <c r="DU286" s="129">
        <v>1.0271999999999999</v>
      </c>
      <c r="DV286" s="129" t="s">
        <v>393</v>
      </c>
      <c r="DW286" s="129">
        <v>5.9999999999999995E-4</v>
      </c>
      <c r="DX286" s="129" t="s">
        <v>436</v>
      </c>
      <c r="DY286" s="129" t="s">
        <v>160</v>
      </c>
      <c r="DZ286" s="129" t="s">
        <v>160</v>
      </c>
      <c r="EA286" s="129" t="s">
        <v>216</v>
      </c>
      <c r="EB286" s="129" t="s">
        <v>212</v>
      </c>
      <c r="EC286" s="129" t="s">
        <v>212</v>
      </c>
      <c r="ED286" s="129" t="s">
        <v>212</v>
      </c>
      <c r="EE286" s="129" t="s">
        <v>217</v>
      </c>
      <c r="EF286" s="147" t="s">
        <v>213</v>
      </c>
      <c r="EG286" s="148" t="s">
        <v>213</v>
      </c>
      <c r="EH286" s="129" t="s">
        <v>218</v>
      </c>
      <c r="EI286" s="129" t="s">
        <v>417</v>
      </c>
      <c r="EJ286" s="129" t="s">
        <v>160</v>
      </c>
      <c r="EK286" s="129">
        <v>1935.2429999999999</v>
      </c>
      <c r="EL286" s="129" t="s">
        <v>163</v>
      </c>
      <c r="EM286" s="129">
        <v>54.311000000000249</v>
      </c>
      <c r="EN286" s="129">
        <v>54.958999999999826</v>
      </c>
      <c r="EO286" s="129" t="s">
        <v>160</v>
      </c>
      <c r="EP286" s="129" t="s">
        <v>160</v>
      </c>
      <c r="EQ286" s="129" t="s">
        <v>160</v>
      </c>
      <c r="ER286" s="129" t="s">
        <v>160</v>
      </c>
      <c r="ES286" s="141">
        <v>8.0532450000000004</v>
      </c>
      <c r="ET286" s="142" t="s">
        <v>165</v>
      </c>
      <c r="EU286" s="141">
        <v>4.8040000000000305E-2</v>
      </c>
      <c r="EV286" s="141">
        <v>4.8267000000000948E-2</v>
      </c>
      <c r="EW286" s="142" t="s">
        <v>160</v>
      </c>
      <c r="EX286" s="129" t="s">
        <v>160</v>
      </c>
      <c r="EY286" s="129" t="s">
        <v>160</v>
      </c>
      <c r="EZ286" s="141">
        <v>337.00319999999999</v>
      </c>
      <c r="FA286" s="141">
        <v>50.02940000000001</v>
      </c>
      <c r="FB286" s="141">
        <v>42.406099999999981</v>
      </c>
      <c r="FC286" s="129" t="s">
        <v>220</v>
      </c>
      <c r="FD286" s="129" t="s">
        <v>221</v>
      </c>
      <c r="FE286" s="129">
        <v>2182.6869999999999</v>
      </c>
      <c r="FF286" s="129">
        <v>69.027000000000044</v>
      </c>
      <c r="FG286" s="129">
        <v>68.777999999999793</v>
      </c>
      <c r="FH286" s="129" t="s">
        <v>437</v>
      </c>
      <c r="FI286" s="129" t="s">
        <v>437</v>
      </c>
      <c r="FJ286" s="129" t="s">
        <v>437</v>
      </c>
      <c r="FK286" s="129" t="s">
        <v>437</v>
      </c>
      <c r="FL286" s="129" t="s">
        <v>437</v>
      </c>
      <c r="FM286" s="129" t="s">
        <v>437</v>
      </c>
      <c r="FN286" s="151">
        <v>3.5296820000000002</v>
      </c>
      <c r="FO286" s="151">
        <v>0.33835799999999994</v>
      </c>
      <c r="FP286" s="151">
        <v>0.316913</v>
      </c>
      <c r="FQ286" s="178" t="s">
        <v>419</v>
      </c>
      <c r="FR286" s="129" t="s">
        <v>439</v>
      </c>
      <c r="FS286" s="129">
        <v>2015</v>
      </c>
      <c r="FT286" s="129" t="s">
        <v>440</v>
      </c>
    </row>
    <row r="287" spans="1:176" s="129" customFormat="1" ht="17">
      <c r="A287" s="123" t="s">
        <v>152</v>
      </c>
      <c r="B287" s="166" t="s">
        <v>183</v>
      </c>
      <c r="C287" s="166">
        <v>2018</v>
      </c>
      <c r="D287" s="166" t="s">
        <v>184</v>
      </c>
      <c r="E287" s="151">
        <f t="shared" si="29"/>
        <v>3239.8859859999998</v>
      </c>
      <c r="F287" s="191" t="s">
        <v>160</v>
      </c>
      <c r="G287" s="191" t="s">
        <v>160</v>
      </c>
      <c r="H287" s="151">
        <v>374.75939999999997</v>
      </c>
      <c r="I287" s="151">
        <v>76.167700000000025</v>
      </c>
      <c r="J287" s="151">
        <v>59.10209999999995</v>
      </c>
      <c r="K287" s="129" t="s">
        <v>457</v>
      </c>
      <c r="L287" s="131" t="s">
        <v>185</v>
      </c>
      <c r="M287" s="132" t="s">
        <v>186</v>
      </c>
      <c r="N287" s="129" t="s">
        <v>184</v>
      </c>
      <c r="O287" s="129" t="s">
        <v>420</v>
      </c>
      <c r="P287" s="129" t="s">
        <v>156</v>
      </c>
      <c r="Q287" s="178">
        <v>12</v>
      </c>
      <c r="R287" s="178">
        <v>1</v>
      </c>
      <c r="S287" s="178">
        <v>143</v>
      </c>
      <c r="T287" s="178">
        <v>145</v>
      </c>
      <c r="U287" s="178" t="s">
        <v>160</v>
      </c>
      <c r="V287" s="178" t="s">
        <v>160</v>
      </c>
      <c r="W287" s="178" t="s">
        <v>160</v>
      </c>
      <c r="X287" s="129" t="s">
        <v>157</v>
      </c>
      <c r="Y287" s="136">
        <v>12.75</v>
      </c>
      <c r="Z287" s="136">
        <v>-78.73</v>
      </c>
      <c r="AA287" s="136">
        <v>12.75</v>
      </c>
      <c r="AB287" s="136">
        <v>-78.73</v>
      </c>
      <c r="AC287" s="136">
        <v>-2828</v>
      </c>
      <c r="AD287" s="136">
        <v>-2828</v>
      </c>
      <c r="AE287" s="129" t="s">
        <v>160</v>
      </c>
      <c r="AF287" s="129" t="s">
        <v>160</v>
      </c>
      <c r="AG287" s="141">
        <v>3239.8859859999998</v>
      </c>
      <c r="AH287" s="138" t="s">
        <v>159</v>
      </c>
      <c r="AI287" s="129" t="s">
        <v>160</v>
      </c>
      <c r="AJ287" s="129" t="s">
        <v>160</v>
      </c>
      <c r="AK287" s="178" t="s">
        <v>160</v>
      </c>
      <c r="AL287" s="178" t="s">
        <v>441</v>
      </c>
      <c r="AM287" s="178" t="s">
        <v>160</v>
      </c>
      <c r="AN287" s="129" t="s">
        <v>160</v>
      </c>
      <c r="AO287" s="129" t="s">
        <v>160</v>
      </c>
      <c r="AP287" s="129" t="s">
        <v>160</v>
      </c>
      <c r="AQ287" s="129" t="s">
        <v>160</v>
      </c>
      <c r="AR287" s="129" t="s">
        <v>160</v>
      </c>
      <c r="AS287" s="129" t="s">
        <v>160</v>
      </c>
      <c r="AT287" s="129" t="s">
        <v>160</v>
      </c>
      <c r="AU287" s="213" t="s">
        <v>442</v>
      </c>
      <c r="AV287" s="129" t="s">
        <v>161</v>
      </c>
      <c r="AW287" s="189" t="s">
        <v>443</v>
      </c>
      <c r="AX287" s="205" t="s">
        <v>444</v>
      </c>
      <c r="AY287" s="205" t="s">
        <v>353</v>
      </c>
      <c r="AZ287" s="205" t="s">
        <v>325</v>
      </c>
      <c r="BA287" s="214" t="s">
        <v>162</v>
      </c>
      <c r="BB287" s="129" t="s">
        <v>445</v>
      </c>
      <c r="BC287" s="129" t="s">
        <v>445</v>
      </c>
      <c r="BD287" s="129" t="s">
        <v>445</v>
      </c>
      <c r="BE287" s="141">
        <v>19.47</v>
      </c>
      <c r="BF287" s="129" t="s">
        <v>446</v>
      </c>
      <c r="BG287" s="141">
        <v>0.245767399</v>
      </c>
      <c r="BH287" s="129">
        <v>0.6</v>
      </c>
      <c r="BI287" s="129" t="s">
        <v>427</v>
      </c>
      <c r="BJ287" s="138">
        <v>0.08</v>
      </c>
      <c r="BK287" s="129">
        <v>8.8699999999999992</v>
      </c>
      <c r="BL287" s="129" t="s">
        <v>163</v>
      </c>
      <c r="BM287" s="129">
        <v>1.52</v>
      </c>
      <c r="BN287" s="129" t="s">
        <v>428</v>
      </c>
      <c r="BO287" s="129" t="s">
        <v>448</v>
      </c>
      <c r="BP287" s="141">
        <f t="shared" si="30"/>
        <v>17.666666666666668</v>
      </c>
      <c r="BQ287" s="129" t="s">
        <v>202</v>
      </c>
      <c r="BR287" s="217"/>
      <c r="BS287" s="129" t="s">
        <v>160</v>
      </c>
      <c r="BT287" s="129" t="s">
        <v>160</v>
      </c>
      <c r="BU287" s="129">
        <v>10</v>
      </c>
      <c r="BV287" s="129" t="s">
        <v>159</v>
      </c>
      <c r="BW287" s="129">
        <v>10</v>
      </c>
      <c r="BX287" s="141">
        <v>24.418993196052313</v>
      </c>
      <c r="BY287" s="129" t="s">
        <v>159</v>
      </c>
      <c r="BZ287" s="129">
        <v>1</v>
      </c>
      <c r="CA287" s="129">
        <v>1</v>
      </c>
      <c r="CB287" s="141">
        <v>3.3023552160333618</v>
      </c>
      <c r="CC287" s="141">
        <v>3.3023552160333618</v>
      </c>
      <c r="CD287" s="129" t="s">
        <v>449</v>
      </c>
      <c r="CE287" s="151">
        <f t="shared" si="31"/>
        <v>8.9163590832900763E-2</v>
      </c>
      <c r="CF287" s="151">
        <f t="shared" si="32"/>
        <v>8.9163590832900763E-2</v>
      </c>
      <c r="CG287" s="145" t="s">
        <v>203</v>
      </c>
      <c r="CH287" s="129" t="s">
        <v>204</v>
      </c>
      <c r="CI287" s="129" t="s">
        <v>205</v>
      </c>
      <c r="CJ287" s="129" t="s">
        <v>206</v>
      </c>
      <c r="CK287" s="129" t="s">
        <v>158</v>
      </c>
      <c r="CL287" s="129" t="s">
        <v>158</v>
      </c>
      <c r="CM287" s="129" t="s">
        <v>158</v>
      </c>
      <c r="CN287" s="129" t="s">
        <v>160</v>
      </c>
      <c r="CO287" s="129" t="s">
        <v>160</v>
      </c>
      <c r="CP287" s="129" t="s">
        <v>160</v>
      </c>
      <c r="CQ287" s="129" t="s">
        <v>160</v>
      </c>
      <c r="CR287" s="129" t="s">
        <v>160</v>
      </c>
      <c r="CS287" s="129" t="s">
        <v>160</v>
      </c>
      <c r="CT287" s="129" t="s">
        <v>160</v>
      </c>
      <c r="CU287" s="215">
        <v>35</v>
      </c>
      <c r="CV287" s="129" t="s">
        <v>393</v>
      </c>
      <c r="CW287" s="146">
        <v>1</v>
      </c>
      <c r="CX287" s="129" t="s">
        <v>207</v>
      </c>
      <c r="CY287" s="129">
        <v>1.06E-2</v>
      </c>
      <c r="CZ287" s="129" t="s">
        <v>159</v>
      </c>
      <c r="DA287" s="146">
        <v>0</v>
      </c>
      <c r="DB287" s="129" t="s">
        <v>208</v>
      </c>
      <c r="DC287" s="129">
        <v>5.5100000000000003E-2</v>
      </c>
      <c r="DD287" s="129" t="s">
        <v>159</v>
      </c>
      <c r="DE287" s="146">
        <v>0</v>
      </c>
      <c r="DF287" s="129" t="s">
        <v>208</v>
      </c>
      <c r="DG287" s="178" t="s">
        <v>160</v>
      </c>
      <c r="DH287" s="178" t="s">
        <v>160</v>
      </c>
      <c r="DI287" s="178" t="s">
        <v>160</v>
      </c>
      <c r="DJ287" s="178" t="s">
        <v>160</v>
      </c>
      <c r="DK287" s="145">
        <v>432.56244218316402</v>
      </c>
      <c r="DL287" s="129" t="s">
        <v>433</v>
      </c>
      <c r="DM287" s="145" t="s">
        <v>160</v>
      </c>
      <c r="DN287" s="129" t="s">
        <v>434</v>
      </c>
      <c r="DO287" s="129">
        <v>39.686839999999997</v>
      </c>
      <c r="DP287" s="129" t="s">
        <v>160</v>
      </c>
      <c r="DQ287" s="129">
        <v>0.36848000000000525</v>
      </c>
      <c r="DR287" s="129" t="s">
        <v>450</v>
      </c>
      <c r="DS287" s="129" t="s">
        <v>212</v>
      </c>
      <c r="DT287" s="129" t="s">
        <v>213</v>
      </c>
      <c r="DU287" s="129">
        <v>1.0271999999999999</v>
      </c>
      <c r="DV287" s="129" t="s">
        <v>393</v>
      </c>
      <c r="DW287" s="129">
        <v>5.9999999999999995E-4</v>
      </c>
      <c r="DX287" s="129" t="s">
        <v>436</v>
      </c>
      <c r="DY287" s="129" t="s">
        <v>160</v>
      </c>
      <c r="DZ287" s="129" t="s">
        <v>160</v>
      </c>
      <c r="EA287" s="129" t="s">
        <v>216</v>
      </c>
      <c r="EB287" s="129" t="s">
        <v>212</v>
      </c>
      <c r="EC287" s="129" t="s">
        <v>212</v>
      </c>
      <c r="ED287" s="129" t="s">
        <v>212</v>
      </c>
      <c r="EE287" s="129" t="s">
        <v>217</v>
      </c>
      <c r="EF287" s="147" t="s">
        <v>213</v>
      </c>
      <c r="EG287" s="148" t="s">
        <v>213</v>
      </c>
      <c r="EH287" s="129" t="s">
        <v>218</v>
      </c>
      <c r="EI287" s="129" t="s">
        <v>417</v>
      </c>
      <c r="EJ287" s="129" t="s">
        <v>160</v>
      </c>
      <c r="EK287" s="129">
        <v>1934.271</v>
      </c>
      <c r="EL287" s="129" t="s">
        <v>163</v>
      </c>
      <c r="EM287" s="129">
        <v>55.78699999999985</v>
      </c>
      <c r="EN287" s="129">
        <v>56.056000000000076</v>
      </c>
      <c r="EO287" s="129" t="s">
        <v>160</v>
      </c>
      <c r="EP287" s="129" t="s">
        <v>160</v>
      </c>
      <c r="EQ287" s="129" t="s">
        <v>160</v>
      </c>
      <c r="ER287" s="129" t="s">
        <v>160</v>
      </c>
      <c r="ES287" s="141">
        <v>8.0140969999999996</v>
      </c>
      <c r="ET287" s="142" t="s">
        <v>165</v>
      </c>
      <c r="EU287" s="141">
        <v>6.1291000000000651E-2</v>
      </c>
      <c r="EV287" s="141">
        <v>6.743199999999927E-2</v>
      </c>
      <c r="EW287" s="142" t="s">
        <v>160</v>
      </c>
      <c r="EX287" s="129" t="s">
        <v>160</v>
      </c>
      <c r="EY287" s="129" t="s">
        <v>160</v>
      </c>
      <c r="EZ287" s="141">
        <v>374.75939999999997</v>
      </c>
      <c r="FA287" s="141">
        <v>76.167700000000025</v>
      </c>
      <c r="FB287" s="141">
        <v>59.10209999999995</v>
      </c>
      <c r="FC287" s="129" t="s">
        <v>220</v>
      </c>
      <c r="FD287" s="129" t="s">
        <v>221</v>
      </c>
      <c r="FE287" s="129">
        <v>2152.7959999999998</v>
      </c>
      <c r="FF287" s="129">
        <v>73.047000000000025</v>
      </c>
      <c r="FG287" s="129">
        <v>71.860000000000127</v>
      </c>
      <c r="FH287" s="129" t="s">
        <v>437</v>
      </c>
      <c r="FI287" s="129" t="s">
        <v>437</v>
      </c>
      <c r="FJ287" s="129" t="s">
        <v>437</v>
      </c>
      <c r="FK287" s="129" t="s">
        <v>437</v>
      </c>
      <c r="FL287" s="129" t="s">
        <v>437</v>
      </c>
      <c r="FM287" s="129" t="s">
        <v>437</v>
      </c>
      <c r="FN287" s="151">
        <v>3.1712129999999998</v>
      </c>
      <c r="FO287" s="151">
        <v>0.41810300000000034</v>
      </c>
      <c r="FP287" s="151">
        <v>0.39948300000000003</v>
      </c>
      <c r="FQ287" s="178" t="s">
        <v>419</v>
      </c>
      <c r="FR287" s="129" t="s">
        <v>439</v>
      </c>
      <c r="FS287" s="129">
        <v>2015</v>
      </c>
      <c r="FT287" s="129" t="s">
        <v>440</v>
      </c>
    </row>
    <row r="288" spans="1:176" s="129" customFormat="1" ht="17">
      <c r="A288" s="123" t="s">
        <v>152</v>
      </c>
      <c r="B288" s="166" t="s">
        <v>183</v>
      </c>
      <c r="C288" s="166">
        <v>2018</v>
      </c>
      <c r="D288" s="166" t="s">
        <v>184</v>
      </c>
      <c r="E288" s="151">
        <f t="shared" si="29"/>
        <v>3242.9252929999998</v>
      </c>
      <c r="F288" s="191" t="s">
        <v>160</v>
      </c>
      <c r="G288" s="191" t="s">
        <v>160</v>
      </c>
      <c r="H288" s="151">
        <v>316.6927</v>
      </c>
      <c r="I288" s="151">
        <v>46.309599999999989</v>
      </c>
      <c r="J288" s="151">
        <v>38.655399999999986</v>
      </c>
      <c r="K288" s="129" t="s">
        <v>457</v>
      </c>
      <c r="L288" s="131" t="s">
        <v>185</v>
      </c>
      <c r="M288" s="132" t="s">
        <v>186</v>
      </c>
      <c r="N288" s="129" t="s">
        <v>184</v>
      </c>
      <c r="O288" s="129" t="s">
        <v>420</v>
      </c>
      <c r="P288" s="129" t="s">
        <v>156</v>
      </c>
      <c r="Q288" s="178">
        <v>12</v>
      </c>
      <c r="R288" s="178">
        <v>2</v>
      </c>
      <c r="S288" s="178">
        <v>2</v>
      </c>
      <c r="T288" s="178">
        <v>4</v>
      </c>
      <c r="U288" s="178" t="s">
        <v>160</v>
      </c>
      <c r="V288" s="178" t="s">
        <v>160</v>
      </c>
      <c r="W288" s="178" t="s">
        <v>160</v>
      </c>
      <c r="X288" s="129" t="s">
        <v>157</v>
      </c>
      <c r="Y288" s="136">
        <v>12.75</v>
      </c>
      <c r="Z288" s="136">
        <v>-78.73</v>
      </c>
      <c r="AA288" s="136">
        <v>12.75</v>
      </c>
      <c r="AB288" s="136">
        <v>-78.73</v>
      </c>
      <c r="AC288" s="136">
        <v>-2828</v>
      </c>
      <c r="AD288" s="136">
        <v>-2828</v>
      </c>
      <c r="AE288" s="129" t="s">
        <v>160</v>
      </c>
      <c r="AF288" s="129" t="s">
        <v>160</v>
      </c>
      <c r="AG288" s="141">
        <v>3242.9252929999998</v>
      </c>
      <c r="AH288" s="138" t="s">
        <v>159</v>
      </c>
      <c r="AI288" s="129" t="s">
        <v>160</v>
      </c>
      <c r="AJ288" s="129" t="s">
        <v>160</v>
      </c>
      <c r="AK288" s="178" t="s">
        <v>160</v>
      </c>
      <c r="AL288" s="178" t="s">
        <v>441</v>
      </c>
      <c r="AM288" s="178" t="s">
        <v>160</v>
      </c>
      <c r="AN288" s="129" t="s">
        <v>160</v>
      </c>
      <c r="AO288" s="129" t="s">
        <v>160</v>
      </c>
      <c r="AP288" s="129" t="s">
        <v>160</v>
      </c>
      <c r="AQ288" s="129" t="s">
        <v>160</v>
      </c>
      <c r="AR288" s="129" t="s">
        <v>160</v>
      </c>
      <c r="AS288" s="129" t="s">
        <v>160</v>
      </c>
      <c r="AT288" s="129" t="s">
        <v>160</v>
      </c>
      <c r="AU288" s="213" t="s">
        <v>442</v>
      </c>
      <c r="AV288" s="129" t="s">
        <v>161</v>
      </c>
      <c r="AW288" s="189" t="s">
        <v>443</v>
      </c>
      <c r="AX288" s="189" t="s">
        <v>444</v>
      </c>
      <c r="AY288" s="205" t="s">
        <v>353</v>
      </c>
      <c r="AZ288" s="205" t="s">
        <v>325</v>
      </c>
      <c r="BA288" s="129" t="s">
        <v>162</v>
      </c>
      <c r="BB288" s="129" t="s">
        <v>445</v>
      </c>
      <c r="BC288" s="129" t="s">
        <v>445</v>
      </c>
      <c r="BD288" s="129" t="s">
        <v>445</v>
      </c>
      <c r="BE288" s="141">
        <v>19.8293</v>
      </c>
      <c r="BF288" s="129" t="s">
        <v>446</v>
      </c>
      <c r="BG288" s="141">
        <v>0.110349244</v>
      </c>
      <c r="BH288" s="129">
        <v>0.6</v>
      </c>
      <c r="BI288" s="129" t="s">
        <v>427</v>
      </c>
      <c r="BJ288" s="138">
        <v>0.08</v>
      </c>
      <c r="BK288" s="129">
        <v>8.8699999999999992</v>
      </c>
      <c r="BL288" s="129" t="s">
        <v>163</v>
      </c>
      <c r="BM288" s="129">
        <v>1.52</v>
      </c>
      <c r="BN288" s="129" t="s">
        <v>428</v>
      </c>
      <c r="BO288" s="129" t="s">
        <v>448</v>
      </c>
      <c r="BP288" s="141">
        <f t="shared" si="30"/>
        <v>18.265500000000003</v>
      </c>
      <c r="BQ288" s="129" t="s">
        <v>202</v>
      </c>
      <c r="BR288" s="217"/>
      <c r="BS288" s="129" t="s">
        <v>160</v>
      </c>
      <c r="BT288" s="129" t="s">
        <v>160</v>
      </c>
      <c r="BU288" s="129">
        <v>10</v>
      </c>
      <c r="BV288" s="129" t="s">
        <v>159</v>
      </c>
      <c r="BW288" s="129">
        <v>10</v>
      </c>
      <c r="BX288" s="141">
        <v>24.085472707191315</v>
      </c>
      <c r="BY288" s="129" t="s">
        <v>159</v>
      </c>
      <c r="BZ288" s="129">
        <v>1</v>
      </c>
      <c r="CA288" s="129">
        <v>1</v>
      </c>
      <c r="CB288" s="141">
        <v>3.2045987890238949</v>
      </c>
      <c r="CC288" s="141">
        <v>3.2045987890238949</v>
      </c>
      <c r="CD288" s="129" t="s">
        <v>449</v>
      </c>
      <c r="CE288" s="151">
        <f t="shared" si="31"/>
        <v>8.6524167303645164E-2</v>
      </c>
      <c r="CF288" s="151">
        <f t="shared" si="32"/>
        <v>8.6524167303645164E-2</v>
      </c>
      <c r="CG288" s="145" t="s">
        <v>203</v>
      </c>
      <c r="CH288" s="129" t="s">
        <v>204</v>
      </c>
      <c r="CI288" s="129" t="s">
        <v>205</v>
      </c>
      <c r="CJ288" s="129" t="s">
        <v>206</v>
      </c>
      <c r="CK288" s="129" t="s">
        <v>158</v>
      </c>
      <c r="CL288" s="129" t="s">
        <v>158</v>
      </c>
      <c r="CM288" s="129" t="s">
        <v>158</v>
      </c>
      <c r="CN288" s="129" t="s">
        <v>160</v>
      </c>
      <c r="CO288" s="129" t="s">
        <v>160</v>
      </c>
      <c r="CP288" s="129" t="s">
        <v>160</v>
      </c>
      <c r="CQ288" s="129" t="s">
        <v>160</v>
      </c>
      <c r="CR288" s="129" t="s">
        <v>160</v>
      </c>
      <c r="CS288" s="129" t="s">
        <v>160</v>
      </c>
      <c r="CT288" s="129" t="s">
        <v>160</v>
      </c>
      <c r="CU288" s="215">
        <v>35</v>
      </c>
      <c r="CV288" s="129" t="s">
        <v>393</v>
      </c>
      <c r="CW288" s="146">
        <v>1</v>
      </c>
      <c r="CX288" s="129" t="s">
        <v>207</v>
      </c>
      <c r="CY288" s="129">
        <v>1.06E-2</v>
      </c>
      <c r="CZ288" s="129" t="s">
        <v>159</v>
      </c>
      <c r="DA288" s="146">
        <v>0</v>
      </c>
      <c r="DB288" s="129" t="s">
        <v>208</v>
      </c>
      <c r="DC288" s="129">
        <v>5.5100000000000003E-2</v>
      </c>
      <c r="DD288" s="129" t="s">
        <v>159</v>
      </c>
      <c r="DE288" s="146">
        <v>0</v>
      </c>
      <c r="DF288" s="129" t="s">
        <v>208</v>
      </c>
      <c r="DG288" s="178" t="s">
        <v>160</v>
      </c>
      <c r="DH288" s="178" t="s">
        <v>160</v>
      </c>
      <c r="DI288" s="178" t="s">
        <v>160</v>
      </c>
      <c r="DJ288" s="178" t="s">
        <v>160</v>
      </c>
      <c r="DK288" s="145">
        <v>432.56244218316402</v>
      </c>
      <c r="DL288" s="129" t="s">
        <v>433</v>
      </c>
      <c r="DM288" s="145" t="s">
        <v>160</v>
      </c>
      <c r="DN288" s="129" t="s">
        <v>434</v>
      </c>
      <c r="DO288" s="129">
        <v>39.68721</v>
      </c>
      <c r="DP288" s="129" t="s">
        <v>160</v>
      </c>
      <c r="DQ288" s="129">
        <v>0.36278999999999684</v>
      </c>
      <c r="DR288" s="129" t="s">
        <v>450</v>
      </c>
      <c r="DS288" s="129" t="s">
        <v>212</v>
      </c>
      <c r="DT288" s="129" t="s">
        <v>213</v>
      </c>
      <c r="DU288" s="129">
        <v>1.0271999999999999</v>
      </c>
      <c r="DV288" s="129" t="s">
        <v>393</v>
      </c>
      <c r="DW288" s="129">
        <v>5.9999999999999995E-4</v>
      </c>
      <c r="DX288" s="129" t="s">
        <v>436</v>
      </c>
      <c r="DY288" s="129" t="s">
        <v>160</v>
      </c>
      <c r="DZ288" s="129" t="s">
        <v>160</v>
      </c>
      <c r="EA288" s="129" t="s">
        <v>216</v>
      </c>
      <c r="EB288" s="129" t="s">
        <v>212</v>
      </c>
      <c r="EC288" s="129" t="s">
        <v>212</v>
      </c>
      <c r="ED288" s="129" t="s">
        <v>212</v>
      </c>
      <c r="EE288" s="129" t="s">
        <v>217</v>
      </c>
      <c r="EF288" s="147" t="s">
        <v>213</v>
      </c>
      <c r="EG288" s="148" t="s">
        <v>213</v>
      </c>
      <c r="EH288" s="129" t="s">
        <v>218</v>
      </c>
      <c r="EI288" s="129" t="s">
        <v>417</v>
      </c>
      <c r="EJ288" s="129" t="s">
        <v>160</v>
      </c>
      <c r="EK288" s="129">
        <v>1934.0360000000001</v>
      </c>
      <c r="EL288" s="129" t="s">
        <v>163</v>
      </c>
      <c r="EM288" s="129">
        <v>55.719999999999992</v>
      </c>
      <c r="EN288" s="129">
        <v>54.342000000000191</v>
      </c>
      <c r="EO288" s="129" t="s">
        <v>160</v>
      </c>
      <c r="EP288" s="129" t="s">
        <v>160</v>
      </c>
      <c r="EQ288" s="129" t="s">
        <v>160</v>
      </c>
      <c r="ER288" s="129" t="s">
        <v>160</v>
      </c>
      <c r="ES288" s="141">
        <v>8.0748599999999993</v>
      </c>
      <c r="ET288" s="142" t="s">
        <v>165</v>
      </c>
      <c r="EU288" s="141">
        <v>4.5229000000000852E-2</v>
      </c>
      <c r="EV288" s="141">
        <v>4.7921999999999798E-2</v>
      </c>
      <c r="EW288" s="142" t="s">
        <v>160</v>
      </c>
      <c r="EX288" s="129" t="s">
        <v>160</v>
      </c>
      <c r="EY288" s="129" t="s">
        <v>160</v>
      </c>
      <c r="EZ288" s="141">
        <v>316.6927</v>
      </c>
      <c r="FA288" s="141">
        <v>46.309599999999989</v>
      </c>
      <c r="FB288" s="141">
        <v>38.655399999999986</v>
      </c>
      <c r="FC288" s="129" t="s">
        <v>220</v>
      </c>
      <c r="FD288" s="129" t="s">
        <v>221</v>
      </c>
      <c r="FE288" s="129">
        <v>2186.5539999999996</v>
      </c>
      <c r="FF288" s="129">
        <v>69.003000000000611</v>
      </c>
      <c r="FG288" s="129">
        <v>69.589999999999691</v>
      </c>
      <c r="FH288" s="129" t="s">
        <v>437</v>
      </c>
      <c r="FI288" s="129" t="s">
        <v>437</v>
      </c>
      <c r="FJ288" s="129" t="s">
        <v>437</v>
      </c>
      <c r="FK288" s="129" t="s">
        <v>437</v>
      </c>
      <c r="FL288" s="129" t="s">
        <v>437</v>
      </c>
      <c r="FM288" s="129" t="s">
        <v>437</v>
      </c>
      <c r="FN288" s="151">
        <v>3.552902</v>
      </c>
      <c r="FO288" s="151">
        <v>0.32362499999999983</v>
      </c>
      <c r="FP288" s="151">
        <v>0.30782800000000021</v>
      </c>
      <c r="FQ288" s="178" t="s">
        <v>419</v>
      </c>
      <c r="FR288" s="129" t="s">
        <v>439</v>
      </c>
      <c r="FS288" s="129">
        <v>2015</v>
      </c>
      <c r="FT288" s="129" t="s">
        <v>440</v>
      </c>
    </row>
    <row r="289" spans="1:176" s="129" customFormat="1" ht="17">
      <c r="A289" s="123" t="s">
        <v>152</v>
      </c>
      <c r="B289" s="166" t="s">
        <v>183</v>
      </c>
      <c r="C289" s="166">
        <v>2018</v>
      </c>
      <c r="D289" s="166" t="s">
        <v>184</v>
      </c>
      <c r="E289" s="151">
        <f t="shared" si="29"/>
        <v>3245.811768</v>
      </c>
      <c r="F289" s="191" t="s">
        <v>160</v>
      </c>
      <c r="G289" s="191" t="s">
        <v>160</v>
      </c>
      <c r="H289" s="151">
        <v>287.5616</v>
      </c>
      <c r="I289" s="151">
        <v>38.767999999999972</v>
      </c>
      <c r="J289" s="151">
        <v>35.069000000000017</v>
      </c>
      <c r="K289" s="129" t="s">
        <v>457</v>
      </c>
      <c r="L289" s="131" t="s">
        <v>185</v>
      </c>
      <c r="M289" s="132" t="s">
        <v>186</v>
      </c>
      <c r="N289" s="129" t="s">
        <v>184</v>
      </c>
      <c r="O289" s="129" t="s">
        <v>420</v>
      </c>
      <c r="P289" s="129" t="s">
        <v>156</v>
      </c>
      <c r="Q289" s="178">
        <v>12</v>
      </c>
      <c r="R289" s="178">
        <v>2</v>
      </c>
      <c r="S289" s="178">
        <v>10</v>
      </c>
      <c r="T289" s="178">
        <v>12</v>
      </c>
      <c r="U289" s="178" t="s">
        <v>160</v>
      </c>
      <c r="V289" s="178" t="s">
        <v>160</v>
      </c>
      <c r="W289" s="178" t="s">
        <v>160</v>
      </c>
      <c r="X289" s="129" t="s">
        <v>157</v>
      </c>
      <c r="Y289" s="136">
        <v>12.75</v>
      </c>
      <c r="Z289" s="136">
        <v>-78.73</v>
      </c>
      <c r="AA289" s="136">
        <v>12.75</v>
      </c>
      <c r="AB289" s="136">
        <v>-78.73</v>
      </c>
      <c r="AC289" s="136">
        <v>-2828</v>
      </c>
      <c r="AD289" s="136">
        <v>-2828</v>
      </c>
      <c r="AE289" s="129" t="s">
        <v>160</v>
      </c>
      <c r="AF289" s="129" t="s">
        <v>160</v>
      </c>
      <c r="AG289" s="141">
        <v>3245.811768</v>
      </c>
      <c r="AH289" s="138" t="s">
        <v>159</v>
      </c>
      <c r="AI289" s="129" t="s">
        <v>160</v>
      </c>
      <c r="AJ289" s="129" t="s">
        <v>160</v>
      </c>
      <c r="AK289" s="178" t="s">
        <v>160</v>
      </c>
      <c r="AL289" s="178" t="s">
        <v>441</v>
      </c>
      <c r="AM289" s="178" t="s">
        <v>160</v>
      </c>
      <c r="AN289" s="129" t="s">
        <v>160</v>
      </c>
      <c r="AO289" s="129" t="s">
        <v>160</v>
      </c>
      <c r="AP289" s="129" t="s">
        <v>160</v>
      </c>
      <c r="AQ289" s="129" t="s">
        <v>160</v>
      </c>
      <c r="AR289" s="129" t="s">
        <v>160</v>
      </c>
      <c r="AS289" s="129" t="s">
        <v>160</v>
      </c>
      <c r="AT289" s="129" t="s">
        <v>160</v>
      </c>
      <c r="AU289" s="213" t="s">
        <v>442</v>
      </c>
      <c r="AV289" s="129" t="s">
        <v>161</v>
      </c>
      <c r="AW289" s="189" t="s">
        <v>443</v>
      </c>
      <c r="AX289" s="205" t="s">
        <v>444</v>
      </c>
      <c r="AY289" s="205" t="s">
        <v>353</v>
      </c>
      <c r="AZ289" s="205" t="s">
        <v>325</v>
      </c>
      <c r="BA289" s="214" t="s">
        <v>162</v>
      </c>
      <c r="BB289" s="129" t="s">
        <v>445</v>
      </c>
      <c r="BC289" s="129" t="s">
        <v>445</v>
      </c>
      <c r="BD289" s="129" t="s">
        <v>445</v>
      </c>
      <c r="BE289" s="141">
        <v>20.1553</v>
      </c>
      <c r="BF289" s="129" t="s">
        <v>446</v>
      </c>
      <c r="BG289" s="141">
        <v>9.6271975999999995E-2</v>
      </c>
      <c r="BH289" s="129">
        <v>0.6</v>
      </c>
      <c r="BI289" s="129" t="s">
        <v>427</v>
      </c>
      <c r="BJ289" s="138">
        <v>0.08</v>
      </c>
      <c r="BK289" s="129">
        <v>8.8699999999999992</v>
      </c>
      <c r="BL289" s="129" t="s">
        <v>163</v>
      </c>
      <c r="BM289" s="129">
        <v>1.52</v>
      </c>
      <c r="BN289" s="129" t="s">
        <v>428</v>
      </c>
      <c r="BO289" s="129" t="s">
        <v>448</v>
      </c>
      <c r="BP289" s="141">
        <f t="shared" si="30"/>
        <v>18.808833333333336</v>
      </c>
      <c r="BQ289" s="129" t="s">
        <v>202</v>
      </c>
      <c r="BR289" s="217"/>
      <c r="BS289" s="129" t="s">
        <v>160</v>
      </c>
      <c r="BT289" s="129" t="s">
        <v>160</v>
      </c>
      <c r="BU289" s="129">
        <v>10</v>
      </c>
      <c r="BV289" s="129" t="s">
        <v>159</v>
      </c>
      <c r="BW289" s="129">
        <v>10</v>
      </c>
      <c r="BX289" s="141">
        <v>25.22861030692896</v>
      </c>
      <c r="BY289" s="129" t="s">
        <v>159</v>
      </c>
      <c r="BZ289" s="129">
        <v>1</v>
      </c>
      <c r="CA289" s="129">
        <v>1</v>
      </c>
      <c r="CB289" s="141">
        <v>3.5517439268834692</v>
      </c>
      <c r="CC289" s="141">
        <v>3.5517439268834692</v>
      </c>
      <c r="CD289" s="129" t="s">
        <v>449</v>
      </c>
      <c r="CE289" s="151">
        <f t="shared" si="31"/>
        <v>9.5897086025853673E-2</v>
      </c>
      <c r="CF289" s="151">
        <f t="shared" si="32"/>
        <v>9.5897086025853673E-2</v>
      </c>
      <c r="CG289" s="145" t="s">
        <v>203</v>
      </c>
      <c r="CH289" s="129" t="s">
        <v>204</v>
      </c>
      <c r="CI289" s="129" t="s">
        <v>205</v>
      </c>
      <c r="CJ289" s="129" t="s">
        <v>206</v>
      </c>
      <c r="CK289" s="129" t="s">
        <v>158</v>
      </c>
      <c r="CL289" s="129" t="s">
        <v>158</v>
      </c>
      <c r="CM289" s="129" t="s">
        <v>158</v>
      </c>
      <c r="CN289" s="129" t="s">
        <v>160</v>
      </c>
      <c r="CO289" s="129" t="s">
        <v>160</v>
      </c>
      <c r="CP289" s="129" t="s">
        <v>160</v>
      </c>
      <c r="CQ289" s="129" t="s">
        <v>160</v>
      </c>
      <c r="CR289" s="129" t="s">
        <v>160</v>
      </c>
      <c r="CS289" s="129" t="s">
        <v>160</v>
      </c>
      <c r="CT289" s="129" t="s">
        <v>160</v>
      </c>
      <c r="CU289" s="215">
        <v>35</v>
      </c>
      <c r="CV289" s="129" t="s">
        <v>393</v>
      </c>
      <c r="CW289" s="146">
        <v>1</v>
      </c>
      <c r="CX289" s="129" t="s">
        <v>207</v>
      </c>
      <c r="CY289" s="129">
        <v>1.06E-2</v>
      </c>
      <c r="CZ289" s="129" t="s">
        <v>159</v>
      </c>
      <c r="DA289" s="146">
        <v>0</v>
      </c>
      <c r="DB289" s="129" t="s">
        <v>208</v>
      </c>
      <c r="DC289" s="129">
        <v>5.5100000000000003E-2</v>
      </c>
      <c r="DD289" s="129" t="s">
        <v>159</v>
      </c>
      <c r="DE289" s="146">
        <v>0</v>
      </c>
      <c r="DF289" s="129" t="s">
        <v>208</v>
      </c>
      <c r="DG289" s="178" t="s">
        <v>160</v>
      </c>
      <c r="DH289" s="178" t="s">
        <v>160</v>
      </c>
      <c r="DI289" s="178" t="s">
        <v>160</v>
      </c>
      <c r="DJ289" s="178" t="s">
        <v>160</v>
      </c>
      <c r="DK289" s="145">
        <v>432.56244218316402</v>
      </c>
      <c r="DL289" s="129" t="s">
        <v>433</v>
      </c>
      <c r="DM289" s="145" t="s">
        <v>160</v>
      </c>
      <c r="DN289" s="129" t="s">
        <v>434</v>
      </c>
      <c r="DO289" s="129">
        <v>39.688070000000003</v>
      </c>
      <c r="DP289" s="129" t="s">
        <v>160</v>
      </c>
      <c r="DQ289" s="129">
        <v>0.37556000000000012</v>
      </c>
      <c r="DR289" s="129" t="s">
        <v>450</v>
      </c>
      <c r="DS289" s="129" t="s">
        <v>212</v>
      </c>
      <c r="DT289" s="129" t="s">
        <v>213</v>
      </c>
      <c r="DU289" s="129">
        <v>1.0271999999999999</v>
      </c>
      <c r="DV289" s="129" t="s">
        <v>393</v>
      </c>
      <c r="DW289" s="129">
        <v>5.9999999999999995E-4</v>
      </c>
      <c r="DX289" s="129" t="s">
        <v>436</v>
      </c>
      <c r="DY289" s="129" t="s">
        <v>160</v>
      </c>
      <c r="DZ289" s="129" t="s">
        <v>160</v>
      </c>
      <c r="EA289" s="129" t="s">
        <v>216</v>
      </c>
      <c r="EB289" s="129" t="s">
        <v>212</v>
      </c>
      <c r="EC289" s="129" t="s">
        <v>212</v>
      </c>
      <c r="ED289" s="129" t="s">
        <v>212</v>
      </c>
      <c r="EE289" s="129" t="s">
        <v>217</v>
      </c>
      <c r="EF289" s="147" t="s">
        <v>213</v>
      </c>
      <c r="EG289" s="148" t="s">
        <v>213</v>
      </c>
      <c r="EH289" s="129" t="s">
        <v>218</v>
      </c>
      <c r="EI289" s="129" t="s">
        <v>417</v>
      </c>
      <c r="EJ289" s="129" t="s">
        <v>160</v>
      </c>
      <c r="EK289" s="129">
        <v>1934.3609999999999</v>
      </c>
      <c r="EL289" s="129" t="s">
        <v>163</v>
      </c>
      <c r="EM289" s="129">
        <v>55.651000000000309</v>
      </c>
      <c r="EN289" s="129">
        <v>54.626999999999803</v>
      </c>
      <c r="EO289" s="129" t="s">
        <v>160</v>
      </c>
      <c r="EP289" s="129" t="s">
        <v>160</v>
      </c>
      <c r="EQ289" s="129" t="s">
        <v>160</v>
      </c>
      <c r="ER289" s="129" t="s">
        <v>160</v>
      </c>
      <c r="ES289" s="141">
        <v>8.1097680000000008</v>
      </c>
      <c r="ET289" s="142" t="s">
        <v>165</v>
      </c>
      <c r="EU289" s="141">
        <v>4.3383999999999645E-2</v>
      </c>
      <c r="EV289" s="141">
        <v>4.3339000000001349E-2</v>
      </c>
      <c r="EW289" s="142" t="s">
        <v>160</v>
      </c>
      <c r="EX289" s="129" t="s">
        <v>160</v>
      </c>
      <c r="EY289" s="129" t="s">
        <v>160</v>
      </c>
      <c r="EZ289" s="141">
        <v>287.5616</v>
      </c>
      <c r="FA289" s="141">
        <v>38.767999999999972</v>
      </c>
      <c r="FB289" s="141">
        <v>35.069000000000017</v>
      </c>
      <c r="FC289" s="129" t="s">
        <v>220</v>
      </c>
      <c r="FD289" s="129" t="s">
        <v>221</v>
      </c>
      <c r="FE289" s="129">
        <v>2219.732</v>
      </c>
      <c r="FF289" s="129">
        <v>68.989999999999782</v>
      </c>
      <c r="FG289" s="129">
        <v>68.918999999999869</v>
      </c>
      <c r="FH289" s="129" t="s">
        <v>437</v>
      </c>
      <c r="FI289" s="129" t="s">
        <v>437</v>
      </c>
      <c r="FJ289" s="129" t="s">
        <v>437</v>
      </c>
      <c r="FK289" s="129" t="s">
        <v>437</v>
      </c>
      <c r="FL289" s="129" t="s">
        <v>437</v>
      </c>
      <c r="FM289" s="129" t="s">
        <v>437</v>
      </c>
      <c r="FN289" s="151">
        <v>3.9786820000000001</v>
      </c>
      <c r="FO289" s="151">
        <v>0.3360120000000002</v>
      </c>
      <c r="FP289" s="151">
        <v>0.31731200000000026</v>
      </c>
      <c r="FQ289" s="178" t="s">
        <v>419</v>
      </c>
      <c r="FR289" s="129" t="s">
        <v>439</v>
      </c>
      <c r="FS289" s="129">
        <v>2015</v>
      </c>
      <c r="FT289" s="129" t="s">
        <v>440</v>
      </c>
    </row>
    <row r="290" spans="1:176" s="129" customFormat="1" ht="17">
      <c r="A290" s="123" t="s">
        <v>152</v>
      </c>
      <c r="B290" s="166" t="s">
        <v>183</v>
      </c>
      <c r="C290" s="166">
        <v>2018</v>
      </c>
      <c r="D290" s="166" t="s">
        <v>184</v>
      </c>
      <c r="E290" s="151">
        <f t="shared" si="29"/>
        <v>3259.5778810000002</v>
      </c>
      <c r="F290" s="191" t="s">
        <v>160</v>
      </c>
      <c r="G290" s="191" t="s">
        <v>160</v>
      </c>
      <c r="H290" s="151">
        <v>312.41969999999998</v>
      </c>
      <c r="I290" s="151">
        <v>52.529100000000028</v>
      </c>
      <c r="J290" s="151">
        <v>43.02679999999998</v>
      </c>
      <c r="K290" s="129" t="s">
        <v>457</v>
      </c>
      <c r="L290" s="131" t="s">
        <v>185</v>
      </c>
      <c r="M290" s="132" t="s">
        <v>186</v>
      </c>
      <c r="N290" s="129" t="s">
        <v>184</v>
      </c>
      <c r="O290" s="129" t="s">
        <v>420</v>
      </c>
      <c r="P290" s="129" t="s">
        <v>156</v>
      </c>
      <c r="Q290" s="178">
        <v>12</v>
      </c>
      <c r="R290" s="178">
        <v>2</v>
      </c>
      <c r="S290" s="178">
        <v>50</v>
      </c>
      <c r="T290" s="178">
        <v>52</v>
      </c>
      <c r="U290" s="178" t="s">
        <v>160</v>
      </c>
      <c r="V290" s="178" t="s">
        <v>160</v>
      </c>
      <c r="W290" s="178" t="s">
        <v>160</v>
      </c>
      <c r="X290" s="129" t="s">
        <v>157</v>
      </c>
      <c r="Y290" s="136">
        <v>12.75</v>
      </c>
      <c r="Z290" s="136">
        <v>-78.73</v>
      </c>
      <c r="AA290" s="136">
        <v>12.75</v>
      </c>
      <c r="AB290" s="136">
        <v>-78.73</v>
      </c>
      <c r="AC290" s="136">
        <v>-2828</v>
      </c>
      <c r="AD290" s="136">
        <v>-2828</v>
      </c>
      <c r="AE290" s="129" t="s">
        <v>160</v>
      </c>
      <c r="AF290" s="129" t="s">
        <v>160</v>
      </c>
      <c r="AG290" s="141">
        <v>3259.5778810000002</v>
      </c>
      <c r="AH290" s="138" t="s">
        <v>159</v>
      </c>
      <c r="AI290" s="129" t="s">
        <v>160</v>
      </c>
      <c r="AJ290" s="129" t="s">
        <v>160</v>
      </c>
      <c r="AK290" s="178" t="s">
        <v>160</v>
      </c>
      <c r="AL290" s="178" t="s">
        <v>441</v>
      </c>
      <c r="AM290" s="178" t="s">
        <v>160</v>
      </c>
      <c r="AN290" s="129" t="s">
        <v>160</v>
      </c>
      <c r="AO290" s="129" t="s">
        <v>160</v>
      </c>
      <c r="AP290" s="129" t="s">
        <v>160</v>
      </c>
      <c r="AQ290" s="129" t="s">
        <v>160</v>
      </c>
      <c r="AR290" s="129" t="s">
        <v>160</v>
      </c>
      <c r="AS290" s="129" t="s">
        <v>160</v>
      </c>
      <c r="AT290" s="129" t="s">
        <v>160</v>
      </c>
      <c r="AU290" s="213" t="s">
        <v>442</v>
      </c>
      <c r="AV290" s="129" t="s">
        <v>161</v>
      </c>
      <c r="AW290" s="189" t="s">
        <v>443</v>
      </c>
      <c r="AX290" s="189" t="s">
        <v>444</v>
      </c>
      <c r="AY290" s="205" t="s">
        <v>353</v>
      </c>
      <c r="AZ290" s="205" t="s">
        <v>325</v>
      </c>
      <c r="BA290" s="129" t="s">
        <v>162</v>
      </c>
      <c r="BB290" s="129" t="s">
        <v>445</v>
      </c>
      <c r="BC290" s="129" t="s">
        <v>445</v>
      </c>
      <c r="BD290" s="129" t="s">
        <v>445</v>
      </c>
      <c r="BE290" s="141">
        <v>19.89508</v>
      </c>
      <c r="BF290" s="129" t="s">
        <v>446</v>
      </c>
      <c r="BG290" s="141">
        <v>0.18737314299999999</v>
      </c>
      <c r="BH290" s="129">
        <v>0.6</v>
      </c>
      <c r="BI290" s="129" t="s">
        <v>427</v>
      </c>
      <c r="BJ290" s="138">
        <v>0.08</v>
      </c>
      <c r="BK290" s="129">
        <v>8.8699999999999992</v>
      </c>
      <c r="BL290" s="129" t="s">
        <v>163</v>
      </c>
      <c r="BM290" s="129">
        <v>1.52</v>
      </c>
      <c r="BN290" s="129" t="s">
        <v>428</v>
      </c>
      <c r="BO290" s="129" t="s">
        <v>448</v>
      </c>
      <c r="BP290" s="141">
        <f t="shared" si="30"/>
        <v>18.375133333333334</v>
      </c>
      <c r="BQ290" s="129" t="s">
        <v>202</v>
      </c>
      <c r="BR290" s="217"/>
      <c r="BS290" s="129" t="s">
        <v>160</v>
      </c>
      <c r="BT290" s="129" t="s">
        <v>160</v>
      </c>
      <c r="BU290" s="129">
        <v>10</v>
      </c>
      <c r="BV290" s="129" t="s">
        <v>159</v>
      </c>
      <c r="BW290" s="129">
        <v>10</v>
      </c>
      <c r="BX290" s="141">
        <v>24.513737698243368</v>
      </c>
      <c r="BY290" s="129" t="s">
        <v>159</v>
      </c>
      <c r="BZ290" s="129">
        <v>1</v>
      </c>
      <c r="CA290" s="129">
        <v>1</v>
      </c>
      <c r="CB290" s="141">
        <v>3.3299406619826772</v>
      </c>
      <c r="CC290" s="141">
        <v>3.3299406619826772</v>
      </c>
      <c r="CD290" s="129" t="s">
        <v>449</v>
      </c>
      <c r="CE290" s="151">
        <f t="shared" si="31"/>
        <v>8.9908397873532289E-2</v>
      </c>
      <c r="CF290" s="151">
        <f t="shared" si="32"/>
        <v>8.9908397873532289E-2</v>
      </c>
      <c r="CG290" s="145" t="s">
        <v>203</v>
      </c>
      <c r="CH290" s="129" t="s">
        <v>204</v>
      </c>
      <c r="CI290" s="129" t="s">
        <v>205</v>
      </c>
      <c r="CJ290" s="129" t="s">
        <v>206</v>
      </c>
      <c r="CK290" s="129" t="s">
        <v>158</v>
      </c>
      <c r="CL290" s="129" t="s">
        <v>158</v>
      </c>
      <c r="CM290" s="129" t="s">
        <v>158</v>
      </c>
      <c r="CN290" s="129" t="s">
        <v>160</v>
      </c>
      <c r="CO290" s="129" t="s">
        <v>160</v>
      </c>
      <c r="CP290" s="129" t="s">
        <v>160</v>
      </c>
      <c r="CQ290" s="129" t="s">
        <v>160</v>
      </c>
      <c r="CR290" s="129" t="s">
        <v>160</v>
      </c>
      <c r="CS290" s="129" t="s">
        <v>160</v>
      </c>
      <c r="CT290" s="129" t="s">
        <v>160</v>
      </c>
      <c r="CU290" s="215">
        <v>35</v>
      </c>
      <c r="CV290" s="129" t="s">
        <v>393</v>
      </c>
      <c r="CW290" s="146">
        <v>1</v>
      </c>
      <c r="CX290" s="129" t="s">
        <v>207</v>
      </c>
      <c r="CY290" s="129">
        <v>1.06E-2</v>
      </c>
      <c r="CZ290" s="129" t="s">
        <v>159</v>
      </c>
      <c r="DA290" s="146">
        <v>0</v>
      </c>
      <c r="DB290" s="129" t="s">
        <v>208</v>
      </c>
      <c r="DC290" s="129">
        <v>5.5100000000000003E-2</v>
      </c>
      <c r="DD290" s="129" t="s">
        <v>159</v>
      </c>
      <c r="DE290" s="146">
        <v>0</v>
      </c>
      <c r="DF290" s="129" t="s">
        <v>208</v>
      </c>
      <c r="DG290" s="178" t="s">
        <v>160</v>
      </c>
      <c r="DH290" s="178" t="s">
        <v>160</v>
      </c>
      <c r="DI290" s="178" t="s">
        <v>160</v>
      </c>
      <c r="DJ290" s="178" t="s">
        <v>160</v>
      </c>
      <c r="DK290" s="145">
        <v>432.56244218316402</v>
      </c>
      <c r="DL290" s="129" t="s">
        <v>433</v>
      </c>
      <c r="DM290" s="145" t="s">
        <v>160</v>
      </c>
      <c r="DN290" s="129" t="s">
        <v>434</v>
      </c>
      <c r="DO290" s="129">
        <v>39.687629999999999</v>
      </c>
      <c r="DP290" s="129" t="s">
        <v>160</v>
      </c>
      <c r="DQ290" s="129">
        <v>0.37653999999999854</v>
      </c>
      <c r="DR290" s="129" t="s">
        <v>450</v>
      </c>
      <c r="DS290" s="129" t="s">
        <v>212</v>
      </c>
      <c r="DT290" s="129" t="s">
        <v>213</v>
      </c>
      <c r="DU290" s="129">
        <v>1.0271999999999999</v>
      </c>
      <c r="DV290" s="129" t="s">
        <v>393</v>
      </c>
      <c r="DW290" s="129">
        <v>5.9999999999999995E-4</v>
      </c>
      <c r="DX290" s="129" t="s">
        <v>436</v>
      </c>
      <c r="DY290" s="129" t="s">
        <v>160</v>
      </c>
      <c r="DZ290" s="129" t="s">
        <v>160</v>
      </c>
      <c r="EA290" s="129" t="s">
        <v>216</v>
      </c>
      <c r="EB290" s="129" t="s">
        <v>212</v>
      </c>
      <c r="EC290" s="129" t="s">
        <v>212</v>
      </c>
      <c r="ED290" s="129" t="s">
        <v>212</v>
      </c>
      <c r="EE290" s="129" t="s">
        <v>217</v>
      </c>
      <c r="EF290" s="147" t="s">
        <v>213</v>
      </c>
      <c r="EG290" s="148" t="s">
        <v>213</v>
      </c>
      <c r="EH290" s="129" t="s">
        <v>218</v>
      </c>
      <c r="EI290" s="129" t="s">
        <v>417</v>
      </c>
      <c r="EJ290" s="129" t="s">
        <v>160</v>
      </c>
      <c r="EK290" s="129">
        <v>1934.1770000000001</v>
      </c>
      <c r="EL290" s="129" t="s">
        <v>163</v>
      </c>
      <c r="EM290" s="129">
        <v>55.688999999999822</v>
      </c>
      <c r="EN290" s="129">
        <v>54.55</v>
      </c>
      <c r="EO290" s="129" t="s">
        <v>160</v>
      </c>
      <c r="EP290" s="129" t="s">
        <v>160</v>
      </c>
      <c r="EQ290" s="129" t="s">
        <v>160</v>
      </c>
      <c r="ER290" s="129" t="s">
        <v>160</v>
      </c>
      <c r="ES290" s="141">
        <v>8.0796969999999995</v>
      </c>
      <c r="ET290" s="142" t="s">
        <v>165</v>
      </c>
      <c r="EU290" s="141">
        <v>5.1694000000001239E-2</v>
      </c>
      <c r="EV290" s="141">
        <v>5.4415999999999798E-2</v>
      </c>
      <c r="EW290" s="142" t="s">
        <v>160</v>
      </c>
      <c r="EX290" s="129" t="s">
        <v>160</v>
      </c>
      <c r="EY290" s="129" t="s">
        <v>160</v>
      </c>
      <c r="EZ290" s="141">
        <v>312.41969999999998</v>
      </c>
      <c r="FA290" s="141">
        <v>52.529100000000028</v>
      </c>
      <c r="FB290" s="141">
        <v>43.02679999999998</v>
      </c>
      <c r="FC290" s="129" t="s">
        <v>220</v>
      </c>
      <c r="FD290" s="129" t="s">
        <v>221</v>
      </c>
      <c r="FE290" s="129">
        <v>2193.105</v>
      </c>
      <c r="FF290" s="129">
        <v>73.103000000000065</v>
      </c>
      <c r="FG290" s="129">
        <v>73.572000000000116</v>
      </c>
      <c r="FH290" s="129" t="s">
        <v>437</v>
      </c>
      <c r="FI290" s="129" t="s">
        <v>437</v>
      </c>
      <c r="FJ290" s="129" t="s">
        <v>437</v>
      </c>
      <c r="FK290" s="129" t="s">
        <v>437</v>
      </c>
      <c r="FL290" s="129" t="s">
        <v>437</v>
      </c>
      <c r="FM290" s="129" t="s">
        <v>437</v>
      </c>
      <c r="FN290" s="151">
        <v>3.647923</v>
      </c>
      <c r="FO290" s="151">
        <v>0.39134000000000002</v>
      </c>
      <c r="FP290" s="151">
        <v>0.37632000000000021</v>
      </c>
      <c r="FQ290" s="178" t="s">
        <v>419</v>
      </c>
      <c r="FR290" s="129" t="s">
        <v>439</v>
      </c>
      <c r="FS290" s="129">
        <v>2015</v>
      </c>
      <c r="FT290" s="129" t="s">
        <v>440</v>
      </c>
    </row>
    <row r="291" spans="1:176" s="129" customFormat="1" ht="17">
      <c r="A291" s="123" t="s">
        <v>152</v>
      </c>
      <c r="B291" s="166" t="s">
        <v>183</v>
      </c>
      <c r="C291" s="166">
        <v>2018</v>
      </c>
      <c r="D291" s="166" t="s">
        <v>184</v>
      </c>
      <c r="E291" s="151">
        <f t="shared" si="29"/>
        <v>3270.1684570000002</v>
      </c>
      <c r="F291" s="191" t="s">
        <v>160</v>
      </c>
      <c r="G291" s="191" t="s">
        <v>160</v>
      </c>
      <c r="H291" s="151">
        <v>328.82709999999997</v>
      </c>
      <c r="I291" s="151">
        <v>58.511099999999999</v>
      </c>
      <c r="J291" s="151">
        <v>49.145800000000008</v>
      </c>
      <c r="K291" s="129" t="s">
        <v>457</v>
      </c>
      <c r="L291" s="131" t="s">
        <v>185</v>
      </c>
      <c r="M291" s="132" t="s">
        <v>186</v>
      </c>
      <c r="N291" s="129" t="s">
        <v>184</v>
      </c>
      <c r="O291" s="129" t="s">
        <v>420</v>
      </c>
      <c r="P291" s="129" t="s">
        <v>156</v>
      </c>
      <c r="Q291" s="178">
        <v>12</v>
      </c>
      <c r="R291" s="178">
        <v>2</v>
      </c>
      <c r="S291" s="178">
        <v>80</v>
      </c>
      <c r="T291" s="178">
        <v>82</v>
      </c>
      <c r="U291" s="178" t="s">
        <v>160</v>
      </c>
      <c r="V291" s="178" t="s">
        <v>160</v>
      </c>
      <c r="W291" s="178" t="s">
        <v>160</v>
      </c>
      <c r="X291" s="129" t="s">
        <v>157</v>
      </c>
      <c r="Y291" s="136">
        <v>12.75</v>
      </c>
      <c r="Z291" s="136">
        <v>-78.73</v>
      </c>
      <c r="AA291" s="136">
        <v>12.75</v>
      </c>
      <c r="AB291" s="136">
        <v>-78.73</v>
      </c>
      <c r="AC291" s="136">
        <v>-2828</v>
      </c>
      <c r="AD291" s="136">
        <v>-2828</v>
      </c>
      <c r="AE291" s="129" t="s">
        <v>160</v>
      </c>
      <c r="AF291" s="129" t="s">
        <v>160</v>
      </c>
      <c r="AG291" s="141">
        <v>3270.1684570000002</v>
      </c>
      <c r="AH291" s="138" t="s">
        <v>159</v>
      </c>
      <c r="AI291" s="129" t="s">
        <v>160</v>
      </c>
      <c r="AJ291" s="129" t="s">
        <v>160</v>
      </c>
      <c r="AK291" s="178" t="s">
        <v>160</v>
      </c>
      <c r="AL291" s="178" t="s">
        <v>441</v>
      </c>
      <c r="AM291" s="178" t="s">
        <v>160</v>
      </c>
      <c r="AN291" s="129" t="s">
        <v>160</v>
      </c>
      <c r="AO291" s="129" t="s">
        <v>160</v>
      </c>
      <c r="AP291" s="129" t="s">
        <v>160</v>
      </c>
      <c r="AQ291" s="129" t="s">
        <v>160</v>
      </c>
      <c r="AR291" s="129" t="s">
        <v>160</v>
      </c>
      <c r="AS291" s="129" t="s">
        <v>160</v>
      </c>
      <c r="AT291" s="129" t="s">
        <v>160</v>
      </c>
      <c r="AU291" s="213" t="s">
        <v>442</v>
      </c>
      <c r="AV291" s="129" t="s">
        <v>161</v>
      </c>
      <c r="AW291" s="189" t="s">
        <v>443</v>
      </c>
      <c r="AX291" s="205" t="s">
        <v>444</v>
      </c>
      <c r="AY291" s="205" t="s">
        <v>353</v>
      </c>
      <c r="AZ291" s="205" t="s">
        <v>325</v>
      </c>
      <c r="BA291" s="214" t="s">
        <v>162</v>
      </c>
      <c r="BB291" s="129" t="s">
        <v>445</v>
      </c>
      <c r="BC291" s="129" t="s">
        <v>445</v>
      </c>
      <c r="BD291" s="129" t="s">
        <v>445</v>
      </c>
      <c r="BE291" s="141">
        <v>19.917110000000001</v>
      </c>
      <c r="BF291" s="129" t="s">
        <v>446</v>
      </c>
      <c r="BG291" s="141">
        <v>0.22504139200000001</v>
      </c>
      <c r="BH291" s="129">
        <v>0.6</v>
      </c>
      <c r="BI291" s="129" t="s">
        <v>427</v>
      </c>
      <c r="BJ291" s="138">
        <v>0.08</v>
      </c>
      <c r="BK291" s="129">
        <v>8.8699999999999992</v>
      </c>
      <c r="BL291" s="129" t="s">
        <v>163</v>
      </c>
      <c r="BM291" s="129">
        <v>1.52</v>
      </c>
      <c r="BN291" s="129" t="s">
        <v>428</v>
      </c>
      <c r="BO291" s="129" t="s">
        <v>448</v>
      </c>
      <c r="BP291" s="141">
        <f t="shared" si="30"/>
        <v>18.411850000000005</v>
      </c>
      <c r="BQ291" s="129" t="s">
        <v>202</v>
      </c>
      <c r="BR291" s="217"/>
      <c r="BS291" s="129" t="s">
        <v>160</v>
      </c>
      <c r="BT291" s="129" t="s">
        <v>160</v>
      </c>
      <c r="BU291" s="129">
        <v>10</v>
      </c>
      <c r="BV291" s="129" t="s">
        <v>159</v>
      </c>
      <c r="BW291" s="129">
        <v>10</v>
      </c>
      <c r="BX291" s="141">
        <v>26.285458434338235</v>
      </c>
      <c r="BY291" s="129" t="s">
        <v>159</v>
      </c>
      <c r="BZ291" s="129">
        <v>1</v>
      </c>
      <c r="CA291" s="129">
        <v>1</v>
      </c>
      <c r="CB291" s="141">
        <v>3.9051541571056134</v>
      </c>
      <c r="CC291" s="141">
        <v>3.9051541571056134</v>
      </c>
      <c r="CD291" s="129" t="s">
        <v>449</v>
      </c>
      <c r="CE291" s="151">
        <f t="shared" si="31"/>
        <v>0.10543916224185156</v>
      </c>
      <c r="CF291" s="151">
        <f t="shared" si="32"/>
        <v>0.10543916224185156</v>
      </c>
      <c r="CG291" s="145" t="s">
        <v>203</v>
      </c>
      <c r="CH291" s="129" t="s">
        <v>204</v>
      </c>
      <c r="CI291" s="129" t="s">
        <v>205</v>
      </c>
      <c r="CJ291" s="129" t="s">
        <v>206</v>
      </c>
      <c r="CK291" s="129" t="s">
        <v>158</v>
      </c>
      <c r="CL291" s="129" t="s">
        <v>158</v>
      </c>
      <c r="CM291" s="129" t="s">
        <v>158</v>
      </c>
      <c r="CN291" s="129" t="s">
        <v>160</v>
      </c>
      <c r="CO291" s="129" t="s">
        <v>160</v>
      </c>
      <c r="CP291" s="129" t="s">
        <v>160</v>
      </c>
      <c r="CQ291" s="129" t="s">
        <v>160</v>
      </c>
      <c r="CR291" s="129" t="s">
        <v>160</v>
      </c>
      <c r="CS291" s="129" t="s">
        <v>160</v>
      </c>
      <c r="CT291" s="129" t="s">
        <v>160</v>
      </c>
      <c r="CU291" s="215">
        <v>35</v>
      </c>
      <c r="CV291" s="129" t="s">
        <v>393</v>
      </c>
      <c r="CW291" s="146">
        <v>1</v>
      </c>
      <c r="CX291" s="129" t="s">
        <v>207</v>
      </c>
      <c r="CY291" s="129">
        <v>1.06E-2</v>
      </c>
      <c r="CZ291" s="129" t="s">
        <v>159</v>
      </c>
      <c r="DA291" s="146">
        <v>0</v>
      </c>
      <c r="DB291" s="129" t="s">
        <v>208</v>
      </c>
      <c r="DC291" s="129">
        <v>5.5100000000000003E-2</v>
      </c>
      <c r="DD291" s="129" t="s">
        <v>159</v>
      </c>
      <c r="DE291" s="146">
        <v>0</v>
      </c>
      <c r="DF291" s="129" t="s">
        <v>208</v>
      </c>
      <c r="DG291" s="178" t="s">
        <v>160</v>
      </c>
      <c r="DH291" s="178" t="s">
        <v>160</v>
      </c>
      <c r="DI291" s="178" t="s">
        <v>160</v>
      </c>
      <c r="DJ291" s="178" t="s">
        <v>160</v>
      </c>
      <c r="DK291" s="145">
        <v>432.56244218316402</v>
      </c>
      <c r="DL291" s="129" t="s">
        <v>433</v>
      </c>
      <c r="DM291" s="145" t="s">
        <v>160</v>
      </c>
      <c r="DN291" s="129" t="s">
        <v>434</v>
      </c>
      <c r="DO291" s="129">
        <v>39.682450000000003</v>
      </c>
      <c r="DP291" s="129" t="s">
        <v>160</v>
      </c>
      <c r="DQ291" s="129">
        <v>0.37433999999999656</v>
      </c>
      <c r="DR291" s="129" t="s">
        <v>450</v>
      </c>
      <c r="DS291" s="129" t="s">
        <v>212</v>
      </c>
      <c r="DT291" s="129" t="s">
        <v>213</v>
      </c>
      <c r="DU291" s="129">
        <v>1.0271999999999999</v>
      </c>
      <c r="DV291" s="129" t="s">
        <v>393</v>
      </c>
      <c r="DW291" s="129">
        <v>5.9999999999999995E-4</v>
      </c>
      <c r="DX291" s="129" t="s">
        <v>436</v>
      </c>
      <c r="DY291" s="129" t="s">
        <v>160</v>
      </c>
      <c r="DZ291" s="129" t="s">
        <v>160</v>
      </c>
      <c r="EA291" s="129" t="s">
        <v>216</v>
      </c>
      <c r="EB291" s="129" t="s">
        <v>212</v>
      </c>
      <c r="EC291" s="129" t="s">
        <v>212</v>
      </c>
      <c r="ED291" s="129" t="s">
        <v>212</v>
      </c>
      <c r="EE291" s="129" t="s">
        <v>217</v>
      </c>
      <c r="EF291" s="147" t="s">
        <v>213</v>
      </c>
      <c r="EG291" s="148" t="s">
        <v>213</v>
      </c>
      <c r="EH291" s="129" t="s">
        <v>218</v>
      </c>
      <c r="EI291" s="129" t="s">
        <v>417</v>
      </c>
      <c r="EJ291" s="129" t="s">
        <v>160</v>
      </c>
      <c r="EK291" s="129">
        <v>1934.181</v>
      </c>
      <c r="EL291" s="129" t="s">
        <v>163</v>
      </c>
      <c r="EM291" s="129">
        <v>56.510999999999974</v>
      </c>
      <c r="EN291" s="129">
        <v>54.629000000000048</v>
      </c>
      <c r="EO291" s="129" t="s">
        <v>160</v>
      </c>
      <c r="EP291" s="129" t="s">
        <v>160</v>
      </c>
      <c r="EQ291" s="129" t="s">
        <v>160</v>
      </c>
      <c r="ER291" s="129" t="s">
        <v>160</v>
      </c>
      <c r="ES291" s="141">
        <v>8.0630609999999994</v>
      </c>
      <c r="ET291" s="142" t="s">
        <v>165</v>
      </c>
      <c r="EU291" s="141">
        <v>5.587000000000053E-2</v>
      </c>
      <c r="EV291" s="141">
        <v>5.9629999999998518E-2</v>
      </c>
      <c r="EW291" s="142" t="s">
        <v>160</v>
      </c>
      <c r="EX291" s="129" t="s">
        <v>160</v>
      </c>
      <c r="EY291" s="129" t="s">
        <v>160</v>
      </c>
      <c r="EZ291" s="141">
        <v>328.82709999999997</v>
      </c>
      <c r="FA291" s="141">
        <v>58.511099999999999</v>
      </c>
      <c r="FB291" s="141">
        <v>49.145800000000008</v>
      </c>
      <c r="FC291" s="129" t="s">
        <v>220</v>
      </c>
      <c r="FD291" s="129" t="s">
        <v>221</v>
      </c>
      <c r="FE291" s="129">
        <v>2198.7270000000003</v>
      </c>
      <c r="FF291" s="129">
        <v>75.875999999999749</v>
      </c>
      <c r="FG291" s="129">
        <v>73.990000000000691</v>
      </c>
      <c r="FH291" s="129" t="s">
        <v>437</v>
      </c>
      <c r="FI291" s="129" t="s">
        <v>437</v>
      </c>
      <c r="FJ291" s="129" t="s">
        <v>437</v>
      </c>
      <c r="FK291" s="129" t="s">
        <v>437</v>
      </c>
      <c r="FL291" s="129" t="s">
        <v>437</v>
      </c>
      <c r="FM291" s="129" t="s">
        <v>437</v>
      </c>
      <c r="FN291" s="151">
        <v>3.7640189999999998</v>
      </c>
      <c r="FO291" s="151">
        <v>0.43555000000000055</v>
      </c>
      <c r="FP291" s="151">
        <v>0.41438499999999978</v>
      </c>
      <c r="FQ291" s="178" t="s">
        <v>419</v>
      </c>
      <c r="FR291" s="129" t="s">
        <v>439</v>
      </c>
      <c r="FS291" s="129">
        <v>2015</v>
      </c>
      <c r="FT291" s="129" t="s">
        <v>440</v>
      </c>
    </row>
    <row r="292" spans="1:176" s="129" customFormat="1" ht="17">
      <c r="A292" s="123" t="s">
        <v>152</v>
      </c>
      <c r="B292" s="166" t="s">
        <v>183</v>
      </c>
      <c r="C292" s="166">
        <v>2018</v>
      </c>
      <c r="D292" s="166" t="s">
        <v>184</v>
      </c>
      <c r="E292" s="151">
        <f>AG292</f>
        <v>3280.600586</v>
      </c>
      <c r="F292" s="191" t="s">
        <v>160</v>
      </c>
      <c r="G292" s="191" t="s">
        <v>160</v>
      </c>
      <c r="H292" s="151">
        <v>284.04399999999998</v>
      </c>
      <c r="I292" s="151">
        <v>40.878000000000043</v>
      </c>
      <c r="J292" s="151">
        <v>35.359799999999979</v>
      </c>
      <c r="K292" s="129" t="s">
        <v>457</v>
      </c>
      <c r="L292" s="131" t="s">
        <v>185</v>
      </c>
      <c r="M292" s="132" t="s">
        <v>186</v>
      </c>
      <c r="N292" s="129" t="s">
        <v>184</v>
      </c>
      <c r="O292" s="129" t="s">
        <v>420</v>
      </c>
      <c r="P292" s="129" t="s">
        <v>156</v>
      </c>
      <c r="Q292" s="178">
        <v>12</v>
      </c>
      <c r="R292" s="178">
        <v>2</v>
      </c>
      <c r="S292" s="178">
        <v>110</v>
      </c>
      <c r="T292" s="178">
        <v>112</v>
      </c>
      <c r="U292" s="178" t="s">
        <v>160</v>
      </c>
      <c r="V292" s="178" t="s">
        <v>160</v>
      </c>
      <c r="W292" s="178" t="s">
        <v>160</v>
      </c>
      <c r="X292" s="129" t="s">
        <v>157</v>
      </c>
      <c r="Y292" s="136">
        <v>12.75</v>
      </c>
      <c r="Z292" s="136">
        <v>-78.73</v>
      </c>
      <c r="AA292" s="136">
        <v>12.75</v>
      </c>
      <c r="AB292" s="136">
        <v>-78.73</v>
      </c>
      <c r="AC292" s="136">
        <v>-2828</v>
      </c>
      <c r="AD292" s="136">
        <v>-2828</v>
      </c>
      <c r="AE292" s="129" t="s">
        <v>160</v>
      </c>
      <c r="AF292" s="129" t="s">
        <v>160</v>
      </c>
      <c r="AG292" s="141">
        <v>3280.600586</v>
      </c>
      <c r="AH292" s="138" t="s">
        <v>159</v>
      </c>
      <c r="AI292" s="129" t="s">
        <v>160</v>
      </c>
      <c r="AJ292" s="129" t="s">
        <v>160</v>
      </c>
      <c r="AK292" s="178" t="s">
        <v>160</v>
      </c>
      <c r="AL292" s="178" t="s">
        <v>441</v>
      </c>
      <c r="AM292" s="178" t="s">
        <v>160</v>
      </c>
      <c r="AN292" s="129" t="s">
        <v>160</v>
      </c>
      <c r="AO292" s="129" t="s">
        <v>160</v>
      </c>
      <c r="AP292" s="129" t="s">
        <v>160</v>
      </c>
      <c r="AQ292" s="129" t="s">
        <v>160</v>
      </c>
      <c r="AR292" s="129" t="s">
        <v>160</v>
      </c>
      <c r="AS292" s="129" t="s">
        <v>160</v>
      </c>
      <c r="AT292" s="129" t="s">
        <v>160</v>
      </c>
      <c r="AU292" s="213" t="s">
        <v>442</v>
      </c>
      <c r="AV292" s="129" t="s">
        <v>161</v>
      </c>
      <c r="AW292" s="189" t="s">
        <v>443</v>
      </c>
      <c r="AX292" s="189" t="s">
        <v>444</v>
      </c>
      <c r="AY292" s="205" t="s">
        <v>353</v>
      </c>
      <c r="AZ292" s="205" t="s">
        <v>325</v>
      </c>
      <c r="BA292" s="129" t="s">
        <v>162</v>
      </c>
      <c r="BB292" s="129" t="s">
        <v>445</v>
      </c>
      <c r="BC292" s="129" t="s">
        <v>445</v>
      </c>
      <c r="BD292" s="129" t="s">
        <v>445</v>
      </c>
      <c r="BE292" s="141">
        <v>20.148430000000001</v>
      </c>
      <c r="BF292" s="129" t="s">
        <v>446</v>
      </c>
      <c r="BG292" s="141">
        <v>0.116103674</v>
      </c>
      <c r="BH292" s="129">
        <v>0.6</v>
      </c>
      <c r="BI292" s="129" t="s">
        <v>427</v>
      </c>
      <c r="BJ292" s="138">
        <v>0.08</v>
      </c>
      <c r="BK292" s="129">
        <v>8.8699999999999992</v>
      </c>
      <c r="BL292" s="129" t="s">
        <v>163</v>
      </c>
      <c r="BM292" s="129">
        <v>1.52</v>
      </c>
      <c r="BN292" s="129" t="s">
        <v>428</v>
      </c>
      <c r="BO292" s="129" t="s">
        <v>448</v>
      </c>
      <c r="BP292" s="141">
        <f t="shared" si="30"/>
        <v>18.797383333333336</v>
      </c>
      <c r="BQ292" s="129" t="s">
        <v>202</v>
      </c>
      <c r="BR292" s="217"/>
      <c r="BS292" s="129" t="s">
        <v>160</v>
      </c>
      <c r="BT292" s="129" t="s">
        <v>160</v>
      </c>
      <c r="BU292" s="129">
        <v>10</v>
      </c>
      <c r="BV292" s="129" t="s">
        <v>159</v>
      </c>
      <c r="BW292" s="129">
        <v>10</v>
      </c>
      <c r="BX292" s="141">
        <v>24.783717928500224</v>
      </c>
      <c r="BY292" s="129" t="s">
        <v>159</v>
      </c>
      <c r="BZ292" s="129">
        <v>1</v>
      </c>
      <c r="CA292" s="129">
        <v>1</v>
      </c>
      <c r="CB292" s="141">
        <v>3.4110842585776457</v>
      </c>
      <c r="CC292" s="141">
        <v>3.4110842585776457</v>
      </c>
      <c r="CD292" s="129" t="s">
        <v>449</v>
      </c>
      <c r="CE292" s="151">
        <f t="shared" si="31"/>
        <v>9.2099274981596438E-2</v>
      </c>
      <c r="CF292" s="151">
        <f t="shared" si="32"/>
        <v>9.2099274981596438E-2</v>
      </c>
      <c r="CG292" s="145" t="s">
        <v>203</v>
      </c>
      <c r="CH292" s="129" t="s">
        <v>204</v>
      </c>
      <c r="CI292" s="129" t="s">
        <v>205</v>
      </c>
      <c r="CJ292" s="129" t="s">
        <v>206</v>
      </c>
      <c r="CK292" s="129" t="s">
        <v>158</v>
      </c>
      <c r="CL292" s="129" t="s">
        <v>158</v>
      </c>
      <c r="CM292" s="129" t="s">
        <v>158</v>
      </c>
      <c r="CN292" s="129" t="s">
        <v>160</v>
      </c>
      <c r="CO292" s="129" t="s">
        <v>160</v>
      </c>
      <c r="CP292" s="129" t="s">
        <v>160</v>
      </c>
      <c r="CQ292" s="129" t="s">
        <v>160</v>
      </c>
      <c r="CR292" s="129" t="s">
        <v>160</v>
      </c>
      <c r="CS292" s="129" t="s">
        <v>160</v>
      </c>
      <c r="CT292" s="129" t="s">
        <v>160</v>
      </c>
      <c r="CU292" s="215">
        <v>35</v>
      </c>
      <c r="CV292" s="129" t="s">
        <v>393</v>
      </c>
      <c r="CW292" s="146">
        <v>1</v>
      </c>
      <c r="CX292" s="129" t="s">
        <v>207</v>
      </c>
      <c r="CY292" s="129">
        <v>1.06E-2</v>
      </c>
      <c r="CZ292" s="129" t="s">
        <v>159</v>
      </c>
      <c r="DA292" s="146">
        <v>0</v>
      </c>
      <c r="DB292" s="129" t="s">
        <v>208</v>
      </c>
      <c r="DC292" s="129">
        <v>5.5100000000000003E-2</v>
      </c>
      <c r="DD292" s="129" t="s">
        <v>159</v>
      </c>
      <c r="DE292" s="146">
        <v>0</v>
      </c>
      <c r="DF292" s="129" t="s">
        <v>208</v>
      </c>
      <c r="DG292" s="178" t="s">
        <v>160</v>
      </c>
      <c r="DH292" s="178" t="s">
        <v>160</v>
      </c>
      <c r="DI292" s="178" t="s">
        <v>160</v>
      </c>
      <c r="DJ292" s="178" t="s">
        <v>160</v>
      </c>
      <c r="DK292" s="145">
        <v>432.56244218316402</v>
      </c>
      <c r="DL292" s="129" t="s">
        <v>433</v>
      </c>
      <c r="DM292" s="145" t="s">
        <v>160</v>
      </c>
      <c r="DN292" s="129" t="s">
        <v>434</v>
      </c>
      <c r="DO292" s="129">
        <v>39.685160000000003</v>
      </c>
      <c r="DP292" s="129" t="s">
        <v>160</v>
      </c>
      <c r="DQ292" s="129">
        <v>0.37102999999999753</v>
      </c>
      <c r="DR292" s="129" t="s">
        <v>450</v>
      </c>
      <c r="DS292" s="129" t="s">
        <v>212</v>
      </c>
      <c r="DT292" s="129" t="s">
        <v>213</v>
      </c>
      <c r="DU292" s="129">
        <v>1.0271999999999999</v>
      </c>
      <c r="DV292" s="129" t="s">
        <v>393</v>
      </c>
      <c r="DW292" s="129">
        <v>5.9999999999999995E-4</v>
      </c>
      <c r="DX292" s="129" t="s">
        <v>436</v>
      </c>
      <c r="DY292" s="129" t="s">
        <v>160</v>
      </c>
      <c r="DZ292" s="129" t="s">
        <v>160</v>
      </c>
      <c r="EA292" s="129" t="s">
        <v>216</v>
      </c>
      <c r="EB292" s="129" t="s">
        <v>212</v>
      </c>
      <c r="EC292" s="129" t="s">
        <v>212</v>
      </c>
      <c r="ED292" s="129" t="s">
        <v>212</v>
      </c>
      <c r="EE292" s="129" t="s">
        <v>217</v>
      </c>
      <c r="EF292" s="147" t="s">
        <v>213</v>
      </c>
      <c r="EG292" s="148" t="s">
        <v>213</v>
      </c>
      <c r="EH292" s="129" t="s">
        <v>218</v>
      </c>
      <c r="EI292" s="129" t="s">
        <v>417</v>
      </c>
      <c r="EJ292" s="129" t="s">
        <v>160</v>
      </c>
      <c r="EK292" s="129">
        <v>1933.279</v>
      </c>
      <c r="EL292" s="129" t="s">
        <v>163</v>
      </c>
      <c r="EM292" s="129">
        <v>56.284000000000198</v>
      </c>
      <c r="EN292" s="129">
        <v>56.48700000000003</v>
      </c>
      <c r="EO292" s="129" t="s">
        <v>160</v>
      </c>
      <c r="EP292" s="129" t="s">
        <v>160</v>
      </c>
      <c r="EQ292" s="129" t="s">
        <v>160</v>
      </c>
      <c r="ER292" s="129" t="s">
        <v>160</v>
      </c>
      <c r="ES292" s="141">
        <v>8.1138259999999995</v>
      </c>
      <c r="ET292" s="142" t="s">
        <v>165</v>
      </c>
      <c r="EU292" s="141">
        <v>4.5329000000000619E-2</v>
      </c>
      <c r="EV292" s="141">
        <v>4.5831999999998985E-2</v>
      </c>
      <c r="EW292" s="142" t="s">
        <v>160</v>
      </c>
      <c r="EX292" s="129" t="s">
        <v>160</v>
      </c>
      <c r="EY292" s="129" t="s">
        <v>160</v>
      </c>
      <c r="EZ292" s="141">
        <v>284.04399999999998</v>
      </c>
      <c r="FA292" s="141">
        <v>40.878000000000043</v>
      </c>
      <c r="FB292" s="141">
        <v>35.359799999999979</v>
      </c>
      <c r="FC292" s="129" t="s">
        <v>220</v>
      </c>
      <c r="FD292" s="129" t="s">
        <v>221</v>
      </c>
      <c r="FE292" s="129">
        <v>2218.569</v>
      </c>
      <c r="FF292" s="129">
        <v>72.203999999999724</v>
      </c>
      <c r="FG292" s="129">
        <v>70.493999999999687</v>
      </c>
      <c r="FH292" s="129" t="s">
        <v>437</v>
      </c>
      <c r="FI292" s="129" t="s">
        <v>437</v>
      </c>
      <c r="FJ292" s="129" t="s">
        <v>437</v>
      </c>
      <c r="FK292" s="129" t="s">
        <v>437</v>
      </c>
      <c r="FL292" s="129" t="s">
        <v>437</v>
      </c>
      <c r="FM292" s="129" t="s">
        <v>437</v>
      </c>
      <c r="FN292" s="151">
        <v>3.950958</v>
      </c>
      <c r="FO292" s="151">
        <v>0.34565200000000029</v>
      </c>
      <c r="FP292" s="151">
        <v>0.32624399999999998</v>
      </c>
      <c r="FQ292" s="178" t="s">
        <v>419</v>
      </c>
      <c r="FR292" s="129" t="s">
        <v>439</v>
      </c>
      <c r="FS292" s="129">
        <v>2015</v>
      </c>
      <c r="FT292" s="129" t="s">
        <v>440</v>
      </c>
    </row>
  </sheetData>
  <phoneticPr fontId="51" type="noConversion"/>
  <hyperlinks>
    <hyperlink ref="L4" r:id="rId1" display="hoenisch@ldeo.columbia.edu" xr:uid="{25EC461C-FA7C-4E4A-8BFA-904472908444}"/>
    <hyperlink ref="L5" r:id="rId2" display="hoenisch@ldeo.columbia.edu" xr:uid="{A22DB0FD-0F04-C54B-A4DF-2F6B6BF3C54B}"/>
    <hyperlink ref="L6" r:id="rId3" display="hoenisch@ldeo.columbia.edu" xr:uid="{98B4362A-CC45-154A-927A-E564114F5B58}"/>
    <hyperlink ref="L7" r:id="rId4" display="hoenisch@ldeo.columbia.edu" xr:uid="{3766D9FB-42D8-5645-9E60-C45C508E0509}"/>
    <hyperlink ref="L8" r:id="rId5" display="hoenisch@ldeo.columbia.edu" xr:uid="{CE31FF31-9C93-9643-921B-641B80571211}"/>
    <hyperlink ref="L9" r:id="rId6" display="hoenisch@ldeo.columbia.edu" xr:uid="{BACF0BB8-C665-5A4F-BA67-4C16BC955F4C}"/>
    <hyperlink ref="L10" r:id="rId7" display="hoenisch@ldeo.columbia.edu" xr:uid="{A04FC804-6E77-CE43-931C-809DC5461656}"/>
    <hyperlink ref="L11" r:id="rId8" display="hoenisch@ldeo.columbia.edu" xr:uid="{1F9AC103-92D1-3D4F-8BB3-424FD30A18C0}"/>
    <hyperlink ref="L12" r:id="rId9" display="hoenisch@ldeo.columbia.edu" xr:uid="{2E1A0C83-427A-BD40-B355-E832F09D14AF}"/>
    <hyperlink ref="L13" r:id="rId10" display="hoenisch@ldeo.columbia.edu" xr:uid="{ECB9B6FC-878C-A843-BDB4-C2C5B6D10790}"/>
    <hyperlink ref="L14" r:id="rId11" display="hoenisch@ldeo.columbia.edu" xr:uid="{8B39A1C5-ABD7-2E48-BD1E-C0113F21B61B}"/>
    <hyperlink ref="L15" r:id="rId12" display="hoenisch@ldeo.columbia.edu" xr:uid="{169E5F3C-0D18-A742-BE07-1C6312B942FA}"/>
    <hyperlink ref="L16" r:id="rId13" display="hoenisch@ldeo.columbia.edu" xr:uid="{8D9FB0AF-1AD3-DB44-A04C-5B93EE7FA913}"/>
    <hyperlink ref="L17" r:id="rId14" display="hoenisch@ldeo.columbia.edu" xr:uid="{B867B251-9B99-7445-BF79-55DC6E36588C}"/>
    <hyperlink ref="L18" r:id="rId15" display="hoenisch@ldeo.columbia.edu" xr:uid="{9ACC7CB3-34CB-E44F-B923-D0F66C816FAD}"/>
    <hyperlink ref="L19" r:id="rId16" display="hoenisch@ldeo.columbia.edu" xr:uid="{1120EACE-22EF-C14C-8AB9-17E6233E89B8}"/>
    <hyperlink ref="L20" r:id="rId17" display="hoenisch@ldeo.columbia.edu" xr:uid="{CDEC8605-3EEB-704D-847A-157FC5BE2F3F}"/>
    <hyperlink ref="L21" r:id="rId18" display="hoenisch@ldeo.columbia.edu" xr:uid="{8D3F9265-6275-264C-9D99-C87F9E6B504A}"/>
    <hyperlink ref="L22" r:id="rId19" display="hoenisch@ldeo.columbia.edu" xr:uid="{02C6286A-0B61-0348-A3D9-612AEDFE21EC}"/>
    <hyperlink ref="L23" r:id="rId20" display="hoenisch@ldeo.columbia.edu" xr:uid="{470F451D-FC4F-E842-9118-C8F0C217DB53}"/>
    <hyperlink ref="L24" r:id="rId21" display="hoenisch@ldeo.columbia.edu" xr:uid="{2C44ACCA-5319-EE48-963C-A415E927F761}"/>
    <hyperlink ref="L25" r:id="rId22" display="hoenisch@ldeo.columbia.edu" xr:uid="{993DF424-2D1F-0842-9B54-31D9144D99CE}"/>
    <hyperlink ref="L26" r:id="rId23" display="hoenisch@ldeo.columbia.edu" xr:uid="{06EE8BBF-8F01-0545-83A9-89A58756F7EE}"/>
    <hyperlink ref="L27" r:id="rId24" display="hoenisch@ldeo.columbia.edu" xr:uid="{DE6E8BA6-7ECB-074A-862B-31417D9BF602}"/>
    <hyperlink ref="L28" r:id="rId25" display="hoenisch@ldeo.columbia.edu" xr:uid="{6D37C7B5-BD59-E64E-BDBB-D689C5C6ECB2}"/>
    <hyperlink ref="L29" r:id="rId26" display="hoenisch@ldeo.columbia.edu" xr:uid="{374710A7-A341-DA46-BAAA-CF9C6544850C}"/>
    <hyperlink ref="L30" r:id="rId27" display="hoenisch@ldeo.columbia.edu" xr:uid="{A9AE0735-B0E5-E649-B6E1-AB8E01E0F5C1}"/>
    <hyperlink ref="L31" r:id="rId28" display="hoenisch@ldeo.columbia.edu" xr:uid="{518A8B71-7A79-594C-8010-43E81630006A}"/>
    <hyperlink ref="L32" r:id="rId29" display="hoenisch@ldeo.columbia.edu" xr:uid="{BC137C7D-F0CB-B74C-9D87-84DDBD784893}"/>
    <hyperlink ref="L33" r:id="rId30" display="hoenisch@ldeo.columbia.edu" xr:uid="{4FC2B258-CE4D-BA4E-BA79-B1F3D5549257}"/>
    <hyperlink ref="L34" r:id="rId31" display="hoenisch@ldeo.columbia.edu" xr:uid="{EE76CA2D-DFFA-9B46-83D0-E5D6F173CD9B}"/>
    <hyperlink ref="L35" r:id="rId32" display="hoenisch@ldeo.columbia.edu" xr:uid="{33A34507-7D90-7543-9EEA-3F8C62F4FA79}"/>
    <hyperlink ref="L36" r:id="rId33" display="hoenisch@ldeo.columbia.edu" xr:uid="{DE5B6276-8CCC-B64F-8855-09269F274C98}"/>
    <hyperlink ref="L37" r:id="rId34" display="hoenisch@ldeo.columbia.edu" xr:uid="{C498B164-4405-3543-9C3E-E3A988524ED5}"/>
    <hyperlink ref="L38" r:id="rId35" display="hoenisch@ldeo.columbia.edu" xr:uid="{DD2270D4-BE5F-E54E-9733-F6DBCDB7C819}"/>
    <hyperlink ref="L39" r:id="rId36" display="hoenisch@ldeo.columbia.edu" xr:uid="{409ECFF6-3DF2-D749-9A53-37FA456B4354}"/>
    <hyperlink ref="L40" r:id="rId37" display="hoenisch@ldeo.columbia.edu" xr:uid="{02A3FEE2-46CA-584F-A438-D3DD79FFF31A}"/>
    <hyperlink ref="L41" r:id="rId38" display="hoenisch@ldeo.columbia.edu" xr:uid="{FA8ADF1B-E433-1144-B7FA-96777DC82347}"/>
    <hyperlink ref="L42" r:id="rId39" display="hoenisch@ldeo.columbia.edu" xr:uid="{322157EA-E561-1045-90EE-634FA6BA832A}"/>
    <hyperlink ref="L43" r:id="rId40" display="hoenisch@ldeo.columbia.edu" xr:uid="{47C3931F-BA0E-F147-BBB9-E456D81882DC}"/>
    <hyperlink ref="L44" r:id="rId41" display="hoenisch@ldeo.columbia.edu" xr:uid="{08E3429D-056C-B24C-88F9-452DF274919F}"/>
    <hyperlink ref="L45" r:id="rId42" display="hoenisch@ldeo.columbia.edu" xr:uid="{9FB01035-72E5-BC4A-8FB3-B81BDCFE2406}"/>
    <hyperlink ref="L46" r:id="rId43" display="hoenisch@ldeo.columbia.edu" xr:uid="{21DF74C6-E936-AC49-AE6C-53B32EFA9D27}"/>
    <hyperlink ref="L47" r:id="rId44" display="hoenisch@ldeo.columbia.edu" xr:uid="{5EBE36AA-A880-2545-9413-9AC1D742B32D}"/>
    <hyperlink ref="L48" r:id="rId45" display="hoenisch@ldeo.columbia.edu" xr:uid="{0361F115-4F1E-5E42-9BFD-4CE64C6DEAC8}"/>
    <hyperlink ref="L49" r:id="rId46" display="hoenisch@ldeo.columbia.edu" xr:uid="{F26FB212-EE75-4444-A942-6515F0394CC7}"/>
    <hyperlink ref="L50" r:id="rId47" display="hoenisch@ldeo.columbia.edu" xr:uid="{23159310-C389-8148-A4CC-F444B6C02114}"/>
    <hyperlink ref="L51" r:id="rId48" display="hoenisch@ldeo.columbia.edu" xr:uid="{472B76FB-DDE7-9146-8F93-C1F3EE4F4990}"/>
    <hyperlink ref="L52" r:id="rId49" display="hoenisch@ldeo.columbia.edu" xr:uid="{51FD924F-CB71-5E4C-A40C-774845CA3123}"/>
    <hyperlink ref="L53" r:id="rId50" display="hoenisch@ldeo.columbia.edu" xr:uid="{DD9A3AD7-8C51-3543-B40D-8B150595EDA0}"/>
    <hyperlink ref="L54" r:id="rId51" display="hoenisch@ldeo.columbia.edu" xr:uid="{D6944BF9-8A11-204F-A9CE-544E55110AF2}"/>
    <hyperlink ref="L55" r:id="rId52" display="hoenisch@ldeo.columbia.edu" xr:uid="{5E2ACCA8-4ACE-7C4B-8822-93FFDB91EAAD}"/>
    <hyperlink ref="L56" r:id="rId53" display="hoenisch@ldeo.columbia.edu" xr:uid="{284E7FF9-F567-E64B-8549-761BDD33DA04}"/>
    <hyperlink ref="L57" r:id="rId54" display="hoenisch@ldeo.columbia.edu" xr:uid="{8AE61815-1BB6-1745-A57A-727C712D9340}"/>
    <hyperlink ref="L58" r:id="rId55" display="hoenisch@ldeo.columbia.edu" xr:uid="{F7DFE0AE-4037-6648-BFA1-35AD661AE4D0}"/>
    <hyperlink ref="L59" r:id="rId56" display="hoenisch@ldeo.columbia.edu" xr:uid="{ED70DBCF-7255-2C4C-9A36-CAEB8393DCD3}"/>
    <hyperlink ref="L60" r:id="rId57" display="hoenisch@ldeo.columbia.edu" xr:uid="{E4F558E5-4474-CB42-8F2B-96B23E2DA54F}"/>
    <hyperlink ref="L62" r:id="rId58" display="hoenisch@ldeo.columbia.edu" xr:uid="{59CFCD38-9709-5842-8466-568CDE427A4B}"/>
    <hyperlink ref="L64" r:id="rId59" display="hoenisch@ldeo.columbia.edu" xr:uid="{F80CB362-691C-6E49-96C2-43628A4F0B94}"/>
    <hyperlink ref="L66" r:id="rId60" display="hoenisch@ldeo.columbia.edu" xr:uid="{912B4975-1ABC-7C40-8245-2753F3B909D3}"/>
    <hyperlink ref="L68" r:id="rId61" display="hoenisch@ldeo.columbia.edu" xr:uid="{C4E76864-91F5-5E44-BF15-07C80D37292E}"/>
    <hyperlink ref="L70" r:id="rId62" display="hoenisch@ldeo.columbia.edu" xr:uid="{1C5E09C4-7BAA-0440-B50B-824D2F307CCF}"/>
    <hyperlink ref="L72" r:id="rId63" display="hoenisch@ldeo.columbia.edu" xr:uid="{3679F6EE-6259-2C4C-BF27-4D94BB4A92FD}"/>
    <hyperlink ref="L74" r:id="rId64" display="hoenisch@ldeo.columbia.edu" xr:uid="{DE8AF134-E505-5B42-AF11-09CE4306F711}"/>
    <hyperlink ref="L76" r:id="rId65" display="hoenisch@ldeo.columbia.edu" xr:uid="{6029F0B4-7B37-8845-AEC5-B0A9E7AFBAEA}"/>
    <hyperlink ref="L78" r:id="rId66" display="hoenisch@ldeo.columbia.edu" xr:uid="{F0BF262C-C858-7E45-B687-ABCC426DB925}"/>
    <hyperlink ref="L80" r:id="rId67" display="hoenisch@ldeo.columbia.edu" xr:uid="{756DAA55-BE0D-724E-8216-72FF4E723129}"/>
    <hyperlink ref="L82" r:id="rId68" display="hoenisch@ldeo.columbia.edu" xr:uid="{A2F015A1-BADB-E94D-BF85-72A6673418B0}"/>
    <hyperlink ref="L84" r:id="rId69" display="hoenisch@ldeo.columbia.edu" xr:uid="{886D6B69-A866-3040-B1EF-D11AE47E6734}"/>
    <hyperlink ref="L86" r:id="rId70" display="hoenisch@ldeo.columbia.edu" xr:uid="{FA4257CE-3577-134C-99CC-7CA06E154782}"/>
    <hyperlink ref="L88" r:id="rId71" display="hoenisch@ldeo.columbia.edu" xr:uid="{FF61CC8D-F615-D448-9ECE-63D46FA88B19}"/>
    <hyperlink ref="L90" r:id="rId72" display="hoenisch@ldeo.columbia.edu" xr:uid="{EEA498DF-FAD0-4544-871B-7013755C349E}"/>
    <hyperlink ref="L92" r:id="rId73" display="hoenisch@ldeo.columbia.edu" xr:uid="{B91F0139-703E-C94A-8AFE-2EE5DF2A1194}"/>
    <hyperlink ref="L61" r:id="rId74" display="hoenisch@ldeo.columbia.edu" xr:uid="{525E9FCB-383E-9644-B46A-85991CA52092}"/>
    <hyperlink ref="L63" r:id="rId75" display="hoenisch@ldeo.columbia.edu" xr:uid="{53BB341F-D80D-6143-8D62-7621B74B1673}"/>
    <hyperlink ref="L65" r:id="rId76" display="hoenisch@ldeo.columbia.edu" xr:uid="{FE007745-F7C0-2F42-BE1F-CE000CA9CB72}"/>
    <hyperlink ref="L67" r:id="rId77" display="hoenisch@ldeo.columbia.edu" xr:uid="{323B82F7-1DE7-0D4B-8F01-74A7C61DE498}"/>
    <hyperlink ref="L69" r:id="rId78" display="hoenisch@ldeo.columbia.edu" xr:uid="{43A5544E-7BC9-DD48-964F-694E951CA135}"/>
    <hyperlink ref="L71" r:id="rId79" display="hoenisch@ldeo.columbia.edu" xr:uid="{40F51E17-7F22-2049-9A66-0173B40D77F4}"/>
    <hyperlink ref="L73" r:id="rId80" display="hoenisch@ldeo.columbia.edu" xr:uid="{22DCD205-79BA-DB4C-9B59-C2A959770F6B}"/>
    <hyperlink ref="L75" r:id="rId81" display="hoenisch@ldeo.columbia.edu" xr:uid="{CC23024E-E7C6-034B-A9A2-2C0D6E0F9FEE}"/>
    <hyperlink ref="L77" r:id="rId82" display="hoenisch@ldeo.columbia.edu" xr:uid="{B9B36DF1-9802-3042-9E27-B6D978AD6263}"/>
    <hyperlink ref="L79" r:id="rId83" display="hoenisch@ldeo.columbia.edu" xr:uid="{A597079E-C5E1-F140-A964-D8C8BB25B3DC}"/>
    <hyperlink ref="L81" r:id="rId84" display="hoenisch@ldeo.columbia.edu" xr:uid="{CFBAB311-3286-004D-A1E7-294B27666F9F}"/>
    <hyperlink ref="L83" r:id="rId85" display="hoenisch@ldeo.columbia.edu" xr:uid="{F7C3D818-4244-CC4C-B3A1-118882C324B4}"/>
    <hyperlink ref="L85" r:id="rId86" display="hoenisch@ldeo.columbia.edu" xr:uid="{6F17E62B-D267-E843-A252-E44D9F25AA78}"/>
    <hyperlink ref="L87" r:id="rId87" display="hoenisch@ldeo.columbia.edu" xr:uid="{E8C1C6CE-46DD-9748-9FD4-A163958DE640}"/>
    <hyperlink ref="L89" r:id="rId88" display="hoenisch@ldeo.columbia.edu" xr:uid="{C9BB09F8-4FF1-4244-9E7E-4FB83BC1F0DE}"/>
    <hyperlink ref="L91" r:id="rId89" display="hoenisch@ldeo.columbia.edu" xr:uid="{D6F67E60-3FF4-4047-8E33-DB8316C01EC5}"/>
    <hyperlink ref="L94" r:id="rId90" display="hoenisch@ldeo.columbia.edu" xr:uid="{FCA8DCCC-42CD-2946-BB0E-804986F45B82}"/>
    <hyperlink ref="L93" r:id="rId91" display="hoenisch@ldeo.columbia.edu" xr:uid="{3095B5CA-516D-EE41-9016-785D8CD8A452}"/>
    <hyperlink ref="L96" r:id="rId92" display="hoenisch@ldeo.columbia.edu" xr:uid="{3C343068-0205-8E4F-AE92-04C2A14D20B3}"/>
    <hyperlink ref="L98" r:id="rId93" display="hoenisch@ldeo.columbia.edu" xr:uid="{28669176-A72F-EA44-AC5E-5E1579F7FB7B}"/>
    <hyperlink ref="L100" r:id="rId94" display="hoenisch@ldeo.columbia.edu" xr:uid="{4435F148-9AB9-0140-ADD0-7E7D553E2A36}"/>
    <hyperlink ref="L102" r:id="rId95" display="hoenisch@ldeo.columbia.edu" xr:uid="{EE4C0B86-10F1-7041-A055-E0E892B7AF0E}"/>
    <hyperlink ref="L104" r:id="rId96" display="hoenisch@ldeo.columbia.edu" xr:uid="{AECC89D7-C443-474D-B910-9C241FA3B0E5}"/>
    <hyperlink ref="L106" r:id="rId97" display="hoenisch@ldeo.columbia.edu" xr:uid="{57744008-08CD-B549-96FF-856AD0C313EE}"/>
    <hyperlink ref="L108" r:id="rId98" display="hoenisch@ldeo.columbia.edu" xr:uid="{FED7BD4A-691D-D144-B726-EA4F3A5261F4}"/>
    <hyperlink ref="L95" r:id="rId99" display="hoenisch@ldeo.columbia.edu" xr:uid="{986C8247-64E3-8E4F-BA05-C0AE41F98B1C}"/>
    <hyperlink ref="L97" r:id="rId100" display="hoenisch@ldeo.columbia.edu" xr:uid="{A0CB529E-985C-BE4D-83F9-137429E562E7}"/>
    <hyperlink ref="L99" r:id="rId101" display="hoenisch@ldeo.columbia.edu" xr:uid="{76BCA244-A355-354C-A940-82057306D3C3}"/>
    <hyperlink ref="L101" r:id="rId102" display="hoenisch@ldeo.columbia.edu" xr:uid="{73BEFA2D-AD6F-A440-B87B-79EFB985A287}"/>
    <hyperlink ref="L103" r:id="rId103" display="hoenisch@ldeo.columbia.edu" xr:uid="{E711CFC6-8612-CB4F-A19F-226247BC20DE}"/>
    <hyperlink ref="L105" r:id="rId104" display="hoenisch@ldeo.columbia.edu" xr:uid="{D67D4262-BEE1-5349-A065-7C1B98770FCC}"/>
    <hyperlink ref="L107" r:id="rId105" display="hoenisch@ldeo.columbia.edu" xr:uid="{9A0AE2D4-4C9F-F642-A8FE-D15C2FEDAD37}"/>
    <hyperlink ref="L109" r:id="rId106" display="hoenisch@ldeo.columbia.edu" xr:uid="{F86F7C72-A2C1-5D44-ADAF-FCC7F3CA4A87}"/>
    <hyperlink ref="L110" r:id="rId107" display="hoenisch@ldeo.columbia.edu" xr:uid="{C301E2EE-6B8A-D849-A705-3076281BF5A0}"/>
    <hyperlink ref="L111" r:id="rId108" display="hoenisch@ldeo.columbia.edu" xr:uid="{B1129E0A-E31E-A54E-8714-B8D3704AD256}"/>
    <hyperlink ref="L112" r:id="rId109" display="hoenisch@ldeo.columbia.edu" xr:uid="{2669F571-F386-474D-B1B0-4760CD94DA37}"/>
    <hyperlink ref="L113" r:id="rId110" display="hoenisch@ldeo.columbia.edu" xr:uid="{E1EBF5AA-CF9B-E14A-84FA-A6DA6F5C44E5}"/>
    <hyperlink ref="L114" r:id="rId111" display="hoenisch@ldeo.columbia.edu" xr:uid="{82DB6554-7089-1A46-9F5E-4A385EB5C14F}"/>
    <hyperlink ref="L115" r:id="rId112" display="hoenisch@ldeo.columbia.edu" xr:uid="{A5AD4C86-E314-0B4A-824C-87DCDBD00510}"/>
    <hyperlink ref="L116" r:id="rId113" display="hoenisch@ldeo.columbia.edu" xr:uid="{D017DE96-5DEF-674F-ABDA-09B42491F190}"/>
    <hyperlink ref="L117" r:id="rId114" display="hoenisch@ldeo.columbia.edu" xr:uid="{8E34D125-A464-F94E-BAAA-EFF37BE38779}"/>
    <hyperlink ref="L118" r:id="rId115" display="hoenisch@ldeo.columbia.edu" xr:uid="{8FC2E20E-A6BC-8045-B7CF-3749801F1F26}"/>
    <hyperlink ref="L119" r:id="rId116" display="hoenisch@ldeo.columbia.edu" xr:uid="{C376DE7D-EF34-3D4E-A5DE-8240174EEC48}"/>
    <hyperlink ref="L120" r:id="rId117" display="hoenisch@ldeo.columbia.edu" xr:uid="{8887BD2B-9A04-8A4A-B8A2-3984AFED662C}"/>
    <hyperlink ref="L121" r:id="rId118" display="hoenisch@ldeo.columbia.edu" xr:uid="{FA2219BA-644C-AC43-A4BE-7441FDAAF0F9}"/>
    <hyperlink ref="L122" r:id="rId119" display="hoenisch@ldeo.columbia.edu" xr:uid="{6E98EA9A-B99D-4A49-80E0-E8F8610A17D1}"/>
    <hyperlink ref="L123" r:id="rId120" display="hoenisch@ldeo.columbia.edu" xr:uid="{184FD2A2-0762-344F-9D8C-F7EDCE8EC64E}"/>
    <hyperlink ref="L124" r:id="rId121" display="hoenisch@ldeo.columbia.edu" xr:uid="{CB95908D-09C4-574C-BD8C-52C8AD2D2570}"/>
    <hyperlink ref="L125" r:id="rId122" display="hoenisch@ldeo.columbia.edu" xr:uid="{30D4E725-73F4-B249-BB36-02A194BFC504}"/>
    <hyperlink ref="L126" r:id="rId123" display="hoenisch@ldeo.columbia.edu" xr:uid="{004085C2-4CB8-1246-8371-79DDC404CBF0}"/>
    <hyperlink ref="L127" r:id="rId124" display="hoenisch@ldeo.columbia.edu" xr:uid="{38F7C6CD-818C-4D4A-B886-D78ED1AD29CA}"/>
    <hyperlink ref="L128" r:id="rId125" display="hoenisch@ldeo.columbia.edu" xr:uid="{1C72BFBF-B026-5048-9200-859960B188D7}"/>
    <hyperlink ref="L129" r:id="rId126" display="hoenisch@ldeo.columbia.edu" xr:uid="{6EB6ED7E-9DD3-3448-BCA5-0D5E3746799B}"/>
    <hyperlink ref="L130" r:id="rId127" display="hoenisch@ldeo.columbia.edu" xr:uid="{CEDE222B-DA01-0446-8563-5BF9EF3D77CA}"/>
    <hyperlink ref="L131" r:id="rId128" display="hoenisch@ldeo.columbia.edu" xr:uid="{B69937B2-2FAB-F449-BA5B-94ED5DE0EDAE}"/>
    <hyperlink ref="L132" r:id="rId129" display="hoenisch@ldeo.columbia.edu" xr:uid="{3487736C-531A-4E43-A7CB-49729FDDA1C0}"/>
    <hyperlink ref="L133" r:id="rId130" display="hoenisch@ldeo.columbia.edu" xr:uid="{DEFFDF58-F74F-E341-ADEA-E328647FF13A}"/>
    <hyperlink ref="L134" r:id="rId131" display="hoenisch@ldeo.columbia.edu" xr:uid="{37DFCEAA-CFDD-644B-8AC9-390BD0E64CAA}"/>
    <hyperlink ref="L135" r:id="rId132" display="hoenisch@ldeo.columbia.edu" xr:uid="{C573043B-7567-1743-9AEF-EE2E4F8BF9EC}"/>
    <hyperlink ref="L136" r:id="rId133" display="hoenisch@ldeo.columbia.edu" xr:uid="{48977CF1-326E-FD42-B507-DAE6C3B83B92}"/>
    <hyperlink ref="L137" r:id="rId134" display="hoenisch@ldeo.columbia.edu" xr:uid="{2A201F44-AA30-DA41-8E28-0B90B64F8D96}"/>
    <hyperlink ref="L138" r:id="rId135" display="hoenisch@ldeo.columbia.edu" xr:uid="{3A5E9745-8BF5-1945-8733-1237F88A23ED}"/>
    <hyperlink ref="L139" r:id="rId136" display="hoenisch@ldeo.columbia.edu" xr:uid="{36859CA7-5DD5-FE4A-BE9A-D1C298D0DC4B}"/>
    <hyperlink ref="L140" r:id="rId137" display="hoenisch@ldeo.columbia.edu" xr:uid="{A2812B44-91D4-074C-A457-499E5567CDD0}"/>
    <hyperlink ref="L141" r:id="rId138" display="hoenisch@ldeo.columbia.edu" xr:uid="{52FE3691-D1F6-9A44-8513-0580C93322A9}"/>
    <hyperlink ref="L142" r:id="rId139" display="hoenisch@ldeo.columbia.edu" xr:uid="{525521B0-6BDE-0744-8453-500E8B307D16}"/>
    <hyperlink ref="L143" r:id="rId140" display="hoenisch@ldeo.columbia.edu" xr:uid="{879F75D8-8276-D64B-AF1C-15CBAC23901E}"/>
    <hyperlink ref="L144" r:id="rId141" display="hoenisch@ldeo.columbia.edu" xr:uid="{50F07119-7FE2-0740-A51A-9F236BE3CA6B}"/>
    <hyperlink ref="L145" r:id="rId142" display="hoenisch@ldeo.columbia.edu" xr:uid="{5D26CDDD-BD94-0E42-9879-80C0737A57BB}"/>
    <hyperlink ref="L146" r:id="rId143" display="hoenisch@ldeo.columbia.edu" xr:uid="{5B82B9F8-1BD3-4545-95E6-B05F0290C4FF}"/>
    <hyperlink ref="L147" r:id="rId144" display="hoenisch@ldeo.columbia.edu" xr:uid="{3483210B-3CE7-384A-ABE1-A8C57272E173}"/>
    <hyperlink ref="L148" r:id="rId145" display="hoenisch@ldeo.columbia.edu" xr:uid="{9BF92A0B-EAA9-5B42-BF6D-9465019D70F8}"/>
    <hyperlink ref="L149" r:id="rId146" display="hoenisch@ldeo.columbia.edu" xr:uid="{22E53655-6B02-F04C-8F70-8900FD34055C}"/>
    <hyperlink ref="L150" r:id="rId147" display="hoenisch@ldeo.columbia.edu" xr:uid="{FD6F7EE6-E9D8-7942-815D-38547F0FACB9}"/>
    <hyperlink ref="L151" r:id="rId148" display="hoenisch@ldeo.columbia.edu" xr:uid="{DF631EE0-6371-5840-BFDF-04D943C105AF}"/>
    <hyperlink ref="L152" r:id="rId149" display="hoenisch@ldeo.columbia.edu" xr:uid="{4E624B73-BDFE-B64C-ACB2-D9751B55400E}"/>
    <hyperlink ref="L153" r:id="rId150" display="hoenisch@ldeo.columbia.edu" xr:uid="{71590724-7DCC-3948-923B-3E584A3085D2}"/>
    <hyperlink ref="L154" r:id="rId151" display="hoenisch@ldeo.columbia.edu" xr:uid="{193F105B-3A9B-BA47-B444-323CBE717A30}"/>
    <hyperlink ref="L155" r:id="rId152" display="hoenisch@ldeo.columbia.edu" xr:uid="{F039037F-7048-154A-991B-8DD4049CD064}"/>
    <hyperlink ref="L156" r:id="rId153" display="hoenisch@ldeo.columbia.edu" xr:uid="{B5B8FEEE-F3F6-FD4D-A624-CDAECB480349}"/>
    <hyperlink ref="L157" r:id="rId154" display="hoenisch@ldeo.columbia.edu" xr:uid="{C2C94B77-7356-7F4C-822B-380AC314F46F}"/>
    <hyperlink ref="L158" r:id="rId155" display="hoenisch@ldeo.columbia.edu" xr:uid="{8B698238-9941-2A4A-8AAD-260F3C73DCF5}"/>
    <hyperlink ref="L159" r:id="rId156" display="hoenisch@ldeo.columbia.edu" xr:uid="{262532EB-3453-254A-B2F2-3B9572F0C8C4}"/>
    <hyperlink ref="L160" r:id="rId157" display="hoenisch@ldeo.columbia.edu" xr:uid="{0E39F7E5-4057-5B4F-88FA-572D51ADD571}"/>
    <hyperlink ref="L161" r:id="rId158" display="hoenisch@ldeo.columbia.edu" xr:uid="{AB97DF46-3DA5-3347-98B4-05C3F256FA12}"/>
    <hyperlink ref="L162" r:id="rId159" display="hoenisch@ldeo.columbia.edu" xr:uid="{FA4085A8-61A9-2F45-9043-120C13459CB5}"/>
    <hyperlink ref="L163" r:id="rId160" display="hoenisch@ldeo.columbia.edu" xr:uid="{42999794-A4CB-274E-BF19-F199E4C30F85}"/>
    <hyperlink ref="L164" r:id="rId161" display="hoenisch@ldeo.columbia.edu" xr:uid="{8AE23F0E-E53A-2C49-8D89-6FBF7A69A67E}"/>
    <hyperlink ref="L165" r:id="rId162" display="hoenisch@ldeo.columbia.edu" xr:uid="{7EB5D392-0944-E047-B5A9-7781B01354CF}"/>
    <hyperlink ref="L166" r:id="rId163" display="hoenisch@ldeo.columbia.edu" xr:uid="{B5989968-0E1D-FE4E-83BB-4D6C9CBC489A}"/>
    <hyperlink ref="L167" r:id="rId164" display="hoenisch@ldeo.columbia.edu" xr:uid="{3C07C223-3BA0-7C4F-AA4D-EB2CD17097C4}"/>
    <hyperlink ref="L168" r:id="rId165" display="hoenisch@ldeo.columbia.edu" xr:uid="{AE7AFD2A-195E-494E-8678-BBFF1499FC3F}"/>
    <hyperlink ref="L169" r:id="rId166" display="hoenisch@ldeo.columbia.edu" xr:uid="{9C14401B-B280-4F48-9217-C736F478A2F5}"/>
    <hyperlink ref="L170" r:id="rId167" display="hoenisch@ldeo.columbia.edu" xr:uid="{91930425-3A9D-2344-9EA4-9C541DEA6BF0}"/>
    <hyperlink ref="L171" r:id="rId168" display="hoenisch@ldeo.columbia.edu" xr:uid="{21A6A2CE-A748-1847-A4B7-842F2B9ACDF1}"/>
    <hyperlink ref="L172" r:id="rId169" display="hoenisch@ldeo.columbia.edu" xr:uid="{0B62B6E4-316D-9F44-8F76-4CF5EAD0B491}"/>
    <hyperlink ref="L173" r:id="rId170" display="hoenisch@ldeo.columbia.edu" xr:uid="{060FDD7A-1546-1F4E-961C-E4A186647555}"/>
    <hyperlink ref="L174" r:id="rId171" display="hoenisch@ldeo.columbia.edu" xr:uid="{A627F9ED-765B-764F-AE56-30B5820572E5}"/>
    <hyperlink ref="L175" r:id="rId172" display="hoenisch@ldeo.columbia.edu" xr:uid="{F83BE9B4-0BB2-3E46-B38F-ECB0444EC2BC}"/>
    <hyperlink ref="L176" r:id="rId173" display="hoenisch@ldeo.columbia.edu" xr:uid="{73FBD755-CD9F-E24E-A3EC-69E3F0617344}"/>
    <hyperlink ref="L177" r:id="rId174" display="hoenisch@ldeo.columbia.edu" xr:uid="{7A16E686-3840-7144-9940-0F0588262A2A}"/>
    <hyperlink ref="L178" r:id="rId175" display="hoenisch@ldeo.columbia.edu" xr:uid="{AC9987E9-81EE-9546-AB0B-84132A54CA7E}"/>
    <hyperlink ref="L179" r:id="rId176" display="hoenisch@ldeo.columbia.edu" xr:uid="{B8B5126C-8F76-B74A-81A9-637E7AB7A09F}"/>
    <hyperlink ref="L180" r:id="rId177" display="hoenisch@ldeo.columbia.edu" xr:uid="{B70AF1E0-0BB4-7B4D-B801-D41A3940DAB3}"/>
    <hyperlink ref="L181" r:id="rId178" display="hoenisch@ldeo.columbia.edu" xr:uid="{2B2FFF5F-D68B-7E40-8060-3C5B4B007F39}"/>
    <hyperlink ref="L182" r:id="rId179" display="hoenisch@ldeo.columbia.edu" xr:uid="{AB8CE627-6C23-0147-9691-B2B347E8C444}"/>
    <hyperlink ref="L183" r:id="rId180" display="hoenisch@ldeo.columbia.edu" xr:uid="{97597C38-1166-C641-B978-9D85E9CBA5FC}"/>
    <hyperlink ref="L184" r:id="rId181" display="hoenisch@ldeo.columbia.edu" xr:uid="{8B721AC3-55F6-CD4A-AA92-9EAC024306FC}"/>
    <hyperlink ref="L185" r:id="rId182" display="hoenisch@ldeo.columbia.edu" xr:uid="{128D1ECF-1596-CC4D-83BA-81968ECDA479}"/>
    <hyperlink ref="L186" r:id="rId183" display="hoenisch@ldeo.columbia.edu" xr:uid="{5CE1CFB5-146F-6E42-B85F-664825D68276}"/>
    <hyperlink ref="L187" r:id="rId184" display="hoenisch@ldeo.columbia.edu" xr:uid="{DFD43F23-3373-024A-8423-896508049C32}"/>
    <hyperlink ref="L188" r:id="rId185" display="hoenisch@ldeo.columbia.edu" xr:uid="{96DBCE5B-BCCC-2848-9F5C-EA0BA84BA2D1}"/>
    <hyperlink ref="L189" r:id="rId186" display="hoenisch@ldeo.columbia.edu" xr:uid="{96EB69DA-8E21-C941-AC86-65D75660B3F6}"/>
    <hyperlink ref="L190" r:id="rId187" display="hoenisch@ldeo.columbia.edu" xr:uid="{AD6E972B-3A82-D443-BB0D-051ED8E945FE}"/>
    <hyperlink ref="L191" r:id="rId188" display="hoenisch@ldeo.columbia.edu" xr:uid="{400E7304-35D1-8940-87DC-EF90AE089DEB}"/>
    <hyperlink ref="L192" r:id="rId189" display="hoenisch@ldeo.columbia.edu" xr:uid="{E1F76B51-9703-A44A-BAA5-B1C5A6C579D4}"/>
    <hyperlink ref="L193" r:id="rId190" display="hoenisch@ldeo.columbia.edu" xr:uid="{848E0BA1-1B2D-D140-9E67-68D2F33F35F5}"/>
    <hyperlink ref="L194" r:id="rId191" display="hoenisch@ldeo.columbia.edu" xr:uid="{B82E128D-DB75-654E-BAA7-32E8E1FF2DF7}"/>
    <hyperlink ref="L195" r:id="rId192" display="hoenisch@ldeo.columbia.edu" xr:uid="{4813B6AA-CC45-BB48-8315-9DF5A6236365}"/>
    <hyperlink ref="L196" r:id="rId193" display="hoenisch@ldeo.columbia.edu" xr:uid="{B3778D8E-A688-864D-A715-BA6CD53957EE}"/>
    <hyperlink ref="L197" r:id="rId194" display="hoenisch@ldeo.columbia.edu" xr:uid="{460670C5-B8CA-A140-BA9A-810F09C822B6}"/>
    <hyperlink ref="L198" r:id="rId195" display="hoenisch@ldeo.columbia.edu" xr:uid="{36950863-041C-9743-BF12-615724501CC4}"/>
    <hyperlink ref="L199" r:id="rId196" display="hoenisch@ldeo.columbia.edu" xr:uid="{573A70D0-32B3-414F-8035-DF10FE5FA507}"/>
    <hyperlink ref="L200" r:id="rId197" display="hoenisch@ldeo.columbia.edu" xr:uid="{3A0E13A2-E7FF-6E4B-BC62-FFAB38989CB0}"/>
    <hyperlink ref="L201" r:id="rId198" display="hoenisch@ldeo.columbia.edu" xr:uid="{FE337B25-B3E2-A640-A30D-DF044150BC03}"/>
    <hyperlink ref="L202" r:id="rId199" display="hoenisch@ldeo.columbia.edu" xr:uid="{40EBC138-2AB6-924A-B69A-2DFA3FBDADD6}"/>
    <hyperlink ref="L203" r:id="rId200" display="hoenisch@ldeo.columbia.edu" xr:uid="{1305FA85-AA96-7448-890F-F70238DCCA3C}"/>
    <hyperlink ref="L204" r:id="rId201" display="hoenisch@ldeo.columbia.edu" xr:uid="{644133AE-E0D9-0848-851C-89E29A57CD27}"/>
    <hyperlink ref="L205" r:id="rId202" display="hoenisch@ldeo.columbia.edu" xr:uid="{7E7853EC-4F26-904B-B704-19CF61F6158D}"/>
    <hyperlink ref="L206" r:id="rId203" display="hoenisch@ldeo.columbia.edu" xr:uid="{C722F7C7-99AE-EC47-92C0-8AF342908267}"/>
    <hyperlink ref="L207" r:id="rId204" display="hoenisch@ldeo.columbia.edu" xr:uid="{20C4504F-0492-8849-A4AE-4CACC2D9631D}"/>
    <hyperlink ref="L208" r:id="rId205" display="hoenisch@ldeo.columbia.edu" xr:uid="{D3F10B15-C694-2D4C-A359-0AD079339DF3}"/>
    <hyperlink ref="L209" r:id="rId206" display="hoenisch@ldeo.columbia.edu" xr:uid="{7E0767FE-0786-0542-A561-87482CF41A28}"/>
    <hyperlink ref="L210" r:id="rId207" display="hoenisch@ldeo.columbia.edu" xr:uid="{423EF644-7AE4-2F44-833A-059C528EC792}"/>
    <hyperlink ref="L211" r:id="rId208" display="hoenisch@ldeo.columbia.edu" xr:uid="{233ECCF0-642D-3747-91C0-46EE05AB75AB}"/>
    <hyperlink ref="L212" r:id="rId209" display="hoenisch@ldeo.columbia.edu" xr:uid="{FCD0A9E1-147D-214E-B5AB-6477E161F868}"/>
    <hyperlink ref="L213" r:id="rId210" display="hoenisch@ldeo.columbia.edu" xr:uid="{98B71A83-19B8-E44A-A196-60B03F9D13F2}"/>
    <hyperlink ref="L214" r:id="rId211" display="hoenisch@ldeo.columbia.edu" xr:uid="{DB24F0B2-3DD5-7E4C-9463-F057E2C1BB6F}"/>
    <hyperlink ref="L215" r:id="rId212" display="hoenisch@ldeo.columbia.edu" xr:uid="{FFBAEA96-6D8C-E44E-9369-3E9A04DDD83D}"/>
    <hyperlink ref="L216" r:id="rId213" display="hoenisch@ldeo.columbia.edu" xr:uid="{C02D30E5-0BDA-4D4B-BCF2-7C24FAD1E66C}"/>
    <hyperlink ref="L217" r:id="rId214" display="hoenisch@ldeo.columbia.edu" xr:uid="{4972A613-F2BA-6A4D-806F-E3135DCB339D}"/>
    <hyperlink ref="L218" r:id="rId215" display="hoenisch@ldeo.columbia.edu" xr:uid="{9C279E65-9FF1-2344-AF87-F415105B5534}"/>
    <hyperlink ref="L219" r:id="rId216" display="hoenisch@ldeo.columbia.edu" xr:uid="{0669A0CD-BAFE-5A45-A861-32F41A569FDF}"/>
    <hyperlink ref="L220" r:id="rId217" display="hoenisch@ldeo.columbia.edu" xr:uid="{CEEAAAF0-7B5A-0440-83B6-261DBEA055DE}"/>
    <hyperlink ref="L221" r:id="rId218" display="hoenisch@ldeo.columbia.edu" xr:uid="{576BD2BC-3765-4742-B40A-109CD1C8B403}"/>
    <hyperlink ref="L222" r:id="rId219" display="hoenisch@ldeo.columbia.edu" xr:uid="{1E7A037D-1DFC-2E4C-B5AB-75143A1E4FA3}"/>
    <hyperlink ref="L223" r:id="rId220" display="hoenisch@ldeo.columbia.edu" xr:uid="{FBE8642F-9BAC-7846-B2DD-7942B5EE33E7}"/>
    <hyperlink ref="L224" r:id="rId221" display="hoenisch@ldeo.columbia.edu" xr:uid="{682BB587-0821-9045-8C7F-8E800B5169C1}"/>
    <hyperlink ref="L225" r:id="rId222" display="hoenisch@ldeo.columbia.edu" xr:uid="{C7F69153-8D65-3D4C-8751-2FED1DE24617}"/>
    <hyperlink ref="L226" r:id="rId223" display="hoenisch@ldeo.columbia.edu" xr:uid="{B0D195AC-1A27-5D4C-9B54-F56861A16147}"/>
    <hyperlink ref="L227" r:id="rId224" display="hoenisch@ldeo.columbia.edu" xr:uid="{FB96D961-9FEE-BF4E-8E7F-187877E67FBE}"/>
    <hyperlink ref="L228" r:id="rId225" display="hoenisch@ldeo.columbia.edu" xr:uid="{7F01AEEC-615E-C74C-B720-1A910E2FE7DC}"/>
    <hyperlink ref="L229" r:id="rId226" display="hoenisch@ldeo.columbia.edu" xr:uid="{84A4D6A8-0F1F-3D40-B878-ACCBD0C7927B}"/>
    <hyperlink ref="L230" r:id="rId227" display="hoenisch@ldeo.columbia.edu" xr:uid="{B3718121-4CB1-304D-90E6-A3F89BF30355}"/>
    <hyperlink ref="L231" r:id="rId228" display="hoenisch@ldeo.columbia.edu" xr:uid="{5C49B1AA-5711-2849-A86D-8633620E07D7}"/>
    <hyperlink ref="L232" r:id="rId229" display="hoenisch@ldeo.columbia.edu" xr:uid="{6CD85B75-9B5B-CE40-A4EC-2EAA68DA28AC}"/>
    <hyperlink ref="L233" r:id="rId230" display="hoenisch@ldeo.columbia.edu" xr:uid="{C321FA50-4152-F349-B795-842FDF11975B}"/>
    <hyperlink ref="L234" r:id="rId231" display="hoenisch@ldeo.columbia.edu" xr:uid="{68C45E05-F43F-0042-8273-A3A376218411}"/>
    <hyperlink ref="L235" r:id="rId232" display="hoenisch@ldeo.columbia.edu" xr:uid="{73AC7A31-FBBC-BC4F-BBAF-DDF6C0DEC328}"/>
    <hyperlink ref="L236" r:id="rId233" display="hoenisch@ldeo.columbia.edu" xr:uid="{5332D6BB-F766-0F4E-9D8A-96209AAEB344}"/>
    <hyperlink ref="L237" r:id="rId234" display="hoenisch@ldeo.columbia.edu" xr:uid="{566A13E6-002C-8645-B16C-0FF7DA8F85FD}"/>
    <hyperlink ref="L238" r:id="rId235" display="hoenisch@ldeo.columbia.edu" xr:uid="{529D36E2-1DBE-194F-81B5-C74637F58C63}"/>
    <hyperlink ref="L239" r:id="rId236" display="hoenisch@ldeo.columbia.edu" xr:uid="{A52E82EF-A3AE-5746-A56D-7EC8BE1A7DBD}"/>
    <hyperlink ref="L240" r:id="rId237" display="hoenisch@ldeo.columbia.edu" xr:uid="{45F0638A-00AE-324F-B843-1337882CAF0D}"/>
    <hyperlink ref="L241" r:id="rId238" display="hoenisch@ldeo.columbia.edu" xr:uid="{D8EDCABD-BB47-9448-977E-C22E79AFEDCE}"/>
    <hyperlink ref="L242" r:id="rId239" display="hoenisch@ldeo.columbia.edu" xr:uid="{56F686B8-4151-FF4F-AC39-DB9EEECB189C}"/>
    <hyperlink ref="L243" r:id="rId240" display="hoenisch@ldeo.columbia.edu" xr:uid="{27EA4D90-7FB2-164E-802A-171E098C77D5}"/>
    <hyperlink ref="L244" r:id="rId241" display="hoenisch@ldeo.columbia.edu" xr:uid="{353D4CE1-8E6B-494B-B81E-DA56656DBB4E}"/>
    <hyperlink ref="L245" r:id="rId242" display="hoenisch@ldeo.columbia.edu" xr:uid="{74085C3D-98AB-3046-A87B-FD171D12AC4C}"/>
    <hyperlink ref="L246" r:id="rId243" display="hoenisch@ldeo.columbia.edu" xr:uid="{F6CF5AEF-0C17-714A-9555-44BC14534F26}"/>
    <hyperlink ref="L247" r:id="rId244" display="hoenisch@ldeo.columbia.edu" xr:uid="{638ADCE8-86E4-0F4F-B73F-AD4DB20501BE}"/>
    <hyperlink ref="L248" r:id="rId245" display="hoenisch@ldeo.columbia.edu" xr:uid="{855A07AA-558D-BB44-9D81-BBA7A793CF14}"/>
    <hyperlink ref="L249" r:id="rId246" display="hoenisch@ldeo.columbia.edu" xr:uid="{A8DF2467-A843-EF4F-AA2B-13D83D29D417}"/>
    <hyperlink ref="L250" r:id="rId247" display="hoenisch@ldeo.columbia.edu" xr:uid="{33F5451C-1AF2-314C-864A-B9E4CB70340A}"/>
    <hyperlink ref="L251" r:id="rId248" display="hoenisch@ldeo.columbia.edu" xr:uid="{80A64301-75B6-B542-B343-7E8F3932A7BC}"/>
    <hyperlink ref="L252" r:id="rId249" display="hoenisch@ldeo.columbia.edu" xr:uid="{D0249A55-F012-7246-8B28-540602E93FE5}"/>
    <hyperlink ref="L253" r:id="rId250" display="hoenisch@ldeo.columbia.edu" xr:uid="{87BD17F4-0894-5046-8383-96182E7C02AE}"/>
    <hyperlink ref="L254" r:id="rId251" display="hoenisch@ldeo.columbia.edu" xr:uid="{C560CBD0-E710-DD43-B6B0-BE7D5A84159A}"/>
    <hyperlink ref="L255" r:id="rId252" display="hoenisch@ldeo.columbia.edu" xr:uid="{C2C98CE8-B661-BF46-9C07-364EB8B8A391}"/>
    <hyperlink ref="L256" r:id="rId253" display="hoenisch@ldeo.columbia.edu" xr:uid="{E6AD8B74-1BDA-ED49-B396-7A85E5D2B538}"/>
    <hyperlink ref="L257" r:id="rId254" display="hoenisch@ldeo.columbia.edu" xr:uid="{9C29B2E7-5445-844E-8C9C-24B48DE499F4}"/>
    <hyperlink ref="L258" r:id="rId255" display="hoenisch@ldeo.columbia.edu" xr:uid="{FA421785-AFA4-4D42-9947-58E850AD8C2F}"/>
    <hyperlink ref="L259" r:id="rId256" display="hoenisch@ldeo.columbia.edu" xr:uid="{6B8D67EF-0F11-8F41-838A-391562E2D811}"/>
    <hyperlink ref="L260" r:id="rId257" display="hoenisch@ldeo.columbia.edu" xr:uid="{FDA7EB7E-7B97-FA41-A766-5593C24AB915}"/>
    <hyperlink ref="L261" r:id="rId258" display="hoenisch@ldeo.columbia.edu" xr:uid="{B32C385D-C3D7-C840-BAB8-12D9A3E07F22}"/>
    <hyperlink ref="L262" r:id="rId259" display="hoenisch@ldeo.columbia.edu" xr:uid="{49BB1D16-6F23-0F4B-B600-F88F3921D615}"/>
    <hyperlink ref="L263" r:id="rId260" display="hoenisch@ldeo.columbia.edu" xr:uid="{6B462EDF-D165-3943-8916-85A19017E54B}"/>
    <hyperlink ref="L264" r:id="rId261" display="hoenisch@ldeo.columbia.edu" xr:uid="{F131A2E9-48B9-BE4D-BE75-CCB12007E3F5}"/>
    <hyperlink ref="L265" r:id="rId262" display="hoenisch@ldeo.columbia.edu" xr:uid="{B91DCCBC-B8DD-884A-80AE-012CD936BF29}"/>
    <hyperlink ref="L266" r:id="rId263" display="hoenisch@ldeo.columbia.edu" xr:uid="{D39CD407-3748-C34A-B68B-D763D39A951B}"/>
    <hyperlink ref="L267" r:id="rId264" display="hoenisch@ldeo.columbia.edu" xr:uid="{9D1E825E-DE4F-5F45-A467-FD26D5BAA4D3}"/>
    <hyperlink ref="L268" r:id="rId265" display="hoenisch@ldeo.columbia.edu" xr:uid="{E814B2C0-A895-F44A-89EA-163EDF27C338}"/>
    <hyperlink ref="L269" r:id="rId266" display="hoenisch@ldeo.columbia.edu" xr:uid="{121FB172-DA35-584B-9BED-CE47B8B87062}"/>
    <hyperlink ref="L270" r:id="rId267" display="hoenisch@ldeo.columbia.edu" xr:uid="{83705922-436D-DD4D-BBAB-D5A90746045C}"/>
    <hyperlink ref="L271" r:id="rId268" display="hoenisch@ldeo.columbia.edu" xr:uid="{756EBCEA-F4FA-6B42-AFDE-6201E2FE5084}"/>
    <hyperlink ref="L272" r:id="rId269" display="hoenisch@ldeo.columbia.edu" xr:uid="{7F3D56D9-8A34-3446-B086-8D0EDF1FFE6F}"/>
    <hyperlink ref="L273" r:id="rId270" display="hoenisch@ldeo.columbia.edu" xr:uid="{0A728CBA-B38F-D746-9F28-6AA71730E7E4}"/>
    <hyperlink ref="L274" r:id="rId271" display="hoenisch@ldeo.columbia.edu" xr:uid="{38D6D4E8-23E5-E843-B047-84B9C79B83EC}"/>
    <hyperlink ref="L275" r:id="rId272" display="hoenisch@ldeo.columbia.edu" xr:uid="{B7F91BAE-2DB2-2442-8528-259AAD8D60E9}"/>
    <hyperlink ref="L276" r:id="rId273" display="hoenisch@ldeo.columbia.edu" xr:uid="{F0F9F4AC-92E4-E847-BB50-675957700759}"/>
    <hyperlink ref="L277" r:id="rId274" display="hoenisch@ldeo.columbia.edu" xr:uid="{74CEB10D-8F40-C04D-9871-CF9EE9F40560}"/>
    <hyperlink ref="L278" r:id="rId275" display="hoenisch@ldeo.columbia.edu" xr:uid="{F7E5B598-A24F-1643-AE75-5B169633A4D1}"/>
    <hyperlink ref="L279" r:id="rId276" display="hoenisch@ldeo.columbia.edu" xr:uid="{D52A8CAF-9F72-4B45-8A90-8384AC8D2C10}"/>
    <hyperlink ref="L280" r:id="rId277" display="hoenisch@ldeo.columbia.edu" xr:uid="{873B5EE1-889A-4D42-BFB4-7EFA88388505}"/>
    <hyperlink ref="L281" r:id="rId278" display="hoenisch@ldeo.columbia.edu" xr:uid="{BD7294ED-03D6-EB40-9883-F208D1E83BC3}"/>
    <hyperlink ref="L282" r:id="rId279" display="hoenisch@ldeo.columbia.edu" xr:uid="{11D51381-D23C-CE49-9846-AC8F32B32CAA}"/>
    <hyperlink ref="L283" r:id="rId280" display="hoenisch@ldeo.columbia.edu" xr:uid="{A328EF8C-6636-404C-B982-92966CC2EAE1}"/>
    <hyperlink ref="L284" r:id="rId281" display="hoenisch@ldeo.columbia.edu" xr:uid="{24CD978A-12CC-A042-86E2-717FBE7992EE}"/>
    <hyperlink ref="L285" r:id="rId282" display="hoenisch@ldeo.columbia.edu" xr:uid="{0C5FFBC8-FEE2-7947-A695-580619A383D9}"/>
    <hyperlink ref="L286" r:id="rId283" display="hoenisch@ldeo.columbia.edu" xr:uid="{B0FB7A18-6980-1E40-A65D-ADBD2BA4799B}"/>
    <hyperlink ref="L287" r:id="rId284" display="hoenisch@ldeo.columbia.edu" xr:uid="{7F4E9522-8624-7747-B5AA-1E1D01C689C6}"/>
    <hyperlink ref="L288" r:id="rId285" display="hoenisch@ldeo.columbia.edu" xr:uid="{DCE5599B-8742-184D-BCCD-BD98B4E87DB3}"/>
    <hyperlink ref="L289" r:id="rId286" display="hoenisch@ldeo.columbia.edu" xr:uid="{C04AF862-0CDB-E64B-B40F-47882568EE3B}"/>
    <hyperlink ref="L290" r:id="rId287" display="hoenisch@ldeo.columbia.edu" xr:uid="{0AABBF8B-5E02-DF4D-8637-41E1CE74C343}"/>
    <hyperlink ref="L291" r:id="rId288" display="hoenisch@ldeo.columbia.edu" xr:uid="{FE190920-F7B5-2D4C-AB8E-A308B0420978}"/>
    <hyperlink ref="L292" r:id="rId289" display="hoenisch@ldeo.columbia.edu" xr:uid="{9DC442A9-393E-174C-BE00-8D01166C25F9}"/>
    <hyperlink ref="FT109" r:id="rId290" display="https://doi.org/10.1073/pnas.1702143114" xr:uid="{12D5368F-E4E7-E943-9CF3-5521F211FE41}"/>
    <hyperlink ref="FT110" r:id="rId291" display="https://doi.org/10.1073/pnas.1702143114" xr:uid="{D156C2ED-4793-AF46-AB31-532586DC6392}"/>
    <hyperlink ref="FT111" r:id="rId292" display="https://doi.org/10.1073/pnas.1702143114" xr:uid="{EF876571-9917-5F4F-B854-74DC32023ED9}"/>
    <hyperlink ref="FT113" r:id="rId293" display="https://doi.org/10.1073/pnas.1702143114" xr:uid="{A3058814-EF5F-724D-877E-66AB9A9DF115}"/>
    <hyperlink ref="FT115" r:id="rId294" display="https://doi.org/10.1073/pnas.1702143114" xr:uid="{578CD0D3-0B5F-FC4B-A2B9-E40AA471CAF3}"/>
    <hyperlink ref="FT117" r:id="rId295" display="https://doi.org/10.1073/pnas.1702143114" xr:uid="{7A9BC9AC-EBEF-664B-BF91-FCF64DC2042D}"/>
    <hyperlink ref="FT119" r:id="rId296" display="https://doi.org/10.1073/pnas.1702143114" xr:uid="{58FA7288-C296-8D46-AB76-95C3FDC0CE91}"/>
    <hyperlink ref="FT121" r:id="rId297" display="https://doi.org/10.1073/pnas.1702143114" xr:uid="{A3572C5E-F312-EE47-8D9E-8721E1D123DE}"/>
    <hyperlink ref="FT123" r:id="rId298" display="https://doi.org/10.1073/pnas.1702143114" xr:uid="{4C0973A2-5E02-874C-BAC8-50A24D41A500}"/>
    <hyperlink ref="FT125" r:id="rId299" display="https://doi.org/10.1073/pnas.1702143114" xr:uid="{80FBED4C-1EB1-6243-880A-83021ED3BD43}"/>
    <hyperlink ref="FT127" r:id="rId300" display="https://doi.org/10.1073/pnas.1702143114" xr:uid="{A693C5E0-C96D-2F42-8280-EDC3876A3FB9}"/>
    <hyperlink ref="FT129" r:id="rId301" display="https://doi.org/10.1073/pnas.1702143114" xr:uid="{30EECB81-86E6-0541-872C-E57771793B60}"/>
    <hyperlink ref="FT131" r:id="rId302" display="https://doi.org/10.1073/pnas.1702143114" xr:uid="{2FAC2904-00BD-6144-AFA6-00E2C979931A}"/>
    <hyperlink ref="FT133" r:id="rId303" display="https://doi.org/10.1073/pnas.1702143114" xr:uid="{C2E36645-C23B-FA43-8996-09B33C1DACEE}"/>
    <hyperlink ref="FT135" r:id="rId304" display="https://doi.org/10.1073/pnas.1702143114" xr:uid="{F431B6FF-0835-BB4F-841B-D9378F5242E6}"/>
    <hyperlink ref="FT137" r:id="rId305" display="https://doi.org/10.1073/pnas.1702143114" xr:uid="{30D6B9BB-D913-3147-994D-E99E39466D50}"/>
    <hyperlink ref="FT139" r:id="rId306" display="https://doi.org/10.1073/pnas.1702143114" xr:uid="{9778EE18-6EAD-9C49-A633-93791F6B01E9}"/>
    <hyperlink ref="FT141" r:id="rId307" display="https://doi.org/10.1073/pnas.1702143114" xr:uid="{5CD3BC71-23A0-824E-A645-CC7786CE3D8C}"/>
    <hyperlink ref="FT143" r:id="rId308" display="https://doi.org/10.1073/pnas.1702143114" xr:uid="{8CBE0DF8-00B0-6148-8698-182BFD152C5B}"/>
    <hyperlink ref="FT145" r:id="rId309" display="https://doi.org/10.1073/pnas.1702143114" xr:uid="{379C43B3-9EC8-9B45-B187-FCF9D8695CFA}"/>
    <hyperlink ref="FT147" r:id="rId310" display="https://doi.org/10.1073/pnas.1702143114" xr:uid="{0EC331D4-B884-1448-B5A2-88541B7B10A7}"/>
    <hyperlink ref="FT149" r:id="rId311" display="https://doi.org/10.1073/pnas.1702143114" xr:uid="{E7E40D2E-4483-474F-9D37-8447C7BA4167}"/>
    <hyperlink ref="FT151" r:id="rId312" display="https://doi.org/10.1073/pnas.1702143114" xr:uid="{35F49790-5587-C94A-96AA-31F0323995FD}"/>
    <hyperlink ref="FT153" r:id="rId313" display="https://doi.org/10.1073/pnas.1702143114" xr:uid="{F7718263-306F-F04B-92EE-7A9F2DFF680B}"/>
    <hyperlink ref="FT155" r:id="rId314" display="https://doi.org/10.1073/pnas.1702143114" xr:uid="{293DA168-12C0-DA46-8D50-087937005A1E}"/>
    <hyperlink ref="FT157" r:id="rId315" display="https://doi.org/10.1073/pnas.1702143114" xr:uid="{32D6CFBF-B4CD-5946-A975-D7CB6E7FB428}"/>
    <hyperlink ref="FT159" r:id="rId316" display="https://doi.org/10.1073/pnas.1702143114" xr:uid="{484AED22-C1FF-DF45-A070-CD773EBC27DA}"/>
    <hyperlink ref="FT161" r:id="rId317" display="https://doi.org/10.1073/pnas.1702143114" xr:uid="{78A365D1-3145-CC47-A6ED-D84DEE117ED4}"/>
    <hyperlink ref="FT163" r:id="rId318" display="https://doi.org/10.1073/pnas.1702143114" xr:uid="{617D90B1-1520-634B-B25F-6310BB1A83F2}"/>
    <hyperlink ref="FT165" r:id="rId319" display="https://doi.org/10.1073/pnas.1702143114" xr:uid="{8A70E13F-BDCD-1D4C-816E-8DF7A4F0C6A8}"/>
    <hyperlink ref="FT167" r:id="rId320" display="https://doi.org/10.1073/pnas.1702143114" xr:uid="{2E4CDAE0-2446-C241-9E5E-08168ACE3316}"/>
    <hyperlink ref="FT169" r:id="rId321" display="https://doi.org/10.1073/pnas.1702143114" xr:uid="{71809283-611A-4B42-86A2-CCEA0C4F4726}"/>
    <hyperlink ref="FT171" r:id="rId322" display="https://doi.org/10.1073/pnas.1702143114" xr:uid="{4D999543-0A87-6448-935B-A1BAA1D7D6F1}"/>
    <hyperlink ref="FT173" r:id="rId323" display="https://doi.org/10.1073/pnas.1702143114" xr:uid="{3D4A622B-D3D2-4B49-BDCA-194958630B3D}"/>
    <hyperlink ref="FT175" r:id="rId324" display="https://doi.org/10.1073/pnas.1702143114" xr:uid="{04B4161C-F09D-F443-B79B-4EC6D18A25E1}"/>
    <hyperlink ref="FT177" r:id="rId325" display="https://doi.org/10.1073/pnas.1702143114" xr:uid="{19428B67-A519-4A43-9A58-64B0850321EB}"/>
    <hyperlink ref="FT179" r:id="rId326" display="https://doi.org/10.1073/pnas.1702143114" xr:uid="{1E36C2D2-09B3-FA40-A9AB-C7F2403A2D2F}"/>
    <hyperlink ref="FT181" r:id="rId327" display="https://doi.org/10.1073/pnas.1702143114" xr:uid="{8BC821D8-4CF9-CA48-9ED8-32CD54DC6284}"/>
    <hyperlink ref="FT183" r:id="rId328" display="https://doi.org/10.1073/pnas.1702143114" xr:uid="{D551BFE9-D9F6-2C4A-99B5-94580B1B0AA3}"/>
    <hyperlink ref="FT185" r:id="rId329" display="https://doi.org/10.1073/pnas.1702143114" xr:uid="{B6F986AE-9491-D04E-8ED9-2C60A9EBB3D7}"/>
    <hyperlink ref="FT187" r:id="rId330" display="https://doi.org/10.1073/pnas.1702143114" xr:uid="{3A159B03-4206-D54B-A054-9C8746C25501}"/>
    <hyperlink ref="FT189" r:id="rId331" display="https://doi.org/10.1073/pnas.1702143114" xr:uid="{21816A3F-200E-AD47-84F9-4943DA69BBBF}"/>
    <hyperlink ref="FT191" r:id="rId332" display="https://doi.org/10.1073/pnas.1702143114" xr:uid="{998DF5A6-FB85-4C41-9F69-93125046574E}"/>
    <hyperlink ref="FT193" r:id="rId333" display="https://doi.org/10.1073/pnas.1702143114" xr:uid="{1EF40F7D-6DFA-EF4C-A96F-B8D0C500EED4}"/>
    <hyperlink ref="FT195" r:id="rId334" display="https://doi.org/10.1073/pnas.1702143114" xr:uid="{9B23CB3A-15C7-3C40-BEEA-FB4E5DD6CE93}"/>
    <hyperlink ref="FT197" r:id="rId335" display="https://doi.org/10.1073/pnas.1702143114" xr:uid="{D084C102-C26B-C74E-84FC-54FDDBA9C349}"/>
    <hyperlink ref="FT199" r:id="rId336" display="https://doi.org/10.1073/pnas.1702143114" xr:uid="{B72B4050-A3EF-C043-97C8-DADDF9520A18}"/>
    <hyperlink ref="FT201" r:id="rId337" display="https://doi.org/10.1073/pnas.1702143114" xr:uid="{F1411D48-AADB-CE4C-A868-6829259DF893}"/>
    <hyperlink ref="FT203" r:id="rId338" display="https://doi.org/10.1073/pnas.1702143114" xr:uid="{DCCB1B14-FB8A-3C46-9260-98D0BBA4CF6B}"/>
    <hyperlink ref="FT205" r:id="rId339" display="https://doi.org/10.1073/pnas.1702143114" xr:uid="{3DD59E9B-1B68-184B-B237-80A009C3FB1E}"/>
    <hyperlink ref="FT207" r:id="rId340" display="https://doi.org/10.1073/pnas.1702143114" xr:uid="{149559A1-51AB-DF42-9F84-CB7E1F44A162}"/>
    <hyperlink ref="FT209" r:id="rId341" display="https://doi.org/10.1073/pnas.1702143114" xr:uid="{CB8A6033-B8D7-794F-9D7E-4212ECE75392}"/>
    <hyperlink ref="FT211" r:id="rId342" display="https://doi.org/10.1073/pnas.1702143114" xr:uid="{8A155D1B-5D1A-2D43-95D6-121F3E7A99A8}"/>
    <hyperlink ref="FT213" r:id="rId343" display="https://doi.org/10.1073/pnas.1702143114" xr:uid="{07E72ED7-99DE-4B46-86E4-678B7817ED27}"/>
    <hyperlink ref="FT215" r:id="rId344" display="https://doi.org/10.1073/pnas.1702143114" xr:uid="{575EFF90-C3CE-3147-8EAA-A3B8B43FC0E1}"/>
    <hyperlink ref="FT217" r:id="rId345" display="https://doi.org/10.1073/pnas.1702143114" xr:uid="{32EE97D2-758D-E545-AC78-444152C84212}"/>
    <hyperlink ref="FT112" r:id="rId346" display="https://doi.org/10.1073/pnas.1702143114" xr:uid="{401E245C-2244-B541-B378-D5EB0BA4F489}"/>
    <hyperlink ref="FT114" r:id="rId347" display="https://doi.org/10.1073/pnas.1702143114" xr:uid="{76400C27-4EC6-FB49-9CFA-9CD013EF5BA9}"/>
    <hyperlink ref="FT116" r:id="rId348" display="https://doi.org/10.1073/pnas.1702143114" xr:uid="{C7B5A710-CD81-DF4B-ADF9-42EFCD6FF511}"/>
    <hyperlink ref="FT118" r:id="rId349" display="https://doi.org/10.1073/pnas.1702143114" xr:uid="{1CAC7300-880E-0944-95CD-754919C42FDD}"/>
    <hyperlink ref="FT120" r:id="rId350" display="https://doi.org/10.1073/pnas.1702143114" xr:uid="{F6765B74-D5E7-9845-8E64-88B3D4AE6075}"/>
    <hyperlink ref="FT122" r:id="rId351" display="https://doi.org/10.1073/pnas.1702143114" xr:uid="{4F9FE1B7-3357-1343-9CFD-BB3AFEE6456E}"/>
    <hyperlink ref="FT124" r:id="rId352" display="https://doi.org/10.1073/pnas.1702143114" xr:uid="{1EC9B424-B541-7A4B-9455-9738C182DDE1}"/>
    <hyperlink ref="FT126" r:id="rId353" display="https://doi.org/10.1073/pnas.1702143114" xr:uid="{69819AEB-759F-594A-A89C-44A2063F51DE}"/>
    <hyperlink ref="FT128" r:id="rId354" display="https://doi.org/10.1073/pnas.1702143114" xr:uid="{8C863AA3-BC43-614A-9BE5-DECF53CEB237}"/>
    <hyperlink ref="FT130" r:id="rId355" display="https://doi.org/10.1073/pnas.1702143114" xr:uid="{F22096EB-2D06-3E4A-A045-BEE6A50B39C8}"/>
    <hyperlink ref="FT132" r:id="rId356" display="https://doi.org/10.1073/pnas.1702143114" xr:uid="{43310DF2-8ABA-6541-9B47-008B55B67112}"/>
    <hyperlink ref="FT134" r:id="rId357" display="https://doi.org/10.1073/pnas.1702143114" xr:uid="{5AFFB1CF-68A7-7043-8318-9B1AFD7AE6CC}"/>
    <hyperlink ref="FT136" r:id="rId358" display="https://doi.org/10.1073/pnas.1702143114" xr:uid="{50F0B849-2FDE-314B-B419-512254C53350}"/>
    <hyperlink ref="FT138" r:id="rId359" display="https://doi.org/10.1073/pnas.1702143114" xr:uid="{464D6682-5A1A-584A-9730-192D73FC1255}"/>
    <hyperlink ref="FT140" r:id="rId360" display="https://doi.org/10.1073/pnas.1702143114" xr:uid="{BDE7942D-DFAE-814A-A88D-2056F11DC51B}"/>
    <hyperlink ref="FT142" r:id="rId361" display="https://doi.org/10.1073/pnas.1702143114" xr:uid="{015C844D-FA58-7D47-A836-8976908383FC}"/>
    <hyperlink ref="FT144" r:id="rId362" display="https://doi.org/10.1073/pnas.1702143114" xr:uid="{07B7C75F-F036-134C-88F9-6AB91AAEA9A0}"/>
    <hyperlink ref="FT146" r:id="rId363" display="https://doi.org/10.1073/pnas.1702143114" xr:uid="{13E120B6-55AB-A143-8C5A-B4D1BF0BC2A3}"/>
    <hyperlink ref="FT148" r:id="rId364" display="https://doi.org/10.1073/pnas.1702143114" xr:uid="{DDEF9E3D-9707-F846-B427-F00E32C365FA}"/>
    <hyperlink ref="FT150" r:id="rId365" display="https://doi.org/10.1073/pnas.1702143114" xr:uid="{320FB43C-5DC5-0D48-8A28-23BC6B5C5896}"/>
    <hyperlink ref="FT152" r:id="rId366" display="https://doi.org/10.1073/pnas.1702143114" xr:uid="{385B113B-9F93-6D45-B0FD-F68CCAB556D4}"/>
    <hyperlink ref="FT154" r:id="rId367" display="https://doi.org/10.1073/pnas.1702143114" xr:uid="{419CE845-2BEA-A04D-A0BE-E75E0DFEA995}"/>
    <hyperlink ref="FT156" r:id="rId368" display="https://doi.org/10.1073/pnas.1702143114" xr:uid="{39946BC2-397B-4646-A253-2BF616C89844}"/>
    <hyperlink ref="FT158" r:id="rId369" display="https://doi.org/10.1073/pnas.1702143114" xr:uid="{3744340C-E10D-B642-80CC-E9C6EECA56A1}"/>
    <hyperlink ref="FT160" r:id="rId370" display="https://doi.org/10.1073/pnas.1702143114" xr:uid="{7E5FFC2D-792C-DD4F-8FEE-6A4F3DF0B5A1}"/>
    <hyperlink ref="FT162" r:id="rId371" display="https://doi.org/10.1073/pnas.1702143114" xr:uid="{474B29DB-5725-A445-9A8F-2C5C973BB965}"/>
    <hyperlink ref="FT164" r:id="rId372" display="https://doi.org/10.1073/pnas.1702143114" xr:uid="{41B31EAD-D857-3844-BB33-EF349F074E53}"/>
    <hyperlink ref="FT166" r:id="rId373" display="https://doi.org/10.1073/pnas.1702143114" xr:uid="{C106B614-E643-D84D-ACCC-597546BBFEE0}"/>
    <hyperlink ref="FT168" r:id="rId374" display="https://doi.org/10.1073/pnas.1702143114" xr:uid="{050C0D05-7903-1643-AC09-D80F62963DF5}"/>
    <hyperlink ref="FT170" r:id="rId375" display="https://doi.org/10.1073/pnas.1702143114" xr:uid="{81DCC6D9-4216-194F-86F9-BB4BC6C3A180}"/>
    <hyperlink ref="FT172" r:id="rId376" display="https://doi.org/10.1073/pnas.1702143114" xr:uid="{220C3B01-E1F1-914A-BC41-22C1F93BCEE6}"/>
    <hyperlink ref="FT174" r:id="rId377" display="https://doi.org/10.1073/pnas.1702143114" xr:uid="{39A4A582-A362-FF43-9F2E-FAED856BCF89}"/>
    <hyperlink ref="FT176" r:id="rId378" display="https://doi.org/10.1073/pnas.1702143114" xr:uid="{209CA07F-B199-B14E-9A21-32D8E95A8369}"/>
    <hyperlink ref="FT178" r:id="rId379" display="https://doi.org/10.1073/pnas.1702143114" xr:uid="{736EE8A5-9428-5F43-A535-C6472435D9ED}"/>
    <hyperlink ref="FT180" r:id="rId380" display="https://doi.org/10.1073/pnas.1702143114" xr:uid="{48A0E355-417E-7D4A-A0F6-B30CB9B599CF}"/>
    <hyperlink ref="FT182" r:id="rId381" display="https://doi.org/10.1073/pnas.1702143114" xr:uid="{686B885E-2252-2045-8AD0-2FE575E407CD}"/>
    <hyperlink ref="FT184" r:id="rId382" display="https://doi.org/10.1073/pnas.1702143114" xr:uid="{F7231890-E1B5-6A4A-A265-BD0055E4232A}"/>
    <hyperlink ref="FT186" r:id="rId383" display="https://doi.org/10.1073/pnas.1702143114" xr:uid="{AF97959D-D48D-2444-A264-8AE52DB1072B}"/>
    <hyperlink ref="FT188" r:id="rId384" display="https://doi.org/10.1073/pnas.1702143114" xr:uid="{6AF000ED-8C49-2945-89F9-DA347001CF4F}"/>
    <hyperlink ref="FT190" r:id="rId385" display="https://doi.org/10.1073/pnas.1702143114" xr:uid="{746A9863-2535-BD47-8416-3B79C56D37F8}"/>
    <hyperlink ref="FT192" r:id="rId386" display="https://doi.org/10.1073/pnas.1702143114" xr:uid="{E96BECA1-9AA5-2043-97AC-0503CAE64CD5}"/>
    <hyperlink ref="FT194" r:id="rId387" display="https://doi.org/10.1073/pnas.1702143114" xr:uid="{9D71AE39-5DD0-6341-A236-4CED7E8DBE46}"/>
    <hyperlink ref="FT196" r:id="rId388" display="https://doi.org/10.1073/pnas.1702143114" xr:uid="{CE572100-AC77-9645-AAED-DD3D991F3F88}"/>
    <hyperlink ref="FT198" r:id="rId389" display="https://doi.org/10.1073/pnas.1702143114" xr:uid="{FCE8C06C-5463-424F-8783-ED0E0ECC94A5}"/>
    <hyperlink ref="FT200" r:id="rId390" display="https://doi.org/10.1073/pnas.1702143114" xr:uid="{71571C0E-ED5D-E146-AB78-166992F200AC}"/>
    <hyperlink ref="FT202" r:id="rId391" display="https://doi.org/10.1073/pnas.1702143114" xr:uid="{533E2AE7-271D-E34D-B062-222FE24F074D}"/>
    <hyperlink ref="FT204" r:id="rId392" display="https://doi.org/10.1073/pnas.1702143114" xr:uid="{7CFF9869-B808-2147-9883-A24679096E64}"/>
    <hyperlink ref="FT206" r:id="rId393" display="https://doi.org/10.1073/pnas.1702143114" xr:uid="{29E2F4DA-B927-8745-9DB5-3DE2B3EDE08F}"/>
    <hyperlink ref="FT208" r:id="rId394" display="https://doi.org/10.1073/pnas.1702143114" xr:uid="{C6584E20-3D6D-3C4F-962E-F1F11EA58C8C}"/>
    <hyperlink ref="FT210" r:id="rId395" display="https://doi.org/10.1073/pnas.1702143114" xr:uid="{837E4B0F-F0CD-8248-92E0-3525AC014637}"/>
    <hyperlink ref="FT212" r:id="rId396" display="https://doi.org/10.1073/pnas.1702143114" xr:uid="{9332572B-38D9-294D-8F17-B52BCA5292C4}"/>
    <hyperlink ref="FT214" r:id="rId397" display="https://doi.org/10.1073/pnas.1702143114" xr:uid="{23DE5947-BB6E-F041-BEDA-9B4F61BBE599}"/>
    <hyperlink ref="FT216" r:id="rId398" display="https://doi.org/10.1073/pnas.1702143114" xr:uid="{EF2B7FF5-3597-5A47-896B-C00E0EB905F4}"/>
    <hyperlink ref="FT218" r:id="rId399" display="https://doi.org/10.1073/pnas.1702143114" xr:uid="{D4901E8C-F8A5-7D44-8C14-89300856E391}"/>
  </hyperlinks>
  <pageMargins left="0.7" right="0.7" top="0.75" bottom="0.75" header="0.3" footer="0.3"/>
  <pageSetup paperSize="9" orientation="portrait" horizontalDpi="0" verticalDpi="0"/>
  <rowBreaks count="1" manualBreakCount="1">
    <brk id="8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EC016-53CC-B94F-9053-96774B32FF9F}">
  <dimension ref="A1:A3"/>
  <sheetViews>
    <sheetView workbookViewId="0">
      <selection sqref="A1:A3"/>
    </sheetView>
  </sheetViews>
  <sheetFormatPr baseColWidth="10" defaultRowHeight="16"/>
  <sheetData>
    <row r="1" spans="1:1">
      <c r="A1" t="s">
        <v>0</v>
      </c>
    </row>
    <row r="2" spans="1:1">
      <c r="A2" t="s">
        <v>176</v>
      </c>
    </row>
    <row r="3" spans="1:1">
      <c r="A3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boron isotopes</vt:lpstr>
      <vt:lpstr>Column specifications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Bärbel Hönisch</cp:lastModifiedBy>
  <dcterms:created xsi:type="dcterms:W3CDTF">2017-12-08T17:15:47Z</dcterms:created>
  <dcterms:modified xsi:type="dcterms:W3CDTF">2022-01-13T21:44:11Z</dcterms:modified>
</cp:coreProperties>
</file>