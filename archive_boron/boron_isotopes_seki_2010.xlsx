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June 2021/"/>
    </mc:Choice>
  </mc:AlternateContent>
  <xr:revisionPtr revIDLastSave="0" documentId="13_ncr:1_{D01F30FE-BA60-8246-B87C-59E8855D0901}" xr6:coauthVersionLast="47" xr6:coauthVersionMax="47" xr10:uidLastSave="{00000000-0000-0000-0000-000000000000}"/>
  <bookViews>
    <workbookView xWindow="1800" yWindow="500" windowWidth="21000" windowHeight="14680" tabRatio="500" xr2:uid="{00000000-000D-0000-FFFF-FFFF00000000}"/>
  </bookViews>
  <sheets>
    <sheet name="boron isotopes" sheetId="2" r:id="rId1"/>
    <sheet name="Column specifications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2" l="1"/>
  <c r="F5" i="2"/>
  <c r="G5" i="2"/>
  <c r="H5" i="2"/>
  <c r="I5" i="2"/>
  <c r="J5" i="2"/>
  <c r="E6" i="2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E11" i="2"/>
  <c r="F11" i="2"/>
  <c r="G11" i="2"/>
  <c r="H11" i="2"/>
  <c r="I11" i="2"/>
  <c r="J11" i="2"/>
  <c r="E12" i="2"/>
  <c r="F12" i="2"/>
  <c r="G12" i="2"/>
  <c r="H12" i="2"/>
  <c r="I12" i="2"/>
  <c r="J12" i="2"/>
  <c r="E13" i="2"/>
  <c r="F13" i="2"/>
  <c r="G13" i="2"/>
  <c r="H13" i="2"/>
  <c r="I13" i="2"/>
  <c r="J13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E22" i="2"/>
  <c r="F22" i="2"/>
  <c r="G22" i="2"/>
  <c r="H22" i="2"/>
  <c r="I22" i="2"/>
  <c r="J22" i="2"/>
  <c r="E23" i="2"/>
  <c r="F23" i="2"/>
  <c r="G23" i="2"/>
  <c r="H23" i="2"/>
  <c r="I23" i="2"/>
  <c r="J23" i="2"/>
  <c r="I4" i="2"/>
  <c r="J4" i="2"/>
  <c r="H4" i="2"/>
  <c r="F4" i="2"/>
  <c r="G4" i="2"/>
  <c r="E4" i="2"/>
  <c r="EM5" i="2"/>
  <c r="EN5" i="2"/>
  <c r="EM6" i="2"/>
  <c r="EN6" i="2"/>
  <c r="EM7" i="2"/>
  <c r="EN7" i="2"/>
  <c r="EM8" i="2"/>
  <c r="EN8" i="2"/>
  <c r="EM9" i="2"/>
  <c r="EN9" i="2"/>
  <c r="EM10" i="2"/>
  <c r="EN10" i="2"/>
  <c r="EM11" i="2"/>
  <c r="EN11" i="2"/>
  <c r="EM12" i="2"/>
  <c r="EN12" i="2"/>
  <c r="EM13" i="2"/>
  <c r="EN13" i="2"/>
  <c r="EM14" i="2"/>
  <c r="EN14" i="2"/>
  <c r="EM15" i="2"/>
  <c r="EN15" i="2"/>
  <c r="EM16" i="2"/>
  <c r="EN16" i="2"/>
  <c r="EM17" i="2"/>
  <c r="EN17" i="2"/>
  <c r="EM18" i="2"/>
  <c r="EN18" i="2"/>
  <c r="EM19" i="2"/>
  <c r="EN19" i="2"/>
  <c r="EM20" i="2"/>
  <c r="EN20" i="2"/>
  <c r="EM21" i="2"/>
  <c r="EN21" i="2"/>
  <c r="EM22" i="2"/>
  <c r="EN22" i="2"/>
  <c r="EM23" i="2"/>
  <c r="EN23" i="2"/>
  <c r="EN4" i="2"/>
  <c r="EM4" i="2"/>
</calcChain>
</file>

<file path=xl/sharedStrings.xml><?xml version="1.0" encoding="utf-8"?>
<sst xmlns="http://schemas.openxmlformats.org/spreadsheetml/2006/main" count="2841" uniqueCount="280">
  <si>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</si>
  <si>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</si>
  <si>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</si>
  <si>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</si>
  <si>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</si>
  <si>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</si>
  <si>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</si>
  <si>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</si>
  <si>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</si>
  <si>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</si>
  <si>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</si>
  <si>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</si>
  <si>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</si>
  <si>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</si>
  <si>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</si>
  <si>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</si>
  <si>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</si>
  <si>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</si>
  <si>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</si>
  <si>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</si>
  <si>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</si>
  <si>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</si>
  <si>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</si>
  <si>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</si>
  <si>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</si>
  <si>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</si>
  <si>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</si>
  <si>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</si>
  <si>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</si>
  <si>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</si>
  <si>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</si>
  <si>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</si>
  <si>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</si>
  <si>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</si>
  <si>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</si>
  <si>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</si>
  <si>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</si>
  <si>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</si>
  <si>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</si>
  <si>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</si>
  <si>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</si>
  <si>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</si>
  <si>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</si>
  <si>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</si>
  <si>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</si>
  <si>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</si>
  <si>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</si>
  <si>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</si>
  <si>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</si>
  <si>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</si>
  <si>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</si>
  <si>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</si>
  <si>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</si>
  <si>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</si>
  <si>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</si>
  <si>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</si>
  <si>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</si>
  <si>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</si>
  <si>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</si>
  <si>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</si>
  <si>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</si>
  <si>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</si>
  <si>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</si>
  <si>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</si>
  <si>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</si>
  <si>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</si>
  <si>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</si>
  <si>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</si>
  <si>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</si>
  <si>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</si>
  <si>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</si>
  <si>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</si>
  <si>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</si>
  <si>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</si>
  <si>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</si>
  <si>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</si>
  <si>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</si>
  <si>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</si>
  <si>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</si>
  <si>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</si>
  <si>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</si>
  <si>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</si>
  <si>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</si>
  <si>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</si>
  <si>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</si>
  <si>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</si>
  <si>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</si>
  <si>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</si>
  <si>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</si>
  <si>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</si>
  <si>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</si>
  <si>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</si>
  <si>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</si>
  <si>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</si>
  <si>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</si>
  <si>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</si>
  <si>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</si>
  <si>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</si>
  <si>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</si>
  <si>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</si>
  <si>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</si>
  <si>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</si>
  <si>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</si>
  <si>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</si>
  <si>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</si>
  <si>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</si>
  <si>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</si>
  <si>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</si>
  <si>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</si>
  <si>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</si>
  <si>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</si>
  <si>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</si>
  <si>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</si>
  <si>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</si>
  <si>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</si>
  <si>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</si>
  <si>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</si>
  <si>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</si>
  <si>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</si>
  <si>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</si>
  <si>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</si>
  <si>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</si>
  <si>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</si>
  <si>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</si>
  <si>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</si>
  <si>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</si>
  <si>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</si>
  <si>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</si>
  <si>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</si>
  <si>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</si>
  <si>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</si>
  <si>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</si>
  <si>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</si>
  <si>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</si>
  <si>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</si>
  <si>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</si>
  <si>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</si>
  <si>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</si>
  <si>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</si>
  <si>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</si>
  <si>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</si>
  <si>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</si>
  <si>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</si>
  <si>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</si>
  <si>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</si>
  <si>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</si>
  <si>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</si>
  <si>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</si>
  <si>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</si>
  <si>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</si>
  <si>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</si>
  <si>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</si>
  <si>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</si>
  <si>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</si>
  <si>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</si>
  <si>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</si>
  <si>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A</t>
  </si>
  <si>
    <t>Carribbean</t>
  </si>
  <si>
    <t>none</t>
  </si>
  <si>
    <t>NA</t>
  </si>
  <si>
    <t>300-355</t>
  </si>
  <si>
    <t>20.62,20.71</t>
  </si>
  <si>
    <t>normal distribution</t>
  </si>
  <si>
    <t>modern</t>
  </si>
  <si>
    <t>NA- no uncertainty on modern value applied</t>
  </si>
  <si>
    <t xml:space="preserve">None applied, surface pressure </t>
  </si>
  <si>
    <t>none applied</t>
  </si>
  <si>
    <t>Total Alkalinity</t>
  </si>
  <si>
    <t xml:space="preserve">set value </t>
  </si>
  <si>
    <t>total scale</t>
  </si>
  <si>
    <t xml:space="preserve">NA </t>
  </si>
  <si>
    <t xml:space="preserve">Seki, O., Foster, G.L., Schmidt, D.N., Mackensen, A., Kawamura, K. and Pancost, R.D. (2010) Alkenone and boron-based Pliocene pCO2 records. Earth and Planetary Science Letters 292, 201-211.
</t>
  </si>
  <si>
    <t>10.1016/j.epsl.2010.01.037</t>
  </si>
  <si>
    <t>Seki</t>
  </si>
  <si>
    <t>CC</t>
  </si>
  <si>
    <t xml:space="preserve"> 0 to 465 kyr: Schmidt et al. (2006), 1.7 to 7.5 Ma: Haug and Tiedemann (1998), 0.465 to 1.7 Ma: Chaisson and D'Hondt (2000) and Kameo and Bralower (2000)</t>
  </si>
  <si>
    <t>d18O and biostratigraphy</t>
  </si>
  <si>
    <t xml:space="preserve"> 2 to 465 kyr: Schmidt et al. (2006), 1.7 to 7.5 Ma: Haug and Tiedemann (1998), 0.465 to 1.7 Ma: Chaisson and D'Hondt (2000) and Kameo and Bralower (2000)</t>
  </si>
  <si>
    <t xml:space="preserve"> 4 to 465 kyr: Schmidt et al. (2006), 1.7 to 7.5 Ma: Haug and Tiedemann (1998), 0.465 to 1.7 Ma: Chaisson and D'Hondt (2000) and Kameo and Bralower (2000)</t>
  </si>
  <si>
    <t xml:space="preserve"> 6 to 465 kyr: Schmidt et al. (2006), 1.7 to 7.5 Ma: Haug and Tiedemann (1998), 0.465 to 1.7 Ma: Chaisson and D'Hondt (2000) and Kameo and Bralower (2000)</t>
  </si>
  <si>
    <t xml:space="preserve"> 8 to 465 kyr: Schmidt et al. (2006), 1.7 to 7.5 Ma: Haug and Tiedemann (1998), 0.465 to 1.7 Ma: Chaisson and D'Hondt (2000) and Kameo and Bralower (2000)</t>
  </si>
  <si>
    <t xml:space="preserve"> 10 to 465 kyr: Schmidt et al. (2006), 1.7 to 7.5 Ma: Haug and Tiedemann (1998), 0.465 to 1.7 Ma: Chaisson and D'Hondt (2000) and Kameo and Bralower (2000)</t>
  </si>
  <si>
    <t xml:space="preserve"> 12 to 465 kyr: Schmidt et al. (2006), 1.7 to 7.5 Ma: Haug and Tiedemann (1998), 0.465 to 1.7 Ma: Chaisson and D'Hondt (2000) and Kameo and Bralower (2000)</t>
  </si>
  <si>
    <t xml:space="preserve"> 14 to 465 kyr: Schmidt et al. (2006), 1.7 to 7.5 Ma: Haug and Tiedemann (1998), 0.465 to 1.7 Ma: Chaisson and D'Hondt (2000) and Kameo and Bralower (2000)</t>
  </si>
  <si>
    <t xml:space="preserve"> 16 to 465 kyr: Schmidt et al. (2006), 1.7 to 7.5 Ma: Haug and Tiedemann (1998), 0.465 to 1.7 Ma: Chaisson and D'Hondt (2000) and Kameo and Bralower (2000)</t>
  </si>
  <si>
    <t xml:space="preserve"> 18 to 465 kyr: Schmidt et al. (2006), 1.7 to 7.5 Ma: Haug and Tiedemann (1998), 0.465 to 1.7 Ma: Chaisson and D'Hondt (2000) and Kameo and Bralower (2000)</t>
  </si>
  <si>
    <t xml:space="preserve"> 20 to 465 kyr: Schmidt et al. (2006), 1.7 to 7.5 Ma: Haug and Tiedemann (1998), 0.465 to 1.7 Ma: Chaisson and D'Hondt (2000) and Kameo and Bralower (2000)</t>
  </si>
  <si>
    <t xml:space="preserve"> 22 to 465 kyr: Schmidt et al. (2006), 1.7 to 7.5 Ma: Haug and Tiedemann (1998), 0.465 to 1.7 Ma: Chaisson and D'Hondt (2000) and Kameo and Bralower (2000)</t>
  </si>
  <si>
    <t xml:space="preserve"> 25 to 465 kyr: Schmidt et al. (2006), 1.7 to 7.5 Ma: Haug and Tiedemann (1998), 0.465 to 1.7 Ma: Chaisson and D'Hondt (2000) and Kameo and Bralower (2000)</t>
  </si>
  <si>
    <t xml:space="preserve"> 27 to 465 kyr: Schmidt et al. (2006), 1.7 to 7.5 Ma: Haug and Tiedemann (1998), 0.465 to 1.7 Ma: Chaisson and D'Hondt (2000) and Kameo and Bralower (2000)</t>
  </si>
  <si>
    <t xml:space="preserve"> 29 to 465 kyr: Schmidt et al. (2006), 1.7 to 7.5 Ma: Haug and Tiedemann (1998), 0.465 to 1.7 Ma: Chaisson and D'Hondt (2000) and Kameo and Bralower (2000)</t>
  </si>
  <si>
    <t xml:space="preserve"> 31 to 465 kyr: Schmidt et al. (2006), 1.7 to 7.5 Ma: Haug and Tiedemann (1998), 0.465 to 1.7 Ma: Chaisson and D'Hondt (2000) and Kameo and Bralower (2000)</t>
  </si>
  <si>
    <t xml:space="preserve"> 33 to 465 kyr: Schmidt et al. (2006), 1.7 to 7.5 Ma: Haug and Tiedemann (1998), 0.465 to 1.7 Ma: Chaisson and D'Hondt (2000) and Kameo and Bralower (2000)</t>
  </si>
  <si>
    <t xml:space="preserve"> 35 to 465 kyr: Schmidt et al. (2006), 1.7 to 7.5 Ma: Haug and Tiedemann (1998), 0.465 to 1.7 Ma: Chaisson and D'Hondt (2000) and Kameo and Bralower (2000)</t>
  </si>
  <si>
    <t xml:space="preserve"> 37 to 465 kyr: Schmidt et al. (2006), 1.7 to 7.5 Ma: Haug and Tiedemann (1998), 0.465 to 1.7 Ma: Chaisson and D'Hondt (2000) and Kameo and Bralower (2000)</t>
  </si>
  <si>
    <t xml:space="preserve"> 39 to 465 kyr: Schmidt et al. (2006), 1.7 to 7.5 Ma: Haug and Tiedemann (1998), 0.465 to 1.7 Ma: Chaisson and D'Hondt (2000) and Kameo and Bralower (2000)</t>
  </si>
  <si>
    <t>100-120</t>
  </si>
  <si>
    <t>1-2</t>
  </si>
  <si>
    <t>Barker et al. (2003)</t>
  </si>
  <si>
    <t>MC-ICP-MS</t>
  </si>
  <si>
    <t>20.28,19.97</t>
  </si>
  <si>
    <t>20.31, 20.14</t>
  </si>
  <si>
    <t>20.42, 20.72</t>
  </si>
  <si>
    <t>20.38,20.38</t>
  </si>
  <si>
    <t>20.7,20.56</t>
  </si>
  <si>
    <t>20.35,19.9</t>
  </si>
  <si>
    <t>19.27,19.33</t>
  </si>
  <si>
    <t>19.4,19.17</t>
  </si>
  <si>
    <t>19.09,19.13</t>
  </si>
  <si>
    <t>19.9,19.68</t>
  </si>
  <si>
    <t>19.46,19.6</t>
  </si>
  <si>
    <t>19.13,19.2</t>
  </si>
  <si>
    <t>19.06,18.93</t>
  </si>
  <si>
    <t>19.81,19.73</t>
  </si>
  <si>
    <t>17.79,17.85</t>
  </si>
  <si>
    <t>18.09,18.32</t>
  </si>
  <si>
    <t>18.14,17.86</t>
  </si>
  <si>
    <t>17.76,17.71</t>
  </si>
  <si>
    <t>17.99,17.84</t>
  </si>
  <si>
    <t>Foster (2008)</t>
  </si>
  <si>
    <t>constant</t>
  </si>
  <si>
    <t>mixed layer</t>
  </si>
  <si>
    <t>lower mixed layer</t>
  </si>
  <si>
    <t>unlike newer d11B-calcite vs. d11B-borate calibrations, this one is based on the d11B vs. pH relationship, corrected for species-specific offsets (here listed under "intercept value"); G. sacculifer offset is corrected for a shell size effect</t>
  </si>
  <si>
    <t>Sonzogni et al., 1997</t>
  </si>
  <si>
    <t>not reported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</si>
  <si>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</si>
  <si>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</si>
  <si>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</si>
  <si>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</si>
  <si>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</si>
  <si>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</si>
  <si>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</si>
  <si>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</si>
  <si>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</si>
  <si>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Globigerinoides sacculifer</t>
  </si>
  <si>
    <t>UK'37</t>
  </si>
  <si>
    <t>not applied</t>
  </si>
  <si>
    <t>yes</t>
  </si>
  <si>
    <t xml:space="preserve">NA (Uk'37 used ) </t>
  </si>
  <si>
    <t>Lueker et al. 2000</t>
  </si>
  <si>
    <t>Henry's law, as of Weiss 1974, Zeebe Wolf-Gladrow 2001</t>
  </si>
  <si>
    <t>Henry's law, as of Weiss 1974, Zeebe Wolf-Gladrow 2002</t>
  </si>
  <si>
    <t>Henry's law, as of Weiss 1974, Zeebe Wolf-Gladrow 2003</t>
  </si>
  <si>
    <t>Henry's law, as of Weiss 1974, Zeebe Wolf-Gladrow 2004</t>
  </si>
  <si>
    <t>Henry's law, as of Weiss 1974, Zeebe Wolf-Gladrow 2005</t>
  </si>
  <si>
    <t>Henry's law, as of Weiss 1974, Zeebe Wolf-Gladrow 2006</t>
  </si>
  <si>
    <t>Henry's law, as of Weiss 1974, Zeebe Wolf-Gladrow 2007</t>
  </si>
  <si>
    <t>Henry's law, as of Weiss 1974, Zeebe Wolf-Gladrow 2008</t>
  </si>
  <si>
    <t>Henry's law, as of Weiss 1974, Zeebe Wolf-Gladrow 2009</t>
  </si>
  <si>
    <t>Henry's law, as of Weiss 1974, Zeebe Wolf-Gladrow 2010</t>
  </si>
  <si>
    <t>Henry's law, as of Weiss 1974, Zeebe Wolf-Gladrow 2011</t>
  </si>
  <si>
    <t>Henry's law, as of Weiss 1974, Zeebe Wolf-Gladrow 2012</t>
  </si>
  <si>
    <t>Henry's law, as of Weiss 1974, Zeebe Wolf-Gladrow 2013</t>
  </si>
  <si>
    <t>Henry's law, as of Weiss 1974, Zeebe Wolf-Gladrow 2014</t>
  </si>
  <si>
    <t>Henry's law, as of Weiss 1974, Zeebe Wolf-Gladrow 2015</t>
  </si>
  <si>
    <t>Henry's law, as of Weiss 1974, Zeebe Wolf-Gladrow 2016</t>
  </si>
  <si>
    <t>Henry's law, as of Weiss 1974, Zeebe Wolf-Gladrow 2017</t>
  </si>
  <si>
    <t>Henry's law, as of Weiss 1974, Zeebe Wolf-Gladrow 2018</t>
  </si>
  <si>
    <t>Henry's law, as of Weiss 1974, Zeebe Wolf-Gladrow 2019</t>
  </si>
  <si>
    <t>anion exchange chromatography</t>
  </si>
  <si>
    <t>Dickson 1990</t>
  </si>
  <si>
    <t xml:space="preserve">Lemarchand et al 2002 </t>
  </si>
  <si>
    <t>Lemarchand et al 2002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</si>
  <si>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</si>
  <si>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</si>
  <si>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t>Uppström 1974, Deep-Sea Research, 1974, Vol. 21, pp. 161 to 162.</t>
  </si>
  <si>
    <t>d11B foram, pH, T, S, alkalinity</t>
  </si>
  <si>
    <t xml:space="preserve">Bärbel Hönisch, Elwyn de la Vega </t>
  </si>
  <si>
    <t>hoenisch@ldeo.columbia.edu, elwyn.de-la-vega@soton.ac.uk</t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</si>
  <si>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</si>
  <si>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</si>
  <si>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</si>
  <si>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</si>
  <si>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</si>
  <si>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notes about uncertainty estimate: e.g., included calibration slope and intercept</t>
  </si>
  <si>
    <t>CO2_ppm</t>
  </si>
  <si>
    <t>CO2_uncertainty_pos_ppm</t>
  </si>
  <si>
    <t>CO2_uncertainty_neg_ppm</t>
  </si>
  <si>
    <t>Globigerinoides ruber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</si>
</sst>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bscript"/>
      <sz val="12"/>
      <color rgb="FF000000"/>
      <name val="Verdan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164" fontId="0" fillId="0" borderId="0" xfId="0" applyNumberFormat="1" applyFill="1" applyBorder="1"/>
    <xf numFmtId="0" fontId="0" fillId="0" borderId="0" xfId="0" applyAlignment="1">
      <alignment horizontal="left" vertical="top"/>
    </xf>
    <xf numFmtId="0" fontId="0" fillId="0" borderId="0" xfId="0" quotePrefix="1" applyAlignment="1">
      <alignment vertical="top"/>
    </xf>
    <xf numFmtId="0" fontId="0" fillId="0" borderId="0" xfId="0" applyAlignment="1">
      <alignment horizontal="left"/>
    </xf>
    <xf numFmtId="0" fontId="31" fillId="0" borderId="0" xfId="0" applyFont="1"/>
    <xf numFmtId="0" fontId="31" fillId="0" borderId="0" xfId="0" applyFont="1" applyAlignment="1">
      <alignment vertical="top"/>
    </xf>
    <xf numFmtId="0" fontId="0" fillId="0" borderId="0" xfId="0" applyFill="1"/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ont="1"/>
    <xf numFmtId="0" fontId="0" fillId="0" borderId="5" xfId="0" applyFill="1" applyBorder="1"/>
    <xf numFmtId="0" fontId="30" fillId="0" borderId="0" xfId="3"/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enisch@ldeo.columbia.edu" TargetMode="External"/><Relationship Id="rId13" Type="http://schemas.openxmlformats.org/officeDocument/2006/relationships/hyperlink" Target="mailto:hoenisch@ldeo.columbia.edu" TargetMode="External"/><Relationship Id="rId18" Type="http://schemas.openxmlformats.org/officeDocument/2006/relationships/hyperlink" Target="mailto:hoenisch@ldeo.columbia.edu" TargetMode="External"/><Relationship Id="rId3" Type="http://schemas.openxmlformats.org/officeDocument/2006/relationships/hyperlink" Target="mailto:hoenisch@ldeo.columbia.edu" TargetMode="External"/><Relationship Id="rId7" Type="http://schemas.openxmlformats.org/officeDocument/2006/relationships/hyperlink" Target="mailto:hoenisch@ldeo.columbia.edu" TargetMode="External"/><Relationship Id="rId12" Type="http://schemas.openxmlformats.org/officeDocument/2006/relationships/hyperlink" Target="mailto:hoenisch@ldeo.columbia.edu" TargetMode="External"/><Relationship Id="rId17" Type="http://schemas.openxmlformats.org/officeDocument/2006/relationships/hyperlink" Target="mailto:hoenisch@ldeo.columbia.edu" TargetMode="External"/><Relationship Id="rId2" Type="http://schemas.openxmlformats.org/officeDocument/2006/relationships/hyperlink" Target="mailto:hoenisch@ldeo.columbia.edu" TargetMode="External"/><Relationship Id="rId16" Type="http://schemas.openxmlformats.org/officeDocument/2006/relationships/hyperlink" Target="mailto:hoenisch@ldeo.columbia.edu" TargetMode="External"/><Relationship Id="rId20" Type="http://schemas.openxmlformats.org/officeDocument/2006/relationships/hyperlink" Target="mailto:hoenisch@ldeo.columbia.edu" TargetMode="External"/><Relationship Id="rId1" Type="http://schemas.openxmlformats.org/officeDocument/2006/relationships/hyperlink" Target="mailto:hoenisch@ldeo.columbia.edu" TargetMode="External"/><Relationship Id="rId6" Type="http://schemas.openxmlformats.org/officeDocument/2006/relationships/hyperlink" Target="mailto:hoenisch@ldeo.columbia.edu" TargetMode="External"/><Relationship Id="rId11" Type="http://schemas.openxmlformats.org/officeDocument/2006/relationships/hyperlink" Target="mailto:hoenisch@ldeo.columbia.edu" TargetMode="External"/><Relationship Id="rId5" Type="http://schemas.openxmlformats.org/officeDocument/2006/relationships/hyperlink" Target="mailto:hoenisch@ldeo.columbia.edu" TargetMode="External"/><Relationship Id="rId15" Type="http://schemas.openxmlformats.org/officeDocument/2006/relationships/hyperlink" Target="mailto:hoenisch@ldeo.columbia.edu" TargetMode="External"/><Relationship Id="rId10" Type="http://schemas.openxmlformats.org/officeDocument/2006/relationships/hyperlink" Target="mailto:hoenisch@ldeo.columbia.edu" TargetMode="External"/><Relationship Id="rId19" Type="http://schemas.openxmlformats.org/officeDocument/2006/relationships/hyperlink" Target="mailto:hoenisch@ldeo.columbia.edu" TargetMode="External"/><Relationship Id="rId4" Type="http://schemas.openxmlformats.org/officeDocument/2006/relationships/hyperlink" Target="mailto:hoenisch@ldeo.columbia.edu" TargetMode="External"/><Relationship Id="rId9" Type="http://schemas.openxmlformats.org/officeDocument/2006/relationships/hyperlink" Target="mailto:hoenisch@ldeo.columbia.edu" TargetMode="External"/><Relationship Id="rId14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8"/>
  <sheetViews>
    <sheetView tabSelected="1" topLeftCell="AM1" zoomScale="80" zoomScaleNormal="80" workbookViewId="0">
      <selection activeCell="AU4" sqref="AU4:AU15"/>
    </sheetView>
  </sheetViews>
  <sheetFormatPr baseColWidth="10" defaultColWidth="11" defaultRowHeight="16" x14ac:dyDescent="0.2"/>
  <cols>
    <col min="1" max="1" width="14.16406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17.33203125" customWidth="1"/>
    <col min="34" max="34" width="13.33203125" customWidth="1"/>
    <col min="35" max="36" width="14.33203125" customWidth="1"/>
    <col min="38" max="38" width="24.83203125" customWidth="1"/>
    <col min="39" max="39" width="79" customWidth="1"/>
    <col min="47" max="47" width="24.33203125" customWidth="1"/>
    <col min="48" max="48" width="13.83203125" customWidth="1"/>
    <col min="49" max="49" width="14.1640625" customWidth="1"/>
    <col min="50" max="50" width="16.6640625" customWidth="1"/>
    <col min="51" max="51" width="18.1640625" customWidth="1"/>
    <col min="52" max="52" width="34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7" max="67" width="90.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3" max="73" width="16.6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8" width="14.5" customWidth="1"/>
    <col min="79" max="79" width="12.33203125" customWidth="1"/>
    <col min="80" max="80" width="21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4" max="94" width="13.33203125" customWidth="1"/>
    <col min="95" max="95" width="12.83203125" customWidth="1"/>
    <col min="97" max="97" width="21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33.1640625" customWidth="1"/>
    <col min="120" max="121" width="15.33203125" customWidth="1"/>
    <col min="122" max="122" width="24" customWidth="1"/>
    <col min="123" max="123" width="14.1640625" customWidth="1"/>
    <col min="126" max="126" width="14.33203125" customWidth="1"/>
    <col min="127" max="127" width="13.83203125" customWidth="1"/>
    <col min="128" max="128" width="20" customWidth="1"/>
    <col min="129" max="129" width="15.1640625" customWidth="1"/>
    <col min="130" max="130" width="14.6640625" customWidth="1"/>
    <col min="131" max="131" width="20.1640625" customWidth="1"/>
    <col min="132" max="132" width="50.6640625" customWidth="1"/>
    <col min="133" max="133" width="18.33203125" customWidth="1"/>
    <col min="134" max="134" width="18" customWidth="1"/>
    <col min="135" max="135" width="13.8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8.83203125" customWidth="1"/>
    <col min="160" max="160" width="34.1640625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 x14ac:dyDescent="0.25">
      <c r="A1" s="108" t="s">
        <v>124</v>
      </c>
      <c r="B1" s="109"/>
      <c r="C1" s="109"/>
      <c r="D1" s="109"/>
      <c r="E1" s="109"/>
      <c r="F1" s="109"/>
      <c r="G1" s="109"/>
      <c r="H1" s="109"/>
      <c r="I1" s="109"/>
      <c r="J1" s="110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9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</row>
    <row r="2" spans="1:191" ht="20" x14ac:dyDescent="0.25">
      <c r="A2" s="111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9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27"/>
      <c r="BD2" s="127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8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3"/>
      <c r="FQ2" s="73"/>
    </row>
    <row r="3" spans="1:191" ht="238" x14ac:dyDescent="0.2">
      <c r="A3" s="112" t="s">
        <v>125</v>
      </c>
      <c r="B3" s="113" t="s">
        <v>126</v>
      </c>
      <c r="C3" s="113" t="s">
        <v>127</v>
      </c>
      <c r="D3" s="3" t="s">
        <v>128</v>
      </c>
      <c r="E3" s="3" t="s">
        <v>129</v>
      </c>
      <c r="F3" s="114" t="s">
        <v>130</v>
      </c>
      <c r="G3" s="114" t="s">
        <v>131</v>
      </c>
      <c r="H3" s="152" t="s">
        <v>276</v>
      </c>
      <c r="I3" s="153" t="s">
        <v>277</v>
      </c>
      <c r="J3" s="154" t="s">
        <v>278</v>
      </c>
      <c r="K3" s="74" t="s">
        <v>32</v>
      </c>
      <c r="L3" s="75" t="s">
        <v>33</v>
      </c>
      <c r="M3" s="75" t="s">
        <v>34</v>
      </c>
      <c r="N3" s="76" t="s">
        <v>35</v>
      </c>
      <c r="O3" s="77" t="s">
        <v>36</v>
      </c>
      <c r="P3" s="77" t="s">
        <v>37</v>
      </c>
      <c r="Q3" s="77" t="s">
        <v>38</v>
      </c>
      <c r="R3" s="77" t="s">
        <v>39</v>
      </c>
      <c r="S3" s="77" t="s">
        <v>40</v>
      </c>
      <c r="T3" s="77" t="s">
        <v>41</v>
      </c>
      <c r="U3" s="77" t="s">
        <v>42</v>
      </c>
      <c r="V3" s="105" t="s">
        <v>43</v>
      </c>
      <c r="W3" s="77" t="s">
        <v>44</v>
      </c>
      <c r="X3" s="77" t="s">
        <v>45</v>
      </c>
      <c r="Y3" s="77" t="s">
        <v>46</v>
      </c>
      <c r="Z3" s="77" t="s">
        <v>47</v>
      </c>
      <c r="AA3" s="77" t="s">
        <v>48</v>
      </c>
      <c r="AB3" s="77" t="s">
        <v>49</v>
      </c>
      <c r="AC3" s="77" t="s">
        <v>50</v>
      </c>
      <c r="AD3" s="77" t="s">
        <v>51</v>
      </c>
      <c r="AE3" s="77" t="s">
        <v>52</v>
      </c>
      <c r="AF3" s="77" t="s">
        <v>53</v>
      </c>
      <c r="AG3" s="78" t="s">
        <v>136</v>
      </c>
      <c r="AH3" s="79" t="s">
        <v>54</v>
      </c>
      <c r="AI3" s="116" t="s">
        <v>137</v>
      </c>
      <c r="AJ3" s="116" t="s">
        <v>138</v>
      </c>
      <c r="AK3" s="80" t="s">
        <v>56</v>
      </c>
      <c r="AL3" s="80" t="s">
        <v>57</v>
      </c>
      <c r="AM3" s="81" t="s">
        <v>58</v>
      </c>
      <c r="AN3" s="78" t="s">
        <v>136</v>
      </c>
      <c r="AO3" s="79" t="s">
        <v>54</v>
      </c>
      <c r="AP3" s="116" t="s">
        <v>137</v>
      </c>
      <c r="AQ3" s="116" t="s">
        <v>138</v>
      </c>
      <c r="AR3" s="80" t="s">
        <v>56</v>
      </c>
      <c r="AS3" s="80" t="s">
        <v>57</v>
      </c>
      <c r="AT3" s="80" t="s">
        <v>58</v>
      </c>
      <c r="AU3" s="82" t="s">
        <v>59</v>
      </c>
      <c r="AV3" s="83" t="s">
        <v>60</v>
      </c>
      <c r="AW3" s="83" t="s">
        <v>61</v>
      </c>
      <c r="AX3" s="83" t="s">
        <v>62</v>
      </c>
      <c r="AY3" s="83" t="s">
        <v>63</v>
      </c>
      <c r="AZ3" s="83" t="s">
        <v>64</v>
      </c>
      <c r="BA3" s="83" t="s">
        <v>65</v>
      </c>
      <c r="BB3" s="115" t="s">
        <v>132</v>
      </c>
      <c r="BC3" s="128" t="s">
        <v>154</v>
      </c>
      <c r="BD3" s="128" t="s">
        <v>155</v>
      </c>
      <c r="BE3" s="84" t="s">
        <v>66</v>
      </c>
      <c r="BF3" s="85" t="s">
        <v>67</v>
      </c>
      <c r="BG3" s="85" t="s">
        <v>68</v>
      </c>
      <c r="BH3" s="86" t="s">
        <v>69</v>
      </c>
      <c r="BI3" s="87" t="s">
        <v>70</v>
      </c>
      <c r="BJ3" s="88" t="s">
        <v>71</v>
      </c>
      <c r="BK3" s="89" t="s">
        <v>72</v>
      </c>
      <c r="BL3" s="90" t="s">
        <v>70</v>
      </c>
      <c r="BM3" s="91" t="s">
        <v>71</v>
      </c>
      <c r="BN3" s="51" t="s">
        <v>73</v>
      </c>
      <c r="BO3" s="52" t="s">
        <v>74</v>
      </c>
      <c r="BP3" s="91" t="s">
        <v>75</v>
      </c>
      <c r="BQ3" s="87" t="s">
        <v>70</v>
      </c>
      <c r="BR3" s="88" t="s">
        <v>71</v>
      </c>
      <c r="BS3" s="51" t="s">
        <v>275</v>
      </c>
      <c r="BT3" s="51" t="s">
        <v>76</v>
      </c>
      <c r="BU3" s="92" t="s">
        <v>77</v>
      </c>
      <c r="BV3" s="93" t="s">
        <v>54</v>
      </c>
      <c r="BW3" s="93" t="s">
        <v>55</v>
      </c>
      <c r="BX3" s="92" t="s">
        <v>78</v>
      </c>
      <c r="BY3" s="93" t="s">
        <v>54</v>
      </c>
      <c r="BZ3" s="117" t="s">
        <v>139</v>
      </c>
      <c r="CA3" s="119" t="s">
        <v>140</v>
      </c>
      <c r="CB3" s="95" t="s">
        <v>133</v>
      </c>
      <c r="CC3" s="94" t="s">
        <v>79</v>
      </c>
      <c r="CD3" s="93" t="s">
        <v>54</v>
      </c>
      <c r="CE3" s="117" t="s">
        <v>141</v>
      </c>
      <c r="CF3" s="119" t="s">
        <v>142</v>
      </c>
      <c r="CG3" s="95" t="s">
        <v>80</v>
      </c>
      <c r="CH3" s="95" t="s">
        <v>81</v>
      </c>
      <c r="CI3" s="95" t="s">
        <v>272</v>
      </c>
      <c r="CJ3" s="95" t="s">
        <v>273</v>
      </c>
      <c r="CK3" s="95" t="s">
        <v>82</v>
      </c>
      <c r="CL3" s="95" t="s">
        <v>83</v>
      </c>
      <c r="CM3" s="95" t="s">
        <v>84</v>
      </c>
      <c r="CN3" s="96" t="s">
        <v>134</v>
      </c>
      <c r="CO3" s="94" t="s">
        <v>85</v>
      </c>
      <c r="CP3" s="93" t="s">
        <v>54</v>
      </c>
      <c r="CQ3" s="93" t="s">
        <v>55</v>
      </c>
      <c r="CR3" s="95" t="s">
        <v>86</v>
      </c>
      <c r="CS3" s="95" t="s">
        <v>81</v>
      </c>
      <c r="CT3" s="95" t="s">
        <v>87</v>
      </c>
      <c r="CU3" s="92" t="s">
        <v>88</v>
      </c>
      <c r="CV3" s="93" t="s">
        <v>54</v>
      </c>
      <c r="CW3" s="93" t="s">
        <v>147</v>
      </c>
      <c r="CX3" s="97" t="s">
        <v>89</v>
      </c>
      <c r="CY3" s="94" t="s">
        <v>143</v>
      </c>
      <c r="CZ3" s="93" t="s">
        <v>54</v>
      </c>
      <c r="DA3" s="93" t="s">
        <v>147</v>
      </c>
      <c r="DB3" s="97" t="s">
        <v>90</v>
      </c>
      <c r="DC3" s="94" t="s">
        <v>144</v>
      </c>
      <c r="DD3" s="93" t="s">
        <v>54</v>
      </c>
      <c r="DE3" s="93" t="s">
        <v>147</v>
      </c>
      <c r="DF3" s="97" t="s">
        <v>91</v>
      </c>
      <c r="DG3" s="94" t="s">
        <v>145</v>
      </c>
      <c r="DH3" s="93" t="s">
        <v>54</v>
      </c>
      <c r="DI3" s="93" t="s">
        <v>147</v>
      </c>
      <c r="DJ3" s="97" t="s">
        <v>92</v>
      </c>
      <c r="DK3" s="94" t="s">
        <v>146</v>
      </c>
      <c r="DL3" s="93" t="s">
        <v>54</v>
      </c>
      <c r="DM3" s="93" t="s">
        <v>147</v>
      </c>
      <c r="DN3" s="98" t="s">
        <v>93</v>
      </c>
      <c r="DO3" s="120" t="s">
        <v>94</v>
      </c>
      <c r="DP3" s="93" t="s">
        <v>54</v>
      </c>
      <c r="DQ3" s="93" t="s">
        <v>147</v>
      </c>
      <c r="DR3" s="99" t="s">
        <v>95</v>
      </c>
      <c r="DS3" s="98" t="s">
        <v>96</v>
      </c>
      <c r="DT3" s="98" t="s">
        <v>97</v>
      </c>
      <c r="DU3" s="92" t="s">
        <v>98</v>
      </c>
      <c r="DV3" s="93" t="s">
        <v>54</v>
      </c>
      <c r="DW3" s="93" t="s">
        <v>147</v>
      </c>
      <c r="DX3" s="93" t="s">
        <v>226</v>
      </c>
      <c r="DY3" s="98" t="s">
        <v>99</v>
      </c>
      <c r="DZ3" s="97" t="s">
        <v>100</v>
      </c>
      <c r="EA3" s="95" t="s">
        <v>101</v>
      </c>
      <c r="EB3" s="98" t="s">
        <v>102</v>
      </c>
      <c r="EC3" s="98" t="s">
        <v>103</v>
      </c>
      <c r="ED3" s="98" t="s">
        <v>104</v>
      </c>
      <c r="EE3" s="100" t="s">
        <v>105</v>
      </c>
      <c r="EF3" s="101" t="s">
        <v>106</v>
      </c>
      <c r="EG3" s="97" t="s">
        <v>107</v>
      </c>
      <c r="EH3" s="121" t="s">
        <v>108</v>
      </c>
      <c r="EI3" s="122" t="s">
        <v>109</v>
      </c>
      <c r="EJ3" s="122" t="s">
        <v>110</v>
      </c>
      <c r="EK3" s="102" t="s">
        <v>135</v>
      </c>
      <c r="EL3" s="103" t="s">
        <v>54</v>
      </c>
      <c r="EM3" s="123" t="s">
        <v>264</v>
      </c>
      <c r="EN3" s="124" t="s">
        <v>265</v>
      </c>
      <c r="EO3" s="102" t="s">
        <v>111</v>
      </c>
      <c r="EP3" s="103" t="s">
        <v>54</v>
      </c>
      <c r="EQ3" s="123" t="s">
        <v>148</v>
      </c>
      <c r="ER3" s="124" t="s">
        <v>149</v>
      </c>
      <c r="ES3" s="104" t="s">
        <v>112</v>
      </c>
      <c r="ET3" s="77" t="s">
        <v>153</v>
      </c>
      <c r="EU3" s="125" t="s">
        <v>148</v>
      </c>
      <c r="EV3" s="125" t="s">
        <v>149</v>
      </c>
      <c r="EW3" s="77" t="s">
        <v>113</v>
      </c>
      <c r="EX3" s="77" t="s">
        <v>114</v>
      </c>
      <c r="EY3" s="77" t="s">
        <v>115</v>
      </c>
      <c r="EZ3" s="77" t="s">
        <v>116</v>
      </c>
      <c r="FA3" s="125" t="s">
        <v>150</v>
      </c>
      <c r="FB3" s="125" t="s">
        <v>151</v>
      </c>
      <c r="FC3" s="77" t="s">
        <v>117</v>
      </c>
      <c r="FD3" s="77" t="s">
        <v>118</v>
      </c>
      <c r="FE3" s="104" t="s">
        <v>119</v>
      </c>
      <c r="FF3" s="141" t="s">
        <v>228</v>
      </c>
      <c r="FG3" s="141" t="s">
        <v>229</v>
      </c>
      <c r="FH3" s="77" t="s">
        <v>120</v>
      </c>
      <c r="FI3" s="141" t="s">
        <v>230</v>
      </c>
      <c r="FJ3" s="141" t="s">
        <v>231</v>
      </c>
      <c r="FK3" s="105" t="s">
        <v>121</v>
      </c>
      <c r="FL3" s="105" t="s">
        <v>232</v>
      </c>
      <c r="FM3" s="105" t="s">
        <v>233</v>
      </c>
      <c r="FN3" s="105" t="s">
        <v>122</v>
      </c>
      <c r="FO3" s="142" t="s">
        <v>234</v>
      </c>
      <c r="FP3" s="151" t="s">
        <v>274</v>
      </c>
      <c r="FQ3" s="106" t="s">
        <v>123</v>
      </c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</row>
    <row r="4" spans="1:191" ht="17" x14ac:dyDescent="0.2">
      <c r="A4" s="126" t="s">
        <v>152</v>
      </c>
      <c r="B4" t="s">
        <v>173</v>
      </c>
      <c r="C4">
        <v>2010</v>
      </c>
      <c r="D4" s="1" t="s">
        <v>172</v>
      </c>
      <c r="E4">
        <f>AG4</f>
        <v>4</v>
      </c>
      <c r="F4" t="str">
        <f t="shared" ref="F4:G4" si="0">AH4</f>
        <v>NA</v>
      </c>
      <c r="G4" t="str">
        <f t="shared" si="0"/>
        <v>NA</v>
      </c>
      <c r="H4">
        <f>EZ4</f>
        <v>274</v>
      </c>
      <c r="I4">
        <f t="shared" ref="I4:J4" si="1">FA4</f>
        <v>25</v>
      </c>
      <c r="J4">
        <f t="shared" si="1"/>
        <v>25</v>
      </c>
      <c r="K4" t="s">
        <v>268</v>
      </c>
      <c r="L4" s="150" t="s">
        <v>269</v>
      </c>
      <c r="M4" s="1" t="s">
        <v>171</v>
      </c>
      <c r="N4" s="1" t="s">
        <v>172</v>
      </c>
      <c r="O4">
        <v>999</v>
      </c>
      <c r="P4" s="1" t="s">
        <v>156</v>
      </c>
      <c r="Q4" s="1">
        <v>1</v>
      </c>
      <c r="R4" s="1">
        <v>1</v>
      </c>
      <c r="S4" s="1">
        <v>4</v>
      </c>
      <c r="T4" s="1">
        <v>5</v>
      </c>
      <c r="U4">
        <v>0.05</v>
      </c>
      <c r="V4" t="s">
        <v>159</v>
      </c>
      <c r="W4" t="s">
        <v>159</v>
      </c>
      <c r="X4" t="s">
        <v>157</v>
      </c>
      <c r="Y4" s="1">
        <v>12.744</v>
      </c>
      <c r="Z4" s="1">
        <v>-78.7393</v>
      </c>
      <c r="AA4" s="1" t="s">
        <v>159</v>
      </c>
      <c r="AB4" s="1" t="s">
        <v>159</v>
      </c>
      <c r="AC4" s="1">
        <v>-2828</v>
      </c>
      <c r="AD4" t="s">
        <v>159</v>
      </c>
      <c r="AE4" s="1" t="s">
        <v>159</v>
      </c>
      <c r="AF4" s="136" t="s">
        <v>159</v>
      </c>
      <c r="AG4" s="139">
        <v>4</v>
      </c>
      <c r="AH4" s="147" t="s">
        <v>159</v>
      </c>
      <c r="AI4" s="136" t="s">
        <v>159</v>
      </c>
      <c r="AJ4" s="136" t="s">
        <v>159</v>
      </c>
      <c r="AK4" s="136" t="s">
        <v>159</v>
      </c>
      <c r="AL4" t="s">
        <v>176</v>
      </c>
      <c r="AM4" s="130" t="s">
        <v>175</v>
      </c>
      <c r="AN4" t="s">
        <v>159</v>
      </c>
      <c r="AO4" t="s">
        <v>159</v>
      </c>
      <c r="AP4" t="s">
        <v>159</v>
      </c>
      <c r="AQ4" t="s">
        <v>159</v>
      </c>
      <c r="AR4" t="s">
        <v>159</v>
      </c>
      <c r="AS4" t="s">
        <v>159</v>
      </c>
      <c r="AT4" t="s">
        <v>159</v>
      </c>
      <c r="AU4" t="s">
        <v>279</v>
      </c>
      <c r="AV4" s="1" t="s">
        <v>160</v>
      </c>
      <c r="AW4" s="131" t="s">
        <v>196</v>
      </c>
      <c r="AX4" s="132" t="s">
        <v>197</v>
      </c>
      <c r="AY4" s="1" t="s">
        <v>198</v>
      </c>
      <c r="AZ4" s="1" t="s">
        <v>260</v>
      </c>
      <c r="BA4" s="1" t="s">
        <v>199</v>
      </c>
      <c r="BB4" t="s">
        <v>161</v>
      </c>
      <c r="BC4">
        <v>2</v>
      </c>
      <c r="BD4">
        <v>8.9999999999999858E-2</v>
      </c>
      <c r="BE4" s="134">
        <v>20.67</v>
      </c>
      <c r="BF4" s="135" t="s">
        <v>162</v>
      </c>
      <c r="BG4" s="134">
        <v>0.1</v>
      </c>
      <c r="BH4" s="137" t="s">
        <v>159</v>
      </c>
      <c r="BI4" s="137" t="s">
        <v>159</v>
      </c>
      <c r="BJ4" s="138" t="s">
        <v>159</v>
      </c>
      <c r="BK4" s="1">
        <v>0.8</v>
      </c>
      <c r="BL4" s="1" t="s">
        <v>159</v>
      </c>
      <c r="BM4" s="1" t="s">
        <v>159</v>
      </c>
      <c r="BN4" s="1" t="s">
        <v>219</v>
      </c>
      <c r="BO4" s="1" t="s">
        <v>223</v>
      </c>
      <c r="BP4" s="136" t="s">
        <v>159</v>
      </c>
      <c r="BQ4" s="136" t="s">
        <v>159</v>
      </c>
      <c r="BR4" s="136" t="s">
        <v>159</v>
      </c>
      <c r="BS4" s="136" t="s">
        <v>159</v>
      </c>
      <c r="BT4" s="136" t="s">
        <v>159</v>
      </c>
      <c r="BU4" s="136" t="s">
        <v>221</v>
      </c>
      <c r="BV4" s="136" t="s">
        <v>237</v>
      </c>
      <c r="BW4" s="136" t="s">
        <v>237</v>
      </c>
      <c r="BX4">
        <v>28.3</v>
      </c>
      <c r="BY4" s="149" t="s">
        <v>159</v>
      </c>
      <c r="BZ4" s="136">
        <v>1.5</v>
      </c>
      <c r="CA4" s="136">
        <v>1.5</v>
      </c>
      <c r="CB4" t="s">
        <v>239</v>
      </c>
      <c r="CC4" t="s">
        <v>159</v>
      </c>
      <c r="CD4" t="s">
        <v>159</v>
      </c>
      <c r="CE4" t="s">
        <v>159</v>
      </c>
      <c r="CF4" t="s">
        <v>159</v>
      </c>
      <c r="CG4" t="s">
        <v>159</v>
      </c>
      <c r="CH4" t="s">
        <v>159</v>
      </c>
      <c r="CI4" t="s">
        <v>159</v>
      </c>
      <c r="CJ4" t="s">
        <v>159</v>
      </c>
      <c r="CK4" t="s">
        <v>159</v>
      </c>
      <c r="CL4" t="s">
        <v>159</v>
      </c>
      <c r="CM4" t="s">
        <v>159</v>
      </c>
      <c r="CN4" t="s">
        <v>236</v>
      </c>
      <c r="CO4" s="136" t="s">
        <v>225</v>
      </c>
      <c r="CP4" s="146" t="s">
        <v>159</v>
      </c>
      <c r="CQ4" s="146" t="s">
        <v>159</v>
      </c>
      <c r="CR4" s="136" t="s">
        <v>159</v>
      </c>
      <c r="CS4" s="136" t="s">
        <v>224</v>
      </c>
      <c r="CT4" s="136" t="s">
        <v>238</v>
      </c>
      <c r="CU4">
        <v>36</v>
      </c>
      <c r="CV4" s="1" t="s">
        <v>158</v>
      </c>
      <c r="CW4" s="1">
        <v>0</v>
      </c>
      <c r="CX4" s="1" t="s">
        <v>220</v>
      </c>
      <c r="CY4" t="s">
        <v>163</v>
      </c>
      <c r="CZ4" s="134" t="s">
        <v>166</v>
      </c>
      <c r="DA4" s="134" t="s">
        <v>166</v>
      </c>
      <c r="DB4" s="134" t="s">
        <v>166</v>
      </c>
      <c r="DC4" t="s">
        <v>163</v>
      </c>
      <c r="DD4" s="134" t="s">
        <v>166</v>
      </c>
      <c r="DE4" s="134" t="s">
        <v>166</v>
      </c>
      <c r="DF4" s="134" t="s">
        <v>166</v>
      </c>
      <c r="DG4" t="s">
        <v>163</v>
      </c>
      <c r="DH4" s="134" t="s">
        <v>166</v>
      </c>
      <c r="DI4" s="134" t="s">
        <v>166</v>
      </c>
      <c r="DJ4" s="134" t="s">
        <v>166</v>
      </c>
      <c r="DK4" s="136">
        <v>413.7</v>
      </c>
      <c r="DL4" s="136" t="s">
        <v>159</v>
      </c>
      <c r="DM4" s="136" t="s">
        <v>159</v>
      </c>
      <c r="DN4" s="148" t="s">
        <v>266</v>
      </c>
      <c r="DO4" s="1">
        <v>39.5</v>
      </c>
      <c r="DP4" t="s">
        <v>164</v>
      </c>
      <c r="DQ4" s="143" t="s">
        <v>159</v>
      </c>
      <c r="DR4" t="s">
        <v>262</v>
      </c>
      <c r="DS4" t="s">
        <v>261</v>
      </c>
      <c r="DT4" t="s">
        <v>165</v>
      </c>
      <c r="DU4">
        <v>1.0271999999999999</v>
      </c>
      <c r="DV4" t="s">
        <v>166</v>
      </c>
      <c r="DW4" t="s">
        <v>166</v>
      </c>
      <c r="DX4" t="s">
        <v>227</v>
      </c>
      <c r="DY4" t="s">
        <v>166</v>
      </c>
      <c r="DZ4" t="s">
        <v>166</v>
      </c>
      <c r="EA4" s="146" t="s">
        <v>159</v>
      </c>
      <c r="EB4" s="136" t="s">
        <v>241</v>
      </c>
      <c r="EC4" s="136" t="s">
        <v>240</v>
      </c>
      <c r="ED4" s="136" t="s">
        <v>240</v>
      </c>
      <c r="EE4" s="146" t="s">
        <v>159</v>
      </c>
      <c r="EF4" s="146" t="s">
        <v>159</v>
      </c>
      <c r="EG4" s="146" t="s">
        <v>159</v>
      </c>
      <c r="EH4" t="s">
        <v>167</v>
      </c>
      <c r="EI4" t="s">
        <v>220</v>
      </c>
      <c r="EJ4" s="143" t="s">
        <v>159</v>
      </c>
      <c r="EK4" s="144">
        <v>2330</v>
      </c>
      <c r="EL4" s="143" t="s">
        <v>168</v>
      </c>
      <c r="EM4" s="143">
        <f>EK4*0.05</f>
        <v>116.5</v>
      </c>
      <c r="EN4" s="143">
        <f>EK4*0.05</f>
        <v>116.5</v>
      </c>
      <c r="EO4" s="136" t="s">
        <v>159</v>
      </c>
      <c r="EP4" s="136" t="s">
        <v>159</v>
      </c>
      <c r="EQ4" s="136" t="s">
        <v>159</v>
      </c>
      <c r="ER4" s="136" t="s">
        <v>159</v>
      </c>
      <c r="ES4" s="136">
        <v>8.17</v>
      </c>
      <c r="ET4" s="1" t="s">
        <v>169</v>
      </c>
      <c r="EU4" s="1">
        <v>0.02</v>
      </c>
      <c r="EV4" s="1">
        <v>0.02</v>
      </c>
      <c r="EW4">
        <v>274</v>
      </c>
      <c r="EX4" t="s">
        <v>159</v>
      </c>
      <c r="EY4" t="s">
        <v>159</v>
      </c>
      <c r="EZ4">
        <v>274</v>
      </c>
      <c r="FA4">
        <v>25</v>
      </c>
      <c r="FB4">
        <v>25</v>
      </c>
      <c r="FC4" s="145" t="s">
        <v>159</v>
      </c>
      <c r="FD4" s="1" t="s">
        <v>267</v>
      </c>
      <c r="FE4" t="s">
        <v>170</v>
      </c>
      <c r="FF4" t="s">
        <v>170</v>
      </c>
      <c r="FG4" t="s">
        <v>170</v>
      </c>
      <c r="FH4" t="s">
        <v>170</v>
      </c>
      <c r="FI4" t="s">
        <v>170</v>
      </c>
      <c r="FJ4" t="s">
        <v>170</v>
      </c>
      <c r="FK4" t="s">
        <v>170</v>
      </c>
      <c r="FL4" t="s">
        <v>170</v>
      </c>
      <c r="FM4" t="s">
        <v>170</v>
      </c>
      <c r="FN4" t="s">
        <v>170</v>
      </c>
      <c r="FO4" t="s">
        <v>170</v>
      </c>
      <c r="FP4" t="s">
        <v>170</v>
      </c>
    </row>
    <row r="5" spans="1:191" ht="17" x14ac:dyDescent="0.2">
      <c r="A5" s="126" t="s">
        <v>152</v>
      </c>
      <c r="B5" t="s">
        <v>173</v>
      </c>
      <c r="C5">
        <v>2010</v>
      </c>
      <c r="D5" s="1" t="s">
        <v>172</v>
      </c>
      <c r="E5">
        <f t="shared" ref="E5:E23" si="2">AG5</f>
        <v>456</v>
      </c>
      <c r="F5" t="str">
        <f t="shared" ref="F5:F23" si="3">AH5</f>
        <v>NA</v>
      </c>
      <c r="G5" t="str">
        <f t="shared" ref="G5:G23" si="4">AI5</f>
        <v>NA</v>
      </c>
      <c r="H5">
        <f t="shared" ref="H5:H23" si="5">EZ5</f>
        <v>290</v>
      </c>
      <c r="I5">
        <f t="shared" ref="I5:I23" si="6">FA5</f>
        <v>25</v>
      </c>
      <c r="J5">
        <f t="shared" ref="J5:J23" si="7">FB5</f>
        <v>25</v>
      </c>
      <c r="K5" t="s">
        <v>268</v>
      </c>
      <c r="L5" s="150" t="s">
        <v>269</v>
      </c>
      <c r="M5" s="1" t="s">
        <v>171</v>
      </c>
      <c r="N5" s="1" t="s">
        <v>172</v>
      </c>
      <c r="O5">
        <v>999</v>
      </c>
      <c r="P5" s="1" t="s">
        <v>156</v>
      </c>
      <c r="Q5">
        <v>3</v>
      </c>
      <c r="R5">
        <v>2</v>
      </c>
      <c r="S5">
        <v>33</v>
      </c>
      <c r="T5">
        <v>34.5</v>
      </c>
      <c r="U5">
        <v>18.93</v>
      </c>
      <c r="V5" t="s">
        <v>159</v>
      </c>
      <c r="W5" t="s">
        <v>159</v>
      </c>
      <c r="X5" t="s">
        <v>157</v>
      </c>
      <c r="Y5" s="1">
        <v>12.744</v>
      </c>
      <c r="Z5" s="1">
        <v>-78.7393</v>
      </c>
      <c r="AA5" s="1" t="s">
        <v>159</v>
      </c>
      <c r="AB5" s="1" t="s">
        <v>159</v>
      </c>
      <c r="AC5" s="1">
        <v>-2828</v>
      </c>
      <c r="AD5" t="s">
        <v>159</v>
      </c>
      <c r="AE5" s="1" t="s">
        <v>159</v>
      </c>
      <c r="AF5" s="136" t="s">
        <v>159</v>
      </c>
      <c r="AG5" s="139">
        <v>456</v>
      </c>
      <c r="AH5" s="147" t="s">
        <v>159</v>
      </c>
      <c r="AI5" s="136" t="s">
        <v>159</v>
      </c>
      <c r="AJ5" s="136" t="s">
        <v>159</v>
      </c>
      <c r="AK5" s="136" t="s">
        <v>159</v>
      </c>
      <c r="AL5" t="s">
        <v>176</v>
      </c>
      <c r="AM5" s="130" t="s">
        <v>177</v>
      </c>
      <c r="AN5" t="s">
        <v>159</v>
      </c>
      <c r="AO5" t="s">
        <v>159</v>
      </c>
      <c r="AP5" t="s">
        <v>159</v>
      </c>
      <c r="AQ5" t="s">
        <v>159</v>
      </c>
      <c r="AR5" t="s">
        <v>159</v>
      </c>
      <c r="AS5" t="s">
        <v>159</v>
      </c>
      <c r="AT5" t="s">
        <v>159</v>
      </c>
      <c r="AU5" t="s">
        <v>279</v>
      </c>
      <c r="AV5" s="1" t="s">
        <v>160</v>
      </c>
      <c r="AW5" s="131" t="s">
        <v>196</v>
      </c>
      <c r="AX5" s="132" t="s">
        <v>197</v>
      </c>
      <c r="AY5" s="1" t="s">
        <v>198</v>
      </c>
      <c r="AZ5" s="1" t="s">
        <v>260</v>
      </c>
      <c r="BA5" s="1" t="s">
        <v>199</v>
      </c>
      <c r="BB5" t="s">
        <v>200</v>
      </c>
      <c r="BC5">
        <v>2</v>
      </c>
      <c r="BD5">
        <v>0.31000000000000227</v>
      </c>
      <c r="BE5" s="134">
        <v>20.13</v>
      </c>
      <c r="BF5" s="135" t="s">
        <v>162</v>
      </c>
      <c r="BG5" s="134">
        <v>0.12</v>
      </c>
      <c r="BH5" s="137" t="s">
        <v>159</v>
      </c>
      <c r="BI5" s="137" t="s">
        <v>159</v>
      </c>
      <c r="BJ5" s="138" t="s">
        <v>159</v>
      </c>
      <c r="BK5" s="1">
        <v>0.8</v>
      </c>
      <c r="BL5" s="1" t="s">
        <v>159</v>
      </c>
      <c r="BM5" s="1" t="s">
        <v>159</v>
      </c>
      <c r="BN5" s="1" t="s">
        <v>219</v>
      </c>
      <c r="BO5" s="1" t="s">
        <v>223</v>
      </c>
      <c r="BP5" s="136" t="s">
        <v>159</v>
      </c>
      <c r="BQ5" s="136" t="s">
        <v>159</v>
      </c>
      <c r="BR5" s="136" t="s">
        <v>159</v>
      </c>
      <c r="BS5" s="136" t="s">
        <v>159</v>
      </c>
      <c r="BT5" s="136" t="s">
        <v>159</v>
      </c>
      <c r="BU5" s="136" t="s">
        <v>221</v>
      </c>
      <c r="BV5" s="136" t="s">
        <v>237</v>
      </c>
      <c r="BW5" s="136" t="s">
        <v>237</v>
      </c>
      <c r="BX5">
        <v>25.9</v>
      </c>
      <c r="BY5" s="126" t="s">
        <v>159</v>
      </c>
      <c r="BZ5" s="136">
        <v>1.5</v>
      </c>
      <c r="CA5" s="136">
        <v>1.5</v>
      </c>
      <c r="CB5" t="s">
        <v>239</v>
      </c>
      <c r="CC5" t="s">
        <v>159</v>
      </c>
      <c r="CD5" t="s">
        <v>159</v>
      </c>
      <c r="CE5" t="s">
        <v>159</v>
      </c>
      <c r="CF5" t="s">
        <v>159</v>
      </c>
      <c r="CG5" t="s">
        <v>159</v>
      </c>
      <c r="CH5" t="s">
        <v>159</v>
      </c>
      <c r="CI5" t="s">
        <v>159</v>
      </c>
      <c r="CJ5" t="s">
        <v>159</v>
      </c>
      <c r="CK5" t="s">
        <v>159</v>
      </c>
      <c r="CL5" t="s">
        <v>159</v>
      </c>
      <c r="CM5" t="s">
        <v>159</v>
      </c>
      <c r="CN5" t="s">
        <v>236</v>
      </c>
      <c r="CO5" s="136" t="s">
        <v>225</v>
      </c>
      <c r="CP5" s="146" t="s">
        <v>159</v>
      </c>
      <c r="CQ5" s="146" t="s">
        <v>159</v>
      </c>
      <c r="CR5" s="136" t="s">
        <v>159</v>
      </c>
      <c r="CS5" s="136" t="s">
        <v>224</v>
      </c>
      <c r="CT5" s="136" t="s">
        <v>238</v>
      </c>
      <c r="CU5">
        <v>36</v>
      </c>
      <c r="CV5" s="1" t="s">
        <v>158</v>
      </c>
      <c r="CW5" s="1">
        <v>0</v>
      </c>
      <c r="CX5" s="1" t="s">
        <v>220</v>
      </c>
      <c r="CY5" t="s">
        <v>163</v>
      </c>
      <c r="CZ5" s="134" t="s">
        <v>166</v>
      </c>
      <c r="DA5" s="134" t="s">
        <v>166</v>
      </c>
      <c r="DB5" s="134" t="s">
        <v>166</v>
      </c>
      <c r="DC5" t="s">
        <v>163</v>
      </c>
      <c r="DD5" s="134" t="s">
        <v>166</v>
      </c>
      <c r="DE5" s="134" t="s">
        <v>166</v>
      </c>
      <c r="DF5" s="134" t="s">
        <v>166</v>
      </c>
      <c r="DG5" t="s">
        <v>163</v>
      </c>
      <c r="DH5" s="134" t="s">
        <v>166</v>
      </c>
      <c r="DI5" s="134" t="s">
        <v>166</v>
      </c>
      <c r="DJ5" s="134" t="s">
        <v>166</v>
      </c>
      <c r="DK5" s="136">
        <v>413.7</v>
      </c>
      <c r="DL5" s="136" t="s">
        <v>159</v>
      </c>
      <c r="DM5" s="136" t="s">
        <v>159</v>
      </c>
      <c r="DN5" s="148" t="s">
        <v>266</v>
      </c>
      <c r="DO5" s="1">
        <v>39.5</v>
      </c>
      <c r="DP5" t="s">
        <v>164</v>
      </c>
      <c r="DQ5" s="143" t="s">
        <v>159</v>
      </c>
      <c r="DR5" t="s">
        <v>262</v>
      </c>
      <c r="DS5" t="s">
        <v>261</v>
      </c>
      <c r="DT5" t="s">
        <v>165</v>
      </c>
      <c r="DU5">
        <v>1.0271999999999999</v>
      </c>
      <c r="DV5" t="s">
        <v>166</v>
      </c>
      <c r="DW5" t="s">
        <v>166</v>
      </c>
      <c r="DX5" t="s">
        <v>227</v>
      </c>
      <c r="DY5" t="s">
        <v>166</v>
      </c>
      <c r="DZ5" t="s">
        <v>166</v>
      </c>
      <c r="EA5" s="146" t="s">
        <v>159</v>
      </c>
      <c r="EB5" s="136" t="s">
        <v>241</v>
      </c>
      <c r="EC5" s="136" t="s">
        <v>240</v>
      </c>
      <c r="ED5" s="136" t="s">
        <v>240</v>
      </c>
      <c r="EE5" s="146" t="s">
        <v>159</v>
      </c>
      <c r="EF5" s="146" t="s">
        <v>159</v>
      </c>
      <c r="EG5" s="146" t="s">
        <v>159</v>
      </c>
      <c r="EH5" t="s">
        <v>167</v>
      </c>
      <c r="EI5" t="s">
        <v>220</v>
      </c>
      <c r="EJ5" s="143" t="s">
        <v>159</v>
      </c>
      <c r="EK5" s="144">
        <v>2330</v>
      </c>
      <c r="EL5" s="143" t="s">
        <v>168</v>
      </c>
      <c r="EM5" s="143">
        <f t="shared" ref="EM5:EM23" si="8">EK5*0.05</f>
        <v>116.5</v>
      </c>
      <c r="EN5" s="143">
        <f t="shared" ref="EN5:EN23" si="9">EK5*0.05</f>
        <v>116.5</v>
      </c>
      <c r="EO5" s="136" t="s">
        <v>159</v>
      </c>
      <c r="EP5" s="136" t="s">
        <v>159</v>
      </c>
      <c r="EQ5" s="136" t="s">
        <v>159</v>
      </c>
      <c r="ER5" s="136" t="s">
        <v>159</v>
      </c>
      <c r="ES5" s="136">
        <v>8.16</v>
      </c>
      <c r="ET5" s="1" t="s">
        <v>169</v>
      </c>
      <c r="EU5" s="1">
        <v>0.02</v>
      </c>
      <c r="EV5" s="1">
        <v>0.02</v>
      </c>
      <c r="EW5">
        <v>290</v>
      </c>
      <c r="EX5" t="s">
        <v>159</v>
      </c>
      <c r="EY5" t="s">
        <v>159</v>
      </c>
      <c r="EZ5">
        <v>290</v>
      </c>
      <c r="FA5">
        <v>25</v>
      </c>
      <c r="FB5">
        <v>25</v>
      </c>
      <c r="FC5" s="145" t="s">
        <v>159</v>
      </c>
      <c r="FD5" s="1" t="s">
        <v>267</v>
      </c>
      <c r="FE5" t="s">
        <v>170</v>
      </c>
      <c r="FF5" t="s">
        <v>170</v>
      </c>
      <c r="FG5" t="s">
        <v>170</v>
      </c>
      <c r="FH5" t="s">
        <v>170</v>
      </c>
      <c r="FI5" t="s">
        <v>170</v>
      </c>
      <c r="FJ5" t="s">
        <v>170</v>
      </c>
      <c r="FK5" t="s">
        <v>170</v>
      </c>
      <c r="FL5" t="s">
        <v>170</v>
      </c>
      <c r="FM5" t="s">
        <v>170</v>
      </c>
      <c r="FN5" t="s">
        <v>170</v>
      </c>
      <c r="FO5" t="s">
        <v>170</v>
      </c>
      <c r="FP5" t="s">
        <v>170</v>
      </c>
    </row>
    <row r="6" spans="1:191" ht="17" x14ac:dyDescent="0.2">
      <c r="A6" s="126" t="s">
        <v>152</v>
      </c>
      <c r="B6" t="s">
        <v>173</v>
      </c>
      <c r="C6">
        <v>2010</v>
      </c>
      <c r="D6" s="1" t="s">
        <v>172</v>
      </c>
      <c r="E6">
        <f t="shared" si="2"/>
        <v>900</v>
      </c>
      <c r="F6" t="str">
        <f t="shared" si="3"/>
        <v>NA</v>
      </c>
      <c r="G6" t="str">
        <f t="shared" si="4"/>
        <v>NA</v>
      </c>
      <c r="H6">
        <f t="shared" si="5"/>
        <v>279</v>
      </c>
      <c r="I6">
        <f t="shared" si="6"/>
        <v>25</v>
      </c>
      <c r="J6">
        <f t="shared" si="7"/>
        <v>25</v>
      </c>
      <c r="K6" t="s">
        <v>268</v>
      </c>
      <c r="L6" s="150" t="s">
        <v>269</v>
      </c>
      <c r="M6" s="1" t="s">
        <v>171</v>
      </c>
      <c r="N6" s="1" t="s">
        <v>172</v>
      </c>
      <c r="O6">
        <v>999</v>
      </c>
      <c r="P6" s="1" t="s">
        <v>156</v>
      </c>
      <c r="Q6">
        <v>4</v>
      </c>
      <c r="R6">
        <v>4</v>
      </c>
      <c r="S6">
        <v>33</v>
      </c>
      <c r="T6">
        <v>35</v>
      </c>
      <c r="U6">
        <v>31.43</v>
      </c>
      <c r="V6" t="s">
        <v>159</v>
      </c>
      <c r="W6" t="s">
        <v>159</v>
      </c>
      <c r="X6" t="s">
        <v>157</v>
      </c>
      <c r="Y6" s="1">
        <v>12.744</v>
      </c>
      <c r="Z6" s="1">
        <v>-78.7393</v>
      </c>
      <c r="AA6" s="1" t="s">
        <v>159</v>
      </c>
      <c r="AB6" s="1" t="s">
        <v>159</v>
      </c>
      <c r="AC6" s="1">
        <v>-2828</v>
      </c>
      <c r="AD6" t="s">
        <v>159</v>
      </c>
      <c r="AE6" s="1" t="s">
        <v>159</v>
      </c>
      <c r="AF6" s="136" t="s">
        <v>159</v>
      </c>
      <c r="AG6" s="140">
        <v>900</v>
      </c>
      <c r="AH6" s="147" t="s">
        <v>159</v>
      </c>
      <c r="AI6" s="136" t="s">
        <v>159</v>
      </c>
      <c r="AJ6" s="136" t="s">
        <v>159</v>
      </c>
      <c r="AK6" s="136" t="s">
        <v>159</v>
      </c>
      <c r="AL6" t="s">
        <v>176</v>
      </c>
      <c r="AM6" s="130" t="s">
        <v>178</v>
      </c>
      <c r="AN6" t="s">
        <v>159</v>
      </c>
      <c r="AO6" t="s">
        <v>159</v>
      </c>
      <c r="AP6" t="s">
        <v>159</v>
      </c>
      <c r="AQ6" t="s">
        <v>159</v>
      </c>
      <c r="AR6" t="s">
        <v>159</v>
      </c>
      <c r="AS6" t="s">
        <v>159</v>
      </c>
      <c r="AT6" t="s">
        <v>159</v>
      </c>
      <c r="AU6" t="s">
        <v>279</v>
      </c>
      <c r="AV6" s="1" t="s">
        <v>160</v>
      </c>
      <c r="AW6" s="131" t="s">
        <v>196</v>
      </c>
      <c r="AX6" s="132" t="s">
        <v>197</v>
      </c>
      <c r="AY6" s="1" t="s">
        <v>198</v>
      </c>
      <c r="AZ6" s="1" t="s">
        <v>260</v>
      </c>
      <c r="BA6" s="1" t="s">
        <v>199</v>
      </c>
      <c r="BB6" t="s">
        <v>201</v>
      </c>
      <c r="BC6">
        <v>2</v>
      </c>
      <c r="BD6">
        <v>0.16999999999999812</v>
      </c>
      <c r="BE6" s="134">
        <v>20.23</v>
      </c>
      <c r="BF6" s="135" t="s">
        <v>162</v>
      </c>
      <c r="BG6" s="134">
        <v>0.09</v>
      </c>
      <c r="BH6" s="137" t="s">
        <v>159</v>
      </c>
      <c r="BI6" s="137" t="s">
        <v>159</v>
      </c>
      <c r="BJ6" s="138" t="s">
        <v>159</v>
      </c>
      <c r="BK6" s="1">
        <v>0.8</v>
      </c>
      <c r="BL6" s="1" t="s">
        <v>159</v>
      </c>
      <c r="BM6" s="1" t="s">
        <v>159</v>
      </c>
      <c r="BN6" s="1" t="s">
        <v>219</v>
      </c>
      <c r="BO6" s="1" t="s">
        <v>223</v>
      </c>
      <c r="BP6" s="136" t="s">
        <v>159</v>
      </c>
      <c r="BQ6" s="136" t="s">
        <v>159</v>
      </c>
      <c r="BR6" s="136" t="s">
        <v>159</v>
      </c>
      <c r="BS6" s="136" t="s">
        <v>159</v>
      </c>
      <c r="BT6" s="136" t="s">
        <v>159</v>
      </c>
      <c r="BU6" s="136" t="s">
        <v>221</v>
      </c>
      <c r="BV6" s="136" t="s">
        <v>237</v>
      </c>
      <c r="BW6" s="136" t="s">
        <v>237</v>
      </c>
      <c r="BX6">
        <v>25.3</v>
      </c>
      <c r="BY6" s="126" t="s">
        <v>159</v>
      </c>
      <c r="BZ6" s="136">
        <v>1.5</v>
      </c>
      <c r="CA6" s="136">
        <v>1.5</v>
      </c>
      <c r="CB6" t="s">
        <v>239</v>
      </c>
      <c r="CC6" t="s">
        <v>159</v>
      </c>
      <c r="CD6" t="s">
        <v>159</v>
      </c>
      <c r="CE6" t="s">
        <v>159</v>
      </c>
      <c r="CF6" t="s">
        <v>159</v>
      </c>
      <c r="CG6" t="s">
        <v>159</v>
      </c>
      <c r="CH6" t="s">
        <v>159</v>
      </c>
      <c r="CI6" t="s">
        <v>159</v>
      </c>
      <c r="CJ6" t="s">
        <v>159</v>
      </c>
      <c r="CK6" t="s">
        <v>159</v>
      </c>
      <c r="CL6" t="s">
        <v>159</v>
      </c>
      <c r="CM6" t="s">
        <v>159</v>
      </c>
      <c r="CN6" t="s">
        <v>236</v>
      </c>
      <c r="CO6" s="136" t="s">
        <v>225</v>
      </c>
      <c r="CP6" s="146" t="s">
        <v>159</v>
      </c>
      <c r="CQ6" s="146" t="s">
        <v>159</v>
      </c>
      <c r="CR6" s="136" t="s">
        <v>159</v>
      </c>
      <c r="CS6" s="136" t="s">
        <v>224</v>
      </c>
      <c r="CT6" s="136" t="s">
        <v>238</v>
      </c>
      <c r="CU6">
        <v>36</v>
      </c>
      <c r="CV6" s="1" t="s">
        <v>158</v>
      </c>
      <c r="CW6" s="1">
        <v>0</v>
      </c>
      <c r="CX6" s="1" t="s">
        <v>220</v>
      </c>
      <c r="CY6" t="s">
        <v>163</v>
      </c>
      <c r="CZ6" s="134" t="s">
        <v>166</v>
      </c>
      <c r="DA6" s="134" t="s">
        <v>166</v>
      </c>
      <c r="DB6" s="134" t="s">
        <v>166</v>
      </c>
      <c r="DC6" t="s">
        <v>163</v>
      </c>
      <c r="DD6" s="134" t="s">
        <v>166</v>
      </c>
      <c r="DE6" s="134" t="s">
        <v>166</v>
      </c>
      <c r="DF6" s="134" t="s">
        <v>166</v>
      </c>
      <c r="DG6" t="s">
        <v>163</v>
      </c>
      <c r="DH6" s="134" t="s">
        <v>166</v>
      </c>
      <c r="DI6" s="134" t="s">
        <v>166</v>
      </c>
      <c r="DJ6" s="134" t="s">
        <v>166</v>
      </c>
      <c r="DK6" s="136">
        <v>413.7</v>
      </c>
      <c r="DL6" s="136" t="s">
        <v>159</v>
      </c>
      <c r="DM6" s="136" t="s">
        <v>159</v>
      </c>
      <c r="DN6" s="148" t="s">
        <v>266</v>
      </c>
      <c r="DO6" s="1">
        <v>39.5</v>
      </c>
      <c r="DP6" t="s">
        <v>164</v>
      </c>
      <c r="DQ6" s="143" t="s">
        <v>159</v>
      </c>
      <c r="DR6" t="s">
        <v>263</v>
      </c>
      <c r="DS6" t="s">
        <v>261</v>
      </c>
      <c r="DT6" t="s">
        <v>165</v>
      </c>
      <c r="DU6">
        <v>1.0271999999999999</v>
      </c>
      <c r="DV6" t="s">
        <v>166</v>
      </c>
      <c r="DW6" t="s">
        <v>166</v>
      </c>
      <c r="DX6" t="s">
        <v>227</v>
      </c>
      <c r="DY6" t="s">
        <v>166</v>
      </c>
      <c r="DZ6" t="s">
        <v>166</v>
      </c>
      <c r="EA6" s="146" t="s">
        <v>159</v>
      </c>
      <c r="EB6" s="136" t="s">
        <v>242</v>
      </c>
      <c r="EC6" s="136" t="s">
        <v>240</v>
      </c>
      <c r="ED6" s="136" t="s">
        <v>240</v>
      </c>
      <c r="EE6" s="146" t="s">
        <v>159</v>
      </c>
      <c r="EF6" s="146" t="s">
        <v>159</v>
      </c>
      <c r="EG6" s="146" t="s">
        <v>159</v>
      </c>
      <c r="EH6" t="s">
        <v>167</v>
      </c>
      <c r="EI6" t="s">
        <v>220</v>
      </c>
      <c r="EJ6" s="143" t="s">
        <v>159</v>
      </c>
      <c r="EK6" s="144">
        <v>2330</v>
      </c>
      <c r="EL6" s="143" t="s">
        <v>168</v>
      </c>
      <c r="EM6" s="143">
        <f t="shared" si="8"/>
        <v>116.5</v>
      </c>
      <c r="EN6" s="143">
        <f t="shared" si="9"/>
        <v>116.5</v>
      </c>
      <c r="EO6" s="136" t="s">
        <v>159</v>
      </c>
      <c r="EP6" s="136" t="s">
        <v>159</v>
      </c>
      <c r="EQ6" s="136" t="s">
        <v>159</v>
      </c>
      <c r="ER6" s="136" t="s">
        <v>159</v>
      </c>
      <c r="ES6" s="136">
        <v>8.17</v>
      </c>
      <c r="ET6" s="1" t="s">
        <v>169</v>
      </c>
      <c r="EU6" s="1">
        <v>0.02</v>
      </c>
      <c r="EV6" s="1">
        <v>0.02</v>
      </c>
      <c r="EW6">
        <v>279</v>
      </c>
      <c r="EX6" t="s">
        <v>159</v>
      </c>
      <c r="EY6" t="s">
        <v>159</v>
      </c>
      <c r="EZ6">
        <v>279</v>
      </c>
      <c r="FA6">
        <v>25</v>
      </c>
      <c r="FB6">
        <v>25</v>
      </c>
      <c r="FC6" s="145" t="s">
        <v>159</v>
      </c>
      <c r="FD6" s="1" t="s">
        <v>267</v>
      </c>
      <c r="FE6" t="s">
        <v>170</v>
      </c>
      <c r="FF6" t="s">
        <v>170</v>
      </c>
      <c r="FG6" t="s">
        <v>170</v>
      </c>
      <c r="FH6" t="s">
        <v>170</v>
      </c>
      <c r="FI6" t="s">
        <v>170</v>
      </c>
      <c r="FJ6" t="s">
        <v>170</v>
      </c>
      <c r="FK6" t="s">
        <v>170</v>
      </c>
      <c r="FL6" t="s">
        <v>170</v>
      </c>
      <c r="FM6" t="s">
        <v>170</v>
      </c>
      <c r="FN6" t="s">
        <v>170</v>
      </c>
      <c r="FO6" t="s">
        <v>170</v>
      </c>
      <c r="FP6" t="s">
        <v>170</v>
      </c>
    </row>
    <row r="7" spans="1:191" ht="17" x14ac:dyDescent="0.2">
      <c r="A7" s="126" t="s">
        <v>152</v>
      </c>
      <c r="B7" t="s">
        <v>173</v>
      </c>
      <c r="C7">
        <v>2010</v>
      </c>
      <c r="D7" s="1" t="s">
        <v>172</v>
      </c>
      <c r="E7">
        <f t="shared" si="2"/>
        <v>1500</v>
      </c>
      <c r="F7" t="str">
        <f t="shared" si="3"/>
        <v>NA</v>
      </c>
      <c r="G7" t="str">
        <f t="shared" si="4"/>
        <v>NA</v>
      </c>
      <c r="H7">
        <f t="shared" si="5"/>
        <v>288</v>
      </c>
      <c r="I7">
        <f t="shared" si="6"/>
        <v>25</v>
      </c>
      <c r="J7">
        <f t="shared" si="7"/>
        <v>25</v>
      </c>
      <c r="K7" t="s">
        <v>268</v>
      </c>
      <c r="L7" s="150" t="s">
        <v>269</v>
      </c>
      <c r="M7" s="1" t="s">
        <v>171</v>
      </c>
      <c r="N7" s="1" t="s">
        <v>172</v>
      </c>
      <c r="O7">
        <v>999</v>
      </c>
      <c r="P7" s="1" t="s">
        <v>156</v>
      </c>
      <c r="Q7">
        <v>6</v>
      </c>
      <c r="R7">
        <v>3</v>
      </c>
      <c r="S7">
        <v>108</v>
      </c>
      <c r="T7">
        <v>110</v>
      </c>
      <c r="U7">
        <v>49.68</v>
      </c>
      <c r="V7" t="s">
        <v>159</v>
      </c>
      <c r="W7" t="s">
        <v>159</v>
      </c>
      <c r="X7" t="s">
        <v>157</v>
      </c>
      <c r="Y7" s="1">
        <v>12.744</v>
      </c>
      <c r="Z7" s="1">
        <v>-78.7393</v>
      </c>
      <c r="AA7" s="1" t="s">
        <v>159</v>
      </c>
      <c r="AB7" s="1" t="s">
        <v>159</v>
      </c>
      <c r="AC7" s="1">
        <v>-2828</v>
      </c>
      <c r="AD7" t="s">
        <v>159</v>
      </c>
      <c r="AE7" s="1" t="s">
        <v>159</v>
      </c>
      <c r="AF7" s="136" t="s">
        <v>159</v>
      </c>
      <c r="AG7" s="140">
        <v>1500</v>
      </c>
      <c r="AH7" s="147" t="s">
        <v>159</v>
      </c>
      <c r="AI7" s="136" t="s">
        <v>159</v>
      </c>
      <c r="AJ7" s="136" t="s">
        <v>159</v>
      </c>
      <c r="AK7" s="136" t="s">
        <v>159</v>
      </c>
      <c r="AL7" t="s">
        <v>176</v>
      </c>
      <c r="AM7" s="130" t="s">
        <v>179</v>
      </c>
      <c r="AN7" t="s">
        <v>159</v>
      </c>
      <c r="AO7" t="s">
        <v>159</v>
      </c>
      <c r="AP7" t="s">
        <v>159</v>
      </c>
      <c r="AQ7" t="s">
        <v>159</v>
      </c>
      <c r="AR7" t="s">
        <v>159</v>
      </c>
      <c r="AS7" t="s">
        <v>159</v>
      </c>
      <c r="AT7" t="s">
        <v>159</v>
      </c>
      <c r="AU7" t="s">
        <v>279</v>
      </c>
      <c r="AV7" s="1" t="s">
        <v>160</v>
      </c>
      <c r="AW7" s="131" t="s">
        <v>196</v>
      </c>
      <c r="AX7" s="132" t="s">
        <v>197</v>
      </c>
      <c r="AY7" s="1" t="s">
        <v>198</v>
      </c>
      <c r="AZ7" s="1" t="s">
        <v>260</v>
      </c>
      <c r="BA7" s="1" t="s">
        <v>199</v>
      </c>
      <c r="BB7" t="s">
        <v>202</v>
      </c>
      <c r="BC7">
        <v>2</v>
      </c>
      <c r="BD7">
        <v>0.2999999999999971</v>
      </c>
      <c r="BE7" s="134">
        <v>20.57</v>
      </c>
      <c r="BF7" s="135" t="s">
        <v>162</v>
      </c>
      <c r="BG7" s="134">
        <v>0.14000000000000001</v>
      </c>
      <c r="BH7" s="137" t="s">
        <v>159</v>
      </c>
      <c r="BI7" s="137" t="s">
        <v>159</v>
      </c>
      <c r="BJ7" s="138" t="s">
        <v>159</v>
      </c>
      <c r="BK7" s="1">
        <v>0.8</v>
      </c>
      <c r="BL7" s="1" t="s">
        <v>159</v>
      </c>
      <c r="BM7" s="1" t="s">
        <v>159</v>
      </c>
      <c r="BN7" s="1" t="s">
        <v>219</v>
      </c>
      <c r="BO7" s="1" t="s">
        <v>223</v>
      </c>
      <c r="BP7" s="136" t="s">
        <v>159</v>
      </c>
      <c r="BQ7" s="136" t="s">
        <v>159</v>
      </c>
      <c r="BR7" s="136" t="s">
        <v>159</v>
      </c>
      <c r="BS7" s="136" t="s">
        <v>159</v>
      </c>
      <c r="BT7" s="136" t="s">
        <v>159</v>
      </c>
      <c r="BU7" s="136" t="s">
        <v>221</v>
      </c>
      <c r="BV7" s="136" t="s">
        <v>237</v>
      </c>
      <c r="BW7" s="136" t="s">
        <v>237</v>
      </c>
      <c r="BX7">
        <v>28</v>
      </c>
      <c r="BY7" s="126" t="s">
        <v>159</v>
      </c>
      <c r="BZ7" s="136">
        <v>1.5</v>
      </c>
      <c r="CA7" s="136">
        <v>1.5</v>
      </c>
      <c r="CB7" t="s">
        <v>239</v>
      </c>
      <c r="CC7" t="s">
        <v>159</v>
      </c>
      <c r="CD7" t="s">
        <v>159</v>
      </c>
      <c r="CE7" t="s">
        <v>159</v>
      </c>
      <c r="CF7" t="s">
        <v>159</v>
      </c>
      <c r="CG7" t="s">
        <v>159</v>
      </c>
      <c r="CH7" t="s">
        <v>159</v>
      </c>
      <c r="CI7" t="s">
        <v>159</v>
      </c>
      <c r="CJ7" t="s">
        <v>159</v>
      </c>
      <c r="CK7" t="s">
        <v>159</v>
      </c>
      <c r="CL7" t="s">
        <v>159</v>
      </c>
      <c r="CM7" t="s">
        <v>159</v>
      </c>
      <c r="CN7" t="s">
        <v>236</v>
      </c>
      <c r="CO7" s="136" t="s">
        <v>225</v>
      </c>
      <c r="CP7" s="146" t="s">
        <v>159</v>
      </c>
      <c r="CQ7" s="146" t="s">
        <v>159</v>
      </c>
      <c r="CR7" s="136" t="s">
        <v>159</v>
      </c>
      <c r="CS7" s="136" t="s">
        <v>224</v>
      </c>
      <c r="CT7" s="136" t="s">
        <v>238</v>
      </c>
      <c r="CU7">
        <v>36</v>
      </c>
      <c r="CV7" s="1" t="s">
        <v>158</v>
      </c>
      <c r="CW7" s="1">
        <v>0</v>
      </c>
      <c r="CX7" s="1" t="s">
        <v>220</v>
      </c>
      <c r="CY7" t="s">
        <v>163</v>
      </c>
      <c r="CZ7" s="134" t="s">
        <v>166</v>
      </c>
      <c r="DA7" s="134" t="s">
        <v>166</v>
      </c>
      <c r="DB7" s="134" t="s">
        <v>166</v>
      </c>
      <c r="DC7" t="s">
        <v>163</v>
      </c>
      <c r="DD7" s="134" t="s">
        <v>166</v>
      </c>
      <c r="DE7" s="134" t="s">
        <v>166</v>
      </c>
      <c r="DF7" s="134" t="s">
        <v>166</v>
      </c>
      <c r="DG7" t="s">
        <v>163</v>
      </c>
      <c r="DH7" s="134" t="s">
        <v>166</v>
      </c>
      <c r="DI7" s="134" t="s">
        <v>166</v>
      </c>
      <c r="DJ7" s="134" t="s">
        <v>166</v>
      </c>
      <c r="DK7" s="136">
        <v>413.7</v>
      </c>
      <c r="DL7" s="136" t="s">
        <v>159</v>
      </c>
      <c r="DM7" s="136" t="s">
        <v>159</v>
      </c>
      <c r="DN7" s="148" t="s">
        <v>266</v>
      </c>
      <c r="DO7" s="1">
        <v>39.5</v>
      </c>
      <c r="DP7" t="s">
        <v>164</v>
      </c>
      <c r="DQ7" s="143" t="s">
        <v>159</v>
      </c>
      <c r="DR7" t="s">
        <v>263</v>
      </c>
      <c r="DS7" t="s">
        <v>261</v>
      </c>
      <c r="DT7" t="s">
        <v>165</v>
      </c>
      <c r="DU7">
        <v>1.0271999999999999</v>
      </c>
      <c r="DV7" t="s">
        <v>166</v>
      </c>
      <c r="DW7" t="s">
        <v>166</v>
      </c>
      <c r="DX7" t="s">
        <v>227</v>
      </c>
      <c r="DY7" t="s">
        <v>166</v>
      </c>
      <c r="DZ7" t="s">
        <v>166</v>
      </c>
      <c r="EA7" s="146" t="s">
        <v>159</v>
      </c>
      <c r="EB7" s="136" t="s">
        <v>243</v>
      </c>
      <c r="EC7" s="136" t="s">
        <v>240</v>
      </c>
      <c r="ED7" s="136" t="s">
        <v>240</v>
      </c>
      <c r="EE7" s="146" t="s">
        <v>159</v>
      </c>
      <c r="EF7" s="146" t="s">
        <v>159</v>
      </c>
      <c r="EG7" s="146" t="s">
        <v>159</v>
      </c>
      <c r="EH7" t="s">
        <v>167</v>
      </c>
      <c r="EI7" t="s">
        <v>220</v>
      </c>
      <c r="EJ7" s="143" t="s">
        <v>159</v>
      </c>
      <c r="EK7" s="144">
        <v>2330</v>
      </c>
      <c r="EL7" s="143" t="s">
        <v>168</v>
      </c>
      <c r="EM7" s="143">
        <f t="shared" si="8"/>
        <v>116.5</v>
      </c>
      <c r="EN7" s="143">
        <f t="shared" si="9"/>
        <v>116.5</v>
      </c>
      <c r="EO7" s="136" t="s">
        <v>159</v>
      </c>
      <c r="EP7" s="136" t="s">
        <v>159</v>
      </c>
      <c r="EQ7" s="136" t="s">
        <v>159</v>
      </c>
      <c r="ER7" s="136" t="s">
        <v>159</v>
      </c>
      <c r="ES7" s="136">
        <v>8.17</v>
      </c>
      <c r="ET7" s="1" t="s">
        <v>169</v>
      </c>
      <c r="EU7" s="1">
        <v>0.02</v>
      </c>
      <c r="EV7" s="1">
        <v>0.02</v>
      </c>
      <c r="EW7">
        <v>288</v>
      </c>
      <c r="EX7" t="s">
        <v>159</v>
      </c>
      <c r="EY7" t="s">
        <v>159</v>
      </c>
      <c r="EZ7">
        <v>288</v>
      </c>
      <c r="FA7">
        <v>25</v>
      </c>
      <c r="FB7">
        <v>25</v>
      </c>
      <c r="FC7" s="145" t="s">
        <v>159</v>
      </c>
      <c r="FD7" s="1" t="s">
        <v>267</v>
      </c>
      <c r="FE7" t="s">
        <v>170</v>
      </c>
      <c r="FF7" t="s">
        <v>170</v>
      </c>
      <c r="FG7" t="s">
        <v>170</v>
      </c>
      <c r="FH7" t="s">
        <v>170</v>
      </c>
      <c r="FI7" t="s">
        <v>170</v>
      </c>
      <c r="FJ7" t="s">
        <v>170</v>
      </c>
      <c r="FK7" t="s">
        <v>170</v>
      </c>
      <c r="FL7" t="s">
        <v>170</v>
      </c>
      <c r="FM7" t="s">
        <v>170</v>
      </c>
      <c r="FN7" t="s">
        <v>170</v>
      </c>
      <c r="FO7" t="s">
        <v>170</v>
      </c>
      <c r="FP7" t="s">
        <v>170</v>
      </c>
    </row>
    <row r="8" spans="1:191" ht="17" x14ac:dyDescent="0.2">
      <c r="A8" s="126" t="s">
        <v>152</v>
      </c>
      <c r="B8" t="s">
        <v>173</v>
      </c>
      <c r="C8">
        <v>2010</v>
      </c>
      <c r="D8" s="1" t="s">
        <v>172</v>
      </c>
      <c r="E8">
        <f t="shared" si="2"/>
        <v>2109</v>
      </c>
      <c r="F8" t="str">
        <f t="shared" si="3"/>
        <v>NA</v>
      </c>
      <c r="G8" t="str">
        <f t="shared" si="4"/>
        <v>NA</v>
      </c>
      <c r="H8">
        <f t="shared" si="5"/>
        <v>285</v>
      </c>
      <c r="I8">
        <f t="shared" si="6"/>
        <v>25</v>
      </c>
      <c r="J8">
        <f t="shared" si="7"/>
        <v>25</v>
      </c>
      <c r="K8" t="s">
        <v>268</v>
      </c>
      <c r="L8" s="150" t="s">
        <v>269</v>
      </c>
      <c r="M8" s="1" t="s">
        <v>171</v>
      </c>
      <c r="N8" s="1" t="s">
        <v>172</v>
      </c>
      <c r="O8">
        <v>999</v>
      </c>
      <c r="P8" s="1" t="s">
        <v>156</v>
      </c>
      <c r="Q8">
        <v>8</v>
      </c>
      <c r="R8">
        <v>4</v>
      </c>
      <c r="S8">
        <v>51</v>
      </c>
      <c r="T8">
        <v>53</v>
      </c>
      <c r="U8">
        <v>69.61</v>
      </c>
      <c r="V8" t="s">
        <v>159</v>
      </c>
      <c r="W8" t="s">
        <v>159</v>
      </c>
      <c r="X8" t="s">
        <v>157</v>
      </c>
      <c r="Y8" s="1">
        <v>12.744</v>
      </c>
      <c r="Z8" s="1">
        <v>-78.7393</v>
      </c>
      <c r="AA8" s="1" t="s">
        <v>159</v>
      </c>
      <c r="AB8" s="1" t="s">
        <v>159</v>
      </c>
      <c r="AC8" s="1">
        <v>-2828</v>
      </c>
      <c r="AD8" t="s">
        <v>159</v>
      </c>
      <c r="AE8" s="1" t="s">
        <v>159</v>
      </c>
      <c r="AF8" s="136" t="s">
        <v>159</v>
      </c>
      <c r="AG8" s="140">
        <v>2109</v>
      </c>
      <c r="AH8" s="147" t="s">
        <v>159</v>
      </c>
      <c r="AI8" s="136" t="s">
        <v>159</v>
      </c>
      <c r="AJ8" s="136" t="s">
        <v>159</v>
      </c>
      <c r="AK8" s="136" t="s">
        <v>159</v>
      </c>
      <c r="AL8" t="s">
        <v>176</v>
      </c>
      <c r="AM8" s="130" t="s">
        <v>180</v>
      </c>
      <c r="AN8" t="s">
        <v>159</v>
      </c>
      <c r="AO8" t="s">
        <v>159</v>
      </c>
      <c r="AP8" t="s">
        <v>159</v>
      </c>
      <c r="AQ8" t="s">
        <v>159</v>
      </c>
      <c r="AR8" t="s">
        <v>159</v>
      </c>
      <c r="AS8" t="s">
        <v>159</v>
      </c>
      <c r="AT8" t="s">
        <v>159</v>
      </c>
      <c r="AU8" t="s">
        <v>279</v>
      </c>
      <c r="AV8" s="1" t="s">
        <v>160</v>
      </c>
      <c r="AW8" s="131" t="s">
        <v>196</v>
      </c>
      <c r="AX8" s="132" t="s">
        <v>197</v>
      </c>
      <c r="AY8" s="1" t="s">
        <v>198</v>
      </c>
      <c r="AZ8" s="1" t="s">
        <v>260</v>
      </c>
      <c r="BA8" s="1" t="s">
        <v>199</v>
      </c>
      <c r="BB8" t="s">
        <v>203</v>
      </c>
      <c r="BC8">
        <v>2</v>
      </c>
      <c r="BD8">
        <v>0</v>
      </c>
      <c r="BE8" s="134">
        <v>20.38</v>
      </c>
      <c r="BF8" s="135" t="s">
        <v>162</v>
      </c>
      <c r="BG8" s="134">
        <v>0.12</v>
      </c>
      <c r="BH8" s="137" t="s">
        <v>159</v>
      </c>
      <c r="BI8" s="137" t="s">
        <v>159</v>
      </c>
      <c r="BJ8" s="138" t="s">
        <v>159</v>
      </c>
      <c r="BK8" s="1">
        <v>0.8</v>
      </c>
      <c r="BL8" s="1" t="s">
        <v>159</v>
      </c>
      <c r="BM8" s="1" t="s">
        <v>159</v>
      </c>
      <c r="BN8" s="1" t="s">
        <v>219</v>
      </c>
      <c r="BO8" s="1" t="s">
        <v>223</v>
      </c>
      <c r="BP8" s="136" t="s">
        <v>159</v>
      </c>
      <c r="BQ8" s="136" t="s">
        <v>159</v>
      </c>
      <c r="BR8" s="136" t="s">
        <v>159</v>
      </c>
      <c r="BS8" s="136" t="s">
        <v>159</v>
      </c>
      <c r="BT8" s="136" t="s">
        <v>159</v>
      </c>
      <c r="BU8" s="136" t="s">
        <v>221</v>
      </c>
      <c r="BV8" s="136" t="s">
        <v>237</v>
      </c>
      <c r="BW8" s="136" t="s">
        <v>237</v>
      </c>
      <c r="BX8">
        <v>27.3</v>
      </c>
      <c r="BY8" s="126" t="s">
        <v>159</v>
      </c>
      <c r="BZ8" s="136">
        <v>1.5</v>
      </c>
      <c r="CA8" s="136">
        <v>1.5</v>
      </c>
      <c r="CB8" t="s">
        <v>239</v>
      </c>
      <c r="CC8" t="s">
        <v>159</v>
      </c>
      <c r="CD8" t="s">
        <v>159</v>
      </c>
      <c r="CE8" t="s">
        <v>159</v>
      </c>
      <c r="CF8" t="s">
        <v>159</v>
      </c>
      <c r="CG8" t="s">
        <v>159</v>
      </c>
      <c r="CH8" t="s">
        <v>159</v>
      </c>
      <c r="CI8" t="s">
        <v>159</v>
      </c>
      <c r="CJ8" t="s">
        <v>159</v>
      </c>
      <c r="CK8" t="s">
        <v>159</v>
      </c>
      <c r="CL8" t="s">
        <v>159</v>
      </c>
      <c r="CM8" t="s">
        <v>159</v>
      </c>
      <c r="CN8" t="s">
        <v>236</v>
      </c>
      <c r="CO8" s="136" t="s">
        <v>225</v>
      </c>
      <c r="CP8" s="146" t="s">
        <v>159</v>
      </c>
      <c r="CQ8" s="146" t="s">
        <v>159</v>
      </c>
      <c r="CR8" s="136" t="s">
        <v>159</v>
      </c>
      <c r="CS8" s="136" t="s">
        <v>224</v>
      </c>
      <c r="CT8" s="136" t="s">
        <v>238</v>
      </c>
      <c r="CU8">
        <v>36</v>
      </c>
      <c r="CV8" s="1" t="s">
        <v>158</v>
      </c>
      <c r="CW8" s="1">
        <v>0</v>
      </c>
      <c r="CX8" s="1" t="s">
        <v>220</v>
      </c>
      <c r="CY8" t="s">
        <v>163</v>
      </c>
      <c r="CZ8" s="134" t="s">
        <v>166</v>
      </c>
      <c r="DA8" s="134" t="s">
        <v>166</v>
      </c>
      <c r="DB8" s="134" t="s">
        <v>166</v>
      </c>
      <c r="DC8" t="s">
        <v>163</v>
      </c>
      <c r="DD8" s="134" t="s">
        <v>166</v>
      </c>
      <c r="DE8" s="134" t="s">
        <v>166</v>
      </c>
      <c r="DF8" s="134" t="s">
        <v>166</v>
      </c>
      <c r="DG8" t="s">
        <v>163</v>
      </c>
      <c r="DH8" s="134" t="s">
        <v>166</v>
      </c>
      <c r="DI8" s="134" t="s">
        <v>166</v>
      </c>
      <c r="DJ8" s="134" t="s">
        <v>166</v>
      </c>
      <c r="DK8" s="136">
        <v>413.7</v>
      </c>
      <c r="DL8" s="136" t="s">
        <v>159</v>
      </c>
      <c r="DM8" s="136" t="s">
        <v>159</v>
      </c>
      <c r="DN8" s="148" t="s">
        <v>266</v>
      </c>
      <c r="DO8" s="1">
        <v>39.5</v>
      </c>
      <c r="DP8" t="s">
        <v>164</v>
      </c>
      <c r="DQ8" s="143" t="s">
        <v>159</v>
      </c>
      <c r="DR8" t="s">
        <v>263</v>
      </c>
      <c r="DS8" t="s">
        <v>261</v>
      </c>
      <c r="DT8" t="s">
        <v>165</v>
      </c>
      <c r="DU8">
        <v>1.0271999999999999</v>
      </c>
      <c r="DV8" t="s">
        <v>166</v>
      </c>
      <c r="DW8" t="s">
        <v>166</v>
      </c>
      <c r="DX8" t="s">
        <v>227</v>
      </c>
      <c r="DY8" t="s">
        <v>166</v>
      </c>
      <c r="DZ8" t="s">
        <v>166</v>
      </c>
      <c r="EA8" s="146" t="s">
        <v>159</v>
      </c>
      <c r="EB8" s="136" t="s">
        <v>244</v>
      </c>
      <c r="EC8" s="136" t="s">
        <v>240</v>
      </c>
      <c r="ED8" s="136" t="s">
        <v>240</v>
      </c>
      <c r="EE8" s="146" t="s">
        <v>159</v>
      </c>
      <c r="EF8" s="146" t="s">
        <v>159</v>
      </c>
      <c r="EG8" s="146" t="s">
        <v>159</v>
      </c>
      <c r="EH8" t="s">
        <v>167</v>
      </c>
      <c r="EI8" t="s">
        <v>220</v>
      </c>
      <c r="EJ8" s="143" t="s">
        <v>159</v>
      </c>
      <c r="EK8" s="144">
        <v>2330</v>
      </c>
      <c r="EL8" s="143" t="s">
        <v>168</v>
      </c>
      <c r="EM8" s="143">
        <f t="shared" si="8"/>
        <v>116.5</v>
      </c>
      <c r="EN8" s="143">
        <f t="shared" si="9"/>
        <v>116.5</v>
      </c>
      <c r="EO8" s="136" t="s">
        <v>159</v>
      </c>
      <c r="EP8" s="136" t="s">
        <v>159</v>
      </c>
      <c r="EQ8" s="136" t="s">
        <v>159</v>
      </c>
      <c r="ER8" s="136" t="s">
        <v>159</v>
      </c>
      <c r="ES8" s="136">
        <v>8.17</v>
      </c>
      <c r="ET8" s="1" t="s">
        <v>169</v>
      </c>
      <c r="EU8" s="1">
        <v>0.02</v>
      </c>
      <c r="EV8" s="1">
        <v>0.02</v>
      </c>
      <c r="EW8">
        <v>285</v>
      </c>
      <c r="EX8" t="s">
        <v>159</v>
      </c>
      <c r="EY8" t="s">
        <v>159</v>
      </c>
      <c r="EZ8">
        <v>285</v>
      </c>
      <c r="FA8">
        <v>25</v>
      </c>
      <c r="FB8">
        <v>25</v>
      </c>
      <c r="FC8" s="145" t="s">
        <v>159</v>
      </c>
      <c r="FD8" s="1" t="s">
        <v>267</v>
      </c>
      <c r="FE8" t="s">
        <v>170</v>
      </c>
      <c r="FF8" t="s">
        <v>170</v>
      </c>
      <c r="FG8" t="s">
        <v>170</v>
      </c>
      <c r="FH8" t="s">
        <v>170</v>
      </c>
      <c r="FI8" t="s">
        <v>170</v>
      </c>
      <c r="FJ8" t="s">
        <v>170</v>
      </c>
      <c r="FK8" t="s">
        <v>170</v>
      </c>
      <c r="FL8" t="s">
        <v>170</v>
      </c>
      <c r="FM8" t="s">
        <v>170</v>
      </c>
      <c r="FN8" t="s">
        <v>170</v>
      </c>
      <c r="FO8" t="s">
        <v>170</v>
      </c>
      <c r="FP8" t="s">
        <v>170</v>
      </c>
    </row>
    <row r="9" spans="1:191" ht="17" x14ac:dyDescent="0.2">
      <c r="A9" s="126" t="s">
        <v>152</v>
      </c>
      <c r="B9" t="s">
        <v>173</v>
      </c>
      <c r="C9">
        <v>2010</v>
      </c>
      <c r="D9" s="1" t="s">
        <v>172</v>
      </c>
      <c r="E9">
        <f t="shared" si="2"/>
        <v>2592</v>
      </c>
      <c r="F9" t="str">
        <f t="shared" si="3"/>
        <v>NA</v>
      </c>
      <c r="G9" t="str">
        <f t="shared" si="4"/>
        <v>NA</v>
      </c>
      <c r="H9">
        <f t="shared" si="5"/>
        <v>276</v>
      </c>
      <c r="I9">
        <f t="shared" si="6"/>
        <v>25</v>
      </c>
      <c r="J9">
        <f t="shared" si="7"/>
        <v>25</v>
      </c>
      <c r="K9" t="s">
        <v>268</v>
      </c>
      <c r="L9" s="150" t="s">
        <v>269</v>
      </c>
      <c r="M9" s="1" t="s">
        <v>171</v>
      </c>
      <c r="N9" s="1" t="s">
        <v>172</v>
      </c>
      <c r="O9">
        <v>999</v>
      </c>
      <c r="P9" s="1" t="s">
        <v>156</v>
      </c>
      <c r="Q9">
        <v>10</v>
      </c>
      <c r="R9">
        <v>1</v>
      </c>
      <c r="S9">
        <v>89</v>
      </c>
      <c r="T9">
        <v>91</v>
      </c>
      <c r="U9">
        <v>84.49</v>
      </c>
      <c r="V9" t="s">
        <v>159</v>
      </c>
      <c r="W9" t="s">
        <v>159</v>
      </c>
      <c r="X9" t="s">
        <v>157</v>
      </c>
      <c r="Y9" s="1">
        <v>12.744</v>
      </c>
      <c r="Z9" s="1">
        <v>-78.7393</v>
      </c>
      <c r="AA9" s="1" t="s">
        <v>159</v>
      </c>
      <c r="AB9" s="1" t="s">
        <v>159</v>
      </c>
      <c r="AC9" s="1">
        <v>-2828</v>
      </c>
      <c r="AD9" t="s">
        <v>159</v>
      </c>
      <c r="AE9" s="1" t="s">
        <v>159</v>
      </c>
      <c r="AF9" s="136" t="s">
        <v>159</v>
      </c>
      <c r="AG9" s="140">
        <v>2592</v>
      </c>
      <c r="AH9" s="147" t="s">
        <v>159</v>
      </c>
      <c r="AI9" s="136" t="s">
        <v>159</v>
      </c>
      <c r="AJ9" s="136" t="s">
        <v>159</v>
      </c>
      <c r="AK9" s="136" t="s">
        <v>159</v>
      </c>
      <c r="AL9" t="s">
        <v>176</v>
      </c>
      <c r="AM9" s="130" t="s">
        <v>181</v>
      </c>
      <c r="AN9" t="s">
        <v>159</v>
      </c>
      <c r="AO9" t="s">
        <v>159</v>
      </c>
      <c r="AP9" t="s">
        <v>159</v>
      </c>
      <c r="AQ9" t="s">
        <v>159</v>
      </c>
      <c r="AR9" t="s">
        <v>159</v>
      </c>
      <c r="AS9" t="s">
        <v>159</v>
      </c>
      <c r="AT9" t="s">
        <v>159</v>
      </c>
      <c r="AU9" t="s">
        <v>279</v>
      </c>
      <c r="AV9" s="1" t="s">
        <v>160</v>
      </c>
      <c r="AW9" s="131" t="s">
        <v>196</v>
      </c>
      <c r="AX9" s="132" t="s">
        <v>197</v>
      </c>
      <c r="AY9" s="1" t="s">
        <v>198</v>
      </c>
      <c r="AZ9" s="1" t="s">
        <v>260</v>
      </c>
      <c r="BA9" s="1" t="s">
        <v>199</v>
      </c>
      <c r="BB9" t="s">
        <v>204</v>
      </c>
      <c r="BC9">
        <v>2</v>
      </c>
      <c r="BD9">
        <v>0.14000000000000054</v>
      </c>
      <c r="BE9" s="134">
        <v>20.63</v>
      </c>
      <c r="BF9" s="135" t="s">
        <v>162</v>
      </c>
      <c r="BG9" s="134">
        <v>0.12</v>
      </c>
      <c r="BH9" s="137" t="s">
        <v>159</v>
      </c>
      <c r="BI9" s="137" t="s">
        <v>159</v>
      </c>
      <c r="BJ9" s="138" t="s">
        <v>159</v>
      </c>
      <c r="BK9" s="1">
        <v>0.8</v>
      </c>
      <c r="BL9" s="1" t="s">
        <v>159</v>
      </c>
      <c r="BM9" s="1" t="s">
        <v>159</v>
      </c>
      <c r="BN9" s="1" t="s">
        <v>219</v>
      </c>
      <c r="BO9" s="1" t="s">
        <v>223</v>
      </c>
      <c r="BP9" s="136" t="s">
        <v>159</v>
      </c>
      <c r="BQ9" s="136" t="s">
        <v>159</v>
      </c>
      <c r="BR9" s="136" t="s">
        <v>159</v>
      </c>
      <c r="BS9" s="136" t="s">
        <v>159</v>
      </c>
      <c r="BT9" s="136" t="s">
        <v>159</v>
      </c>
      <c r="BU9" s="136" t="s">
        <v>221</v>
      </c>
      <c r="BV9" s="136" t="s">
        <v>237</v>
      </c>
      <c r="BW9" s="136" t="s">
        <v>237</v>
      </c>
      <c r="BX9">
        <v>28.2</v>
      </c>
      <c r="BY9" s="126" t="s">
        <v>159</v>
      </c>
      <c r="BZ9" s="136">
        <v>1.5</v>
      </c>
      <c r="CA9" s="136">
        <v>1.5</v>
      </c>
      <c r="CB9" t="s">
        <v>239</v>
      </c>
      <c r="CC9" t="s">
        <v>159</v>
      </c>
      <c r="CD9" t="s">
        <v>159</v>
      </c>
      <c r="CE9" t="s">
        <v>159</v>
      </c>
      <c r="CF9" t="s">
        <v>159</v>
      </c>
      <c r="CG9" t="s">
        <v>159</v>
      </c>
      <c r="CH9" t="s">
        <v>159</v>
      </c>
      <c r="CI9" t="s">
        <v>159</v>
      </c>
      <c r="CJ9" t="s">
        <v>159</v>
      </c>
      <c r="CK9" t="s">
        <v>159</v>
      </c>
      <c r="CL9" t="s">
        <v>159</v>
      </c>
      <c r="CM9" t="s">
        <v>159</v>
      </c>
      <c r="CN9" t="s">
        <v>236</v>
      </c>
      <c r="CO9" s="136" t="s">
        <v>225</v>
      </c>
      <c r="CP9" s="146" t="s">
        <v>159</v>
      </c>
      <c r="CQ9" s="146" t="s">
        <v>159</v>
      </c>
      <c r="CR9" s="136" t="s">
        <v>159</v>
      </c>
      <c r="CS9" s="136" t="s">
        <v>224</v>
      </c>
      <c r="CT9" s="136" t="s">
        <v>238</v>
      </c>
      <c r="CU9">
        <v>36</v>
      </c>
      <c r="CV9" s="1" t="s">
        <v>158</v>
      </c>
      <c r="CW9" s="1">
        <v>0</v>
      </c>
      <c r="CX9" s="1" t="s">
        <v>220</v>
      </c>
      <c r="CY9" t="s">
        <v>163</v>
      </c>
      <c r="CZ9" s="134" t="s">
        <v>166</v>
      </c>
      <c r="DA9" s="134" t="s">
        <v>166</v>
      </c>
      <c r="DB9" s="134" t="s">
        <v>166</v>
      </c>
      <c r="DC9" t="s">
        <v>163</v>
      </c>
      <c r="DD9" s="134" t="s">
        <v>166</v>
      </c>
      <c r="DE9" s="134" t="s">
        <v>166</v>
      </c>
      <c r="DF9" s="134" t="s">
        <v>166</v>
      </c>
      <c r="DG9" t="s">
        <v>163</v>
      </c>
      <c r="DH9" s="134" t="s">
        <v>166</v>
      </c>
      <c r="DI9" s="134" t="s">
        <v>166</v>
      </c>
      <c r="DJ9" s="134" t="s">
        <v>166</v>
      </c>
      <c r="DK9" s="136">
        <v>413.7</v>
      </c>
      <c r="DL9" s="136" t="s">
        <v>159</v>
      </c>
      <c r="DM9" s="136" t="s">
        <v>159</v>
      </c>
      <c r="DN9" s="148" t="s">
        <v>266</v>
      </c>
      <c r="DO9" s="1">
        <v>39.5</v>
      </c>
      <c r="DP9" t="s">
        <v>164</v>
      </c>
      <c r="DQ9" s="143" t="s">
        <v>159</v>
      </c>
      <c r="DR9" t="s">
        <v>263</v>
      </c>
      <c r="DS9" t="s">
        <v>261</v>
      </c>
      <c r="DT9" t="s">
        <v>165</v>
      </c>
      <c r="DU9">
        <v>1.0271999999999999</v>
      </c>
      <c r="DV9" t="s">
        <v>166</v>
      </c>
      <c r="DW9" t="s">
        <v>166</v>
      </c>
      <c r="DX9" t="s">
        <v>227</v>
      </c>
      <c r="DY9" t="s">
        <v>166</v>
      </c>
      <c r="DZ9" t="s">
        <v>166</v>
      </c>
      <c r="EA9" s="146" t="s">
        <v>159</v>
      </c>
      <c r="EB9" s="136" t="s">
        <v>245</v>
      </c>
      <c r="EC9" s="136" t="s">
        <v>240</v>
      </c>
      <c r="ED9" s="136" t="s">
        <v>240</v>
      </c>
      <c r="EE9" s="146" t="s">
        <v>159</v>
      </c>
      <c r="EF9" s="146" t="s">
        <v>159</v>
      </c>
      <c r="EG9" s="146" t="s">
        <v>159</v>
      </c>
      <c r="EH9" t="s">
        <v>167</v>
      </c>
      <c r="EI9" t="s">
        <v>220</v>
      </c>
      <c r="EJ9" s="143" t="s">
        <v>159</v>
      </c>
      <c r="EK9" s="144">
        <v>2330</v>
      </c>
      <c r="EL9" s="143" t="s">
        <v>168</v>
      </c>
      <c r="EM9" s="143">
        <f t="shared" si="8"/>
        <v>116.5</v>
      </c>
      <c r="EN9" s="143">
        <f t="shared" si="9"/>
        <v>116.5</v>
      </c>
      <c r="EO9" s="136" t="s">
        <v>159</v>
      </c>
      <c r="EP9" s="136" t="s">
        <v>159</v>
      </c>
      <c r="EQ9" s="136" t="s">
        <v>159</v>
      </c>
      <c r="ER9" s="136" t="s">
        <v>159</v>
      </c>
      <c r="ES9" s="136">
        <v>8.18</v>
      </c>
      <c r="ET9" s="1" t="s">
        <v>169</v>
      </c>
      <c r="EU9" s="1">
        <v>0.02</v>
      </c>
      <c r="EV9" s="1">
        <v>0.02</v>
      </c>
      <c r="EW9">
        <v>276</v>
      </c>
      <c r="EX9" t="s">
        <v>159</v>
      </c>
      <c r="EY9" t="s">
        <v>159</v>
      </c>
      <c r="EZ9">
        <v>276</v>
      </c>
      <c r="FA9">
        <v>25</v>
      </c>
      <c r="FB9">
        <v>25</v>
      </c>
      <c r="FC9" s="145" t="s">
        <v>159</v>
      </c>
      <c r="FD9" s="1" t="s">
        <v>267</v>
      </c>
      <c r="FE9" t="s">
        <v>170</v>
      </c>
      <c r="FF9" t="s">
        <v>170</v>
      </c>
      <c r="FG9" t="s">
        <v>170</v>
      </c>
      <c r="FH9" t="s">
        <v>170</v>
      </c>
      <c r="FI9" t="s">
        <v>170</v>
      </c>
      <c r="FJ9" t="s">
        <v>170</v>
      </c>
      <c r="FK9" t="s">
        <v>170</v>
      </c>
      <c r="FL9" t="s">
        <v>170</v>
      </c>
      <c r="FM9" t="s">
        <v>170</v>
      </c>
      <c r="FN9" t="s">
        <v>170</v>
      </c>
      <c r="FO9" t="s">
        <v>170</v>
      </c>
      <c r="FP9" t="s">
        <v>170</v>
      </c>
    </row>
    <row r="10" spans="1:191" ht="17" x14ac:dyDescent="0.2">
      <c r="A10" s="126" t="s">
        <v>152</v>
      </c>
      <c r="B10" t="s">
        <v>173</v>
      </c>
      <c r="C10">
        <v>2010</v>
      </c>
      <c r="D10" s="1" t="s">
        <v>172</v>
      </c>
      <c r="E10">
        <f t="shared" si="2"/>
        <v>2785</v>
      </c>
      <c r="F10" t="str">
        <f t="shared" si="3"/>
        <v>NA</v>
      </c>
      <c r="G10" t="str">
        <f t="shared" si="4"/>
        <v>NA</v>
      </c>
      <c r="H10">
        <f t="shared" si="5"/>
        <v>297</v>
      </c>
      <c r="I10">
        <f t="shared" si="6"/>
        <v>25</v>
      </c>
      <c r="J10">
        <f t="shared" si="7"/>
        <v>25</v>
      </c>
      <c r="K10" t="s">
        <v>268</v>
      </c>
      <c r="L10" s="150" t="s">
        <v>269</v>
      </c>
      <c r="M10" s="1" t="s">
        <v>171</v>
      </c>
      <c r="N10" s="1" t="s">
        <v>172</v>
      </c>
      <c r="O10">
        <v>999</v>
      </c>
      <c r="P10" s="1" t="s">
        <v>156</v>
      </c>
      <c r="Q10">
        <v>10</v>
      </c>
      <c r="R10">
        <v>5</v>
      </c>
      <c r="S10">
        <v>89</v>
      </c>
      <c r="T10">
        <v>91</v>
      </c>
      <c r="U10">
        <v>90.49</v>
      </c>
      <c r="V10" t="s">
        <v>159</v>
      </c>
      <c r="W10" t="s">
        <v>159</v>
      </c>
      <c r="X10" t="s">
        <v>157</v>
      </c>
      <c r="Y10" s="1">
        <v>12.744</v>
      </c>
      <c r="Z10" s="1">
        <v>-78.7393</v>
      </c>
      <c r="AA10" s="1" t="s">
        <v>159</v>
      </c>
      <c r="AB10" s="1" t="s">
        <v>159</v>
      </c>
      <c r="AC10" s="1">
        <v>-2828</v>
      </c>
      <c r="AD10" t="s">
        <v>159</v>
      </c>
      <c r="AE10" s="1" t="s">
        <v>159</v>
      </c>
      <c r="AF10" s="136" t="s">
        <v>159</v>
      </c>
      <c r="AG10" s="140">
        <v>2785</v>
      </c>
      <c r="AH10" s="147" t="s">
        <v>159</v>
      </c>
      <c r="AI10" s="136" t="s">
        <v>159</v>
      </c>
      <c r="AJ10" s="136" t="s">
        <v>159</v>
      </c>
      <c r="AK10" s="136" t="s">
        <v>159</v>
      </c>
      <c r="AL10" t="s">
        <v>176</v>
      </c>
      <c r="AM10" s="130" t="s">
        <v>182</v>
      </c>
      <c r="AN10" t="s">
        <v>159</v>
      </c>
      <c r="AO10" t="s">
        <v>159</v>
      </c>
      <c r="AP10" t="s">
        <v>159</v>
      </c>
      <c r="AQ10" t="s">
        <v>159</v>
      </c>
      <c r="AR10" t="s">
        <v>159</v>
      </c>
      <c r="AS10" t="s">
        <v>159</v>
      </c>
      <c r="AT10" t="s">
        <v>159</v>
      </c>
      <c r="AU10" t="s">
        <v>279</v>
      </c>
      <c r="AV10" s="1" t="s">
        <v>160</v>
      </c>
      <c r="AW10" s="131" t="s">
        <v>196</v>
      </c>
      <c r="AX10" s="132" t="s">
        <v>197</v>
      </c>
      <c r="AY10" s="1" t="s">
        <v>198</v>
      </c>
      <c r="AZ10" s="1" t="s">
        <v>260</v>
      </c>
      <c r="BA10" s="1" t="s">
        <v>199</v>
      </c>
      <c r="BB10" t="s">
        <v>205</v>
      </c>
      <c r="BC10">
        <v>2</v>
      </c>
      <c r="BD10">
        <v>0.45000000000000284</v>
      </c>
      <c r="BE10" s="134">
        <v>20.12</v>
      </c>
      <c r="BF10" s="135" t="s">
        <v>162</v>
      </c>
      <c r="BG10" s="134">
        <v>0.14000000000000001</v>
      </c>
      <c r="BH10" s="137" t="s">
        <v>159</v>
      </c>
      <c r="BI10" s="137" t="s">
        <v>159</v>
      </c>
      <c r="BJ10" s="138" t="s">
        <v>159</v>
      </c>
      <c r="BK10" s="1">
        <v>0.8</v>
      </c>
      <c r="BL10" s="1" t="s">
        <v>159</v>
      </c>
      <c r="BM10" s="1" t="s">
        <v>159</v>
      </c>
      <c r="BN10" s="1" t="s">
        <v>219</v>
      </c>
      <c r="BO10" s="1" t="s">
        <v>223</v>
      </c>
      <c r="BP10" s="136" t="s">
        <v>159</v>
      </c>
      <c r="BQ10" s="136" t="s">
        <v>159</v>
      </c>
      <c r="BR10" s="136" t="s">
        <v>159</v>
      </c>
      <c r="BS10" s="136" t="s">
        <v>159</v>
      </c>
      <c r="BT10" s="136" t="s">
        <v>159</v>
      </c>
      <c r="BU10" s="136" t="s">
        <v>221</v>
      </c>
      <c r="BV10" s="136" t="s">
        <v>237</v>
      </c>
      <c r="BW10" s="136" t="s">
        <v>237</v>
      </c>
      <c r="BX10">
        <v>28.4</v>
      </c>
      <c r="BY10" s="126" t="s">
        <v>159</v>
      </c>
      <c r="BZ10" s="136">
        <v>1.5</v>
      </c>
      <c r="CA10" s="136">
        <v>1.5</v>
      </c>
      <c r="CB10" t="s">
        <v>239</v>
      </c>
      <c r="CC10" t="s">
        <v>159</v>
      </c>
      <c r="CD10" t="s">
        <v>159</v>
      </c>
      <c r="CE10" t="s">
        <v>159</v>
      </c>
      <c r="CF10" t="s">
        <v>159</v>
      </c>
      <c r="CG10" t="s">
        <v>159</v>
      </c>
      <c r="CH10" t="s">
        <v>159</v>
      </c>
      <c r="CI10" t="s">
        <v>159</v>
      </c>
      <c r="CJ10" t="s">
        <v>159</v>
      </c>
      <c r="CK10" t="s">
        <v>159</v>
      </c>
      <c r="CL10" t="s">
        <v>159</v>
      </c>
      <c r="CM10" t="s">
        <v>159</v>
      </c>
      <c r="CN10" t="s">
        <v>236</v>
      </c>
      <c r="CO10" s="136" t="s">
        <v>225</v>
      </c>
      <c r="CP10" s="146" t="s">
        <v>159</v>
      </c>
      <c r="CQ10" s="146" t="s">
        <v>159</v>
      </c>
      <c r="CR10" s="136" t="s">
        <v>159</v>
      </c>
      <c r="CS10" s="136" t="s">
        <v>224</v>
      </c>
      <c r="CT10" s="136" t="s">
        <v>238</v>
      </c>
      <c r="CU10">
        <v>36</v>
      </c>
      <c r="CV10" s="1" t="s">
        <v>158</v>
      </c>
      <c r="CW10" s="1">
        <v>0</v>
      </c>
      <c r="CX10" s="1" t="s">
        <v>220</v>
      </c>
      <c r="CY10" t="s">
        <v>163</v>
      </c>
      <c r="CZ10" s="134" t="s">
        <v>166</v>
      </c>
      <c r="DA10" s="134" t="s">
        <v>166</v>
      </c>
      <c r="DB10" s="134" t="s">
        <v>166</v>
      </c>
      <c r="DC10" t="s">
        <v>163</v>
      </c>
      <c r="DD10" s="134" t="s">
        <v>166</v>
      </c>
      <c r="DE10" s="134" t="s">
        <v>166</v>
      </c>
      <c r="DF10" s="134" t="s">
        <v>166</v>
      </c>
      <c r="DG10" t="s">
        <v>163</v>
      </c>
      <c r="DH10" s="134" t="s">
        <v>166</v>
      </c>
      <c r="DI10" s="134" t="s">
        <v>166</v>
      </c>
      <c r="DJ10" s="134" t="s">
        <v>166</v>
      </c>
      <c r="DK10" s="136">
        <v>413.7</v>
      </c>
      <c r="DL10" s="136" t="s">
        <v>159</v>
      </c>
      <c r="DM10" s="136" t="s">
        <v>159</v>
      </c>
      <c r="DN10" s="148" t="s">
        <v>266</v>
      </c>
      <c r="DO10" s="1">
        <v>39.5</v>
      </c>
      <c r="DP10" t="s">
        <v>164</v>
      </c>
      <c r="DQ10" s="143" t="s">
        <v>159</v>
      </c>
      <c r="DR10" t="s">
        <v>263</v>
      </c>
      <c r="DS10" t="s">
        <v>261</v>
      </c>
      <c r="DT10" t="s">
        <v>165</v>
      </c>
      <c r="DU10">
        <v>1.0271999999999999</v>
      </c>
      <c r="DV10" t="s">
        <v>166</v>
      </c>
      <c r="DW10" t="s">
        <v>166</v>
      </c>
      <c r="DX10" t="s">
        <v>227</v>
      </c>
      <c r="DY10" t="s">
        <v>166</v>
      </c>
      <c r="DZ10" t="s">
        <v>166</v>
      </c>
      <c r="EA10" s="146" t="s">
        <v>159</v>
      </c>
      <c r="EB10" s="136" t="s">
        <v>246</v>
      </c>
      <c r="EC10" s="136" t="s">
        <v>240</v>
      </c>
      <c r="ED10" s="136" t="s">
        <v>240</v>
      </c>
      <c r="EE10" s="146" t="s">
        <v>159</v>
      </c>
      <c r="EF10" s="146" t="s">
        <v>159</v>
      </c>
      <c r="EG10" s="146" t="s">
        <v>159</v>
      </c>
      <c r="EH10" t="s">
        <v>167</v>
      </c>
      <c r="EI10" t="s">
        <v>220</v>
      </c>
      <c r="EJ10" s="143" t="s">
        <v>159</v>
      </c>
      <c r="EK10" s="144">
        <v>2330</v>
      </c>
      <c r="EL10" s="143" t="s">
        <v>168</v>
      </c>
      <c r="EM10" s="143">
        <f t="shared" si="8"/>
        <v>116.5</v>
      </c>
      <c r="EN10" s="143">
        <f t="shared" si="9"/>
        <v>116.5</v>
      </c>
      <c r="EO10" s="136" t="s">
        <v>159</v>
      </c>
      <c r="EP10" s="136" t="s">
        <v>159</v>
      </c>
      <c r="EQ10" s="136" t="s">
        <v>159</v>
      </c>
      <c r="ER10" s="136" t="s">
        <v>159</v>
      </c>
      <c r="ES10" s="136">
        <v>8.16</v>
      </c>
      <c r="ET10" s="1" t="s">
        <v>169</v>
      </c>
      <c r="EU10" s="1">
        <v>0.02</v>
      </c>
      <c r="EV10" s="1">
        <v>0.02</v>
      </c>
      <c r="EW10">
        <v>297</v>
      </c>
      <c r="EX10" t="s">
        <v>159</v>
      </c>
      <c r="EY10" t="s">
        <v>159</v>
      </c>
      <c r="EZ10">
        <v>297</v>
      </c>
      <c r="FA10">
        <v>25</v>
      </c>
      <c r="FB10">
        <v>25</v>
      </c>
      <c r="FC10" s="145" t="s">
        <v>159</v>
      </c>
      <c r="FD10" s="1" t="s">
        <v>267</v>
      </c>
      <c r="FE10" t="s">
        <v>170</v>
      </c>
      <c r="FF10" t="s">
        <v>170</v>
      </c>
      <c r="FG10" t="s">
        <v>170</v>
      </c>
      <c r="FH10" t="s">
        <v>170</v>
      </c>
      <c r="FI10" t="s">
        <v>170</v>
      </c>
      <c r="FJ10" t="s">
        <v>170</v>
      </c>
      <c r="FK10" t="s">
        <v>170</v>
      </c>
      <c r="FL10" t="s">
        <v>170</v>
      </c>
      <c r="FM10" t="s">
        <v>170</v>
      </c>
      <c r="FN10" t="s">
        <v>170</v>
      </c>
      <c r="FO10" t="s">
        <v>170</v>
      </c>
      <c r="FP10" t="s">
        <v>170</v>
      </c>
    </row>
    <row r="11" spans="1:191" ht="17" x14ac:dyDescent="0.2">
      <c r="A11" s="126" t="s">
        <v>152</v>
      </c>
      <c r="B11" t="s">
        <v>173</v>
      </c>
      <c r="C11">
        <v>2010</v>
      </c>
      <c r="D11" s="1" t="s">
        <v>172</v>
      </c>
      <c r="E11">
        <f t="shared" si="2"/>
        <v>2890</v>
      </c>
      <c r="F11" t="str">
        <f t="shared" si="3"/>
        <v>NA</v>
      </c>
      <c r="G11" t="str">
        <f t="shared" si="4"/>
        <v>NA</v>
      </c>
      <c r="H11">
        <f t="shared" si="5"/>
        <v>386</v>
      </c>
      <c r="I11">
        <f t="shared" si="6"/>
        <v>25</v>
      </c>
      <c r="J11">
        <f t="shared" si="7"/>
        <v>25</v>
      </c>
      <c r="K11" t="s">
        <v>268</v>
      </c>
      <c r="L11" s="150" t="s">
        <v>269</v>
      </c>
      <c r="M11" s="1" t="s">
        <v>171</v>
      </c>
      <c r="N11" s="1" t="s">
        <v>172</v>
      </c>
      <c r="O11">
        <v>999</v>
      </c>
      <c r="P11" s="1" t="s">
        <v>156</v>
      </c>
      <c r="Q11">
        <v>10</v>
      </c>
      <c r="R11" t="s">
        <v>174</v>
      </c>
      <c r="S11">
        <v>31.5</v>
      </c>
      <c r="U11">
        <v>93.59</v>
      </c>
      <c r="V11" t="s">
        <v>159</v>
      </c>
      <c r="W11" t="s">
        <v>159</v>
      </c>
      <c r="X11" t="s">
        <v>157</v>
      </c>
      <c r="Y11" s="1">
        <v>12.744</v>
      </c>
      <c r="Z11" s="1">
        <v>-78.7393</v>
      </c>
      <c r="AA11" s="1" t="s">
        <v>159</v>
      </c>
      <c r="AB11" s="1" t="s">
        <v>159</v>
      </c>
      <c r="AC11" s="1">
        <v>-2828</v>
      </c>
      <c r="AD11" t="s">
        <v>159</v>
      </c>
      <c r="AE11" s="1" t="s">
        <v>159</v>
      </c>
      <c r="AF11" s="136" t="s">
        <v>159</v>
      </c>
      <c r="AG11" s="140">
        <v>2890</v>
      </c>
      <c r="AH11" s="147" t="s">
        <v>159</v>
      </c>
      <c r="AI11" s="136" t="s">
        <v>159</v>
      </c>
      <c r="AJ11" s="136" t="s">
        <v>159</v>
      </c>
      <c r="AK11" s="136" t="s">
        <v>159</v>
      </c>
      <c r="AL11" t="s">
        <v>176</v>
      </c>
      <c r="AM11" s="130" t="s">
        <v>183</v>
      </c>
      <c r="AN11" t="s">
        <v>159</v>
      </c>
      <c r="AO11" t="s">
        <v>159</v>
      </c>
      <c r="AP11" t="s">
        <v>159</v>
      </c>
      <c r="AQ11" t="s">
        <v>159</v>
      </c>
      <c r="AR11" t="s">
        <v>159</v>
      </c>
      <c r="AS11" t="s">
        <v>159</v>
      </c>
      <c r="AT11" t="s">
        <v>159</v>
      </c>
      <c r="AU11" t="s">
        <v>279</v>
      </c>
      <c r="AV11" s="1" t="s">
        <v>160</v>
      </c>
      <c r="AW11" s="131" t="s">
        <v>196</v>
      </c>
      <c r="AX11" s="132" t="s">
        <v>197</v>
      </c>
      <c r="AY11" s="1" t="s">
        <v>198</v>
      </c>
      <c r="AZ11" s="1" t="s">
        <v>260</v>
      </c>
      <c r="BA11" s="1" t="s">
        <v>199</v>
      </c>
      <c r="BB11" t="s">
        <v>206</v>
      </c>
      <c r="BC11">
        <v>2</v>
      </c>
      <c r="BD11">
        <v>5.9999999999998714E-2</v>
      </c>
      <c r="BE11" s="134">
        <v>19.3</v>
      </c>
      <c r="BF11" s="135" t="s">
        <v>162</v>
      </c>
      <c r="BG11" s="134">
        <v>0.1</v>
      </c>
      <c r="BH11" s="137" t="s">
        <v>159</v>
      </c>
      <c r="BI11" s="137" t="s">
        <v>159</v>
      </c>
      <c r="BJ11" s="138" t="s">
        <v>159</v>
      </c>
      <c r="BK11" s="1">
        <v>0.8</v>
      </c>
      <c r="BL11" s="1" t="s">
        <v>159</v>
      </c>
      <c r="BM11" s="1" t="s">
        <v>159</v>
      </c>
      <c r="BN11" s="1" t="s">
        <v>219</v>
      </c>
      <c r="BO11" s="1" t="s">
        <v>223</v>
      </c>
      <c r="BP11" s="136" t="s">
        <v>159</v>
      </c>
      <c r="BQ11" s="136" t="s">
        <v>159</v>
      </c>
      <c r="BR11" s="136" t="s">
        <v>159</v>
      </c>
      <c r="BS11" s="136" t="s">
        <v>159</v>
      </c>
      <c r="BT11" s="136" t="s">
        <v>159</v>
      </c>
      <c r="BU11" s="136" t="s">
        <v>221</v>
      </c>
      <c r="BV11" s="136" t="s">
        <v>237</v>
      </c>
      <c r="BW11" s="136" t="s">
        <v>237</v>
      </c>
      <c r="BX11">
        <v>28.7</v>
      </c>
      <c r="BY11" s="126" t="s">
        <v>159</v>
      </c>
      <c r="BZ11" s="136">
        <v>1.5</v>
      </c>
      <c r="CA11" s="136">
        <v>1.5</v>
      </c>
      <c r="CB11" t="s">
        <v>239</v>
      </c>
      <c r="CC11" t="s">
        <v>159</v>
      </c>
      <c r="CD11" t="s">
        <v>159</v>
      </c>
      <c r="CE11" t="s">
        <v>159</v>
      </c>
      <c r="CF11" t="s">
        <v>159</v>
      </c>
      <c r="CG11" t="s">
        <v>159</v>
      </c>
      <c r="CH11" t="s">
        <v>159</v>
      </c>
      <c r="CI11" t="s">
        <v>159</v>
      </c>
      <c r="CJ11" t="s">
        <v>159</v>
      </c>
      <c r="CK11" t="s">
        <v>159</v>
      </c>
      <c r="CL11" t="s">
        <v>159</v>
      </c>
      <c r="CM11" t="s">
        <v>159</v>
      </c>
      <c r="CN11" t="s">
        <v>236</v>
      </c>
      <c r="CO11" s="136" t="s">
        <v>225</v>
      </c>
      <c r="CP11" s="146" t="s">
        <v>159</v>
      </c>
      <c r="CQ11" s="146" t="s">
        <v>159</v>
      </c>
      <c r="CR11" s="136" t="s">
        <v>159</v>
      </c>
      <c r="CS11" s="136" t="s">
        <v>224</v>
      </c>
      <c r="CT11" s="136" t="s">
        <v>238</v>
      </c>
      <c r="CU11">
        <v>36</v>
      </c>
      <c r="CV11" s="1" t="s">
        <v>158</v>
      </c>
      <c r="CW11" s="1">
        <v>0</v>
      </c>
      <c r="CX11" s="1" t="s">
        <v>220</v>
      </c>
      <c r="CY11" t="s">
        <v>163</v>
      </c>
      <c r="CZ11" s="134" t="s">
        <v>166</v>
      </c>
      <c r="DA11" s="134" t="s">
        <v>166</v>
      </c>
      <c r="DB11" s="134" t="s">
        <v>166</v>
      </c>
      <c r="DC11" t="s">
        <v>163</v>
      </c>
      <c r="DD11" s="134" t="s">
        <v>166</v>
      </c>
      <c r="DE11" s="134" t="s">
        <v>166</v>
      </c>
      <c r="DF11" s="134" t="s">
        <v>166</v>
      </c>
      <c r="DG11" t="s">
        <v>163</v>
      </c>
      <c r="DH11" s="134" t="s">
        <v>166</v>
      </c>
      <c r="DI11" s="134" t="s">
        <v>166</v>
      </c>
      <c r="DJ11" s="134" t="s">
        <v>166</v>
      </c>
      <c r="DK11" s="136">
        <v>413.7</v>
      </c>
      <c r="DL11" s="136" t="s">
        <v>159</v>
      </c>
      <c r="DM11" s="136" t="s">
        <v>159</v>
      </c>
      <c r="DN11" s="148" t="s">
        <v>266</v>
      </c>
      <c r="DO11" s="1">
        <v>39.5</v>
      </c>
      <c r="DP11" t="s">
        <v>164</v>
      </c>
      <c r="DQ11" s="143" t="s">
        <v>159</v>
      </c>
      <c r="DR11" t="s">
        <v>263</v>
      </c>
      <c r="DS11" t="s">
        <v>261</v>
      </c>
      <c r="DT11" t="s">
        <v>165</v>
      </c>
      <c r="DU11">
        <v>1.0271999999999999</v>
      </c>
      <c r="DV11" t="s">
        <v>166</v>
      </c>
      <c r="DW11" t="s">
        <v>166</v>
      </c>
      <c r="DX11" t="s">
        <v>227</v>
      </c>
      <c r="DY11" t="s">
        <v>166</v>
      </c>
      <c r="DZ11" t="s">
        <v>166</v>
      </c>
      <c r="EA11" s="146" t="s">
        <v>159</v>
      </c>
      <c r="EB11" s="136" t="s">
        <v>247</v>
      </c>
      <c r="EC11" s="136" t="s">
        <v>240</v>
      </c>
      <c r="ED11" s="136" t="s">
        <v>240</v>
      </c>
      <c r="EE11" s="146" t="s">
        <v>159</v>
      </c>
      <c r="EF11" s="146" t="s">
        <v>159</v>
      </c>
      <c r="EG11" s="146" t="s">
        <v>159</v>
      </c>
      <c r="EH11" t="s">
        <v>167</v>
      </c>
      <c r="EI11" t="s">
        <v>220</v>
      </c>
      <c r="EJ11" s="143" t="s">
        <v>159</v>
      </c>
      <c r="EK11" s="144">
        <v>2330</v>
      </c>
      <c r="EL11" s="143" t="s">
        <v>168</v>
      </c>
      <c r="EM11" s="143">
        <f t="shared" si="8"/>
        <v>116.5</v>
      </c>
      <c r="EN11" s="143">
        <f t="shared" si="9"/>
        <v>116.5</v>
      </c>
      <c r="EO11" s="136" t="s">
        <v>159</v>
      </c>
      <c r="EP11" s="136" t="s">
        <v>159</v>
      </c>
      <c r="EQ11" s="136" t="s">
        <v>159</v>
      </c>
      <c r="ER11" s="136" t="s">
        <v>159</v>
      </c>
      <c r="ES11" s="136">
        <v>8.07</v>
      </c>
      <c r="ET11" s="1" t="s">
        <v>169</v>
      </c>
      <c r="EU11" s="1">
        <v>0.02</v>
      </c>
      <c r="EV11" s="1">
        <v>0.02</v>
      </c>
      <c r="EW11">
        <v>386</v>
      </c>
      <c r="EX11" t="s">
        <v>159</v>
      </c>
      <c r="EY11" t="s">
        <v>159</v>
      </c>
      <c r="EZ11">
        <v>386</v>
      </c>
      <c r="FA11">
        <v>25</v>
      </c>
      <c r="FB11">
        <v>25</v>
      </c>
      <c r="FC11" s="145" t="s">
        <v>159</v>
      </c>
      <c r="FD11" s="1" t="s">
        <v>267</v>
      </c>
      <c r="FE11" t="s">
        <v>170</v>
      </c>
      <c r="FF11" t="s">
        <v>170</v>
      </c>
      <c r="FG11" t="s">
        <v>170</v>
      </c>
      <c r="FH11" t="s">
        <v>170</v>
      </c>
      <c r="FI11" t="s">
        <v>170</v>
      </c>
      <c r="FJ11" t="s">
        <v>170</v>
      </c>
      <c r="FK11" t="s">
        <v>170</v>
      </c>
      <c r="FL11" t="s">
        <v>170</v>
      </c>
      <c r="FM11" t="s">
        <v>170</v>
      </c>
      <c r="FN11" t="s">
        <v>170</v>
      </c>
      <c r="FO11" t="s">
        <v>170</v>
      </c>
      <c r="FP11" t="s">
        <v>170</v>
      </c>
    </row>
    <row r="12" spans="1:191" ht="17" x14ac:dyDescent="0.2">
      <c r="A12" s="126" t="s">
        <v>152</v>
      </c>
      <c r="B12" t="s">
        <v>173</v>
      </c>
      <c r="C12">
        <v>2010</v>
      </c>
      <c r="D12" s="1" t="s">
        <v>172</v>
      </c>
      <c r="E12">
        <f t="shared" si="2"/>
        <v>2985</v>
      </c>
      <c r="F12" t="str">
        <f t="shared" si="3"/>
        <v>NA</v>
      </c>
      <c r="G12" t="str">
        <f t="shared" si="4"/>
        <v>NA</v>
      </c>
      <c r="H12">
        <f t="shared" si="5"/>
        <v>390</v>
      </c>
      <c r="I12">
        <f t="shared" si="6"/>
        <v>25</v>
      </c>
      <c r="J12">
        <f t="shared" si="7"/>
        <v>25</v>
      </c>
      <c r="K12" t="s">
        <v>268</v>
      </c>
      <c r="L12" s="150" t="s">
        <v>269</v>
      </c>
      <c r="M12" s="1" t="s">
        <v>171</v>
      </c>
      <c r="N12" s="1" t="s">
        <v>172</v>
      </c>
      <c r="O12">
        <v>999</v>
      </c>
      <c r="P12" s="1" t="s">
        <v>156</v>
      </c>
      <c r="Q12">
        <v>11</v>
      </c>
      <c r="R12">
        <v>3</v>
      </c>
      <c r="S12">
        <v>13</v>
      </c>
      <c r="T12">
        <v>15</v>
      </c>
      <c r="U12">
        <v>96.23</v>
      </c>
      <c r="V12" t="s">
        <v>159</v>
      </c>
      <c r="W12" t="s">
        <v>159</v>
      </c>
      <c r="X12" t="s">
        <v>157</v>
      </c>
      <c r="Y12" s="1">
        <v>12.744</v>
      </c>
      <c r="Z12" s="1">
        <v>-78.7393</v>
      </c>
      <c r="AA12" s="1" t="s">
        <v>159</v>
      </c>
      <c r="AB12" s="1" t="s">
        <v>159</v>
      </c>
      <c r="AC12" s="1">
        <v>-2828</v>
      </c>
      <c r="AD12" t="s">
        <v>159</v>
      </c>
      <c r="AE12" s="1" t="s">
        <v>159</v>
      </c>
      <c r="AF12" s="136" t="s">
        <v>159</v>
      </c>
      <c r="AG12" s="140">
        <v>2985</v>
      </c>
      <c r="AH12" s="147" t="s">
        <v>159</v>
      </c>
      <c r="AI12" s="136" t="s">
        <v>159</v>
      </c>
      <c r="AJ12" s="136" t="s">
        <v>159</v>
      </c>
      <c r="AK12" s="136" t="s">
        <v>159</v>
      </c>
      <c r="AL12" t="s">
        <v>176</v>
      </c>
      <c r="AM12" s="130" t="s">
        <v>184</v>
      </c>
      <c r="AN12" t="s">
        <v>159</v>
      </c>
      <c r="AO12" t="s">
        <v>159</v>
      </c>
      <c r="AP12" t="s">
        <v>159</v>
      </c>
      <c r="AQ12" t="s">
        <v>159</v>
      </c>
      <c r="AR12" t="s">
        <v>159</v>
      </c>
      <c r="AS12" t="s">
        <v>159</v>
      </c>
      <c r="AT12" t="s">
        <v>159</v>
      </c>
      <c r="AU12" t="s">
        <v>279</v>
      </c>
      <c r="AV12" s="1" t="s">
        <v>160</v>
      </c>
      <c r="AW12" s="131" t="s">
        <v>196</v>
      </c>
      <c r="AX12" s="132" t="s">
        <v>197</v>
      </c>
      <c r="AY12" s="1" t="s">
        <v>198</v>
      </c>
      <c r="AZ12" s="1" t="s">
        <v>260</v>
      </c>
      <c r="BA12" s="1" t="s">
        <v>199</v>
      </c>
      <c r="BB12" t="s">
        <v>207</v>
      </c>
      <c r="BC12">
        <v>2</v>
      </c>
      <c r="BD12">
        <v>0.22999999999999685</v>
      </c>
      <c r="BE12" s="134">
        <v>19.29</v>
      </c>
      <c r="BF12" s="135" t="s">
        <v>162</v>
      </c>
      <c r="BG12" s="134">
        <v>0.1</v>
      </c>
      <c r="BH12" s="137" t="s">
        <v>159</v>
      </c>
      <c r="BI12" s="137" t="s">
        <v>159</v>
      </c>
      <c r="BJ12" s="138" t="s">
        <v>159</v>
      </c>
      <c r="BK12" s="1">
        <v>0.8</v>
      </c>
      <c r="BL12" s="1" t="s">
        <v>159</v>
      </c>
      <c r="BM12" s="1" t="s">
        <v>159</v>
      </c>
      <c r="BN12" s="1" t="s">
        <v>219</v>
      </c>
      <c r="BO12" s="1" t="s">
        <v>223</v>
      </c>
      <c r="BP12" s="136" t="s">
        <v>159</v>
      </c>
      <c r="BQ12" s="136" t="s">
        <v>159</v>
      </c>
      <c r="BR12" s="136" t="s">
        <v>159</v>
      </c>
      <c r="BS12" s="136" t="s">
        <v>159</v>
      </c>
      <c r="BT12" s="136" t="s">
        <v>159</v>
      </c>
      <c r="BU12" s="136" t="s">
        <v>221</v>
      </c>
      <c r="BV12" s="136" t="s">
        <v>237</v>
      </c>
      <c r="BW12" s="136" t="s">
        <v>237</v>
      </c>
      <c r="BX12">
        <v>28.9</v>
      </c>
      <c r="BY12" s="126" t="s">
        <v>159</v>
      </c>
      <c r="BZ12" s="136">
        <v>1.5</v>
      </c>
      <c r="CA12" s="136">
        <v>1.5</v>
      </c>
      <c r="CB12" t="s">
        <v>239</v>
      </c>
      <c r="CC12" t="s">
        <v>159</v>
      </c>
      <c r="CD12" t="s">
        <v>159</v>
      </c>
      <c r="CE12" t="s">
        <v>159</v>
      </c>
      <c r="CF12" t="s">
        <v>159</v>
      </c>
      <c r="CG12" t="s">
        <v>159</v>
      </c>
      <c r="CH12" t="s">
        <v>159</v>
      </c>
      <c r="CI12" t="s">
        <v>159</v>
      </c>
      <c r="CJ12" t="s">
        <v>159</v>
      </c>
      <c r="CK12" t="s">
        <v>159</v>
      </c>
      <c r="CL12" t="s">
        <v>159</v>
      </c>
      <c r="CM12" t="s">
        <v>159</v>
      </c>
      <c r="CN12" t="s">
        <v>236</v>
      </c>
      <c r="CO12" s="136" t="s">
        <v>225</v>
      </c>
      <c r="CP12" s="146" t="s">
        <v>159</v>
      </c>
      <c r="CQ12" s="146" t="s">
        <v>159</v>
      </c>
      <c r="CR12" s="136" t="s">
        <v>159</v>
      </c>
      <c r="CS12" s="136" t="s">
        <v>224</v>
      </c>
      <c r="CT12" s="136" t="s">
        <v>238</v>
      </c>
      <c r="CU12">
        <v>36</v>
      </c>
      <c r="CV12" s="1" t="s">
        <v>158</v>
      </c>
      <c r="CW12" s="1">
        <v>0</v>
      </c>
      <c r="CX12" s="1" t="s">
        <v>220</v>
      </c>
      <c r="CY12" t="s">
        <v>163</v>
      </c>
      <c r="CZ12" s="134" t="s">
        <v>166</v>
      </c>
      <c r="DA12" s="134" t="s">
        <v>166</v>
      </c>
      <c r="DB12" s="134" t="s">
        <v>166</v>
      </c>
      <c r="DC12" t="s">
        <v>163</v>
      </c>
      <c r="DD12" s="134" t="s">
        <v>166</v>
      </c>
      <c r="DE12" s="134" t="s">
        <v>166</v>
      </c>
      <c r="DF12" s="134" t="s">
        <v>166</v>
      </c>
      <c r="DG12" t="s">
        <v>163</v>
      </c>
      <c r="DH12" s="134" t="s">
        <v>166</v>
      </c>
      <c r="DI12" s="134" t="s">
        <v>166</v>
      </c>
      <c r="DJ12" s="134" t="s">
        <v>166</v>
      </c>
      <c r="DK12" s="136">
        <v>413.7</v>
      </c>
      <c r="DL12" s="136" t="s">
        <v>159</v>
      </c>
      <c r="DM12" s="136" t="s">
        <v>159</v>
      </c>
      <c r="DN12" s="148" t="s">
        <v>266</v>
      </c>
      <c r="DO12" s="1">
        <v>39.5</v>
      </c>
      <c r="DP12" t="s">
        <v>164</v>
      </c>
      <c r="DQ12" s="143" t="s">
        <v>159</v>
      </c>
      <c r="DR12" t="s">
        <v>263</v>
      </c>
      <c r="DS12" t="s">
        <v>261</v>
      </c>
      <c r="DT12" t="s">
        <v>165</v>
      </c>
      <c r="DU12">
        <v>1.0271999999999999</v>
      </c>
      <c r="DV12" t="s">
        <v>166</v>
      </c>
      <c r="DW12" t="s">
        <v>166</v>
      </c>
      <c r="DX12" t="s">
        <v>227</v>
      </c>
      <c r="DY12" t="s">
        <v>166</v>
      </c>
      <c r="DZ12" t="s">
        <v>166</v>
      </c>
      <c r="EA12" s="146" t="s">
        <v>159</v>
      </c>
      <c r="EB12" s="136" t="s">
        <v>248</v>
      </c>
      <c r="EC12" s="136" t="s">
        <v>240</v>
      </c>
      <c r="ED12" s="136" t="s">
        <v>240</v>
      </c>
      <c r="EE12" s="146" t="s">
        <v>159</v>
      </c>
      <c r="EF12" s="146" t="s">
        <v>159</v>
      </c>
      <c r="EG12" s="146" t="s">
        <v>159</v>
      </c>
      <c r="EH12" t="s">
        <v>167</v>
      </c>
      <c r="EI12" t="s">
        <v>220</v>
      </c>
      <c r="EJ12" s="143" t="s">
        <v>159</v>
      </c>
      <c r="EK12" s="144">
        <v>2330</v>
      </c>
      <c r="EL12" s="143" t="s">
        <v>168</v>
      </c>
      <c r="EM12" s="143">
        <f t="shared" si="8"/>
        <v>116.5</v>
      </c>
      <c r="EN12" s="143">
        <f t="shared" si="9"/>
        <v>116.5</v>
      </c>
      <c r="EO12" s="136" t="s">
        <v>159</v>
      </c>
      <c r="EP12" s="136" t="s">
        <v>159</v>
      </c>
      <c r="EQ12" s="136" t="s">
        <v>159</v>
      </c>
      <c r="ER12" s="136" t="s">
        <v>159</v>
      </c>
      <c r="ES12" s="136">
        <v>8.07</v>
      </c>
      <c r="ET12" s="1" t="s">
        <v>169</v>
      </c>
      <c r="EU12" s="1">
        <v>0.02</v>
      </c>
      <c r="EV12" s="1">
        <v>0.02</v>
      </c>
      <c r="EW12">
        <v>390</v>
      </c>
      <c r="EX12" t="s">
        <v>159</v>
      </c>
      <c r="EY12" t="s">
        <v>159</v>
      </c>
      <c r="EZ12">
        <v>390</v>
      </c>
      <c r="FA12">
        <v>25</v>
      </c>
      <c r="FB12">
        <v>25</v>
      </c>
      <c r="FC12" s="145" t="s">
        <v>159</v>
      </c>
      <c r="FD12" s="1" t="s">
        <v>267</v>
      </c>
      <c r="FE12" t="s">
        <v>170</v>
      </c>
      <c r="FF12" t="s">
        <v>170</v>
      </c>
      <c r="FG12" t="s">
        <v>170</v>
      </c>
      <c r="FH12" t="s">
        <v>170</v>
      </c>
      <c r="FI12" t="s">
        <v>170</v>
      </c>
      <c r="FJ12" t="s">
        <v>170</v>
      </c>
      <c r="FK12" t="s">
        <v>170</v>
      </c>
      <c r="FL12" t="s">
        <v>170</v>
      </c>
      <c r="FM12" t="s">
        <v>170</v>
      </c>
      <c r="FN12" t="s">
        <v>170</v>
      </c>
      <c r="FO12" t="s">
        <v>170</v>
      </c>
      <c r="FP12" t="s">
        <v>170</v>
      </c>
    </row>
    <row r="13" spans="1:191" ht="17" x14ac:dyDescent="0.2">
      <c r="A13" s="126" t="s">
        <v>152</v>
      </c>
      <c r="B13" t="s">
        <v>173</v>
      </c>
      <c r="C13">
        <v>2010</v>
      </c>
      <c r="D13" s="1" t="s">
        <v>172</v>
      </c>
      <c r="E13">
        <f t="shared" si="2"/>
        <v>3050</v>
      </c>
      <c r="F13" t="str">
        <f t="shared" si="3"/>
        <v>NA</v>
      </c>
      <c r="G13" t="str">
        <f t="shared" si="4"/>
        <v>NA</v>
      </c>
      <c r="H13">
        <f t="shared" si="5"/>
        <v>408</v>
      </c>
      <c r="I13">
        <f t="shared" si="6"/>
        <v>25</v>
      </c>
      <c r="J13">
        <f t="shared" si="7"/>
        <v>25</v>
      </c>
      <c r="K13" t="s">
        <v>268</v>
      </c>
      <c r="L13" s="150" t="s">
        <v>269</v>
      </c>
      <c r="M13" s="1" t="s">
        <v>171</v>
      </c>
      <c r="N13" s="1" t="s">
        <v>172</v>
      </c>
      <c r="O13">
        <v>999</v>
      </c>
      <c r="P13" s="1" t="s">
        <v>156</v>
      </c>
      <c r="Q13">
        <v>11</v>
      </c>
      <c r="R13">
        <v>4</v>
      </c>
      <c r="S13">
        <v>17</v>
      </c>
      <c r="T13">
        <v>19</v>
      </c>
      <c r="U13">
        <v>97.77</v>
      </c>
      <c r="V13" t="s">
        <v>159</v>
      </c>
      <c r="W13" t="s">
        <v>159</v>
      </c>
      <c r="X13" t="s">
        <v>157</v>
      </c>
      <c r="Y13" s="1">
        <v>12.744</v>
      </c>
      <c r="Z13" s="1">
        <v>-78.7393</v>
      </c>
      <c r="AA13" s="1" t="s">
        <v>159</v>
      </c>
      <c r="AB13" s="1" t="s">
        <v>159</v>
      </c>
      <c r="AC13" s="1">
        <v>-2828</v>
      </c>
      <c r="AD13" t="s">
        <v>159</v>
      </c>
      <c r="AE13" s="1" t="s">
        <v>159</v>
      </c>
      <c r="AF13" s="136" t="s">
        <v>159</v>
      </c>
      <c r="AG13" s="140">
        <v>3050</v>
      </c>
      <c r="AH13" s="147" t="s">
        <v>159</v>
      </c>
      <c r="AI13" s="136" t="s">
        <v>159</v>
      </c>
      <c r="AJ13" s="136" t="s">
        <v>159</v>
      </c>
      <c r="AK13" s="136" t="s">
        <v>159</v>
      </c>
      <c r="AL13" t="s">
        <v>176</v>
      </c>
      <c r="AM13" s="130" t="s">
        <v>185</v>
      </c>
      <c r="AN13" t="s">
        <v>159</v>
      </c>
      <c r="AO13" t="s">
        <v>159</v>
      </c>
      <c r="AP13" t="s">
        <v>159</v>
      </c>
      <c r="AQ13" t="s">
        <v>159</v>
      </c>
      <c r="AR13" t="s">
        <v>159</v>
      </c>
      <c r="AS13" t="s">
        <v>159</v>
      </c>
      <c r="AT13" t="s">
        <v>159</v>
      </c>
      <c r="AU13" t="s">
        <v>279</v>
      </c>
      <c r="AV13" s="1" t="s">
        <v>160</v>
      </c>
      <c r="AW13" s="131" t="s">
        <v>196</v>
      </c>
      <c r="AX13" s="132" t="s">
        <v>197</v>
      </c>
      <c r="AY13" s="1" t="s">
        <v>198</v>
      </c>
      <c r="AZ13" s="1" t="s">
        <v>260</v>
      </c>
      <c r="BA13" s="1" t="s">
        <v>199</v>
      </c>
      <c r="BB13" t="s">
        <v>208</v>
      </c>
      <c r="BC13">
        <v>2</v>
      </c>
      <c r="BD13">
        <v>3.9999999999999147E-2</v>
      </c>
      <c r="BE13" s="134">
        <v>19.11</v>
      </c>
      <c r="BF13" s="135" t="s">
        <v>162</v>
      </c>
      <c r="BG13" s="134">
        <v>0.16</v>
      </c>
      <c r="BH13" s="137" t="s">
        <v>159</v>
      </c>
      <c r="BI13" s="137" t="s">
        <v>159</v>
      </c>
      <c r="BJ13" s="138" t="s">
        <v>159</v>
      </c>
      <c r="BK13" s="1">
        <v>0.8</v>
      </c>
      <c r="BL13" s="1" t="s">
        <v>159</v>
      </c>
      <c r="BM13" s="1" t="s">
        <v>159</v>
      </c>
      <c r="BN13" s="1" t="s">
        <v>219</v>
      </c>
      <c r="BO13" s="1" t="s">
        <v>223</v>
      </c>
      <c r="BP13" s="136" t="s">
        <v>159</v>
      </c>
      <c r="BQ13" s="136" t="s">
        <v>159</v>
      </c>
      <c r="BR13" s="136" t="s">
        <v>159</v>
      </c>
      <c r="BS13" s="136" t="s">
        <v>159</v>
      </c>
      <c r="BT13" s="136" t="s">
        <v>159</v>
      </c>
      <c r="BU13" s="136" t="s">
        <v>221</v>
      </c>
      <c r="BV13" s="136" t="s">
        <v>237</v>
      </c>
      <c r="BW13" s="136" t="s">
        <v>237</v>
      </c>
      <c r="BX13">
        <v>28.7</v>
      </c>
      <c r="BY13" s="126" t="s">
        <v>159</v>
      </c>
      <c r="BZ13" s="136">
        <v>1.5</v>
      </c>
      <c r="CA13" s="136">
        <v>1.5</v>
      </c>
      <c r="CB13" t="s">
        <v>239</v>
      </c>
      <c r="CC13" t="s">
        <v>159</v>
      </c>
      <c r="CD13" t="s">
        <v>159</v>
      </c>
      <c r="CE13" t="s">
        <v>159</v>
      </c>
      <c r="CF13" t="s">
        <v>159</v>
      </c>
      <c r="CG13" t="s">
        <v>159</v>
      </c>
      <c r="CH13" t="s">
        <v>159</v>
      </c>
      <c r="CI13" t="s">
        <v>159</v>
      </c>
      <c r="CJ13" t="s">
        <v>159</v>
      </c>
      <c r="CK13" t="s">
        <v>159</v>
      </c>
      <c r="CL13" t="s">
        <v>159</v>
      </c>
      <c r="CM13" t="s">
        <v>159</v>
      </c>
      <c r="CN13" t="s">
        <v>236</v>
      </c>
      <c r="CO13" s="136" t="s">
        <v>225</v>
      </c>
      <c r="CP13" s="146" t="s">
        <v>159</v>
      </c>
      <c r="CQ13" s="146" t="s">
        <v>159</v>
      </c>
      <c r="CR13" s="136" t="s">
        <v>159</v>
      </c>
      <c r="CS13" s="136" t="s">
        <v>224</v>
      </c>
      <c r="CT13" s="136" t="s">
        <v>238</v>
      </c>
      <c r="CU13">
        <v>36</v>
      </c>
      <c r="CV13" s="1" t="s">
        <v>158</v>
      </c>
      <c r="CW13" s="1">
        <v>0</v>
      </c>
      <c r="CX13" s="1" t="s">
        <v>220</v>
      </c>
      <c r="CY13" t="s">
        <v>163</v>
      </c>
      <c r="CZ13" s="134" t="s">
        <v>166</v>
      </c>
      <c r="DA13" s="134" t="s">
        <v>166</v>
      </c>
      <c r="DB13" s="134" t="s">
        <v>166</v>
      </c>
      <c r="DC13" t="s">
        <v>163</v>
      </c>
      <c r="DD13" s="134" t="s">
        <v>166</v>
      </c>
      <c r="DE13" s="134" t="s">
        <v>166</v>
      </c>
      <c r="DF13" s="134" t="s">
        <v>166</v>
      </c>
      <c r="DG13" t="s">
        <v>163</v>
      </c>
      <c r="DH13" s="134" t="s">
        <v>166</v>
      </c>
      <c r="DI13" s="134" t="s">
        <v>166</v>
      </c>
      <c r="DJ13" s="134" t="s">
        <v>166</v>
      </c>
      <c r="DK13" s="136">
        <v>413.7</v>
      </c>
      <c r="DL13" s="136" t="s">
        <v>159</v>
      </c>
      <c r="DM13" s="136" t="s">
        <v>159</v>
      </c>
      <c r="DN13" s="148" t="s">
        <v>266</v>
      </c>
      <c r="DO13" s="1">
        <v>39.5</v>
      </c>
      <c r="DP13" t="s">
        <v>164</v>
      </c>
      <c r="DQ13" s="143" t="s">
        <v>159</v>
      </c>
      <c r="DR13" t="s">
        <v>263</v>
      </c>
      <c r="DS13" t="s">
        <v>261</v>
      </c>
      <c r="DT13" t="s">
        <v>165</v>
      </c>
      <c r="DU13">
        <v>1.0271999999999999</v>
      </c>
      <c r="DV13" t="s">
        <v>166</v>
      </c>
      <c r="DW13" t="s">
        <v>166</v>
      </c>
      <c r="DX13" t="s">
        <v>227</v>
      </c>
      <c r="DY13" t="s">
        <v>166</v>
      </c>
      <c r="DZ13" t="s">
        <v>166</v>
      </c>
      <c r="EA13" s="146" t="s">
        <v>159</v>
      </c>
      <c r="EB13" s="136" t="s">
        <v>249</v>
      </c>
      <c r="EC13" s="136" t="s">
        <v>240</v>
      </c>
      <c r="ED13" s="136" t="s">
        <v>240</v>
      </c>
      <c r="EE13" s="146" t="s">
        <v>159</v>
      </c>
      <c r="EF13" s="146" t="s">
        <v>159</v>
      </c>
      <c r="EG13" s="146" t="s">
        <v>159</v>
      </c>
      <c r="EH13" t="s">
        <v>167</v>
      </c>
      <c r="EI13" t="s">
        <v>220</v>
      </c>
      <c r="EJ13" s="143" t="s">
        <v>159</v>
      </c>
      <c r="EK13" s="144">
        <v>2330</v>
      </c>
      <c r="EL13" s="143" t="s">
        <v>168</v>
      </c>
      <c r="EM13" s="143">
        <f t="shared" si="8"/>
        <v>116.5</v>
      </c>
      <c r="EN13" s="143">
        <f t="shared" si="9"/>
        <v>116.5</v>
      </c>
      <c r="EO13" s="136" t="s">
        <v>159</v>
      </c>
      <c r="EP13" s="136" t="s">
        <v>159</v>
      </c>
      <c r="EQ13" s="136" t="s">
        <v>159</v>
      </c>
      <c r="ER13" s="136" t="s">
        <v>159</v>
      </c>
      <c r="ES13" s="136">
        <v>8.0500000000000007</v>
      </c>
      <c r="ET13" s="1" t="s">
        <v>169</v>
      </c>
      <c r="EU13" s="1">
        <v>0.02</v>
      </c>
      <c r="EV13" s="1">
        <v>0.02</v>
      </c>
      <c r="EW13">
        <v>408</v>
      </c>
      <c r="EX13" t="s">
        <v>159</v>
      </c>
      <c r="EY13" t="s">
        <v>159</v>
      </c>
      <c r="EZ13">
        <v>408</v>
      </c>
      <c r="FA13">
        <v>25</v>
      </c>
      <c r="FB13">
        <v>25</v>
      </c>
      <c r="FC13" s="145" t="s">
        <v>159</v>
      </c>
      <c r="FD13" s="1" t="s">
        <v>267</v>
      </c>
      <c r="FE13" t="s">
        <v>170</v>
      </c>
      <c r="FF13" t="s">
        <v>170</v>
      </c>
      <c r="FG13" t="s">
        <v>170</v>
      </c>
      <c r="FH13" t="s">
        <v>170</v>
      </c>
      <c r="FI13" t="s">
        <v>170</v>
      </c>
      <c r="FJ13" t="s">
        <v>170</v>
      </c>
      <c r="FK13" t="s">
        <v>170</v>
      </c>
      <c r="FL13" t="s">
        <v>170</v>
      </c>
      <c r="FM13" t="s">
        <v>170</v>
      </c>
      <c r="FN13" t="s">
        <v>170</v>
      </c>
      <c r="FO13" t="s">
        <v>170</v>
      </c>
      <c r="FP13" t="s">
        <v>170</v>
      </c>
    </row>
    <row r="14" spans="1:191" ht="17" x14ac:dyDescent="0.2">
      <c r="A14" s="126" t="s">
        <v>152</v>
      </c>
      <c r="B14" t="s">
        <v>173</v>
      </c>
      <c r="C14">
        <v>2010</v>
      </c>
      <c r="D14" s="1" t="s">
        <v>172</v>
      </c>
      <c r="E14">
        <f t="shared" si="2"/>
        <v>3172</v>
      </c>
      <c r="F14" t="str">
        <f t="shared" si="3"/>
        <v>NA</v>
      </c>
      <c r="G14" t="str">
        <f t="shared" si="4"/>
        <v>NA</v>
      </c>
      <c r="H14">
        <f t="shared" si="5"/>
        <v>340</v>
      </c>
      <c r="I14">
        <f t="shared" si="6"/>
        <v>25</v>
      </c>
      <c r="J14">
        <f t="shared" si="7"/>
        <v>25</v>
      </c>
      <c r="K14" t="s">
        <v>268</v>
      </c>
      <c r="L14" s="150" t="s">
        <v>269</v>
      </c>
      <c r="M14" s="1" t="s">
        <v>171</v>
      </c>
      <c r="N14" s="1" t="s">
        <v>172</v>
      </c>
      <c r="O14">
        <v>999</v>
      </c>
      <c r="P14" s="1" t="s">
        <v>156</v>
      </c>
      <c r="Q14">
        <v>11</v>
      </c>
      <c r="R14">
        <v>7</v>
      </c>
      <c r="S14">
        <v>29</v>
      </c>
      <c r="T14">
        <v>31</v>
      </c>
      <c r="U14">
        <v>102.39</v>
      </c>
      <c r="V14" t="s">
        <v>159</v>
      </c>
      <c r="W14" t="s">
        <v>159</v>
      </c>
      <c r="X14" t="s">
        <v>157</v>
      </c>
      <c r="Y14" s="1">
        <v>12.744</v>
      </c>
      <c r="Z14" s="1">
        <v>-78.7393</v>
      </c>
      <c r="AA14" s="1" t="s">
        <v>159</v>
      </c>
      <c r="AB14" s="1" t="s">
        <v>159</v>
      </c>
      <c r="AC14" s="1">
        <v>-2828</v>
      </c>
      <c r="AD14" t="s">
        <v>159</v>
      </c>
      <c r="AE14" s="1" t="s">
        <v>159</v>
      </c>
      <c r="AF14" s="136" t="s">
        <v>159</v>
      </c>
      <c r="AG14" s="140">
        <v>3172</v>
      </c>
      <c r="AH14" s="147" t="s">
        <v>159</v>
      </c>
      <c r="AI14" s="136" t="s">
        <v>159</v>
      </c>
      <c r="AJ14" s="136" t="s">
        <v>159</v>
      </c>
      <c r="AK14" s="136" t="s">
        <v>159</v>
      </c>
      <c r="AL14" t="s">
        <v>176</v>
      </c>
      <c r="AM14" s="130" t="s">
        <v>186</v>
      </c>
      <c r="AN14" t="s">
        <v>159</v>
      </c>
      <c r="AO14" t="s">
        <v>159</v>
      </c>
      <c r="AP14" t="s">
        <v>159</v>
      </c>
      <c r="AQ14" t="s">
        <v>159</v>
      </c>
      <c r="AR14" t="s">
        <v>159</v>
      </c>
      <c r="AS14" t="s">
        <v>159</v>
      </c>
      <c r="AT14" t="s">
        <v>159</v>
      </c>
      <c r="AU14" t="s">
        <v>279</v>
      </c>
      <c r="AV14" s="1" t="s">
        <v>160</v>
      </c>
      <c r="AW14" s="131" t="s">
        <v>196</v>
      </c>
      <c r="AX14" s="132" t="s">
        <v>197</v>
      </c>
      <c r="AY14" s="1" t="s">
        <v>198</v>
      </c>
      <c r="AZ14" s="1" t="s">
        <v>260</v>
      </c>
      <c r="BA14" s="1" t="s">
        <v>199</v>
      </c>
      <c r="BB14" t="s">
        <v>209</v>
      </c>
      <c r="BC14">
        <v>2</v>
      </c>
      <c r="BD14">
        <v>0.21999999999999886</v>
      </c>
      <c r="BE14" s="134">
        <v>19.79</v>
      </c>
      <c r="BF14" s="135" t="s">
        <v>162</v>
      </c>
      <c r="BG14" s="134">
        <v>0.09</v>
      </c>
      <c r="BH14" s="137" t="s">
        <v>159</v>
      </c>
      <c r="BI14" s="137" t="s">
        <v>159</v>
      </c>
      <c r="BJ14" s="138" t="s">
        <v>159</v>
      </c>
      <c r="BK14" s="1">
        <v>0.8</v>
      </c>
      <c r="BL14" s="1" t="s">
        <v>159</v>
      </c>
      <c r="BM14" s="1" t="s">
        <v>159</v>
      </c>
      <c r="BN14" s="1" t="s">
        <v>219</v>
      </c>
      <c r="BO14" s="1" t="s">
        <v>223</v>
      </c>
      <c r="BP14" s="136" t="s">
        <v>159</v>
      </c>
      <c r="BQ14" s="136" t="s">
        <v>159</v>
      </c>
      <c r="BR14" s="136" t="s">
        <v>159</v>
      </c>
      <c r="BS14" s="136" t="s">
        <v>159</v>
      </c>
      <c r="BT14" s="136" t="s">
        <v>159</v>
      </c>
      <c r="BU14" s="136" t="s">
        <v>221</v>
      </c>
      <c r="BV14" s="136" t="s">
        <v>237</v>
      </c>
      <c r="BW14" s="136" t="s">
        <v>237</v>
      </c>
      <c r="BX14">
        <v>28.5</v>
      </c>
      <c r="BY14" s="126" t="s">
        <v>159</v>
      </c>
      <c r="BZ14" s="136">
        <v>1.5</v>
      </c>
      <c r="CA14" s="136">
        <v>1.5</v>
      </c>
      <c r="CB14" t="s">
        <v>239</v>
      </c>
      <c r="CC14" t="s">
        <v>159</v>
      </c>
      <c r="CD14" t="s">
        <v>159</v>
      </c>
      <c r="CE14" t="s">
        <v>159</v>
      </c>
      <c r="CF14" t="s">
        <v>159</v>
      </c>
      <c r="CG14" t="s">
        <v>159</v>
      </c>
      <c r="CH14" t="s">
        <v>159</v>
      </c>
      <c r="CI14" t="s">
        <v>159</v>
      </c>
      <c r="CJ14" t="s">
        <v>159</v>
      </c>
      <c r="CK14" t="s">
        <v>159</v>
      </c>
      <c r="CL14" t="s">
        <v>159</v>
      </c>
      <c r="CM14" t="s">
        <v>159</v>
      </c>
      <c r="CN14" t="s">
        <v>236</v>
      </c>
      <c r="CO14" s="136" t="s">
        <v>225</v>
      </c>
      <c r="CP14" s="146" t="s">
        <v>159</v>
      </c>
      <c r="CQ14" s="146" t="s">
        <v>159</v>
      </c>
      <c r="CR14" s="136" t="s">
        <v>159</v>
      </c>
      <c r="CS14" s="136" t="s">
        <v>224</v>
      </c>
      <c r="CT14" s="136" t="s">
        <v>238</v>
      </c>
      <c r="CU14">
        <v>36</v>
      </c>
      <c r="CV14" s="1" t="s">
        <v>158</v>
      </c>
      <c r="CW14" s="1">
        <v>0</v>
      </c>
      <c r="CX14" s="1" t="s">
        <v>220</v>
      </c>
      <c r="CY14" t="s">
        <v>163</v>
      </c>
      <c r="CZ14" s="134" t="s">
        <v>166</v>
      </c>
      <c r="DA14" s="134" t="s">
        <v>166</v>
      </c>
      <c r="DB14" s="134" t="s">
        <v>166</v>
      </c>
      <c r="DC14" t="s">
        <v>163</v>
      </c>
      <c r="DD14" s="134" t="s">
        <v>166</v>
      </c>
      <c r="DE14" s="134" t="s">
        <v>166</v>
      </c>
      <c r="DF14" s="134" t="s">
        <v>166</v>
      </c>
      <c r="DG14" t="s">
        <v>163</v>
      </c>
      <c r="DH14" s="134" t="s">
        <v>166</v>
      </c>
      <c r="DI14" s="134" t="s">
        <v>166</v>
      </c>
      <c r="DJ14" s="134" t="s">
        <v>166</v>
      </c>
      <c r="DK14" s="136">
        <v>413.7</v>
      </c>
      <c r="DL14" s="136" t="s">
        <v>159</v>
      </c>
      <c r="DM14" s="136" t="s">
        <v>159</v>
      </c>
      <c r="DN14" s="148" t="s">
        <v>266</v>
      </c>
      <c r="DO14" s="1">
        <v>39.5</v>
      </c>
      <c r="DP14" t="s">
        <v>164</v>
      </c>
      <c r="DQ14" s="143" t="s">
        <v>159</v>
      </c>
      <c r="DR14" t="s">
        <v>263</v>
      </c>
      <c r="DS14" t="s">
        <v>261</v>
      </c>
      <c r="DT14" t="s">
        <v>165</v>
      </c>
      <c r="DU14">
        <v>1.0271999999999999</v>
      </c>
      <c r="DV14" t="s">
        <v>166</v>
      </c>
      <c r="DW14" t="s">
        <v>166</v>
      </c>
      <c r="DX14" t="s">
        <v>227</v>
      </c>
      <c r="DY14" t="s">
        <v>166</v>
      </c>
      <c r="DZ14" t="s">
        <v>166</v>
      </c>
      <c r="EA14" s="146" t="s">
        <v>159</v>
      </c>
      <c r="EB14" s="136" t="s">
        <v>250</v>
      </c>
      <c r="EC14" s="136" t="s">
        <v>240</v>
      </c>
      <c r="ED14" s="136" t="s">
        <v>240</v>
      </c>
      <c r="EE14" s="146" t="s">
        <v>159</v>
      </c>
      <c r="EF14" s="146" t="s">
        <v>159</v>
      </c>
      <c r="EG14" s="146" t="s">
        <v>159</v>
      </c>
      <c r="EH14" t="s">
        <v>167</v>
      </c>
      <c r="EI14" t="s">
        <v>220</v>
      </c>
      <c r="EJ14" s="143" t="s">
        <v>159</v>
      </c>
      <c r="EK14" s="144">
        <v>2330</v>
      </c>
      <c r="EL14" s="143" t="s">
        <v>168</v>
      </c>
      <c r="EM14" s="143">
        <f t="shared" si="8"/>
        <v>116.5</v>
      </c>
      <c r="EN14" s="143">
        <f t="shared" si="9"/>
        <v>116.5</v>
      </c>
      <c r="EO14" s="136" t="s">
        <v>159</v>
      </c>
      <c r="EP14" s="136" t="s">
        <v>159</v>
      </c>
      <c r="EQ14" s="136" t="s">
        <v>159</v>
      </c>
      <c r="ER14" s="136" t="s">
        <v>159</v>
      </c>
      <c r="ES14" s="136">
        <v>8.11</v>
      </c>
      <c r="ET14" s="1" t="s">
        <v>169</v>
      </c>
      <c r="EU14" s="1">
        <v>0.02</v>
      </c>
      <c r="EV14" s="1">
        <v>0.02</v>
      </c>
      <c r="EW14">
        <v>340</v>
      </c>
      <c r="EX14" t="s">
        <v>159</v>
      </c>
      <c r="EY14" t="s">
        <v>159</v>
      </c>
      <c r="EZ14">
        <v>340</v>
      </c>
      <c r="FA14">
        <v>25</v>
      </c>
      <c r="FB14">
        <v>25</v>
      </c>
      <c r="FC14" s="145" t="s">
        <v>159</v>
      </c>
      <c r="FD14" s="1" t="s">
        <v>267</v>
      </c>
      <c r="FE14" t="s">
        <v>170</v>
      </c>
      <c r="FF14" t="s">
        <v>170</v>
      </c>
      <c r="FG14" t="s">
        <v>170</v>
      </c>
      <c r="FH14" t="s">
        <v>170</v>
      </c>
      <c r="FI14" t="s">
        <v>170</v>
      </c>
      <c r="FJ14" t="s">
        <v>170</v>
      </c>
      <c r="FK14" t="s">
        <v>170</v>
      </c>
      <c r="FL14" t="s">
        <v>170</v>
      </c>
      <c r="FM14" t="s">
        <v>170</v>
      </c>
      <c r="FN14" t="s">
        <v>170</v>
      </c>
      <c r="FO14" t="s">
        <v>170</v>
      </c>
      <c r="FP14" t="s">
        <v>170</v>
      </c>
    </row>
    <row r="15" spans="1:191" ht="17" x14ac:dyDescent="0.2">
      <c r="A15" s="126" t="s">
        <v>152</v>
      </c>
      <c r="B15" t="s">
        <v>173</v>
      </c>
      <c r="C15">
        <v>2010</v>
      </c>
      <c r="D15" s="1" t="s">
        <v>172</v>
      </c>
      <c r="E15">
        <f t="shared" si="2"/>
        <v>3496</v>
      </c>
      <c r="F15" t="str">
        <f t="shared" si="3"/>
        <v>NA</v>
      </c>
      <c r="G15" t="str">
        <f t="shared" si="4"/>
        <v>NA</v>
      </c>
      <c r="H15">
        <f t="shared" si="5"/>
        <v>365</v>
      </c>
      <c r="I15">
        <f t="shared" si="6"/>
        <v>25</v>
      </c>
      <c r="J15">
        <f t="shared" si="7"/>
        <v>25</v>
      </c>
      <c r="K15" t="s">
        <v>268</v>
      </c>
      <c r="L15" s="150" t="s">
        <v>269</v>
      </c>
      <c r="M15" s="1" t="s">
        <v>171</v>
      </c>
      <c r="N15" s="1" t="s">
        <v>172</v>
      </c>
      <c r="O15">
        <v>999</v>
      </c>
      <c r="P15" s="1" t="s">
        <v>156</v>
      </c>
      <c r="Q15">
        <v>12</v>
      </c>
      <c r="R15">
        <v>6</v>
      </c>
      <c r="S15">
        <v>78</v>
      </c>
      <c r="T15">
        <v>79</v>
      </c>
      <c r="U15">
        <v>110.88</v>
      </c>
      <c r="V15" t="s">
        <v>159</v>
      </c>
      <c r="W15" t="s">
        <v>159</v>
      </c>
      <c r="X15" t="s">
        <v>157</v>
      </c>
      <c r="Y15" s="1">
        <v>12.744</v>
      </c>
      <c r="Z15" s="1">
        <v>-78.7393</v>
      </c>
      <c r="AA15" s="1" t="s">
        <v>159</v>
      </c>
      <c r="AB15" s="1" t="s">
        <v>159</v>
      </c>
      <c r="AC15" s="1">
        <v>-2828</v>
      </c>
      <c r="AD15" t="s">
        <v>159</v>
      </c>
      <c r="AE15" s="1" t="s">
        <v>159</v>
      </c>
      <c r="AF15" s="136" t="s">
        <v>159</v>
      </c>
      <c r="AG15" s="140">
        <v>3496</v>
      </c>
      <c r="AH15" s="147" t="s">
        <v>159</v>
      </c>
      <c r="AI15" s="136" t="s">
        <v>159</v>
      </c>
      <c r="AJ15" s="136" t="s">
        <v>159</v>
      </c>
      <c r="AK15" s="136" t="s">
        <v>159</v>
      </c>
      <c r="AL15" t="s">
        <v>176</v>
      </c>
      <c r="AM15" s="130" t="s">
        <v>187</v>
      </c>
      <c r="AN15" t="s">
        <v>159</v>
      </c>
      <c r="AO15" t="s">
        <v>159</v>
      </c>
      <c r="AP15" t="s">
        <v>159</v>
      </c>
      <c r="AQ15" t="s">
        <v>159</v>
      </c>
      <c r="AR15" t="s">
        <v>159</v>
      </c>
      <c r="AS15" t="s">
        <v>159</v>
      </c>
      <c r="AT15" t="s">
        <v>159</v>
      </c>
      <c r="AU15" t="s">
        <v>279</v>
      </c>
      <c r="AV15" s="1" t="s">
        <v>160</v>
      </c>
      <c r="AW15" s="131" t="s">
        <v>196</v>
      </c>
      <c r="AX15" s="132" t="s">
        <v>197</v>
      </c>
      <c r="AY15" s="1" t="s">
        <v>198</v>
      </c>
      <c r="AZ15" s="1" t="s">
        <v>260</v>
      </c>
      <c r="BA15" s="1" t="s">
        <v>199</v>
      </c>
      <c r="BB15" t="s">
        <v>210</v>
      </c>
      <c r="BC15">
        <v>2</v>
      </c>
      <c r="BD15">
        <v>0.14000000000000054</v>
      </c>
      <c r="BE15" s="134">
        <v>19.53</v>
      </c>
      <c r="BF15" s="135" t="s">
        <v>162</v>
      </c>
      <c r="BG15" s="134">
        <v>0.17</v>
      </c>
      <c r="BH15" s="137" t="s">
        <v>159</v>
      </c>
      <c r="BI15" s="137" t="s">
        <v>159</v>
      </c>
      <c r="BJ15" s="138" t="s">
        <v>159</v>
      </c>
      <c r="BK15" s="1">
        <v>0.8</v>
      </c>
      <c r="BL15" s="1" t="s">
        <v>159</v>
      </c>
      <c r="BM15" s="1" t="s">
        <v>159</v>
      </c>
      <c r="BN15" s="1" t="s">
        <v>219</v>
      </c>
      <c r="BO15" s="1" t="s">
        <v>223</v>
      </c>
      <c r="BP15" s="136" t="s">
        <v>159</v>
      </c>
      <c r="BQ15" s="136" t="s">
        <v>159</v>
      </c>
      <c r="BR15" s="136" t="s">
        <v>159</v>
      </c>
      <c r="BS15" s="136" t="s">
        <v>159</v>
      </c>
      <c r="BT15" s="136" t="s">
        <v>159</v>
      </c>
      <c r="BU15" s="136" t="s">
        <v>221</v>
      </c>
      <c r="BV15" s="136" t="s">
        <v>237</v>
      </c>
      <c r="BW15" s="136" t="s">
        <v>237</v>
      </c>
      <c r="BX15">
        <v>28.7</v>
      </c>
      <c r="BY15" s="126" t="s">
        <v>159</v>
      </c>
      <c r="BZ15" s="136">
        <v>1.5</v>
      </c>
      <c r="CA15" s="136">
        <v>1.5</v>
      </c>
      <c r="CB15" t="s">
        <v>239</v>
      </c>
      <c r="CC15" t="s">
        <v>159</v>
      </c>
      <c r="CD15" t="s">
        <v>159</v>
      </c>
      <c r="CE15" t="s">
        <v>159</v>
      </c>
      <c r="CF15" t="s">
        <v>159</v>
      </c>
      <c r="CG15" t="s">
        <v>159</v>
      </c>
      <c r="CH15" t="s">
        <v>159</v>
      </c>
      <c r="CI15" t="s">
        <v>159</v>
      </c>
      <c r="CJ15" t="s">
        <v>159</v>
      </c>
      <c r="CK15" t="s">
        <v>159</v>
      </c>
      <c r="CL15" t="s">
        <v>159</v>
      </c>
      <c r="CM15" t="s">
        <v>159</v>
      </c>
      <c r="CN15" t="s">
        <v>236</v>
      </c>
      <c r="CO15" s="136" t="s">
        <v>225</v>
      </c>
      <c r="CP15" s="146" t="s">
        <v>159</v>
      </c>
      <c r="CQ15" s="146" t="s">
        <v>159</v>
      </c>
      <c r="CR15" s="136" t="s">
        <v>159</v>
      </c>
      <c r="CS15" s="136" t="s">
        <v>224</v>
      </c>
      <c r="CT15" s="136" t="s">
        <v>238</v>
      </c>
      <c r="CU15">
        <v>36</v>
      </c>
      <c r="CV15" s="1" t="s">
        <v>158</v>
      </c>
      <c r="CW15" s="1">
        <v>0</v>
      </c>
      <c r="CX15" s="1" t="s">
        <v>220</v>
      </c>
      <c r="CY15" t="s">
        <v>163</v>
      </c>
      <c r="CZ15" s="134" t="s">
        <v>166</v>
      </c>
      <c r="DA15" s="134" t="s">
        <v>166</v>
      </c>
      <c r="DB15" s="134" t="s">
        <v>166</v>
      </c>
      <c r="DC15" t="s">
        <v>163</v>
      </c>
      <c r="DD15" s="134" t="s">
        <v>166</v>
      </c>
      <c r="DE15" s="134" t="s">
        <v>166</v>
      </c>
      <c r="DF15" s="134" t="s">
        <v>166</v>
      </c>
      <c r="DG15" t="s">
        <v>163</v>
      </c>
      <c r="DH15" s="134" t="s">
        <v>166</v>
      </c>
      <c r="DI15" s="134" t="s">
        <v>166</v>
      </c>
      <c r="DJ15" s="134" t="s">
        <v>166</v>
      </c>
      <c r="DK15" s="136">
        <v>413.7</v>
      </c>
      <c r="DL15" s="136" t="s">
        <v>159</v>
      </c>
      <c r="DM15" s="136" t="s">
        <v>159</v>
      </c>
      <c r="DN15" s="148" t="s">
        <v>266</v>
      </c>
      <c r="DO15" s="1">
        <v>39.5</v>
      </c>
      <c r="DP15" t="s">
        <v>164</v>
      </c>
      <c r="DQ15" s="143" t="s">
        <v>159</v>
      </c>
      <c r="DR15" t="s">
        <v>263</v>
      </c>
      <c r="DS15" t="s">
        <v>261</v>
      </c>
      <c r="DT15" t="s">
        <v>165</v>
      </c>
      <c r="DU15">
        <v>1.0271999999999999</v>
      </c>
      <c r="DV15" t="s">
        <v>166</v>
      </c>
      <c r="DW15" t="s">
        <v>166</v>
      </c>
      <c r="DX15" t="s">
        <v>227</v>
      </c>
      <c r="DY15" t="s">
        <v>166</v>
      </c>
      <c r="DZ15" t="s">
        <v>166</v>
      </c>
      <c r="EA15" s="146" t="s">
        <v>159</v>
      </c>
      <c r="EB15" s="136" t="s">
        <v>251</v>
      </c>
      <c r="EC15" s="136" t="s">
        <v>240</v>
      </c>
      <c r="ED15" s="136" t="s">
        <v>240</v>
      </c>
      <c r="EE15" s="146" t="s">
        <v>159</v>
      </c>
      <c r="EF15" s="146" t="s">
        <v>159</v>
      </c>
      <c r="EG15" s="146" t="s">
        <v>159</v>
      </c>
      <c r="EH15" t="s">
        <v>167</v>
      </c>
      <c r="EI15" t="s">
        <v>220</v>
      </c>
      <c r="EJ15" s="143" t="s">
        <v>159</v>
      </c>
      <c r="EK15" s="144">
        <v>2330</v>
      </c>
      <c r="EL15" s="143" t="s">
        <v>168</v>
      </c>
      <c r="EM15" s="143">
        <f t="shared" si="8"/>
        <v>116.5</v>
      </c>
      <c r="EN15" s="143">
        <f t="shared" si="9"/>
        <v>116.5</v>
      </c>
      <c r="EO15" s="136" t="s">
        <v>159</v>
      </c>
      <c r="EP15" s="136" t="s">
        <v>159</v>
      </c>
      <c r="EQ15" s="136" t="s">
        <v>159</v>
      </c>
      <c r="ER15" s="136" t="s">
        <v>159</v>
      </c>
      <c r="ES15" s="136">
        <v>8.09</v>
      </c>
      <c r="ET15" s="1" t="s">
        <v>169</v>
      </c>
      <c r="EU15" s="1">
        <v>0.02</v>
      </c>
      <c r="EV15" s="1">
        <v>0.02</v>
      </c>
      <c r="EW15">
        <v>365</v>
      </c>
      <c r="EX15" t="s">
        <v>159</v>
      </c>
      <c r="EY15" t="s">
        <v>159</v>
      </c>
      <c r="EZ15">
        <v>365</v>
      </c>
      <c r="FA15">
        <v>25</v>
      </c>
      <c r="FB15">
        <v>25</v>
      </c>
      <c r="FC15" s="145" t="s">
        <v>159</v>
      </c>
      <c r="FD15" s="1" t="s">
        <v>267</v>
      </c>
      <c r="FE15" t="s">
        <v>170</v>
      </c>
      <c r="FF15" t="s">
        <v>170</v>
      </c>
      <c r="FG15" t="s">
        <v>170</v>
      </c>
      <c r="FH15" t="s">
        <v>170</v>
      </c>
      <c r="FI15" t="s">
        <v>170</v>
      </c>
      <c r="FJ15" t="s">
        <v>170</v>
      </c>
      <c r="FK15" t="s">
        <v>170</v>
      </c>
      <c r="FL15" t="s">
        <v>170</v>
      </c>
      <c r="FM15" t="s">
        <v>170</v>
      </c>
      <c r="FN15" t="s">
        <v>170</v>
      </c>
      <c r="FO15" t="s">
        <v>170</v>
      </c>
      <c r="FP15" t="s">
        <v>170</v>
      </c>
    </row>
    <row r="16" spans="1:191" ht="17" x14ac:dyDescent="0.2">
      <c r="A16" s="126" t="s">
        <v>152</v>
      </c>
      <c r="B16" t="s">
        <v>173</v>
      </c>
      <c r="C16">
        <v>2010</v>
      </c>
      <c r="D16" s="1" t="s">
        <v>172</v>
      </c>
      <c r="E16">
        <f t="shared" si="2"/>
        <v>4</v>
      </c>
      <c r="F16" t="str">
        <f t="shared" si="3"/>
        <v>NA</v>
      </c>
      <c r="G16" t="str">
        <f t="shared" si="4"/>
        <v>NA</v>
      </c>
      <c r="H16">
        <f t="shared" si="5"/>
        <v>294</v>
      </c>
      <c r="I16">
        <f t="shared" si="6"/>
        <v>25</v>
      </c>
      <c r="J16">
        <f t="shared" si="7"/>
        <v>25</v>
      </c>
      <c r="K16" t="s">
        <v>268</v>
      </c>
      <c r="L16" s="150" t="s">
        <v>269</v>
      </c>
      <c r="M16" s="1" t="s">
        <v>171</v>
      </c>
      <c r="N16" s="1" t="s">
        <v>172</v>
      </c>
      <c r="O16">
        <v>999</v>
      </c>
      <c r="P16" s="1" t="s">
        <v>156</v>
      </c>
      <c r="Q16" s="1">
        <v>1</v>
      </c>
      <c r="R16" s="1">
        <v>1</v>
      </c>
      <c r="S16" s="1">
        <v>4</v>
      </c>
      <c r="T16" s="1">
        <v>5</v>
      </c>
      <c r="U16">
        <v>0.05</v>
      </c>
      <c r="V16" t="s">
        <v>159</v>
      </c>
      <c r="W16" t="s">
        <v>159</v>
      </c>
      <c r="X16" t="s">
        <v>157</v>
      </c>
      <c r="Y16" s="1">
        <v>12.744</v>
      </c>
      <c r="Z16" s="1">
        <v>-78.7393</v>
      </c>
      <c r="AA16" s="1" t="s">
        <v>159</v>
      </c>
      <c r="AB16" s="1" t="s">
        <v>159</v>
      </c>
      <c r="AC16" s="1">
        <v>-2828</v>
      </c>
      <c r="AD16" t="s">
        <v>159</v>
      </c>
      <c r="AE16" s="1" t="s">
        <v>159</v>
      </c>
      <c r="AF16" s="136" t="s">
        <v>159</v>
      </c>
      <c r="AG16" s="140">
        <v>4</v>
      </c>
      <c r="AH16" s="147" t="s">
        <v>159</v>
      </c>
      <c r="AI16" s="136" t="s">
        <v>159</v>
      </c>
      <c r="AJ16" s="136" t="s">
        <v>159</v>
      </c>
      <c r="AK16" s="136" t="s">
        <v>159</v>
      </c>
      <c r="AL16" t="s">
        <v>176</v>
      </c>
      <c r="AM16" s="130" t="s">
        <v>188</v>
      </c>
      <c r="AN16" t="s">
        <v>159</v>
      </c>
      <c r="AO16" t="s">
        <v>159</v>
      </c>
      <c r="AP16" t="s">
        <v>159</v>
      </c>
      <c r="AQ16" t="s">
        <v>159</v>
      </c>
      <c r="AR16" t="s">
        <v>159</v>
      </c>
      <c r="AS16" t="s">
        <v>159</v>
      </c>
      <c r="AT16" t="s">
        <v>159</v>
      </c>
      <c r="AU16" s="1" t="s">
        <v>235</v>
      </c>
      <c r="AV16" s="1" t="s">
        <v>160</v>
      </c>
      <c r="AW16" s="133">
        <v>100</v>
      </c>
      <c r="AX16" s="132" t="s">
        <v>197</v>
      </c>
      <c r="AY16" s="1" t="s">
        <v>198</v>
      </c>
      <c r="AZ16" s="1" t="s">
        <v>260</v>
      </c>
      <c r="BA16" s="1" t="s">
        <v>199</v>
      </c>
      <c r="BB16" t="s">
        <v>211</v>
      </c>
      <c r="BC16">
        <v>2</v>
      </c>
      <c r="BD16">
        <v>7.000000000000027E-2</v>
      </c>
      <c r="BE16" s="134">
        <v>19.170000000000002</v>
      </c>
      <c r="BF16" s="135" t="s">
        <v>162</v>
      </c>
      <c r="BG16" s="134">
        <v>0.11</v>
      </c>
      <c r="BH16" s="137" t="s">
        <v>159</v>
      </c>
      <c r="BI16" s="137" t="s">
        <v>159</v>
      </c>
      <c r="BJ16" s="138" t="s">
        <v>159</v>
      </c>
      <c r="BK16" s="1">
        <v>-0.4</v>
      </c>
      <c r="BL16" s="1" t="s">
        <v>159</v>
      </c>
      <c r="BM16" s="1" t="s">
        <v>159</v>
      </c>
      <c r="BN16" s="1" t="s">
        <v>219</v>
      </c>
      <c r="BO16" s="1" t="s">
        <v>223</v>
      </c>
      <c r="BP16" s="136" t="s">
        <v>159</v>
      </c>
      <c r="BQ16" s="136" t="s">
        <v>159</v>
      </c>
      <c r="BR16" s="136" t="s">
        <v>159</v>
      </c>
      <c r="BS16" s="136" t="s">
        <v>159</v>
      </c>
      <c r="BT16" s="136" t="s">
        <v>159</v>
      </c>
      <c r="BU16" s="136" t="s">
        <v>222</v>
      </c>
      <c r="BV16" s="136" t="s">
        <v>237</v>
      </c>
      <c r="BW16" s="136" t="s">
        <v>237</v>
      </c>
      <c r="BX16">
        <v>28.3</v>
      </c>
      <c r="BY16" s="126" t="s">
        <v>159</v>
      </c>
      <c r="BZ16" s="136">
        <v>1.5</v>
      </c>
      <c r="CA16" s="136">
        <v>1.5</v>
      </c>
      <c r="CB16" t="s">
        <v>239</v>
      </c>
      <c r="CC16" t="s">
        <v>159</v>
      </c>
      <c r="CD16" t="s">
        <v>159</v>
      </c>
      <c r="CE16" t="s">
        <v>159</v>
      </c>
      <c r="CF16" t="s">
        <v>159</v>
      </c>
      <c r="CG16" t="s">
        <v>159</v>
      </c>
      <c r="CH16" t="s">
        <v>159</v>
      </c>
      <c r="CI16" t="s">
        <v>159</v>
      </c>
      <c r="CJ16" t="s">
        <v>159</v>
      </c>
      <c r="CK16" t="s">
        <v>159</v>
      </c>
      <c r="CL16" t="s">
        <v>159</v>
      </c>
      <c r="CM16" t="s">
        <v>159</v>
      </c>
      <c r="CN16" t="s">
        <v>236</v>
      </c>
      <c r="CO16" s="136" t="s">
        <v>225</v>
      </c>
      <c r="CP16" s="146" t="s">
        <v>159</v>
      </c>
      <c r="CQ16" s="146" t="s">
        <v>159</v>
      </c>
      <c r="CR16" s="136" t="s">
        <v>159</v>
      </c>
      <c r="CS16" s="136" t="s">
        <v>224</v>
      </c>
      <c r="CT16" s="136" t="s">
        <v>238</v>
      </c>
      <c r="CU16">
        <v>36</v>
      </c>
      <c r="CV16" s="1" t="s">
        <v>158</v>
      </c>
      <c r="CW16" s="1">
        <v>0</v>
      </c>
      <c r="CX16" s="1" t="s">
        <v>220</v>
      </c>
      <c r="CY16" t="s">
        <v>163</v>
      </c>
      <c r="CZ16" s="134" t="s">
        <v>166</v>
      </c>
      <c r="DA16" s="134" t="s">
        <v>166</v>
      </c>
      <c r="DB16" s="134" t="s">
        <v>166</v>
      </c>
      <c r="DC16" t="s">
        <v>163</v>
      </c>
      <c r="DD16" s="134" t="s">
        <v>166</v>
      </c>
      <c r="DE16" s="134" t="s">
        <v>166</v>
      </c>
      <c r="DF16" s="134" t="s">
        <v>166</v>
      </c>
      <c r="DG16" t="s">
        <v>163</v>
      </c>
      <c r="DH16" s="134" t="s">
        <v>166</v>
      </c>
      <c r="DI16" s="134" t="s">
        <v>166</v>
      </c>
      <c r="DJ16" s="134" t="s">
        <v>166</v>
      </c>
      <c r="DK16" s="136">
        <v>413.7</v>
      </c>
      <c r="DL16" s="136" t="s">
        <v>159</v>
      </c>
      <c r="DM16" s="136" t="s">
        <v>159</v>
      </c>
      <c r="DN16" s="148" t="s">
        <v>266</v>
      </c>
      <c r="DO16" s="1">
        <v>39.5</v>
      </c>
      <c r="DP16" t="s">
        <v>164</v>
      </c>
      <c r="DQ16" s="143" t="s">
        <v>159</v>
      </c>
      <c r="DR16" t="s">
        <v>263</v>
      </c>
      <c r="DS16" t="s">
        <v>261</v>
      </c>
      <c r="DT16" t="s">
        <v>165</v>
      </c>
      <c r="DU16">
        <v>1.0271999999999999</v>
      </c>
      <c r="DV16" t="s">
        <v>166</v>
      </c>
      <c r="DW16" t="s">
        <v>166</v>
      </c>
      <c r="DX16" t="s">
        <v>227</v>
      </c>
      <c r="DY16" t="s">
        <v>166</v>
      </c>
      <c r="DZ16" t="s">
        <v>166</v>
      </c>
      <c r="EA16" s="146" t="s">
        <v>159</v>
      </c>
      <c r="EB16" s="136" t="s">
        <v>252</v>
      </c>
      <c r="EC16" s="136" t="s">
        <v>240</v>
      </c>
      <c r="ED16" s="136" t="s">
        <v>240</v>
      </c>
      <c r="EE16" s="146" t="s">
        <v>159</v>
      </c>
      <c r="EF16" s="146" t="s">
        <v>159</v>
      </c>
      <c r="EG16" s="146" t="s">
        <v>159</v>
      </c>
      <c r="EH16" t="s">
        <v>167</v>
      </c>
      <c r="EI16" t="s">
        <v>220</v>
      </c>
      <c r="EJ16" s="143" t="s">
        <v>159</v>
      </c>
      <c r="EK16" s="144">
        <v>2330</v>
      </c>
      <c r="EL16" s="143" t="s">
        <v>168</v>
      </c>
      <c r="EM16" s="143">
        <f t="shared" si="8"/>
        <v>116.5</v>
      </c>
      <c r="EN16" s="143">
        <f t="shared" si="9"/>
        <v>116.5</v>
      </c>
      <c r="EO16" s="136" t="s">
        <v>159</v>
      </c>
      <c r="EP16" s="136" t="s">
        <v>159</v>
      </c>
      <c r="EQ16" s="136" t="s">
        <v>159</v>
      </c>
      <c r="ER16" s="136" t="s">
        <v>159</v>
      </c>
      <c r="ES16">
        <v>8.15</v>
      </c>
      <c r="ET16" s="1" t="s">
        <v>169</v>
      </c>
      <c r="EU16" s="1">
        <v>0.02</v>
      </c>
      <c r="EV16" s="1">
        <v>0.02</v>
      </c>
      <c r="EW16">
        <v>294</v>
      </c>
      <c r="EX16" t="s">
        <v>159</v>
      </c>
      <c r="EY16" t="s">
        <v>159</v>
      </c>
      <c r="EZ16">
        <v>294</v>
      </c>
      <c r="FA16">
        <v>25</v>
      </c>
      <c r="FB16">
        <v>25</v>
      </c>
      <c r="FC16" s="145" t="s">
        <v>159</v>
      </c>
      <c r="FD16" s="1" t="s">
        <v>267</v>
      </c>
      <c r="FE16" t="s">
        <v>170</v>
      </c>
      <c r="FF16" t="s">
        <v>170</v>
      </c>
      <c r="FG16" t="s">
        <v>170</v>
      </c>
      <c r="FH16" t="s">
        <v>170</v>
      </c>
      <c r="FI16" t="s">
        <v>170</v>
      </c>
      <c r="FJ16" t="s">
        <v>170</v>
      </c>
      <c r="FK16" t="s">
        <v>170</v>
      </c>
      <c r="FL16" t="s">
        <v>170</v>
      </c>
      <c r="FM16" t="s">
        <v>170</v>
      </c>
      <c r="FN16" t="s">
        <v>170</v>
      </c>
      <c r="FO16" t="s">
        <v>170</v>
      </c>
      <c r="FP16" t="s">
        <v>170</v>
      </c>
    </row>
    <row r="17" spans="1:172" ht="17" x14ac:dyDescent="0.2">
      <c r="A17" s="126" t="s">
        <v>152</v>
      </c>
      <c r="B17" t="s">
        <v>173</v>
      </c>
      <c r="C17">
        <v>2010</v>
      </c>
      <c r="D17" s="1" t="s">
        <v>172</v>
      </c>
      <c r="E17">
        <f t="shared" si="2"/>
        <v>900</v>
      </c>
      <c r="F17" t="str">
        <f t="shared" si="3"/>
        <v>NA</v>
      </c>
      <c r="G17" t="str">
        <f t="shared" si="4"/>
        <v>NA</v>
      </c>
      <c r="H17">
        <f t="shared" si="5"/>
        <v>280</v>
      </c>
      <c r="I17">
        <f t="shared" si="6"/>
        <v>25</v>
      </c>
      <c r="J17">
        <f t="shared" si="7"/>
        <v>25</v>
      </c>
      <c r="K17" t="s">
        <v>268</v>
      </c>
      <c r="L17" s="150" t="s">
        <v>269</v>
      </c>
      <c r="M17" s="1" t="s">
        <v>171</v>
      </c>
      <c r="N17" s="1" t="s">
        <v>172</v>
      </c>
      <c r="O17">
        <v>999</v>
      </c>
      <c r="P17" s="1" t="s">
        <v>156</v>
      </c>
      <c r="Q17">
        <v>4</v>
      </c>
      <c r="R17">
        <v>4</v>
      </c>
      <c r="S17">
        <v>33</v>
      </c>
      <c r="T17">
        <v>35</v>
      </c>
      <c r="U17">
        <v>31.43</v>
      </c>
      <c r="V17" t="s">
        <v>159</v>
      </c>
      <c r="W17" t="s">
        <v>159</v>
      </c>
      <c r="X17" t="s">
        <v>157</v>
      </c>
      <c r="Y17" s="1">
        <v>12.744</v>
      </c>
      <c r="Z17" s="1">
        <v>-78.7393</v>
      </c>
      <c r="AA17" s="1" t="s">
        <v>159</v>
      </c>
      <c r="AB17" s="1" t="s">
        <v>159</v>
      </c>
      <c r="AC17" s="1">
        <v>-2828</v>
      </c>
      <c r="AD17" t="s">
        <v>159</v>
      </c>
      <c r="AE17" s="1" t="s">
        <v>159</v>
      </c>
      <c r="AF17" s="136" t="s">
        <v>159</v>
      </c>
      <c r="AG17" s="140">
        <v>900</v>
      </c>
      <c r="AH17" s="147" t="s">
        <v>159</v>
      </c>
      <c r="AI17" s="136" t="s">
        <v>159</v>
      </c>
      <c r="AJ17" s="136" t="s">
        <v>159</v>
      </c>
      <c r="AK17" s="136" t="s">
        <v>159</v>
      </c>
      <c r="AL17" t="s">
        <v>176</v>
      </c>
      <c r="AM17" s="130" t="s">
        <v>189</v>
      </c>
      <c r="AN17" t="s">
        <v>159</v>
      </c>
      <c r="AO17" t="s">
        <v>159</v>
      </c>
      <c r="AP17" t="s">
        <v>159</v>
      </c>
      <c r="AQ17" t="s">
        <v>159</v>
      </c>
      <c r="AR17" t="s">
        <v>159</v>
      </c>
      <c r="AS17" t="s">
        <v>159</v>
      </c>
      <c r="AT17" t="s">
        <v>159</v>
      </c>
      <c r="AU17" s="1" t="s">
        <v>235</v>
      </c>
      <c r="AV17" s="1" t="s">
        <v>160</v>
      </c>
      <c r="AW17" s="133">
        <v>100</v>
      </c>
      <c r="AX17" s="132" t="s">
        <v>197</v>
      </c>
      <c r="AY17" s="1" t="s">
        <v>198</v>
      </c>
      <c r="AZ17" s="1" t="s">
        <v>260</v>
      </c>
      <c r="BA17" s="1" t="s">
        <v>199</v>
      </c>
      <c r="BB17" t="s">
        <v>212</v>
      </c>
      <c r="BC17">
        <v>2</v>
      </c>
      <c r="BD17">
        <v>0.12999999999999901</v>
      </c>
      <c r="BE17" s="134">
        <v>18.989999999999998</v>
      </c>
      <c r="BF17" s="135" t="s">
        <v>162</v>
      </c>
      <c r="BG17" s="134">
        <v>0.09</v>
      </c>
      <c r="BH17" s="137" t="s">
        <v>159</v>
      </c>
      <c r="BI17" s="137" t="s">
        <v>159</v>
      </c>
      <c r="BJ17" s="138" t="s">
        <v>159</v>
      </c>
      <c r="BK17" s="1">
        <v>-0.4</v>
      </c>
      <c r="BL17" s="1" t="s">
        <v>159</v>
      </c>
      <c r="BM17" s="1" t="s">
        <v>159</v>
      </c>
      <c r="BN17" s="1" t="s">
        <v>219</v>
      </c>
      <c r="BO17" s="1" t="s">
        <v>223</v>
      </c>
      <c r="BP17" s="136" t="s">
        <v>159</v>
      </c>
      <c r="BQ17" s="136" t="s">
        <v>159</v>
      </c>
      <c r="BR17" s="136" t="s">
        <v>159</v>
      </c>
      <c r="BS17" s="136" t="s">
        <v>159</v>
      </c>
      <c r="BT17" s="136" t="s">
        <v>159</v>
      </c>
      <c r="BU17" s="136" t="s">
        <v>222</v>
      </c>
      <c r="BV17" s="136" t="s">
        <v>237</v>
      </c>
      <c r="BW17" s="136" t="s">
        <v>237</v>
      </c>
      <c r="BX17">
        <v>25.3</v>
      </c>
      <c r="BY17" s="126" t="s">
        <v>159</v>
      </c>
      <c r="BZ17" s="136">
        <v>1.5</v>
      </c>
      <c r="CA17" s="136">
        <v>1.5</v>
      </c>
      <c r="CB17" t="s">
        <v>239</v>
      </c>
      <c r="CC17" t="s">
        <v>159</v>
      </c>
      <c r="CD17" t="s">
        <v>159</v>
      </c>
      <c r="CE17" t="s">
        <v>159</v>
      </c>
      <c r="CF17" t="s">
        <v>159</v>
      </c>
      <c r="CG17" t="s">
        <v>159</v>
      </c>
      <c r="CH17" t="s">
        <v>159</v>
      </c>
      <c r="CI17" t="s">
        <v>159</v>
      </c>
      <c r="CJ17" t="s">
        <v>159</v>
      </c>
      <c r="CK17" t="s">
        <v>159</v>
      </c>
      <c r="CL17" t="s">
        <v>159</v>
      </c>
      <c r="CM17" t="s">
        <v>159</v>
      </c>
      <c r="CN17" t="s">
        <v>236</v>
      </c>
      <c r="CO17" s="136" t="s">
        <v>225</v>
      </c>
      <c r="CP17" s="146" t="s">
        <v>159</v>
      </c>
      <c r="CQ17" s="146" t="s">
        <v>159</v>
      </c>
      <c r="CR17" s="136" t="s">
        <v>159</v>
      </c>
      <c r="CS17" s="136" t="s">
        <v>224</v>
      </c>
      <c r="CT17" s="136" t="s">
        <v>238</v>
      </c>
      <c r="CU17">
        <v>36</v>
      </c>
      <c r="CV17" s="1" t="s">
        <v>158</v>
      </c>
      <c r="CW17" s="1">
        <v>0</v>
      </c>
      <c r="CX17" s="1" t="s">
        <v>220</v>
      </c>
      <c r="CY17" t="s">
        <v>163</v>
      </c>
      <c r="CZ17" s="134" t="s">
        <v>166</v>
      </c>
      <c r="DA17" s="134" t="s">
        <v>166</v>
      </c>
      <c r="DB17" s="134" t="s">
        <v>166</v>
      </c>
      <c r="DC17" t="s">
        <v>163</v>
      </c>
      <c r="DD17" s="134" t="s">
        <v>166</v>
      </c>
      <c r="DE17" s="134" t="s">
        <v>166</v>
      </c>
      <c r="DF17" s="134" t="s">
        <v>166</v>
      </c>
      <c r="DG17" t="s">
        <v>163</v>
      </c>
      <c r="DH17" s="134" t="s">
        <v>166</v>
      </c>
      <c r="DI17" s="134" t="s">
        <v>166</v>
      </c>
      <c r="DJ17" s="134" t="s">
        <v>166</v>
      </c>
      <c r="DK17" s="136">
        <v>413.7</v>
      </c>
      <c r="DL17" s="136" t="s">
        <v>159</v>
      </c>
      <c r="DM17" s="136" t="s">
        <v>159</v>
      </c>
      <c r="DN17" s="148" t="s">
        <v>266</v>
      </c>
      <c r="DO17" s="1">
        <v>39.5</v>
      </c>
      <c r="DP17" t="s">
        <v>164</v>
      </c>
      <c r="DQ17" s="143" t="s">
        <v>159</v>
      </c>
      <c r="DR17" t="s">
        <v>263</v>
      </c>
      <c r="DS17" t="s">
        <v>261</v>
      </c>
      <c r="DT17" t="s">
        <v>165</v>
      </c>
      <c r="DU17">
        <v>1.0271999999999999</v>
      </c>
      <c r="DV17" t="s">
        <v>166</v>
      </c>
      <c r="DW17" t="s">
        <v>166</v>
      </c>
      <c r="DX17" t="s">
        <v>227</v>
      </c>
      <c r="DY17" t="s">
        <v>166</v>
      </c>
      <c r="DZ17" t="s">
        <v>166</v>
      </c>
      <c r="EA17" s="146" t="s">
        <v>159</v>
      </c>
      <c r="EB17" s="136" t="s">
        <v>253</v>
      </c>
      <c r="EC17" s="136" t="s">
        <v>240</v>
      </c>
      <c r="ED17" s="136" t="s">
        <v>240</v>
      </c>
      <c r="EE17" s="146" t="s">
        <v>159</v>
      </c>
      <c r="EF17" s="146" t="s">
        <v>159</v>
      </c>
      <c r="EG17" s="146" t="s">
        <v>159</v>
      </c>
      <c r="EH17" t="s">
        <v>167</v>
      </c>
      <c r="EI17" t="s">
        <v>220</v>
      </c>
      <c r="EJ17" s="143" t="s">
        <v>159</v>
      </c>
      <c r="EK17" s="144">
        <v>2330</v>
      </c>
      <c r="EL17" s="143" t="s">
        <v>168</v>
      </c>
      <c r="EM17" s="143">
        <f t="shared" si="8"/>
        <v>116.5</v>
      </c>
      <c r="EN17" s="143">
        <f t="shared" si="9"/>
        <v>116.5</v>
      </c>
      <c r="EO17" s="136" t="s">
        <v>159</v>
      </c>
      <c r="EP17" s="136" t="s">
        <v>159</v>
      </c>
      <c r="EQ17" s="136" t="s">
        <v>159</v>
      </c>
      <c r="ER17" s="136" t="s">
        <v>159</v>
      </c>
      <c r="ES17">
        <v>8.17</v>
      </c>
      <c r="ET17" s="1" t="s">
        <v>169</v>
      </c>
      <c r="EU17" s="1">
        <v>0.02</v>
      </c>
      <c r="EV17" s="1">
        <v>0.02</v>
      </c>
      <c r="EW17">
        <v>280</v>
      </c>
      <c r="EX17" t="s">
        <v>159</v>
      </c>
      <c r="EY17" t="s">
        <v>159</v>
      </c>
      <c r="EZ17">
        <v>280</v>
      </c>
      <c r="FA17">
        <v>25</v>
      </c>
      <c r="FB17">
        <v>25</v>
      </c>
      <c r="FC17" s="145" t="s">
        <v>159</v>
      </c>
      <c r="FD17" s="1" t="s">
        <v>267</v>
      </c>
      <c r="FE17" t="s">
        <v>170</v>
      </c>
      <c r="FF17" t="s">
        <v>170</v>
      </c>
      <c r="FG17" t="s">
        <v>170</v>
      </c>
      <c r="FH17" t="s">
        <v>170</v>
      </c>
      <c r="FI17" t="s">
        <v>170</v>
      </c>
      <c r="FJ17" t="s">
        <v>170</v>
      </c>
      <c r="FK17" t="s">
        <v>170</v>
      </c>
      <c r="FL17" t="s">
        <v>170</v>
      </c>
      <c r="FM17" t="s">
        <v>170</v>
      </c>
      <c r="FN17" t="s">
        <v>170</v>
      </c>
      <c r="FO17" t="s">
        <v>170</v>
      </c>
      <c r="FP17" t="s">
        <v>170</v>
      </c>
    </row>
    <row r="18" spans="1:172" ht="17" x14ac:dyDescent="0.2">
      <c r="A18" s="126" t="s">
        <v>152</v>
      </c>
      <c r="B18" t="s">
        <v>173</v>
      </c>
      <c r="C18">
        <v>2010</v>
      </c>
      <c r="D18" s="1" t="s">
        <v>172</v>
      </c>
      <c r="E18">
        <f t="shared" si="2"/>
        <v>1500</v>
      </c>
      <c r="F18" t="str">
        <f t="shared" si="3"/>
        <v>NA</v>
      </c>
      <c r="G18" t="str">
        <f t="shared" si="4"/>
        <v>NA</v>
      </c>
      <c r="H18">
        <f t="shared" si="5"/>
        <v>254</v>
      </c>
      <c r="I18">
        <f t="shared" si="6"/>
        <v>25</v>
      </c>
      <c r="J18">
        <f t="shared" si="7"/>
        <v>25</v>
      </c>
      <c r="K18" t="s">
        <v>268</v>
      </c>
      <c r="L18" s="150" t="s">
        <v>269</v>
      </c>
      <c r="M18" s="1" t="s">
        <v>171</v>
      </c>
      <c r="N18" s="1" t="s">
        <v>172</v>
      </c>
      <c r="O18">
        <v>999</v>
      </c>
      <c r="P18" s="1" t="s">
        <v>156</v>
      </c>
      <c r="Q18">
        <v>6</v>
      </c>
      <c r="R18">
        <v>3</v>
      </c>
      <c r="S18">
        <v>108</v>
      </c>
      <c r="T18">
        <v>110</v>
      </c>
      <c r="U18">
        <v>49.68</v>
      </c>
      <c r="V18" t="s">
        <v>159</v>
      </c>
      <c r="W18" t="s">
        <v>159</v>
      </c>
      <c r="X18" t="s">
        <v>157</v>
      </c>
      <c r="Y18" s="1">
        <v>12.744</v>
      </c>
      <c r="Z18" s="1">
        <v>-78.7393</v>
      </c>
      <c r="AA18" s="1" t="s">
        <v>159</v>
      </c>
      <c r="AB18" s="1" t="s">
        <v>159</v>
      </c>
      <c r="AC18" s="1">
        <v>-2828</v>
      </c>
      <c r="AD18" t="s">
        <v>159</v>
      </c>
      <c r="AE18" s="1" t="s">
        <v>159</v>
      </c>
      <c r="AF18" s="136" t="s">
        <v>159</v>
      </c>
      <c r="AG18" s="140">
        <v>1500</v>
      </c>
      <c r="AH18" s="147" t="s">
        <v>159</v>
      </c>
      <c r="AI18" s="136" t="s">
        <v>159</v>
      </c>
      <c r="AJ18" s="136" t="s">
        <v>159</v>
      </c>
      <c r="AK18" s="136" t="s">
        <v>159</v>
      </c>
      <c r="AL18" t="s">
        <v>176</v>
      </c>
      <c r="AM18" s="130" t="s">
        <v>190</v>
      </c>
      <c r="AN18" t="s">
        <v>159</v>
      </c>
      <c r="AO18" t="s">
        <v>159</v>
      </c>
      <c r="AP18" t="s">
        <v>159</v>
      </c>
      <c r="AQ18" t="s">
        <v>159</v>
      </c>
      <c r="AR18" t="s">
        <v>159</v>
      </c>
      <c r="AS18" t="s">
        <v>159</v>
      </c>
      <c r="AT18" t="s">
        <v>159</v>
      </c>
      <c r="AU18" s="1" t="s">
        <v>235</v>
      </c>
      <c r="AV18" s="1" t="s">
        <v>160</v>
      </c>
      <c r="AW18" s="133">
        <v>100</v>
      </c>
      <c r="AX18" s="132" t="s">
        <v>197</v>
      </c>
      <c r="AY18" s="1" t="s">
        <v>198</v>
      </c>
      <c r="AZ18" s="1" t="s">
        <v>260</v>
      </c>
      <c r="BA18" s="1" t="s">
        <v>199</v>
      </c>
      <c r="BB18" t="s">
        <v>213</v>
      </c>
      <c r="BC18">
        <v>2</v>
      </c>
      <c r="BD18">
        <v>7.9999999999998295E-2</v>
      </c>
      <c r="BE18" s="134">
        <v>19.77</v>
      </c>
      <c r="BF18" s="135" t="s">
        <v>162</v>
      </c>
      <c r="BG18" s="134">
        <v>0.12</v>
      </c>
      <c r="BH18" s="137" t="s">
        <v>159</v>
      </c>
      <c r="BI18" s="137" t="s">
        <v>159</v>
      </c>
      <c r="BJ18" s="138" t="s">
        <v>159</v>
      </c>
      <c r="BK18" s="1">
        <v>-0.4</v>
      </c>
      <c r="BL18" s="1" t="s">
        <v>159</v>
      </c>
      <c r="BM18" s="1" t="s">
        <v>159</v>
      </c>
      <c r="BN18" s="1" t="s">
        <v>219</v>
      </c>
      <c r="BO18" s="1" t="s">
        <v>223</v>
      </c>
      <c r="BP18" s="136" t="s">
        <v>159</v>
      </c>
      <c r="BQ18" s="136" t="s">
        <v>159</v>
      </c>
      <c r="BR18" s="136" t="s">
        <v>159</v>
      </c>
      <c r="BS18" s="136" t="s">
        <v>159</v>
      </c>
      <c r="BT18" s="136" t="s">
        <v>159</v>
      </c>
      <c r="BU18" s="136" t="s">
        <v>222</v>
      </c>
      <c r="BV18" s="136" t="s">
        <v>237</v>
      </c>
      <c r="BW18" s="136" t="s">
        <v>237</v>
      </c>
      <c r="BX18">
        <v>28</v>
      </c>
      <c r="BY18" s="126" t="s">
        <v>159</v>
      </c>
      <c r="BZ18" s="136">
        <v>1.5</v>
      </c>
      <c r="CA18" s="136">
        <v>1.5</v>
      </c>
      <c r="CB18" t="s">
        <v>239</v>
      </c>
      <c r="CC18" t="s">
        <v>159</v>
      </c>
      <c r="CD18" t="s">
        <v>159</v>
      </c>
      <c r="CE18" t="s">
        <v>159</v>
      </c>
      <c r="CF18" t="s">
        <v>159</v>
      </c>
      <c r="CG18" t="s">
        <v>159</v>
      </c>
      <c r="CH18" t="s">
        <v>159</v>
      </c>
      <c r="CI18" t="s">
        <v>159</v>
      </c>
      <c r="CJ18" t="s">
        <v>159</v>
      </c>
      <c r="CK18" t="s">
        <v>159</v>
      </c>
      <c r="CL18" t="s">
        <v>159</v>
      </c>
      <c r="CM18" t="s">
        <v>159</v>
      </c>
      <c r="CN18" t="s">
        <v>236</v>
      </c>
      <c r="CO18" s="136" t="s">
        <v>225</v>
      </c>
      <c r="CP18" s="146" t="s">
        <v>159</v>
      </c>
      <c r="CQ18" s="146" t="s">
        <v>159</v>
      </c>
      <c r="CR18" s="136" t="s">
        <v>159</v>
      </c>
      <c r="CS18" s="136" t="s">
        <v>224</v>
      </c>
      <c r="CT18" s="136" t="s">
        <v>238</v>
      </c>
      <c r="CU18">
        <v>36</v>
      </c>
      <c r="CV18" s="1" t="s">
        <v>158</v>
      </c>
      <c r="CW18" s="1">
        <v>0</v>
      </c>
      <c r="CX18" s="1" t="s">
        <v>220</v>
      </c>
      <c r="CY18" t="s">
        <v>163</v>
      </c>
      <c r="CZ18" s="134" t="s">
        <v>166</v>
      </c>
      <c r="DA18" s="134" t="s">
        <v>166</v>
      </c>
      <c r="DB18" s="134" t="s">
        <v>166</v>
      </c>
      <c r="DC18" t="s">
        <v>163</v>
      </c>
      <c r="DD18" s="134" t="s">
        <v>166</v>
      </c>
      <c r="DE18" s="134" t="s">
        <v>166</v>
      </c>
      <c r="DF18" s="134" t="s">
        <v>166</v>
      </c>
      <c r="DG18" t="s">
        <v>163</v>
      </c>
      <c r="DH18" s="134" t="s">
        <v>166</v>
      </c>
      <c r="DI18" s="134" t="s">
        <v>166</v>
      </c>
      <c r="DJ18" s="134" t="s">
        <v>166</v>
      </c>
      <c r="DK18" s="136">
        <v>413.7</v>
      </c>
      <c r="DL18" s="136" t="s">
        <v>159</v>
      </c>
      <c r="DM18" s="136" t="s">
        <v>159</v>
      </c>
      <c r="DN18" s="148" t="s">
        <v>266</v>
      </c>
      <c r="DO18" s="1">
        <v>39.5</v>
      </c>
      <c r="DP18" t="s">
        <v>164</v>
      </c>
      <c r="DQ18" s="143" t="s">
        <v>159</v>
      </c>
      <c r="DR18" t="s">
        <v>263</v>
      </c>
      <c r="DS18" t="s">
        <v>261</v>
      </c>
      <c r="DT18" t="s">
        <v>165</v>
      </c>
      <c r="DU18">
        <v>1.0271999999999999</v>
      </c>
      <c r="DV18" t="s">
        <v>166</v>
      </c>
      <c r="DW18" t="s">
        <v>166</v>
      </c>
      <c r="DX18" t="s">
        <v>227</v>
      </c>
      <c r="DY18" t="s">
        <v>166</v>
      </c>
      <c r="DZ18" t="s">
        <v>166</v>
      </c>
      <c r="EA18" s="146" t="s">
        <v>159</v>
      </c>
      <c r="EB18" s="136" t="s">
        <v>254</v>
      </c>
      <c r="EC18" s="136" t="s">
        <v>240</v>
      </c>
      <c r="ED18" s="136" t="s">
        <v>240</v>
      </c>
      <c r="EE18" s="146" t="s">
        <v>159</v>
      </c>
      <c r="EF18" s="146" t="s">
        <v>159</v>
      </c>
      <c r="EG18" s="146" t="s">
        <v>159</v>
      </c>
      <c r="EH18" t="s">
        <v>167</v>
      </c>
      <c r="EI18" t="s">
        <v>220</v>
      </c>
      <c r="EJ18" s="143" t="s">
        <v>159</v>
      </c>
      <c r="EK18" s="144">
        <v>2330</v>
      </c>
      <c r="EL18" s="143" t="s">
        <v>168</v>
      </c>
      <c r="EM18" s="143">
        <f t="shared" si="8"/>
        <v>116.5</v>
      </c>
      <c r="EN18" s="143">
        <f t="shared" si="9"/>
        <v>116.5</v>
      </c>
      <c r="EO18" s="136" t="s">
        <v>159</v>
      </c>
      <c r="EP18" s="136" t="s">
        <v>159</v>
      </c>
      <c r="EQ18" s="136" t="s">
        <v>159</v>
      </c>
      <c r="ER18" s="136" t="s">
        <v>159</v>
      </c>
      <c r="ES18">
        <v>8.1999999999999993</v>
      </c>
      <c r="ET18" s="1" t="s">
        <v>169</v>
      </c>
      <c r="EU18" s="1">
        <v>0.02</v>
      </c>
      <c r="EV18" s="1">
        <v>0.02</v>
      </c>
      <c r="EW18">
        <v>254</v>
      </c>
      <c r="EX18" t="s">
        <v>159</v>
      </c>
      <c r="EY18" t="s">
        <v>159</v>
      </c>
      <c r="EZ18">
        <v>254</v>
      </c>
      <c r="FA18">
        <v>25</v>
      </c>
      <c r="FB18">
        <v>25</v>
      </c>
      <c r="FC18" s="145" t="s">
        <v>159</v>
      </c>
      <c r="FD18" s="1" t="s">
        <v>267</v>
      </c>
      <c r="FE18" t="s">
        <v>170</v>
      </c>
      <c r="FF18" t="s">
        <v>170</v>
      </c>
      <c r="FG18" t="s">
        <v>170</v>
      </c>
      <c r="FH18" t="s">
        <v>170</v>
      </c>
      <c r="FI18" t="s">
        <v>170</v>
      </c>
      <c r="FJ18" t="s">
        <v>170</v>
      </c>
      <c r="FK18" t="s">
        <v>170</v>
      </c>
      <c r="FL18" t="s">
        <v>170</v>
      </c>
      <c r="FM18" t="s">
        <v>170</v>
      </c>
      <c r="FN18" t="s">
        <v>170</v>
      </c>
      <c r="FO18" t="s">
        <v>170</v>
      </c>
      <c r="FP18" t="s">
        <v>170</v>
      </c>
    </row>
    <row r="19" spans="1:172" ht="17" x14ac:dyDescent="0.2">
      <c r="A19" s="126" t="s">
        <v>152</v>
      </c>
      <c r="B19" t="s">
        <v>173</v>
      </c>
      <c r="C19">
        <v>2010</v>
      </c>
      <c r="D19" s="1" t="s">
        <v>172</v>
      </c>
      <c r="E19">
        <f t="shared" si="2"/>
        <v>2109</v>
      </c>
      <c r="F19" t="str">
        <f t="shared" si="3"/>
        <v>NA</v>
      </c>
      <c r="G19" t="str">
        <f t="shared" si="4"/>
        <v>NA</v>
      </c>
      <c r="H19">
        <f t="shared" si="5"/>
        <v>369</v>
      </c>
      <c r="I19">
        <f t="shared" si="6"/>
        <v>25</v>
      </c>
      <c r="J19">
        <f t="shared" si="7"/>
        <v>25</v>
      </c>
      <c r="K19" t="s">
        <v>268</v>
      </c>
      <c r="L19" s="150" t="s">
        <v>269</v>
      </c>
      <c r="M19" s="1" t="s">
        <v>171</v>
      </c>
      <c r="N19" s="1" t="s">
        <v>172</v>
      </c>
      <c r="O19">
        <v>999</v>
      </c>
      <c r="P19" s="1" t="s">
        <v>156</v>
      </c>
      <c r="Q19">
        <v>8</v>
      </c>
      <c r="R19">
        <v>4</v>
      </c>
      <c r="S19">
        <v>51</v>
      </c>
      <c r="T19">
        <v>53</v>
      </c>
      <c r="U19">
        <v>69.61</v>
      </c>
      <c r="V19" t="s">
        <v>159</v>
      </c>
      <c r="W19" t="s">
        <v>159</v>
      </c>
      <c r="X19" t="s">
        <v>157</v>
      </c>
      <c r="Y19" s="1">
        <v>12.744</v>
      </c>
      <c r="Z19" s="1">
        <v>-78.7393</v>
      </c>
      <c r="AA19" s="1" t="s">
        <v>159</v>
      </c>
      <c r="AB19" s="1" t="s">
        <v>159</v>
      </c>
      <c r="AC19" s="1">
        <v>-2828</v>
      </c>
      <c r="AD19" t="s">
        <v>159</v>
      </c>
      <c r="AE19" s="1" t="s">
        <v>159</v>
      </c>
      <c r="AF19" s="136" t="s">
        <v>159</v>
      </c>
      <c r="AG19" s="140">
        <v>2109</v>
      </c>
      <c r="AH19" s="147" t="s">
        <v>159</v>
      </c>
      <c r="AI19" s="136" t="s">
        <v>159</v>
      </c>
      <c r="AJ19" s="136" t="s">
        <v>159</v>
      </c>
      <c r="AK19" s="136" t="s">
        <v>159</v>
      </c>
      <c r="AL19" t="s">
        <v>176</v>
      </c>
      <c r="AM19" s="130" t="s">
        <v>191</v>
      </c>
      <c r="AN19" t="s">
        <v>159</v>
      </c>
      <c r="AO19" t="s">
        <v>159</v>
      </c>
      <c r="AP19" t="s">
        <v>159</v>
      </c>
      <c r="AQ19" t="s">
        <v>159</v>
      </c>
      <c r="AR19" t="s">
        <v>159</v>
      </c>
      <c r="AS19" t="s">
        <v>159</v>
      </c>
      <c r="AT19" t="s">
        <v>159</v>
      </c>
      <c r="AU19" s="1" t="s">
        <v>235</v>
      </c>
      <c r="AV19" s="1" t="s">
        <v>160</v>
      </c>
      <c r="AW19" s="133">
        <v>100</v>
      </c>
      <c r="AX19" s="132" t="s">
        <v>197</v>
      </c>
      <c r="AY19" s="1" t="s">
        <v>198</v>
      </c>
      <c r="AZ19" s="1" t="s">
        <v>260</v>
      </c>
      <c r="BA19" s="1" t="s">
        <v>199</v>
      </c>
      <c r="BB19" t="s">
        <v>214</v>
      </c>
      <c r="BC19">
        <v>2</v>
      </c>
      <c r="BD19">
        <v>6.0000000000002267E-2</v>
      </c>
      <c r="BE19" s="134">
        <v>17.82</v>
      </c>
      <c r="BF19" s="135" t="s">
        <v>162</v>
      </c>
      <c r="BG19" s="134">
        <v>0.16</v>
      </c>
      <c r="BH19" s="137" t="s">
        <v>159</v>
      </c>
      <c r="BI19" s="137" t="s">
        <v>159</v>
      </c>
      <c r="BJ19" s="138" t="s">
        <v>159</v>
      </c>
      <c r="BK19" s="1">
        <v>-0.4</v>
      </c>
      <c r="BL19" s="1" t="s">
        <v>159</v>
      </c>
      <c r="BM19" s="1" t="s">
        <v>159</v>
      </c>
      <c r="BN19" s="1" t="s">
        <v>219</v>
      </c>
      <c r="BO19" s="1" t="s">
        <v>223</v>
      </c>
      <c r="BP19" s="136" t="s">
        <v>159</v>
      </c>
      <c r="BQ19" s="136" t="s">
        <v>159</v>
      </c>
      <c r="BR19" s="136" t="s">
        <v>159</v>
      </c>
      <c r="BS19" s="136" t="s">
        <v>159</v>
      </c>
      <c r="BT19" s="136" t="s">
        <v>159</v>
      </c>
      <c r="BU19" s="136" t="s">
        <v>222</v>
      </c>
      <c r="BV19" s="136" t="s">
        <v>237</v>
      </c>
      <c r="BW19" s="136" t="s">
        <v>237</v>
      </c>
      <c r="BX19">
        <v>27.3</v>
      </c>
      <c r="BY19" s="126" t="s">
        <v>159</v>
      </c>
      <c r="BZ19" s="136">
        <v>1.5</v>
      </c>
      <c r="CA19" s="136">
        <v>1.5</v>
      </c>
      <c r="CB19" t="s">
        <v>239</v>
      </c>
      <c r="CC19" t="s">
        <v>159</v>
      </c>
      <c r="CD19" t="s">
        <v>159</v>
      </c>
      <c r="CE19" t="s">
        <v>159</v>
      </c>
      <c r="CF19" t="s">
        <v>159</v>
      </c>
      <c r="CG19" t="s">
        <v>159</v>
      </c>
      <c r="CH19" t="s">
        <v>159</v>
      </c>
      <c r="CI19" t="s">
        <v>159</v>
      </c>
      <c r="CJ19" t="s">
        <v>159</v>
      </c>
      <c r="CK19" t="s">
        <v>159</v>
      </c>
      <c r="CL19" t="s">
        <v>159</v>
      </c>
      <c r="CM19" t="s">
        <v>159</v>
      </c>
      <c r="CN19" t="s">
        <v>236</v>
      </c>
      <c r="CO19" s="136" t="s">
        <v>225</v>
      </c>
      <c r="CP19" s="146" t="s">
        <v>159</v>
      </c>
      <c r="CQ19" s="146" t="s">
        <v>159</v>
      </c>
      <c r="CR19" s="136" t="s">
        <v>159</v>
      </c>
      <c r="CS19" s="136" t="s">
        <v>224</v>
      </c>
      <c r="CT19" s="136" t="s">
        <v>238</v>
      </c>
      <c r="CU19">
        <v>36</v>
      </c>
      <c r="CV19" s="1" t="s">
        <v>158</v>
      </c>
      <c r="CW19" s="1">
        <v>0</v>
      </c>
      <c r="CX19" s="1" t="s">
        <v>220</v>
      </c>
      <c r="CY19" t="s">
        <v>163</v>
      </c>
      <c r="CZ19" s="134" t="s">
        <v>166</v>
      </c>
      <c r="DA19" s="134" t="s">
        <v>166</v>
      </c>
      <c r="DB19" s="134" t="s">
        <v>166</v>
      </c>
      <c r="DC19" t="s">
        <v>163</v>
      </c>
      <c r="DD19" s="134" t="s">
        <v>166</v>
      </c>
      <c r="DE19" s="134" t="s">
        <v>166</v>
      </c>
      <c r="DF19" s="134" t="s">
        <v>166</v>
      </c>
      <c r="DG19" t="s">
        <v>163</v>
      </c>
      <c r="DH19" s="134" t="s">
        <v>166</v>
      </c>
      <c r="DI19" s="134" t="s">
        <v>166</v>
      </c>
      <c r="DJ19" s="134" t="s">
        <v>166</v>
      </c>
      <c r="DK19" s="136">
        <v>413.7</v>
      </c>
      <c r="DL19" s="136" t="s">
        <v>159</v>
      </c>
      <c r="DM19" s="136" t="s">
        <v>159</v>
      </c>
      <c r="DN19" s="148" t="s">
        <v>266</v>
      </c>
      <c r="DO19" s="1">
        <v>39.5</v>
      </c>
      <c r="DP19" t="s">
        <v>164</v>
      </c>
      <c r="DQ19" s="143" t="s">
        <v>159</v>
      </c>
      <c r="DR19" t="s">
        <v>263</v>
      </c>
      <c r="DS19" t="s">
        <v>261</v>
      </c>
      <c r="DT19" t="s">
        <v>165</v>
      </c>
      <c r="DU19">
        <v>1.0271999999999999</v>
      </c>
      <c r="DV19" t="s">
        <v>166</v>
      </c>
      <c r="DW19" t="s">
        <v>166</v>
      </c>
      <c r="DX19" t="s">
        <v>227</v>
      </c>
      <c r="DY19" t="s">
        <v>166</v>
      </c>
      <c r="DZ19" t="s">
        <v>166</v>
      </c>
      <c r="EA19" s="146" t="s">
        <v>159</v>
      </c>
      <c r="EB19" s="136" t="s">
        <v>255</v>
      </c>
      <c r="EC19" s="136" t="s">
        <v>240</v>
      </c>
      <c r="ED19" s="136" t="s">
        <v>240</v>
      </c>
      <c r="EE19" s="146" t="s">
        <v>159</v>
      </c>
      <c r="EF19" s="146" t="s">
        <v>159</v>
      </c>
      <c r="EG19" s="146" t="s">
        <v>159</v>
      </c>
      <c r="EH19" t="s">
        <v>167</v>
      </c>
      <c r="EI19" t="s">
        <v>220</v>
      </c>
      <c r="EJ19" s="143" t="s">
        <v>159</v>
      </c>
      <c r="EK19" s="144">
        <v>2330</v>
      </c>
      <c r="EL19" s="143" t="s">
        <v>168</v>
      </c>
      <c r="EM19" s="143">
        <f t="shared" si="8"/>
        <v>116.5</v>
      </c>
      <c r="EN19" s="143">
        <f t="shared" si="9"/>
        <v>116.5</v>
      </c>
      <c r="EO19" s="136" t="s">
        <v>159</v>
      </c>
      <c r="EP19" s="136" t="s">
        <v>159</v>
      </c>
      <c r="EQ19" s="136" t="s">
        <v>159</v>
      </c>
      <c r="ER19" s="136" t="s">
        <v>159</v>
      </c>
      <c r="ES19">
        <v>8.0399999999999991</v>
      </c>
      <c r="ET19" s="1" t="s">
        <v>169</v>
      </c>
      <c r="EU19" s="1">
        <v>0.02</v>
      </c>
      <c r="EV19" s="1">
        <v>0.02</v>
      </c>
      <c r="EW19">
        <v>369</v>
      </c>
      <c r="EX19" t="s">
        <v>159</v>
      </c>
      <c r="EY19" t="s">
        <v>159</v>
      </c>
      <c r="EZ19">
        <v>369</v>
      </c>
      <c r="FA19">
        <v>25</v>
      </c>
      <c r="FB19">
        <v>25</v>
      </c>
      <c r="FC19" s="145" t="s">
        <v>159</v>
      </c>
      <c r="FD19" s="1" t="s">
        <v>267</v>
      </c>
      <c r="FE19" t="s">
        <v>170</v>
      </c>
      <c r="FF19" t="s">
        <v>170</v>
      </c>
      <c r="FG19" t="s">
        <v>170</v>
      </c>
      <c r="FH19" t="s">
        <v>170</v>
      </c>
      <c r="FI19" t="s">
        <v>170</v>
      </c>
      <c r="FJ19" t="s">
        <v>170</v>
      </c>
      <c r="FK19" t="s">
        <v>170</v>
      </c>
      <c r="FL19" t="s">
        <v>170</v>
      </c>
      <c r="FM19" t="s">
        <v>170</v>
      </c>
      <c r="FN19" t="s">
        <v>170</v>
      </c>
      <c r="FO19" t="s">
        <v>170</v>
      </c>
      <c r="FP19" t="s">
        <v>170</v>
      </c>
    </row>
    <row r="20" spans="1:172" ht="17" x14ac:dyDescent="0.2">
      <c r="A20" s="126" t="s">
        <v>152</v>
      </c>
      <c r="B20" t="s">
        <v>173</v>
      </c>
      <c r="C20">
        <v>2010</v>
      </c>
      <c r="D20" s="1" t="s">
        <v>172</v>
      </c>
      <c r="E20">
        <f t="shared" si="2"/>
        <v>2985</v>
      </c>
      <c r="F20" t="str">
        <f t="shared" si="3"/>
        <v>NA</v>
      </c>
      <c r="G20" t="str">
        <f t="shared" si="4"/>
        <v>NA</v>
      </c>
      <c r="H20">
        <f t="shared" si="5"/>
        <v>379</v>
      </c>
      <c r="I20">
        <f t="shared" si="6"/>
        <v>25</v>
      </c>
      <c r="J20">
        <f t="shared" si="7"/>
        <v>25</v>
      </c>
      <c r="K20" t="s">
        <v>268</v>
      </c>
      <c r="L20" s="150" t="s">
        <v>269</v>
      </c>
      <c r="M20" s="1" t="s">
        <v>171</v>
      </c>
      <c r="N20" s="1" t="s">
        <v>172</v>
      </c>
      <c r="O20">
        <v>999</v>
      </c>
      <c r="P20" s="1" t="s">
        <v>156</v>
      </c>
      <c r="Q20">
        <v>11</v>
      </c>
      <c r="R20">
        <v>3</v>
      </c>
      <c r="S20">
        <v>13</v>
      </c>
      <c r="T20">
        <v>15</v>
      </c>
      <c r="U20">
        <v>96.23</v>
      </c>
      <c r="V20" t="s">
        <v>159</v>
      </c>
      <c r="W20" t="s">
        <v>159</v>
      </c>
      <c r="X20" t="s">
        <v>157</v>
      </c>
      <c r="Y20" s="1">
        <v>12.744</v>
      </c>
      <c r="Z20" s="1">
        <v>-78.7393</v>
      </c>
      <c r="AA20" s="1" t="s">
        <v>159</v>
      </c>
      <c r="AB20" s="1" t="s">
        <v>159</v>
      </c>
      <c r="AC20" s="1">
        <v>-2828</v>
      </c>
      <c r="AD20" t="s">
        <v>159</v>
      </c>
      <c r="AE20" s="1" t="s">
        <v>159</v>
      </c>
      <c r="AF20" s="136" t="s">
        <v>159</v>
      </c>
      <c r="AG20" s="140">
        <v>2985</v>
      </c>
      <c r="AH20" s="147" t="s">
        <v>159</v>
      </c>
      <c r="AI20" s="136" t="s">
        <v>159</v>
      </c>
      <c r="AJ20" s="136" t="s">
        <v>159</v>
      </c>
      <c r="AK20" s="136" t="s">
        <v>159</v>
      </c>
      <c r="AL20" t="s">
        <v>176</v>
      </c>
      <c r="AM20" s="130" t="s">
        <v>192</v>
      </c>
      <c r="AN20" t="s">
        <v>159</v>
      </c>
      <c r="AO20" t="s">
        <v>159</v>
      </c>
      <c r="AP20" t="s">
        <v>159</v>
      </c>
      <c r="AQ20" t="s">
        <v>159</v>
      </c>
      <c r="AR20" t="s">
        <v>159</v>
      </c>
      <c r="AS20" t="s">
        <v>159</v>
      </c>
      <c r="AT20" t="s">
        <v>159</v>
      </c>
      <c r="AU20" s="1" t="s">
        <v>235</v>
      </c>
      <c r="AV20" s="1" t="s">
        <v>160</v>
      </c>
      <c r="AW20" s="133">
        <v>100</v>
      </c>
      <c r="AX20" s="132" t="s">
        <v>197</v>
      </c>
      <c r="AY20" s="1" t="s">
        <v>198</v>
      </c>
      <c r="AZ20" s="1" t="s">
        <v>260</v>
      </c>
      <c r="BA20" s="1" t="s">
        <v>199</v>
      </c>
      <c r="BB20" t="s">
        <v>215</v>
      </c>
      <c r="BC20">
        <v>2</v>
      </c>
      <c r="BD20">
        <v>0.23000000000000043</v>
      </c>
      <c r="BE20" s="134">
        <v>18.2</v>
      </c>
      <c r="BF20" s="135" t="s">
        <v>162</v>
      </c>
      <c r="BG20" s="134">
        <v>0.17</v>
      </c>
      <c r="BH20" s="137" t="s">
        <v>159</v>
      </c>
      <c r="BI20" s="137" t="s">
        <v>159</v>
      </c>
      <c r="BJ20" s="138" t="s">
        <v>159</v>
      </c>
      <c r="BK20" s="1">
        <v>-0.4</v>
      </c>
      <c r="BL20" s="1" t="s">
        <v>159</v>
      </c>
      <c r="BM20" s="1" t="s">
        <v>159</v>
      </c>
      <c r="BN20" s="1" t="s">
        <v>219</v>
      </c>
      <c r="BO20" s="1" t="s">
        <v>223</v>
      </c>
      <c r="BP20" s="136" t="s">
        <v>159</v>
      </c>
      <c r="BQ20" s="136" t="s">
        <v>159</v>
      </c>
      <c r="BR20" s="136" t="s">
        <v>159</v>
      </c>
      <c r="BS20" s="136" t="s">
        <v>159</v>
      </c>
      <c r="BT20" s="136" t="s">
        <v>159</v>
      </c>
      <c r="BU20" s="136" t="s">
        <v>222</v>
      </c>
      <c r="BV20" s="136" t="s">
        <v>237</v>
      </c>
      <c r="BW20" s="136" t="s">
        <v>237</v>
      </c>
      <c r="BX20">
        <v>28.9</v>
      </c>
      <c r="BY20" s="126" t="s">
        <v>159</v>
      </c>
      <c r="BZ20" s="136">
        <v>1.5</v>
      </c>
      <c r="CA20" s="136">
        <v>1.5</v>
      </c>
      <c r="CB20" t="s">
        <v>239</v>
      </c>
      <c r="CC20" t="s">
        <v>159</v>
      </c>
      <c r="CD20" t="s">
        <v>159</v>
      </c>
      <c r="CE20" t="s">
        <v>159</v>
      </c>
      <c r="CF20" t="s">
        <v>159</v>
      </c>
      <c r="CG20" t="s">
        <v>159</v>
      </c>
      <c r="CH20" t="s">
        <v>159</v>
      </c>
      <c r="CI20" t="s">
        <v>159</v>
      </c>
      <c r="CJ20" t="s">
        <v>159</v>
      </c>
      <c r="CK20" t="s">
        <v>159</v>
      </c>
      <c r="CL20" t="s">
        <v>159</v>
      </c>
      <c r="CM20" t="s">
        <v>159</v>
      </c>
      <c r="CN20" t="s">
        <v>236</v>
      </c>
      <c r="CO20" s="136" t="s">
        <v>225</v>
      </c>
      <c r="CP20" s="146" t="s">
        <v>159</v>
      </c>
      <c r="CQ20" s="146" t="s">
        <v>159</v>
      </c>
      <c r="CR20" s="136" t="s">
        <v>159</v>
      </c>
      <c r="CS20" s="136" t="s">
        <v>224</v>
      </c>
      <c r="CT20" s="136" t="s">
        <v>238</v>
      </c>
      <c r="CU20">
        <v>36</v>
      </c>
      <c r="CV20" s="1" t="s">
        <v>158</v>
      </c>
      <c r="CW20" s="1">
        <v>0</v>
      </c>
      <c r="CX20" s="1" t="s">
        <v>220</v>
      </c>
      <c r="CY20" t="s">
        <v>163</v>
      </c>
      <c r="CZ20" s="134" t="s">
        <v>166</v>
      </c>
      <c r="DA20" s="134" t="s">
        <v>166</v>
      </c>
      <c r="DB20" s="134" t="s">
        <v>166</v>
      </c>
      <c r="DC20" t="s">
        <v>163</v>
      </c>
      <c r="DD20" s="134" t="s">
        <v>166</v>
      </c>
      <c r="DE20" s="134" t="s">
        <v>166</v>
      </c>
      <c r="DF20" s="134" t="s">
        <v>166</v>
      </c>
      <c r="DG20" t="s">
        <v>163</v>
      </c>
      <c r="DH20" s="134" t="s">
        <v>166</v>
      </c>
      <c r="DI20" s="134" t="s">
        <v>166</v>
      </c>
      <c r="DJ20" s="134" t="s">
        <v>166</v>
      </c>
      <c r="DK20" s="136">
        <v>413.7</v>
      </c>
      <c r="DL20" s="136" t="s">
        <v>159</v>
      </c>
      <c r="DM20" s="136" t="s">
        <v>159</v>
      </c>
      <c r="DN20" s="148" t="s">
        <v>266</v>
      </c>
      <c r="DO20" s="1">
        <v>39.5</v>
      </c>
      <c r="DP20" t="s">
        <v>164</v>
      </c>
      <c r="DQ20" s="143" t="s">
        <v>159</v>
      </c>
      <c r="DR20" t="s">
        <v>263</v>
      </c>
      <c r="DS20" t="s">
        <v>261</v>
      </c>
      <c r="DT20" t="s">
        <v>165</v>
      </c>
      <c r="DU20">
        <v>1.0271999999999999</v>
      </c>
      <c r="DV20" t="s">
        <v>166</v>
      </c>
      <c r="DW20" t="s">
        <v>166</v>
      </c>
      <c r="DX20" t="s">
        <v>227</v>
      </c>
      <c r="DY20" t="s">
        <v>166</v>
      </c>
      <c r="DZ20" t="s">
        <v>166</v>
      </c>
      <c r="EA20" s="146" t="s">
        <v>159</v>
      </c>
      <c r="EB20" s="136" t="s">
        <v>256</v>
      </c>
      <c r="EC20" s="136" t="s">
        <v>240</v>
      </c>
      <c r="ED20" s="136" t="s">
        <v>240</v>
      </c>
      <c r="EE20" s="146" t="s">
        <v>159</v>
      </c>
      <c r="EF20" s="146" t="s">
        <v>159</v>
      </c>
      <c r="EG20" s="146" t="s">
        <v>159</v>
      </c>
      <c r="EH20" t="s">
        <v>167</v>
      </c>
      <c r="EI20" t="s">
        <v>220</v>
      </c>
      <c r="EJ20" s="143" t="s">
        <v>159</v>
      </c>
      <c r="EK20" s="144">
        <v>2330</v>
      </c>
      <c r="EL20" s="143" t="s">
        <v>168</v>
      </c>
      <c r="EM20" s="143">
        <f t="shared" si="8"/>
        <v>116.5</v>
      </c>
      <c r="EN20" s="143">
        <f t="shared" si="9"/>
        <v>116.5</v>
      </c>
      <c r="EO20" s="136" t="s">
        <v>159</v>
      </c>
      <c r="EP20" s="136" t="s">
        <v>159</v>
      </c>
      <c r="EQ20" s="136" t="s">
        <v>159</v>
      </c>
      <c r="ER20" s="136" t="s">
        <v>159</v>
      </c>
      <c r="ES20">
        <v>8.06</v>
      </c>
      <c r="ET20" s="1" t="s">
        <v>169</v>
      </c>
      <c r="EU20" s="1">
        <v>0.02</v>
      </c>
      <c r="EV20" s="1">
        <v>0.02</v>
      </c>
      <c r="EW20">
        <v>379</v>
      </c>
      <c r="EX20" t="s">
        <v>159</v>
      </c>
      <c r="EY20" t="s">
        <v>159</v>
      </c>
      <c r="EZ20">
        <v>379</v>
      </c>
      <c r="FA20">
        <v>25</v>
      </c>
      <c r="FB20">
        <v>25</v>
      </c>
      <c r="FC20" s="145" t="s">
        <v>159</v>
      </c>
      <c r="FD20" s="1" t="s">
        <v>267</v>
      </c>
      <c r="FE20" t="s">
        <v>170</v>
      </c>
      <c r="FF20" t="s">
        <v>170</v>
      </c>
      <c r="FG20" t="s">
        <v>170</v>
      </c>
      <c r="FH20" t="s">
        <v>170</v>
      </c>
      <c r="FI20" t="s">
        <v>170</v>
      </c>
      <c r="FJ20" t="s">
        <v>170</v>
      </c>
      <c r="FK20" t="s">
        <v>170</v>
      </c>
      <c r="FL20" t="s">
        <v>170</v>
      </c>
      <c r="FM20" t="s">
        <v>170</v>
      </c>
      <c r="FN20" t="s">
        <v>170</v>
      </c>
      <c r="FO20" t="s">
        <v>170</v>
      </c>
      <c r="FP20" t="s">
        <v>170</v>
      </c>
    </row>
    <row r="21" spans="1:172" ht="17" x14ac:dyDescent="0.2">
      <c r="A21" s="126" t="s">
        <v>152</v>
      </c>
      <c r="B21" t="s">
        <v>173</v>
      </c>
      <c r="C21">
        <v>2010</v>
      </c>
      <c r="D21" s="1" t="s">
        <v>172</v>
      </c>
      <c r="E21">
        <f t="shared" si="2"/>
        <v>3229</v>
      </c>
      <c r="F21" t="str">
        <f t="shared" si="3"/>
        <v>NA</v>
      </c>
      <c r="G21" t="str">
        <f t="shared" si="4"/>
        <v>NA</v>
      </c>
      <c r="H21">
        <f t="shared" si="5"/>
        <v>376</v>
      </c>
      <c r="I21">
        <f t="shared" si="6"/>
        <v>25</v>
      </c>
      <c r="J21">
        <f t="shared" si="7"/>
        <v>25</v>
      </c>
      <c r="K21" t="s">
        <v>268</v>
      </c>
      <c r="L21" s="150" t="s">
        <v>269</v>
      </c>
      <c r="M21" s="1" t="s">
        <v>171</v>
      </c>
      <c r="N21" s="1" t="s">
        <v>172</v>
      </c>
      <c r="O21">
        <v>999</v>
      </c>
      <c r="P21" s="1" t="s">
        <v>156</v>
      </c>
      <c r="Q21">
        <v>12</v>
      </c>
      <c r="R21">
        <v>1</v>
      </c>
      <c r="S21">
        <v>81</v>
      </c>
      <c r="T21">
        <v>83</v>
      </c>
      <c r="U21">
        <v>103.41</v>
      </c>
      <c r="V21" t="s">
        <v>159</v>
      </c>
      <c r="W21" t="s">
        <v>159</v>
      </c>
      <c r="X21" t="s">
        <v>157</v>
      </c>
      <c r="Y21" s="1">
        <v>12.744</v>
      </c>
      <c r="Z21" s="1">
        <v>-78.7393</v>
      </c>
      <c r="AA21" s="1" t="s">
        <v>159</v>
      </c>
      <c r="AB21" s="1" t="s">
        <v>159</v>
      </c>
      <c r="AC21" s="1">
        <v>-2828</v>
      </c>
      <c r="AD21" t="s">
        <v>159</v>
      </c>
      <c r="AE21" s="1" t="s">
        <v>159</v>
      </c>
      <c r="AF21" s="136" t="s">
        <v>159</v>
      </c>
      <c r="AG21" s="140">
        <v>3229</v>
      </c>
      <c r="AH21" s="147" t="s">
        <v>159</v>
      </c>
      <c r="AI21" s="136" t="s">
        <v>159</v>
      </c>
      <c r="AJ21" s="136" t="s">
        <v>159</v>
      </c>
      <c r="AK21" s="136" t="s">
        <v>159</v>
      </c>
      <c r="AL21" t="s">
        <v>176</v>
      </c>
      <c r="AM21" s="130" t="s">
        <v>193</v>
      </c>
      <c r="AN21" t="s">
        <v>159</v>
      </c>
      <c r="AO21" t="s">
        <v>159</v>
      </c>
      <c r="AP21" t="s">
        <v>159</v>
      </c>
      <c r="AQ21" t="s">
        <v>159</v>
      </c>
      <c r="AR21" t="s">
        <v>159</v>
      </c>
      <c r="AS21" t="s">
        <v>159</v>
      </c>
      <c r="AT21" t="s">
        <v>159</v>
      </c>
      <c r="AU21" s="1" t="s">
        <v>235</v>
      </c>
      <c r="AV21" s="1" t="s">
        <v>160</v>
      </c>
      <c r="AW21" s="133">
        <v>100</v>
      </c>
      <c r="AX21" s="132" t="s">
        <v>197</v>
      </c>
      <c r="AY21" s="1" t="s">
        <v>198</v>
      </c>
      <c r="AZ21" s="1" t="s">
        <v>260</v>
      </c>
      <c r="BA21" s="1" t="s">
        <v>199</v>
      </c>
      <c r="BB21" t="s">
        <v>216</v>
      </c>
      <c r="BC21">
        <v>2</v>
      </c>
      <c r="BD21">
        <v>0.28000000000000108</v>
      </c>
      <c r="BE21" s="134">
        <v>18</v>
      </c>
      <c r="BF21" s="135" t="s">
        <v>162</v>
      </c>
      <c r="BG21" s="134">
        <v>0.13</v>
      </c>
      <c r="BH21" s="137" t="s">
        <v>159</v>
      </c>
      <c r="BI21" s="137" t="s">
        <v>159</v>
      </c>
      <c r="BJ21" s="138" t="s">
        <v>159</v>
      </c>
      <c r="BK21" s="1">
        <v>-0.4</v>
      </c>
      <c r="BL21" s="1" t="s">
        <v>159</v>
      </c>
      <c r="BM21" s="1" t="s">
        <v>159</v>
      </c>
      <c r="BN21" s="1" t="s">
        <v>219</v>
      </c>
      <c r="BO21" s="1" t="s">
        <v>223</v>
      </c>
      <c r="BP21" s="136" t="s">
        <v>159</v>
      </c>
      <c r="BQ21" s="136" t="s">
        <v>159</v>
      </c>
      <c r="BR21" s="136" t="s">
        <v>159</v>
      </c>
      <c r="BS21" s="136" t="s">
        <v>159</v>
      </c>
      <c r="BT21" s="136" t="s">
        <v>159</v>
      </c>
      <c r="BU21" s="136" t="s">
        <v>222</v>
      </c>
      <c r="BV21" s="136" t="s">
        <v>237</v>
      </c>
      <c r="BW21" s="136" t="s">
        <v>237</v>
      </c>
      <c r="BX21">
        <v>28.4</v>
      </c>
      <c r="BY21" s="126" t="s">
        <v>159</v>
      </c>
      <c r="BZ21" s="136">
        <v>1.5</v>
      </c>
      <c r="CA21" s="136">
        <v>1.5</v>
      </c>
      <c r="CB21" t="s">
        <v>239</v>
      </c>
      <c r="CC21" t="s">
        <v>159</v>
      </c>
      <c r="CD21" t="s">
        <v>159</v>
      </c>
      <c r="CE21" t="s">
        <v>159</v>
      </c>
      <c r="CF21" t="s">
        <v>159</v>
      </c>
      <c r="CG21" t="s">
        <v>159</v>
      </c>
      <c r="CH21" t="s">
        <v>159</v>
      </c>
      <c r="CI21" t="s">
        <v>159</v>
      </c>
      <c r="CJ21" t="s">
        <v>159</v>
      </c>
      <c r="CK21" t="s">
        <v>159</v>
      </c>
      <c r="CL21" t="s">
        <v>159</v>
      </c>
      <c r="CM21" t="s">
        <v>159</v>
      </c>
      <c r="CN21" t="s">
        <v>236</v>
      </c>
      <c r="CO21" s="136" t="s">
        <v>225</v>
      </c>
      <c r="CP21" s="146" t="s">
        <v>159</v>
      </c>
      <c r="CQ21" s="146" t="s">
        <v>159</v>
      </c>
      <c r="CR21" s="136" t="s">
        <v>159</v>
      </c>
      <c r="CS21" s="136" t="s">
        <v>224</v>
      </c>
      <c r="CT21" s="136" t="s">
        <v>238</v>
      </c>
      <c r="CU21">
        <v>36</v>
      </c>
      <c r="CV21" s="1" t="s">
        <v>158</v>
      </c>
      <c r="CW21" s="1">
        <v>0</v>
      </c>
      <c r="CX21" s="1" t="s">
        <v>220</v>
      </c>
      <c r="CY21" t="s">
        <v>163</v>
      </c>
      <c r="CZ21" s="134" t="s">
        <v>166</v>
      </c>
      <c r="DA21" s="134" t="s">
        <v>166</v>
      </c>
      <c r="DB21" s="134" t="s">
        <v>166</v>
      </c>
      <c r="DC21" t="s">
        <v>163</v>
      </c>
      <c r="DD21" s="134" t="s">
        <v>166</v>
      </c>
      <c r="DE21" s="134" t="s">
        <v>166</v>
      </c>
      <c r="DF21" s="134" t="s">
        <v>166</v>
      </c>
      <c r="DG21" t="s">
        <v>163</v>
      </c>
      <c r="DH21" s="134" t="s">
        <v>166</v>
      </c>
      <c r="DI21" s="134" t="s">
        <v>166</v>
      </c>
      <c r="DJ21" s="134" t="s">
        <v>166</v>
      </c>
      <c r="DK21" s="136">
        <v>413.7</v>
      </c>
      <c r="DL21" s="136" t="s">
        <v>159</v>
      </c>
      <c r="DM21" s="136" t="s">
        <v>159</v>
      </c>
      <c r="DN21" s="148" t="s">
        <v>266</v>
      </c>
      <c r="DO21" s="1">
        <v>39.5</v>
      </c>
      <c r="DP21" t="s">
        <v>164</v>
      </c>
      <c r="DQ21" s="143" t="s">
        <v>159</v>
      </c>
      <c r="DR21" t="s">
        <v>263</v>
      </c>
      <c r="DS21" t="s">
        <v>261</v>
      </c>
      <c r="DT21" t="s">
        <v>165</v>
      </c>
      <c r="DU21">
        <v>1.0271999999999999</v>
      </c>
      <c r="DV21" t="s">
        <v>166</v>
      </c>
      <c r="DW21" t="s">
        <v>166</v>
      </c>
      <c r="DX21" t="s">
        <v>227</v>
      </c>
      <c r="DY21" t="s">
        <v>166</v>
      </c>
      <c r="DZ21" t="s">
        <v>166</v>
      </c>
      <c r="EA21" s="146" t="s">
        <v>159</v>
      </c>
      <c r="EB21" s="136" t="s">
        <v>257</v>
      </c>
      <c r="EC21" s="136" t="s">
        <v>240</v>
      </c>
      <c r="ED21" s="136" t="s">
        <v>240</v>
      </c>
      <c r="EE21" s="146" t="s">
        <v>159</v>
      </c>
      <c r="EF21" s="146" t="s">
        <v>159</v>
      </c>
      <c r="EG21" s="146" t="s">
        <v>159</v>
      </c>
      <c r="EH21" t="s">
        <v>167</v>
      </c>
      <c r="EI21" t="s">
        <v>220</v>
      </c>
      <c r="EJ21" s="143" t="s">
        <v>159</v>
      </c>
      <c r="EK21" s="144">
        <v>2330</v>
      </c>
      <c r="EL21" s="143" t="s">
        <v>168</v>
      </c>
      <c r="EM21" s="143">
        <f t="shared" si="8"/>
        <v>116.5</v>
      </c>
      <c r="EN21" s="143">
        <f t="shared" si="9"/>
        <v>116.5</v>
      </c>
      <c r="EO21" s="136" t="s">
        <v>159</v>
      </c>
      <c r="EP21" s="136" t="s">
        <v>159</v>
      </c>
      <c r="EQ21" s="136" t="s">
        <v>159</v>
      </c>
      <c r="ER21" s="136" t="s">
        <v>159</v>
      </c>
      <c r="ES21">
        <v>8.0500000000000007</v>
      </c>
      <c r="ET21" s="1" t="s">
        <v>169</v>
      </c>
      <c r="EU21" s="1">
        <v>0.02</v>
      </c>
      <c r="EV21" s="1">
        <v>0.02</v>
      </c>
      <c r="EW21">
        <v>376</v>
      </c>
      <c r="EX21" t="s">
        <v>159</v>
      </c>
      <c r="EY21" t="s">
        <v>159</v>
      </c>
      <c r="EZ21">
        <v>376</v>
      </c>
      <c r="FA21">
        <v>25</v>
      </c>
      <c r="FB21">
        <v>25</v>
      </c>
      <c r="FC21" s="145" t="s">
        <v>159</v>
      </c>
      <c r="FD21" s="1" t="s">
        <v>267</v>
      </c>
      <c r="FE21" t="s">
        <v>170</v>
      </c>
      <c r="FF21" t="s">
        <v>170</v>
      </c>
      <c r="FG21" t="s">
        <v>170</v>
      </c>
      <c r="FH21" t="s">
        <v>170</v>
      </c>
      <c r="FI21" t="s">
        <v>170</v>
      </c>
      <c r="FJ21" t="s">
        <v>170</v>
      </c>
      <c r="FK21" t="s">
        <v>170</v>
      </c>
      <c r="FL21" t="s">
        <v>170</v>
      </c>
      <c r="FM21" t="s">
        <v>170</v>
      </c>
      <c r="FN21" t="s">
        <v>170</v>
      </c>
      <c r="FO21" t="s">
        <v>170</v>
      </c>
      <c r="FP21" t="s">
        <v>170</v>
      </c>
    </row>
    <row r="22" spans="1:172" ht="17" x14ac:dyDescent="0.2">
      <c r="A22" s="126" t="s">
        <v>152</v>
      </c>
      <c r="B22" t="s">
        <v>173</v>
      </c>
      <c r="C22">
        <v>2010</v>
      </c>
      <c r="D22" s="1" t="s">
        <v>172</v>
      </c>
      <c r="E22">
        <f t="shared" si="2"/>
        <v>4027.9999999999995</v>
      </c>
      <c r="F22" t="str">
        <f t="shared" si="3"/>
        <v>NA</v>
      </c>
      <c r="G22" t="str">
        <f t="shared" si="4"/>
        <v>NA</v>
      </c>
      <c r="H22">
        <f t="shared" si="5"/>
        <v>427</v>
      </c>
      <c r="I22">
        <f t="shared" si="6"/>
        <v>25</v>
      </c>
      <c r="J22">
        <f t="shared" si="7"/>
        <v>25</v>
      </c>
      <c r="K22" t="s">
        <v>268</v>
      </c>
      <c r="L22" s="150" t="s">
        <v>269</v>
      </c>
      <c r="M22" s="1" t="s">
        <v>171</v>
      </c>
      <c r="N22" s="1" t="s">
        <v>172</v>
      </c>
      <c r="O22">
        <v>999</v>
      </c>
      <c r="P22" s="1" t="s">
        <v>156</v>
      </c>
      <c r="Q22">
        <v>14</v>
      </c>
      <c r="R22">
        <v>4</v>
      </c>
      <c r="S22">
        <v>52</v>
      </c>
      <c r="T22">
        <v>54</v>
      </c>
      <c r="U22">
        <v>126.62</v>
      </c>
      <c r="V22" t="s">
        <v>159</v>
      </c>
      <c r="W22" t="s">
        <v>159</v>
      </c>
      <c r="X22" t="s">
        <v>157</v>
      </c>
      <c r="Y22" s="1">
        <v>12.744</v>
      </c>
      <c r="Z22" s="1">
        <v>-78.7393</v>
      </c>
      <c r="AA22" s="1" t="s">
        <v>159</v>
      </c>
      <c r="AB22" s="1" t="s">
        <v>159</v>
      </c>
      <c r="AC22" s="1">
        <v>-2828</v>
      </c>
      <c r="AD22" t="s">
        <v>159</v>
      </c>
      <c r="AE22" s="1" t="s">
        <v>159</v>
      </c>
      <c r="AF22" s="136" t="s">
        <v>159</v>
      </c>
      <c r="AG22" s="140">
        <v>4027.9999999999995</v>
      </c>
      <c r="AH22" s="147" t="s">
        <v>159</v>
      </c>
      <c r="AI22" s="136" t="s">
        <v>159</v>
      </c>
      <c r="AJ22" s="136" t="s">
        <v>159</v>
      </c>
      <c r="AK22" s="136" t="s">
        <v>159</v>
      </c>
      <c r="AL22" t="s">
        <v>176</v>
      </c>
      <c r="AM22" s="130" t="s">
        <v>194</v>
      </c>
      <c r="AN22" t="s">
        <v>159</v>
      </c>
      <c r="AO22" t="s">
        <v>159</v>
      </c>
      <c r="AP22" t="s">
        <v>159</v>
      </c>
      <c r="AQ22" t="s">
        <v>159</v>
      </c>
      <c r="AR22" t="s">
        <v>159</v>
      </c>
      <c r="AS22" t="s">
        <v>159</v>
      </c>
      <c r="AT22" t="s">
        <v>159</v>
      </c>
      <c r="AU22" s="1" t="s">
        <v>235</v>
      </c>
      <c r="AV22" s="1" t="s">
        <v>160</v>
      </c>
      <c r="AW22" s="133">
        <v>100</v>
      </c>
      <c r="AX22" s="132" t="s">
        <v>197</v>
      </c>
      <c r="AY22" s="1" t="s">
        <v>198</v>
      </c>
      <c r="AZ22" s="1" t="s">
        <v>260</v>
      </c>
      <c r="BA22" s="1" t="s">
        <v>199</v>
      </c>
      <c r="BB22" t="s">
        <v>217</v>
      </c>
      <c r="BC22">
        <v>2</v>
      </c>
      <c r="BD22">
        <v>5.0000000000000711E-2</v>
      </c>
      <c r="BE22" s="134">
        <v>17.739999999999998</v>
      </c>
      <c r="BF22" s="135" t="s">
        <v>162</v>
      </c>
      <c r="BG22" s="134">
        <v>0.25</v>
      </c>
      <c r="BH22" s="137" t="s">
        <v>159</v>
      </c>
      <c r="BI22" s="137" t="s">
        <v>159</v>
      </c>
      <c r="BJ22" s="138" t="s">
        <v>159</v>
      </c>
      <c r="BK22" s="1">
        <v>-0.4</v>
      </c>
      <c r="BL22" s="1" t="s">
        <v>159</v>
      </c>
      <c r="BM22" s="1" t="s">
        <v>159</v>
      </c>
      <c r="BN22" s="1" t="s">
        <v>219</v>
      </c>
      <c r="BO22" s="1" t="s">
        <v>223</v>
      </c>
      <c r="BP22" s="136" t="s">
        <v>159</v>
      </c>
      <c r="BQ22" s="136" t="s">
        <v>159</v>
      </c>
      <c r="BR22" s="136" t="s">
        <v>159</v>
      </c>
      <c r="BS22" s="136" t="s">
        <v>159</v>
      </c>
      <c r="BT22" s="136" t="s">
        <v>159</v>
      </c>
      <c r="BU22" s="136" t="s">
        <v>222</v>
      </c>
      <c r="BV22" s="136" t="s">
        <v>237</v>
      </c>
      <c r="BW22" s="136" t="s">
        <v>237</v>
      </c>
      <c r="BX22">
        <v>29.8</v>
      </c>
      <c r="BY22" s="126" t="s">
        <v>159</v>
      </c>
      <c r="BZ22" s="136">
        <v>1.5</v>
      </c>
      <c r="CA22" s="136">
        <v>1.5</v>
      </c>
      <c r="CB22" t="s">
        <v>239</v>
      </c>
      <c r="CC22" t="s">
        <v>159</v>
      </c>
      <c r="CD22" t="s">
        <v>159</v>
      </c>
      <c r="CE22" t="s">
        <v>159</v>
      </c>
      <c r="CF22" t="s">
        <v>159</v>
      </c>
      <c r="CG22" t="s">
        <v>159</v>
      </c>
      <c r="CH22" t="s">
        <v>159</v>
      </c>
      <c r="CI22" t="s">
        <v>159</v>
      </c>
      <c r="CJ22" t="s">
        <v>159</v>
      </c>
      <c r="CK22" t="s">
        <v>159</v>
      </c>
      <c r="CL22" t="s">
        <v>159</v>
      </c>
      <c r="CM22" t="s">
        <v>159</v>
      </c>
      <c r="CN22" t="s">
        <v>236</v>
      </c>
      <c r="CO22" s="136" t="s">
        <v>225</v>
      </c>
      <c r="CP22" s="146" t="s">
        <v>159</v>
      </c>
      <c r="CQ22" s="146" t="s">
        <v>159</v>
      </c>
      <c r="CR22" s="136" t="s">
        <v>159</v>
      </c>
      <c r="CS22" s="136" t="s">
        <v>224</v>
      </c>
      <c r="CT22" s="136" t="s">
        <v>238</v>
      </c>
      <c r="CU22">
        <v>36</v>
      </c>
      <c r="CV22" s="1" t="s">
        <v>158</v>
      </c>
      <c r="CW22" s="1">
        <v>0</v>
      </c>
      <c r="CX22" s="1" t="s">
        <v>220</v>
      </c>
      <c r="CY22" t="s">
        <v>163</v>
      </c>
      <c r="CZ22" s="134" t="s">
        <v>166</v>
      </c>
      <c r="DA22" s="134" t="s">
        <v>166</v>
      </c>
      <c r="DB22" s="134" t="s">
        <v>166</v>
      </c>
      <c r="DC22" t="s">
        <v>163</v>
      </c>
      <c r="DD22" s="134" t="s">
        <v>166</v>
      </c>
      <c r="DE22" s="134" t="s">
        <v>166</v>
      </c>
      <c r="DF22" s="134" t="s">
        <v>166</v>
      </c>
      <c r="DG22" t="s">
        <v>163</v>
      </c>
      <c r="DH22" s="134" t="s">
        <v>166</v>
      </c>
      <c r="DI22" s="134" t="s">
        <v>166</v>
      </c>
      <c r="DJ22" s="134" t="s">
        <v>166</v>
      </c>
      <c r="DK22" s="136">
        <v>413.7</v>
      </c>
      <c r="DL22" s="136" t="s">
        <v>159</v>
      </c>
      <c r="DM22" s="136" t="s">
        <v>159</v>
      </c>
      <c r="DN22" s="148" t="s">
        <v>266</v>
      </c>
      <c r="DO22" s="1">
        <v>39.5</v>
      </c>
      <c r="DP22" t="s">
        <v>164</v>
      </c>
      <c r="DQ22" s="143" t="s">
        <v>159</v>
      </c>
      <c r="DR22" t="s">
        <v>263</v>
      </c>
      <c r="DS22" t="s">
        <v>261</v>
      </c>
      <c r="DT22" t="s">
        <v>165</v>
      </c>
      <c r="DU22">
        <v>1.0271999999999999</v>
      </c>
      <c r="DV22" t="s">
        <v>166</v>
      </c>
      <c r="DW22" t="s">
        <v>166</v>
      </c>
      <c r="DX22" t="s">
        <v>227</v>
      </c>
      <c r="DY22" t="s">
        <v>166</v>
      </c>
      <c r="DZ22" t="s">
        <v>166</v>
      </c>
      <c r="EA22" s="146" t="s">
        <v>159</v>
      </c>
      <c r="EB22" s="136" t="s">
        <v>258</v>
      </c>
      <c r="EC22" s="136" t="s">
        <v>240</v>
      </c>
      <c r="ED22" s="136" t="s">
        <v>240</v>
      </c>
      <c r="EE22" s="146" t="s">
        <v>159</v>
      </c>
      <c r="EF22" s="146" t="s">
        <v>159</v>
      </c>
      <c r="EG22" s="146" t="s">
        <v>159</v>
      </c>
      <c r="EH22" t="s">
        <v>167</v>
      </c>
      <c r="EI22" t="s">
        <v>220</v>
      </c>
      <c r="EJ22" s="143" t="s">
        <v>159</v>
      </c>
      <c r="EK22" s="144">
        <v>2330</v>
      </c>
      <c r="EL22" s="143" t="s">
        <v>168</v>
      </c>
      <c r="EM22" s="143">
        <f t="shared" si="8"/>
        <v>116.5</v>
      </c>
      <c r="EN22" s="143">
        <f t="shared" si="9"/>
        <v>116.5</v>
      </c>
      <c r="EO22" s="136" t="s">
        <v>159</v>
      </c>
      <c r="EP22" s="136" t="s">
        <v>159</v>
      </c>
      <c r="EQ22" s="136" t="s">
        <v>159</v>
      </c>
      <c r="ER22" s="136" t="s">
        <v>159</v>
      </c>
      <c r="ES22">
        <v>8.01</v>
      </c>
      <c r="ET22" s="1" t="s">
        <v>169</v>
      </c>
      <c r="EU22" s="1">
        <v>0.02</v>
      </c>
      <c r="EV22" s="1">
        <v>0.02</v>
      </c>
      <c r="EW22">
        <v>427</v>
      </c>
      <c r="EX22" t="s">
        <v>159</v>
      </c>
      <c r="EY22" t="s">
        <v>159</v>
      </c>
      <c r="EZ22">
        <v>427</v>
      </c>
      <c r="FA22">
        <v>25</v>
      </c>
      <c r="FB22">
        <v>25</v>
      </c>
      <c r="FC22" s="145" t="s">
        <v>159</v>
      </c>
      <c r="FD22" s="1" t="s">
        <v>267</v>
      </c>
      <c r="FE22" t="s">
        <v>170</v>
      </c>
      <c r="FF22" t="s">
        <v>170</v>
      </c>
      <c r="FG22" t="s">
        <v>170</v>
      </c>
      <c r="FH22" t="s">
        <v>170</v>
      </c>
      <c r="FI22" t="s">
        <v>170</v>
      </c>
      <c r="FJ22" t="s">
        <v>170</v>
      </c>
      <c r="FK22" t="s">
        <v>170</v>
      </c>
      <c r="FL22" t="s">
        <v>170</v>
      </c>
      <c r="FM22" t="s">
        <v>170</v>
      </c>
      <c r="FN22" t="s">
        <v>170</v>
      </c>
      <c r="FO22" t="s">
        <v>170</v>
      </c>
      <c r="FP22" t="s">
        <v>170</v>
      </c>
    </row>
    <row r="23" spans="1:172" ht="17" x14ac:dyDescent="0.2">
      <c r="A23" s="126" t="s">
        <v>152</v>
      </c>
      <c r="B23" t="s">
        <v>173</v>
      </c>
      <c r="C23">
        <v>2010</v>
      </c>
      <c r="D23" s="1" t="s">
        <v>172</v>
      </c>
      <c r="E23">
        <f t="shared" si="2"/>
        <v>4342</v>
      </c>
      <c r="F23" t="str">
        <f t="shared" si="3"/>
        <v>NA</v>
      </c>
      <c r="G23" t="str">
        <f t="shared" si="4"/>
        <v>NA</v>
      </c>
      <c r="H23">
        <f t="shared" si="5"/>
        <v>422</v>
      </c>
      <c r="I23">
        <f t="shared" si="6"/>
        <v>25</v>
      </c>
      <c r="J23">
        <f t="shared" si="7"/>
        <v>25</v>
      </c>
      <c r="K23" t="s">
        <v>268</v>
      </c>
      <c r="L23" s="150" t="s">
        <v>269</v>
      </c>
      <c r="M23" s="1" t="s">
        <v>171</v>
      </c>
      <c r="N23" s="1" t="s">
        <v>172</v>
      </c>
      <c r="O23">
        <v>999</v>
      </c>
      <c r="P23" s="1" t="s">
        <v>156</v>
      </c>
      <c r="Q23">
        <v>15</v>
      </c>
      <c r="R23">
        <v>3</v>
      </c>
      <c r="S23">
        <v>53</v>
      </c>
      <c r="T23">
        <v>55</v>
      </c>
      <c r="U23">
        <v>134.63</v>
      </c>
      <c r="V23" t="s">
        <v>159</v>
      </c>
      <c r="W23" t="s">
        <v>159</v>
      </c>
      <c r="X23" t="s">
        <v>157</v>
      </c>
      <c r="Y23" s="1">
        <v>12.744</v>
      </c>
      <c r="Z23" s="1">
        <v>-78.7393</v>
      </c>
      <c r="AA23" s="1" t="s">
        <v>159</v>
      </c>
      <c r="AB23" s="1" t="s">
        <v>159</v>
      </c>
      <c r="AC23" s="1">
        <v>-2828</v>
      </c>
      <c r="AD23" t="s">
        <v>159</v>
      </c>
      <c r="AE23" s="1" t="s">
        <v>159</v>
      </c>
      <c r="AF23" s="136" t="s">
        <v>159</v>
      </c>
      <c r="AG23" s="140">
        <v>4342</v>
      </c>
      <c r="AH23" s="147" t="s">
        <v>159</v>
      </c>
      <c r="AI23" s="136" t="s">
        <v>159</v>
      </c>
      <c r="AJ23" s="136" t="s">
        <v>159</v>
      </c>
      <c r="AK23" s="136" t="s">
        <v>159</v>
      </c>
      <c r="AL23" t="s">
        <v>176</v>
      </c>
      <c r="AM23" s="130" t="s">
        <v>195</v>
      </c>
      <c r="AN23" t="s">
        <v>159</v>
      </c>
      <c r="AO23" t="s">
        <v>159</v>
      </c>
      <c r="AP23" t="s">
        <v>159</v>
      </c>
      <c r="AQ23" t="s">
        <v>159</v>
      </c>
      <c r="AR23" t="s">
        <v>159</v>
      </c>
      <c r="AS23" t="s">
        <v>159</v>
      </c>
      <c r="AT23" t="s">
        <v>159</v>
      </c>
      <c r="AU23" s="1" t="s">
        <v>235</v>
      </c>
      <c r="AV23" s="1" t="s">
        <v>160</v>
      </c>
      <c r="AW23" s="133">
        <v>100</v>
      </c>
      <c r="AX23" s="132" t="s">
        <v>197</v>
      </c>
      <c r="AY23" s="1" t="s">
        <v>198</v>
      </c>
      <c r="AZ23" s="1" t="s">
        <v>260</v>
      </c>
      <c r="BA23" s="1" t="s">
        <v>199</v>
      </c>
      <c r="BB23" t="s">
        <v>218</v>
      </c>
      <c r="BC23">
        <v>2</v>
      </c>
      <c r="BD23">
        <v>0.14999999999999855</v>
      </c>
      <c r="BE23" s="134">
        <v>17.920000000000002</v>
      </c>
      <c r="BF23" s="135" t="s">
        <v>162</v>
      </c>
      <c r="BG23" s="134">
        <v>0.16</v>
      </c>
      <c r="BH23" s="137" t="s">
        <v>159</v>
      </c>
      <c r="BI23" s="137" t="s">
        <v>159</v>
      </c>
      <c r="BJ23" s="138" t="s">
        <v>159</v>
      </c>
      <c r="BK23" s="1">
        <v>-0.4</v>
      </c>
      <c r="BL23" s="1" t="s">
        <v>159</v>
      </c>
      <c r="BM23" s="1" t="s">
        <v>159</v>
      </c>
      <c r="BN23" s="1" t="s">
        <v>219</v>
      </c>
      <c r="BO23" s="1" t="s">
        <v>223</v>
      </c>
      <c r="BP23" s="136" t="s">
        <v>159</v>
      </c>
      <c r="BQ23" s="136" t="s">
        <v>159</v>
      </c>
      <c r="BR23" s="136" t="s">
        <v>159</v>
      </c>
      <c r="BS23" s="136" t="s">
        <v>159</v>
      </c>
      <c r="BT23" s="136" t="s">
        <v>159</v>
      </c>
      <c r="BU23" s="136" t="s">
        <v>222</v>
      </c>
      <c r="BV23" s="136" t="s">
        <v>237</v>
      </c>
      <c r="BW23" s="136" t="s">
        <v>237</v>
      </c>
      <c r="BX23">
        <v>30.1</v>
      </c>
      <c r="BY23" s="126" t="s">
        <v>159</v>
      </c>
      <c r="BZ23" s="136">
        <v>1.5</v>
      </c>
      <c r="CA23" s="136">
        <v>1.5</v>
      </c>
      <c r="CB23" t="s">
        <v>239</v>
      </c>
      <c r="CC23" t="s">
        <v>159</v>
      </c>
      <c r="CD23" t="s">
        <v>159</v>
      </c>
      <c r="CE23" t="s">
        <v>159</v>
      </c>
      <c r="CF23" t="s">
        <v>159</v>
      </c>
      <c r="CG23" t="s">
        <v>159</v>
      </c>
      <c r="CH23" t="s">
        <v>159</v>
      </c>
      <c r="CI23" t="s">
        <v>159</v>
      </c>
      <c r="CJ23" t="s">
        <v>159</v>
      </c>
      <c r="CK23" t="s">
        <v>159</v>
      </c>
      <c r="CL23" t="s">
        <v>159</v>
      </c>
      <c r="CM23" t="s">
        <v>159</v>
      </c>
      <c r="CN23" t="s">
        <v>236</v>
      </c>
      <c r="CO23" s="136" t="s">
        <v>225</v>
      </c>
      <c r="CP23" s="146" t="s">
        <v>159</v>
      </c>
      <c r="CQ23" s="146" t="s">
        <v>159</v>
      </c>
      <c r="CR23" s="136" t="s">
        <v>159</v>
      </c>
      <c r="CS23" s="136" t="s">
        <v>224</v>
      </c>
      <c r="CT23" s="136" t="s">
        <v>238</v>
      </c>
      <c r="CU23">
        <v>36</v>
      </c>
      <c r="CV23" s="1" t="s">
        <v>158</v>
      </c>
      <c r="CW23" s="1">
        <v>0</v>
      </c>
      <c r="CX23" s="1" t="s">
        <v>220</v>
      </c>
      <c r="CY23" t="s">
        <v>163</v>
      </c>
      <c r="CZ23" s="134" t="s">
        <v>166</v>
      </c>
      <c r="DA23" s="134" t="s">
        <v>166</v>
      </c>
      <c r="DB23" s="134" t="s">
        <v>166</v>
      </c>
      <c r="DC23" t="s">
        <v>163</v>
      </c>
      <c r="DD23" s="134" t="s">
        <v>166</v>
      </c>
      <c r="DE23" s="134" t="s">
        <v>166</v>
      </c>
      <c r="DF23" s="134" t="s">
        <v>166</v>
      </c>
      <c r="DG23" t="s">
        <v>163</v>
      </c>
      <c r="DH23" s="134" t="s">
        <v>166</v>
      </c>
      <c r="DI23" s="134" t="s">
        <v>166</v>
      </c>
      <c r="DJ23" s="134" t="s">
        <v>166</v>
      </c>
      <c r="DK23" s="136">
        <v>413.7</v>
      </c>
      <c r="DL23" s="136" t="s">
        <v>159</v>
      </c>
      <c r="DM23" s="136" t="s">
        <v>159</v>
      </c>
      <c r="DN23" s="148" t="s">
        <v>266</v>
      </c>
      <c r="DO23" s="1">
        <v>39.5</v>
      </c>
      <c r="DP23" t="s">
        <v>164</v>
      </c>
      <c r="DQ23" s="143" t="s">
        <v>159</v>
      </c>
      <c r="DR23" t="s">
        <v>263</v>
      </c>
      <c r="DS23" t="s">
        <v>261</v>
      </c>
      <c r="DT23" t="s">
        <v>165</v>
      </c>
      <c r="DU23">
        <v>1.0271999999999999</v>
      </c>
      <c r="DV23" t="s">
        <v>166</v>
      </c>
      <c r="DW23" t="s">
        <v>166</v>
      </c>
      <c r="DX23" t="s">
        <v>227</v>
      </c>
      <c r="DY23" t="s">
        <v>166</v>
      </c>
      <c r="DZ23" t="s">
        <v>166</v>
      </c>
      <c r="EA23" s="146" t="s">
        <v>159</v>
      </c>
      <c r="EB23" s="136" t="s">
        <v>259</v>
      </c>
      <c r="EC23" s="136" t="s">
        <v>240</v>
      </c>
      <c r="ED23" s="136" t="s">
        <v>240</v>
      </c>
      <c r="EE23" s="146" t="s">
        <v>159</v>
      </c>
      <c r="EF23" s="146" t="s">
        <v>159</v>
      </c>
      <c r="EG23" s="146" t="s">
        <v>159</v>
      </c>
      <c r="EH23" t="s">
        <v>167</v>
      </c>
      <c r="EI23" t="s">
        <v>220</v>
      </c>
      <c r="EJ23" s="143" t="s">
        <v>159</v>
      </c>
      <c r="EK23" s="144">
        <v>2330</v>
      </c>
      <c r="EL23" s="143" t="s">
        <v>168</v>
      </c>
      <c r="EM23" s="143">
        <f t="shared" si="8"/>
        <v>116.5</v>
      </c>
      <c r="EN23" s="143">
        <f t="shared" si="9"/>
        <v>116.5</v>
      </c>
      <c r="EO23" s="136" t="s">
        <v>159</v>
      </c>
      <c r="EP23" s="136" t="s">
        <v>159</v>
      </c>
      <c r="EQ23" s="136" t="s">
        <v>159</v>
      </c>
      <c r="ER23" s="136" t="s">
        <v>159</v>
      </c>
      <c r="ES23">
        <v>8.02</v>
      </c>
      <c r="ET23" s="1" t="s">
        <v>169</v>
      </c>
      <c r="EU23" s="1">
        <v>0.02</v>
      </c>
      <c r="EV23" s="1">
        <v>0.02</v>
      </c>
      <c r="EW23">
        <v>422</v>
      </c>
      <c r="EX23" t="s">
        <v>159</v>
      </c>
      <c r="EY23" t="s">
        <v>159</v>
      </c>
      <c r="EZ23">
        <v>422</v>
      </c>
      <c r="FA23">
        <v>25</v>
      </c>
      <c r="FB23">
        <v>25</v>
      </c>
      <c r="FC23" s="145" t="s">
        <v>159</v>
      </c>
      <c r="FD23" s="1" t="s">
        <v>267</v>
      </c>
      <c r="FE23" t="s">
        <v>170</v>
      </c>
      <c r="FF23" t="s">
        <v>170</v>
      </c>
      <c r="FG23" t="s">
        <v>170</v>
      </c>
      <c r="FH23" t="s">
        <v>170</v>
      </c>
      <c r="FI23" t="s">
        <v>170</v>
      </c>
      <c r="FJ23" t="s">
        <v>170</v>
      </c>
      <c r="FK23" t="s">
        <v>170</v>
      </c>
      <c r="FL23" t="s">
        <v>170</v>
      </c>
      <c r="FM23" t="s">
        <v>170</v>
      </c>
      <c r="FN23" t="s">
        <v>170</v>
      </c>
      <c r="FO23" t="s">
        <v>170</v>
      </c>
      <c r="FP23" t="s">
        <v>170</v>
      </c>
    </row>
    <row r="24" spans="1:172" x14ac:dyDescent="0.2">
      <c r="DK24" s="136"/>
      <c r="EC24" s="136"/>
      <c r="EL24" s="143"/>
      <c r="EM24" s="143"/>
      <c r="EN24" s="143"/>
      <c r="EO24" s="136"/>
      <c r="EP24" s="136"/>
      <c r="EQ24" s="136"/>
      <c r="ER24" s="136"/>
    </row>
    <row r="25" spans="1:172" x14ac:dyDescent="0.2">
      <c r="EO25" s="136"/>
      <c r="EP25" s="136"/>
      <c r="EQ25" s="136"/>
      <c r="ER25" s="136"/>
    </row>
    <row r="26" spans="1:172" x14ac:dyDescent="0.2">
      <c r="DJ26" s="136"/>
      <c r="EO26" s="136"/>
      <c r="EP26" s="136"/>
      <c r="EQ26" s="136"/>
      <c r="ER26" s="136"/>
    </row>
    <row r="27" spans="1:172" x14ac:dyDescent="0.2">
      <c r="EO27" s="136"/>
      <c r="EP27" s="136"/>
      <c r="EQ27" s="136"/>
      <c r="ER27" s="136"/>
    </row>
    <row r="28" spans="1:172" x14ac:dyDescent="0.2">
      <c r="EO28" s="136"/>
      <c r="EP28" s="136"/>
      <c r="EQ28" s="136"/>
      <c r="ER28" s="136"/>
    </row>
  </sheetData>
  <phoneticPr fontId="33" type="noConversion"/>
  <hyperlinks>
    <hyperlink ref="L4" r:id="rId1" display="hoenisch@ldeo.columbia.edu" xr:uid="{FE5CD089-7F17-1449-9582-26D4B7692384}"/>
    <hyperlink ref="L5" r:id="rId2" display="hoenisch@ldeo.columbia.edu" xr:uid="{EDD9867F-F23F-B548-8017-FDA00DCC4486}"/>
    <hyperlink ref="L6" r:id="rId3" display="hoenisch@ldeo.columbia.edu" xr:uid="{F5E8EA27-B48B-1543-9931-DF99C7752D3C}"/>
    <hyperlink ref="L7" r:id="rId4" display="hoenisch@ldeo.columbia.edu" xr:uid="{0F2DD089-DCFE-1746-8011-F07CD2EDFFFE}"/>
    <hyperlink ref="L8" r:id="rId5" display="hoenisch@ldeo.columbia.edu" xr:uid="{BEB76BAA-C511-7740-8B37-AC5ABC190C5B}"/>
    <hyperlink ref="L9" r:id="rId6" display="hoenisch@ldeo.columbia.edu" xr:uid="{C9C5FFE9-27F8-344C-A4BD-709DD8F761F1}"/>
    <hyperlink ref="L10" r:id="rId7" display="hoenisch@ldeo.columbia.edu" xr:uid="{0A7B2EA9-8AA7-7848-93A0-40FCC916F638}"/>
    <hyperlink ref="L11" r:id="rId8" display="hoenisch@ldeo.columbia.edu" xr:uid="{519EB3B6-AE48-8C4A-A38D-CD940AC0C8AD}"/>
    <hyperlink ref="L12" r:id="rId9" display="hoenisch@ldeo.columbia.edu" xr:uid="{7D1E5075-B7C6-6745-A296-C6B4CAC4C256}"/>
    <hyperlink ref="L13" r:id="rId10" display="hoenisch@ldeo.columbia.edu" xr:uid="{CF5D57AE-4C76-8C42-8396-C998139DB5B3}"/>
    <hyperlink ref="L14" r:id="rId11" display="hoenisch@ldeo.columbia.edu" xr:uid="{B185CA16-ACC7-F245-BDA9-C3E3881DEB47}"/>
    <hyperlink ref="L15" r:id="rId12" display="hoenisch@ldeo.columbia.edu" xr:uid="{9EAB45BC-556C-DF46-BAD3-F77552A996F0}"/>
    <hyperlink ref="L16" r:id="rId13" display="hoenisch@ldeo.columbia.edu" xr:uid="{B3DE9320-B3B7-524C-8AAC-413CAFDC603F}"/>
    <hyperlink ref="L17" r:id="rId14" display="hoenisch@ldeo.columbia.edu" xr:uid="{42F2D0DB-B5ED-BF46-8E70-A330BDDF436C}"/>
    <hyperlink ref="L18" r:id="rId15" display="hoenisch@ldeo.columbia.edu" xr:uid="{A248A44B-662A-2942-994D-F99DCF63F24D}"/>
    <hyperlink ref="L19" r:id="rId16" display="hoenisch@ldeo.columbia.edu" xr:uid="{F66F955B-EC03-F744-8ACD-A85FABE68227}"/>
    <hyperlink ref="L20" r:id="rId17" display="hoenisch@ldeo.columbia.edu" xr:uid="{F2B1FB3A-71D0-724B-960E-27A27A0E771A}"/>
    <hyperlink ref="L21" r:id="rId18" display="hoenisch@ldeo.columbia.edu" xr:uid="{F84968B4-C266-794F-B9F7-5AD812758B6C}"/>
    <hyperlink ref="L22" r:id="rId19" display="hoenisch@ldeo.columbia.edu" xr:uid="{AD7B8C23-3CBF-7E4D-99E8-CB4C7CC378BB}"/>
    <hyperlink ref="L23" r:id="rId20" display="hoenisch@ldeo.columbia.edu" xr:uid="{44AA1377-A6F3-774D-8AFF-1FAC9EFC82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D9D4-B936-DA42-8D47-3CAF578EF73D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270</v>
      </c>
    </row>
    <row r="3" spans="1:1" x14ac:dyDescent="0.2">
      <c r="A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2021-08-30T12:55:41Z</dcterms:modified>
</cp:coreProperties>
</file>