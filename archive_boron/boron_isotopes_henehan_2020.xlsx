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henehan/Dropbox/NSF pCO2 network/"/>
    </mc:Choice>
  </mc:AlternateContent>
  <xr:revisionPtr revIDLastSave="0" documentId="8_{0C5A873D-5C5A-244E-8628-B297489A1FAC}" xr6:coauthVersionLast="36" xr6:coauthVersionMax="36" xr10:uidLastSave="{00000000-0000-0000-0000-000000000000}"/>
  <bookViews>
    <workbookView xWindow="3160" yWindow="1440" windowWidth="38340" windowHeight="24900" tabRatio="500" xr2:uid="{00000000-000D-0000-FFFF-FFFF00000000}"/>
  </bookViews>
  <sheets>
    <sheet name="boron isotopes" sheetId="2" r:id="rId1"/>
    <sheet name="Column specifications" sheetId="3" r:id="rId2"/>
  </sheets>
  <calcPr calcId="18102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69" i="2" l="1"/>
  <c r="T66" i="2"/>
  <c r="T25" i="2"/>
  <c r="T22" i="2"/>
</calcChain>
</file>

<file path=xl/sharedStrings.xml><?xml version="1.0" encoding="utf-8"?>
<sst xmlns="http://schemas.openxmlformats.org/spreadsheetml/2006/main" count="9686" uniqueCount="322">
  <si>
    <r>
      <rPr>
        <vertAlign val="superscript"/>
        <sz val="10"/>
        <rFont val="Verdana"/>
        <family val="2"/>
      </rPr>
      <t>a</t>
    </r>
    <r>
      <rPr>
        <sz val="12"/>
        <color theme="1"/>
        <rFont val="Calibri"/>
        <family val="2"/>
        <scheme val="minor"/>
      </rPr>
      <t>for definitions of CSF-A, CSF-B and CCSF, please see: https://www.iodp.org/policies-and-guidelines/142-iodp-depth-scales-terminology-april-2011/file</t>
    </r>
  </si>
  <si>
    <t>REFERENCE AND CONTACT INFORMATION</t>
  </si>
  <si>
    <t>SAMPLE IDENTIFICATION</t>
  </si>
  <si>
    <t>AGE CONSTRAINTS</t>
  </si>
  <si>
    <t>ANALYTICAL SPECIFICATIONS</t>
  </si>
  <si>
    <t>VITAL EFFECT</t>
    <phoneticPr fontId="0" type="noConversion"/>
  </si>
  <si>
    <r>
      <rPr>
        <b/>
        <sz val="12"/>
        <rFont val="Calibri (Body)"/>
      </rPr>
      <t>CALCULATED</t>
    </r>
    <r>
      <rPr>
        <b/>
        <sz val="12"/>
        <rFont val="Symbol"/>
        <charset val="2"/>
      </rPr>
      <t xml:space="preserve"> 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</si>
  <si>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</si>
  <si>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</si>
  <si>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</si>
  <si>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</si>
  <si>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</si>
  <si>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r>
      <t>PARAMETERIZATION OF CO</t>
    </r>
    <r>
      <rPr>
        <b/>
        <vertAlign val="subscript"/>
        <sz val="12"/>
        <color indexed="8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CALCULATION</t>
    </r>
  </si>
  <si>
    <t>SECOND PARAMETER OF THE CARBONATE SYSTEM</t>
  </si>
  <si>
    <t>CALCULATED PARAMETERS OF THE CARBONATE SYSTEM</t>
  </si>
  <si>
    <t>alternative Age (in case different models are available)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</si>
  <si>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(relative to SRM 951)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</si>
  <si>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c</t>
    </r>
    <r>
      <rPr>
        <b/>
        <sz val="12"/>
        <color indexed="8"/>
        <rFont val="Verdana"/>
        <family val="2"/>
      </rPr>
      <t>/</t>
    </r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borate</t>
    </r>
    <r>
      <rPr>
        <b/>
        <sz val="12"/>
        <color indexed="8"/>
        <rFont val="Verdana"/>
        <family val="2"/>
      </rPr>
      <t xml:space="preserve"> calibration slope</t>
    </r>
  </si>
  <si>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c</t>
    </r>
    <r>
      <rPr>
        <b/>
        <sz val="12"/>
        <rFont val="Verdana"/>
        <family val="2"/>
      </rPr>
      <t>/</t>
    </r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  <r>
      <rPr>
        <b/>
        <sz val="12"/>
        <rFont val="Verdana"/>
        <family val="2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</si>
  <si>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</si>
  <si>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</si>
  <si>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</si>
  <si>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</si>
  <si>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</si>
  <si>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</si>
  <si>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</si>
  <si>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</si>
  <si>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t>[B]</t>
    </r>
    <r>
      <rPr>
        <b/>
        <vertAlign val="subscript"/>
        <sz val="12"/>
        <rFont val="Verdana"/>
        <family val="2"/>
      </rPr>
      <t>T</t>
    </r>
    <r>
      <rPr>
        <b/>
        <sz val="12"/>
        <rFont val="Verdana"/>
        <family val="2"/>
      </rPr>
      <t xml:space="preserve"> of seawater at S=35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</si>
  <si>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Calibri"/>
        <family val="2"/>
      </rPr>
      <t>11</t>
    </r>
    <r>
      <rPr>
        <b/>
        <sz val="12"/>
        <color indexed="8"/>
        <rFont val="Calibri"/>
        <family val="2"/>
      </rPr>
      <t>B</t>
    </r>
    <r>
      <rPr>
        <b/>
        <vertAlign val="subscript"/>
        <sz val="12"/>
        <color indexed="8"/>
        <rFont val="Calibri"/>
        <family val="2"/>
      </rPr>
      <t>sw</t>
    </r>
  </si>
  <si>
    <t>pKB</t>
  </si>
  <si>
    <r>
      <rPr>
        <b/>
        <sz val="12"/>
        <rFont val="Symbol"/>
        <charset val="2"/>
      </rPr>
      <t>a</t>
    </r>
    <r>
      <rPr>
        <b/>
        <vertAlign val="subscript"/>
        <sz val="12"/>
        <rFont val="Verdana"/>
        <family val="2"/>
      </rPr>
      <t>B3-B4</t>
    </r>
    <r>
      <rPr>
        <b/>
        <sz val="12"/>
        <rFont val="Verdana"/>
        <family val="2"/>
      </rPr>
      <t xml:space="preserve"> </t>
    </r>
  </si>
  <si>
    <t>if applicable</t>
  </si>
  <si>
    <t>Name of individual entering the data</t>
  </si>
  <si>
    <t>Contact email</t>
  </si>
  <si>
    <t>Reference of the data product</t>
  </si>
  <si>
    <t>DOI link to reference</t>
  </si>
  <si>
    <t>Site (DSDP/ODP/IODP or other site number)</t>
  </si>
  <si>
    <t>Hole</t>
  </si>
  <si>
    <t>Core</t>
  </si>
  <si>
    <t>Section</t>
  </si>
  <si>
    <t>top cm</t>
  </si>
  <si>
    <t>bottom cm</t>
  </si>
  <si>
    <r>
      <t>core depth below seafloor (meters, specify CSF-A or CSF-B where applicable, original IODP record)</t>
    </r>
    <r>
      <rPr>
        <vertAlign val="superscript"/>
        <sz val="12"/>
        <rFont val="Verdana"/>
        <family val="2"/>
      </rPr>
      <t>a</t>
    </r>
  </si>
  <si>
    <r>
      <t>core composite depth below seafloor (meters, CCSF)</t>
    </r>
    <r>
      <rPr>
        <vertAlign val="superscript"/>
        <sz val="12"/>
        <rFont val="Verdana"/>
        <family val="2"/>
      </rPr>
      <t>a</t>
    </r>
  </si>
  <si>
    <t>reference for composite depth</t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</si>
  <si>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</si>
  <si>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</si>
  <si>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</si>
  <si>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</si>
  <si>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</si>
  <si>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</si>
  <si>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</si>
  <si>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</si>
  <si>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</si>
  <si>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type of uncertainty (e.g., set value, normal distribution, +/- range)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</si>
  <si>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(if +/- range is used, it should be separated with a comma, e.g. i,ii, for +i, -ii)</t>
    </r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</si>
  <si>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</si>
  <si>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</si>
  <si>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</si>
  <si>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t>foraminifer species analyzed</t>
  </si>
  <si>
    <t>foraminifer size class (µm)</t>
  </si>
  <si>
    <t xml:space="preserve">number of foraminifera shells per sample 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</si>
  <si>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</si>
  <si>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</si>
  <si>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</si>
  <si>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</si>
  <si>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 (‰, average of replicates)</t>
    </r>
  </si>
  <si>
    <t>type of uncertainty (e.g., set value, normal distribution, specify whether uncertainty is presented as standard deviation or standard error)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</si>
  <si>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</si>
  <si>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</si>
  <si>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</si>
  <si>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r>
      <t>2</t>
    </r>
    <r>
      <rPr>
        <sz val="12"/>
        <color theme="1"/>
        <rFont val="Symbol"/>
        <charset val="2"/>
      </rPr>
      <t xml:space="preserve">s </t>
    </r>
    <r>
      <rPr>
        <sz val="12"/>
        <color theme="1"/>
        <rFont val="Verdana"/>
        <family val="2"/>
      </rPr>
      <t>uncertainty</t>
    </r>
  </si>
  <si>
    <t>intercept value</t>
  </si>
  <si>
    <t>Reference for calibration slope</t>
  </si>
  <si>
    <t>Notes (e.g., shell size corrected?)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</si>
  <si>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 xml:space="preserve">borate </t>
    </r>
    <r>
      <rPr>
        <sz val="12"/>
        <color theme="1"/>
        <rFont val="Verdana"/>
        <family val="2"/>
      </rPr>
      <t>(‰)</t>
    </r>
  </si>
  <si>
    <t>Error propagation method</t>
  </si>
  <si>
    <t>depth habitat (m)</t>
  </si>
  <si>
    <t>temperature (°C)</t>
  </si>
  <si>
    <t>Mg/Ca  (mmol/mol, average of replicates)</t>
  </si>
  <si>
    <t>temperature calibration equation</t>
  </si>
  <si>
    <t>reference for temperature calibration equation</t>
  </si>
  <si>
    <t>salinity correction (list reference if applied)</t>
  </si>
  <si>
    <t>dissolution correction (list reference if applied)</t>
  </si>
  <si>
    <t>pH correction (list reference if applied)</t>
  </si>
  <si>
    <t>average proxy value (please specify units)</t>
  </si>
  <si>
    <t xml:space="preserve">temperature calibration equation </t>
  </si>
  <si>
    <r>
      <t xml:space="preserve">used same sample material as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analyses? If not, provide details</t>
    </r>
  </si>
  <si>
    <t>Salinity (unit-less)</t>
  </si>
  <si>
    <t>method of salinity estimation (list reference if applicable)</t>
  </si>
  <si>
    <t xml:space="preserve">reference for [Ca] of seawater value </t>
  </si>
  <si>
    <t>reference for [Mg] of seawater value</t>
  </si>
  <si>
    <t>reference for [SO4] of seawater value</t>
  </si>
  <si>
    <r>
      <t>reference for [B]</t>
    </r>
    <r>
      <rPr>
        <vertAlign val="subscript"/>
        <sz val="12"/>
        <rFont val="Verdana"/>
        <family val="2"/>
      </rPr>
      <t>T</t>
    </r>
    <r>
      <rPr>
        <sz val="12"/>
        <rFont val="Verdana"/>
        <family val="2"/>
      </rPr>
      <t xml:space="preserve"> value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</si>
  <si>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>sw</t>
    </r>
    <r>
      <rPr>
        <sz val="12"/>
        <color theme="1"/>
        <rFont val="Verdana"/>
        <family val="2"/>
      </rPr>
      <t xml:space="preserve"> (‰)</t>
    </r>
  </si>
  <si>
    <r>
      <t xml:space="preserve">reference 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</si>
  <si>
    <t>reference for pKB and for correction of major ion composition, if applied</t>
  </si>
  <si>
    <t>reference for pressure effect on pKB</t>
  </si>
  <si>
    <r>
      <t xml:space="preserve">value for </t>
    </r>
    <r>
      <rPr>
        <sz val="12"/>
        <color theme="1"/>
        <rFont val="Symbol"/>
        <charset val="2"/>
      </rPr>
      <t>a</t>
    </r>
    <r>
      <rPr>
        <vertAlign val="subscript"/>
        <sz val="12"/>
        <color theme="1"/>
        <rFont val="Verdana"/>
        <family val="2"/>
      </rPr>
      <t>B3-B4</t>
    </r>
    <r>
      <rPr>
        <sz val="12"/>
        <color theme="1"/>
        <rFont val="Verdana"/>
        <family val="2"/>
      </rPr>
      <t xml:space="preserve"> </t>
    </r>
  </si>
  <si>
    <r>
      <t xml:space="preserve">equation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</si>
  <si>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 xml:space="preserve">reference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</si>
  <si>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>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</si>
  <si>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</si>
  <si>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</si>
  <si>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</si>
  <si>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t>reference for pKHSO</t>
    </r>
    <r>
      <rPr>
        <vertAlign val="subscript"/>
        <sz val="12"/>
        <color theme="1"/>
        <rFont val="Verdana"/>
        <family val="2"/>
      </rPr>
      <t>4</t>
    </r>
  </si>
  <si>
    <r>
      <t>reference for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and for correction of major ion composition, if applied</t>
    </r>
  </si>
  <si>
    <r>
      <t>reference for pressure effect on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>aragonite</t>
    </r>
  </si>
  <si>
    <r>
      <t>Parameter used (e.g., alkalinity</t>
    </r>
    <r>
      <rPr>
        <sz val="12"/>
        <rFont val="Verdana"/>
        <family val="2"/>
      </rPr>
      <t>, DIC, [CO</t>
    </r>
    <r>
      <rPr>
        <vertAlign val="subscript"/>
        <sz val="12"/>
        <rFont val="Verdana"/>
        <family val="2"/>
      </rPr>
      <t>3</t>
    </r>
    <r>
      <rPr>
        <vertAlign val="superscript"/>
        <sz val="12"/>
        <rFont val="Verdana"/>
        <family val="2"/>
      </rPr>
      <t>2-</t>
    </r>
    <r>
      <rPr>
        <sz val="12"/>
        <rFont val="Verdana"/>
        <family val="2"/>
      </rPr>
      <t>]</t>
    </r>
  </si>
  <si>
    <r>
      <t xml:space="preserve">Method for deriving 2nd parameter (e.g., CCD, </t>
    </r>
    <r>
      <rPr>
        <sz val="12"/>
        <rFont val="Symbol"/>
        <charset val="2"/>
      </rPr>
      <t>W</t>
    </r>
    <r>
      <rPr>
        <sz val="12"/>
        <rFont val="Verdana"/>
        <family val="2"/>
      </rPr>
      <t>, LOSCAR, GENIE, code can be submitted as supplement)</t>
    </r>
  </si>
  <si>
    <t>Reference for second parameter (if not primary reference of data set)</t>
  </si>
  <si>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 xml:space="preserve">calcite </t>
    </r>
    <r>
      <rPr>
        <sz val="12"/>
        <color theme="1"/>
        <rFont val="Verdana"/>
        <family val="2"/>
      </rPr>
      <t>(if used as a constraint)</t>
    </r>
  </si>
  <si>
    <t>pH</t>
  </si>
  <si>
    <r>
      <t>Aqueous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(µatm)</t>
    </r>
  </si>
  <si>
    <r>
      <t>Air-sea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</si>
  <si>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</si>
  <si>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vertAlign val="superscript"/>
        <sz val="12"/>
        <rFont val="Verdana"/>
        <family val="2"/>
      </rPr>
      <t>b</t>
    </r>
    <r>
      <rPr>
        <sz val="12"/>
        <rFont val="Verdana"/>
        <family val="2"/>
      </rPr>
      <t>Atmospheric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(i.e. after correction for any modern air-sea disequilibrium, µatm)</t>
    </r>
  </si>
  <si>
    <t>Error propagation method (code can be provided in supplement)</t>
  </si>
  <si>
    <r>
      <t>parameters included in the error propagation (e.g., calibration uncertainty,</t>
    </r>
    <r>
      <rPr>
        <sz val="12"/>
        <rFont val="Symbol"/>
        <charset val="2"/>
      </rPr>
      <t xml:space="preserve"> 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  <r>
      <rPr>
        <sz val="12"/>
        <rFont val="Verdana"/>
        <family val="2"/>
      </rPr>
      <t>, T, S, second parameter of the carbonate system)</t>
    </r>
  </si>
  <si>
    <r>
      <rPr>
        <vertAlign val="superscript"/>
        <sz val="12"/>
        <rFont val="Verdana"/>
        <family val="2"/>
      </rPr>
      <t>c</t>
    </r>
    <r>
      <rPr>
        <sz val="12"/>
        <rFont val="Verdana"/>
        <family val="2"/>
      </rPr>
      <t>Alkalinity (µmol/kg, if not used as an input parameter)</t>
    </r>
  </si>
  <si>
    <t>DIC (µmol/kg, if not used as an input parameter</t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</si>
  <si>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</t>
    </r>
    <r>
      <rPr>
        <sz val="12"/>
        <rFont val="Verdana"/>
        <family val="2"/>
      </rPr>
      <t>, if not used as an input parameter</t>
    </r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</si>
  <si>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</t>
    </r>
    <r>
      <rPr>
        <sz val="12"/>
        <rFont val="Verdana"/>
        <family val="2"/>
      </rPr>
      <t>, if not used as an input parameter</t>
    </r>
  </si>
  <si>
    <t>Additional Notes</t>
  </si>
  <si>
    <t>Basic Info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</si>
  <si>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</si>
  <si>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</si>
  <si>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</si>
  <si>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</si>
  <si>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</si>
  <si>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</si>
  <si>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</si>
  <si>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of individual replicate measurements of the same solution; separate by commas</t>
    </r>
  </si>
  <si>
    <t>Mg/Ca of individual replicate measurements; separate replicates by commas</t>
  </si>
  <si>
    <t>proxy value of individual replicate measurements; separate replicates by commas</t>
  </si>
  <si>
    <t>central value (µmol/kg)</t>
  </si>
  <si>
    <t>Age (ka)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</si>
  <si>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pos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</si>
  <si>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neg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</si>
  <si>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pos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</si>
  <si>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neg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</si>
  <si>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 uncertainty pos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</si>
  <si>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Mg/Ca uncertainty neg (mmol/mol)</t>
    </r>
  </si>
  <si>
    <t>[Ca] (mmol/kg)</t>
  </si>
  <si>
    <t>[Mg] (mmol/kg)</t>
  </si>
  <si>
    <t>[SO4] (mmol/kg)</t>
  </si>
  <si>
    <r>
      <t>[B]</t>
    </r>
    <r>
      <rPr>
        <vertAlign val="subscript"/>
        <sz val="12"/>
        <color theme="1"/>
        <rFont val="Verdana"/>
        <family val="2"/>
      </rPr>
      <t xml:space="preserve">T </t>
    </r>
    <r>
      <rPr>
        <sz val="12"/>
        <color theme="1"/>
        <rFont val="Verdana"/>
        <family val="2"/>
      </rPr>
      <t>(µmol/kg)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</si>
  <si>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</si>
  <si>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</si>
  <si>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</si>
  <si>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</si>
  <si>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neg</t>
    </r>
  </si>
  <si>
    <t>boron isotopes</t>
  </si>
  <si>
    <t>modern reference pH scale (e.g., total scale, seawater scale)</t>
  </si>
  <si>
    <t>N number of replicates</t>
  </si>
  <si>
    <t>2se of replicates</t>
  </si>
  <si>
    <t>Henehan</t>
  </si>
  <si>
    <t>Michael Henehan</t>
  </si>
  <si>
    <t>henehan@gfz-potsdam.de</t>
  </si>
  <si>
    <t>A</t>
  </si>
  <si>
    <t>none</t>
  </si>
  <si>
    <t>set value</t>
  </si>
  <si>
    <t>NA</t>
  </si>
  <si>
    <t>Column Chemistry</t>
  </si>
  <si>
    <t>MC-ICPMS</t>
  </si>
  <si>
    <t>not applied</t>
  </si>
  <si>
    <t>modern</t>
  </si>
  <si>
    <t>NA- none applied</t>
  </si>
  <si>
    <t>set salinity value- uncertainty on B/Salinity relationship not included</t>
  </si>
  <si>
    <t>Lee et al 2010</t>
  </si>
  <si>
    <t>none applied</t>
  </si>
  <si>
    <t>Henry's law, as of Weiss 1974, Zeebe Wolf-Gladrow 2001</t>
  </si>
  <si>
    <t>Total Alkalinity</t>
  </si>
  <si>
    <t xml:space="preserve">set value </t>
  </si>
  <si>
    <t>total scale</t>
  </si>
  <si>
    <t xml:space="preserve">NA </t>
  </si>
  <si>
    <r>
      <t xml:space="preserve">reference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</si>
  <si>
    <t>Klochko et al. (2006)</t>
  </si>
  <si>
    <t>2s alkalinity uncertainty pos</t>
  </si>
  <si>
    <t>2s alkalinity uncertainty neg</t>
  </si>
  <si>
    <t>2s DIC uncertainty pos</t>
  </si>
  <si>
    <t>2s DIC uncertainty neg</t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</si>
  <si>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</si>
  <si>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</si>
  <si>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</si>
  <si>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 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</si>
  <si>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 (µmol/kg)</t>
    </r>
  </si>
  <si>
    <r>
      <rPr>
        <vertAlign val="superscript"/>
        <sz val="10"/>
        <rFont val="Verdana"/>
        <family val="2"/>
      </rPr>
      <t>b</t>
    </r>
    <r>
      <rPr>
        <sz val="12"/>
        <color theme="1"/>
        <rFont val="Calibri"/>
        <family val="2"/>
        <scheme val="minor"/>
      </rPr>
      <t>this spreadsheet is specifically designed for boron isotope records aimed at paleo-pCO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reconstructions, but it is equally useful for other boron isotope records collected, e.g., in upwelling areas. Such studies should leave the atmospheric 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column (EW) blank, but may want to report the air-sea disequilibrium in column EX</t>
    </r>
  </si>
  <si>
    <r>
      <rPr>
        <vertAlign val="superscript"/>
        <sz val="10"/>
        <rFont val="Verdana"/>
        <family val="2"/>
      </rPr>
      <t>c</t>
    </r>
    <r>
      <rPr>
        <sz val="12"/>
        <color theme="1"/>
        <rFont val="Calibri"/>
        <family val="2"/>
        <scheme val="minor"/>
      </rPr>
      <t>because minor alkalinity contributors like NH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HSiO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HS</t>
    </r>
    <r>
      <rPr>
        <vertAlign val="superscript"/>
        <sz val="10"/>
        <rFont val="Verdana"/>
        <family val="2"/>
      </rPr>
      <t xml:space="preserve">- </t>
    </r>
    <r>
      <rPr>
        <sz val="12"/>
        <color theme="1"/>
        <rFont val="Calibri"/>
        <family val="2"/>
        <scheme val="minor"/>
      </rPr>
      <t>and S</t>
    </r>
    <r>
      <rPr>
        <vertAlign val="superscript"/>
        <sz val="10"/>
        <rFont val="Verdana"/>
        <family val="2"/>
      </rPr>
      <t>2-</t>
    </r>
    <r>
      <rPr>
        <sz val="12"/>
        <color theme="1"/>
        <rFont val="Calibri"/>
        <family val="2"/>
        <scheme val="minor"/>
      </rPr>
      <t xml:space="preserve"> are not included in these calculations, the alkalinity estimate reported in column EK includes only carbon and boron alkalinity, and should therefore be considered an approximation to total alkalinity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</si>
  <si>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>correction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</si>
  <si>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 xml:space="preserve">correction  reference 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</si>
  <si>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 neg</t>
    </r>
  </si>
  <si>
    <t>notes about uncertainty estimate: e.g., included calibration slope and intercept</t>
  </si>
  <si>
    <t>CO2_uncertainty_pos_ppm</t>
  </si>
  <si>
    <t>10.1029/2019PA003713</t>
  </si>
  <si>
    <t xml:space="preserve">Henehan et al., 2020. Revisiting the Middle Eocene Climatic Optimum ‘Carbon Cycle Conundrum’ with new estimates of atmospheric pCO2 from boron isotopes. Paleoceanography and Paleoclimatology </t>
  </si>
  <si>
    <t>ODP 1260</t>
  </si>
  <si>
    <t>ODP 1263</t>
  </si>
  <si>
    <t>ODP 865</t>
  </si>
  <si>
    <t>ODP 702</t>
  </si>
  <si>
    <t>B</t>
  </si>
  <si>
    <t>C</t>
  </si>
  <si>
    <t>CC</t>
  </si>
  <si>
    <t>Westerhold and Rohl (2013); rmcd</t>
  </si>
  <si>
    <t>Westerhold et al. (2015); rmcd</t>
  </si>
  <si>
    <t xml:space="preserve">No composite </t>
  </si>
  <si>
    <t>Tropical Pacific</t>
  </si>
  <si>
    <t>High-Lat South Atlantic</t>
  </si>
  <si>
    <t>South Atlantic</t>
  </si>
  <si>
    <t>Tropical Atlantic</t>
  </si>
  <si>
    <t>http://www.paleolatitude.org; paleolongitude not given. Paleodepth= Sexton, Wilson, &amp; Norris, 2006; Shipboard Scientific Party, 2004a</t>
  </si>
  <si>
    <t>http://www.paleolatitude.org; paleolongitude not given; Palaeodepth= Bralower et al., 1995</t>
  </si>
  <si>
    <t>http://www.paleolatitude.org; paleolongitude not given; paleodepth = Katz &amp; Miller, 1991; Shipboard Scientific Party, 1988</t>
  </si>
  <si>
    <t>http://www.paleolatitude.org; paleolongitude not given; palaeodepth= Shipboard Scientific Party, 2004b</t>
  </si>
  <si>
    <t>GTS2012</t>
  </si>
  <si>
    <t>set value, derived from the amount of time combined within the thickness of the sample interval</t>
  </si>
  <si>
    <t>Correlating magnetostratigraphic tie points from ODP 702 with features in isotope records, also site specific magnetostrat and biostrat</t>
  </si>
  <si>
    <t>Edgar et al. (in review, 10.31223/osf.io/m64gk); amcd</t>
  </si>
  <si>
    <t>Edgar et al. (in review; 10.31223/osf.io/m64gk)</t>
  </si>
  <si>
    <t>in primary dataset</t>
  </si>
  <si>
    <t>Cyclostratigraphy</t>
  </si>
  <si>
    <t>Westerhold et al. (2013)</t>
  </si>
  <si>
    <t>Rivero-Cuesta et al. (2019; 10.1029/2019PA003806)</t>
  </si>
  <si>
    <t>Westerhold et al. (2018)</t>
  </si>
  <si>
    <t>Magneto- and Cyclostratigraphy</t>
  </si>
  <si>
    <t>M. crassatus</t>
  </si>
  <si>
    <t>A. praetopilensis</t>
  </si>
  <si>
    <t>M crassatus</t>
  </si>
  <si>
    <t>G. index</t>
  </si>
  <si>
    <t>G. kugleri</t>
  </si>
  <si>
    <t>250-300</t>
  </si>
  <si>
    <t>not known</t>
  </si>
  <si>
    <t>Henehan et al. 2016, EPSL (based on Barker et al. 2003)
2006PA001337.</t>
  </si>
  <si>
    <t>relationship between long term reproducibility of standards and sample size</t>
  </si>
  <si>
    <t>14.66750115, 14.90847553</t>
  </si>
  <si>
    <t>14.62124205, 14.8070375</t>
  </si>
  <si>
    <t>15.12372266, 15.00327498</t>
  </si>
  <si>
    <t>14.45084688, 14.51371373</t>
  </si>
  <si>
    <t>14.48032768, 14.56449192</t>
  </si>
  <si>
    <t>Henehan et al., 2020. Revisiting the Middle Eocene Climatic Optimum ‘Carbon Cycle Conundrum’ with new estimates of atmospheric pCO2 from boron isotopes. Paleoceanography and Paleoclimatology … this d11B data point was originally published in Edgar et al. 2015's paper on diagenetic influence on d11B</t>
  </si>
  <si>
    <t>14.93292557, 15.17116288</t>
  </si>
  <si>
    <t>14.89788303, 15.26191018</t>
  </si>
  <si>
    <t>15.05857707, 15.0078036</t>
  </si>
  <si>
    <t>14.6152073, 14.75497786</t>
  </si>
  <si>
    <t>15.09600064, 15.06736474</t>
  </si>
  <si>
    <t>14.55559926, 14.57357561</t>
  </si>
  <si>
    <t>15.01270122, 15.13946401</t>
  </si>
  <si>
    <t>14.95384115, 15.02138117</t>
  </si>
  <si>
    <t>15.07759998, 15.08881841</t>
  </si>
  <si>
    <t>15.33208014, 15.39914219</t>
  </si>
  <si>
    <t>15.20404725, 15.02423879</t>
  </si>
  <si>
    <t>14.88224391, 14.92500794</t>
  </si>
  <si>
    <t>14.56853397, 14.43621244</t>
  </si>
  <si>
    <t>14.04765836, 14.16931472</t>
  </si>
  <si>
    <t>15.11421454, 15.01028045</t>
  </si>
  <si>
    <t>15.01371026, 15.00209998</t>
  </si>
  <si>
    <t>14.91567857, 15.29682387</t>
  </si>
  <si>
    <t>14.87501497, 14.93824526</t>
  </si>
  <si>
    <t>14.76628408, 14.70721225</t>
  </si>
  <si>
    <t>11.90981175, 11.94472022</t>
  </si>
  <si>
    <t>12.24491924, 12.33721003</t>
  </si>
  <si>
    <t>12.29709375, 12.25685051</t>
  </si>
  <si>
    <t>11.33946161, 11.42430342</t>
  </si>
  <si>
    <t>12.20767193, 12.32021376</t>
  </si>
  <si>
    <t>12.91503999, 12.92973918</t>
  </si>
  <si>
    <t>11.9728752, 12.07674476</t>
  </si>
  <si>
    <t>13.56172909, 13.24312177</t>
  </si>
  <si>
    <t>13.73013491, 13.43593407</t>
  </si>
  <si>
    <t>13.15408512, 13.188134</t>
  </si>
  <si>
    <t>13.05301974, 13.34083366</t>
  </si>
  <si>
    <t>13.27446554, 13.42006961</t>
  </si>
  <si>
    <t>13.66055038, 13.72953993</t>
  </si>
  <si>
    <t>15.40763142, 14.97259704</t>
  </si>
  <si>
    <t>15.11244433, 14.53355169</t>
  </si>
  <si>
    <t>13.41285912, 13.55092861</t>
  </si>
  <si>
    <t>13.05310695, 13.1554833</t>
  </si>
  <si>
    <t>13.47999943, 13.71947212</t>
  </si>
  <si>
    <t>15.19688354, 15.17109222</t>
  </si>
  <si>
    <t>Calibration uncertainty not given</t>
  </si>
  <si>
    <t>Foster et al. 2012, EPSL 341, 243-254.</t>
  </si>
  <si>
    <t>Foster et al 2012 chosen as closer to correct size fraction, calibration corrected in each monte carlo rep for δ11Bsw</t>
  </si>
  <si>
    <t>Monte Carlo, 95% interquantile of slopes</t>
  </si>
  <si>
    <t xml:space="preserve">Monte Carlo, 95% interquantile of intercepts. </t>
  </si>
  <si>
    <t xml:space="preserve">Martinez Boti et al. 2015, Nature 518 (7538), 219-222. </t>
  </si>
  <si>
    <t>Calibration corrected in each monte carlo rep for δ11Bsw, following Greenop et al. 2019</t>
  </si>
  <si>
    <t>Henehan et al. 2016, EPSL 454, 282-292.</t>
  </si>
  <si>
    <t>Uncertainty on δ11Bborate does not include calibration uncertainty</t>
  </si>
  <si>
    <t>95% interquantile of MC replicates</t>
  </si>
  <si>
    <t xml:space="preserve">not output by the R code used to generate published values. </t>
  </si>
  <si>
    <t>error on d11Bborate that goes into Monte Carlo pH calculation includes salinty, temperature, δ11Bsw, measurement error (d11B and Mg/Ca)</t>
  </si>
  <si>
    <t>95% quantile of MC Mg/Ca temps, incorporating error on δ11Bsw, pH correction and Mg/Ca measurement, amongst other things</t>
  </si>
  <si>
    <t>NA, measured only once</t>
  </si>
  <si>
    <t>set percentage (3%)</t>
  </si>
  <si>
    <t>yes, corrected</t>
  </si>
  <si>
    <t>Yes, Evans et al. 2016</t>
  </si>
  <si>
    <t>Temp=ln(MgCa/B)/A</t>
  </si>
  <si>
    <t>Evans et al. 2016 EPSL 438, 139-148</t>
  </si>
  <si>
    <t>arbitrary value</t>
  </si>
  <si>
    <t>Followed Anagnostou et al. (2016)</t>
  </si>
  <si>
    <t>uniform distribution</t>
  </si>
  <si>
    <t>Anagnostou et al. (2016, Nature)</t>
  </si>
  <si>
    <t>Hain et al. (2015, GBC)</t>
  </si>
  <si>
    <t>None applied, negligible pressure effect</t>
  </si>
  <si>
    <t>R code, written myself</t>
  </si>
  <si>
    <t>Hain et al. 2015, GBC</t>
  </si>
  <si>
    <t>from pre-MECO Loscar spinup</t>
  </si>
  <si>
    <t>used as a constrain in other formulation below</t>
  </si>
  <si>
    <t>used as a constraint in the formulation option above only</t>
  </si>
  <si>
    <t>no constraints- not applied</t>
  </si>
  <si>
    <t>95% interquantile range MC replicates</t>
  </si>
  <si>
    <t>Mg/Ca analysis, salinity±1, alkalinity±150, d11B analysis, δ11Bsw,</t>
  </si>
  <si>
    <t>Mg/Ca analysis, salinity±1, Omega uniform dist, d11B analysis, δ11Bsw,</t>
  </si>
  <si>
    <t>Omega</t>
  </si>
  <si>
    <t>Used Eocene GENIE Run for latitudinal Ω variation</t>
  </si>
  <si>
    <t>Think the GENIE run was with Anagnostou et al. 2016</t>
  </si>
  <si>
    <t>CO2_uncertainty_neg_ppm</t>
  </si>
  <si>
    <t>CO2_ppm</t>
  </si>
  <si>
    <t xml:space="preserve">Unsure whether silicate weathering feedback was operating as 'usual', hence calculated with two baseline assumptions- one that alkalinity remained the same (this one) and one that omega remained the same - i.e. silicate weathering was buffering CO2 rise as 'normal'. </t>
  </si>
  <si>
    <t xml:space="preserve">boron measurement from Edgar et al 2015; Unsure whether silicate weathering feedback was operating as 'usual', hence calculated with two baseline assumptions- one that alkalinity remained the same (this one) and one that omega remained the same - i.e. silicate weathering was buffering CO2 rise as 'normal'. </t>
  </si>
  <si>
    <t>Unsure whether silicate weathering feedback was operating as 'usual', hence calculated with two baseline assumptions- one that alkalinity remained the same and one that omega remained the same - i.e. silicate weathering was buffering CO2 rise as 'normal' (this one)</t>
  </si>
  <si>
    <t>Boron measurement from Edgar et al 2015; Unsure whether silicate weathering feedback was operating as 'usual', hence calculated with two baseline assumptions- one that alkalinity remained the same and one that omega remained the same - i.e. silicate weathering was buffering CO2 rise as 'normal' (this one)</t>
  </si>
  <si>
    <t>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</si>
</sst>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3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name val="Calibri (Body)"/>
    </font>
    <font>
      <b/>
      <sz val="12"/>
      <name val="Symbol"/>
      <charset val="2"/>
    </font>
    <font>
      <b/>
      <vertAlign val="superscript"/>
      <sz val="12"/>
      <name val="Verdana"/>
      <family val="2"/>
    </font>
    <font>
      <b/>
      <vertAlign val="subscript"/>
      <sz val="12"/>
      <name val="Verdana"/>
      <family val="2"/>
    </font>
    <font>
      <b/>
      <vertAlign val="subscript"/>
      <sz val="12"/>
      <color indexed="8"/>
      <name val="Calibri"/>
      <family val="2"/>
    </font>
    <font>
      <sz val="12"/>
      <name val="Symbol"/>
      <charset val="2"/>
    </font>
    <font>
      <vertAlign val="superscript"/>
      <sz val="12"/>
      <name val="Verdana"/>
      <family val="2"/>
    </font>
    <font>
      <b/>
      <sz val="12"/>
      <color indexed="8"/>
      <name val="Verdana"/>
      <family val="2"/>
    </font>
    <font>
      <b/>
      <sz val="12"/>
      <color indexed="8"/>
      <name val="Symbol"/>
      <charset val="2"/>
    </font>
    <font>
      <b/>
      <vertAlign val="superscript"/>
      <sz val="12"/>
      <color indexed="8"/>
      <name val="Verdana"/>
      <family val="2"/>
    </font>
    <font>
      <b/>
      <vertAlign val="subscript"/>
      <sz val="12"/>
      <color indexed="8"/>
      <name val="Verdana"/>
      <family val="2"/>
    </font>
    <font>
      <b/>
      <vertAlign val="superscript"/>
      <sz val="12"/>
      <color indexed="8"/>
      <name val="Calibri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00"/>
      <name val="Symbol"/>
      <charset val="2"/>
    </font>
    <font>
      <sz val="12"/>
      <color theme="1"/>
      <name val="Symbol"/>
      <charset val="2"/>
    </font>
    <font>
      <vertAlign val="superscript"/>
      <sz val="12"/>
      <color theme="1"/>
      <name val="Verdana"/>
      <family val="2"/>
    </font>
    <font>
      <vertAlign val="subscript"/>
      <sz val="12"/>
      <color theme="1"/>
      <name val="Verdana"/>
      <family val="2"/>
    </font>
    <font>
      <vertAlign val="subscript"/>
      <sz val="12"/>
      <name val="Verdana"/>
      <family val="2"/>
    </font>
    <font>
      <sz val="11"/>
      <color rgb="FF000000"/>
      <name val="Calibri"/>
      <family val="2"/>
      <charset val="1"/>
    </font>
    <font>
      <sz val="12"/>
      <name val="Verdana"/>
      <family val="2"/>
      <charset val="2"/>
    </font>
    <font>
      <sz val="12"/>
      <color theme="1"/>
      <name val="Verdana"/>
      <family val="2"/>
      <charset val="2"/>
    </font>
    <font>
      <sz val="10"/>
      <name val="Arial"/>
      <family val="2"/>
    </font>
    <font>
      <u/>
      <sz val="12"/>
      <color theme="10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vertAlign val="subscript"/>
      <sz val="12"/>
      <color rgb="FF000000"/>
      <name val="Verdana"/>
      <family val="2"/>
    </font>
    <font>
      <sz val="12"/>
      <color theme="1"/>
      <name val="ArialMT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38EFF"/>
        <bgColor indexed="64"/>
      </patternFill>
    </fill>
    <fill>
      <patternFill patternType="solid">
        <fgColor rgb="FFCDFD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FDCC"/>
        <bgColor rgb="FF000000"/>
      </patternFill>
    </fill>
    <fill>
      <patternFill patternType="solid">
        <fgColor rgb="FFA9D08D"/>
        <bgColor indexed="64"/>
      </patternFill>
    </fill>
    <fill>
      <patternFill patternType="solid">
        <fgColor rgb="FFCEFD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9A"/>
        <bgColor indexed="64"/>
      </patternFill>
    </fill>
    <fill>
      <patternFill patternType="solid">
        <fgColor rgb="FFFFFF9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7" fillId="0" borderId="0"/>
    <xf numFmtId="0" fontId="1" fillId="0" borderId="0"/>
    <xf numFmtId="0" fontId="31" fillId="0" borderId="0" applyNumberFormat="0" applyFill="0" applyBorder="0" applyAlignment="0" applyProtection="0"/>
  </cellStyleXfs>
  <cellXfs count="21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4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3" xfId="0" applyBorder="1"/>
    <xf numFmtId="0" fontId="5" fillId="2" borderId="1" xfId="0" applyFont="1" applyFill="1" applyBorder="1"/>
    <xf numFmtId="0" fontId="5" fillId="2" borderId="2" xfId="0" applyFont="1" applyFill="1" applyBorder="1"/>
    <xf numFmtId="0" fontId="0" fillId="2" borderId="2" xfId="0" applyFill="1" applyBorder="1"/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/>
    <xf numFmtId="0" fontId="0" fillId="3" borderId="5" xfId="0" applyFill="1" applyBorder="1"/>
    <xf numFmtId="0" fontId="6" fillId="3" borderId="4" xfId="0" applyFont="1" applyFill="1" applyBorder="1"/>
    <xf numFmtId="0" fontId="5" fillId="4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2" xfId="0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5" borderId="1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7" borderId="2" xfId="0" applyFont="1" applyFill="1" applyBorder="1"/>
    <xf numFmtId="0" fontId="5" fillId="7" borderId="3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5" fillId="7" borderId="1" xfId="0" applyFont="1" applyFill="1" applyBorder="1"/>
    <xf numFmtId="0" fontId="5" fillId="7" borderId="5" xfId="0" applyFont="1" applyFill="1" applyBorder="1"/>
    <xf numFmtId="0" fontId="5" fillId="8" borderId="2" xfId="0" applyFont="1" applyFill="1" applyBorder="1"/>
    <xf numFmtId="0" fontId="5" fillId="9" borderId="1" xfId="0" applyFont="1" applyFill="1" applyBorder="1"/>
    <xf numFmtId="0" fontId="5" fillId="9" borderId="2" xfId="0" applyFont="1" applyFill="1" applyBorder="1"/>
    <xf numFmtId="0" fontId="0" fillId="9" borderId="2" xfId="0" applyFill="1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5" fillId="2" borderId="8" xfId="0" applyFont="1" applyFill="1" applyBorder="1"/>
    <xf numFmtId="0" fontId="0" fillId="2" borderId="8" xfId="0" applyFill="1" applyBorder="1"/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5" fillId="5" borderId="0" xfId="0" applyFont="1" applyFill="1" applyBorder="1"/>
    <xf numFmtId="0" fontId="6" fillId="5" borderId="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5" fillId="7" borderId="4" xfId="0" applyFont="1" applyFill="1" applyBorder="1"/>
    <xf numFmtId="0" fontId="5" fillId="7" borderId="0" xfId="0" applyFont="1" applyFill="1" applyBorder="1"/>
    <xf numFmtId="0" fontId="5" fillId="6" borderId="0" xfId="0" applyFont="1" applyFill="1" applyBorder="1"/>
    <xf numFmtId="0" fontId="0" fillId="6" borderId="0" xfId="0" applyFill="1"/>
    <xf numFmtId="0" fontId="7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5" fillId="7" borderId="12" xfId="0" applyFont="1" applyFill="1" applyBorder="1"/>
    <xf numFmtId="0" fontId="15" fillId="7" borderId="4" xfId="0" applyFont="1" applyFill="1" applyBorder="1"/>
    <xf numFmtId="0" fontId="7" fillId="7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5" fillId="6" borderId="4" xfId="0" applyFont="1" applyFill="1" applyBorder="1"/>
    <xf numFmtId="0" fontId="5" fillId="6" borderId="10" xfId="0" applyFont="1" applyFill="1" applyBorder="1"/>
    <xf numFmtId="0" fontId="7" fillId="7" borderId="11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5" fillId="7" borderId="11" xfId="0" applyFont="1" applyFill="1" applyBorder="1"/>
    <xf numFmtId="0" fontId="5" fillId="8" borderId="0" xfId="0" applyFont="1" applyFill="1" applyBorder="1"/>
    <xf numFmtId="0" fontId="5" fillId="8" borderId="8" xfId="0" applyFont="1" applyFill="1" applyBorder="1"/>
    <xf numFmtId="0" fontId="5" fillId="2" borderId="7" xfId="0" applyFont="1" applyFill="1" applyBorder="1"/>
    <xf numFmtId="0" fontId="0" fillId="0" borderId="13" xfId="0" applyBorder="1"/>
    <xf numFmtId="0" fontId="20" fillId="10" borderId="14" xfId="0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quotePrefix="1" applyBorder="1" applyAlignment="1">
      <alignment wrapText="1"/>
    </xf>
    <xf numFmtId="0" fontId="0" fillId="0" borderId="3" xfId="0" quotePrefix="1" applyBorder="1" applyAlignment="1">
      <alignment wrapText="1"/>
    </xf>
    <xf numFmtId="0" fontId="28" fillId="4" borderId="1" xfId="0" applyFont="1" applyFill="1" applyBorder="1" applyAlignment="1">
      <alignment horizontal="center" vertical="center" wrapText="1"/>
    </xf>
    <xf numFmtId="0" fontId="0" fillId="12" borderId="2" xfId="0" quotePrefix="1" applyFill="1" applyBorder="1" applyAlignment="1">
      <alignment horizontal="center" vertical="center" wrapText="1"/>
    </xf>
    <xf numFmtId="0" fontId="0" fillId="13" borderId="2" xfId="0" quotePrefix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left" vertical="center"/>
    </xf>
    <xf numFmtId="0" fontId="0" fillId="13" borderId="3" xfId="0" quotePrefix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0" fillId="14" borderId="2" xfId="0" quotePrefix="1" applyFill="1" applyBorder="1" applyAlignment="1">
      <alignment horizontal="center" vertical="center" wrapText="1"/>
    </xf>
    <xf numFmtId="0" fontId="0" fillId="14" borderId="3" xfId="0" quotePrefix="1" applyFill="1" applyBorder="1" applyAlignment="1">
      <alignment horizontal="center" vertical="center" wrapText="1"/>
    </xf>
    <xf numFmtId="0" fontId="0" fillId="15" borderId="2" xfId="0" quotePrefix="1" applyFill="1" applyBorder="1" applyAlignment="1">
      <alignment horizontal="center" vertical="center" wrapText="1"/>
    </xf>
    <xf numFmtId="0" fontId="0" fillId="0" borderId="0" xfId="0" applyFill="1" applyBorder="1"/>
    <xf numFmtId="0" fontId="6" fillId="4" borderId="2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 wrapText="1"/>
    </xf>
    <xf numFmtId="0" fontId="0" fillId="2" borderId="5" xfId="0" applyFill="1" applyBorder="1"/>
    <xf numFmtId="1" fontId="32" fillId="0" borderId="0" xfId="0" applyNumberFormat="1" applyFont="1" applyAlignment="1">
      <alignment horizontal="center"/>
    </xf>
    <xf numFmtId="0" fontId="31" fillId="0" borderId="0" xfId="3"/>
    <xf numFmtId="0" fontId="33" fillId="0" borderId="0" xfId="0" applyFont="1"/>
    <xf numFmtId="0" fontId="32" fillId="0" borderId="0" xfId="0" applyFont="1" applyAlignment="1">
      <alignment horizontal="center"/>
    </xf>
    <xf numFmtId="165" fontId="0" fillId="0" borderId="0" xfId="0" applyNumberFormat="1"/>
    <xf numFmtId="164" fontId="0" fillId="0" borderId="0" xfId="0" applyNumberFormat="1"/>
    <xf numFmtId="2" fontId="34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1" fontId="34" fillId="0" borderId="0" xfId="0" applyNumberFormat="1" applyFont="1" applyAlignment="1">
      <alignment horizontal="center"/>
    </xf>
    <xf numFmtId="164" fontId="34" fillId="0" borderId="0" xfId="0" applyNumberFormat="1" applyFont="1" applyAlignment="1">
      <alignment horizontal="center"/>
    </xf>
    <xf numFmtId="1" fontId="0" fillId="0" borderId="0" xfId="0" applyNumberFormat="1"/>
    <xf numFmtId="0" fontId="6" fillId="16" borderId="8" xfId="0" quotePrefix="1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2" fontId="0" fillId="0" borderId="0" xfId="0" applyNumberFormat="1"/>
    <xf numFmtId="166" fontId="0" fillId="0" borderId="0" xfId="0" applyNumberFormat="1" applyAlignment="1">
      <alignment horizontal="center"/>
    </xf>
    <xf numFmtId="0" fontId="36" fillId="0" borderId="0" xfId="0" applyFont="1"/>
    <xf numFmtId="0" fontId="0" fillId="0" borderId="0" xfId="0" applyAlignment="1"/>
    <xf numFmtId="164" fontId="30" fillId="0" borderId="0" xfId="0" applyNumberFormat="1" applyFont="1" applyBorder="1" applyAlignment="1">
      <alignment horizontal="right"/>
    </xf>
    <xf numFmtId="0" fontId="0" fillId="0" borderId="5" xfId="0" applyFill="1" applyBorder="1"/>
    <xf numFmtId="0" fontId="31" fillId="0" borderId="5" xfId="3" applyBorder="1"/>
    <xf numFmtId="0" fontId="33" fillId="0" borderId="5" xfId="0" applyFont="1" applyBorder="1"/>
    <xf numFmtId="0" fontId="36" fillId="0" borderId="5" xfId="0" applyFont="1" applyBorder="1"/>
    <xf numFmtId="0" fontId="32" fillId="0" borderId="5" xfId="0" applyFont="1" applyBorder="1" applyAlignment="1">
      <alignment horizontal="center"/>
    </xf>
    <xf numFmtId="0" fontId="0" fillId="0" borderId="5" xfId="0" applyBorder="1" applyAlignment="1"/>
    <xf numFmtId="164" fontId="0" fillId="0" borderId="5" xfId="0" applyNumberFormat="1" applyBorder="1"/>
    <xf numFmtId="2" fontId="0" fillId="0" borderId="5" xfId="0" applyNumberFormat="1" applyBorder="1"/>
    <xf numFmtId="2" fontId="0" fillId="0" borderId="0" xfId="0" applyNumberFormat="1" applyAlignment="1">
      <alignment horizontal="center"/>
    </xf>
    <xf numFmtId="2" fontId="0" fillId="0" borderId="5" xfId="0" applyNumberFormat="1" applyBorder="1" applyAlignment="1">
      <alignment horizontal="center"/>
    </xf>
    <xf numFmtId="2" fontId="34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5" xfId="0" applyNumberFormat="1" applyBorder="1" applyAlignment="1">
      <alignment horizontal="center"/>
    </xf>
    <xf numFmtId="1" fontId="0" fillId="0" borderId="5" xfId="0" applyNumberFormat="1" applyBorder="1"/>
    <xf numFmtId="9" fontId="0" fillId="0" borderId="0" xfId="0" applyNumberFormat="1"/>
    <xf numFmtId="0" fontId="0" fillId="0" borderId="5" xfId="0" applyFill="1" applyBorder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5" xfId="0" applyNumberFormat="1" applyBorder="1" applyAlignment="1">
      <alignment horizontal="right"/>
    </xf>
    <xf numFmtId="0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Fill="1" applyAlignment="1">
      <alignment horizontal="right"/>
    </xf>
    <xf numFmtId="0" fontId="37" fillId="0" borderId="0" xfId="0" applyFont="1" applyFill="1" applyBorder="1" applyAlignment="1">
      <alignment horizontal="right" wrapText="1"/>
    </xf>
    <xf numFmtId="0" fontId="38" fillId="0" borderId="0" xfId="0" applyFont="1" applyFill="1" applyBorder="1" applyAlignment="1">
      <alignment horizontal="right" wrapText="1"/>
    </xf>
    <xf numFmtId="0" fontId="0" fillId="0" borderId="0" xfId="0" applyFill="1"/>
    <xf numFmtId="1" fontId="0" fillId="0" borderId="0" xfId="0" applyNumberFormat="1" applyFill="1"/>
    <xf numFmtId="1" fontId="32" fillId="0" borderId="0" xfId="0" applyNumberFormat="1" applyFont="1" applyFill="1" applyAlignment="1">
      <alignment horizontal="center"/>
    </xf>
    <xf numFmtId="0" fontId="31" fillId="0" borderId="0" xfId="3" applyFill="1"/>
    <xf numFmtId="0" fontId="33" fillId="0" borderId="0" xfId="0" applyFont="1" applyFill="1"/>
    <xf numFmtId="0" fontId="36" fillId="0" borderId="0" xfId="0" applyFont="1" applyFill="1"/>
    <xf numFmtId="0" fontId="32" fillId="0" borderId="0" xfId="0" applyFont="1" applyFill="1" applyAlignment="1">
      <alignment horizontal="center"/>
    </xf>
    <xf numFmtId="0" fontId="0" fillId="0" borderId="0" xfId="0" applyFill="1" applyAlignment="1"/>
    <xf numFmtId="0" fontId="0" fillId="0" borderId="0" xfId="0" applyNumberFormat="1" applyFill="1" applyAlignment="1">
      <alignment horizontal="right"/>
    </xf>
    <xf numFmtId="164" fontId="0" fillId="0" borderId="0" xfId="0" applyNumberFormat="1" applyFill="1"/>
    <xf numFmtId="2" fontId="0" fillId="0" borderId="0" xfId="0" applyNumberFormat="1" applyFill="1"/>
    <xf numFmtId="0" fontId="0" fillId="0" borderId="0" xfId="0" applyFill="1" applyAlignment="1">
      <alignment wrapText="1"/>
    </xf>
    <xf numFmtId="2" fontId="0" fillId="0" borderId="0" xfId="0" applyNumberFormat="1" applyFill="1" applyAlignment="1">
      <alignment horizontal="center"/>
    </xf>
    <xf numFmtId="2" fontId="34" fillId="0" borderId="0" xfId="0" applyNumberFormat="1" applyFont="1" applyFill="1" applyAlignment="1">
      <alignment horizontal="left"/>
    </xf>
    <xf numFmtId="0" fontId="34" fillId="0" borderId="0" xfId="0" applyFont="1" applyFill="1" applyAlignment="1">
      <alignment horizontal="center"/>
    </xf>
    <xf numFmtId="165" fontId="0" fillId="0" borderId="0" xfId="0" applyNumberFormat="1" applyFill="1"/>
    <xf numFmtId="1" fontId="34" fillId="0" borderId="0" xfId="0" applyNumberFormat="1" applyFont="1" applyFill="1" applyAlignment="1">
      <alignment horizontal="center"/>
    </xf>
    <xf numFmtId="2" fontId="34" fillId="0" borderId="0" xfId="0" applyNumberFormat="1" applyFont="1" applyFill="1" applyAlignment="1">
      <alignment horizontal="center"/>
    </xf>
    <xf numFmtId="164" fontId="0" fillId="0" borderId="0" xfId="0" applyNumberFormat="1" applyFill="1" applyAlignment="1">
      <alignment horizontal="center"/>
    </xf>
    <xf numFmtId="9" fontId="0" fillId="0" borderId="0" xfId="0" applyNumberFormat="1" applyFill="1"/>
    <xf numFmtId="0" fontId="0" fillId="0" borderId="8" xfId="0" applyFill="1" applyBorder="1"/>
    <xf numFmtId="49" fontId="0" fillId="0" borderId="0" xfId="0" applyNumberFormat="1" applyFill="1" applyAlignment="1">
      <alignment horizontal="right"/>
    </xf>
    <xf numFmtId="0" fontId="31" fillId="0" borderId="5" xfId="3" applyFill="1" applyBorder="1"/>
    <xf numFmtId="0" fontId="33" fillId="0" borderId="5" xfId="0" applyFont="1" applyFill="1" applyBorder="1"/>
    <xf numFmtId="0" fontId="36" fillId="0" borderId="5" xfId="0" applyFont="1" applyFill="1" applyBorder="1"/>
    <xf numFmtId="0" fontId="32" fillId="0" borderId="5" xfId="0" applyFont="1" applyFill="1" applyBorder="1" applyAlignment="1">
      <alignment horizontal="center"/>
    </xf>
    <xf numFmtId="0" fontId="0" fillId="0" borderId="5" xfId="0" applyFill="1" applyBorder="1" applyAlignment="1"/>
    <xf numFmtId="165" fontId="0" fillId="0" borderId="5" xfId="0" applyNumberFormat="1" applyFill="1" applyBorder="1"/>
    <xf numFmtId="164" fontId="0" fillId="0" borderId="5" xfId="0" applyNumberFormat="1" applyFill="1" applyBorder="1"/>
    <xf numFmtId="2" fontId="0" fillId="0" borderId="5" xfId="0" applyNumberFormat="1" applyFill="1" applyBorder="1"/>
    <xf numFmtId="2" fontId="0" fillId="0" borderId="5" xfId="0" applyNumberFormat="1" applyFill="1" applyBorder="1" applyAlignment="1">
      <alignment horizontal="center"/>
    </xf>
    <xf numFmtId="164" fontId="0" fillId="0" borderId="5" xfId="0" applyNumberFormat="1" applyFill="1" applyBorder="1" applyAlignment="1">
      <alignment horizontal="center"/>
    </xf>
    <xf numFmtId="1" fontId="0" fillId="0" borderId="5" xfId="0" applyNumberFormat="1" applyFill="1" applyBorder="1"/>
    <xf numFmtId="166" fontId="0" fillId="0" borderId="0" xfId="0" applyNumberFormat="1" applyFill="1" applyAlignment="1">
      <alignment horizontal="center"/>
    </xf>
    <xf numFmtId="164" fontId="34" fillId="0" borderId="0" xfId="0" applyNumberFormat="1" applyFont="1" applyFill="1" applyAlignment="1">
      <alignment horizontal="center"/>
    </xf>
    <xf numFmtId="0" fontId="0" fillId="0" borderId="5" xfId="0" applyNumberFormat="1" applyFill="1" applyBorder="1" applyAlignment="1">
      <alignment horizontal="right"/>
    </xf>
    <xf numFmtId="164" fontId="30" fillId="0" borderId="0" xfId="0" applyNumberFormat="1" applyFont="1" applyFill="1" applyBorder="1" applyAlignment="1">
      <alignment horizontal="right"/>
    </xf>
    <xf numFmtId="164" fontId="0" fillId="0" borderId="0" xfId="0" applyNumberFormat="1" applyFill="1" applyAlignment="1">
      <alignment horizontal="right"/>
    </xf>
  </cellXfs>
  <cellStyles count="4">
    <cellStyle name="Hyperlink" xfId="3" builtinId="8"/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colors>
    <mruColors>
      <color rgb="FFFFFF9A"/>
      <color rgb="FFC6E0B4"/>
      <color rgb="FFA9D08D"/>
      <color rgb="FFCEF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henehan@gfz-potsdam.de" TargetMode="External"/><Relationship Id="rId21" Type="http://schemas.openxmlformats.org/officeDocument/2006/relationships/hyperlink" Target="mailto:henehan@gfz-potsdam.de" TargetMode="External"/><Relationship Id="rId42" Type="http://schemas.openxmlformats.org/officeDocument/2006/relationships/hyperlink" Target="mailto:henehan@gfz-potsdam.de" TargetMode="External"/><Relationship Id="rId47" Type="http://schemas.openxmlformats.org/officeDocument/2006/relationships/hyperlink" Target="mailto:henehan@gfz-potsdam.de" TargetMode="External"/><Relationship Id="rId63" Type="http://schemas.openxmlformats.org/officeDocument/2006/relationships/hyperlink" Target="mailto:henehan@gfz-potsdam.de" TargetMode="External"/><Relationship Id="rId68" Type="http://schemas.openxmlformats.org/officeDocument/2006/relationships/hyperlink" Target="mailto:henehan@gfz-potsdam.de" TargetMode="External"/><Relationship Id="rId84" Type="http://schemas.openxmlformats.org/officeDocument/2006/relationships/hyperlink" Target="mailto:henehan@gfz-potsdam.de" TargetMode="External"/><Relationship Id="rId16" Type="http://schemas.openxmlformats.org/officeDocument/2006/relationships/hyperlink" Target="mailto:henehan@gfz-potsdam.de" TargetMode="External"/><Relationship Id="rId11" Type="http://schemas.openxmlformats.org/officeDocument/2006/relationships/hyperlink" Target="mailto:henehan@gfz-potsdam.de" TargetMode="External"/><Relationship Id="rId32" Type="http://schemas.openxmlformats.org/officeDocument/2006/relationships/hyperlink" Target="mailto:henehan@gfz-potsdam.de" TargetMode="External"/><Relationship Id="rId37" Type="http://schemas.openxmlformats.org/officeDocument/2006/relationships/hyperlink" Target="mailto:henehan@gfz-potsdam.de" TargetMode="External"/><Relationship Id="rId53" Type="http://schemas.openxmlformats.org/officeDocument/2006/relationships/hyperlink" Target="mailto:henehan@gfz-potsdam.de" TargetMode="External"/><Relationship Id="rId58" Type="http://schemas.openxmlformats.org/officeDocument/2006/relationships/hyperlink" Target="mailto:henehan@gfz-potsdam.de" TargetMode="External"/><Relationship Id="rId74" Type="http://schemas.openxmlformats.org/officeDocument/2006/relationships/hyperlink" Target="mailto:henehan@gfz-potsdam.de" TargetMode="External"/><Relationship Id="rId79" Type="http://schemas.openxmlformats.org/officeDocument/2006/relationships/hyperlink" Target="mailto:henehan@gfz-potsdam.de" TargetMode="External"/><Relationship Id="rId5" Type="http://schemas.openxmlformats.org/officeDocument/2006/relationships/hyperlink" Target="mailto:henehan@gfz-potsdam.de" TargetMode="External"/><Relationship Id="rId19" Type="http://schemas.openxmlformats.org/officeDocument/2006/relationships/hyperlink" Target="mailto:henehan@gfz-potsdam.de" TargetMode="External"/><Relationship Id="rId14" Type="http://schemas.openxmlformats.org/officeDocument/2006/relationships/hyperlink" Target="mailto:henehan@gfz-potsdam.de" TargetMode="External"/><Relationship Id="rId22" Type="http://schemas.openxmlformats.org/officeDocument/2006/relationships/hyperlink" Target="mailto:henehan@gfz-potsdam.de" TargetMode="External"/><Relationship Id="rId27" Type="http://schemas.openxmlformats.org/officeDocument/2006/relationships/hyperlink" Target="mailto:henehan@gfz-potsdam.de" TargetMode="External"/><Relationship Id="rId30" Type="http://schemas.openxmlformats.org/officeDocument/2006/relationships/hyperlink" Target="mailto:henehan@gfz-potsdam.de" TargetMode="External"/><Relationship Id="rId35" Type="http://schemas.openxmlformats.org/officeDocument/2006/relationships/hyperlink" Target="mailto:henehan@gfz-potsdam.de" TargetMode="External"/><Relationship Id="rId43" Type="http://schemas.openxmlformats.org/officeDocument/2006/relationships/hyperlink" Target="mailto:henehan@gfz-potsdam.de" TargetMode="External"/><Relationship Id="rId48" Type="http://schemas.openxmlformats.org/officeDocument/2006/relationships/hyperlink" Target="mailto:henehan@gfz-potsdam.de" TargetMode="External"/><Relationship Id="rId56" Type="http://schemas.openxmlformats.org/officeDocument/2006/relationships/hyperlink" Target="mailto:henehan@gfz-potsdam.de" TargetMode="External"/><Relationship Id="rId64" Type="http://schemas.openxmlformats.org/officeDocument/2006/relationships/hyperlink" Target="mailto:henehan@gfz-potsdam.de" TargetMode="External"/><Relationship Id="rId69" Type="http://schemas.openxmlformats.org/officeDocument/2006/relationships/hyperlink" Target="mailto:henehan@gfz-potsdam.de" TargetMode="External"/><Relationship Id="rId77" Type="http://schemas.openxmlformats.org/officeDocument/2006/relationships/hyperlink" Target="mailto:henehan@gfz-potsdam.de" TargetMode="External"/><Relationship Id="rId8" Type="http://schemas.openxmlformats.org/officeDocument/2006/relationships/hyperlink" Target="mailto:henehan@gfz-potsdam.de" TargetMode="External"/><Relationship Id="rId51" Type="http://schemas.openxmlformats.org/officeDocument/2006/relationships/hyperlink" Target="mailto:henehan@gfz-potsdam.de" TargetMode="External"/><Relationship Id="rId72" Type="http://schemas.openxmlformats.org/officeDocument/2006/relationships/hyperlink" Target="mailto:henehan@gfz-potsdam.de" TargetMode="External"/><Relationship Id="rId80" Type="http://schemas.openxmlformats.org/officeDocument/2006/relationships/hyperlink" Target="mailto:henehan@gfz-potsdam.de" TargetMode="External"/><Relationship Id="rId85" Type="http://schemas.openxmlformats.org/officeDocument/2006/relationships/hyperlink" Target="mailto:henehan@gfz-potsdam.de" TargetMode="External"/><Relationship Id="rId3" Type="http://schemas.openxmlformats.org/officeDocument/2006/relationships/hyperlink" Target="mailto:henehan@gfz-potsdam.de" TargetMode="External"/><Relationship Id="rId12" Type="http://schemas.openxmlformats.org/officeDocument/2006/relationships/hyperlink" Target="mailto:henehan@gfz-potsdam.de" TargetMode="External"/><Relationship Id="rId17" Type="http://schemas.openxmlformats.org/officeDocument/2006/relationships/hyperlink" Target="mailto:henehan@gfz-potsdam.de" TargetMode="External"/><Relationship Id="rId25" Type="http://schemas.openxmlformats.org/officeDocument/2006/relationships/hyperlink" Target="mailto:henehan@gfz-potsdam.de" TargetMode="External"/><Relationship Id="rId33" Type="http://schemas.openxmlformats.org/officeDocument/2006/relationships/hyperlink" Target="mailto:henehan@gfz-potsdam.de" TargetMode="External"/><Relationship Id="rId38" Type="http://schemas.openxmlformats.org/officeDocument/2006/relationships/hyperlink" Target="mailto:henehan@gfz-potsdam.de" TargetMode="External"/><Relationship Id="rId46" Type="http://schemas.openxmlformats.org/officeDocument/2006/relationships/hyperlink" Target="mailto:henehan@gfz-potsdam.de" TargetMode="External"/><Relationship Id="rId59" Type="http://schemas.openxmlformats.org/officeDocument/2006/relationships/hyperlink" Target="mailto:henehan@gfz-potsdam.de" TargetMode="External"/><Relationship Id="rId67" Type="http://schemas.openxmlformats.org/officeDocument/2006/relationships/hyperlink" Target="mailto:henehan@gfz-potsdam.de" TargetMode="External"/><Relationship Id="rId20" Type="http://schemas.openxmlformats.org/officeDocument/2006/relationships/hyperlink" Target="mailto:henehan@gfz-potsdam.de" TargetMode="External"/><Relationship Id="rId41" Type="http://schemas.openxmlformats.org/officeDocument/2006/relationships/hyperlink" Target="mailto:henehan@gfz-potsdam.de" TargetMode="External"/><Relationship Id="rId54" Type="http://schemas.openxmlformats.org/officeDocument/2006/relationships/hyperlink" Target="mailto:henehan@gfz-potsdam.de" TargetMode="External"/><Relationship Id="rId62" Type="http://schemas.openxmlformats.org/officeDocument/2006/relationships/hyperlink" Target="mailto:henehan@gfz-potsdam.de" TargetMode="External"/><Relationship Id="rId70" Type="http://schemas.openxmlformats.org/officeDocument/2006/relationships/hyperlink" Target="mailto:henehan@gfz-potsdam.de" TargetMode="External"/><Relationship Id="rId75" Type="http://schemas.openxmlformats.org/officeDocument/2006/relationships/hyperlink" Target="mailto:henehan@gfz-potsdam.de" TargetMode="External"/><Relationship Id="rId83" Type="http://schemas.openxmlformats.org/officeDocument/2006/relationships/hyperlink" Target="mailto:henehan@gfz-potsdam.de" TargetMode="External"/><Relationship Id="rId88" Type="http://schemas.openxmlformats.org/officeDocument/2006/relationships/hyperlink" Target="mailto:henehan@gfz-potsdam.de" TargetMode="External"/><Relationship Id="rId1" Type="http://schemas.openxmlformats.org/officeDocument/2006/relationships/hyperlink" Target="mailto:henehan@gfz-potsdam.de" TargetMode="External"/><Relationship Id="rId6" Type="http://schemas.openxmlformats.org/officeDocument/2006/relationships/hyperlink" Target="mailto:henehan@gfz-potsdam.de" TargetMode="External"/><Relationship Id="rId15" Type="http://schemas.openxmlformats.org/officeDocument/2006/relationships/hyperlink" Target="mailto:henehan@gfz-potsdam.de" TargetMode="External"/><Relationship Id="rId23" Type="http://schemas.openxmlformats.org/officeDocument/2006/relationships/hyperlink" Target="mailto:henehan@gfz-potsdam.de" TargetMode="External"/><Relationship Id="rId28" Type="http://schemas.openxmlformats.org/officeDocument/2006/relationships/hyperlink" Target="mailto:henehan@gfz-potsdam.de" TargetMode="External"/><Relationship Id="rId36" Type="http://schemas.openxmlformats.org/officeDocument/2006/relationships/hyperlink" Target="mailto:henehan@gfz-potsdam.de" TargetMode="External"/><Relationship Id="rId49" Type="http://schemas.openxmlformats.org/officeDocument/2006/relationships/hyperlink" Target="mailto:henehan@gfz-potsdam.de" TargetMode="External"/><Relationship Id="rId57" Type="http://schemas.openxmlformats.org/officeDocument/2006/relationships/hyperlink" Target="mailto:henehan@gfz-potsdam.de" TargetMode="External"/><Relationship Id="rId10" Type="http://schemas.openxmlformats.org/officeDocument/2006/relationships/hyperlink" Target="mailto:henehan@gfz-potsdam.de" TargetMode="External"/><Relationship Id="rId31" Type="http://schemas.openxmlformats.org/officeDocument/2006/relationships/hyperlink" Target="mailto:henehan@gfz-potsdam.de" TargetMode="External"/><Relationship Id="rId44" Type="http://schemas.openxmlformats.org/officeDocument/2006/relationships/hyperlink" Target="mailto:henehan@gfz-potsdam.de" TargetMode="External"/><Relationship Id="rId52" Type="http://schemas.openxmlformats.org/officeDocument/2006/relationships/hyperlink" Target="mailto:henehan@gfz-potsdam.de" TargetMode="External"/><Relationship Id="rId60" Type="http://schemas.openxmlformats.org/officeDocument/2006/relationships/hyperlink" Target="mailto:henehan@gfz-potsdam.de" TargetMode="External"/><Relationship Id="rId65" Type="http://schemas.openxmlformats.org/officeDocument/2006/relationships/hyperlink" Target="mailto:henehan@gfz-potsdam.de" TargetMode="External"/><Relationship Id="rId73" Type="http://schemas.openxmlformats.org/officeDocument/2006/relationships/hyperlink" Target="mailto:henehan@gfz-potsdam.de" TargetMode="External"/><Relationship Id="rId78" Type="http://schemas.openxmlformats.org/officeDocument/2006/relationships/hyperlink" Target="mailto:henehan@gfz-potsdam.de" TargetMode="External"/><Relationship Id="rId81" Type="http://schemas.openxmlformats.org/officeDocument/2006/relationships/hyperlink" Target="mailto:henehan@gfz-potsdam.de" TargetMode="External"/><Relationship Id="rId86" Type="http://schemas.openxmlformats.org/officeDocument/2006/relationships/hyperlink" Target="mailto:henehan@gfz-potsdam.de" TargetMode="External"/><Relationship Id="rId4" Type="http://schemas.openxmlformats.org/officeDocument/2006/relationships/hyperlink" Target="mailto:henehan@gfz-potsdam.de" TargetMode="External"/><Relationship Id="rId9" Type="http://schemas.openxmlformats.org/officeDocument/2006/relationships/hyperlink" Target="mailto:henehan@gfz-potsdam.de" TargetMode="External"/><Relationship Id="rId13" Type="http://schemas.openxmlformats.org/officeDocument/2006/relationships/hyperlink" Target="mailto:henehan@gfz-potsdam.de" TargetMode="External"/><Relationship Id="rId18" Type="http://schemas.openxmlformats.org/officeDocument/2006/relationships/hyperlink" Target="mailto:henehan@gfz-potsdam.de" TargetMode="External"/><Relationship Id="rId39" Type="http://schemas.openxmlformats.org/officeDocument/2006/relationships/hyperlink" Target="mailto:henehan@gfz-potsdam.de" TargetMode="External"/><Relationship Id="rId34" Type="http://schemas.openxmlformats.org/officeDocument/2006/relationships/hyperlink" Target="mailto:henehan@gfz-potsdam.de" TargetMode="External"/><Relationship Id="rId50" Type="http://schemas.openxmlformats.org/officeDocument/2006/relationships/hyperlink" Target="mailto:henehan@gfz-potsdam.de" TargetMode="External"/><Relationship Id="rId55" Type="http://schemas.openxmlformats.org/officeDocument/2006/relationships/hyperlink" Target="mailto:henehan@gfz-potsdam.de" TargetMode="External"/><Relationship Id="rId76" Type="http://schemas.openxmlformats.org/officeDocument/2006/relationships/hyperlink" Target="mailto:henehan@gfz-potsdam.de" TargetMode="External"/><Relationship Id="rId7" Type="http://schemas.openxmlformats.org/officeDocument/2006/relationships/hyperlink" Target="mailto:henehan@gfz-potsdam.de" TargetMode="External"/><Relationship Id="rId71" Type="http://schemas.openxmlformats.org/officeDocument/2006/relationships/hyperlink" Target="mailto:henehan@gfz-potsdam.de" TargetMode="External"/><Relationship Id="rId2" Type="http://schemas.openxmlformats.org/officeDocument/2006/relationships/hyperlink" Target="mailto:henehan@gfz-potsdam.de" TargetMode="External"/><Relationship Id="rId29" Type="http://schemas.openxmlformats.org/officeDocument/2006/relationships/hyperlink" Target="mailto:henehan@gfz-potsdam.de" TargetMode="External"/><Relationship Id="rId24" Type="http://schemas.openxmlformats.org/officeDocument/2006/relationships/hyperlink" Target="mailto:henehan@gfz-potsdam.de" TargetMode="External"/><Relationship Id="rId40" Type="http://schemas.openxmlformats.org/officeDocument/2006/relationships/hyperlink" Target="mailto:henehan@gfz-potsdam.de" TargetMode="External"/><Relationship Id="rId45" Type="http://schemas.openxmlformats.org/officeDocument/2006/relationships/hyperlink" Target="mailto:henehan@gfz-potsdam.de" TargetMode="External"/><Relationship Id="rId66" Type="http://schemas.openxmlformats.org/officeDocument/2006/relationships/hyperlink" Target="mailto:henehan@gfz-potsdam.de" TargetMode="External"/><Relationship Id="rId87" Type="http://schemas.openxmlformats.org/officeDocument/2006/relationships/hyperlink" Target="mailto:henehan@gfz-potsdam.de" TargetMode="External"/><Relationship Id="rId61" Type="http://schemas.openxmlformats.org/officeDocument/2006/relationships/hyperlink" Target="mailto:henehan@gfz-potsdam.de" TargetMode="External"/><Relationship Id="rId82" Type="http://schemas.openxmlformats.org/officeDocument/2006/relationships/hyperlink" Target="mailto:henehan@gfz-potsdam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1048575"/>
  <sheetViews>
    <sheetView tabSelected="1" topLeftCell="I1" workbookViewId="0">
      <selection activeCell="I55" sqref="I55"/>
    </sheetView>
  </sheetViews>
  <sheetFormatPr baseColWidth="10" defaultColWidth="11" defaultRowHeight="16"/>
  <cols>
    <col min="1" max="1" width="14.1640625" customWidth="1"/>
    <col min="6" max="6" width="14.6640625" customWidth="1"/>
    <col min="7" max="7" width="15.5" customWidth="1"/>
    <col min="11" max="11" width="14.1640625" customWidth="1"/>
    <col min="12" max="12" width="25.6640625" customWidth="1"/>
    <col min="13" max="13" width="16" style="1" customWidth="1"/>
    <col min="14" max="14" width="22.33203125" customWidth="1"/>
    <col min="24" max="24" width="23" customWidth="1"/>
    <col min="34" max="34" width="13.33203125" customWidth="1"/>
    <col min="35" max="36" width="14.33203125" customWidth="1"/>
    <col min="38" max="38" width="16.33203125" customWidth="1"/>
    <col min="39" max="39" width="13.5" customWidth="1"/>
    <col min="47" max="47" width="13.5" customWidth="1"/>
    <col min="48" max="48" width="13.83203125" customWidth="1"/>
    <col min="49" max="49" width="14.1640625" customWidth="1"/>
    <col min="50" max="50" width="16.6640625" customWidth="1"/>
    <col min="52" max="52" width="12.83203125" customWidth="1"/>
    <col min="54" max="54" width="16.33203125" customWidth="1"/>
    <col min="55" max="55" width="12.83203125" customWidth="1"/>
    <col min="56" max="56" width="13.33203125" customWidth="1"/>
    <col min="57" max="57" width="14.33203125" customWidth="1"/>
    <col min="58" max="58" width="14.5" customWidth="1"/>
    <col min="59" max="59" width="16.5" customWidth="1"/>
    <col min="61" max="61" width="14.5" customWidth="1"/>
    <col min="62" max="62" width="14.1640625" customWidth="1"/>
    <col min="64" max="64" width="14" customWidth="1"/>
    <col min="65" max="65" width="13.83203125" customWidth="1"/>
    <col min="66" max="66" width="13.1640625" customWidth="1"/>
    <col min="69" max="69" width="13.6640625" customWidth="1"/>
    <col min="70" max="70" width="12.83203125" customWidth="1"/>
    <col min="71" max="71" width="14.83203125" customWidth="1"/>
    <col min="72" max="72" width="13.1640625" customWidth="1"/>
    <col min="74" max="74" width="15.1640625" customWidth="1"/>
    <col min="75" max="75" width="15.83203125" customWidth="1"/>
    <col min="76" max="76" width="15.6640625" customWidth="1"/>
    <col min="77" max="77" width="16.6640625" customWidth="1"/>
    <col min="78" max="79" width="14.5" customWidth="1"/>
    <col min="81" max="81" width="15.83203125" customWidth="1"/>
    <col min="82" max="82" width="15.6640625" customWidth="1"/>
    <col min="83" max="84" width="16" customWidth="1"/>
    <col min="85" max="85" width="19" customWidth="1"/>
    <col min="86" max="86" width="14" customWidth="1"/>
    <col min="90" max="90" width="15" customWidth="1"/>
    <col min="91" max="91" width="12.6640625" customWidth="1"/>
    <col min="95" max="95" width="12.83203125" customWidth="1"/>
    <col min="102" max="102" width="13.1640625" customWidth="1"/>
    <col min="103" max="103" width="13.83203125" customWidth="1"/>
    <col min="116" max="116" width="14.5" customWidth="1"/>
    <col min="117" max="117" width="13.83203125" customWidth="1"/>
    <col min="118" max="118" width="15" customWidth="1"/>
    <col min="120" max="121" width="15.33203125" customWidth="1"/>
    <col min="123" max="123" width="14.1640625" customWidth="1"/>
    <col min="126" max="126" width="14.33203125" customWidth="1"/>
    <col min="127" max="128" width="13.83203125" customWidth="1"/>
    <col min="129" max="129" width="15.1640625" customWidth="1"/>
    <col min="130" max="130" width="14.6640625" customWidth="1"/>
    <col min="131" max="131" width="15" customWidth="1"/>
    <col min="132" max="132" width="13.33203125" customWidth="1"/>
    <col min="136" max="136" width="14.83203125" customWidth="1"/>
    <col min="137" max="137" width="14.6640625" customWidth="1"/>
    <col min="138" max="138" width="13.83203125" customWidth="1"/>
    <col min="139" max="139" width="15" customWidth="1"/>
    <col min="140" max="140" width="14.33203125" customWidth="1"/>
    <col min="142" max="142" width="15.33203125" customWidth="1"/>
    <col min="143" max="144" width="15" customWidth="1"/>
    <col min="145" max="145" width="14.83203125" customWidth="1"/>
    <col min="146" max="147" width="14.6640625" customWidth="1"/>
    <col min="148" max="148" width="15.1640625" customWidth="1"/>
    <col min="151" max="151" width="14.33203125" customWidth="1"/>
    <col min="152" max="152" width="15" customWidth="1"/>
    <col min="154" max="154" width="15.5" customWidth="1"/>
    <col min="155" max="155" width="15.1640625" customWidth="1"/>
    <col min="156" max="156" width="15.33203125" customWidth="1"/>
    <col min="157" max="158" width="13.83203125" customWidth="1"/>
    <col min="159" max="159" width="14.6640625" customWidth="1"/>
    <col min="160" max="160" width="17" customWidth="1"/>
    <col min="161" max="161" width="13.1640625" customWidth="1"/>
    <col min="162" max="163" width="14" customWidth="1"/>
    <col min="164" max="164" width="13.6640625" customWidth="1"/>
    <col min="167" max="168" width="13.1640625" customWidth="1"/>
    <col min="169" max="169" width="13.83203125" customWidth="1"/>
    <col min="170" max="171" width="16" customWidth="1"/>
    <col min="172" max="172" width="15.5" customWidth="1"/>
    <col min="173" max="173" width="20.5" customWidth="1"/>
  </cols>
  <sheetData>
    <row r="1" spans="1:191" ht="18">
      <c r="A1" s="109" t="s">
        <v>124</v>
      </c>
      <c r="B1" s="110"/>
      <c r="C1" s="110"/>
      <c r="D1" s="110"/>
      <c r="E1" s="110"/>
      <c r="F1" s="110"/>
      <c r="G1" s="110"/>
      <c r="H1" s="110"/>
      <c r="I1" s="110"/>
      <c r="J1" s="111"/>
      <c r="K1" s="3" t="s">
        <v>1</v>
      </c>
      <c r="L1" s="4"/>
      <c r="M1" s="5"/>
      <c r="N1" s="6"/>
      <c r="O1" s="7" t="s">
        <v>2</v>
      </c>
      <c r="P1" s="8"/>
      <c r="Q1" s="8"/>
      <c r="R1" s="8"/>
      <c r="S1" s="8"/>
      <c r="T1" s="8"/>
      <c r="U1" s="9"/>
      <c r="V1" s="131"/>
      <c r="W1" s="9"/>
      <c r="X1" s="8"/>
      <c r="Y1" s="8"/>
      <c r="Z1" s="8"/>
      <c r="AA1" s="8"/>
      <c r="AB1" s="8"/>
      <c r="AC1" s="8"/>
      <c r="AD1" s="8"/>
      <c r="AE1" s="8"/>
      <c r="AF1" s="8"/>
      <c r="AG1" s="10" t="s">
        <v>3</v>
      </c>
      <c r="AH1" s="11"/>
      <c r="AI1" s="12"/>
      <c r="AJ1" s="12"/>
      <c r="AK1" s="13"/>
      <c r="AL1" s="13"/>
      <c r="AM1" s="13"/>
      <c r="AN1" s="14"/>
      <c r="AO1" s="13"/>
      <c r="AP1" s="13"/>
      <c r="AQ1" s="13"/>
      <c r="AR1" s="13"/>
      <c r="AS1" s="13"/>
      <c r="AT1" s="13"/>
      <c r="AU1" s="15" t="s">
        <v>4</v>
      </c>
      <c r="AV1" s="16"/>
      <c r="AW1" s="16"/>
      <c r="AX1" s="16"/>
      <c r="AY1" s="16"/>
      <c r="AZ1" s="16"/>
      <c r="BA1" s="16"/>
      <c r="BB1" s="17"/>
      <c r="BC1" s="18"/>
      <c r="BD1" s="18"/>
      <c r="BE1" s="18"/>
      <c r="BF1" s="19"/>
      <c r="BG1" s="20"/>
      <c r="BH1" s="21" t="s">
        <v>5</v>
      </c>
      <c r="BI1" s="22"/>
      <c r="BJ1" s="22"/>
      <c r="BK1" s="22"/>
      <c r="BL1" s="22"/>
      <c r="BM1" s="22"/>
      <c r="BN1" s="22"/>
      <c r="BO1" s="23"/>
      <c r="BP1" s="24" t="s">
        <v>6</v>
      </c>
      <c r="BQ1" s="24"/>
      <c r="BR1" s="25"/>
      <c r="BS1" s="25"/>
      <c r="BT1" s="25"/>
      <c r="BU1" s="26" t="s">
        <v>7</v>
      </c>
      <c r="BV1" s="27"/>
      <c r="BW1" s="27"/>
      <c r="BX1" s="26"/>
      <c r="BY1" s="29"/>
      <c r="BZ1" s="29"/>
      <c r="CA1" s="30"/>
      <c r="CB1" s="29" t="s">
        <v>8</v>
      </c>
      <c r="CC1" s="31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6" t="s">
        <v>9</v>
      </c>
      <c r="CO1" s="29"/>
      <c r="CP1" s="29"/>
      <c r="CQ1" s="29"/>
      <c r="CR1" s="29"/>
      <c r="CS1" s="29"/>
      <c r="CT1" s="30"/>
      <c r="CU1" s="27" t="s">
        <v>10</v>
      </c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32"/>
      <c r="DP1" s="29"/>
      <c r="DQ1" s="29"/>
      <c r="DR1" s="30"/>
      <c r="DS1" s="27"/>
      <c r="DT1" s="27"/>
      <c r="DU1" s="33" t="s">
        <v>11</v>
      </c>
      <c r="DV1" s="27"/>
      <c r="DW1" s="27"/>
      <c r="DX1" s="27"/>
      <c r="DY1" s="27"/>
      <c r="DZ1" s="28"/>
      <c r="EA1" s="33" t="s">
        <v>12</v>
      </c>
      <c r="EB1" s="27"/>
      <c r="EC1" s="27"/>
      <c r="ED1" s="27"/>
      <c r="EE1" s="27"/>
      <c r="EF1" s="34"/>
      <c r="EG1" s="62"/>
      <c r="EH1" s="35" t="s">
        <v>13</v>
      </c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6" t="s">
        <v>14</v>
      </c>
      <c r="ET1" s="37"/>
      <c r="EU1" s="37"/>
      <c r="EV1" s="37"/>
      <c r="EW1" s="38"/>
      <c r="EX1" s="38"/>
      <c r="EY1" s="38"/>
      <c r="EZ1" s="38"/>
      <c r="FA1" s="37"/>
      <c r="FB1" s="37"/>
      <c r="FC1" s="37"/>
      <c r="FD1" s="37"/>
      <c r="FE1" s="36"/>
      <c r="FF1" s="37"/>
      <c r="FG1" s="37"/>
      <c r="FH1" s="37"/>
      <c r="FI1" s="37"/>
      <c r="FJ1" s="37"/>
      <c r="FK1" s="8"/>
      <c r="FL1" s="8"/>
      <c r="FM1" s="8"/>
      <c r="FN1" s="8"/>
      <c r="FO1" s="8"/>
      <c r="FP1" s="8"/>
      <c r="FQ1" s="39"/>
    </row>
    <row r="2" spans="1:191" ht="20">
      <c r="A2" s="112"/>
      <c r="B2" s="41"/>
      <c r="C2" s="41"/>
      <c r="D2" s="41"/>
      <c r="E2" s="41"/>
      <c r="F2" s="41"/>
      <c r="G2" s="41"/>
      <c r="H2" s="41"/>
      <c r="I2" s="41"/>
      <c r="J2" s="43"/>
      <c r="K2" s="40"/>
      <c r="L2" s="41"/>
      <c r="M2" s="42"/>
      <c r="N2" s="43"/>
      <c r="O2" s="44"/>
      <c r="P2" s="44"/>
      <c r="Q2" s="44"/>
      <c r="R2" s="44"/>
      <c r="S2" s="44"/>
      <c r="T2" s="44"/>
      <c r="U2" s="45"/>
      <c r="V2" s="131"/>
      <c r="W2" s="45"/>
      <c r="X2" s="44"/>
      <c r="Y2" s="44"/>
      <c r="Z2" s="44"/>
      <c r="AA2" s="44"/>
      <c r="AB2" s="44"/>
      <c r="AC2" s="44"/>
      <c r="AD2" s="44"/>
      <c r="AE2" s="44"/>
      <c r="AF2" s="44"/>
      <c r="AG2" s="46"/>
      <c r="AH2" s="11"/>
      <c r="AI2" s="12"/>
      <c r="AJ2" s="12"/>
      <c r="AK2" s="13"/>
      <c r="AL2" s="13"/>
      <c r="AM2" s="13"/>
      <c r="AN2" s="14" t="s">
        <v>15</v>
      </c>
      <c r="AO2" s="13"/>
      <c r="AP2" s="13"/>
      <c r="AQ2" s="13"/>
      <c r="AR2" s="13"/>
      <c r="AS2" s="13"/>
      <c r="AT2" s="13"/>
      <c r="AU2" s="17"/>
      <c r="AV2" s="18"/>
      <c r="AW2" s="16"/>
      <c r="AX2" s="16"/>
      <c r="AY2" s="16"/>
      <c r="AZ2" s="16"/>
      <c r="BA2" s="18"/>
      <c r="BB2" s="47" t="s">
        <v>16</v>
      </c>
      <c r="BC2" s="129"/>
      <c r="BD2" s="129"/>
      <c r="BE2" s="18"/>
      <c r="BF2" s="19"/>
      <c r="BG2" s="20"/>
      <c r="BH2" s="48" t="s">
        <v>17</v>
      </c>
      <c r="BI2" s="49"/>
      <c r="BJ2" s="49"/>
      <c r="BK2" s="50" t="s">
        <v>18</v>
      </c>
      <c r="BL2" s="51"/>
      <c r="BM2" s="52"/>
      <c r="BN2" s="52"/>
      <c r="BO2" s="53"/>
      <c r="BP2" s="54"/>
      <c r="BQ2" s="54"/>
      <c r="BR2" s="22"/>
      <c r="BS2" s="22"/>
      <c r="BT2" s="22"/>
      <c r="BU2" s="55" t="s">
        <v>19</v>
      </c>
      <c r="BV2" s="56"/>
      <c r="BW2" s="56"/>
      <c r="BX2" s="26" t="s">
        <v>20</v>
      </c>
      <c r="BY2" s="29"/>
      <c r="BZ2" s="29"/>
      <c r="CA2" s="30"/>
      <c r="CB2" s="120" t="s">
        <v>21</v>
      </c>
      <c r="CC2" s="58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26" t="s">
        <v>22</v>
      </c>
      <c r="CO2" s="31"/>
      <c r="CP2" s="29"/>
      <c r="CQ2" s="29"/>
      <c r="CR2" s="29"/>
      <c r="CS2" s="29"/>
      <c r="CT2" s="30"/>
      <c r="CU2" s="56" t="s">
        <v>23</v>
      </c>
      <c r="CV2" s="56"/>
      <c r="CW2" s="56"/>
      <c r="CX2" s="56"/>
      <c r="CY2" s="59" t="s">
        <v>24</v>
      </c>
      <c r="CZ2" s="60"/>
      <c r="DA2" s="60"/>
      <c r="DB2" s="61"/>
      <c r="DC2" s="59" t="s">
        <v>25</v>
      </c>
      <c r="DD2" s="34"/>
      <c r="DE2" s="34"/>
      <c r="DF2" s="62"/>
      <c r="DG2" s="63" t="s">
        <v>26</v>
      </c>
      <c r="DH2" s="34"/>
      <c r="DI2" s="34"/>
      <c r="DJ2" s="62"/>
      <c r="DK2" s="64" t="s">
        <v>27</v>
      </c>
      <c r="DL2" s="65"/>
      <c r="DM2" s="56"/>
      <c r="DN2" s="56"/>
      <c r="DO2" s="66" t="s">
        <v>28</v>
      </c>
      <c r="DP2" s="57"/>
      <c r="DQ2" s="57"/>
      <c r="DR2" s="67"/>
      <c r="DS2" s="56" t="s">
        <v>29</v>
      </c>
      <c r="DT2" s="56"/>
      <c r="DU2" s="68" t="s">
        <v>30</v>
      </c>
      <c r="DV2" s="69"/>
      <c r="DW2" s="69"/>
      <c r="DX2" s="69"/>
      <c r="DY2" s="56"/>
      <c r="DZ2" s="56"/>
      <c r="EA2" s="70"/>
      <c r="EB2" s="56"/>
      <c r="EC2" s="56"/>
      <c r="ED2" s="56"/>
      <c r="EE2" s="34"/>
      <c r="EF2" s="55" t="s">
        <v>31</v>
      </c>
      <c r="EG2" s="28"/>
      <c r="EH2" s="35"/>
      <c r="EI2" s="35"/>
      <c r="EJ2" s="35"/>
      <c r="EK2" s="71"/>
      <c r="EL2" s="71"/>
      <c r="EM2" s="71"/>
      <c r="EN2" s="71"/>
      <c r="EO2" s="72"/>
      <c r="EP2" s="72"/>
      <c r="EQ2" s="72"/>
      <c r="ER2" s="72"/>
      <c r="ES2" s="73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7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74"/>
    </row>
    <row r="3" spans="1:191" ht="238">
      <c r="A3" s="113" t="s">
        <v>125</v>
      </c>
      <c r="B3" s="114" t="s">
        <v>126</v>
      </c>
      <c r="C3" s="114" t="s">
        <v>127</v>
      </c>
      <c r="D3" s="4" t="s">
        <v>128</v>
      </c>
      <c r="E3" s="4" t="s">
        <v>129</v>
      </c>
      <c r="F3" s="115" t="s">
        <v>130</v>
      </c>
      <c r="G3" s="115" t="s">
        <v>131</v>
      </c>
      <c r="H3" s="114" t="s">
        <v>316</v>
      </c>
      <c r="I3" s="115" t="s">
        <v>193</v>
      </c>
      <c r="J3" s="116" t="s">
        <v>315</v>
      </c>
      <c r="K3" s="75" t="s">
        <v>32</v>
      </c>
      <c r="L3" s="76" t="s">
        <v>33</v>
      </c>
      <c r="M3" s="76" t="s">
        <v>34</v>
      </c>
      <c r="N3" s="77" t="s">
        <v>35</v>
      </c>
      <c r="O3" s="78" t="s">
        <v>36</v>
      </c>
      <c r="P3" s="78" t="s">
        <v>37</v>
      </c>
      <c r="Q3" s="78" t="s">
        <v>38</v>
      </c>
      <c r="R3" s="78" t="s">
        <v>39</v>
      </c>
      <c r="S3" s="78" t="s">
        <v>40</v>
      </c>
      <c r="T3" s="78" t="s">
        <v>41</v>
      </c>
      <c r="U3" s="78" t="s">
        <v>42</v>
      </c>
      <c r="V3" s="106" t="s">
        <v>43</v>
      </c>
      <c r="W3" s="78" t="s">
        <v>44</v>
      </c>
      <c r="X3" s="78" t="s">
        <v>45</v>
      </c>
      <c r="Y3" s="78" t="s">
        <v>46</v>
      </c>
      <c r="Z3" s="78" t="s">
        <v>47</v>
      </c>
      <c r="AA3" s="78" t="s">
        <v>48</v>
      </c>
      <c r="AB3" s="78" t="s">
        <v>49</v>
      </c>
      <c r="AC3" s="78" t="s">
        <v>50</v>
      </c>
      <c r="AD3" s="78" t="s">
        <v>51</v>
      </c>
      <c r="AE3" s="78" t="s">
        <v>52</v>
      </c>
      <c r="AF3" s="78" t="s">
        <v>53</v>
      </c>
      <c r="AG3" s="79" t="s">
        <v>136</v>
      </c>
      <c r="AH3" s="80" t="s">
        <v>54</v>
      </c>
      <c r="AI3" s="118" t="s">
        <v>137</v>
      </c>
      <c r="AJ3" s="118" t="s">
        <v>138</v>
      </c>
      <c r="AK3" s="81" t="s">
        <v>56</v>
      </c>
      <c r="AL3" s="81" t="s">
        <v>57</v>
      </c>
      <c r="AM3" s="82" t="s">
        <v>58</v>
      </c>
      <c r="AN3" s="79" t="s">
        <v>136</v>
      </c>
      <c r="AO3" s="80" t="s">
        <v>54</v>
      </c>
      <c r="AP3" s="118" t="s">
        <v>137</v>
      </c>
      <c r="AQ3" s="118" t="s">
        <v>138</v>
      </c>
      <c r="AR3" s="81" t="s">
        <v>56</v>
      </c>
      <c r="AS3" s="81" t="s">
        <v>57</v>
      </c>
      <c r="AT3" s="81" t="s">
        <v>58</v>
      </c>
      <c r="AU3" s="83" t="s">
        <v>59</v>
      </c>
      <c r="AV3" s="84" t="s">
        <v>60</v>
      </c>
      <c r="AW3" s="84" t="s">
        <v>61</v>
      </c>
      <c r="AX3" s="84" t="s">
        <v>62</v>
      </c>
      <c r="AY3" s="84" t="s">
        <v>63</v>
      </c>
      <c r="AZ3" s="84" t="s">
        <v>64</v>
      </c>
      <c r="BA3" s="84" t="s">
        <v>65</v>
      </c>
      <c r="BB3" s="117" t="s">
        <v>132</v>
      </c>
      <c r="BC3" s="130" t="s">
        <v>154</v>
      </c>
      <c r="BD3" s="130" t="s">
        <v>155</v>
      </c>
      <c r="BE3" s="85" t="s">
        <v>66</v>
      </c>
      <c r="BF3" s="86" t="s">
        <v>67</v>
      </c>
      <c r="BG3" s="86" t="s">
        <v>68</v>
      </c>
      <c r="BH3" s="87" t="s">
        <v>69</v>
      </c>
      <c r="BI3" s="88" t="s">
        <v>70</v>
      </c>
      <c r="BJ3" s="89" t="s">
        <v>71</v>
      </c>
      <c r="BK3" s="90" t="s">
        <v>72</v>
      </c>
      <c r="BL3" s="91" t="s">
        <v>70</v>
      </c>
      <c r="BM3" s="92" t="s">
        <v>71</v>
      </c>
      <c r="BN3" s="52" t="s">
        <v>73</v>
      </c>
      <c r="BO3" s="53" t="s">
        <v>74</v>
      </c>
      <c r="BP3" s="92" t="s">
        <v>75</v>
      </c>
      <c r="BQ3" s="88" t="s">
        <v>70</v>
      </c>
      <c r="BR3" s="89" t="s">
        <v>71</v>
      </c>
      <c r="BS3" s="52" t="s">
        <v>192</v>
      </c>
      <c r="BT3" s="52" t="s">
        <v>76</v>
      </c>
      <c r="BU3" s="93" t="s">
        <v>77</v>
      </c>
      <c r="BV3" s="94" t="s">
        <v>54</v>
      </c>
      <c r="BW3" s="94" t="s">
        <v>55</v>
      </c>
      <c r="BX3" s="93" t="s">
        <v>78</v>
      </c>
      <c r="BY3" s="94" t="s">
        <v>54</v>
      </c>
      <c r="BZ3" s="119" t="s">
        <v>139</v>
      </c>
      <c r="CA3" s="121" t="s">
        <v>140</v>
      </c>
      <c r="CB3" s="96" t="s">
        <v>133</v>
      </c>
      <c r="CC3" s="95" t="s">
        <v>79</v>
      </c>
      <c r="CD3" s="94" t="s">
        <v>54</v>
      </c>
      <c r="CE3" s="119" t="s">
        <v>141</v>
      </c>
      <c r="CF3" s="121" t="s">
        <v>142</v>
      </c>
      <c r="CG3" s="96" t="s">
        <v>80</v>
      </c>
      <c r="CH3" s="96" t="s">
        <v>81</v>
      </c>
      <c r="CI3" s="96" t="s">
        <v>189</v>
      </c>
      <c r="CJ3" s="96" t="s">
        <v>190</v>
      </c>
      <c r="CK3" s="96" t="s">
        <v>82</v>
      </c>
      <c r="CL3" s="96" t="s">
        <v>83</v>
      </c>
      <c r="CM3" s="96" t="s">
        <v>84</v>
      </c>
      <c r="CN3" s="97" t="s">
        <v>134</v>
      </c>
      <c r="CO3" s="95" t="s">
        <v>85</v>
      </c>
      <c r="CP3" s="94" t="s">
        <v>54</v>
      </c>
      <c r="CQ3" s="94" t="s">
        <v>55</v>
      </c>
      <c r="CR3" s="96" t="s">
        <v>86</v>
      </c>
      <c r="CS3" s="96" t="s">
        <v>81</v>
      </c>
      <c r="CT3" s="96" t="s">
        <v>87</v>
      </c>
      <c r="CU3" s="93" t="s">
        <v>88</v>
      </c>
      <c r="CV3" s="94" t="s">
        <v>54</v>
      </c>
      <c r="CW3" s="94" t="s">
        <v>147</v>
      </c>
      <c r="CX3" s="98" t="s">
        <v>89</v>
      </c>
      <c r="CY3" s="95" t="s">
        <v>143</v>
      </c>
      <c r="CZ3" s="94" t="s">
        <v>54</v>
      </c>
      <c r="DA3" s="94" t="s">
        <v>147</v>
      </c>
      <c r="DB3" s="98" t="s">
        <v>90</v>
      </c>
      <c r="DC3" s="95" t="s">
        <v>144</v>
      </c>
      <c r="DD3" s="94" t="s">
        <v>54</v>
      </c>
      <c r="DE3" s="94" t="s">
        <v>147</v>
      </c>
      <c r="DF3" s="98" t="s">
        <v>91</v>
      </c>
      <c r="DG3" s="95" t="s">
        <v>145</v>
      </c>
      <c r="DH3" s="94" t="s">
        <v>54</v>
      </c>
      <c r="DI3" s="94" t="s">
        <v>147</v>
      </c>
      <c r="DJ3" s="98" t="s">
        <v>92</v>
      </c>
      <c r="DK3" s="95" t="s">
        <v>146</v>
      </c>
      <c r="DL3" s="94" t="s">
        <v>54</v>
      </c>
      <c r="DM3" s="94" t="s">
        <v>147</v>
      </c>
      <c r="DN3" s="99" t="s">
        <v>93</v>
      </c>
      <c r="DO3" s="122" t="s">
        <v>94</v>
      </c>
      <c r="DP3" s="94" t="s">
        <v>54</v>
      </c>
      <c r="DQ3" s="94" t="s">
        <v>147</v>
      </c>
      <c r="DR3" s="100" t="s">
        <v>95</v>
      </c>
      <c r="DS3" s="99" t="s">
        <v>96</v>
      </c>
      <c r="DT3" s="99" t="s">
        <v>97</v>
      </c>
      <c r="DU3" s="93" t="s">
        <v>98</v>
      </c>
      <c r="DV3" s="94" t="s">
        <v>54</v>
      </c>
      <c r="DW3" s="94" t="s">
        <v>147</v>
      </c>
      <c r="DX3" s="94" t="s">
        <v>176</v>
      </c>
      <c r="DY3" s="99" t="s">
        <v>99</v>
      </c>
      <c r="DZ3" s="98" t="s">
        <v>100</v>
      </c>
      <c r="EA3" s="96" t="s">
        <v>101</v>
      </c>
      <c r="EB3" s="99" t="s">
        <v>102</v>
      </c>
      <c r="EC3" s="99" t="s">
        <v>103</v>
      </c>
      <c r="ED3" s="99" t="s">
        <v>104</v>
      </c>
      <c r="EE3" s="101" t="s">
        <v>105</v>
      </c>
      <c r="EF3" s="102" t="s">
        <v>106</v>
      </c>
      <c r="EG3" s="98" t="s">
        <v>107</v>
      </c>
      <c r="EH3" s="123" t="s">
        <v>108</v>
      </c>
      <c r="EI3" s="124" t="s">
        <v>109</v>
      </c>
      <c r="EJ3" s="124" t="s">
        <v>110</v>
      </c>
      <c r="EK3" s="103" t="s">
        <v>135</v>
      </c>
      <c r="EL3" s="104" t="s">
        <v>54</v>
      </c>
      <c r="EM3" s="125" t="s">
        <v>185</v>
      </c>
      <c r="EN3" s="126" t="s">
        <v>186</v>
      </c>
      <c r="EO3" s="103" t="s">
        <v>111</v>
      </c>
      <c r="EP3" s="104" t="s">
        <v>54</v>
      </c>
      <c r="EQ3" s="125" t="s">
        <v>148</v>
      </c>
      <c r="ER3" s="126" t="s">
        <v>149</v>
      </c>
      <c r="ES3" s="105" t="s">
        <v>112</v>
      </c>
      <c r="ET3" s="78" t="s">
        <v>153</v>
      </c>
      <c r="EU3" s="127" t="s">
        <v>148</v>
      </c>
      <c r="EV3" s="127" t="s">
        <v>149</v>
      </c>
      <c r="EW3" s="78" t="s">
        <v>113</v>
      </c>
      <c r="EX3" s="78" t="s">
        <v>114</v>
      </c>
      <c r="EY3" s="78" t="s">
        <v>115</v>
      </c>
      <c r="EZ3" s="78" t="s">
        <v>116</v>
      </c>
      <c r="FA3" s="127" t="s">
        <v>150</v>
      </c>
      <c r="FB3" s="127" t="s">
        <v>151</v>
      </c>
      <c r="FC3" s="78" t="s">
        <v>117</v>
      </c>
      <c r="FD3" s="78" t="s">
        <v>118</v>
      </c>
      <c r="FE3" s="105" t="s">
        <v>119</v>
      </c>
      <c r="FF3" s="143" t="s">
        <v>178</v>
      </c>
      <c r="FG3" s="143" t="s">
        <v>179</v>
      </c>
      <c r="FH3" s="78" t="s">
        <v>120</v>
      </c>
      <c r="FI3" s="143" t="s">
        <v>180</v>
      </c>
      <c r="FJ3" s="143" t="s">
        <v>181</v>
      </c>
      <c r="FK3" s="106" t="s">
        <v>121</v>
      </c>
      <c r="FL3" s="106" t="s">
        <v>182</v>
      </c>
      <c r="FM3" s="106" t="s">
        <v>183</v>
      </c>
      <c r="FN3" s="106" t="s">
        <v>122</v>
      </c>
      <c r="FO3" s="144" t="s">
        <v>184</v>
      </c>
      <c r="FP3" s="144" t="s">
        <v>191</v>
      </c>
      <c r="FQ3" s="107" t="s">
        <v>123</v>
      </c>
      <c r="FR3" s="108"/>
      <c r="FS3" s="108"/>
      <c r="FT3" s="108"/>
      <c r="FU3" s="108"/>
      <c r="FV3" s="108"/>
      <c r="FW3" s="108"/>
      <c r="FX3" s="108"/>
      <c r="FY3" s="108"/>
      <c r="FZ3" s="108"/>
      <c r="GA3" s="108"/>
      <c r="GB3" s="108"/>
      <c r="GC3" s="108"/>
      <c r="GD3" s="108"/>
      <c r="GE3" s="108"/>
      <c r="GF3" s="108"/>
      <c r="GG3" s="108"/>
      <c r="GH3" s="108"/>
      <c r="GI3" s="108"/>
    </row>
    <row r="4" spans="1:191">
      <c r="A4" s="128" t="s">
        <v>152</v>
      </c>
      <c r="B4" t="s">
        <v>156</v>
      </c>
      <c r="C4">
        <v>2020</v>
      </c>
      <c r="D4" t="s">
        <v>194</v>
      </c>
      <c r="E4" s="142">
        <v>39807.929992675781</v>
      </c>
      <c r="F4">
        <v>1</v>
      </c>
      <c r="G4">
        <v>1</v>
      </c>
      <c r="H4" s="132">
        <v>614.45882654171203</v>
      </c>
      <c r="I4" s="132">
        <v>106.22926818926294</v>
      </c>
      <c r="J4" s="132">
        <v>100.38691169516301</v>
      </c>
      <c r="K4" t="s">
        <v>157</v>
      </c>
      <c r="L4" s="133" t="s">
        <v>158</v>
      </c>
      <c r="M4" s="134" t="s">
        <v>195</v>
      </c>
      <c r="N4" t="s">
        <v>194</v>
      </c>
      <c r="O4" t="s">
        <v>196</v>
      </c>
      <c r="P4" t="s">
        <v>159</v>
      </c>
      <c r="Q4">
        <v>6</v>
      </c>
      <c r="R4">
        <v>1</v>
      </c>
      <c r="S4">
        <v>7</v>
      </c>
      <c r="T4">
        <v>8.5</v>
      </c>
      <c r="U4" s="146">
        <v>38.277500000000003</v>
      </c>
      <c r="V4">
        <v>38.270000000000003</v>
      </c>
      <c r="W4" t="s">
        <v>203</v>
      </c>
      <c r="X4" t="s">
        <v>209</v>
      </c>
      <c r="Y4" s="147">
        <v>9.2656670000000005</v>
      </c>
      <c r="Z4" s="147">
        <v>-54.544032999999999</v>
      </c>
      <c r="AA4" s="147">
        <v>0.8</v>
      </c>
      <c r="AB4" s="135" t="s">
        <v>162</v>
      </c>
      <c r="AC4" s="135">
        <v>-2549</v>
      </c>
      <c r="AD4" s="135">
        <v>-2850</v>
      </c>
      <c r="AE4" t="s">
        <v>210</v>
      </c>
      <c r="AF4" t="s">
        <v>160</v>
      </c>
      <c r="AG4" s="142">
        <v>39807.929992675781</v>
      </c>
      <c r="AH4" s="148" t="s">
        <v>215</v>
      </c>
      <c r="AI4">
        <v>1</v>
      </c>
      <c r="AJ4">
        <v>1</v>
      </c>
      <c r="AK4" t="s">
        <v>214</v>
      </c>
      <c r="AL4" t="s">
        <v>216</v>
      </c>
      <c r="AM4" s="136" t="s">
        <v>219</v>
      </c>
      <c r="AN4">
        <v>39.816597656250003</v>
      </c>
      <c r="AO4" t="s">
        <v>162</v>
      </c>
      <c r="AP4" t="s">
        <v>162</v>
      </c>
      <c r="AQ4" t="s">
        <v>162</v>
      </c>
      <c r="AR4" t="s">
        <v>214</v>
      </c>
      <c r="AS4" t="s">
        <v>220</v>
      </c>
      <c r="AT4" t="s">
        <v>221</v>
      </c>
      <c r="AU4" t="s">
        <v>225</v>
      </c>
      <c r="AV4" t="s">
        <v>230</v>
      </c>
      <c r="AW4" s="165" t="s">
        <v>231</v>
      </c>
      <c r="AX4" s="166" t="s">
        <v>321</v>
      </c>
      <c r="AY4" s="148" t="s">
        <v>232</v>
      </c>
      <c r="AZ4" t="s">
        <v>163</v>
      </c>
      <c r="BA4" t="s">
        <v>164</v>
      </c>
      <c r="BB4" s="148" t="s">
        <v>234</v>
      </c>
      <c r="BC4">
        <v>2</v>
      </c>
      <c r="BD4" s="137">
        <v>0.24097437922295306</v>
      </c>
      <c r="BE4" s="145">
        <v>14.788</v>
      </c>
      <c r="BF4" t="s">
        <v>233</v>
      </c>
      <c r="BG4">
        <v>0.22818629847806901</v>
      </c>
      <c r="BH4">
        <v>0.88</v>
      </c>
      <c r="BI4" t="s">
        <v>278</v>
      </c>
      <c r="BJ4" t="s">
        <v>278</v>
      </c>
      <c r="BK4" s="2">
        <v>1.85</v>
      </c>
      <c r="BL4" t="s">
        <v>278</v>
      </c>
      <c r="BM4" t="s">
        <v>278</v>
      </c>
      <c r="BN4" t="s">
        <v>279</v>
      </c>
      <c r="BO4" t="s">
        <v>280</v>
      </c>
      <c r="BP4" s="138">
        <v>14.826363636363601</v>
      </c>
      <c r="BQ4" t="s">
        <v>287</v>
      </c>
      <c r="BR4" s="160" t="s">
        <v>288</v>
      </c>
      <c r="BS4" t="s">
        <v>286</v>
      </c>
      <c r="BT4" t="s">
        <v>289</v>
      </c>
      <c r="BU4">
        <v>25</v>
      </c>
      <c r="BV4" t="s">
        <v>165</v>
      </c>
      <c r="BW4" t="s">
        <v>165</v>
      </c>
      <c r="BX4" s="145">
        <v>30.7085765049525</v>
      </c>
      <c r="BY4" t="s">
        <v>290</v>
      </c>
      <c r="BZ4" s="137">
        <v>0.62268389952570002</v>
      </c>
      <c r="CA4" s="137">
        <v>0.69166118327210002</v>
      </c>
      <c r="CB4" t="s">
        <v>291</v>
      </c>
      <c r="CC4">
        <v>3.8488323985577302</v>
      </c>
      <c r="CD4" t="s">
        <v>292</v>
      </c>
      <c r="CE4">
        <v>0.1154649719567319</v>
      </c>
      <c r="CF4">
        <v>0.1154649719567319</v>
      </c>
      <c r="CG4" t="s">
        <v>295</v>
      </c>
      <c r="CH4" t="s">
        <v>162</v>
      </c>
      <c r="CI4" t="s">
        <v>293</v>
      </c>
      <c r="CJ4" t="s">
        <v>296</v>
      </c>
      <c r="CK4" t="s">
        <v>165</v>
      </c>
      <c r="CL4" t="s">
        <v>165</v>
      </c>
      <c r="CM4" t="s">
        <v>294</v>
      </c>
      <c r="CN4" t="s">
        <v>162</v>
      </c>
      <c r="CO4" t="s">
        <v>162</v>
      </c>
      <c r="CP4" t="s">
        <v>162</v>
      </c>
      <c r="CQ4" t="s">
        <v>162</v>
      </c>
      <c r="CR4" t="s">
        <v>162</v>
      </c>
      <c r="CS4" t="s">
        <v>162</v>
      </c>
      <c r="CT4" t="s">
        <v>162</v>
      </c>
      <c r="CU4" s="139">
        <v>35</v>
      </c>
      <c r="CV4" t="s">
        <v>161</v>
      </c>
      <c r="CW4">
        <v>1</v>
      </c>
      <c r="CX4" t="s">
        <v>297</v>
      </c>
      <c r="CY4">
        <v>17</v>
      </c>
      <c r="CZ4" t="s">
        <v>170</v>
      </c>
      <c r="DA4" t="s">
        <v>170</v>
      </c>
      <c r="DB4" t="s">
        <v>298</v>
      </c>
      <c r="DC4">
        <v>38</v>
      </c>
      <c r="DD4" t="s">
        <v>170</v>
      </c>
      <c r="DE4" t="s">
        <v>170</v>
      </c>
      <c r="DF4" t="s">
        <v>298</v>
      </c>
      <c r="DG4" t="s">
        <v>166</v>
      </c>
      <c r="DH4" t="s">
        <v>167</v>
      </c>
      <c r="DI4" t="s">
        <v>167</v>
      </c>
      <c r="DJ4" t="s">
        <v>167</v>
      </c>
      <c r="DK4" s="136">
        <v>432.5624421831638</v>
      </c>
      <c r="DL4" t="s">
        <v>168</v>
      </c>
      <c r="DM4" s="136">
        <v>12.358926919518979</v>
      </c>
      <c r="DN4" t="s">
        <v>169</v>
      </c>
      <c r="DO4">
        <v>38.700000000000003</v>
      </c>
      <c r="DP4" t="s">
        <v>299</v>
      </c>
      <c r="DQ4">
        <v>0.2</v>
      </c>
      <c r="DR4" t="s">
        <v>300</v>
      </c>
      <c r="DS4" t="s">
        <v>301</v>
      </c>
      <c r="DT4" t="s">
        <v>302</v>
      </c>
      <c r="DU4">
        <v>1.0271999999999999</v>
      </c>
      <c r="DV4" t="s">
        <v>170</v>
      </c>
      <c r="DW4" t="s">
        <v>170</v>
      </c>
      <c r="DX4" t="s">
        <v>177</v>
      </c>
      <c r="DY4" t="s">
        <v>170</v>
      </c>
      <c r="DZ4" t="s">
        <v>170</v>
      </c>
      <c r="EA4" t="s">
        <v>303</v>
      </c>
      <c r="EB4" t="s">
        <v>171</v>
      </c>
      <c r="EC4" t="s">
        <v>304</v>
      </c>
      <c r="ED4" t="s">
        <v>304</v>
      </c>
      <c r="EE4" t="s">
        <v>304</v>
      </c>
      <c r="EF4" t="s">
        <v>304</v>
      </c>
      <c r="EG4" t="s">
        <v>162</v>
      </c>
      <c r="EH4" t="s">
        <v>172</v>
      </c>
      <c r="EI4" t="s">
        <v>305</v>
      </c>
      <c r="EJ4" t="s">
        <v>162</v>
      </c>
      <c r="EK4" s="140">
        <v>1750</v>
      </c>
      <c r="EL4" t="s">
        <v>173</v>
      </c>
      <c r="EM4">
        <v>150</v>
      </c>
      <c r="EN4">
        <v>150</v>
      </c>
      <c r="EO4" t="s">
        <v>306</v>
      </c>
      <c r="EP4" t="s">
        <v>306</v>
      </c>
      <c r="EQ4" t="s">
        <v>306</v>
      </c>
      <c r="ER4" t="s">
        <v>306</v>
      </c>
      <c r="ES4" s="141">
        <v>7.8094461616308601</v>
      </c>
      <c r="ET4" s="138" t="s">
        <v>174</v>
      </c>
      <c r="EU4" s="141">
        <v>3.4286596935735401E-2</v>
      </c>
      <c r="EV4" s="141">
        <v>3.4286596935735401E-2</v>
      </c>
      <c r="EW4" s="142">
        <v>614.45882654171203</v>
      </c>
      <c r="EX4" s="138">
        <v>0</v>
      </c>
      <c r="EY4" s="138" t="s">
        <v>308</v>
      </c>
      <c r="EZ4" s="142">
        <v>614.45882654171203</v>
      </c>
      <c r="FA4" s="142">
        <v>106.22926818926294</v>
      </c>
      <c r="FB4" s="142">
        <v>100.38691169516301</v>
      </c>
      <c r="FC4" s="164" t="s">
        <v>309</v>
      </c>
      <c r="FD4" t="s">
        <v>310</v>
      </c>
      <c r="FE4" t="s">
        <v>175</v>
      </c>
      <c r="FF4" t="s">
        <v>175</v>
      </c>
      <c r="FG4" t="s">
        <v>175</v>
      </c>
      <c r="FH4">
        <v>1868.9721491559801</v>
      </c>
      <c r="FI4">
        <v>190.41181689306899</v>
      </c>
      <c r="FJ4">
        <v>210.166320982548</v>
      </c>
      <c r="FK4">
        <v>7.4361107639303698</v>
      </c>
      <c r="FL4">
        <v>0.94313733746135298</v>
      </c>
      <c r="FM4">
        <v>0.88726130245816004</v>
      </c>
      <c r="FN4">
        <v>4.7506157967931797</v>
      </c>
      <c r="FO4">
        <v>0.60962492531188806</v>
      </c>
      <c r="FP4">
        <v>0.56762408789244401</v>
      </c>
      <c r="FQ4" t="s">
        <v>317</v>
      </c>
    </row>
    <row r="5" spans="1:191">
      <c r="A5" s="128" t="s">
        <v>152</v>
      </c>
      <c r="B5" t="s">
        <v>156</v>
      </c>
      <c r="C5">
        <v>2020</v>
      </c>
      <c r="D5" t="s">
        <v>194</v>
      </c>
      <c r="E5" s="142">
        <v>39910.953521728516</v>
      </c>
      <c r="F5">
        <v>1</v>
      </c>
      <c r="G5">
        <v>1</v>
      </c>
      <c r="H5" s="132">
        <v>624.98464280610597</v>
      </c>
      <c r="I5" s="132">
        <v>119.134138200949</v>
      </c>
      <c r="J5" s="132">
        <v>94.656883177985947</v>
      </c>
      <c r="K5" t="s">
        <v>157</v>
      </c>
      <c r="L5" s="133" t="s">
        <v>158</v>
      </c>
      <c r="M5" s="134" t="s">
        <v>195</v>
      </c>
      <c r="N5" t="s">
        <v>194</v>
      </c>
      <c r="O5" t="s">
        <v>196</v>
      </c>
      <c r="P5" t="s">
        <v>159</v>
      </c>
      <c r="Q5">
        <v>6</v>
      </c>
      <c r="R5">
        <v>2</v>
      </c>
      <c r="S5" s="142">
        <v>77</v>
      </c>
      <c r="T5">
        <v>78.5</v>
      </c>
      <c r="U5" s="146">
        <v>40.477499999999999</v>
      </c>
      <c r="V5">
        <v>40.477499999999999</v>
      </c>
      <c r="W5" t="s">
        <v>203</v>
      </c>
      <c r="X5" t="s">
        <v>209</v>
      </c>
      <c r="Y5" s="147">
        <v>9.2656670000000005</v>
      </c>
      <c r="Z5" s="147">
        <v>-54.544032999999999</v>
      </c>
      <c r="AA5" s="147">
        <v>0.8</v>
      </c>
      <c r="AB5" s="135" t="s">
        <v>162</v>
      </c>
      <c r="AC5" s="135">
        <v>-2549</v>
      </c>
      <c r="AD5" s="135">
        <v>-2850</v>
      </c>
      <c r="AE5" t="s">
        <v>210</v>
      </c>
      <c r="AF5" t="s">
        <v>160</v>
      </c>
      <c r="AG5" s="142">
        <v>39910.953521728516</v>
      </c>
      <c r="AH5" s="148" t="s">
        <v>215</v>
      </c>
      <c r="AI5">
        <v>1</v>
      </c>
      <c r="AJ5">
        <v>1</v>
      </c>
      <c r="AK5" t="s">
        <v>214</v>
      </c>
      <c r="AL5" t="s">
        <v>216</v>
      </c>
      <c r="AM5" s="136" t="s">
        <v>219</v>
      </c>
      <c r="AN5">
        <v>39.915953125000001</v>
      </c>
      <c r="AO5" t="s">
        <v>162</v>
      </c>
      <c r="AP5" t="s">
        <v>162</v>
      </c>
      <c r="AQ5" t="s">
        <v>162</v>
      </c>
      <c r="AR5" t="s">
        <v>214</v>
      </c>
      <c r="AS5" t="s">
        <v>220</v>
      </c>
      <c r="AT5" t="s">
        <v>221</v>
      </c>
      <c r="AU5" t="s">
        <v>225</v>
      </c>
      <c r="AV5" t="s">
        <v>230</v>
      </c>
      <c r="AW5" s="167">
        <v>369</v>
      </c>
      <c r="AX5" s="168">
        <v>3.9780000000000002</v>
      </c>
      <c r="AY5" s="148" t="s">
        <v>232</v>
      </c>
      <c r="AZ5" t="s">
        <v>163</v>
      </c>
      <c r="BA5" t="s">
        <v>164</v>
      </c>
      <c r="BB5" t="s">
        <v>244</v>
      </c>
      <c r="BC5">
        <v>2</v>
      </c>
      <c r="BD5" s="137">
        <v>2.8635900266495536E-2</v>
      </c>
      <c r="BE5" s="145">
        <v>15.0816826879439</v>
      </c>
      <c r="BF5" t="s">
        <v>233</v>
      </c>
      <c r="BG5">
        <v>0.216868805109839</v>
      </c>
      <c r="BH5">
        <v>0.88</v>
      </c>
      <c r="BI5" t="s">
        <v>278</v>
      </c>
      <c r="BJ5" t="s">
        <v>278</v>
      </c>
      <c r="BK5" s="2">
        <v>1.85</v>
      </c>
      <c r="BL5" t="s">
        <v>278</v>
      </c>
      <c r="BM5" t="s">
        <v>278</v>
      </c>
      <c r="BN5" t="s">
        <v>279</v>
      </c>
      <c r="BO5" t="s">
        <v>280</v>
      </c>
      <c r="BP5" s="138">
        <v>15.160090909090901</v>
      </c>
      <c r="BQ5" t="s">
        <v>287</v>
      </c>
      <c r="BR5" s="160" t="s">
        <v>288</v>
      </c>
      <c r="BS5" t="s">
        <v>286</v>
      </c>
      <c r="BT5" t="s">
        <v>289</v>
      </c>
      <c r="BU5">
        <v>25</v>
      </c>
      <c r="BV5" t="s">
        <v>165</v>
      </c>
      <c r="BW5" t="s">
        <v>165</v>
      </c>
      <c r="BX5" s="145">
        <v>30.001351533272501</v>
      </c>
      <c r="BY5" t="s">
        <v>290</v>
      </c>
      <c r="BZ5" s="137">
        <v>0.62351307463837502</v>
      </c>
      <c r="CA5" s="137">
        <v>0.64035879968327003</v>
      </c>
      <c r="CB5" t="s">
        <v>291</v>
      </c>
      <c r="CC5">
        <v>3.5847105076075398</v>
      </c>
      <c r="CD5" t="s">
        <v>292</v>
      </c>
      <c r="CE5">
        <v>0.10754131522822619</v>
      </c>
      <c r="CF5">
        <v>0.10754131522822619</v>
      </c>
      <c r="CG5" t="s">
        <v>295</v>
      </c>
      <c r="CH5" t="s">
        <v>162</v>
      </c>
      <c r="CI5" t="s">
        <v>293</v>
      </c>
      <c r="CJ5" t="s">
        <v>296</v>
      </c>
      <c r="CK5" t="s">
        <v>165</v>
      </c>
      <c r="CL5" t="s">
        <v>165</v>
      </c>
      <c r="CM5" t="s">
        <v>294</v>
      </c>
      <c r="CN5" t="s">
        <v>162</v>
      </c>
      <c r="CO5" t="s">
        <v>162</v>
      </c>
      <c r="CP5" t="s">
        <v>162</v>
      </c>
      <c r="CQ5" t="s">
        <v>162</v>
      </c>
      <c r="CR5" t="s">
        <v>162</v>
      </c>
      <c r="CS5" t="s">
        <v>162</v>
      </c>
      <c r="CT5" t="s">
        <v>162</v>
      </c>
      <c r="CU5" s="139">
        <v>35</v>
      </c>
      <c r="CV5" t="s">
        <v>161</v>
      </c>
      <c r="CW5">
        <v>1</v>
      </c>
      <c r="CX5" t="s">
        <v>297</v>
      </c>
      <c r="CY5">
        <v>17</v>
      </c>
      <c r="CZ5" t="s">
        <v>170</v>
      </c>
      <c r="DA5" t="s">
        <v>170</v>
      </c>
      <c r="DB5" t="s">
        <v>298</v>
      </c>
      <c r="DC5">
        <v>38</v>
      </c>
      <c r="DD5" t="s">
        <v>170</v>
      </c>
      <c r="DE5" t="s">
        <v>170</v>
      </c>
      <c r="DF5" t="s">
        <v>298</v>
      </c>
      <c r="DG5" t="s">
        <v>166</v>
      </c>
      <c r="DH5" t="s">
        <v>167</v>
      </c>
      <c r="DI5" t="s">
        <v>167</v>
      </c>
      <c r="DJ5" t="s">
        <v>167</v>
      </c>
      <c r="DK5" s="136">
        <v>432.5624421831638</v>
      </c>
      <c r="DL5" t="s">
        <v>168</v>
      </c>
      <c r="DM5" s="136">
        <v>12.358926919519092</v>
      </c>
      <c r="DN5" t="s">
        <v>169</v>
      </c>
      <c r="DO5">
        <v>38.700000000000003</v>
      </c>
      <c r="DP5" t="s">
        <v>299</v>
      </c>
      <c r="DQ5">
        <v>0.2</v>
      </c>
      <c r="DR5" t="s">
        <v>300</v>
      </c>
      <c r="DS5" t="s">
        <v>301</v>
      </c>
      <c r="DT5" t="s">
        <v>302</v>
      </c>
      <c r="DU5">
        <v>1.0271999999999999</v>
      </c>
      <c r="DV5" t="s">
        <v>170</v>
      </c>
      <c r="DW5" t="s">
        <v>170</v>
      </c>
      <c r="DX5" t="s">
        <v>177</v>
      </c>
      <c r="DY5" t="s">
        <v>170</v>
      </c>
      <c r="DZ5" t="s">
        <v>170</v>
      </c>
      <c r="EA5" t="s">
        <v>303</v>
      </c>
      <c r="EB5" t="s">
        <v>171</v>
      </c>
      <c r="EC5" t="s">
        <v>304</v>
      </c>
      <c r="ED5" t="s">
        <v>304</v>
      </c>
      <c r="EE5" t="s">
        <v>304</v>
      </c>
      <c r="EF5" t="s">
        <v>304</v>
      </c>
      <c r="EG5" t="s">
        <v>162</v>
      </c>
      <c r="EH5" t="s">
        <v>172</v>
      </c>
      <c r="EI5" t="s">
        <v>305</v>
      </c>
      <c r="EJ5" t="s">
        <v>162</v>
      </c>
      <c r="EK5" s="140">
        <v>1750</v>
      </c>
      <c r="EL5" t="s">
        <v>173</v>
      </c>
      <c r="EM5">
        <v>150</v>
      </c>
      <c r="EN5">
        <v>150</v>
      </c>
      <c r="EO5" t="s">
        <v>306</v>
      </c>
      <c r="EP5" t="s">
        <v>306</v>
      </c>
      <c r="EQ5" t="s">
        <v>306</v>
      </c>
      <c r="ER5" t="s">
        <v>306</v>
      </c>
      <c r="ES5" s="141">
        <v>7.86163390900224</v>
      </c>
      <c r="ET5" s="138" t="s">
        <v>174</v>
      </c>
      <c r="EU5" s="141">
        <v>3.1641638202559198E-2</v>
      </c>
      <c r="EV5" s="141">
        <v>3.1641638202559198E-2</v>
      </c>
      <c r="EW5" s="142">
        <v>624.98464280610597</v>
      </c>
      <c r="EX5" s="138">
        <v>0</v>
      </c>
      <c r="EY5" s="138" t="s">
        <v>308</v>
      </c>
      <c r="EZ5" s="142">
        <v>624.98464280610597</v>
      </c>
      <c r="FA5" s="142">
        <v>119.134138200949</v>
      </c>
      <c r="FB5" s="142">
        <v>94.656883177985947</v>
      </c>
      <c r="FC5" s="164" t="s">
        <v>309</v>
      </c>
      <c r="FD5" t="s">
        <v>310</v>
      </c>
      <c r="FE5" t="s">
        <v>175</v>
      </c>
      <c r="FF5" t="s">
        <v>175</v>
      </c>
      <c r="FG5" t="s">
        <v>175</v>
      </c>
      <c r="FH5">
        <v>1846.7764127007899</v>
      </c>
      <c r="FI5">
        <v>200.11164164501901</v>
      </c>
      <c r="FJ5">
        <v>187.180253908917</v>
      </c>
      <c r="FK5">
        <v>6.5183488687939901</v>
      </c>
      <c r="FL5">
        <v>0.92588009850867603</v>
      </c>
      <c r="FM5">
        <v>0.78530268608054099</v>
      </c>
      <c r="FN5">
        <v>4.1295944255020203</v>
      </c>
      <c r="FO5">
        <v>0.59013677234627404</v>
      </c>
      <c r="FP5">
        <v>0.49632629723321398</v>
      </c>
      <c r="FQ5" t="s">
        <v>317</v>
      </c>
    </row>
    <row r="6" spans="1:191">
      <c r="A6" s="128" t="s">
        <v>152</v>
      </c>
      <c r="B6" t="s">
        <v>156</v>
      </c>
      <c r="C6">
        <v>2020</v>
      </c>
      <c r="D6" t="s">
        <v>194</v>
      </c>
      <c r="E6" s="142">
        <v>39982.666015625</v>
      </c>
      <c r="F6">
        <v>1</v>
      </c>
      <c r="G6">
        <v>1</v>
      </c>
      <c r="H6" s="132">
        <v>715.38484489053201</v>
      </c>
      <c r="I6" s="132">
        <v>132.74776185756298</v>
      </c>
      <c r="J6" s="132">
        <v>117.02053867276697</v>
      </c>
      <c r="K6" t="s">
        <v>157</v>
      </c>
      <c r="L6" s="133" t="s">
        <v>158</v>
      </c>
      <c r="M6" s="134" t="s">
        <v>195</v>
      </c>
      <c r="N6" t="s">
        <v>194</v>
      </c>
      <c r="O6" t="s">
        <v>196</v>
      </c>
      <c r="P6" t="s">
        <v>159</v>
      </c>
      <c r="Q6">
        <v>6</v>
      </c>
      <c r="R6">
        <v>3</v>
      </c>
      <c r="S6">
        <v>77</v>
      </c>
      <c r="T6">
        <v>78.5</v>
      </c>
      <c r="U6" s="146">
        <v>41.977499999999999</v>
      </c>
      <c r="V6">
        <v>41.977499999999999</v>
      </c>
      <c r="W6" t="s">
        <v>203</v>
      </c>
      <c r="X6" t="s">
        <v>209</v>
      </c>
      <c r="Y6" s="147">
        <v>9.2656670000000005</v>
      </c>
      <c r="Z6" s="147">
        <v>-54.544032999999999</v>
      </c>
      <c r="AA6" s="147">
        <v>0.8</v>
      </c>
      <c r="AB6" s="135" t="s">
        <v>162</v>
      </c>
      <c r="AC6" s="135">
        <v>-2549</v>
      </c>
      <c r="AD6" s="135">
        <v>-2850</v>
      </c>
      <c r="AE6" t="s">
        <v>210</v>
      </c>
      <c r="AF6" t="s">
        <v>160</v>
      </c>
      <c r="AG6" s="142">
        <v>39982.666015625</v>
      </c>
      <c r="AH6" s="148" t="s">
        <v>215</v>
      </c>
      <c r="AI6">
        <v>1</v>
      </c>
      <c r="AJ6">
        <v>1</v>
      </c>
      <c r="AK6" t="s">
        <v>214</v>
      </c>
      <c r="AL6" t="s">
        <v>216</v>
      </c>
      <c r="AM6" s="136" t="s">
        <v>219</v>
      </c>
      <c r="AN6">
        <v>39.983695312499997</v>
      </c>
      <c r="AO6" t="s">
        <v>162</v>
      </c>
      <c r="AP6" t="s">
        <v>162</v>
      </c>
      <c r="AQ6" t="s">
        <v>162</v>
      </c>
      <c r="AR6" t="s">
        <v>214</v>
      </c>
      <c r="AS6" t="s">
        <v>220</v>
      </c>
      <c r="AT6" t="s">
        <v>221</v>
      </c>
      <c r="AU6" t="s">
        <v>225</v>
      </c>
      <c r="AV6" t="s">
        <v>230</v>
      </c>
      <c r="AW6" s="167">
        <v>343</v>
      </c>
      <c r="AX6" s="168">
        <v>3.9119999999999999</v>
      </c>
      <c r="AY6" s="148" t="s">
        <v>232</v>
      </c>
      <c r="AZ6" t="s">
        <v>163</v>
      </c>
      <c r="BA6" t="s">
        <v>164</v>
      </c>
      <c r="BB6" t="s">
        <v>248</v>
      </c>
      <c r="BC6">
        <v>2</v>
      </c>
      <c r="BD6" s="137">
        <v>1.1218428802209244E-2</v>
      </c>
      <c r="BE6" s="145">
        <v>15.0832091925013</v>
      </c>
      <c r="BF6" t="s">
        <v>233</v>
      </c>
      <c r="BG6">
        <v>0.23231578006946199</v>
      </c>
      <c r="BH6">
        <v>0.88</v>
      </c>
      <c r="BI6" t="s">
        <v>278</v>
      </c>
      <c r="BJ6" t="s">
        <v>278</v>
      </c>
      <c r="BK6" s="2">
        <v>1.85</v>
      </c>
      <c r="BL6" t="s">
        <v>278</v>
      </c>
      <c r="BM6" t="s">
        <v>278</v>
      </c>
      <c r="BN6" t="s">
        <v>279</v>
      </c>
      <c r="BO6" t="s">
        <v>280</v>
      </c>
      <c r="BP6" s="138">
        <v>15.1618295454545</v>
      </c>
      <c r="BQ6" t="s">
        <v>287</v>
      </c>
      <c r="BR6" s="160" t="s">
        <v>288</v>
      </c>
      <c r="BS6" t="s">
        <v>286</v>
      </c>
      <c r="BT6" t="s">
        <v>289</v>
      </c>
      <c r="BU6">
        <v>25</v>
      </c>
      <c r="BV6" t="s">
        <v>165</v>
      </c>
      <c r="BW6" t="s">
        <v>165</v>
      </c>
      <c r="BX6" s="145">
        <v>28.682492073000301</v>
      </c>
      <c r="BY6" t="s">
        <v>290</v>
      </c>
      <c r="BZ6" s="137">
        <v>0.63583991436542298</v>
      </c>
      <c r="CA6" s="137">
        <v>0.63155279808943698</v>
      </c>
      <c r="CB6" t="s">
        <v>291</v>
      </c>
      <c r="CC6">
        <v>3.2988223896752</v>
      </c>
      <c r="CD6" t="s">
        <v>292</v>
      </c>
      <c r="CE6">
        <v>9.8964671690255995E-2</v>
      </c>
      <c r="CF6">
        <v>9.8964671690255995E-2</v>
      </c>
      <c r="CG6" t="s">
        <v>295</v>
      </c>
      <c r="CH6" t="s">
        <v>162</v>
      </c>
      <c r="CI6" t="s">
        <v>293</v>
      </c>
      <c r="CJ6" t="s">
        <v>296</v>
      </c>
      <c r="CK6" t="s">
        <v>165</v>
      </c>
      <c r="CL6" t="s">
        <v>165</v>
      </c>
      <c r="CM6" t="s">
        <v>294</v>
      </c>
      <c r="CN6" t="s">
        <v>162</v>
      </c>
      <c r="CO6" t="s">
        <v>162</v>
      </c>
      <c r="CP6" t="s">
        <v>162</v>
      </c>
      <c r="CQ6" t="s">
        <v>162</v>
      </c>
      <c r="CR6" t="s">
        <v>162</v>
      </c>
      <c r="CS6" t="s">
        <v>162</v>
      </c>
      <c r="CT6" t="s">
        <v>162</v>
      </c>
      <c r="CU6" s="139">
        <v>35</v>
      </c>
      <c r="CV6" t="s">
        <v>161</v>
      </c>
      <c r="CW6">
        <v>1</v>
      </c>
      <c r="CX6" t="s">
        <v>297</v>
      </c>
      <c r="CY6">
        <v>17</v>
      </c>
      <c r="CZ6" t="s">
        <v>170</v>
      </c>
      <c r="DA6" t="s">
        <v>170</v>
      </c>
      <c r="DB6" t="s">
        <v>298</v>
      </c>
      <c r="DC6">
        <v>38</v>
      </c>
      <c r="DD6" t="s">
        <v>170</v>
      </c>
      <c r="DE6" t="s">
        <v>170</v>
      </c>
      <c r="DF6" t="s">
        <v>298</v>
      </c>
      <c r="DG6" t="s">
        <v>166</v>
      </c>
      <c r="DH6" t="s">
        <v>167</v>
      </c>
      <c r="DI6" t="s">
        <v>167</v>
      </c>
      <c r="DJ6" t="s">
        <v>167</v>
      </c>
      <c r="DK6" s="136">
        <v>432.5624421831638</v>
      </c>
      <c r="DL6" t="s">
        <v>168</v>
      </c>
      <c r="DM6" s="136">
        <v>12.358926919519092</v>
      </c>
      <c r="DN6" t="s">
        <v>169</v>
      </c>
      <c r="DO6">
        <v>38.700000000000003</v>
      </c>
      <c r="DP6" t="s">
        <v>299</v>
      </c>
      <c r="DQ6">
        <v>0.2</v>
      </c>
      <c r="DR6" t="s">
        <v>300</v>
      </c>
      <c r="DS6" t="s">
        <v>301</v>
      </c>
      <c r="DT6" t="s">
        <v>302</v>
      </c>
      <c r="DU6">
        <v>1.0271999999999999</v>
      </c>
      <c r="DV6" t="s">
        <v>170</v>
      </c>
      <c r="DW6" t="s">
        <v>170</v>
      </c>
      <c r="DX6" t="s">
        <v>177</v>
      </c>
      <c r="DY6" t="s">
        <v>170</v>
      </c>
      <c r="DZ6" t="s">
        <v>170</v>
      </c>
      <c r="EA6" t="s">
        <v>303</v>
      </c>
      <c r="EB6" t="s">
        <v>171</v>
      </c>
      <c r="EC6" t="s">
        <v>304</v>
      </c>
      <c r="ED6" t="s">
        <v>304</v>
      </c>
      <c r="EE6" t="s">
        <v>304</v>
      </c>
      <c r="EF6" t="s">
        <v>304</v>
      </c>
      <c r="EG6" t="s">
        <v>162</v>
      </c>
      <c r="EH6" t="s">
        <v>172</v>
      </c>
      <c r="EI6" t="s">
        <v>305</v>
      </c>
      <c r="EJ6" t="s">
        <v>162</v>
      </c>
      <c r="EK6" s="140">
        <v>1750</v>
      </c>
      <c r="EL6" t="s">
        <v>173</v>
      </c>
      <c r="EM6">
        <v>150</v>
      </c>
      <c r="EN6">
        <v>150</v>
      </c>
      <c r="EO6" t="s">
        <v>306</v>
      </c>
      <c r="EP6" t="s">
        <v>306</v>
      </c>
      <c r="EQ6" t="s">
        <v>306</v>
      </c>
      <c r="ER6" t="s">
        <v>306</v>
      </c>
      <c r="ES6" s="141">
        <v>7.8761585301646697</v>
      </c>
      <c r="ET6" s="138" t="s">
        <v>174</v>
      </c>
      <c r="EU6" s="141">
        <v>3.2929114886703803E-2</v>
      </c>
      <c r="EV6" s="141">
        <v>3.2929114886703803E-2</v>
      </c>
      <c r="EW6" s="142">
        <v>715.38484489053201</v>
      </c>
      <c r="EX6" s="138">
        <v>0</v>
      </c>
      <c r="EY6" s="138" t="s">
        <v>308</v>
      </c>
      <c r="EZ6" s="142">
        <v>715.38484489053201</v>
      </c>
      <c r="FA6" s="142">
        <v>132.74776185756298</v>
      </c>
      <c r="FB6" s="142">
        <v>117.02053867276697</v>
      </c>
      <c r="FC6" s="164" t="s">
        <v>309</v>
      </c>
      <c r="FD6" t="s">
        <v>310</v>
      </c>
      <c r="FE6" t="s">
        <v>175</v>
      </c>
      <c r="FF6" t="s">
        <v>175</v>
      </c>
      <c r="FG6" t="s">
        <v>175</v>
      </c>
      <c r="FH6">
        <v>1842.80561145511</v>
      </c>
      <c r="FI6">
        <v>196.61045843458399</v>
      </c>
      <c r="FJ6">
        <v>189.14596694199599</v>
      </c>
      <c r="FK6">
        <v>6.0557591024049602</v>
      </c>
      <c r="FL6">
        <v>0.81769833924675694</v>
      </c>
      <c r="FM6">
        <v>0.78527369343459796</v>
      </c>
      <c r="FN6">
        <v>3.8507990849645899</v>
      </c>
      <c r="FO6">
        <v>0.52028135830827604</v>
      </c>
      <c r="FP6">
        <v>0.49795638711840501</v>
      </c>
      <c r="FQ6" t="s">
        <v>317</v>
      </c>
    </row>
    <row r="7" spans="1:191">
      <c r="A7" s="128" t="s">
        <v>152</v>
      </c>
      <c r="B7" t="s">
        <v>156</v>
      </c>
      <c r="C7">
        <v>2020</v>
      </c>
      <c r="D7" t="s">
        <v>194</v>
      </c>
      <c r="E7" s="142">
        <v>40061.538696289062</v>
      </c>
      <c r="F7">
        <v>1</v>
      </c>
      <c r="G7">
        <v>1</v>
      </c>
      <c r="H7" s="132">
        <v>631.36021984907802</v>
      </c>
      <c r="I7" s="132">
        <v>113.42440985227699</v>
      </c>
      <c r="J7" s="132">
        <v>104.64873297579106</v>
      </c>
      <c r="K7" t="s">
        <v>157</v>
      </c>
      <c r="L7" s="133" t="s">
        <v>158</v>
      </c>
      <c r="M7" s="134" t="s">
        <v>195</v>
      </c>
      <c r="N7" t="s">
        <v>194</v>
      </c>
      <c r="O7" t="s">
        <v>196</v>
      </c>
      <c r="P7" t="s">
        <v>159</v>
      </c>
      <c r="Q7">
        <v>6</v>
      </c>
      <c r="R7">
        <v>4</v>
      </c>
      <c r="S7">
        <v>67</v>
      </c>
      <c r="T7">
        <v>78.5</v>
      </c>
      <c r="U7" s="146">
        <v>43.427500000000002</v>
      </c>
      <c r="V7">
        <v>43.427500000000002</v>
      </c>
      <c r="W7" t="s">
        <v>203</v>
      </c>
      <c r="X7" t="s">
        <v>209</v>
      </c>
      <c r="Y7" s="147">
        <v>9.2656670000000005</v>
      </c>
      <c r="Z7" s="147">
        <v>-54.544032999999999</v>
      </c>
      <c r="AA7" s="147">
        <v>0.8</v>
      </c>
      <c r="AB7" s="135" t="s">
        <v>162</v>
      </c>
      <c r="AC7" s="135">
        <v>-2549</v>
      </c>
      <c r="AD7" s="135">
        <v>-2850</v>
      </c>
      <c r="AE7" t="s">
        <v>210</v>
      </c>
      <c r="AF7" t="s">
        <v>160</v>
      </c>
      <c r="AG7" s="142">
        <v>40061.538696289062</v>
      </c>
      <c r="AH7" s="148" t="s">
        <v>215</v>
      </c>
      <c r="AI7">
        <v>1</v>
      </c>
      <c r="AJ7">
        <v>1</v>
      </c>
      <c r="AK7" t="s">
        <v>214</v>
      </c>
      <c r="AL7" t="s">
        <v>216</v>
      </c>
      <c r="AM7" s="136" t="s">
        <v>219</v>
      </c>
      <c r="AN7">
        <v>40.04917578125</v>
      </c>
      <c r="AO7" t="s">
        <v>162</v>
      </c>
      <c r="AP7" t="s">
        <v>162</v>
      </c>
      <c r="AQ7" t="s">
        <v>162</v>
      </c>
      <c r="AR7" t="s">
        <v>214</v>
      </c>
      <c r="AS7" t="s">
        <v>220</v>
      </c>
      <c r="AT7" t="s">
        <v>221</v>
      </c>
      <c r="AU7" t="s">
        <v>225</v>
      </c>
      <c r="AV7" t="s">
        <v>230</v>
      </c>
      <c r="AW7" s="167">
        <v>184</v>
      </c>
      <c r="AX7" s="168">
        <v>1.782</v>
      </c>
      <c r="AY7" s="148" t="s">
        <v>232</v>
      </c>
      <c r="AZ7" t="s">
        <v>163</v>
      </c>
      <c r="BA7" t="s">
        <v>164</v>
      </c>
      <c r="BB7" t="s">
        <v>245</v>
      </c>
      <c r="BC7">
        <v>2</v>
      </c>
      <c r="BD7" s="137">
        <v>1.7976348343292869E-2</v>
      </c>
      <c r="BE7" s="145">
        <v>14.564587436053801</v>
      </c>
      <c r="BF7" t="s">
        <v>233</v>
      </c>
      <c r="BG7">
        <v>0.24700593412319299</v>
      </c>
      <c r="BH7">
        <v>0.88</v>
      </c>
      <c r="BI7" t="s">
        <v>278</v>
      </c>
      <c r="BJ7" t="s">
        <v>278</v>
      </c>
      <c r="BK7" s="2">
        <v>1.85</v>
      </c>
      <c r="BL7" t="s">
        <v>278</v>
      </c>
      <c r="BM7" t="s">
        <v>278</v>
      </c>
      <c r="BN7" t="s">
        <v>279</v>
      </c>
      <c r="BO7" t="s">
        <v>280</v>
      </c>
      <c r="BP7" s="158">
        <v>14.5724886363636</v>
      </c>
      <c r="BQ7" t="s">
        <v>287</v>
      </c>
      <c r="BR7" s="160" t="s">
        <v>288</v>
      </c>
      <c r="BS7" t="s">
        <v>286</v>
      </c>
      <c r="BT7" t="s">
        <v>289</v>
      </c>
      <c r="BU7">
        <v>25</v>
      </c>
      <c r="BV7" t="s">
        <v>165</v>
      </c>
      <c r="BW7" t="s">
        <v>165</v>
      </c>
      <c r="BX7" s="145">
        <v>27.741484971839299</v>
      </c>
      <c r="BY7" t="s">
        <v>290</v>
      </c>
      <c r="BZ7" s="137">
        <v>0.62356327025979796</v>
      </c>
      <c r="CA7" s="137">
        <v>0.68956573080905403</v>
      </c>
      <c r="CB7" t="s">
        <v>291</v>
      </c>
      <c r="CC7">
        <v>3.2522327185689699</v>
      </c>
      <c r="CD7" t="s">
        <v>292</v>
      </c>
      <c r="CE7">
        <v>9.7566981557069096E-2</v>
      </c>
      <c r="CF7">
        <v>9.7566981557069096E-2</v>
      </c>
      <c r="CG7" t="s">
        <v>295</v>
      </c>
      <c r="CH7" t="s">
        <v>162</v>
      </c>
      <c r="CI7" t="s">
        <v>293</v>
      </c>
      <c r="CJ7" t="s">
        <v>296</v>
      </c>
      <c r="CK7" t="s">
        <v>165</v>
      </c>
      <c r="CL7" t="s">
        <v>165</v>
      </c>
      <c r="CM7" t="s">
        <v>294</v>
      </c>
      <c r="CN7" t="s">
        <v>162</v>
      </c>
      <c r="CO7" t="s">
        <v>162</v>
      </c>
      <c r="CP7" t="s">
        <v>162</v>
      </c>
      <c r="CQ7" t="s">
        <v>162</v>
      </c>
      <c r="CR7" t="s">
        <v>162</v>
      </c>
      <c r="CS7" t="s">
        <v>162</v>
      </c>
      <c r="CT7" t="s">
        <v>162</v>
      </c>
      <c r="CU7" s="139">
        <v>35</v>
      </c>
      <c r="CV7" t="s">
        <v>161</v>
      </c>
      <c r="CW7">
        <v>1</v>
      </c>
      <c r="CX7" t="s">
        <v>297</v>
      </c>
      <c r="CY7">
        <v>17</v>
      </c>
      <c r="CZ7" t="s">
        <v>170</v>
      </c>
      <c r="DA7" t="s">
        <v>170</v>
      </c>
      <c r="DB7" t="s">
        <v>298</v>
      </c>
      <c r="DC7">
        <v>38</v>
      </c>
      <c r="DD7" t="s">
        <v>170</v>
      </c>
      <c r="DE7" t="s">
        <v>170</v>
      </c>
      <c r="DF7" t="s">
        <v>298</v>
      </c>
      <c r="DG7" t="s">
        <v>166</v>
      </c>
      <c r="DH7" t="s">
        <v>167</v>
      </c>
      <c r="DI7" t="s">
        <v>167</v>
      </c>
      <c r="DJ7" t="s">
        <v>167</v>
      </c>
      <c r="DK7" s="136">
        <v>432.56244218316402</v>
      </c>
      <c r="DL7" t="s">
        <v>168</v>
      </c>
      <c r="DM7" s="136">
        <v>12.3589269195193</v>
      </c>
      <c r="DN7" t="s">
        <v>169</v>
      </c>
      <c r="DO7">
        <v>38.700000000000003</v>
      </c>
      <c r="DP7" t="s">
        <v>299</v>
      </c>
      <c r="DQ7">
        <v>0.2</v>
      </c>
      <c r="DR7" t="s">
        <v>300</v>
      </c>
      <c r="DS7" t="s">
        <v>301</v>
      </c>
      <c r="DT7" t="s">
        <v>302</v>
      </c>
      <c r="DU7">
        <v>1.0271999999999999</v>
      </c>
      <c r="DV7" t="s">
        <v>170</v>
      </c>
      <c r="DW7" t="s">
        <v>170</v>
      </c>
      <c r="DX7" t="s">
        <v>177</v>
      </c>
      <c r="DY7" t="s">
        <v>170</v>
      </c>
      <c r="DZ7" t="s">
        <v>170</v>
      </c>
      <c r="EA7" t="s">
        <v>303</v>
      </c>
      <c r="EB7" t="s">
        <v>171</v>
      </c>
      <c r="EC7" t="s">
        <v>304</v>
      </c>
      <c r="ED7" t="s">
        <v>304</v>
      </c>
      <c r="EE7" t="s">
        <v>304</v>
      </c>
      <c r="EF7" t="s">
        <v>304</v>
      </c>
      <c r="EG7" t="s">
        <v>162</v>
      </c>
      <c r="EH7" t="s">
        <v>172</v>
      </c>
      <c r="EI7" t="s">
        <v>305</v>
      </c>
      <c r="EJ7" t="s">
        <v>162</v>
      </c>
      <c r="EK7" s="140">
        <v>1750</v>
      </c>
      <c r="EL7" t="s">
        <v>173</v>
      </c>
      <c r="EM7">
        <v>150</v>
      </c>
      <c r="EN7">
        <v>150</v>
      </c>
      <c r="EO7" t="s">
        <v>306</v>
      </c>
      <c r="EP7" t="s">
        <v>306</v>
      </c>
      <c r="EQ7" t="s">
        <v>306</v>
      </c>
      <c r="ER7" t="s">
        <v>306</v>
      </c>
      <c r="ES7">
        <v>7.8064233268481296</v>
      </c>
      <c r="ET7" s="138" t="s">
        <v>174</v>
      </c>
      <c r="EU7" s="161">
        <v>3.5568013260197803E-2</v>
      </c>
      <c r="EV7" s="161">
        <v>3.5568013260197803E-2</v>
      </c>
      <c r="EW7" s="142">
        <v>631.36021984907802</v>
      </c>
      <c r="EX7" s="138">
        <v>0</v>
      </c>
      <c r="EY7" s="138" t="s">
        <v>308</v>
      </c>
      <c r="EZ7" s="142">
        <v>631.36021984907802</v>
      </c>
      <c r="FA7" s="142">
        <v>113.42440985227699</v>
      </c>
      <c r="FB7" s="142">
        <v>104.64873297579106</v>
      </c>
      <c r="FC7" s="164" t="s">
        <v>309</v>
      </c>
      <c r="FD7" t="s">
        <v>310</v>
      </c>
      <c r="FE7" t="s">
        <v>175</v>
      </c>
      <c r="FF7" t="s">
        <v>175</v>
      </c>
      <c r="FG7" t="s">
        <v>175</v>
      </c>
      <c r="FH7">
        <v>1848.7162658929101</v>
      </c>
      <c r="FI7">
        <v>195.53512871201701</v>
      </c>
      <c r="FJ7">
        <v>194.47184204427401</v>
      </c>
      <c r="FK7">
        <v>6.6155149128660096</v>
      </c>
      <c r="FL7">
        <v>0.79383969498416396</v>
      </c>
      <c r="FM7">
        <v>0.878552408547986</v>
      </c>
      <c r="FN7">
        <v>4.2016471982405399</v>
      </c>
      <c r="FO7">
        <v>0.50807514637150797</v>
      </c>
      <c r="FP7">
        <v>0.56437630951721296</v>
      </c>
      <c r="FQ7" t="s">
        <v>317</v>
      </c>
    </row>
    <row r="8" spans="1:191">
      <c r="A8" s="128" t="s">
        <v>152</v>
      </c>
      <c r="B8" t="s">
        <v>156</v>
      </c>
      <c r="C8">
        <v>2020</v>
      </c>
      <c r="D8" t="s">
        <v>194</v>
      </c>
      <c r="E8" s="142">
        <v>40110.877990722656</v>
      </c>
      <c r="F8">
        <v>1</v>
      </c>
      <c r="G8">
        <v>1</v>
      </c>
      <c r="H8" s="132">
        <v>674.99098656426702</v>
      </c>
      <c r="I8" s="132">
        <v>131.26644816631995</v>
      </c>
      <c r="J8" s="132">
        <v>107.60447580824507</v>
      </c>
      <c r="K8" t="s">
        <v>157</v>
      </c>
      <c r="L8" s="133" t="s">
        <v>158</v>
      </c>
      <c r="M8" s="134" t="s">
        <v>195</v>
      </c>
      <c r="N8" t="s">
        <v>194</v>
      </c>
      <c r="O8" t="s">
        <v>196</v>
      </c>
      <c r="P8" t="s">
        <v>159</v>
      </c>
      <c r="Q8">
        <v>6</v>
      </c>
      <c r="R8">
        <v>5</v>
      </c>
      <c r="S8">
        <v>7</v>
      </c>
      <c r="T8">
        <v>8.5</v>
      </c>
      <c r="U8" s="146">
        <v>44.277500000000003</v>
      </c>
      <c r="V8">
        <v>44.277500000000003</v>
      </c>
      <c r="W8" t="s">
        <v>203</v>
      </c>
      <c r="X8" t="s">
        <v>209</v>
      </c>
      <c r="Y8" s="147">
        <v>9.2656670000000005</v>
      </c>
      <c r="Z8" s="147">
        <v>-54.544032999999999</v>
      </c>
      <c r="AA8" s="147">
        <v>0.8</v>
      </c>
      <c r="AB8" s="135" t="s">
        <v>162</v>
      </c>
      <c r="AC8" s="135">
        <v>-2549</v>
      </c>
      <c r="AD8" s="135">
        <v>-2850</v>
      </c>
      <c r="AE8" t="s">
        <v>210</v>
      </c>
      <c r="AF8" t="s">
        <v>160</v>
      </c>
      <c r="AG8" s="142">
        <v>40110.877990722656</v>
      </c>
      <c r="AH8" s="148" t="s">
        <v>215</v>
      </c>
      <c r="AI8">
        <v>1</v>
      </c>
      <c r="AJ8">
        <v>1</v>
      </c>
      <c r="AK8" t="s">
        <v>214</v>
      </c>
      <c r="AL8" t="s">
        <v>216</v>
      </c>
      <c r="AM8" s="136" t="s">
        <v>219</v>
      </c>
      <c r="AN8">
        <v>40.087566406249998</v>
      </c>
      <c r="AO8" t="s">
        <v>162</v>
      </c>
      <c r="AP8" t="s">
        <v>162</v>
      </c>
      <c r="AQ8" t="s">
        <v>162</v>
      </c>
      <c r="AR8" t="s">
        <v>214</v>
      </c>
      <c r="AS8" t="s">
        <v>220</v>
      </c>
      <c r="AT8" t="s">
        <v>221</v>
      </c>
      <c r="AU8" t="s">
        <v>225</v>
      </c>
      <c r="AV8" t="s">
        <v>230</v>
      </c>
      <c r="AW8" s="167">
        <v>308</v>
      </c>
      <c r="AX8" s="168">
        <v>3.6960000000000002</v>
      </c>
      <c r="AY8" s="148" t="s">
        <v>232</v>
      </c>
      <c r="AZ8" t="s">
        <v>163</v>
      </c>
      <c r="BA8" t="s">
        <v>164</v>
      </c>
      <c r="BB8" t="s">
        <v>243</v>
      </c>
      <c r="BC8">
        <v>2</v>
      </c>
      <c r="BD8" s="137">
        <v>0.13977055823046489</v>
      </c>
      <c r="BE8" s="145">
        <v>14.6850925764235</v>
      </c>
      <c r="BF8" t="s">
        <v>233</v>
      </c>
      <c r="BG8">
        <v>0.22685732109957599</v>
      </c>
      <c r="BH8">
        <v>0.88</v>
      </c>
      <c r="BI8" t="s">
        <v>278</v>
      </c>
      <c r="BJ8" t="s">
        <v>278</v>
      </c>
      <c r="BK8" s="2">
        <v>1.85</v>
      </c>
      <c r="BL8" t="s">
        <v>278</v>
      </c>
      <c r="BM8" t="s">
        <v>278</v>
      </c>
      <c r="BN8" t="s">
        <v>279</v>
      </c>
      <c r="BO8" t="s">
        <v>280</v>
      </c>
      <c r="BP8" s="158">
        <v>14.7094204545455</v>
      </c>
      <c r="BQ8" t="s">
        <v>287</v>
      </c>
      <c r="BR8" s="160" t="s">
        <v>288</v>
      </c>
      <c r="BS8" t="s">
        <v>286</v>
      </c>
      <c r="BT8" t="s">
        <v>289</v>
      </c>
      <c r="BU8">
        <v>25</v>
      </c>
      <c r="BV8" t="s">
        <v>165</v>
      </c>
      <c r="BW8" t="s">
        <v>165</v>
      </c>
      <c r="BX8" s="145">
        <v>32.183422190586199</v>
      </c>
      <c r="BY8" t="s">
        <v>290</v>
      </c>
      <c r="BZ8" s="137">
        <v>0.61013274995891498</v>
      </c>
      <c r="CA8" s="137">
        <v>0.73558772674290995</v>
      </c>
      <c r="CB8" t="s">
        <v>291</v>
      </c>
      <c r="CC8">
        <v>4.2620540789519401</v>
      </c>
      <c r="CD8" t="s">
        <v>292</v>
      </c>
      <c r="CE8">
        <v>0.12786162236855819</v>
      </c>
      <c r="CF8">
        <v>0.12786162236855819</v>
      </c>
      <c r="CG8" t="s">
        <v>295</v>
      </c>
      <c r="CH8" t="s">
        <v>162</v>
      </c>
      <c r="CI8" t="s">
        <v>293</v>
      </c>
      <c r="CJ8" t="s">
        <v>296</v>
      </c>
      <c r="CK8" t="s">
        <v>165</v>
      </c>
      <c r="CL8" t="s">
        <v>165</v>
      </c>
      <c r="CM8" t="s">
        <v>294</v>
      </c>
      <c r="CN8" t="s">
        <v>162</v>
      </c>
      <c r="CO8" t="s">
        <v>162</v>
      </c>
      <c r="CP8" t="s">
        <v>162</v>
      </c>
      <c r="CQ8" t="s">
        <v>162</v>
      </c>
      <c r="CR8" t="s">
        <v>162</v>
      </c>
      <c r="CS8" t="s">
        <v>162</v>
      </c>
      <c r="CT8" t="s">
        <v>162</v>
      </c>
      <c r="CU8" s="139">
        <v>35</v>
      </c>
      <c r="CV8" t="s">
        <v>161</v>
      </c>
      <c r="CW8">
        <v>1</v>
      </c>
      <c r="CX8" t="s">
        <v>297</v>
      </c>
      <c r="CY8">
        <v>17</v>
      </c>
      <c r="CZ8" t="s">
        <v>170</v>
      </c>
      <c r="DA8" t="s">
        <v>170</v>
      </c>
      <c r="DB8" t="s">
        <v>298</v>
      </c>
      <c r="DC8">
        <v>38</v>
      </c>
      <c r="DD8" t="s">
        <v>170</v>
      </c>
      <c r="DE8" t="s">
        <v>170</v>
      </c>
      <c r="DF8" t="s">
        <v>298</v>
      </c>
      <c r="DG8" t="s">
        <v>166</v>
      </c>
      <c r="DH8" t="s">
        <v>167</v>
      </c>
      <c r="DI8" t="s">
        <v>167</v>
      </c>
      <c r="DJ8" t="s">
        <v>167</v>
      </c>
      <c r="DK8" s="136">
        <v>432.56244218316402</v>
      </c>
      <c r="DL8" t="s">
        <v>168</v>
      </c>
      <c r="DM8" s="136">
        <v>12.3589269195194</v>
      </c>
      <c r="DN8" t="s">
        <v>169</v>
      </c>
      <c r="DO8">
        <v>38.700000000000003</v>
      </c>
      <c r="DP8" t="s">
        <v>299</v>
      </c>
      <c r="DQ8">
        <v>0.2</v>
      </c>
      <c r="DR8" t="s">
        <v>300</v>
      </c>
      <c r="DS8" t="s">
        <v>301</v>
      </c>
      <c r="DT8" t="s">
        <v>302</v>
      </c>
      <c r="DU8">
        <v>1.0271999999999999</v>
      </c>
      <c r="DV8" t="s">
        <v>170</v>
      </c>
      <c r="DW8" t="s">
        <v>170</v>
      </c>
      <c r="DX8" t="s">
        <v>177</v>
      </c>
      <c r="DY8" t="s">
        <v>170</v>
      </c>
      <c r="DZ8" t="s">
        <v>170</v>
      </c>
      <c r="EA8" t="s">
        <v>303</v>
      </c>
      <c r="EB8" t="s">
        <v>171</v>
      </c>
      <c r="EC8" t="s">
        <v>304</v>
      </c>
      <c r="ED8" t="s">
        <v>304</v>
      </c>
      <c r="EE8" t="s">
        <v>304</v>
      </c>
      <c r="EF8" t="s">
        <v>304</v>
      </c>
      <c r="EG8" t="s">
        <v>162</v>
      </c>
      <c r="EH8" t="s">
        <v>172</v>
      </c>
      <c r="EI8" t="s">
        <v>305</v>
      </c>
      <c r="EJ8" t="s">
        <v>162</v>
      </c>
      <c r="EK8" s="140">
        <v>1750</v>
      </c>
      <c r="EL8" t="s">
        <v>173</v>
      </c>
      <c r="EM8">
        <v>150</v>
      </c>
      <c r="EN8">
        <v>150</v>
      </c>
      <c r="EO8" t="s">
        <v>306</v>
      </c>
      <c r="EP8" t="s">
        <v>306</v>
      </c>
      <c r="EQ8" t="s">
        <v>306</v>
      </c>
      <c r="ER8" t="s">
        <v>306</v>
      </c>
      <c r="ES8">
        <v>7.7766950699256903</v>
      </c>
      <c r="ET8" s="138" t="s">
        <v>174</v>
      </c>
      <c r="EU8" s="161">
        <v>3.67647873996041E-2</v>
      </c>
      <c r="EV8" s="161">
        <v>3.67647873996041E-2</v>
      </c>
      <c r="EW8" s="142">
        <v>674.99098656426702</v>
      </c>
      <c r="EX8" s="138">
        <v>0</v>
      </c>
      <c r="EY8" s="138" t="s">
        <v>308</v>
      </c>
      <c r="EZ8" s="142">
        <v>674.99098656426702</v>
      </c>
      <c r="FA8" s="142">
        <v>131.26644816631995</v>
      </c>
      <c r="FB8" s="142">
        <v>107.60447580824507</v>
      </c>
      <c r="FC8" s="164" t="s">
        <v>309</v>
      </c>
      <c r="FD8" t="s">
        <v>310</v>
      </c>
      <c r="FE8" t="s">
        <v>175</v>
      </c>
      <c r="FF8" t="s">
        <v>175</v>
      </c>
      <c r="FG8" t="s">
        <v>175</v>
      </c>
      <c r="FH8">
        <v>1813.1306715234</v>
      </c>
      <c r="FI8">
        <v>196.531763286044</v>
      </c>
      <c r="FJ8">
        <v>189.455572649288</v>
      </c>
      <c r="FK8">
        <v>4.1803879690233998</v>
      </c>
      <c r="FL8">
        <v>0.55423076506730695</v>
      </c>
      <c r="FM8">
        <v>0.53565045508783604</v>
      </c>
      <c r="FN8">
        <v>2.58533941726659</v>
      </c>
      <c r="FO8">
        <v>0.346741559772685</v>
      </c>
      <c r="FP8">
        <v>0.33448968563154202</v>
      </c>
      <c r="FQ8" t="s">
        <v>317</v>
      </c>
    </row>
    <row r="9" spans="1:191">
      <c r="A9" s="128" t="s">
        <v>152</v>
      </c>
      <c r="B9" t="s">
        <v>156</v>
      </c>
      <c r="C9">
        <v>2020</v>
      </c>
      <c r="D9" t="s">
        <v>194</v>
      </c>
      <c r="E9" s="142">
        <v>40250.213623046875</v>
      </c>
      <c r="F9">
        <v>1</v>
      </c>
      <c r="G9">
        <v>1</v>
      </c>
      <c r="H9" s="132">
        <v>676.89531994945401</v>
      </c>
      <c r="I9" s="132">
        <v>129.70585838387501</v>
      </c>
      <c r="J9" s="132">
        <v>109.25173014523705</v>
      </c>
      <c r="K9" t="s">
        <v>157</v>
      </c>
      <c r="L9" s="133" t="s">
        <v>158</v>
      </c>
      <c r="M9" s="134" t="s">
        <v>195</v>
      </c>
      <c r="N9" t="s">
        <v>194</v>
      </c>
      <c r="O9" t="s">
        <v>196</v>
      </c>
      <c r="P9" t="s">
        <v>200</v>
      </c>
      <c r="Q9">
        <v>1</v>
      </c>
      <c r="R9">
        <v>5</v>
      </c>
      <c r="S9">
        <v>87</v>
      </c>
      <c r="T9">
        <v>88.5</v>
      </c>
      <c r="U9" s="146">
        <v>47.077500000000001</v>
      </c>
      <c r="V9">
        <v>47.077500000000001</v>
      </c>
      <c r="W9" t="s">
        <v>203</v>
      </c>
      <c r="X9" t="s">
        <v>209</v>
      </c>
      <c r="Y9" s="147">
        <v>9.2656670000000005</v>
      </c>
      <c r="Z9" s="147">
        <v>-54.544032999999999</v>
      </c>
      <c r="AA9" s="147">
        <v>0.8</v>
      </c>
      <c r="AB9" s="135" t="s">
        <v>162</v>
      </c>
      <c r="AC9" s="135">
        <v>-2549</v>
      </c>
      <c r="AD9" s="135">
        <v>-2850</v>
      </c>
      <c r="AE9" t="s">
        <v>210</v>
      </c>
      <c r="AF9" t="s">
        <v>160</v>
      </c>
      <c r="AG9" s="142">
        <v>40250.213623046875</v>
      </c>
      <c r="AH9" s="148" t="s">
        <v>215</v>
      </c>
      <c r="AI9">
        <v>1</v>
      </c>
      <c r="AJ9">
        <v>1</v>
      </c>
      <c r="AK9" t="s">
        <v>214</v>
      </c>
      <c r="AL9" t="s">
        <v>216</v>
      </c>
      <c r="AM9" s="136" t="s">
        <v>219</v>
      </c>
      <c r="AN9">
        <v>40.23960546875</v>
      </c>
      <c r="AO9" t="s">
        <v>162</v>
      </c>
      <c r="AP9" t="s">
        <v>162</v>
      </c>
      <c r="AQ9" t="s">
        <v>162</v>
      </c>
      <c r="AR9" t="s">
        <v>214</v>
      </c>
      <c r="AS9" t="s">
        <v>220</v>
      </c>
      <c r="AT9" t="s">
        <v>221</v>
      </c>
      <c r="AU9" t="s">
        <v>225</v>
      </c>
      <c r="AV9" t="s">
        <v>230</v>
      </c>
      <c r="AW9" s="167">
        <v>282</v>
      </c>
      <c r="AX9" s="168">
        <v>4.548</v>
      </c>
      <c r="AY9" s="148" t="s">
        <v>232</v>
      </c>
      <c r="AZ9" t="s">
        <v>163</v>
      </c>
      <c r="BA9" t="s">
        <v>164</v>
      </c>
      <c r="BB9" t="s">
        <v>247</v>
      </c>
      <c r="BC9">
        <v>2</v>
      </c>
      <c r="BD9" s="137">
        <v>6.7540019185246422E-2</v>
      </c>
      <c r="BE9" s="145">
        <v>14.987611163078199</v>
      </c>
      <c r="BF9" t="s">
        <v>233</v>
      </c>
      <c r="BG9">
        <v>0.21420067332152301</v>
      </c>
      <c r="BH9">
        <v>0.88</v>
      </c>
      <c r="BI9" t="s">
        <v>278</v>
      </c>
      <c r="BJ9" t="s">
        <v>278</v>
      </c>
      <c r="BK9" s="2">
        <v>1.85</v>
      </c>
      <c r="BL9" t="s">
        <v>278</v>
      </c>
      <c r="BM9" t="s">
        <v>278</v>
      </c>
      <c r="BN9" t="s">
        <v>279</v>
      </c>
      <c r="BO9" t="s">
        <v>280</v>
      </c>
      <c r="BP9" s="158">
        <v>15.0531931818182</v>
      </c>
      <c r="BQ9" t="s">
        <v>287</v>
      </c>
      <c r="BR9" s="160" t="s">
        <v>288</v>
      </c>
      <c r="BS9" t="s">
        <v>286</v>
      </c>
      <c r="BT9" t="s">
        <v>289</v>
      </c>
      <c r="BU9">
        <v>25</v>
      </c>
      <c r="BV9" t="s">
        <v>165</v>
      </c>
      <c r="BW9" t="s">
        <v>165</v>
      </c>
      <c r="BX9" s="145">
        <v>30.360656757512899</v>
      </c>
      <c r="BY9" t="s">
        <v>290</v>
      </c>
      <c r="BZ9" s="137">
        <v>0.63494873591331902</v>
      </c>
      <c r="CA9" s="137">
        <v>0.67572513010292901</v>
      </c>
      <c r="CB9" t="s">
        <v>291</v>
      </c>
      <c r="CC9">
        <v>3.6954073926253899</v>
      </c>
      <c r="CD9" t="s">
        <v>292</v>
      </c>
      <c r="CE9">
        <v>0.11086222177876169</v>
      </c>
      <c r="CF9">
        <v>0.11086222177876169</v>
      </c>
      <c r="CG9" t="s">
        <v>295</v>
      </c>
      <c r="CH9" t="s">
        <v>162</v>
      </c>
      <c r="CI9" t="s">
        <v>293</v>
      </c>
      <c r="CJ9" t="s">
        <v>296</v>
      </c>
      <c r="CK9" t="s">
        <v>165</v>
      </c>
      <c r="CL9" t="s">
        <v>165</v>
      </c>
      <c r="CM9" t="s">
        <v>294</v>
      </c>
      <c r="CN9" t="s">
        <v>162</v>
      </c>
      <c r="CO9" t="s">
        <v>162</v>
      </c>
      <c r="CP9" t="s">
        <v>162</v>
      </c>
      <c r="CQ9" t="s">
        <v>162</v>
      </c>
      <c r="CR9" t="s">
        <v>162</v>
      </c>
      <c r="CS9" t="s">
        <v>162</v>
      </c>
      <c r="CT9" t="s">
        <v>162</v>
      </c>
      <c r="CU9" s="139">
        <v>35</v>
      </c>
      <c r="CV9" t="s">
        <v>161</v>
      </c>
      <c r="CW9">
        <v>1</v>
      </c>
      <c r="CX9" t="s">
        <v>297</v>
      </c>
      <c r="CY9">
        <v>17</v>
      </c>
      <c r="CZ9" t="s">
        <v>170</v>
      </c>
      <c r="DA9" t="s">
        <v>170</v>
      </c>
      <c r="DB9" t="s">
        <v>298</v>
      </c>
      <c r="DC9">
        <v>38</v>
      </c>
      <c r="DD9" t="s">
        <v>170</v>
      </c>
      <c r="DE9" t="s">
        <v>170</v>
      </c>
      <c r="DF9" t="s">
        <v>298</v>
      </c>
      <c r="DG9" t="s">
        <v>166</v>
      </c>
      <c r="DH9" t="s">
        <v>167</v>
      </c>
      <c r="DI9" t="s">
        <v>167</v>
      </c>
      <c r="DJ9" t="s">
        <v>167</v>
      </c>
      <c r="DK9" s="136">
        <v>432.56244218316402</v>
      </c>
      <c r="DL9" t="s">
        <v>168</v>
      </c>
      <c r="DM9" s="136">
        <v>12.358926919519501</v>
      </c>
      <c r="DN9" t="s">
        <v>169</v>
      </c>
      <c r="DO9">
        <v>38.700000000000003</v>
      </c>
      <c r="DP9" t="s">
        <v>299</v>
      </c>
      <c r="DQ9">
        <v>0.2</v>
      </c>
      <c r="DR9" t="s">
        <v>300</v>
      </c>
      <c r="DS9" t="s">
        <v>301</v>
      </c>
      <c r="DT9" t="s">
        <v>302</v>
      </c>
      <c r="DU9">
        <v>1.0271999999999999</v>
      </c>
      <c r="DV9" t="s">
        <v>170</v>
      </c>
      <c r="DW9" t="s">
        <v>170</v>
      </c>
      <c r="DX9" t="s">
        <v>177</v>
      </c>
      <c r="DY9" t="s">
        <v>170</v>
      </c>
      <c r="DZ9" t="s">
        <v>170</v>
      </c>
      <c r="EA9" t="s">
        <v>303</v>
      </c>
      <c r="EB9" t="s">
        <v>171</v>
      </c>
      <c r="EC9" t="s">
        <v>304</v>
      </c>
      <c r="ED9" t="s">
        <v>304</v>
      </c>
      <c r="EE9" t="s">
        <v>304</v>
      </c>
      <c r="EF9" t="s">
        <v>304</v>
      </c>
      <c r="EG9" t="s">
        <v>162</v>
      </c>
      <c r="EH9" t="s">
        <v>172</v>
      </c>
      <c r="EI9" t="s">
        <v>305</v>
      </c>
      <c r="EJ9" t="s">
        <v>162</v>
      </c>
      <c r="EK9" s="140">
        <v>1750</v>
      </c>
      <c r="EL9" t="s">
        <v>173</v>
      </c>
      <c r="EM9">
        <v>150</v>
      </c>
      <c r="EN9">
        <v>150</v>
      </c>
      <c r="EO9" t="s">
        <v>306</v>
      </c>
      <c r="EP9" t="s">
        <v>306</v>
      </c>
      <c r="EQ9" t="s">
        <v>306</v>
      </c>
      <c r="ER9" t="s">
        <v>306</v>
      </c>
      <c r="ES9">
        <v>7.8434000330476499</v>
      </c>
      <c r="ET9" s="138" t="s">
        <v>174</v>
      </c>
      <c r="EU9" s="161">
        <v>3.1418554113129202E-2</v>
      </c>
      <c r="EV9" s="161">
        <v>3.1418554113129202E-2</v>
      </c>
      <c r="EW9" s="142">
        <v>676.89531994945401</v>
      </c>
      <c r="EX9" s="138">
        <v>0</v>
      </c>
      <c r="EY9" s="138" t="s">
        <v>308</v>
      </c>
      <c r="EZ9" s="142">
        <v>676.89531994945401</v>
      </c>
      <c r="FA9" s="142">
        <v>129.70585838387501</v>
      </c>
      <c r="FB9" s="142">
        <v>109.25173014523705</v>
      </c>
      <c r="FC9" s="164" t="s">
        <v>309</v>
      </c>
      <c r="FD9" t="s">
        <v>310</v>
      </c>
      <c r="FE9" t="s">
        <v>175</v>
      </c>
      <c r="FF9" t="s">
        <v>175</v>
      </c>
      <c r="FG9" t="s">
        <v>175</v>
      </c>
      <c r="FH9">
        <v>1840.0822916591101</v>
      </c>
      <c r="FI9">
        <v>190.21663634202699</v>
      </c>
      <c r="FJ9">
        <v>206.20915479879801</v>
      </c>
      <c r="FK9">
        <v>5.3173021720943803</v>
      </c>
      <c r="FL9">
        <v>0.65840041560247198</v>
      </c>
      <c r="FM9">
        <v>0.66135355141371199</v>
      </c>
      <c r="FN9">
        <v>3.3382209742016302</v>
      </c>
      <c r="FO9">
        <v>0.41425186760264798</v>
      </c>
      <c r="FP9">
        <v>0.41814251116135898</v>
      </c>
      <c r="FQ9" t="s">
        <v>317</v>
      </c>
    </row>
    <row r="10" spans="1:191">
      <c r="A10" s="128" t="s">
        <v>152</v>
      </c>
      <c r="B10" t="s">
        <v>156</v>
      </c>
      <c r="C10">
        <v>2020</v>
      </c>
      <c r="D10" t="s">
        <v>194</v>
      </c>
      <c r="E10" s="142">
        <v>40394.073486328125</v>
      </c>
      <c r="F10">
        <v>1</v>
      </c>
      <c r="G10">
        <v>1</v>
      </c>
      <c r="H10" s="132">
        <v>678.08936874989195</v>
      </c>
      <c r="I10" s="132">
        <v>115.74955245646106</v>
      </c>
      <c r="J10" s="132">
        <v>107.87112343026195</v>
      </c>
      <c r="K10" t="s">
        <v>157</v>
      </c>
      <c r="L10" s="133" t="s">
        <v>158</v>
      </c>
      <c r="M10" s="134" t="s">
        <v>195</v>
      </c>
      <c r="N10" t="s">
        <v>194</v>
      </c>
      <c r="O10" t="s">
        <v>196</v>
      </c>
      <c r="P10" t="s">
        <v>159</v>
      </c>
      <c r="Q10">
        <v>7</v>
      </c>
      <c r="R10">
        <v>1</v>
      </c>
      <c r="S10">
        <v>127</v>
      </c>
      <c r="T10">
        <v>128.5</v>
      </c>
      <c r="U10" s="146">
        <v>48.777500000000003</v>
      </c>
      <c r="V10">
        <v>49.277500000000003</v>
      </c>
      <c r="W10" t="s">
        <v>203</v>
      </c>
      <c r="X10" t="s">
        <v>209</v>
      </c>
      <c r="Y10" s="147">
        <v>9.2656670000000005</v>
      </c>
      <c r="Z10" s="147">
        <v>-54.544032999999999</v>
      </c>
      <c r="AA10" s="147">
        <v>0.8</v>
      </c>
      <c r="AB10" s="135" t="s">
        <v>162</v>
      </c>
      <c r="AC10" s="135">
        <v>-2549</v>
      </c>
      <c r="AD10" s="135">
        <v>-2850</v>
      </c>
      <c r="AE10" t="s">
        <v>210</v>
      </c>
      <c r="AF10" t="s">
        <v>160</v>
      </c>
      <c r="AG10" s="142">
        <v>40394.073486328125</v>
      </c>
      <c r="AH10" s="148" t="s">
        <v>215</v>
      </c>
      <c r="AI10">
        <v>1</v>
      </c>
      <c r="AJ10">
        <v>1</v>
      </c>
      <c r="AK10" t="s">
        <v>214</v>
      </c>
      <c r="AL10" t="s">
        <v>216</v>
      </c>
      <c r="AM10" s="136" t="s">
        <v>219</v>
      </c>
      <c r="AN10">
        <v>40.36436328125</v>
      </c>
      <c r="AO10" t="s">
        <v>162</v>
      </c>
      <c r="AP10" t="s">
        <v>162</v>
      </c>
      <c r="AQ10" t="s">
        <v>162</v>
      </c>
      <c r="AR10" t="s">
        <v>214</v>
      </c>
      <c r="AS10" t="s">
        <v>220</v>
      </c>
      <c r="AT10" t="s">
        <v>221</v>
      </c>
      <c r="AU10" t="s">
        <v>225</v>
      </c>
      <c r="AV10" t="s">
        <v>230</v>
      </c>
      <c r="AW10" s="167">
        <v>239</v>
      </c>
      <c r="AX10" s="168">
        <v>2.6560000000000001</v>
      </c>
      <c r="AY10" s="148" t="s">
        <v>232</v>
      </c>
      <c r="AZ10" t="s">
        <v>163</v>
      </c>
      <c r="BA10" t="s">
        <v>164</v>
      </c>
      <c r="BB10" t="s">
        <v>246</v>
      </c>
      <c r="BC10">
        <v>2</v>
      </c>
      <c r="BD10" s="137">
        <v>0.12676279350029063</v>
      </c>
      <c r="BE10" s="145">
        <v>15.076082614402701</v>
      </c>
      <c r="BF10" t="s">
        <v>233</v>
      </c>
      <c r="BG10">
        <v>0.24129436801325399</v>
      </c>
      <c r="BH10">
        <v>0.88</v>
      </c>
      <c r="BI10" t="s">
        <v>278</v>
      </c>
      <c r="BJ10" t="s">
        <v>278</v>
      </c>
      <c r="BK10" s="2">
        <v>1.85</v>
      </c>
      <c r="BL10" t="s">
        <v>278</v>
      </c>
      <c r="BM10" t="s">
        <v>278</v>
      </c>
      <c r="BN10" t="s">
        <v>279</v>
      </c>
      <c r="BO10" t="s">
        <v>280</v>
      </c>
      <c r="BP10" s="158">
        <v>15.1537272727273</v>
      </c>
      <c r="BQ10" t="s">
        <v>287</v>
      </c>
      <c r="BR10" s="160" t="s">
        <v>288</v>
      </c>
      <c r="BS10" t="s">
        <v>286</v>
      </c>
      <c r="BT10" t="s">
        <v>289</v>
      </c>
      <c r="BU10">
        <v>25</v>
      </c>
      <c r="BV10" t="s">
        <v>165</v>
      </c>
      <c r="BW10" t="s">
        <v>165</v>
      </c>
      <c r="BX10" s="145">
        <v>32.224107588749497</v>
      </c>
      <c r="BY10" t="s">
        <v>290</v>
      </c>
      <c r="BZ10" s="137">
        <v>0.65066252816971804</v>
      </c>
      <c r="CA10" s="137">
        <v>0.61239292703571402</v>
      </c>
      <c r="CB10" t="s">
        <v>291</v>
      </c>
      <c r="CC10">
        <v>4.13722042729081</v>
      </c>
      <c r="CD10" t="s">
        <v>292</v>
      </c>
      <c r="CE10">
        <v>0.1241166128187243</v>
      </c>
      <c r="CF10">
        <v>0.1241166128187243</v>
      </c>
      <c r="CG10" t="s">
        <v>295</v>
      </c>
      <c r="CH10" t="s">
        <v>162</v>
      </c>
      <c r="CI10" t="s">
        <v>293</v>
      </c>
      <c r="CJ10" t="s">
        <v>296</v>
      </c>
      <c r="CK10" t="s">
        <v>165</v>
      </c>
      <c r="CL10" t="s">
        <v>165</v>
      </c>
      <c r="CM10" t="s">
        <v>294</v>
      </c>
      <c r="CN10" t="s">
        <v>162</v>
      </c>
      <c r="CO10" t="s">
        <v>162</v>
      </c>
      <c r="CP10" t="s">
        <v>162</v>
      </c>
      <c r="CQ10" t="s">
        <v>162</v>
      </c>
      <c r="CR10" t="s">
        <v>162</v>
      </c>
      <c r="CS10" t="s">
        <v>162</v>
      </c>
      <c r="CT10" t="s">
        <v>162</v>
      </c>
      <c r="CU10" s="139">
        <v>35</v>
      </c>
      <c r="CV10" t="s">
        <v>161</v>
      </c>
      <c r="CW10">
        <v>1</v>
      </c>
      <c r="CX10" t="s">
        <v>297</v>
      </c>
      <c r="CY10">
        <v>17</v>
      </c>
      <c r="CZ10" t="s">
        <v>170</v>
      </c>
      <c r="DA10" t="s">
        <v>170</v>
      </c>
      <c r="DB10" t="s">
        <v>298</v>
      </c>
      <c r="DC10">
        <v>38</v>
      </c>
      <c r="DD10" t="s">
        <v>170</v>
      </c>
      <c r="DE10" t="s">
        <v>170</v>
      </c>
      <c r="DF10" t="s">
        <v>298</v>
      </c>
      <c r="DG10" t="s">
        <v>166</v>
      </c>
      <c r="DH10" t="s">
        <v>167</v>
      </c>
      <c r="DI10" t="s">
        <v>167</v>
      </c>
      <c r="DJ10" t="s">
        <v>167</v>
      </c>
      <c r="DK10" s="136">
        <v>432.56244218316402</v>
      </c>
      <c r="DL10" t="s">
        <v>168</v>
      </c>
      <c r="DM10" s="136">
        <v>12.3589269195197</v>
      </c>
      <c r="DN10" t="s">
        <v>169</v>
      </c>
      <c r="DO10">
        <v>38.700000000000003</v>
      </c>
      <c r="DP10" t="s">
        <v>299</v>
      </c>
      <c r="DQ10">
        <v>0.2</v>
      </c>
      <c r="DR10" t="s">
        <v>300</v>
      </c>
      <c r="DS10" t="s">
        <v>301</v>
      </c>
      <c r="DT10" t="s">
        <v>302</v>
      </c>
      <c r="DU10">
        <v>1.0271999999999999</v>
      </c>
      <c r="DV10" t="s">
        <v>170</v>
      </c>
      <c r="DW10" t="s">
        <v>170</v>
      </c>
      <c r="DX10" t="s">
        <v>177</v>
      </c>
      <c r="DY10" t="s">
        <v>170</v>
      </c>
      <c r="DZ10" t="s">
        <v>170</v>
      </c>
      <c r="EA10" t="s">
        <v>303</v>
      </c>
      <c r="EB10" t="s">
        <v>171</v>
      </c>
      <c r="EC10" t="s">
        <v>304</v>
      </c>
      <c r="ED10" t="s">
        <v>304</v>
      </c>
      <c r="EE10" t="s">
        <v>304</v>
      </c>
      <c r="EF10" t="s">
        <v>304</v>
      </c>
      <c r="EG10" t="s">
        <v>162</v>
      </c>
      <c r="EH10" t="s">
        <v>172</v>
      </c>
      <c r="EI10" t="s">
        <v>305</v>
      </c>
      <c r="EJ10" t="s">
        <v>162</v>
      </c>
      <c r="EK10" s="140">
        <v>1750</v>
      </c>
      <c r="EL10" t="s">
        <v>173</v>
      </c>
      <c r="EM10">
        <v>150</v>
      </c>
      <c r="EN10">
        <v>150</v>
      </c>
      <c r="EO10" t="s">
        <v>306</v>
      </c>
      <c r="EP10" t="s">
        <v>306</v>
      </c>
      <c r="EQ10" t="s">
        <v>306</v>
      </c>
      <c r="ER10" t="s">
        <v>306</v>
      </c>
      <c r="ES10">
        <v>7.8357470576027701</v>
      </c>
      <c r="ET10" s="138" t="s">
        <v>174</v>
      </c>
      <c r="EU10" s="161">
        <v>3.0373861216128901E-2</v>
      </c>
      <c r="EV10" s="161">
        <v>3.0373861216128901E-2</v>
      </c>
      <c r="EW10" s="142">
        <v>678.08936874989195</v>
      </c>
      <c r="EX10" s="138">
        <v>0</v>
      </c>
      <c r="EY10" s="138" t="s">
        <v>308</v>
      </c>
      <c r="EZ10" s="142">
        <v>678.08936874989195</v>
      </c>
      <c r="FA10" s="142">
        <v>115.74955245646106</v>
      </c>
      <c r="FB10" s="142">
        <v>107.87112343026195</v>
      </c>
      <c r="FC10" s="164" t="s">
        <v>309</v>
      </c>
      <c r="FD10" t="s">
        <v>310</v>
      </c>
      <c r="FE10" t="s">
        <v>175</v>
      </c>
      <c r="FF10" t="s">
        <v>175</v>
      </c>
      <c r="FG10" t="s">
        <v>175</v>
      </c>
      <c r="FH10">
        <v>1852.6866051566899</v>
      </c>
      <c r="FI10">
        <v>198.783966882859</v>
      </c>
      <c r="FJ10">
        <v>191.389884157723</v>
      </c>
      <c r="FK10">
        <v>6.9294287832137602</v>
      </c>
      <c r="FL10">
        <v>0.85917996761083104</v>
      </c>
      <c r="FM10">
        <v>0.83664440571325105</v>
      </c>
      <c r="FN10">
        <v>4.4399060311832796</v>
      </c>
      <c r="FO10">
        <v>0.55375790361598098</v>
      </c>
      <c r="FP10">
        <v>0.53763409196618495</v>
      </c>
      <c r="FQ10" t="s">
        <v>317</v>
      </c>
    </row>
    <row r="11" spans="1:191">
      <c r="A11" s="128" t="s">
        <v>152</v>
      </c>
      <c r="B11" t="s">
        <v>156</v>
      </c>
      <c r="C11">
        <v>2020</v>
      </c>
      <c r="D11" t="s">
        <v>194</v>
      </c>
      <c r="E11" s="142">
        <v>40517.196655273438</v>
      </c>
      <c r="F11">
        <v>1</v>
      </c>
      <c r="G11">
        <v>1</v>
      </c>
      <c r="H11" s="132">
        <v>603.337489045913</v>
      </c>
      <c r="I11" s="132">
        <v>114.73506928078302</v>
      </c>
      <c r="J11" s="132">
        <v>91.257690418628044</v>
      </c>
      <c r="K11" t="s">
        <v>157</v>
      </c>
      <c r="L11" s="133" t="s">
        <v>158</v>
      </c>
      <c r="M11" s="134" t="s">
        <v>195</v>
      </c>
      <c r="N11" t="s">
        <v>194</v>
      </c>
      <c r="O11" t="s">
        <v>196</v>
      </c>
      <c r="P11" t="s">
        <v>159</v>
      </c>
      <c r="Q11">
        <v>7</v>
      </c>
      <c r="R11">
        <v>3</v>
      </c>
      <c r="S11">
        <v>57</v>
      </c>
      <c r="T11">
        <v>58.5</v>
      </c>
      <c r="U11" s="146">
        <v>51.077500000000001</v>
      </c>
      <c r="V11">
        <v>51.577500000000001</v>
      </c>
      <c r="W11" t="s">
        <v>203</v>
      </c>
      <c r="X11" t="s">
        <v>209</v>
      </c>
      <c r="Y11" s="147">
        <v>9.2656670000000005</v>
      </c>
      <c r="Z11" s="147">
        <v>-54.544032999999999</v>
      </c>
      <c r="AA11" s="147">
        <v>0.8</v>
      </c>
      <c r="AB11" s="135" t="s">
        <v>162</v>
      </c>
      <c r="AC11" s="135">
        <v>-2549</v>
      </c>
      <c r="AD11" s="135">
        <v>-2850</v>
      </c>
      <c r="AE11" t="s">
        <v>210</v>
      </c>
      <c r="AF11" t="s">
        <v>160</v>
      </c>
      <c r="AG11" s="142">
        <v>40517.196655273438</v>
      </c>
      <c r="AH11" s="148" t="s">
        <v>215</v>
      </c>
      <c r="AI11">
        <v>1</v>
      </c>
      <c r="AJ11">
        <v>1</v>
      </c>
      <c r="AK11" t="s">
        <v>214</v>
      </c>
      <c r="AL11" t="s">
        <v>216</v>
      </c>
      <c r="AM11" s="136" t="s">
        <v>219</v>
      </c>
      <c r="AN11">
        <v>40.484824218749999</v>
      </c>
      <c r="AO11" t="s">
        <v>162</v>
      </c>
      <c r="AP11" t="s">
        <v>162</v>
      </c>
      <c r="AQ11" t="s">
        <v>162</v>
      </c>
      <c r="AR11" t="s">
        <v>214</v>
      </c>
      <c r="AS11" t="s">
        <v>220</v>
      </c>
      <c r="AT11" t="s">
        <v>221</v>
      </c>
      <c r="AU11" t="s">
        <v>225</v>
      </c>
      <c r="AV11" t="s">
        <v>230</v>
      </c>
      <c r="AW11" s="167">
        <v>311</v>
      </c>
      <c r="AX11" s="168">
        <v>4.2889999999999997</v>
      </c>
      <c r="AY11" s="148" t="s">
        <v>232</v>
      </c>
      <c r="AZ11" t="s">
        <v>163</v>
      </c>
      <c r="BA11" t="s">
        <v>164</v>
      </c>
      <c r="BB11" t="s">
        <v>242</v>
      </c>
      <c r="BC11">
        <v>2</v>
      </c>
      <c r="BD11" s="137">
        <v>5.077347405562093E-2</v>
      </c>
      <c r="BE11" s="145">
        <v>15.033190335811099</v>
      </c>
      <c r="BF11" t="s">
        <v>233</v>
      </c>
      <c r="BG11">
        <v>0.21811436540529699</v>
      </c>
      <c r="BH11">
        <v>0.88</v>
      </c>
      <c r="BI11" t="s">
        <v>278</v>
      </c>
      <c r="BJ11" t="s">
        <v>278</v>
      </c>
      <c r="BK11" s="2">
        <v>1.85</v>
      </c>
      <c r="BL11" t="s">
        <v>278</v>
      </c>
      <c r="BM11" t="s">
        <v>278</v>
      </c>
      <c r="BN11" t="s">
        <v>279</v>
      </c>
      <c r="BO11" t="s">
        <v>280</v>
      </c>
      <c r="BP11" s="158">
        <v>15.104988636363601</v>
      </c>
      <c r="BQ11" t="s">
        <v>287</v>
      </c>
      <c r="BR11" s="160" t="s">
        <v>288</v>
      </c>
      <c r="BS11" t="s">
        <v>286</v>
      </c>
      <c r="BT11" t="s">
        <v>289</v>
      </c>
      <c r="BU11">
        <v>25</v>
      </c>
      <c r="BV11" t="s">
        <v>165</v>
      </c>
      <c r="BW11" t="s">
        <v>165</v>
      </c>
      <c r="BX11" s="145">
        <v>31.039650609651201</v>
      </c>
      <c r="BY11" t="s">
        <v>290</v>
      </c>
      <c r="BZ11" s="137">
        <v>0.67931967686998695</v>
      </c>
      <c r="CA11" s="137">
        <v>0.64343537375058801</v>
      </c>
      <c r="CB11" t="s">
        <v>291</v>
      </c>
      <c r="CC11">
        <v>3.7999497926307901</v>
      </c>
      <c r="CD11" t="s">
        <v>292</v>
      </c>
      <c r="CE11">
        <v>0.1139984937789237</v>
      </c>
      <c r="CF11">
        <v>0.1139984937789237</v>
      </c>
      <c r="CG11" t="s">
        <v>295</v>
      </c>
      <c r="CH11" t="s">
        <v>162</v>
      </c>
      <c r="CI11" t="s">
        <v>293</v>
      </c>
      <c r="CJ11" t="s">
        <v>296</v>
      </c>
      <c r="CK11" t="s">
        <v>165</v>
      </c>
      <c r="CL11" t="s">
        <v>165</v>
      </c>
      <c r="CM11" t="s">
        <v>294</v>
      </c>
      <c r="CN11" t="s">
        <v>162</v>
      </c>
      <c r="CO11" t="s">
        <v>162</v>
      </c>
      <c r="CP11" t="s">
        <v>162</v>
      </c>
      <c r="CQ11" t="s">
        <v>162</v>
      </c>
      <c r="CR11" t="s">
        <v>162</v>
      </c>
      <c r="CS11" t="s">
        <v>162</v>
      </c>
      <c r="CT11" t="s">
        <v>162</v>
      </c>
      <c r="CU11" s="139">
        <v>35</v>
      </c>
      <c r="CV11" t="s">
        <v>161</v>
      </c>
      <c r="CW11">
        <v>1</v>
      </c>
      <c r="CX11" t="s">
        <v>297</v>
      </c>
      <c r="CY11">
        <v>17</v>
      </c>
      <c r="CZ11" t="s">
        <v>170</v>
      </c>
      <c r="DA11" t="s">
        <v>170</v>
      </c>
      <c r="DB11" t="s">
        <v>298</v>
      </c>
      <c r="DC11">
        <v>38</v>
      </c>
      <c r="DD11" t="s">
        <v>170</v>
      </c>
      <c r="DE11" t="s">
        <v>170</v>
      </c>
      <c r="DF11" t="s">
        <v>298</v>
      </c>
      <c r="DG11" t="s">
        <v>166</v>
      </c>
      <c r="DH11" t="s">
        <v>167</v>
      </c>
      <c r="DI11" t="s">
        <v>167</v>
      </c>
      <c r="DJ11" t="s">
        <v>167</v>
      </c>
      <c r="DK11" s="136">
        <v>432.56244218316402</v>
      </c>
      <c r="DL11" t="s">
        <v>168</v>
      </c>
      <c r="DM11" s="136">
        <v>12.358926919519799</v>
      </c>
      <c r="DN11" t="s">
        <v>169</v>
      </c>
      <c r="DO11">
        <v>38.700000000000003</v>
      </c>
      <c r="DP11" t="s">
        <v>299</v>
      </c>
      <c r="DQ11">
        <v>0.2</v>
      </c>
      <c r="DR11" t="s">
        <v>300</v>
      </c>
      <c r="DS11" t="s">
        <v>301</v>
      </c>
      <c r="DT11" t="s">
        <v>302</v>
      </c>
      <c r="DU11">
        <v>1.0271999999999999</v>
      </c>
      <c r="DV11" t="s">
        <v>170</v>
      </c>
      <c r="DW11" t="s">
        <v>170</v>
      </c>
      <c r="DX11" t="s">
        <v>177</v>
      </c>
      <c r="DY11" t="s">
        <v>170</v>
      </c>
      <c r="DZ11" t="s">
        <v>170</v>
      </c>
      <c r="EA11" t="s">
        <v>303</v>
      </c>
      <c r="EB11" t="s">
        <v>171</v>
      </c>
      <c r="EC11" t="s">
        <v>304</v>
      </c>
      <c r="ED11" t="s">
        <v>304</v>
      </c>
      <c r="EE11" t="s">
        <v>304</v>
      </c>
      <c r="EF11" t="s">
        <v>304</v>
      </c>
      <c r="EG11" t="s">
        <v>162</v>
      </c>
      <c r="EH11" t="s">
        <v>172</v>
      </c>
      <c r="EI11" t="s">
        <v>305</v>
      </c>
      <c r="EJ11" t="s">
        <v>162</v>
      </c>
      <c r="EK11" s="140">
        <v>1750</v>
      </c>
      <c r="EL11" t="s">
        <v>173</v>
      </c>
      <c r="EM11">
        <v>150</v>
      </c>
      <c r="EN11">
        <v>150</v>
      </c>
      <c r="EO11" t="s">
        <v>306</v>
      </c>
      <c r="EP11" t="s">
        <v>306</v>
      </c>
      <c r="EQ11" t="s">
        <v>306</v>
      </c>
      <c r="ER11" t="s">
        <v>306</v>
      </c>
      <c r="ES11">
        <v>7.8443896297779396</v>
      </c>
      <c r="ET11" s="138" t="s">
        <v>174</v>
      </c>
      <c r="EU11" s="161">
        <v>3.3613588864626599E-2</v>
      </c>
      <c r="EV11" s="161">
        <v>3.3613588864626599E-2</v>
      </c>
      <c r="EW11" s="142">
        <v>603.337489045913</v>
      </c>
      <c r="EX11" s="138">
        <v>0</v>
      </c>
      <c r="EY11" s="138" t="s">
        <v>308</v>
      </c>
      <c r="EZ11" s="142">
        <v>603.337489045913</v>
      </c>
      <c r="FA11" s="142">
        <v>114.73506928078302</v>
      </c>
      <c r="FB11" s="142">
        <v>91.257690418628044</v>
      </c>
      <c r="FC11" s="164" t="s">
        <v>309</v>
      </c>
      <c r="FD11" t="s">
        <v>310</v>
      </c>
      <c r="FE11" t="s">
        <v>175</v>
      </c>
      <c r="FF11" t="s">
        <v>175</v>
      </c>
      <c r="FG11" t="s">
        <v>175</v>
      </c>
      <c r="FH11">
        <v>1850.28469036054</v>
      </c>
      <c r="FI11">
        <v>193.97628145107899</v>
      </c>
      <c r="FJ11">
        <v>191.62594868325701</v>
      </c>
      <c r="FK11">
        <v>6.4936659591372603</v>
      </c>
      <c r="FL11">
        <v>0.85361580575606899</v>
      </c>
      <c r="FM11">
        <v>0.76591147468614595</v>
      </c>
      <c r="FN11">
        <v>4.10388226186359</v>
      </c>
      <c r="FO11">
        <v>0.55013949386618899</v>
      </c>
      <c r="FP11">
        <v>0.48594046440192301</v>
      </c>
      <c r="FQ11" t="s">
        <v>317</v>
      </c>
    </row>
    <row r="12" spans="1:191">
      <c r="A12" s="128" t="s">
        <v>152</v>
      </c>
      <c r="B12" t="s">
        <v>156</v>
      </c>
      <c r="C12">
        <v>2020</v>
      </c>
      <c r="D12" t="s">
        <v>194</v>
      </c>
      <c r="E12" s="142">
        <v>40648.937225341797</v>
      </c>
      <c r="F12">
        <v>1</v>
      </c>
      <c r="G12">
        <v>1</v>
      </c>
      <c r="H12" s="132">
        <v>649.44159836253698</v>
      </c>
      <c r="I12" s="132">
        <v>114.24917204246606</v>
      </c>
      <c r="J12" s="132">
        <v>95.130217418097004</v>
      </c>
      <c r="K12" t="s">
        <v>157</v>
      </c>
      <c r="L12" s="133" t="s">
        <v>158</v>
      </c>
      <c r="M12" s="134" t="s">
        <v>195</v>
      </c>
      <c r="N12" t="s">
        <v>194</v>
      </c>
      <c r="O12" t="s">
        <v>196</v>
      </c>
      <c r="P12" t="s">
        <v>159</v>
      </c>
      <c r="Q12">
        <v>7</v>
      </c>
      <c r="R12">
        <v>4</v>
      </c>
      <c r="S12">
        <v>37</v>
      </c>
      <c r="T12">
        <v>38.5</v>
      </c>
      <c r="U12" s="146">
        <v>52.377499999999998</v>
      </c>
      <c r="V12">
        <v>52.877499999999998</v>
      </c>
      <c r="W12" t="s">
        <v>203</v>
      </c>
      <c r="X12" t="s">
        <v>209</v>
      </c>
      <c r="Y12" s="147">
        <v>9.2656670000000005</v>
      </c>
      <c r="Z12" s="147">
        <v>-54.544032999999999</v>
      </c>
      <c r="AA12" s="147">
        <v>0.8</v>
      </c>
      <c r="AB12" s="135" t="s">
        <v>162</v>
      </c>
      <c r="AC12" s="135">
        <v>-2549</v>
      </c>
      <c r="AD12" s="135">
        <v>-2850</v>
      </c>
      <c r="AE12" t="s">
        <v>210</v>
      </c>
      <c r="AF12" t="s">
        <v>160</v>
      </c>
      <c r="AG12" s="142">
        <v>40648.937225341797</v>
      </c>
      <c r="AH12" s="148" t="s">
        <v>215</v>
      </c>
      <c r="AI12">
        <v>1</v>
      </c>
      <c r="AJ12">
        <v>1</v>
      </c>
      <c r="AK12" t="s">
        <v>214</v>
      </c>
      <c r="AL12" t="s">
        <v>216</v>
      </c>
      <c r="AM12" s="136" t="s">
        <v>219</v>
      </c>
      <c r="AN12">
        <v>40.555140625</v>
      </c>
      <c r="AO12" t="s">
        <v>162</v>
      </c>
      <c r="AP12" t="s">
        <v>162</v>
      </c>
      <c r="AQ12" t="s">
        <v>162</v>
      </c>
      <c r="AR12" t="s">
        <v>214</v>
      </c>
      <c r="AS12" t="s">
        <v>220</v>
      </c>
      <c r="AT12" t="s">
        <v>221</v>
      </c>
      <c r="AU12" t="s">
        <v>225</v>
      </c>
      <c r="AV12" t="s">
        <v>230</v>
      </c>
      <c r="AW12" s="167">
        <v>208</v>
      </c>
      <c r="AX12" s="168">
        <v>2.4929999999999999</v>
      </c>
      <c r="AY12" s="148" t="s">
        <v>232</v>
      </c>
      <c r="AZ12" t="s">
        <v>163</v>
      </c>
      <c r="BA12" t="s">
        <v>164</v>
      </c>
      <c r="BB12" t="s">
        <v>241</v>
      </c>
      <c r="BC12">
        <v>2</v>
      </c>
      <c r="BD12" s="137">
        <v>0.36365173896322561</v>
      </c>
      <c r="BE12" s="145">
        <v>15.0891171811212</v>
      </c>
      <c r="BF12" t="s">
        <v>233</v>
      </c>
      <c r="BG12">
        <v>0.23835600480119501</v>
      </c>
      <c r="BH12">
        <v>0.88</v>
      </c>
      <c r="BI12" t="s">
        <v>278</v>
      </c>
      <c r="BJ12" t="s">
        <v>278</v>
      </c>
      <c r="BK12" s="2">
        <v>1.85</v>
      </c>
      <c r="BL12" t="s">
        <v>278</v>
      </c>
      <c r="BM12" t="s">
        <v>278</v>
      </c>
      <c r="BN12" t="s">
        <v>279</v>
      </c>
      <c r="BO12" t="s">
        <v>280</v>
      </c>
      <c r="BP12" s="158">
        <v>15.1685454545455</v>
      </c>
      <c r="BQ12" t="s">
        <v>287</v>
      </c>
      <c r="BR12" s="160" t="s">
        <v>288</v>
      </c>
      <c r="BS12" t="s">
        <v>286</v>
      </c>
      <c r="BT12" t="s">
        <v>289</v>
      </c>
      <c r="BU12">
        <v>25</v>
      </c>
      <c r="BV12" t="s">
        <v>165</v>
      </c>
      <c r="BW12" t="s">
        <v>165</v>
      </c>
      <c r="BX12" s="145">
        <v>31.122968680472599</v>
      </c>
      <c r="BY12" t="s">
        <v>290</v>
      </c>
      <c r="BZ12" s="137">
        <v>0.61768922183196295</v>
      </c>
      <c r="CA12" s="137">
        <v>0.65776640073145398</v>
      </c>
      <c r="CB12" t="s">
        <v>291</v>
      </c>
      <c r="CC12">
        <v>3.7409461680991498</v>
      </c>
      <c r="CD12" t="s">
        <v>292</v>
      </c>
      <c r="CE12">
        <v>0.11222838504297449</v>
      </c>
      <c r="CF12">
        <v>0.11222838504297449</v>
      </c>
      <c r="CG12" t="s">
        <v>295</v>
      </c>
      <c r="CH12" t="s">
        <v>162</v>
      </c>
      <c r="CI12" t="s">
        <v>293</v>
      </c>
      <c r="CJ12" t="s">
        <v>296</v>
      </c>
      <c r="CK12" t="s">
        <v>165</v>
      </c>
      <c r="CL12" t="s">
        <v>165</v>
      </c>
      <c r="CM12" t="s">
        <v>294</v>
      </c>
      <c r="CN12" t="s">
        <v>162</v>
      </c>
      <c r="CO12" t="s">
        <v>162</v>
      </c>
      <c r="CP12" t="s">
        <v>162</v>
      </c>
      <c r="CQ12" t="s">
        <v>162</v>
      </c>
      <c r="CR12" t="s">
        <v>162</v>
      </c>
      <c r="CS12" t="s">
        <v>162</v>
      </c>
      <c r="CT12" t="s">
        <v>162</v>
      </c>
      <c r="CU12" s="139">
        <v>35</v>
      </c>
      <c r="CV12" t="s">
        <v>161</v>
      </c>
      <c r="CW12">
        <v>1</v>
      </c>
      <c r="CX12" t="s">
        <v>297</v>
      </c>
      <c r="CY12">
        <v>17</v>
      </c>
      <c r="CZ12" t="s">
        <v>170</v>
      </c>
      <c r="DA12" t="s">
        <v>170</v>
      </c>
      <c r="DB12" t="s">
        <v>298</v>
      </c>
      <c r="DC12">
        <v>38</v>
      </c>
      <c r="DD12" t="s">
        <v>170</v>
      </c>
      <c r="DE12" t="s">
        <v>170</v>
      </c>
      <c r="DF12" t="s">
        <v>298</v>
      </c>
      <c r="DG12" t="s">
        <v>166</v>
      </c>
      <c r="DH12" t="s">
        <v>167</v>
      </c>
      <c r="DI12" t="s">
        <v>167</v>
      </c>
      <c r="DJ12" t="s">
        <v>167</v>
      </c>
      <c r="DK12" s="136">
        <v>432.56244218316402</v>
      </c>
      <c r="DL12" t="s">
        <v>168</v>
      </c>
      <c r="DM12" s="136">
        <v>12.358926919519901</v>
      </c>
      <c r="DN12" t="s">
        <v>169</v>
      </c>
      <c r="DO12">
        <v>38.700000000000003</v>
      </c>
      <c r="DP12" t="s">
        <v>299</v>
      </c>
      <c r="DQ12">
        <v>0.2</v>
      </c>
      <c r="DR12" t="s">
        <v>300</v>
      </c>
      <c r="DS12" t="s">
        <v>301</v>
      </c>
      <c r="DT12" t="s">
        <v>302</v>
      </c>
      <c r="DU12">
        <v>1.0271999999999999</v>
      </c>
      <c r="DV12" t="s">
        <v>170</v>
      </c>
      <c r="DW12" t="s">
        <v>170</v>
      </c>
      <c r="DX12" t="s">
        <v>177</v>
      </c>
      <c r="DY12" t="s">
        <v>170</v>
      </c>
      <c r="DZ12" t="s">
        <v>170</v>
      </c>
      <c r="EA12" t="s">
        <v>303</v>
      </c>
      <c r="EB12" t="s">
        <v>171</v>
      </c>
      <c r="EC12" t="s">
        <v>304</v>
      </c>
      <c r="ED12" t="s">
        <v>304</v>
      </c>
      <c r="EE12" t="s">
        <v>304</v>
      </c>
      <c r="EF12" t="s">
        <v>304</v>
      </c>
      <c r="EG12" t="s">
        <v>162</v>
      </c>
      <c r="EH12" t="s">
        <v>172</v>
      </c>
      <c r="EI12" t="s">
        <v>305</v>
      </c>
      <c r="EJ12" t="s">
        <v>162</v>
      </c>
      <c r="EK12" s="140">
        <v>1750</v>
      </c>
      <c r="EL12" t="s">
        <v>173</v>
      </c>
      <c r="EM12">
        <v>150</v>
      </c>
      <c r="EN12">
        <v>150</v>
      </c>
      <c r="EO12" t="s">
        <v>306</v>
      </c>
      <c r="EP12" t="s">
        <v>306</v>
      </c>
      <c r="EQ12" t="s">
        <v>306</v>
      </c>
      <c r="ER12" t="s">
        <v>306</v>
      </c>
      <c r="ES12">
        <v>7.8539957601453301</v>
      </c>
      <c r="ET12" s="138" t="s">
        <v>174</v>
      </c>
      <c r="EU12" s="161">
        <v>3.0654388402747701E-2</v>
      </c>
      <c r="EV12" s="161">
        <v>3.0654388402747701E-2</v>
      </c>
      <c r="EW12" s="142">
        <v>649.44159836253698</v>
      </c>
      <c r="EX12" s="138">
        <v>0</v>
      </c>
      <c r="EY12" s="138" t="s">
        <v>308</v>
      </c>
      <c r="EZ12" s="142">
        <v>649.44159836253698</v>
      </c>
      <c r="FA12" s="142">
        <v>114.24917204246606</v>
      </c>
      <c r="FB12" s="142">
        <v>95.130217418097004</v>
      </c>
      <c r="FC12" s="164" t="s">
        <v>309</v>
      </c>
      <c r="FD12" t="s">
        <v>310</v>
      </c>
      <c r="FE12" t="s">
        <v>175</v>
      </c>
      <c r="FF12" t="s">
        <v>175</v>
      </c>
      <c r="FG12" t="s">
        <v>175</v>
      </c>
      <c r="FH12">
        <v>1832.0205619532801</v>
      </c>
      <c r="FI12">
        <v>193.778703133742</v>
      </c>
      <c r="FJ12">
        <v>179.62055291283099</v>
      </c>
      <c r="FK12">
        <v>5.6862773425438498</v>
      </c>
      <c r="FL12">
        <v>0.71722432128611702</v>
      </c>
      <c r="FM12">
        <v>0.58484863926855801</v>
      </c>
      <c r="FN12">
        <v>3.5784511169379298</v>
      </c>
      <c r="FO12">
        <v>0.44981510995511398</v>
      </c>
      <c r="FP12">
        <v>0.374684598579404</v>
      </c>
      <c r="FQ12" t="s">
        <v>317</v>
      </c>
    </row>
    <row r="13" spans="1:191">
      <c r="A13" s="128" t="s">
        <v>152</v>
      </c>
      <c r="B13" t="s">
        <v>156</v>
      </c>
      <c r="C13">
        <v>2020</v>
      </c>
      <c r="D13" t="s">
        <v>194</v>
      </c>
      <c r="E13" s="142">
        <v>41012.3291015625</v>
      </c>
      <c r="F13">
        <v>1</v>
      </c>
      <c r="G13">
        <v>1</v>
      </c>
      <c r="H13" s="132">
        <v>668.45461593274797</v>
      </c>
      <c r="I13" s="132">
        <v>119.916471412806</v>
      </c>
      <c r="J13" s="132">
        <v>106.40112566977098</v>
      </c>
      <c r="K13" t="s">
        <v>157</v>
      </c>
      <c r="L13" s="133" t="s">
        <v>158</v>
      </c>
      <c r="M13" s="134" t="s">
        <v>195</v>
      </c>
      <c r="N13" t="s">
        <v>194</v>
      </c>
      <c r="O13" t="s">
        <v>196</v>
      </c>
      <c r="P13" t="s">
        <v>159</v>
      </c>
      <c r="Q13">
        <v>8</v>
      </c>
      <c r="R13">
        <v>2</v>
      </c>
      <c r="S13">
        <v>77</v>
      </c>
      <c r="T13">
        <v>78.5</v>
      </c>
      <c r="U13" s="146">
        <v>59.477499999999999</v>
      </c>
      <c r="V13">
        <v>59.977499999999999</v>
      </c>
      <c r="W13" t="s">
        <v>203</v>
      </c>
      <c r="X13" t="s">
        <v>209</v>
      </c>
      <c r="Y13" s="147">
        <v>9.2656670000000005</v>
      </c>
      <c r="Z13" s="147">
        <v>-54.544032999999999</v>
      </c>
      <c r="AA13" s="147">
        <v>0.8</v>
      </c>
      <c r="AB13" s="135" t="s">
        <v>162</v>
      </c>
      <c r="AC13" s="135">
        <v>-2549</v>
      </c>
      <c r="AD13" s="135">
        <v>-2850</v>
      </c>
      <c r="AE13" t="s">
        <v>210</v>
      </c>
      <c r="AF13" t="s">
        <v>160</v>
      </c>
      <c r="AG13" s="142">
        <v>41012.3291015625</v>
      </c>
      <c r="AH13" s="148" t="s">
        <v>215</v>
      </c>
      <c r="AI13">
        <v>1</v>
      </c>
      <c r="AJ13">
        <v>1</v>
      </c>
      <c r="AK13" t="s">
        <v>214</v>
      </c>
      <c r="AL13" t="s">
        <v>216</v>
      </c>
      <c r="AM13" s="136" t="s">
        <v>219</v>
      </c>
      <c r="AN13">
        <v>40.906917968750001</v>
      </c>
      <c r="AO13" t="s">
        <v>162</v>
      </c>
      <c r="AP13" t="s">
        <v>162</v>
      </c>
      <c r="AQ13" t="s">
        <v>162</v>
      </c>
      <c r="AR13" t="s">
        <v>214</v>
      </c>
      <c r="AS13" t="s">
        <v>220</v>
      </c>
      <c r="AT13" t="s">
        <v>221</v>
      </c>
      <c r="AU13" t="s">
        <v>226</v>
      </c>
      <c r="AV13" t="s">
        <v>230</v>
      </c>
      <c r="AW13" s="169" t="s">
        <v>231</v>
      </c>
      <c r="AX13" s="166" t="s">
        <v>321</v>
      </c>
      <c r="AY13" s="148" t="s">
        <v>232</v>
      </c>
      <c r="AZ13" t="s">
        <v>163</v>
      </c>
      <c r="BA13" t="s">
        <v>164</v>
      </c>
      <c r="BB13" t="s">
        <v>235</v>
      </c>
      <c r="BC13">
        <v>2</v>
      </c>
      <c r="BD13" s="137">
        <v>0.18579545743171441</v>
      </c>
      <c r="BE13" s="145">
        <v>14.714</v>
      </c>
      <c r="BF13" t="s">
        <v>233</v>
      </c>
      <c r="BG13">
        <v>0.23042416639152299</v>
      </c>
      <c r="BH13">
        <v>0.88</v>
      </c>
      <c r="BI13" t="s">
        <v>278</v>
      </c>
      <c r="BJ13" t="s">
        <v>278</v>
      </c>
      <c r="BK13" s="2">
        <v>1.85</v>
      </c>
      <c r="BL13" t="s">
        <v>278</v>
      </c>
      <c r="BM13" t="s">
        <v>278</v>
      </c>
      <c r="BN13" t="s">
        <v>279</v>
      </c>
      <c r="BO13" t="s">
        <v>280</v>
      </c>
      <c r="BP13" s="158">
        <v>14.742272727272701</v>
      </c>
      <c r="BQ13" t="s">
        <v>287</v>
      </c>
      <c r="BR13" s="160" t="s">
        <v>288</v>
      </c>
      <c r="BS13" t="s">
        <v>286</v>
      </c>
      <c r="BT13" t="s">
        <v>289</v>
      </c>
      <c r="BU13">
        <v>25</v>
      </c>
      <c r="BV13" t="s">
        <v>165</v>
      </c>
      <c r="BW13" t="s">
        <v>165</v>
      </c>
      <c r="BX13" s="145">
        <v>31.571289763858001</v>
      </c>
      <c r="BY13" t="s">
        <v>290</v>
      </c>
      <c r="BZ13" s="137">
        <v>0.62737422698491196</v>
      </c>
      <c r="CA13" s="137">
        <v>0.67831871043862102</v>
      </c>
      <c r="CB13" t="s">
        <v>291</v>
      </c>
      <c r="CC13">
        <v>4.1407746563944201</v>
      </c>
      <c r="CD13" t="s">
        <v>292</v>
      </c>
      <c r="CE13">
        <v>0.1242232396918326</v>
      </c>
      <c r="CF13">
        <v>0.1242232396918326</v>
      </c>
      <c r="CG13" t="s">
        <v>295</v>
      </c>
      <c r="CH13" t="s">
        <v>162</v>
      </c>
      <c r="CI13" t="s">
        <v>293</v>
      </c>
      <c r="CJ13" t="s">
        <v>296</v>
      </c>
      <c r="CK13" t="s">
        <v>165</v>
      </c>
      <c r="CL13" t="s">
        <v>165</v>
      </c>
      <c r="CM13" t="s">
        <v>294</v>
      </c>
      <c r="CN13" t="s">
        <v>162</v>
      </c>
      <c r="CO13" t="s">
        <v>162</v>
      </c>
      <c r="CP13" t="s">
        <v>162</v>
      </c>
      <c r="CQ13" t="s">
        <v>162</v>
      </c>
      <c r="CR13" t="s">
        <v>162</v>
      </c>
      <c r="CS13" t="s">
        <v>162</v>
      </c>
      <c r="CT13" t="s">
        <v>162</v>
      </c>
      <c r="CU13" s="139">
        <v>35</v>
      </c>
      <c r="CV13" t="s">
        <v>161</v>
      </c>
      <c r="CW13">
        <v>1</v>
      </c>
      <c r="CX13" t="s">
        <v>297</v>
      </c>
      <c r="CY13">
        <v>17</v>
      </c>
      <c r="CZ13" t="s">
        <v>170</v>
      </c>
      <c r="DA13" t="s">
        <v>170</v>
      </c>
      <c r="DB13" t="s">
        <v>298</v>
      </c>
      <c r="DC13">
        <v>38</v>
      </c>
      <c r="DD13" t="s">
        <v>170</v>
      </c>
      <c r="DE13" t="s">
        <v>170</v>
      </c>
      <c r="DF13" t="s">
        <v>298</v>
      </c>
      <c r="DG13" t="s">
        <v>166</v>
      </c>
      <c r="DH13" t="s">
        <v>167</v>
      </c>
      <c r="DI13" t="s">
        <v>167</v>
      </c>
      <c r="DJ13" t="s">
        <v>167</v>
      </c>
      <c r="DK13" s="136">
        <v>432.56244218316402</v>
      </c>
      <c r="DL13" t="s">
        <v>168</v>
      </c>
      <c r="DM13" s="136">
        <v>12.35892691952</v>
      </c>
      <c r="DN13" t="s">
        <v>169</v>
      </c>
      <c r="DO13">
        <v>38.700000000000003</v>
      </c>
      <c r="DP13" t="s">
        <v>299</v>
      </c>
      <c r="DQ13">
        <v>0.2</v>
      </c>
      <c r="DR13" t="s">
        <v>300</v>
      </c>
      <c r="DS13" t="s">
        <v>301</v>
      </c>
      <c r="DT13" t="s">
        <v>302</v>
      </c>
      <c r="DU13">
        <v>1.0271999999999999</v>
      </c>
      <c r="DV13" t="s">
        <v>170</v>
      </c>
      <c r="DW13" t="s">
        <v>170</v>
      </c>
      <c r="DX13" t="s">
        <v>177</v>
      </c>
      <c r="DY13" t="s">
        <v>170</v>
      </c>
      <c r="DZ13" t="s">
        <v>170</v>
      </c>
      <c r="EA13" t="s">
        <v>303</v>
      </c>
      <c r="EB13" t="s">
        <v>171</v>
      </c>
      <c r="EC13" t="s">
        <v>304</v>
      </c>
      <c r="ED13" t="s">
        <v>304</v>
      </c>
      <c r="EE13" t="s">
        <v>304</v>
      </c>
      <c r="EF13" t="s">
        <v>304</v>
      </c>
      <c r="EG13" t="s">
        <v>162</v>
      </c>
      <c r="EH13" t="s">
        <v>172</v>
      </c>
      <c r="EI13" t="s">
        <v>305</v>
      </c>
      <c r="EJ13" t="s">
        <v>162</v>
      </c>
      <c r="EK13" s="140">
        <v>1750</v>
      </c>
      <c r="EL13" t="s">
        <v>173</v>
      </c>
      <c r="EM13">
        <v>150</v>
      </c>
      <c r="EN13">
        <v>150</v>
      </c>
      <c r="EO13" t="s">
        <v>306</v>
      </c>
      <c r="EP13" t="s">
        <v>306</v>
      </c>
      <c r="EQ13" t="s">
        <v>306</v>
      </c>
      <c r="ER13" t="s">
        <v>306</v>
      </c>
      <c r="ES13">
        <v>7.7857916901383799</v>
      </c>
      <c r="ET13" s="138" t="s">
        <v>174</v>
      </c>
      <c r="EU13" s="161">
        <v>3.5671444210686701E-2</v>
      </c>
      <c r="EV13" s="161">
        <v>3.5671444210686701E-2</v>
      </c>
      <c r="EW13" s="142">
        <v>668.45461593274797</v>
      </c>
      <c r="EX13" s="138">
        <v>0</v>
      </c>
      <c r="EY13" s="138" t="s">
        <v>308</v>
      </c>
      <c r="EZ13" s="142">
        <v>668.45461593274797</v>
      </c>
      <c r="FA13" s="142">
        <v>119.916471412806</v>
      </c>
      <c r="FB13" s="142">
        <v>106.40112566977098</v>
      </c>
      <c r="FC13" s="164" t="s">
        <v>309</v>
      </c>
      <c r="FD13" t="s">
        <v>310</v>
      </c>
      <c r="FE13" t="s">
        <v>175</v>
      </c>
      <c r="FF13" t="s">
        <v>175</v>
      </c>
      <c r="FG13" t="s">
        <v>175</v>
      </c>
      <c r="FH13">
        <v>1860.77478888112</v>
      </c>
      <c r="FI13">
        <v>181.744353813907</v>
      </c>
      <c r="FJ13">
        <v>194.500477612666</v>
      </c>
      <c r="FK13">
        <v>7.0995983439575099</v>
      </c>
      <c r="FL13">
        <v>0.94763790337225395</v>
      </c>
      <c r="FM13">
        <v>0.83241100677116098</v>
      </c>
      <c r="FN13">
        <v>4.5486462245651103</v>
      </c>
      <c r="FO13">
        <v>0.62011734253138995</v>
      </c>
      <c r="FP13">
        <v>0.53908824342060901</v>
      </c>
      <c r="FQ13" t="s">
        <v>317</v>
      </c>
    </row>
    <row r="14" spans="1:191" s="110" customFormat="1">
      <c r="A14" s="150" t="s">
        <v>152</v>
      </c>
      <c r="B14" s="110" t="s">
        <v>156</v>
      </c>
      <c r="C14" s="110">
        <v>2020</v>
      </c>
      <c r="D14" s="110" t="s">
        <v>194</v>
      </c>
      <c r="E14" s="142">
        <v>39123.607635498047</v>
      </c>
      <c r="F14" s="110">
        <v>10.28</v>
      </c>
      <c r="G14" s="110">
        <v>10.28</v>
      </c>
      <c r="H14" s="132">
        <v>728.519759488511</v>
      </c>
      <c r="I14" s="132">
        <v>132.37100719048897</v>
      </c>
      <c r="J14" s="132">
        <v>110.82844614707699</v>
      </c>
      <c r="K14" s="110" t="s">
        <v>157</v>
      </c>
      <c r="L14" s="151" t="s">
        <v>158</v>
      </c>
      <c r="M14" s="152" t="s">
        <v>195</v>
      </c>
      <c r="N14" s="110" t="s">
        <v>194</v>
      </c>
      <c r="O14" s="110" t="s">
        <v>198</v>
      </c>
      <c r="P14" s="110" t="s">
        <v>201</v>
      </c>
      <c r="Q14" s="110">
        <v>4</v>
      </c>
      <c r="R14" s="110">
        <v>5</v>
      </c>
      <c r="S14" s="110">
        <v>65</v>
      </c>
      <c r="T14" s="110">
        <v>77</v>
      </c>
      <c r="U14" s="110">
        <v>29.01</v>
      </c>
      <c r="V14" s="110">
        <v>29</v>
      </c>
      <c r="W14" s="110" t="s">
        <v>217</v>
      </c>
      <c r="X14" s="110" t="s">
        <v>206</v>
      </c>
      <c r="Y14" s="153">
        <v>18.4404</v>
      </c>
      <c r="Z14" s="153">
        <v>-179.55500000000001</v>
      </c>
      <c r="AA14" s="153">
        <v>11.3</v>
      </c>
      <c r="AB14" s="154" t="s">
        <v>162</v>
      </c>
      <c r="AC14" s="154">
        <v>-1518</v>
      </c>
      <c r="AD14" s="154">
        <v>-1400</v>
      </c>
      <c r="AE14" s="110" t="s">
        <v>211</v>
      </c>
      <c r="AF14" s="110" t="s">
        <v>160</v>
      </c>
      <c r="AG14" s="142">
        <v>39123.607635498047</v>
      </c>
      <c r="AH14" s="155" t="s">
        <v>215</v>
      </c>
      <c r="AI14" s="110">
        <v>10.28</v>
      </c>
      <c r="AJ14" s="110">
        <v>10.28</v>
      </c>
      <c r="AK14" s="110" t="s">
        <v>214</v>
      </c>
      <c r="AL14" s="110" t="s">
        <v>216</v>
      </c>
      <c r="AM14" s="110" t="s">
        <v>218</v>
      </c>
      <c r="AN14" s="110" t="s">
        <v>162</v>
      </c>
      <c r="AO14" s="110" t="s">
        <v>162</v>
      </c>
      <c r="AP14" s="110" t="s">
        <v>162</v>
      </c>
      <c r="AQ14" s="110" t="s">
        <v>162</v>
      </c>
      <c r="AR14" s="110" t="s">
        <v>162</v>
      </c>
      <c r="AS14" s="110" t="s">
        <v>162</v>
      </c>
      <c r="AT14" s="110" t="s">
        <v>162</v>
      </c>
      <c r="AU14" s="110" t="s">
        <v>226</v>
      </c>
      <c r="AV14" s="110" t="s">
        <v>230</v>
      </c>
      <c r="AW14" s="170">
        <v>297</v>
      </c>
      <c r="AX14" s="171">
        <v>3.1760000000000002</v>
      </c>
      <c r="AY14" s="155" t="s">
        <v>232</v>
      </c>
      <c r="AZ14" s="110" t="s">
        <v>163</v>
      </c>
      <c r="BA14" s="110" t="s">
        <v>164</v>
      </c>
      <c r="BB14" s="110" t="s">
        <v>249</v>
      </c>
      <c r="BC14" s="110">
        <v>2</v>
      </c>
      <c r="BD14" s="156">
        <v>6.7062051908314046E-2</v>
      </c>
      <c r="BE14" s="157">
        <v>15.365611162235799</v>
      </c>
      <c r="BF14" s="110" t="s">
        <v>233</v>
      </c>
      <c r="BG14" s="110">
        <v>0.242792739580516</v>
      </c>
      <c r="BH14">
        <v>0.88</v>
      </c>
      <c r="BI14" t="s">
        <v>278</v>
      </c>
      <c r="BJ14" t="s">
        <v>278</v>
      </c>
      <c r="BK14" s="2">
        <v>1.85</v>
      </c>
      <c r="BL14" t="s">
        <v>278</v>
      </c>
      <c r="BM14" t="s">
        <v>278</v>
      </c>
      <c r="BN14" t="s">
        <v>279</v>
      </c>
      <c r="BO14" t="s">
        <v>280</v>
      </c>
      <c r="BP14" s="159">
        <v>15.482738636363599</v>
      </c>
      <c r="BQ14" t="s">
        <v>287</v>
      </c>
      <c r="BR14" s="160" t="s">
        <v>288</v>
      </c>
      <c r="BS14" t="s">
        <v>286</v>
      </c>
      <c r="BT14" t="s">
        <v>289</v>
      </c>
      <c r="BU14">
        <v>25</v>
      </c>
      <c r="BV14" t="s">
        <v>165</v>
      </c>
      <c r="BW14" t="s">
        <v>165</v>
      </c>
      <c r="BX14" s="145">
        <v>32.252958138011302</v>
      </c>
      <c r="BY14" t="s">
        <v>290</v>
      </c>
      <c r="BZ14" s="137">
        <v>0.61274369157486996</v>
      </c>
      <c r="CA14" s="137">
        <v>0.62634280886174298</v>
      </c>
      <c r="CB14" t="s">
        <v>291</v>
      </c>
      <c r="CC14">
        <v>4.0367166214332197</v>
      </c>
      <c r="CD14" t="s">
        <v>292</v>
      </c>
      <c r="CE14" s="110">
        <v>0.12110149864299659</v>
      </c>
      <c r="CF14" s="110">
        <v>0.12110149864299659</v>
      </c>
      <c r="CG14" t="s">
        <v>295</v>
      </c>
      <c r="CH14" t="s">
        <v>162</v>
      </c>
      <c r="CI14" t="s">
        <v>293</v>
      </c>
      <c r="CJ14" t="s">
        <v>296</v>
      </c>
      <c r="CK14" t="s">
        <v>165</v>
      </c>
      <c r="CL14" t="s">
        <v>165</v>
      </c>
      <c r="CM14" t="s">
        <v>294</v>
      </c>
      <c r="CN14" t="s">
        <v>162</v>
      </c>
      <c r="CO14" t="s">
        <v>162</v>
      </c>
      <c r="CP14" t="s">
        <v>162</v>
      </c>
      <c r="CQ14" t="s">
        <v>162</v>
      </c>
      <c r="CR14" t="s">
        <v>162</v>
      </c>
      <c r="CS14" t="s">
        <v>162</v>
      </c>
      <c r="CT14" t="s">
        <v>162</v>
      </c>
      <c r="CU14" s="139">
        <v>35</v>
      </c>
      <c r="CV14" t="s">
        <v>161</v>
      </c>
      <c r="CW14">
        <v>1</v>
      </c>
      <c r="CX14" t="s">
        <v>297</v>
      </c>
      <c r="CY14">
        <v>17</v>
      </c>
      <c r="CZ14" t="s">
        <v>170</v>
      </c>
      <c r="DA14" t="s">
        <v>170</v>
      </c>
      <c r="DB14" t="s">
        <v>298</v>
      </c>
      <c r="DC14">
        <v>38</v>
      </c>
      <c r="DD14" t="s">
        <v>170</v>
      </c>
      <c r="DE14" t="s">
        <v>170</v>
      </c>
      <c r="DF14" t="s">
        <v>298</v>
      </c>
      <c r="DG14" t="s">
        <v>166</v>
      </c>
      <c r="DH14" t="s">
        <v>167</v>
      </c>
      <c r="DI14" t="s">
        <v>167</v>
      </c>
      <c r="DJ14" t="s">
        <v>167</v>
      </c>
      <c r="DK14" s="136">
        <v>432.56244218316402</v>
      </c>
      <c r="DL14" t="s">
        <v>168</v>
      </c>
      <c r="DM14" s="136">
        <v>12.358926919520099</v>
      </c>
      <c r="DN14" t="s">
        <v>169</v>
      </c>
      <c r="DO14">
        <v>38.700000000000003</v>
      </c>
      <c r="DP14" t="s">
        <v>299</v>
      </c>
      <c r="DQ14">
        <v>0.2</v>
      </c>
      <c r="DR14" t="s">
        <v>300</v>
      </c>
      <c r="DS14" t="s">
        <v>301</v>
      </c>
      <c r="DT14" t="s">
        <v>302</v>
      </c>
      <c r="DU14">
        <v>1.0271999999999999</v>
      </c>
      <c r="DV14" t="s">
        <v>170</v>
      </c>
      <c r="DW14" t="s">
        <v>170</v>
      </c>
      <c r="DX14" t="s">
        <v>177</v>
      </c>
      <c r="DY14" t="s">
        <v>170</v>
      </c>
      <c r="DZ14" t="s">
        <v>170</v>
      </c>
      <c r="EA14" t="s">
        <v>303</v>
      </c>
      <c r="EB14" t="s">
        <v>171</v>
      </c>
      <c r="EC14" t="s">
        <v>304</v>
      </c>
      <c r="ED14" t="s">
        <v>304</v>
      </c>
      <c r="EE14" t="s">
        <v>304</v>
      </c>
      <c r="EF14" t="s">
        <v>304</v>
      </c>
      <c r="EG14" t="s">
        <v>162</v>
      </c>
      <c r="EH14" t="s">
        <v>172</v>
      </c>
      <c r="EI14" t="s">
        <v>305</v>
      </c>
      <c r="EJ14" t="s">
        <v>162</v>
      </c>
      <c r="EK14" s="140">
        <v>1750</v>
      </c>
      <c r="EL14" t="s">
        <v>173</v>
      </c>
      <c r="EM14">
        <v>150</v>
      </c>
      <c r="EN14">
        <v>150</v>
      </c>
      <c r="EO14" t="s">
        <v>306</v>
      </c>
      <c r="EP14" t="s">
        <v>306</v>
      </c>
      <c r="EQ14" t="s">
        <v>306</v>
      </c>
      <c r="ER14" t="s">
        <v>306</v>
      </c>
      <c r="ES14" s="110">
        <v>7.8771970687937101</v>
      </c>
      <c r="ET14" s="138" t="s">
        <v>174</v>
      </c>
      <c r="EU14" s="162">
        <v>2.9694065176374199E-2</v>
      </c>
      <c r="EV14" s="162">
        <v>2.9694065176374199E-2</v>
      </c>
      <c r="EW14" s="163">
        <v>728.519759488511</v>
      </c>
      <c r="EX14" s="138">
        <v>0</v>
      </c>
      <c r="EY14" s="138" t="s">
        <v>308</v>
      </c>
      <c r="EZ14" s="163">
        <v>728.519759488511</v>
      </c>
      <c r="FA14" s="163">
        <v>132.37100719048897</v>
      </c>
      <c r="FB14" s="163">
        <v>110.82844614707699</v>
      </c>
      <c r="FC14" s="164" t="s">
        <v>309</v>
      </c>
      <c r="FD14" t="s">
        <v>310</v>
      </c>
      <c r="FE14" t="s">
        <v>175</v>
      </c>
      <c r="FF14" t="s">
        <v>175</v>
      </c>
      <c r="FG14" t="s">
        <v>175</v>
      </c>
      <c r="FH14" s="110">
        <v>1849.2421626201001</v>
      </c>
      <c r="FI14" s="110">
        <v>192.28973301770401</v>
      </c>
      <c r="FJ14" s="110">
        <v>188.44780288928499</v>
      </c>
      <c r="FK14" s="110">
        <v>6.4574765294943797</v>
      </c>
      <c r="FL14" s="110">
        <v>0.85336979657677103</v>
      </c>
      <c r="FM14" s="110">
        <v>0.83262387925056602</v>
      </c>
      <c r="FN14" s="110">
        <v>4.13464131216395</v>
      </c>
      <c r="FO14" s="110">
        <v>0.56151112205298703</v>
      </c>
      <c r="FP14" s="110">
        <v>0.54114828321240704</v>
      </c>
      <c r="FQ14" t="s">
        <v>317</v>
      </c>
    </row>
    <row r="15" spans="1:191">
      <c r="A15" s="128" t="s">
        <v>152</v>
      </c>
      <c r="B15" t="s">
        <v>156</v>
      </c>
      <c r="C15">
        <v>2020</v>
      </c>
      <c r="D15" t="s">
        <v>194</v>
      </c>
      <c r="E15" s="142">
        <v>39327.358245849609</v>
      </c>
      <c r="F15">
        <v>1.1299999999999999</v>
      </c>
      <c r="G15">
        <v>1.1299999999999999</v>
      </c>
      <c r="H15" s="132">
        <v>711.94399726419499</v>
      </c>
      <c r="I15" s="132">
        <v>142.45131441648095</v>
      </c>
      <c r="J15" s="132">
        <v>119.51493023344699</v>
      </c>
      <c r="K15" t="s">
        <v>157</v>
      </c>
      <c r="L15" s="133" t="s">
        <v>158</v>
      </c>
      <c r="M15" s="134" t="s">
        <v>195</v>
      </c>
      <c r="N15" t="s">
        <v>194</v>
      </c>
      <c r="O15" t="s">
        <v>198</v>
      </c>
      <c r="P15" t="s">
        <v>201</v>
      </c>
      <c r="Q15">
        <v>4</v>
      </c>
      <c r="R15">
        <v>6</v>
      </c>
      <c r="S15">
        <v>25</v>
      </c>
      <c r="T15">
        <v>27</v>
      </c>
      <c r="U15">
        <v>30.06</v>
      </c>
      <c r="V15">
        <v>30.076189041137695</v>
      </c>
      <c r="W15" t="s">
        <v>217</v>
      </c>
      <c r="X15" t="s">
        <v>206</v>
      </c>
      <c r="Y15" s="147">
        <v>18.4404</v>
      </c>
      <c r="Z15" s="147">
        <v>-179.55500000000001</v>
      </c>
      <c r="AA15" s="147">
        <v>11.3</v>
      </c>
      <c r="AB15" s="135" t="s">
        <v>162</v>
      </c>
      <c r="AC15" s="135">
        <v>-1518</v>
      </c>
      <c r="AD15" s="135">
        <v>-1400</v>
      </c>
      <c r="AE15" t="s">
        <v>211</v>
      </c>
      <c r="AF15" t="s">
        <v>160</v>
      </c>
      <c r="AG15" s="142">
        <v>39327.358245849609</v>
      </c>
      <c r="AH15" s="148" t="s">
        <v>215</v>
      </c>
      <c r="AI15">
        <v>1.1299999999999999</v>
      </c>
      <c r="AJ15">
        <v>1.1299999999999999</v>
      </c>
      <c r="AK15" t="s">
        <v>214</v>
      </c>
      <c r="AL15" t="s">
        <v>216</v>
      </c>
      <c r="AM15" t="s">
        <v>218</v>
      </c>
      <c r="AN15" t="s">
        <v>162</v>
      </c>
      <c r="AO15" t="s">
        <v>162</v>
      </c>
      <c r="AP15" t="s">
        <v>162</v>
      </c>
      <c r="AQ15" t="s">
        <v>162</v>
      </c>
      <c r="AR15" t="s">
        <v>162</v>
      </c>
      <c r="AS15" t="s">
        <v>162</v>
      </c>
      <c r="AT15" t="s">
        <v>162</v>
      </c>
      <c r="AU15" t="s">
        <v>227</v>
      </c>
      <c r="AV15" t="s">
        <v>230</v>
      </c>
      <c r="AW15" s="167" t="s">
        <v>231</v>
      </c>
      <c r="AX15" s="166" t="s">
        <v>321</v>
      </c>
      <c r="AY15" s="148" t="s">
        <v>232</v>
      </c>
      <c r="AZ15" t="s">
        <v>163</v>
      </c>
      <c r="BA15" t="s">
        <v>164</v>
      </c>
      <c r="BB15" t="s">
        <v>236</v>
      </c>
      <c r="BC15">
        <v>2</v>
      </c>
      <c r="BD15" s="137">
        <v>0.12044767479109984</v>
      </c>
      <c r="BE15" s="145">
        <v>15.063498821330001</v>
      </c>
      <c r="BF15" t="s">
        <v>233</v>
      </c>
      <c r="BG15">
        <v>0.231410993780505</v>
      </c>
      <c r="BH15">
        <v>0.88</v>
      </c>
      <c r="BI15" t="s">
        <v>278</v>
      </c>
      <c r="BJ15" t="s">
        <v>278</v>
      </c>
      <c r="BK15" s="2">
        <v>1.85</v>
      </c>
      <c r="BL15" t="s">
        <v>278</v>
      </c>
      <c r="BM15" t="s">
        <v>278</v>
      </c>
      <c r="BN15" t="s">
        <v>279</v>
      </c>
      <c r="BO15" t="s">
        <v>280</v>
      </c>
      <c r="BP15" s="158">
        <v>15.1394318181818</v>
      </c>
      <c r="BQ15" t="s">
        <v>287</v>
      </c>
      <c r="BR15" s="160" t="s">
        <v>288</v>
      </c>
      <c r="BS15" t="s">
        <v>286</v>
      </c>
      <c r="BT15" t="s">
        <v>289</v>
      </c>
      <c r="BU15">
        <v>25</v>
      </c>
      <c r="BV15" t="s">
        <v>165</v>
      </c>
      <c r="BW15" t="s">
        <v>165</v>
      </c>
      <c r="BX15" s="145">
        <v>29.651654578524699</v>
      </c>
      <c r="BY15" t="s">
        <v>290</v>
      </c>
      <c r="BZ15" s="137">
        <v>0.66347796609232601</v>
      </c>
      <c r="CA15" s="137">
        <v>0.65706425507378396</v>
      </c>
      <c r="CB15" t="s">
        <v>291</v>
      </c>
      <c r="CC15">
        <v>3.51055801497992</v>
      </c>
      <c r="CD15" t="s">
        <v>292</v>
      </c>
      <c r="CE15">
        <v>0.10531674044939759</v>
      </c>
      <c r="CF15">
        <v>0.10531674044939759</v>
      </c>
      <c r="CG15" t="s">
        <v>295</v>
      </c>
      <c r="CH15" t="s">
        <v>162</v>
      </c>
      <c r="CI15" t="s">
        <v>293</v>
      </c>
      <c r="CJ15" t="s">
        <v>296</v>
      </c>
      <c r="CK15" t="s">
        <v>165</v>
      </c>
      <c r="CL15" t="s">
        <v>165</v>
      </c>
      <c r="CM15" t="s">
        <v>294</v>
      </c>
      <c r="CN15" t="s">
        <v>162</v>
      </c>
      <c r="CO15" t="s">
        <v>162</v>
      </c>
      <c r="CP15" t="s">
        <v>162</v>
      </c>
      <c r="CQ15" t="s">
        <v>162</v>
      </c>
      <c r="CR15" t="s">
        <v>162</v>
      </c>
      <c r="CS15" t="s">
        <v>162</v>
      </c>
      <c r="CT15" t="s">
        <v>162</v>
      </c>
      <c r="CU15" s="139">
        <v>35</v>
      </c>
      <c r="CV15" t="s">
        <v>161</v>
      </c>
      <c r="CW15">
        <v>1</v>
      </c>
      <c r="CX15" t="s">
        <v>297</v>
      </c>
      <c r="CY15">
        <v>17</v>
      </c>
      <c r="CZ15" t="s">
        <v>170</v>
      </c>
      <c r="DA15" t="s">
        <v>170</v>
      </c>
      <c r="DB15" t="s">
        <v>298</v>
      </c>
      <c r="DC15">
        <v>38</v>
      </c>
      <c r="DD15" t="s">
        <v>170</v>
      </c>
      <c r="DE15" t="s">
        <v>170</v>
      </c>
      <c r="DF15" t="s">
        <v>298</v>
      </c>
      <c r="DG15" t="s">
        <v>166</v>
      </c>
      <c r="DH15" t="s">
        <v>167</v>
      </c>
      <c r="DI15" t="s">
        <v>167</v>
      </c>
      <c r="DJ15" t="s">
        <v>167</v>
      </c>
      <c r="DK15" s="136">
        <v>432.56244218316402</v>
      </c>
      <c r="DL15" t="s">
        <v>168</v>
      </c>
      <c r="DM15" s="136">
        <v>12.358926919520201</v>
      </c>
      <c r="DN15" t="s">
        <v>169</v>
      </c>
      <c r="DO15">
        <v>38.700000000000003</v>
      </c>
      <c r="DP15" t="s">
        <v>299</v>
      </c>
      <c r="DQ15">
        <v>0.2</v>
      </c>
      <c r="DR15" t="s">
        <v>300</v>
      </c>
      <c r="DS15" t="s">
        <v>301</v>
      </c>
      <c r="DT15" t="s">
        <v>302</v>
      </c>
      <c r="DU15">
        <v>1.0271999999999999</v>
      </c>
      <c r="DV15" t="s">
        <v>170</v>
      </c>
      <c r="DW15" t="s">
        <v>170</v>
      </c>
      <c r="DX15" t="s">
        <v>177</v>
      </c>
      <c r="DY15" t="s">
        <v>170</v>
      </c>
      <c r="DZ15" t="s">
        <v>170</v>
      </c>
      <c r="EA15" t="s">
        <v>303</v>
      </c>
      <c r="EB15" t="s">
        <v>171</v>
      </c>
      <c r="EC15" t="s">
        <v>304</v>
      </c>
      <c r="ED15" t="s">
        <v>304</v>
      </c>
      <c r="EE15" t="s">
        <v>304</v>
      </c>
      <c r="EF15" t="s">
        <v>304</v>
      </c>
      <c r="EG15" t="s">
        <v>162</v>
      </c>
      <c r="EH15" t="s">
        <v>172</v>
      </c>
      <c r="EI15" t="s">
        <v>305</v>
      </c>
      <c r="EJ15" t="s">
        <v>162</v>
      </c>
      <c r="EK15" s="140">
        <v>1750</v>
      </c>
      <c r="EL15" t="s">
        <v>173</v>
      </c>
      <c r="EM15">
        <v>150</v>
      </c>
      <c r="EN15">
        <v>150</v>
      </c>
      <c r="EO15" t="s">
        <v>306</v>
      </c>
      <c r="EP15" t="s">
        <v>306</v>
      </c>
      <c r="EQ15" t="s">
        <v>306</v>
      </c>
      <c r="ER15" t="s">
        <v>306</v>
      </c>
      <c r="ES15">
        <v>7.8617973015565497</v>
      </c>
      <c r="ET15" s="138" t="s">
        <v>174</v>
      </c>
      <c r="EU15" s="161">
        <v>3.1439719368153499E-2</v>
      </c>
      <c r="EV15" s="161">
        <v>3.1439719368153499E-2</v>
      </c>
      <c r="EW15" s="142">
        <v>711.94399726419499</v>
      </c>
      <c r="EX15" s="138">
        <v>0</v>
      </c>
      <c r="EY15" s="138" t="s">
        <v>308</v>
      </c>
      <c r="EZ15" s="142">
        <v>711.94399726419499</v>
      </c>
      <c r="FA15" s="142">
        <v>142.45131441648095</v>
      </c>
      <c r="FB15" s="142">
        <v>119.51493023344699</v>
      </c>
      <c r="FC15" s="164" t="s">
        <v>309</v>
      </c>
      <c r="FD15" t="s">
        <v>310</v>
      </c>
      <c r="FE15" t="s">
        <v>175</v>
      </c>
      <c r="FF15" t="s">
        <v>175</v>
      </c>
      <c r="FG15" t="s">
        <v>175</v>
      </c>
      <c r="FH15">
        <v>1838.76487170678</v>
      </c>
      <c r="FI15">
        <v>191.80162491849299</v>
      </c>
      <c r="FJ15">
        <v>201.530974383683</v>
      </c>
      <c r="FK15">
        <v>5.3513950062859097</v>
      </c>
      <c r="FL15">
        <v>0.73432488096141202</v>
      </c>
      <c r="FM15">
        <v>0.71464858970874701</v>
      </c>
      <c r="FN15">
        <v>3.3713902787122101</v>
      </c>
      <c r="FO15">
        <v>0.46725238298573302</v>
      </c>
      <c r="FP15">
        <v>0.45250107385967803</v>
      </c>
      <c r="FQ15" t="s">
        <v>317</v>
      </c>
    </row>
    <row r="16" spans="1:191">
      <c r="A16" s="128" t="s">
        <v>152</v>
      </c>
      <c r="B16" t="s">
        <v>156</v>
      </c>
      <c r="C16">
        <v>2020</v>
      </c>
      <c r="D16" t="s">
        <v>194</v>
      </c>
      <c r="E16" s="142">
        <v>39958.087921142578</v>
      </c>
      <c r="F16">
        <v>2.25</v>
      </c>
      <c r="G16">
        <v>2.25</v>
      </c>
      <c r="H16" s="132">
        <v>674.20104312256501</v>
      </c>
      <c r="I16" s="132">
        <v>124.48776038782</v>
      </c>
      <c r="J16" s="132">
        <v>106.75072139800898</v>
      </c>
      <c r="K16" t="s">
        <v>157</v>
      </c>
      <c r="L16" s="133" t="s">
        <v>158</v>
      </c>
      <c r="M16" s="134" t="s">
        <v>195</v>
      </c>
      <c r="N16" t="s">
        <v>194</v>
      </c>
      <c r="O16" t="s">
        <v>198</v>
      </c>
      <c r="P16" t="s">
        <v>200</v>
      </c>
      <c r="Q16">
        <v>4</v>
      </c>
      <c r="R16">
        <v>4</v>
      </c>
      <c r="S16">
        <v>88</v>
      </c>
      <c r="T16">
        <v>92</v>
      </c>
      <c r="U16">
        <v>32.9</v>
      </c>
      <c r="V16">
        <v>33.68</v>
      </c>
      <c r="W16" t="s">
        <v>217</v>
      </c>
      <c r="X16" t="s">
        <v>206</v>
      </c>
      <c r="Y16" s="147">
        <v>18.4404</v>
      </c>
      <c r="Z16" s="147">
        <v>-179.55500000000001</v>
      </c>
      <c r="AA16" s="147">
        <v>11.3</v>
      </c>
      <c r="AB16" s="135" t="s">
        <v>162</v>
      </c>
      <c r="AC16" s="135">
        <v>-1518</v>
      </c>
      <c r="AD16" s="135">
        <v>-1400</v>
      </c>
      <c r="AE16" t="s">
        <v>211</v>
      </c>
      <c r="AF16" t="s">
        <v>160</v>
      </c>
      <c r="AG16" s="142">
        <v>39958.087921142578</v>
      </c>
      <c r="AH16" s="148" t="s">
        <v>215</v>
      </c>
      <c r="AI16">
        <v>2.25</v>
      </c>
      <c r="AJ16">
        <v>2.25</v>
      </c>
      <c r="AK16" t="s">
        <v>214</v>
      </c>
      <c r="AL16" t="s">
        <v>216</v>
      </c>
      <c r="AM16" t="s">
        <v>218</v>
      </c>
      <c r="AN16" t="s">
        <v>162</v>
      </c>
      <c r="AO16" t="s">
        <v>162</v>
      </c>
      <c r="AP16" t="s">
        <v>162</v>
      </c>
      <c r="AQ16" t="s">
        <v>162</v>
      </c>
      <c r="AR16" t="s">
        <v>162</v>
      </c>
      <c r="AS16" t="s">
        <v>162</v>
      </c>
      <c r="AT16" t="s">
        <v>162</v>
      </c>
      <c r="AU16" t="s">
        <v>226</v>
      </c>
      <c r="AV16" t="s">
        <v>230</v>
      </c>
      <c r="AW16" s="167">
        <v>303</v>
      </c>
      <c r="AX16" s="172">
        <v>3.1219999999999999</v>
      </c>
      <c r="AY16" s="148" t="s">
        <v>232</v>
      </c>
      <c r="AZ16" t="s">
        <v>163</v>
      </c>
      <c r="BA16" t="s">
        <v>164</v>
      </c>
      <c r="BB16" t="s">
        <v>250</v>
      </c>
      <c r="BC16">
        <v>2</v>
      </c>
      <c r="BD16" s="137">
        <v>0.17980846078171095</v>
      </c>
      <c r="BE16" s="145">
        <v>15.114143020923301</v>
      </c>
      <c r="BF16" t="s">
        <v>233</v>
      </c>
      <c r="BG16">
        <v>0.24217459745852801</v>
      </c>
      <c r="BH16">
        <v>0.88</v>
      </c>
      <c r="BI16" t="s">
        <v>278</v>
      </c>
      <c r="BJ16" t="s">
        <v>278</v>
      </c>
      <c r="BK16" s="2">
        <v>1.85</v>
      </c>
      <c r="BL16" t="s">
        <v>278</v>
      </c>
      <c r="BM16" t="s">
        <v>278</v>
      </c>
      <c r="BN16" t="s">
        <v>279</v>
      </c>
      <c r="BO16" t="s">
        <v>280</v>
      </c>
      <c r="BP16" s="158">
        <v>15.196977272727301</v>
      </c>
      <c r="BQ16" t="s">
        <v>287</v>
      </c>
      <c r="BR16" s="160" t="s">
        <v>288</v>
      </c>
      <c r="BS16" t="s">
        <v>286</v>
      </c>
      <c r="BT16" t="s">
        <v>289</v>
      </c>
      <c r="BU16">
        <v>25</v>
      </c>
      <c r="BV16" t="s">
        <v>165</v>
      </c>
      <c r="BW16" t="s">
        <v>165</v>
      </c>
      <c r="BX16" s="145">
        <v>32.726622757977601</v>
      </c>
      <c r="BY16" t="s">
        <v>290</v>
      </c>
      <c r="BZ16" s="137">
        <v>0.64433344961869199</v>
      </c>
      <c r="CA16" s="137">
        <v>0.653928681036128</v>
      </c>
      <c r="CB16" t="s">
        <v>291</v>
      </c>
      <c r="CC16">
        <v>4.2456543477265596</v>
      </c>
      <c r="CD16" t="s">
        <v>292</v>
      </c>
      <c r="CE16">
        <v>0.12736963043179678</v>
      </c>
      <c r="CF16">
        <v>0.12736963043179678</v>
      </c>
      <c r="CG16" t="s">
        <v>295</v>
      </c>
      <c r="CH16" t="s">
        <v>162</v>
      </c>
      <c r="CI16" t="s">
        <v>293</v>
      </c>
      <c r="CJ16" t="s">
        <v>296</v>
      </c>
      <c r="CK16" t="s">
        <v>165</v>
      </c>
      <c r="CL16" t="s">
        <v>165</v>
      </c>
      <c r="CM16" t="s">
        <v>294</v>
      </c>
      <c r="CN16" t="s">
        <v>162</v>
      </c>
      <c r="CO16" t="s">
        <v>162</v>
      </c>
      <c r="CP16" t="s">
        <v>162</v>
      </c>
      <c r="CQ16" t="s">
        <v>162</v>
      </c>
      <c r="CR16" t="s">
        <v>162</v>
      </c>
      <c r="CS16" t="s">
        <v>162</v>
      </c>
      <c r="CT16" t="s">
        <v>162</v>
      </c>
      <c r="CU16" s="139">
        <v>35</v>
      </c>
      <c r="CV16" t="s">
        <v>161</v>
      </c>
      <c r="CW16">
        <v>1</v>
      </c>
      <c r="CX16" t="s">
        <v>297</v>
      </c>
      <c r="CY16">
        <v>17</v>
      </c>
      <c r="CZ16" t="s">
        <v>170</v>
      </c>
      <c r="DA16" t="s">
        <v>170</v>
      </c>
      <c r="DB16" t="s">
        <v>298</v>
      </c>
      <c r="DC16">
        <v>38</v>
      </c>
      <c r="DD16" t="s">
        <v>170</v>
      </c>
      <c r="DE16" t="s">
        <v>170</v>
      </c>
      <c r="DF16" t="s">
        <v>298</v>
      </c>
      <c r="DG16" t="s">
        <v>166</v>
      </c>
      <c r="DH16" t="s">
        <v>167</v>
      </c>
      <c r="DI16" t="s">
        <v>167</v>
      </c>
      <c r="DJ16" t="s">
        <v>167</v>
      </c>
      <c r="DK16" s="136">
        <v>432.56244218316402</v>
      </c>
      <c r="DL16" t="s">
        <v>168</v>
      </c>
      <c r="DM16" s="136">
        <v>12.3589269195203</v>
      </c>
      <c r="DN16" t="s">
        <v>169</v>
      </c>
      <c r="DO16">
        <v>38.700000000000003</v>
      </c>
      <c r="DP16" t="s">
        <v>299</v>
      </c>
      <c r="DQ16">
        <v>0.2</v>
      </c>
      <c r="DR16" t="s">
        <v>300</v>
      </c>
      <c r="DS16" t="s">
        <v>301</v>
      </c>
      <c r="DT16" t="s">
        <v>302</v>
      </c>
      <c r="DU16">
        <v>1.0271999999999999</v>
      </c>
      <c r="DV16" t="s">
        <v>170</v>
      </c>
      <c r="DW16" t="s">
        <v>170</v>
      </c>
      <c r="DX16" t="s">
        <v>177</v>
      </c>
      <c r="DY16" t="s">
        <v>170</v>
      </c>
      <c r="DZ16" t="s">
        <v>170</v>
      </c>
      <c r="EA16" t="s">
        <v>303</v>
      </c>
      <c r="EB16" t="s">
        <v>171</v>
      </c>
      <c r="EC16" t="s">
        <v>304</v>
      </c>
      <c r="ED16" t="s">
        <v>304</v>
      </c>
      <c r="EE16" t="s">
        <v>304</v>
      </c>
      <c r="EF16" t="s">
        <v>304</v>
      </c>
      <c r="EG16" t="s">
        <v>162</v>
      </c>
      <c r="EH16" t="s">
        <v>172</v>
      </c>
      <c r="EI16" t="s">
        <v>305</v>
      </c>
      <c r="EJ16" t="s">
        <v>162</v>
      </c>
      <c r="EK16" s="140">
        <v>1750</v>
      </c>
      <c r="EL16" t="s">
        <v>173</v>
      </c>
      <c r="EM16">
        <v>150</v>
      </c>
      <c r="EN16">
        <v>150</v>
      </c>
      <c r="EO16" t="s">
        <v>306</v>
      </c>
      <c r="EP16" t="s">
        <v>306</v>
      </c>
      <c r="EQ16" t="s">
        <v>306</v>
      </c>
      <c r="ER16" t="s">
        <v>306</v>
      </c>
      <c r="ES16">
        <v>7.8375050000053097</v>
      </c>
      <c r="ET16" s="138" t="s">
        <v>174</v>
      </c>
      <c r="EU16" s="161">
        <v>3.12595410785972E-2</v>
      </c>
      <c r="EV16" s="161">
        <v>3.12595410785972E-2</v>
      </c>
      <c r="EW16" s="142">
        <v>674.20104312256501</v>
      </c>
      <c r="EX16" s="138">
        <v>0</v>
      </c>
      <c r="EY16" s="138" t="s">
        <v>308</v>
      </c>
      <c r="EZ16" s="142">
        <v>674.20104312256501</v>
      </c>
      <c r="FA16" s="142">
        <v>124.48776038782</v>
      </c>
      <c r="FB16" s="142">
        <v>106.75072139800898</v>
      </c>
      <c r="FC16" s="164" t="s">
        <v>309</v>
      </c>
      <c r="FD16" t="s">
        <v>310</v>
      </c>
      <c r="FE16" t="s">
        <v>175</v>
      </c>
      <c r="FF16" t="s">
        <v>175</v>
      </c>
      <c r="FG16" t="s">
        <v>175</v>
      </c>
      <c r="FH16">
        <v>1836.6224793891699</v>
      </c>
      <c r="FI16">
        <v>198.83180725390099</v>
      </c>
      <c r="FJ16">
        <v>196.50800470382299</v>
      </c>
      <c r="FK16">
        <v>5.53337830141197</v>
      </c>
      <c r="FL16">
        <v>0.74685528435798298</v>
      </c>
      <c r="FM16">
        <v>0.71580645488207895</v>
      </c>
      <c r="FN16">
        <v>3.48207747129501</v>
      </c>
      <c r="FO16">
        <v>0.46899892695752898</v>
      </c>
      <c r="FP16">
        <v>0.44625900327895102</v>
      </c>
      <c r="FQ16" t="s">
        <v>317</v>
      </c>
    </row>
    <row r="17" spans="1:173">
      <c r="A17" s="128" t="s">
        <v>152</v>
      </c>
      <c r="B17" t="s">
        <v>156</v>
      </c>
      <c r="C17">
        <v>2020</v>
      </c>
      <c r="D17" t="s">
        <v>194</v>
      </c>
      <c r="E17" s="142">
        <v>40000.175476074219</v>
      </c>
      <c r="F17">
        <v>0.76</v>
      </c>
      <c r="G17">
        <v>0.76</v>
      </c>
      <c r="H17" s="132">
        <v>624.610684368222</v>
      </c>
      <c r="I17" s="132">
        <v>114.220237440598</v>
      </c>
      <c r="J17" s="132">
        <v>96.505315274004943</v>
      </c>
      <c r="K17" t="s">
        <v>157</v>
      </c>
      <c r="L17" s="133" t="s">
        <v>158</v>
      </c>
      <c r="M17" s="134" t="s">
        <v>195</v>
      </c>
      <c r="N17" t="s">
        <v>194</v>
      </c>
      <c r="O17" t="s">
        <v>198</v>
      </c>
      <c r="P17" t="s">
        <v>200</v>
      </c>
      <c r="Q17">
        <v>4</v>
      </c>
      <c r="R17">
        <v>4</v>
      </c>
      <c r="S17">
        <v>140</v>
      </c>
      <c r="T17">
        <v>142</v>
      </c>
      <c r="U17">
        <v>33.409999999999997</v>
      </c>
      <c r="V17">
        <v>34.19</v>
      </c>
      <c r="W17" t="s">
        <v>217</v>
      </c>
      <c r="X17" t="s">
        <v>206</v>
      </c>
      <c r="Y17" s="147">
        <v>18.4404</v>
      </c>
      <c r="Z17" s="147">
        <v>-179.55500000000001</v>
      </c>
      <c r="AA17" s="147">
        <v>11.3</v>
      </c>
      <c r="AB17" s="135" t="s">
        <v>162</v>
      </c>
      <c r="AC17" s="135">
        <v>-1518</v>
      </c>
      <c r="AD17" s="135">
        <v>-1400</v>
      </c>
      <c r="AE17" t="s">
        <v>211</v>
      </c>
      <c r="AF17" t="s">
        <v>160</v>
      </c>
      <c r="AG17" s="142">
        <v>40000.175476074219</v>
      </c>
      <c r="AH17" s="148" t="s">
        <v>215</v>
      </c>
      <c r="AI17">
        <v>0.76</v>
      </c>
      <c r="AJ17">
        <v>0.76</v>
      </c>
      <c r="AK17" t="s">
        <v>214</v>
      </c>
      <c r="AL17" t="s">
        <v>216</v>
      </c>
      <c r="AM17" t="s">
        <v>218</v>
      </c>
      <c r="AN17" t="s">
        <v>162</v>
      </c>
      <c r="AO17" t="s">
        <v>162</v>
      </c>
      <c r="AP17" t="s">
        <v>162</v>
      </c>
      <c r="AQ17" t="s">
        <v>162</v>
      </c>
      <c r="AR17" t="s">
        <v>162</v>
      </c>
      <c r="AS17" t="s">
        <v>162</v>
      </c>
      <c r="AT17" t="s">
        <v>162</v>
      </c>
      <c r="AU17" t="s">
        <v>226</v>
      </c>
      <c r="AV17" t="s">
        <v>230</v>
      </c>
      <c r="AW17" s="167">
        <v>296</v>
      </c>
      <c r="AX17" s="172">
        <v>2.996</v>
      </c>
      <c r="AY17" s="148" t="s">
        <v>232</v>
      </c>
      <c r="AZ17" t="s">
        <v>163</v>
      </c>
      <c r="BA17" t="s">
        <v>164</v>
      </c>
      <c r="BB17" t="s">
        <v>277</v>
      </c>
      <c r="BC17">
        <v>2</v>
      </c>
      <c r="BD17" s="137">
        <v>2.5791316004335485E-2</v>
      </c>
      <c r="BE17" s="145">
        <v>15.183987882513801</v>
      </c>
      <c r="BF17" t="s">
        <v>233</v>
      </c>
      <c r="BG17">
        <v>0.24753033540988401</v>
      </c>
      <c r="BH17">
        <v>0.88</v>
      </c>
      <c r="BI17" t="s">
        <v>278</v>
      </c>
      <c r="BJ17" t="s">
        <v>278</v>
      </c>
      <c r="BK17" s="2">
        <v>1.85</v>
      </c>
      <c r="BL17" t="s">
        <v>278</v>
      </c>
      <c r="BM17" t="s">
        <v>278</v>
      </c>
      <c r="BN17" t="s">
        <v>279</v>
      </c>
      <c r="BO17" t="s">
        <v>280</v>
      </c>
      <c r="BP17" s="158">
        <v>15.2763522727273</v>
      </c>
      <c r="BQ17" t="s">
        <v>287</v>
      </c>
      <c r="BR17" s="160" t="s">
        <v>288</v>
      </c>
      <c r="BS17" t="s">
        <v>286</v>
      </c>
      <c r="BT17" t="s">
        <v>289</v>
      </c>
      <c r="BU17">
        <v>25</v>
      </c>
      <c r="BV17" t="s">
        <v>165</v>
      </c>
      <c r="BW17" t="s">
        <v>165</v>
      </c>
      <c r="BX17" s="145">
        <v>32.960312365902297</v>
      </c>
      <c r="BY17" t="s">
        <v>290</v>
      </c>
      <c r="BZ17" s="137">
        <v>0.63368120945489903</v>
      </c>
      <c r="CA17" s="137">
        <v>0.64986756834805703</v>
      </c>
      <c r="CB17" t="s">
        <v>291</v>
      </c>
      <c r="CC17">
        <v>4.2950698803647498</v>
      </c>
      <c r="CD17" t="s">
        <v>292</v>
      </c>
      <c r="CE17">
        <v>0.1288520964109425</v>
      </c>
      <c r="CF17">
        <v>0.1288520964109425</v>
      </c>
      <c r="CG17" t="s">
        <v>295</v>
      </c>
      <c r="CH17" t="s">
        <v>162</v>
      </c>
      <c r="CI17" t="s">
        <v>293</v>
      </c>
      <c r="CJ17" t="s">
        <v>296</v>
      </c>
      <c r="CK17" t="s">
        <v>165</v>
      </c>
      <c r="CL17" t="s">
        <v>165</v>
      </c>
      <c r="CM17" t="s">
        <v>294</v>
      </c>
      <c r="CN17" t="s">
        <v>162</v>
      </c>
      <c r="CO17" t="s">
        <v>162</v>
      </c>
      <c r="CP17" t="s">
        <v>162</v>
      </c>
      <c r="CQ17" t="s">
        <v>162</v>
      </c>
      <c r="CR17" t="s">
        <v>162</v>
      </c>
      <c r="CS17" t="s">
        <v>162</v>
      </c>
      <c r="CT17" t="s">
        <v>162</v>
      </c>
      <c r="CU17" s="139">
        <v>35</v>
      </c>
      <c r="CV17" t="s">
        <v>161</v>
      </c>
      <c r="CW17">
        <v>1</v>
      </c>
      <c r="CX17" t="s">
        <v>297</v>
      </c>
      <c r="CY17">
        <v>17</v>
      </c>
      <c r="CZ17" t="s">
        <v>170</v>
      </c>
      <c r="DA17" t="s">
        <v>170</v>
      </c>
      <c r="DB17" t="s">
        <v>298</v>
      </c>
      <c r="DC17">
        <v>38</v>
      </c>
      <c r="DD17" t="s">
        <v>170</v>
      </c>
      <c r="DE17" t="s">
        <v>170</v>
      </c>
      <c r="DF17" t="s">
        <v>298</v>
      </c>
      <c r="DG17" t="s">
        <v>166</v>
      </c>
      <c r="DH17" t="s">
        <v>167</v>
      </c>
      <c r="DI17" t="s">
        <v>167</v>
      </c>
      <c r="DJ17" t="s">
        <v>167</v>
      </c>
      <c r="DK17" s="136">
        <v>432.56244218316402</v>
      </c>
      <c r="DL17" t="s">
        <v>168</v>
      </c>
      <c r="DM17" s="136">
        <v>12.358926919520499</v>
      </c>
      <c r="DN17" t="s">
        <v>169</v>
      </c>
      <c r="DO17">
        <v>38.700000000000003</v>
      </c>
      <c r="DP17" t="s">
        <v>299</v>
      </c>
      <c r="DQ17">
        <v>0.2</v>
      </c>
      <c r="DR17" t="s">
        <v>300</v>
      </c>
      <c r="DS17" t="s">
        <v>301</v>
      </c>
      <c r="DT17" t="s">
        <v>302</v>
      </c>
      <c r="DU17">
        <v>1.0271999999999999</v>
      </c>
      <c r="DV17" t="s">
        <v>170</v>
      </c>
      <c r="DW17" t="s">
        <v>170</v>
      </c>
      <c r="DX17" t="s">
        <v>177</v>
      </c>
      <c r="DY17" t="s">
        <v>170</v>
      </c>
      <c r="DZ17" t="s">
        <v>170</v>
      </c>
      <c r="EA17" t="s">
        <v>303</v>
      </c>
      <c r="EB17" t="s">
        <v>171</v>
      </c>
      <c r="EC17" t="s">
        <v>304</v>
      </c>
      <c r="ED17" t="s">
        <v>304</v>
      </c>
      <c r="EE17" t="s">
        <v>304</v>
      </c>
      <c r="EF17" t="s">
        <v>304</v>
      </c>
      <c r="EG17" t="s">
        <v>162</v>
      </c>
      <c r="EH17" t="s">
        <v>172</v>
      </c>
      <c r="EI17" t="s">
        <v>305</v>
      </c>
      <c r="EJ17" t="s">
        <v>162</v>
      </c>
      <c r="EK17" s="140">
        <v>1750</v>
      </c>
      <c r="EL17" t="s">
        <v>173</v>
      </c>
      <c r="EM17">
        <v>150</v>
      </c>
      <c r="EN17">
        <v>150</v>
      </c>
      <c r="EO17" t="s">
        <v>306</v>
      </c>
      <c r="EP17" t="s">
        <v>306</v>
      </c>
      <c r="EQ17" t="s">
        <v>306</v>
      </c>
      <c r="ER17" t="s">
        <v>306</v>
      </c>
      <c r="ES17">
        <v>7.8433609214092197</v>
      </c>
      <c r="ET17" s="138" t="s">
        <v>174</v>
      </c>
      <c r="EU17" s="161">
        <v>3.2181352748257598E-2</v>
      </c>
      <c r="EV17" s="161">
        <v>3.2181352748257598E-2</v>
      </c>
      <c r="EW17" s="142">
        <v>624.610684368222</v>
      </c>
      <c r="EX17" s="138">
        <v>0</v>
      </c>
      <c r="EY17" s="138" t="s">
        <v>308</v>
      </c>
      <c r="EZ17" s="142">
        <v>624.610684368222</v>
      </c>
      <c r="FA17" s="142">
        <v>114.220237440598</v>
      </c>
      <c r="FB17" s="142">
        <v>96.505315274004943</v>
      </c>
      <c r="FC17" s="164" t="s">
        <v>309</v>
      </c>
      <c r="FD17" t="s">
        <v>310</v>
      </c>
      <c r="FE17" t="s">
        <v>175</v>
      </c>
      <c r="FF17" t="s">
        <v>175</v>
      </c>
      <c r="FG17" t="s">
        <v>175</v>
      </c>
      <c r="FH17">
        <v>1837.57342564285</v>
      </c>
      <c r="FI17">
        <v>180.35863658420101</v>
      </c>
      <c r="FJ17">
        <v>205.721682347425</v>
      </c>
      <c r="FK17">
        <v>4.9014285319820496</v>
      </c>
      <c r="FL17">
        <v>0.63487126409764505</v>
      </c>
      <c r="FM17">
        <v>0.62952942169049397</v>
      </c>
      <c r="FN17">
        <v>3.04494877796381</v>
      </c>
      <c r="FO17">
        <v>0.39644047649923803</v>
      </c>
      <c r="FP17">
        <v>0.39822685540436997</v>
      </c>
      <c r="FQ17" t="s">
        <v>317</v>
      </c>
    </row>
    <row r="18" spans="1:173">
      <c r="A18" s="128" t="s">
        <v>152</v>
      </c>
      <c r="B18" t="s">
        <v>156</v>
      </c>
      <c r="C18">
        <v>2020</v>
      </c>
      <c r="D18" t="s">
        <v>194</v>
      </c>
      <c r="E18" s="142">
        <v>40031.204223632812</v>
      </c>
      <c r="F18">
        <v>2.1</v>
      </c>
      <c r="G18">
        <v>2.1</v>
      </c>
      <c r="H18" s="132">
        <v>845.15375031222698</v>
      </c>
      <c r="I18" s="132">
        <v>173.16797945264307</v>
      </c>
      <c r="J18" s="132">
        <v>140.14748031553393</v>
      </c>
      <c r="K18" t="s">
        <v>157</v>
      </c>
      <c r="L18" s="133" t="s">
        <v>158</v>
      </c>
      <c r="M18" s="134" t="s">
        <v>195</v>
      </c>
      <c r="N18" t="s">
        <v>194</v>
      </c>
      <c r="O18" t="s">
        <v>198</v>
      </c>
      <c r="P18" t="s">
        <v>200</v>
      </c>
      <c r="Q18">
        <v>4</v>
      </c>
      <c r="R18">
        <v>5</v>
      </c>
      <c r="S18">
        <v>30</v>
      </c>
      <c r="T18">
        <v>32</v>
      </c>
      <c r="U18">
        <v>33.81</v>
      </c>
      <c r="V18">
        <v>34.590000000000003</v>
      </c>
      <c r="W18" t="s">
        <v>217</v>
      </c>
      <c r="X18" t="s">
        <v>206</v>
      </c>
      <c r="Y18" s="147">
        <v>18.4404</v>
      </c>
      <c r="Z18" s="147">
        <v>-179.55500000000001</v>
      </c>
      <c r="AA18" s="147">
        <v>11.3</v>
      </c>
      <c r="AB18" s="135" t="s">
        <v>162</v>
      </c>
      <c r="AC18" s="135">
        <v>-1518</v>
      </c>
      <c r="AD18" s="135">
        <v>-1400</v>
      </c>
      <c r="AE18" t="s">
        <v>211</v>
      </c>
      <c r="AF18" t="s">
        <v>160</v>
      </c>
      <c r="AG18" s="142">
        <v>40031.204223632812</v>
      </c>
      <c r="AH18" s="148" t="s">
        <v>215</v>
      </c>
      <c r="AI18">
        <v>2.1</v>
      </c>
      <c r="AJ18">
        <v>2.1</v>
      </c>
      <c r="AK18" t="s">
        <v>214</v>
      </c>
      <c r="AL18" t="s">
        <v>216</v>
      </c>
      <c r="AM18" t="s">
        <v>218</v>
      </c>
      <c r="AN18" t="s">
        <v>162</v>
      </c>
      <c r="AO18" t="s">
        <v>162</v>
      </c>
      <c r="AP18" t="s">
        <v>162</v>
      </c>
      <c r="AQ18" t="s">
        <v>162</v>
      </c>
      <c r="AR18" t="s">
        <v>162</v>
      </c>
      <c r="AS18" t="s">
        <v>162</v>
      </c>
      <c r="AT18" t="s">
        <v>162</v>
      </c>
      <c r="AU18" t="s">
        <v>226</v>
      </c>
      <c r="AV18" t="s">
        <v>230</v>
      </c>
      <c r="AW18" s="167">
        <v>298</v>
      </c>
      <c r="AX18" s="172">
        <v>2.9969999999999999</v>
      </c>
      <c r="AY18" s="148" t="s">
        <v>232</v>
      </c>
      <c r="AZ18" t="s">
        <v>163</v>
      </c>
      <c r="BA18" t="s">
        <v>164</v>
      </c>
      <c r="BB18" t="s">
        <v>251</v>
      </c>
      <c r="BC18">
        <v>2</v>
      </c>
      <c r="BD18" s="137">
        <v>4.2764023403554674E-2</v>
      </c>
      <c r="BE18" s="145">
        <v>14.903625924380499</v>
      </c>
      <c r="BF18" t="s">
        <v>233</v>
      </c>
      <c r="BG18">
        <v>0.24704139021315</v>
      </c>
      <c r="BH18">
        <v>0.88</v>
      </c>
      <c r="BI18" t="s">
        <v>278</v>
      </c>
      <c r="BJ18" t="s">
        <v>278</v>
      </c>
      <c r="BK18" s="2">
        <v>1.85</v>
      </c>
      <c r="BL18" t="s">
        <v>278</v>
      </c>
      <c r="BM18" t="s">
        <v>278</v>
      </c>
      <c r="BN18" t="s">
        <v>279</v>
      </c>
      <c r="BO18" t="s">
        <v>280</v>
      </c>
      <c r="BP18" s="158">
        <v>14.957761363636401</v>
      </c>
      <c r="BQ18" t="s">
        <v>287</v>
      </c>
      <c r="BR18" s="160" t="s">
        <v>288</v>
      </c>
      <c r="BS18" t="s">
        <v>286</v>
      </c>
      <c r="BT18" t="s">
        <v>289</v>
      </c>
      <c r="BU18">
        <v>25</v>
      </c>
      <c r="BV18" t="s">
        <v>165</v>
      </c>
      <c r="BW18" t="s">
        <v>165</v>
      </c>
      <c r="BX18" s="145">
        <v>32.716271924847597</v>
      </c>
      <c r="BY18" t="s">
        <v>290</v>
      </c>
      <c r="BZ18" s="137">
        <v>0.63418131795526</v>
      </c>
      <c r="CA18" s="137">
        <v>0.69765450344472402</v>
      </c>
      <c r="CB18" t="s">
        <v>291</v>
      </c>
      <c r="CC18">
        <v>4.3237229613521304</v>
      </c>
      <c r="CD18" t="s">
        <v>292</v>
      </c>
      <c r="CE18">
        <v>0.12971168884056392</v>
      </c>
      <c r="CF18">
        <v>0.12971168884056392</v>
      </c>
      <c r="CG18" t="s">
        <v>295</v>
      </c>
      <c r="CH18" t="s">
        <v>162</v>
      </c>
      <c r="CI18" t="s">
        <v>293</v>
      </c>
      <c r="CJ18" t="s">
        <v>296</v>
      </c>
      <c r="CK18" t="s">
        <v>165</v>
      </c>
      <c r="CL18" t="s">
        <v>165</v>
      </c>
      <c r="CM18" t="s">
        <v>294</v>
      </c>
      <c r="CN18" t="s">
        <v>162</v>
      </c>
      <c r="CO18" t="s">
        <v>162</v>
      </c>
      <c r="CP18" t="s">
        <v>162</v>
      </c>
      <c r="CQ18" t="s">
        <v>162</v>
      </c>
      <c r="CR18" t="s">
        <v>162</v>
      </c>
      <c r="CS18" t="s">
        <v>162</v>
      </c>
      <c r="CT18" t="s">
        <v>162</v>
      </c>
      <c r="CU18" s="139">
        <v>35</v>
      </c>
      <c r="CV18" t="s">
        <v>161</v>
      </c>
      <c r="CW18">
        <v>1</v>
      </c>
      <c r="CX18" t="s">
        <v>297</v>
      </c>
      <c r="CY18">
        <v>17</v>
      </c>
      <c r="CZ18" t="s">
        <v>170</v>
      </c>
      <c r="DA18" t="s">
        <v>170</v>
      </c>
      <c r="DB18" t="s">
        <v>298</v>
      </c>
      <c r="DC18">
        <v>38</v>
      </c>
      <c r="DD18" t="s">
        <v>170</v>
      </c>
      <c r="DE18" t="s">
        <v>170</v>
      </c>
      <c r="DF18" t="s">
        <v>298</v>
      </c>
      <c r="DG18" t="s">
        <v>166</v>
      </c>
      <c r="DH18" t="s">
        <v>167</v>
      </c>
      <c r="DI18" t="s">
        <v>167</v>
      </c>
      <c r="DJ18" t="s">
        <v>167</v>
      </c>
      <c r="DK18" s="136">
        <v>432.56244218316402</v>
      </c>
      <c r="DL18" t="s">
        <v>168</v>
      </c>
      <c r="DM18" s="136">
        <v>12.3589269195206</v>
      </c>
      <c r="DN18" t="s">
        <v>169</v>
      </c>
      <c r="DO18">
        <v>38.700000000000003</v>
      </c>
      <c r="DP18" t="s">
        <v>299</v>
      </c>
      <c r="DQ18">
        <v>0.2</v>
      </c>
      <c r="DR18" t="s">
        <v>300</v>
      </c>
      <c r="DS18" t="s">
        <v>301</v>
      </c>
      <c r="DT18" t="s">
        <v>302</v>
      </c>
      <c r="DU18">
        <v>1.0271999999999999</v>
      </c>
      <c r="DV18" t="s">
        <v>170</v>
      </c>
      <c r="DW18" t="s">
        <v>170</v>
      </c>
      <c r="DX18" t="s">
        <v>177</v>
      </c>
      <c r="DY18" t="s">
        <v>170</v>
      </c>
      <c r="DZ18" t="s">
        <v>170</v>
      </c>
      <c r="EA18" t="s">
        <v>303</v>
      </c>
      <c r="EB18" t="s">
        <v>171</v>
      </c>
      <c r="EC18" t="s">
        <v>304</v>
      </c>
      <c r="ED18" t="s">
        <v>304</v>
      </c>
      <c r="EE18" t="s">
        <v>304</v>
      </c>
      <c r="EF18" t="s">
        <v>304</v>
      </c>
      <c r="EG18" t="s">
        <v>162</v>
      </c>
      <c r="EH18" t="s">
        <v>172</v>
      </c>
      <c r="EI18" t="s">
        <v>305</v>
      </c>
      <c r="EJ18" t="s">
        <v>162</v>
      </c>
      <c r="EK18" s="140">
        <v>1750</v>
      </c>
      <c r="EL18" t="s">
        <v>173</v>
      </c>
      <c r="EM18">
        <v>150</v>
      </c>
      <c r="EN18">
        <v>150</v>
      </c>
      <c r="EO18" t="s">
        <v>306</v>
      </c>
      <c r="EP18" t="s">
        <v>306</v>
      </c>
      <c r="EQ18" t="s">
        <v>306</v>
      </c>
      <c r="ER18" t="s">
        <v>306</v>
      </c>
      <c r="ES18">
        <v>7.8052040622758803</v>
      </c>
      <c r="ET18" s="138" t="s">
        <v>174</v>
      </c>
      <c r="EU18" s="161">
        <v>3.2084456159895303E-2</v>
      </c>
      <c r="EV18" s="161">
        <v>3.2084456159895303E-2</v>
      </c>
      <c r="EW18" s="142">
        <v>845.15375031222698</v>
      </c>
      <c r="EX18" s="138">
        <v>0</v>
      </c>
      <c r="EY18" s="138" t="s">
        <v>308</v>
      </c>
      <c r="EZ18" s="142">
        <v>845.15375031222698</v>
      </c>
      <c r="FA18" s="142">
        <v>173.16797945264307</v>
      </c>
      <c r="FB18" s="142">
        <v>140.14748031553393</v>
      </c>
      <c r="FC18" s="164" t="s">
        <v>309</v>
      </c>
      <c r="FD18" t="s">
        <v>310</v>
      </c>
      <c r="FE18" t="s">
        <v>175</v>
      </c>
      <c r="FF18" t="s">
        <v>175</v>
      </c>
      <c r="FG18" t="s">
        <v>175</v>
      </c>
      <c r="FH18">
        <v>1834.9726963313601</v>
      </c>
      <c r="FI18">
        <v>209.44214909170299</v>
      </c>
      <c r="FJ18">
        <v>192.286866120795</v>
      </c>
      <c r="FK18">
        <v>5.5536041427832998</v>
      </c>
      <c r="FL18">
        <v>0.82659914212514396</v>
      </c>
      <c r="FM18">
        <v>0.67476558263444097</v>
      </c>
      <c r="FN18">
        <v>3.5533092652769298</v>
      </c>
      <c r="FO18">
        <v>0.53743126505786998</v>
      </c>
      <c r="FP18">
        <v>0.43541753306527797</v>
      </c>
      <c r="FQ18" t="s">
        <v>317</v>
      </c>
    </row>
    <row r="19" spans="1:173">
      <c r="A19" s="128" t="s">
        <v>152</v>
      </c>
      <c r="B19" t="s">
        <v>156</v>
      </c>
      <c r="C19">
        <v>2020</v>
      </c>
      <c r="D19" t="s">
        <v>194</v>
      </c>
      <c r="E19" s="142">
        <v>40092.166900634766</v>
      </c>
      <c r="F19">
        <v>2.1</v>
      </c>
      <c r="G19">
        <v>2.1</v>
      </c>
      <c r="H19" s="132">
        <v>633.33429418725996</v>
      </c>
      <c r="I19" s="132">
        <v>117.16266592026307</v>
      </c>
      <c r="J19" s="132">
        <v>95.576601078625004</v>
      </c>
      <c r="K19" t="s">
        <v>157</v>
      </c>
      <c r="L19" s="133" t="s">
        <v>158</v>
      </c>
      <c r="M19" s="134" t="s">
        <v>195</v>
      </c>
      <c r="N19" t="s">
        <v>194</v>
      </c>
      <c r="O19" t="s">
        <v>198</v>
      </c>
      <c r="P19" t="s">
        <v>200</v>
      </c>
      <c r="Q19">
        <v>4</v>
      </c>
      <c r="R19">
        <v>5</v>
      </c>
      <c r="S19">
        <v>60</v>
      </c>
      <c r="T19">
        <v>62</v>
      </c>
      <c r="U19">
        <v>34.11</v>
      </c>
      <c r="V19">
        <v>34.89</v>
      </c>
      <c r="W19" t="s">
        <v>217</v>
      </c>
      <c r="X19" t="s">
        <v>206</v>
      </c>
      <c r="Y19" s="147">
        <v>18.4404</v>
      </c>
      <c r="Z19" s="147">
        <v>-179.55500000000001</v>
      </c>
      <c r="AA19" s="147">
        <v>11.3</v>
      </c>
      <c r="AB19" s="135" t="s">
        <v>162</v>
      </c>
      <c r="AC19" s="135">
        <v>-1518</v>
      </c>
      <c r="AD19" s="135">
        <v>-1400</v>
      </c>
      <c r="AE19" t="s">
        <v>211</v>
      </c>
      <c r="AF19" t="s">
        <v>160</v>
      </c>
      <c r="AG19" s="142">
        <v>40092.166900634766</v>
      </c>
      <c r="AH19" s="148" t="s">
        <v>215</v>
      </c>
      <c r="AI19">
        <v>2.1</v>
      </c>
      <c r="AJ19">
        <v>2.1</v>
      </c>
      <c r="AK19" t="s">
        <v>214</v>
      </c>
      <c r="AL19" t="s">
        <v>216</v>
      </c>
      <c r="AM19" t="s">
        <v>218</v>
      </c>
      <c r="AN19" t="s">
        <v>162</v>
      </c>
      <c r="AO19" t="s">
        <v>162</v>
      </c>
      <c r="AP19" t="s">
        <v>162</v>
      </c>
      <c r="AQ19" t="s">
        <v>162</v>
      </c>
      <c r="AR19" t="s">
        <v>162</v>
      </c>
      <c r="AS19" t="s">
        <v>162</v>
      </c>
      <c r="AT19" t="s">
        <v>162</v>
      </c>
      <c r="AU19" t="s">
        <v>226</v>
      </c>
      <c r="AV19" t="s">
        <v>230</v>
      </c>
      <c r="AW19" s="167">
        <v>274</v>
      </c>
      <c r="AX19" s="172">
        <v>2.7360000000000002</v>
      </c>
      <c r="AY19" s="148" t="s">
        <v>232</v>
      </c>
      <c r="AZ19" t="s">
        <v>163</v>
      </c>
      <c r="BA19" t="s">
        <v>164</v>
      </c>
      <c r="BB19" t="s">
        <v>252</v>
      </c>
      <c r="BC19">
        <v>2</v>
      </c>
      <c r="BD19" s="137">
        <v>0.13232152808946293</v>
      </c>
      <c r="BE19" s="145">
        <v>14.5023732064193</v>
      </c>
      <c r="BF19" t="s">
        <v>233</v>
      </c>
      <c r="BG19">
        <v>0.24730822813623099</v>
      </c>
      <c r="BH19">
        <v>0.88</v>
      </c>
      <c r="BI19" t="s">
        <v>278</v>
      </c>
      <c r="BJ19" t="s">
        <v>278</v>
      </c>
      <c r="BK19" s="2">
        <v>1.85</v>
      </c>
      <c r="BL19" t="s">
        <v>278</v>
      </c>
      <c r="BM19" t="s">
        <v>278</v>
      </c>
      <c r="BN19" t="s">
        <v>279</v>
      </c>
      <c r="BO19" t="s">
        <v>280</v>
      </c>
      <c r="BP19" s="158">
        <v>14.5017840909091</v>
      </c>
      <c r="BQ19" t="s">
        <v>287</v>
      </c>
      <c r="BR19" s="160" t="s">
        <v>288</v>
      </c>
      <c r="BS19" t="s">
        <v>286</v>
      </c>
      <c r="BT19" t="s">
        <v>289</v>
      </c>
      <c r="BU19">
        <v>25</v>
      </c>
      <c r="BV19" t="s">
        <v>165</v>
      </c>
      <c r="BW19" t="s">
        <v>165</v>
      </c>
      <c r="BX19" s="145">
        <v>32.5359743885653</v>
      </c>
      <c r="BY19" t="s">
        <v>290</v>
      </c>
      <c r="BZ19" s="137">
        <v>0.62464555266579702</v>
      </c>
      <c r="CA19" s="137">
        <v>0.670950754058527</v>
      </c>
      <c r="CB19" t="s">
        <v>291</v>
      </c>
      <c r="CC19">
        <v>4.4332690387495903</v>
      </c>
      <c r="CD19" t="s">
        <v>292</v>
      </c>
      <c r="CE19">
        <v>0.13299807116248771</v>
      </c>
      <c r="CF19">
        <v>0.13299807116248771</v>
      </c>
      <c r="CG19" t="s">
        <v>295</v>
      </c>
      <c r="CH19" t="s">
        <v>162</v>
      </c>
      <c r="CI19" t="s">
        <v>293</v>
      </c>
      <c r="CJ19" t="s">
        <v>296</v>
      </c>
      <c r="CK19" t="s">
        <v>165</v>
      </c>
      <c r="CL19" t="s">
        <v>165</v>
      </c>
      <c r="CM19" t="s">
        <v>294</v>
      </c>
      <c r="CN19" t="s">
        <v>162</v>
      </c>
      <c r="CO19" t="s">
        <v>162</v>
      </c>
      <c r="CP19" t="s">
        <v>162</v>
      </c>
      <c r="CQ19" t="s">
        <v>162</v>
      </c>
      <c r="CR19" t="s">
        <v>162</v>
      </c>
      <c r="CS19" t="s">
        <v>162</v>
      </c>
      <c r="CT19" t="s">
        <v>162</v>
      </c>
      <c r="CU19" s="139">
        <v>35</v>
      </c>
      <c r="CV19" t="s">
        <v>161</v>
      </c>
      <c r="CW19">
        <v>1</v>
      </c>
      <c r="CX19" t="s">
        <v>297</v>
      </c>
      <c r="CY19">
        <v>17</v>
      </c>
      <c r="CZ19" t="s">
        <v>170</v>
      </c>
      <c r="DA19" t="s">
        <v>170</v>
      </c>
      <c r="DB19" t="s">
        <v>298</v>
      </c>
      <c r="DC19">
        <v>38</v>
      </c>
      <c r="DD19" t="s">
        <v>170</v>
      </c>
      <c r="DE19" t="s">
        <v>170</v>
      </c>
      <c r="DF19" t="s">
        <v>298</v>
      </c>
      <c r="DG19" t="s">
        <v>166</v>
      </c>
      <c r="DH19" t="s">
        <v>167</v>
      </c>
      <c r="DI19" t="s">
        <v>167</v>
      </c>
      <c r="DJ19" t="s">
        <v>167</v>
      </c>
      <c r="DK19" s="136">
        <v>432.56244218316402</v>
      </c>
      <c r="DL19" t="s">
        <v>168</v>
      </c>
      <c r="DM19" s="136">
        <v>12.3589269195207</v>
      </c>
      <c r="DN19" t="s">
        <v>169</v>
      </c>
      <c r="DO19">
        <v>38.700000000000003</v>
      </c>
      <c r="DP19" t="s">
        <v>299</v>
      </c>
      <c r="DQ19">
        <v>0.2</v>
      </c>
      <c r="DR19" t="s">
        <v>300</v>
      </c>
      <c r="DS19" t="s">
        <v>301</v>
      </c>
      <c r="DT19" t="s">
        <v>302</v>
      </c>
      <c r="DU19">
        <v>1.0271999999999999</v>
      </c>
      <c r="DV19" t="s">
        <v>170</v>
      </c>
      <c r="DW19" t="s">
        <v>170</v>
      </c>
      <c r="DX19" t="s">
        <v>177</v>
      </c>
      <c r="DY19" t="s">
        <v>170</v>
      </c>
      <c r="DZ19" t="s">
        <v>170</v>
      </c>
      <c r="EA19" t="s">
        <v>303</v>
      </c>
      <c r="EB19" t="s">
        <v>171</v>
      </c>
      <c r="EC19" t="s">
        <v>304</v>
      </c>
      <c r="ED19" t="s">
        <v>304</v>
      </c>
      <c r="EE19" t="s">
        <v>304</v>
      </c>
      <c r="EF19" t="s">
        <v>304</v>
      </c>
      <c r="EG19" t="s">
        <v>162</v>
      </c>
      <c r="EH19" t="s">
        <v>172</v>
      </c>
      <c r="EI19" t="s">
        <v>305</v>
      </c>
      <c r="EJ19" t="s">
        <v>162</v>
      </c>
      <c r="EK19" s="140">
        <v>1750</v>
      </c>
      <c r="EL19" t="s">
        <v>173</v>
      </c>
      <c r="EM19">
        <v>150</v>
      </c>
      <c r="EN19">
        <v>150</v>
      </c>
      <c r="EO19" t="s">
        <v>306</v>
      </c>
      <c r="EP19" t="s">
        <v>306</v>
      </c>
      <c r="EQ19" t="s">
        <v>306</v>
      </c>
      <c r="ER19" t="s">
        <v>306</v>
      </c>
      <c r="ES19">
        <v>7.7424404302918699</v>
      </c>
      <c r="ET19" s="138" t="s">
        <v>174</v>
      </c>
      <c r="EU19" s="161">
        <v>3.5387048222757601E-2</v>
      </c>
      <c r="EV19" s="161">
        <v>3.5387048222757601E-2</v>
      </c>
      <c r="EW19" s="142">
        <v>633.33429418725996</v>
      </c>
      <c r="EX19" s="138">
        <v>0</v>
      </c>
      <c r="EY19" s="138" t="s">
        <v>308</v>
      </c>
      <c r="EZ19" s="142">
        <v>633.33429418725996</v>
      </c>
      <c r="FA19" s="142">
        <v>117.16266592026307</v>
      </c>
      <c r="FB19" s="142">
        <v>95.576601078625004</v>
      </c>
      <c r="FC19" s="164" t="s">
        <v>309</v>
      </c>
      <c r="FD19" t="s">
        <v>310</v>
      </c>
      <c r="FE19" t="s">
        <v>175</v>
      </c>
      <c r="FF19" t="s">
        <v>175</v>
      </c>
      <c r="FG19" t="s">
        <v>175</v>
      </c>
      <c r="FH19">
        <v>1818.8651609769499</v>
      </c>
      <c r="FI19">
        <v>193.742411392382</v>
      </c>
      <c r="FJ19">
        <v>191.55598137087901</v>
      </c>
      <c r="FK19">
        <v>4.8444807012421496</v>
      </c>
      <c r="FL19">
        <v>0.59326208696009597</v>
      </c>
      <c r="FM19">
        <v>0.53533671308837505</v>
      </c>
      <c r="FN19">
        <v>3.0101419505117502</v>
      </c>
      <c r="FO19">
        <v>0.37884509994176002</v>
      </c>
      <c r="FP19">
        <v>0.33857252928213799</v>
      </c>
      <c r="FQ19" t="s">
        <v>317</v>
      </c>
    </row>
    <row r="20" spans="1:173">
      <c r="A20" s="128" t="s">
        <v>152</v>
      </c>
      <c r="B20" t="s">
        <v>156</v>
      </c>
      <c r="C20">
        <v>2020</v>
      </c>
      <c r="D20" t="s">
        <v>194</v>
      </c>
      <c r="E20" s="142">
        <v>40139.675140380859</v>
      </c>
      <c r="F20">
        <v>2.82</v>
      </c>
      <c r="G20">
        <v>2.82</v>
      </c>
      <c r="H20" s="132">
        <v>781.36619818991005</v>
      </c>
      <c r="I20" s="132">
        <v>142.43849020687492</v>
      </c>
      <c r="J20" s="132">
        <v>127.87297097368003</v>
      </c>
      <c r="K20" t="s">
        <v>157</v>
      </c>
      <c r="L20" s="133" t="s">
        <v>158</v>
      </c>
      <c r="M20" s="134" t="s">
        <v>195</v>
      </c>
      <c r="N20" t="s">
        <v>194</v>
      </c>
      <c r="O20" t="s">
        <v>198</v>
      </c>
      <c r="P20" t="s">
        <v>201</v>
      </c>
      <c r="Q20">
        <v>5</v>
      </c>
      <c r="R20">
        <v>1</v>
      </c>
      <c r="S20">
        <v>5</v>
      </c>
      <c r="T20">
        <v>7</v>
      </c>
      <c r="U20">
        <v>31.86</v>
      </c>
      <c r="V20">
        <v>35.075981140136719</v>
      </c>
      <c r="W20" t="s">
        <v>217</v>
      </c>
      <c r="X20" t="s">
        <v>206</v>
      </c>
      <c r="Y20" s="147">
        <v>18.4404</v>
      </c>
      <c r="Z20" s="147">
        <v>-179.55500000000001</v>
      </c>
      <c r="AA20" s="147">
        <v>11.3</v>
      </c>
      <c r="AB20" s="135" t="s">
        <v>162</v>
      </c>
      <c r="AC20" s="135">
        <v>-1518</v>
      </c>
      <c r="AD20" s="135">
        <v>-1400</v>
      </c>
      <c r="AE20" t="s">
        <v>211</v>
      </c>
      <c r="AF20" t="s">
        <v>160</v>
      </c>
      <c r="AG20" s="142">
        <v>40139.675140380859</v>
      </c>
      <c r="AH20" s="148" t="s">
        <v>215</v>
      </c>
      <c r="AI20">
        <v>2.82</v>
      </c>
      <c r="AJ20">
        <v>2.82</v>
      </c>
      <c r="AK20" t="s">
        <v>214</v>
      </c>
      <c r="AL20" t="s">
        <v>216</v>
      </c>
      <c r="AM20" t="s">
        <v>218</v>
      </c>
      <c r="AN20" t="s">
        <v>162</v>
      </c>
      <c r="AO20" t="s">
        <v>162</v>
      </c>
      <c r="AP20" t="s">
        <v>162</v>
      </c>
      <c r="AQ20" t="s">
        <v>162</v>
      </c>
      <c r="AR20" t="s">
        <v>162</v>
      </c>
      <c r="AS20" t="s">
        <v>162</v>
      </c>
      <c r="AT20" t="s">
        <v>162</v>
      </c>
      <c r="AU20" t="s">
        <v>226</v>
      </c>
      <c r="AV20" t="s">
        <v>230</v>
      </c>
      <c r="AW20" s="167" t="s">
        <v>231</v>
      </c>
      <c r="AX20" s="166" t="s">
        <v>321</v>
      </c>
      <c r="AY20" s="148" t="s">
        <v>232</v>
      </c>
      <c r="AZ20" t="s">
        <v>163</v>
      </c>
      <c r="BA20" t="s">
        <v>164</v>
      </c>
      <c r="BB20" t="s">
        <v>237</v>
      </c>
      <c r="BC20">
        <v>2</v>
      </c>
      <c r="BD20" s="149">
        <v>6.2866847382430535E-2</v>
      </c>
      <c r="BE20" s="145">
        <v>14.4822803056653</v>
      </c>
      <c r="BF20" t="s">
        <v>233</v>
      </c>
      <c r="BG20">
        <v>0.24396455644627901</v>
      </c>
      <c r="BH20">
        <v>0.88</v>
      </c>
      <c r="BI20" t="s">
        <v>278</v>
      </c>
      <c r="BJ20" t="s">
        <v>278</v>
      </c>
      <c r="BK20" s="2">
        <v>1.85</v>
      </c>
      <c r="BL20" t="s">
        <v>278</v>
      </c>
      <c r="BM20" t="s">
        <v>278</v>
      </c>
      <c r="BN20" t="s">
        <v>279</v>
      </c>
      <c r="BO20" t="s">
        <v>280</v>
      </c>
      <c r="BP20" s="158">
        <v>14.478954545454499</v>
      </c>
      <c r="BQ20" t="s">
        <v>287</v>
      </c>
      <c r="BR20" s="160" t="s">
        <v>288</v>
      </c>
      <c r="BS20" t="s">
        <v>286</v>
      </c>
      <c r="BT20" t="s">
        <v>289</v>
      </c>
      <c r="BU20">
        <v>25</v>
      </c>
      <c r="BV20" t="s">
        <v>165</v>
      </c>
      <c r="BW20" t="s">
        <v>165</v>
      </c>
      <c r="BX20" s="145">
        <v>33.526148922124797</v>
      </c>
      <c r="BY20" t="s">
        <v>290</v>
      </c>
      <c r="BZ20" s="137">
        <v>0.704555936527967</v>
      </c>
      <c r="CA20" s="137">
        <v>0.65177985868146504</v>
      </c>
      <c r="CB20" t="s">
        <v>291</v>
      </c>
      <c r="CC20">
        <v>4.7280185784437698</v>
      </c>
      <c r="CD20" t="s">
        <v>292</v>
      </c>
      <c r="CE20">
        <v>0.14184055735331308</v>
      </c>
      <c r="CF20">
        <v>0.14184055735331308</v>
      </c>
      <c r="CG20" t="s">
        <v>295</v>
      </c>
      <c r="CH20" t="s">
        <v>162</v>
      </c>
      <c r="CI20" t="s">
        <v>293</v>
      </c>
      <c r="CJ20" t="s">
        <v>296</v>
      </c>
      <c r="CK20" t="s">
        <v>165</v>
      </c>
      <c r="CL20" t="s">
        <v>165</v>
      </c>
      <c r="CM20" t="s">
        <v>294</v>
      </c>
      <c r="CN20" t="s">
        <v>162</v>
      </c>
      <c r="CO20" t="s">
        <v>162</v>
      </c>
      <c r="CP20" t="s">
        <v>162</v>
      </c>
      <c r="CQ20" t="s">
        <v>162</v>
      </c>
      <c r="CR20" t="s">
        <v>162</v>
      </c>
      <c r="CS20" t="s">
        <v>162</v>
      </c>
      <c r="CT20" t="s">
        <v>162</v>
      </c>
      <c r="CU20" s="139">
        <v>35</v>
      </c>
      <c r="CV20" t="s">
        <v>161</v>
      </c>
      <c r="CW20">
        <v>1</v>
      </c>
      <c r="CX20" t="s">
        <v>297</v>
      </c>
      <c r="CY20">
        <v>17</v>
      </c>
      <c r="CZ20" t="s">
        <v>170</v>
      </c>
      <c r="DA20" t="s">
        <v>170</v>
      </c>
      <c r="DB20" t="s">
        <v>298</v>
      </c>
      <c r="DC20">
        <v>38</v>
      </c>
      <c r="DD20" t="s">
        <v>170</v>
      </c>
      <c r="DE20" t="s">
        <v>170</v>
      </c>
      <c r="DF20" t="s">
        <v>298</v>
      </c>
      <c r="DG20" t="s">
        <v>166</v>
      </c>
      <c r="DH20" t="s">
        <v>167</v>
      </c>
      <c r="DI20" t="s">
        <v>167</v>
      </c>
      <c r="DJ20" t="s">
        <v>167</v>
      </c>
      <c r="DK20" s="136">
        <v>432.56244218316402</v>
      </c>
      <c r="DL20" t="s">
        <v>168</v>
      </c>
      <c r="DM20" s="136">
        <v>12.358926919520799</v>
      </c>
      <c r="DN20" t="s">
        <v>169</v>
      </c>
      <c r="DO20">
        <v>38.700000000000003</v>
      </c>
      <c r="DP20" t="s">
        <v>299</v>
      </c>
      <c r="DQ20">
        <v>0.2</v>
      </c>
      <c r="DR20" t="s">
        <v>300</v>
      </c>
      <c r="DS20" t="s">
        <v>301</v>
      </c>
      <c r="DT20" t="s">
        <v>302</v>
      </c>
      <c r="DU20">
        <v>1.0271999999999999</v>
      </c>
      <c r="DV20" t="s">
        <v>170</v>
      </c>
      <c r="DW20" t="s">
        <v>170</v>
      </c>
      <c r="DX20" t="s">
        <v>177</v>
      </c>
      <c r="DY20" t="s">
        <v>170</v>
      </c>
      <c r="DZ20" t="s">
        <v>170</v>
      </c>
      <c r="EA20" t="s">
        <v>303</v>
      </c>
      <c r="EB20" t="s">
        <v>171</v>
      </c>
      <c r="EC20" t="s">
        <v>304</v>
      </c>
      <c r="ED20" t="s">
        <v>304</v>
      </c>
      <c r="EE20" t="s">
        <v>304</v>
      </c>
      <c r="EF20" t="s">
        <v>304</v>
      </c>
      <c r="EG20" t="s">
        <v>162</v>
      </c>
      <c r="EH20" t="s">
        <v>172</v>
      </c>
      <c r="EI20" t="s">
        <v>305</v>
      </c>
      <c r="EJ20" t="s">
        <v>162</v>
      </c>
      <c r="EK20" s="140">
        <v>1750</v>
      </c>
      <c r="EL20" t="s">
        <v>173</v>
      </c>
      <c r="EM20">
        <v>150</v>
      </c>
      <c r="EN20">
        <v>150</v>
      </c>
      <c r="EO20" t="s">
        <v>306</v>
      </c>
      <c r="EP20" t="s">
        <v>306</v>
      </c>
      <c r="EQ20" t="s">
        <v>306</v>
      </c>
      <c r="ER20" t="s">
        <v>306</v>
      </c>
      <c r="ES20">
        <v>7.7288443996415896</v>
      </c>
      <c r="ET20" s="138" t="s">
        <v>174</v>
      </c>
      <c r="EU20" s="161">
        <v>3.8341682424334403E-2</v>
      </c>
      <c r="EV20" s="161">
        <v>3.8341682424334403E-2</v>
      </c>
      <c r="EW20" s="142">
        <v>781.36619818991005</v>
      </c>
      <c r="EX20" s="138">
        <v>0</v>
      </c>
      <c r="EY20" s="138" t="s">
        <v>308</v>
      </c>
      <c r="EZ20" s="142">
        <v>781.36619818991005</v>
      </c>
      <c r="FA20" s="142">
        <v>142.43849020687492</v>
      </c>
      <c r="FB20" s="142">
        <v>127.87297097368003</v>
      </c>
      <c r="FC20" s="164" t="s">
        <v>309</v>
      </c>
      <c r="FD20" t="s">
        <v>310</v>
      </c>
      <c r="FE20" t="s">
        <v>175</v>
      </c>
      <c r="FF20" t="s">
        <v>175</v>
      </c>
      <c r="FG20" t="s">
        <v>175</v>
      </c>
      <c r="FH20">
        <v>1843.32105559663</v>
      </c>
      <c r="FI20">
        <v>188.46272339921501</v>
      </c>
      <c r="FJ20">
        <v>190.14936919591199</v>
      </c>
      <c r="FK20">
        <v>5.9099433199240501</v>
      </c>
      <c r="FL20">
        <v>0.82596814634871796</v>
      </c>
      <c r="FM20">
        <v>0.721137309727645</v>
      </c>
      <c r="FN20">
        <v>3.7769352554379498</v>
      </c>
      <c r="FO20">
        <v>0.52578314119823599</v>
      </c>
      <c r="FP20">
        <v>0.463254061578806</v>
      </c>
      <c r="FQ20" t="s">
        <v>317</v>
      </c>
    </row>
    <row r="21" spans="1:173">
      <c r="A21" s="128" t="s">
        <v>152</v>
      </c>
      <c r="B21" t="s">
        <v>156</v>
      </c>
      <c r="C21">
        <v>2020</v>
      </c>
      <c r="D21" t="s">
        <v>194</v>
      </c>
      <c r="E21" s="142">
        <v>40139.675140380859</v>
      </c>
      <c r="F21">
        <v>2.82</v>
      </c>
      <c r="G21">
        <v>2.82</v>
      </c>
      <c r="H21" s="132">
        <v>748.35196001214501</v>
      </c>
      <c r="I21" s="132">
        <v>147.21710512640004</v>
      </c>
      <c r="J21" s="132">
        <v>126.31156935249601</v>
      </c>
      <c r="K21" t="s">
        <v>157</v>
      </c>
      <c r="L21" s="133" t="s">
        <v>158</v>
      </c>
      <c r="M21" s="134" t="s">
        <v>195</v>
      </c>
      <c r="N21" t="s">
        <v>194</v>
      </c>
      <c r="O21" t="s">
        <v>198</v>
      </c>
      <c r="P21" t="s">
        <v>201</v>
      </c>
      <c r="Q21">
        <v>5</v>
      </c>
      <c r="R21">
        <v>1</v>
      </c>
      <c r="S21">
        <v>5</v>
      </c>
      <c r="T21">
        <v>7</v>
      </c>
      <c r="U21">
        <v>31.86</v>
      </c>
      <c r="V21">
        <v>35.075981140136719</v>
      </c>
      <c r="W21" t="s">
        <v>217</v>
      </c>
      <c r="X21" t="s">
        <v>206</v>
      </c>
      <c r="Y21" s="147">
        <v>18.4404</v>
      </c>
      <c r="Z21" s="147">
        <v>-179.55500000000001</v>
      </c>
      <c r="AA21" s="147">
        <v>11.3</v>
      </c>
      <c r="AB21" s="135" t="s">
        <v>162</v>
      </c>
      <c r="AC21" s="135">
        <v>-1518</v>
      </c>
      <c r="AD21" s="135">
        <v>-1400</v>
      </c>
      <c r="AE21" t="s">
        <v>211</v>
      </c>
      <c r="AF21" t="s">
        <v>160</v>
      </c>
      <c r="AG21" s="142">
        <v>40139.675140380859</v>
      </c>
      <c r="AH21" s="148" t="s">
        <v>215</v>
      </c>
      <c r="AI21">
        <v>2.82</v>
      </c>
      <c r="AJ21">
        <v>2.82</v>
      </c>
      <c r="AK21" t="s">
        <v>214</v>
      </c>
      <c r="AL21" t="s">
        <v>216</v>
      </c>
      <c r="AM21" t="s">
        <v>218</v>
      </c>
      <c r="AN21" t="s">
        <v>162</v>
      </c>
      <c r="AO21" t="s">
        <v>162</v>
      </c>
      <c r="AP21" t="s">
        <v>162</v>
      </c>
      <c r="AQ21" t="s">
        <v>162</v>
      </c>
      <c r="AR21" t="s">
        <v>162</v>
      </c>
      <c r="AS21" t="s">
        <v>162</v>
      </c>
      <c r="AT21" t="s">
        <v>162</v>
      </c>
      <c r="AU21" t="s">
        <v>225</v>
      </c>
      <c r="AV21" t="s">
        <v>230</v>
      </c>
      <c r="AW21" s="167" t="s">
        <v>231</v>
      </c>
      <c r="AX21" s="166" t="s">
        <v>321</v>
      </c>
      <c r="AY21" s="148" t="s">
        <v>232</v>
      </c>
      <c r="AZ21" t="s">
        <v>163</v>
      </c>
      <c r="BA21" t="s">
        <v>164</v>
      </c>
      <c r="BB21" t="s">
        <v>238</v>
      </c>
      <c r="BC21">
        <v>2</v>
      </c>
      <c r="BD21" s="149">
        <v>8.4164235866516876E-2</v>
      </c>
      <c r="BE21" s="145">
        <v>14.522409800270299</v>
      </c>
      <c r="BF21" t="s">
        <v>233</v>
      </c>
      <c r="BG21">
        <v>0.23537649627877399</v>
      </c>
      <c r="BH21">
        <v>0.88</v>
      </c>
      <c r="BI21" t="s">
        <v>278</v>
      </c>
      <c r="BJ21" t="s">
        <v>278</v>
      </c>
      <c r="BK21" s="2">
        <v>1.85</v>
      </c>
      <c r="BL21" t="s">
        <v>278</v>
      </c>
      <c r="BM21" t="s">
        <v>278</v>
      </c>
      <c r="BN21" t="s">
        <v>279</v>
      </c>
      <c r="BO21" t="s">
        <v>280</v>
      </c>
      <c r="BP21" s="158">
        <v>14.5245568181818</v>
      </c>
      <c r="BQ21" t="s">
        <v>287</v>
      </c>
      <c r="BR21" s="160" t="s">
        <v>288</v>
      </c>
      <c r="BS21" t="s">
        <v>286</v>
      </c>
      <c r="BT21" t="s">
        <v>289</v>
      </c>
      <c r="BU21">
        <v>25</v>
      </c>
      <c r="BV21" t="s">
        <v>165</v>
      </c>
      <c r="BW21" t="s">
        <v>165</v>
      </c>
      <c r="BX21" s="145">
        <v>32.459925667906198</v>
      </c>
      <c r="BY21" t="s">
        <v>290</v>
      </c>
      <c r="BZ21" s="137">
        <v>0.68421967156658103</v>
      </c>
      <c r="CA21" s="137">
        <v>0.66494190045738599</v>
      </c>
      <c r="CB21" t="s">
        <v>291</v>
      </c>
      <c r="CC21">
        <v>4.4030665158598499</v>
      </c>
      <c r="CD21" t="s">
        <v>292</v>
      </c>
      <c r="CE21">
        <v>0.1320919954757955</v>
      </c>
      <c r="CF21">
        <v>0.1320919954757955</v>
      </c>
      <c r="CG21" t="s">
        <v>295</v>
      </c>
      <c r="CH21" t="s">
        <v>162</v>
      </c>
      <c r="CI21" t="s">
        <v>293</v>
      </c>
      <c r="CJ21" t="s">
        <v>296</v>
      </c>
      <c r="CK21" t="s">
        <v>165</v>
      </c>
      <c r="CL21" t="s">
        <v>165</v>
      </c>
      <c r="CM21" t="s">
        <v>294</v>
      </c>
      <c r="CN21" t="s">
        <v>162</v>
      </c>
      <c r="CO21" t="s">
        <v>162</v>
      </c>
      <c r="CP21" t="s">
        <v>162</v>
      </c>
      <c r="CQ21" t="s">
        <v>162</v>
      </c>
      <c r="CR21" t="s">
        <v>162</v>
      </c>
      <c r="CS21" t="s">
        <v>162</v>
      </c>
      <c r="CT21" t="s">
        <v>162</v>
      </c>
      <c r="CU21" s="139">
        <v>35</v>
      </c>
      <c r="CV21" t="s">
        <v>161</v>
      </c>
      <c r="CW21">
        <v>1</v>
      </c>
      <c r="CX21" t="s">
        <v>297</v>
      </c>
      <c r="CY21">
        <v>17</v>
      </c>
      <c r="CZ21" t="s">
        <v>170</v>
      </c>
      <c r="DA21" t="s">
        <v>170</v>
      </c>
      <c r="DB21" t="s">
        <v>298</v>
      </c>
      <c r="DC21">
        <v>38</v>
      </c>
      <c r="DD21" t="s">
        <v>170</v>
      </c>
      <c r="DE21" t="s">
        <v>170</v>
      </c>
      <c r="DF21" t="s">
        <v>298</v>
      </c>
      <c r="DG21" t="s">
        <v>166</v>
      </c>
      <c r="DH21" t="s">
        <v>167</v>
      </c>
      <c r="DI21" t="s">
        <v>167</v>
      </c>
      <c r="DJ21" t="s">
        <v>167</v>
      </c>
      <c r="DK21" s="136">
        <v>432.56244218316402</v>
      </c>
      <c r="DL21" t="s">
        <v>168</v>
      </c>
      <c r="DM21" s="136">
        <v>12.358926919520901</v>
      </c>
      <c r="DN21" t="s">
        <v>169</v>
      </c>
      <c r="DO21">
        <v>38.700000000000003</v>
      </c>
      <c r="DP21" t="s">
        <v>299</v>
      </c>
      <c r="DQ21">
        <v>0.2</v>
      </c>
      <c r="DR21" t="s">
        <v>300</v>
      </c>
      <c r="DS21" t="s">
        <v>301</v>
      </c>
      <c r="DT21" t="s">
        <v>302</v>
      </c>
      <c r="DU21">
        <v>1.0271999999999999</v>
      </c>
      <c r="DV21" t="s">
        <v>170</v>
      </c>
      <c r="DW21" t="s">
        <v>170</v>
      </c>
      <c r="DX21" t="s">
        <v>177</v>
      </c>
      <c r="DY21" t="s">
        <v>170</v>
      </c>
      <c r="DZ21" t="s">
        <v>170</v>
      </c>
      <c r="EA21" t="s">
        <v>303</v>
      </c>
      <c r="EB21" t="s">
        <v>171</v>
      </c>
      <c r="EC21" t="s">
        <v>304</v>
      </c>
      <c r="ED21" t="s">
        <v>304</v>
      </c>
      <c r="EE21" t="s">
        <v>304</v>
      </c>
      <c r="EF21" t="s">
        <v>304</v>
      </c>
      <c r="EG21" t="s">
        <v>162</v>
      </c>
      <c r="EH21" t="s">
        <v>172</v>
      </c>
      <c r="EI21" t="s">
        <v>305</v>
      </c>
      <c r="EJ21" t="s">
        <v>162</v>
      </c>
      <c r="EK21" s="140">
        <v>1750</v>
      </c>
      <c r="EL21" t="s">
        <v>173</v>
      </c>
      <c r="EM21">
        <v>150</v>
      </c>
      <c r="EN21">
        <v>150</v>
      </c>
      <c r="EO21" t="s">
        <v>306</v>
      </c>
      <c r="EP21" t="s">
        <v>306</v>
      </c>
      <c r="EQ21" t="s">
        <v>306</v>
      </c>
      <c r="ER21" t="s">
        <v>306</v>
      </c>
      <c r="ES21">
        <v>7.7454239972892296</v>
      </c>
      <c r="ET21" s="138" t="s">
        <v>174</v>
      </c>
      <c r="EU21" s="161">
        <v>3.7045217893765102E-2</v>
      </c>
      <c r="EV21" s="161">
        <v>3.7045217893765102E-2</v>
      </c>
      <c r="EW21" s="142">
        <v>748.35196001214501</v>
      </c>
      <c r="EX21" s="138">
        <v>0</v>
      </c>
      <c r="EY21" s="138" t="s">
        <v>308</v>
      </c>
      <c r="EZ21" s="142">
        <v>748.35196001214501</v>
      </c>
      <c r="FA21" s="142">
        <v>147.21710512640004</v>
      </c>
      <c r="FB21" s="142">
        <v>126.31156935249601</v>
      </c>
      <c r="FC21" s="164" t="s">
        <v>309</v>
      </c>
      <c r="FD21" t="s">
        <v>310</v>
      </c>
      <c r="FE21" t="s">
        <v>175</v>
      </c>
      <c r="FF21" t="s">
        <v>175</v>
      </c>
      <c r="FG21" t="s">
        <v>175</v>
      </c>
      <c r="FH21">
        <v>1826.3198658628701</v>
      </c>
      <c r="FI21">
        <v>199.04063456448901</v>
      </c>
      <c r="FJ21">
        <v>194.83446585702399</v>
      </c>
      <c r="FK21">
        <v>4.9050467800321496</v>
      </c>
      <c r="FL21">
        <v>0.71583282025024697</v>
      </c>
      <c r="FM21">
        <v>0.61033824881434495</v>
      </c>
      <c r="FN21">
        <v>3.0790209059255802</v>
      </c>
      <c r="FO21">
        <v>0.45985058302041099</v>
      </c>
      <c r="FP21">
        <v>0.38452738596469199</v>
      </c>
      <c r="FQ21" t="s">
        <v>317</v>
      </c>
    </row>
    <row r="22" spans="1:173">
      <c r="A22" s="128" t="s">
        <v>152</v>
      </c>
      <c r="B22" t="s">
        <v>156</v>
      </c>
      <c r="C22">
        <v>2020</v>
      </c>
      <c r="D22" t="s">
        <v>194</v>
      </c>
      <c r="E22" s="142">
        <v>40168.716430664062</v>
      </c>
      <c r="F22">
        <v>2.82</v>
      </c>
      <c r="G22">
        <v>2.82</v>
      </c>
      <c r="H22" s="132">
        <v>780.67423503118005</v>
      </c>
      <c r="I22" s="132">
        <v>152.01329414256998</v>
      </c>
      <c r="J22" s="132">
        <v>129.70184715277207</v>
      </c>
      <c r="K22" t="s">
        <v>157</v>
      </c>
      <c r="L22" s="133" t="s">
        <v>158</v>
      </c>
      <c r="M22" s="134" t="s">
        <v>195</v>
      </c>
      <c r="N22" t="s">
        <v>194</v>
      </c>
      <c r="O22" t="s">
        <v>198</v>
      </c>
      <c r="P22" t="s">
        <v>201</v>
      </c>
      <c r="Q22">
        <v>5</v>
      </c>
      <c r="R22">
        <v>1</v>
      </c>
      <c r="S22">
        <v>15</v>
      </c>
      <c r="T22">
        <f>S22+2</f>
        <v>17</v>
      </c>
      <c r="U22">
        <v>31.96</v>
      </c>
      <c r="V22">
        <v>35.171379089355469</v>
      </c>
      <c r="W22" t="s">
        <v>217</v>
      </c>
      <c r="X22" t="s">
        <v>206</v>
      </c>
      <c r="Y22" s="147">
        <v>18.4404</v>
      </c>
      <c r="Z22" s="147">
        <v>-179.55500000000001</v>
      </c>
      <c r="AA22" s="147">
        <v>11.3</v>
      </c>
      <c r="AB22" s="135" t="s">
        <v>162</v>
      </c>
      <c r="AC22" s="135">
        <v>-1518</v>
      </c>
      <c r="AD22" s="135">
        <v>-1400</v>
      </c>
      <c r="AE22" t="s">
        <v>211</v>
      </c>
      <c r="AF22" t="s">
        <v>160</v>
      </c>
      <c r="AG22" s="142">
        <v>40168.716430664062</v>
      </c>
      <c r="AH22" s="148" t="s">
        <v>215</v>
      </c>
      <c r="AI22">
        <v>2.82</v>
      </c>
      <c r="AJ22">
        <v>2.82</v>
      </c>
      <c r="AK22" t="s">
        <v>214</v>
      </c>
      <c r="AL22" t="s">
        <v>216</v>
      </c>
      <c r="AM22" t="s">
        <v>218</v>
      </c>
      <c r="AN22" t="s">
        <v>162</v>
      </c>
      <c r="AO22" t="s">
        <v>162</v>
      </c>
      <c r="AP22" t="s">
        <v>162</v>
      </c>
      <c r="AQ22" t="s">
        <v>162</v>
      </c>
      <c r="AR22" t="s">
        <v>162</v>
      </c>
      <c r="AS22" t="s">
        <v>162</v>
      </c>
      <c r="AT22" t="s">
        <v>162</v>
      </c>
      <c r="AU22" t="s">
        <v>226</v>
      </c>
      <c r="AV22" t="s">
        <v>230</v>
      </c>
      <c r="AW22" s="167">
        <v>201</v>
      </c>
      <c r="AX22" s="172">
        <v>1.9790000000000001</v>
      </c>
      <c r="AY22" s="148" t="s">
        <v>232</v>
      </c>
      <c r="AZ22" t="s">
        <v>163</v>
      </c>
      <c r="BA22" t="s">
        <v>164</v>
      </c>
      <c r="BB22" t="s">
        <v>253</v>
      </c>
      <c r="BC22">
        <v>2</v>
      </c>
      <c r="BD22" s="137">
        <v>0.12165635629390791</v>
      </c>
      <c r="BE22" s="145">
        <v>14.108486542101801</v>
      </c>
      <c r="BF22" t="s">
        <v>233</v>
      </c>
      <c r="BG22">
        <v>0.26845199109808299</v>
      </c>
      <c r="BH22">
        <v>0.88</v>
      </c>
      <c r="BI22" t="s">
        <v>278</v>
      </c>
      <c r="BJ22" t="s">
        <v>278</v>
      </c>
      <c r="BK22" s="2">
        <v>1.85</v>
      </c>
      <c r="BL22" t="s">
        <v>278</v>
      </c>
      <c r="BM22" t="s">
        <v>278</v>
      </c>
      <c r="BN22" t="s">
        <v>279</v>
      </c>
      <c r="BO22" t="s">
        <v>280</v>
      </c>
      <c r="BP22" s="158">
        <v>14.054193181818199</v>
      </c>
      <c r="BQ22" t="s">
        <v>287</v>
      </c>
      <c r="BR22" s="160" t="s">
        <v>288</v>
      </c>
      <c r="BS22" t="s">
        <v>286</v>
      </c>
      <c r="BT22" t="s">
        <v>289</v>
      </c>
      <c r="BU22">
        <v>25</v>
      </c>
      <c r="BV22" t="s">
        <v>165</v>
      </c>
      <c r="BW22" t="s">
        <v>165</v>
      </c>
      <c r="BX22" s="145">
        <v>33.807204392296903</v>
      </c>
      <c r="BY22" t="s">
        <v>290</v>
      </c>
      <c r="BZ22" s="137">
        <v>0.69940742161387703</v>
      </c>
      <c r="CA22" s="137">
        <v>0.71099776450811403</v>
      </c>
      <c r="CB22" t="s">
        <v>291</v>
      </c>
      <c r="CC22">
        <v>4.9917055770780596</v>
      </c>
      <c r="CD22" t="s">
        <v>292</v>
      </c>
      <c r="CE22">
        <v>0.14975116731234178</v>
      </c>
      <c r="CF22">
        <v>0.14975116731234178</v>
      </c>
      <c r="CG22" t="s">
        <v>295</v>
      </c>
      <c r="CH22" t="s">
        <v>162</v>
      </c>
      <c r="CI22" t="s">
        <v>293</v>
      </c>
      <c r="CJ22" t="s">
        <v>296</v>
      </c>
      <c r="CK22" t="s">
        <v>165</v>
      </c>
      <c r="CL22" t="s">
        <v>165</v>
      </c>
      <c r="CM22" t="s">
        <v>294</v>
      </c>
      <c r="CN22" t="s">
        <v>162</v>
      </c>
      <c r="CO22" t="s">
        <v>162</v>
      </c>
      <c r="CP22" t="s">
        <v>162</v>
      </c>
      <c r="CQ22" t="s">
        <v>162</v>
      </c>
      <c r="CR22" t="s">
        <v>162</v>
      </c>
      <c r="CS22" t="s">
        <v>162</v>
      </c>
      <c r="CT22" t="s">
        <v>162</v>
      </c>
      <c r="CU22" s="139">
        <v>35</v>
      </c>
      <c r="CV22" t="s">
        <v>161</v>
      </c>
      <c r="CW22">
        <v>1</v>
      </c>
      <c r="CX22" t="s">
        <v>297</v>
      </c>
      <c r="CY22">
        <v>17</v>
      </c>
      <c r="CZ22" t="s">
        <v>170</v>
      </c>
      <c r="DA22" t="s">
        <v>170</v>
      </c>
      <c r="DB22" t="s">
        <v>298</v>
      </c>
      <c r="DC22">
        <v>38</v>
      </c>
      <c r="DD22" t="s">
        <v>170</v>
      </c>
      <c r="DE22" t="s">
        <v>170</v>
      </c>
      <c r="DF22" t="s">
        <v>298</v>
      </c>
      <c r="DG22" t="s">
        <v>166</v>
      </c>
      <c r="DH22" t="s">
        <v>167</v>
      </c>
      <c r="DI22" t="s">
        <v>167</v>
      </c>
      <c r="DJ22" t="s">
        <v>167</v>
      </c>
      <c r="DK22" s="136">
        <v>432.56244218316402</v>
      </c>
      <c r="DL22" t="s">
        <v>168</v>
      </c>
      <c r="DM22" s="136">
        <v>12.358926919521</v>
      </c>
      <c r="DN22" t="s">
        <v>169</v>
      </c>
      <c r="DO22">
        <v>38.700000000000003</v>
      </c>
      <c r="DP22" t="s">
        <v>299</v>
      </c>
      <c r="DQ22">
        <v>0.2</v>
      </c>
      <c r="DR22" t="s">
        <v>300</v>
      </c>
      <c r="DS22" t="s">
        <v>301</v>
      </c>
      <c r="DT22" t="s">
        <v>302</v>
      </c>
      <c r="DU22">
        <v>1.0271999999999999</v>
      </c>
      <c r="DV22" t="s">
        <v>170</v>
      </c>
      <c r="DW22" t="s">
        <v>170</v>
      </c>
      <c r="DX22" t="s">
        <v>177</v>
      </c>
      <c r="DY22" t="s">
        <v>170</v>
      </c>
      <c r="DZ22" t="s">
        <v>170</v>
      </c>
      <c r="EA22" t="s">
        <v>303</v>
      </c>
      <c r="EB22" t="s">
        <v>171</v>
      </c>
      <c r="EC22" t="s">
        <v>304</v>
      </c>
      <c r="ED22" t="s">
        <v>304</v>
      </c>
      <c r="EE22" t="s">
        <v>304</v>
      </c>
      <c r="EF22" t="s">
        <v>304</v>
      </c>
      <c r="EG22" t="s">
        <v>162</v>
      </c>
      <c r="EH22" t="s">
        <v>172</v>
      </c>
      <c r="EI22" t="s">
        <v>305</v>
      </c>
      <c r="EJ22" t="s">
        <v>162</v>
      </c>
      <c r="EK22" s="140">
        <v>1750</v>
      </c>
      <c r="EL22" t="s">
        <v>173</v>
      </c>
      <c r="EM22">
        <v>150</v>
      </c>
      <c r="EN22">
        <v>150</v>
      </c>
      <c r="EO22" t="s">
        <v>306</v>
      </c>
      <c r="EP22" t="s">
        <v>306</v>
      </c>
      <c r="EQ22" t="s">
        <v>306</v>
      </c>
      <c r="ER22" t="s">
        <v>306</v>
      </c>
      <c r="ES22">
        <v>7.6580987596337398</v>
      </c>
      <c r="ET22" s="138" t="s">
        <v>174</v>
      </c>
      <c r="EU22" s="161">
        <v>4.2053825530737998E-2</v>
      </c>
      <c r="EV22" s="161">
        <v>4.2053825530737998E-2</v>
      </c>
      <c r="EW22" s="142">
        <v>780.67423503118005</v>
      </c>
      <c r="EX22" s="138">
        <v>0</v>
      </c>
      <c r="EY22" s="138" t="s">
        <v>308</v>
      </c>
      <c r="EZ22" s="142">
        <v>780.67423503118005</v>
      </c>
      <c r="FA22" s="142">
        <v>152.01329414256998</v>
      </c>
      <c r="FB22" s="142">
        <v>129.70184715277207</v>
      </c>
      <c r="FC22" s="164" t="s">
        <v>309</v>
      </c>
      <c r="FD22" t="s">
        <v>310</v>
      </c>
      <c r="FE22" t="s">
        <v>175</v>
      </c>
      <c r="FF22" t="s">
        <v>175</v>
      </c>
      <c r="FG22" t="s">
        <v>175</v>
      </c>
      <c r="FH22">
        <v>1841.1825078761799</v>
      </c>
      <c r="FI22">
        <v>192.27740576610299</v>
      </c>
      <c r="FJ22">
        <v>207.13910064139799</v>
      </c>
      <c r="FK22">
        <v>5.0914136450874103</v>
      </c>
      <c r="FL22">
        <v>0.715106383599314</v>
      </c>
      <c r="FM22">
        <v>0.67473315447170101</v>
      </c>
      <c r="FN22">
        <v>3.2149764697541499</v>
      </c>
      <c r="FO22">
        <v>0.45617493002570197</v>
      </c>
      <c r="FP22">
        <v>0.42967362277969001</v>
      </c>
      <c r="FQ22" t="s">
        <v>317</v>
      </c>
    </row>
    <row r="23" spans="1:173">
      <c r="A23" s="128" t="s">
        <v>152</v>
      </c>
      <c r="B23" t="s">
        <v>156</v>
      </c>
      <c r="C23">
        <v>2020</v>
      </c>
      <c r="D23" t="s">
        <v>194</v>
      </c>
      <c r="E23" s="142">
        <v>40244.403839111328</v>
      </c>
      <c r="F23">
        <v>16.91</v>
      </c>
      <c r="G23">
        <v>16.91</v>
      </c>
      <c r="H23" s="132">
        <v>838.19427648752605</v>
      </c>
      <c r="I23" s="132">
        <v>186.245670925024</v>
      </c>
      <c r="J23" s="132">
        <v>151.36776918990506</v>
      </c>
      <c r="K23" t="s">
        <v>157</v>
      </c>
      <c r="L23" s="133" t="s">
        <v>158</v>
      </c>
      <c r="M23" s="134" t="s">
        <v>195</v>
      </c>
      <c r="N23" t="s">
        <v>194</v>
      </c>
      <c r="O23" t="s">
        <v>198</v>
      </c>
      <c r="P23" t="s">
        <v>201</v>
      </c>
      <c r="Q23">
        <v>5</v>
      </c>
      <c r="R23">
        <v>1</v>
      </c>
      <c r="S23">
        <v>35</v>
      </c>
      <c r="T23">
        <v>47</v>
      </c>
      <c r="U23">
        <v>32.21</v>
      </c>
      <c r="V23">
        <v>35.420000076293945</v>
      </c>
      <c r="W23" t="s">
        <v>217</v>
      </c>
      <c r="X23" t="s">
        <v>206</v>
      </c>
      <c r="Y23" s="147">
        <v>18.4404</v>
      </c>
      <c r="Z23" s="147">
        <v>-179.55500000000001</v>
      </c>
      <c r="AA23" s="147">
        <v>11.3</v>
      </c>
      <c r="AB23" s="135" t="s">
        <v>162</v>
      </c>
      <c r="AC23" s="135">
        <v>-1518</v>
      </c>
      <c r="AD23" s="135">
        <v>-1400</v>
      </c>
      <c r="AE23" t="s">
        <v>211</v>
      </c>
      <c r="AF23" t="s">
        <v>160</v>
      </c>
      <c r="AG23" s="142">
        <v>40244.403839111328</v>
      </c>
      <c r="AH23" s="148" t="s">
        <v>215</v>
      </c>
      <c r="AI23">
        <v>16.91</v>
      </c>
      <c r="AJ23">
        <v>16.91</v>
      </c>
      <c r="AK23" t="s">
        <v>214</v>
      </c>
      <c r="AL23" t="s">
        <v>216</v>
      </c>
      <c r="AM23" t="s">
        <v>218</v>
      </c>
      <c r="AN23" t="s">
        <v>162</v>
      </c>
      <c r="AO23" t="s">
        <v>162</v>
      </c>
      <c r="AP23" t="s">
        <v>162</v>
      </c>
      <c r="AQ23" t="s">
        <v>162</v>
      </c>
      <c r="AR23" t="s">
        <v>162</v>
      </c>
      <c r="AS23" t="s">
        <v>162</v>
      </c>
      <c r="AT23" t="s">
        <v>162</v>
      </c>
      <c r="AU23" t="s">
        <v>226</v>
      </c>
      <c r="AV23" t="s">
        <v>230</v>
      </c>
      <c r="AW23" s="167">
        <v>307</v>
      </c>
      <c r="AX23" s="173">
        <v>3.0019999999999998</v>
      </c>
      <c r="AY23" s="148" t="s">
        <v>232</v>
      </c>
      <c r="AZ23" t="s">
        <v>163</v>
      </c>
      <c r="BA23" t="s">
        <v>164</v>
      </c>
      <c r="BB23" t="s">
        <v>254</v>
      </c>
      <c r="BC23">
        <v>2</v>
      </c>
      <c r="BD23" s="137">
        <v>0.10393409289200761</v>
      </c>
      <c r="BE23" s="145">
        <v>15.0622474937866</v>
      </c>
      <c r="BF23" t="s">
        <v>233</v>
      </c>
      <c r="BG23">
        <v>0.24080855890956901</v>
      </c>
      <c r="BH23">
        <v>0.88</v>
      </c>
      <c r="BI23" t="s">
        <v>278</v>
      </c>
      <c r="BJ23" t="s">
        <v>278</v>
      </c>
      <c r="BK23" s="2">
        <v>1.85</v>
      </c>
      <c r="BL23" t="s">
        <v>278</v>
      </c>
      <c r="BM23" t="s">
        <v>278</v>
      </c>
      <c r="BN23" t="s">
        <v>279</v>
      </c>
      <c r="BO23" t="s">
        <v>280</v>
      </c>
      <c r="BP23" s="158">
        <v>15.1380113636364</v>
      </c>
      <c r="BQ23" t="s">
        <v>287</v>
      </c>
      <c r="BR23" s="160" t="s">
        <v>288</v>
      </c>
      <c r="BS23" t="s">
        <v>286</v>
      </c>
      <c r="BT23" t="s">
        <v>289</v>
      </c>
      <c r="BU23">
        <v>25</v>
      </c>
      <c r="BV23" t="s">
        <v>165</v>
      </c>
      <c r="BW23" t="s">
        <v>165</v>
      </c>
      <c r="BX23" s="145">
        <v>31.42978408251</v>
      </c>
      <c r="BY23" t="s">
        <v>290</v>
      </c>
      <c r="BZ23" s="137">
        <v>0.60175604705719699</v>
      </c>
      <c r="CA23" s="137">
        <v>0.61902401684895703</v>
      </c>
      <c r="CB23" t="s">
        <v>291</v>
      </c>
      <c r="CC23">
        <v>3.9300668002412</v>
      </c>
      <c r="CD23" t="s">
        <v>292</v>
      </c>
      <c r="CE23">
        <v>0.11790200400723599</v>
      </c>
      <c r="CF23">
        <v>0.11790200400723599</v>
      </c>
      <c r="CG23" t="s">
        <v>295</v>
      </c>
      <c r="CH23" t="s">
        <v>162</v>
      </c>
      <c r="CI23" t="s">
        <v>293</v>
      </c>
      <c r="CJ23" t="s">
        <v>296</v>
      </c>
      <c r="CK23" t="s">
        <v>165</v>
      </c>
      <c r="CL23" t="s">
        <v>165</v>
      </c>
      <c r="CM23" t="s">
        <v>294</v>
      </c>
      <c r="CN23" t="s">
        <v>162</v>
      </c>
      <c r="CO23" t="s">
        <v>162</v>
      </c>
      <c r="CP23" t="s">
        <v>162</v>
      </c>
      <c r="CQ23" t="s">
        <v>162</v>
      </c>
      <c r="CR23" t="s">
        <v>162</v>
      </c>
      <c r="CS23" t="s">
        <v>162</v>
      </c>
      <c r="CT23" t="s">
        <v>162</v>
      </c>
      <c r="CU23" s="139">
        <v>35</v>
      </c>
      <c r="CV23" t="s">
        <v>161</v>
      </c>
      <c r="CW23">
        <v>1</v>
      </c>
      <c r="CX23" t="s">
        <v>297</v>
      </c>
      <c r="CY23">
        <v>17</v>
      </c>
      <c r="CZ23" t="s">
        <v>170</v>
      </c>
      <c r="DA23" t="s">
        <v>170</v>
      </c>
      <c r="DB23" t="s">
        <v>298</v>
      </c>
      <c r="DC23">
        <v>38</v>
      </c>
      <c r="DD23" t="s">
        <v>170</v>
      </c>
      <c r="DE23" t="s">
        <v>170</v>
      </c>
      <c r="DF23" t="s">
        <v>298</v>
      </c>
      <c r="DG23" t="s">
        <v>166</v>
      </c>
      <c r="DH23" t="s">
        <v>167</v>
      </c>
      <c r="DI23" t="s">
        <v>167</v>
      </c>
      <c r="DJ23" t="s">
        <v>167</v>
      </c>
      <c r="DK23" s="136">
        <v>432.56244218316402</v>
      </c>
      <c r="DL23" t="s">
        <v>168</v>
      </c>
      <c r="DM23" s="136">
        <v>12.3589269195211</v>
      </c>
      <c r="DN23" t="s">
        <v>169</v>
      </c>
      <c r="DO23">
        <v>38.700000000000003</v>
      </c>
      <c r="DP23" t="s">
        <v>299</v>
      </c>
      <c r="DQ23">
        <v>0.2</v>
      </c>
      <c r="DR23" t="s">
        <v>300</v>
      </c>
      <c r="DS23" t="s">
        <v>301</v>
      </c>
      <c r="DT23" t="s">
        <v>302</v>
      </c>
      <c r="DU23">
        <v>1.0271999999999999</v>
      </c>
      <c r="DV23" t="s">
        <v>170</v>
      </c>
      <c r="DW23" t="s">
        <v>170</v>
      </c>
      <c r="DX23" t="s">
        <v>177</v>
      </c>
      <c r="DY23" t="s">
        <v>170</v>
      </c>
      <c r="DZ23" t="s">
        <v>170</v>
      </c>
      <c r="EA23" t="s">
        <v>303</v>
      </c>
      <c r="EB23" t="s">
        <v>171</v>
      </c>
      <c r="EC23" t="s">
        <v>304</v>
      </c>
      <c r="ED23" t="s">
        <v>304</v>
      </c>
      <c r="EE23" t="s">
        <v>304</v>
      </c>
      <c r="EF23" t="s">
        <v>304</v>
      </c>
      <c r="EG23" t="s">
        <v>162</v>
      </c>
      <c r="EH23" t="s">
        <v>172</v>
      </c>
      <c r="EI23" t="s">
        <v>305</v>
      </c>
      <c r="EJ23" t="s">
        <v>162</v>
      </c>
      <c r="EK23" s="140">
        <v>1750</v>
      </c>
      <c r="EL23" t="s">
        <v>173</v>
      </c>
      <c r="EM23">
        <v>150</v>
      </c>
      <c r="EN23">
        <v>150</v>
      </c>
      <c r="EO23" t="s">
        <v>306</v>
      </c>
      <c r="EP23" t="s">
        <v>306</v>
      </c>
      <c r="EQ23" t="s">
        <v>306</v>
      </c>
      <c r="ER23" t="s">
        <v>306</v>
      </c>
      <c r="ES23">
        <v>7.84281722783577</v>
      </c>
      <c r="ET23" s="138" t="s">
        <v>174</v>
      </c>
      <c r="EU23" s="161">
        <v>3.3339042053861401E-2</v>
      </c>
      <c r="EV23" s="161">
        <v>3.3339042053861401E-2</v>
      </c>
      <c r="EW23" s="142">
        <v>838.19427648752605</v>
      </c>
      <c r="EX23" s="138">
        <v>0</v>
      </c>
      <c r="EY23" s="138" t="s">
        <v>308</v>
      </c>
      <c r="EZ23" s="142">
        <v>838.19427648752605</v>
      </c>
      <c r="FA23" s="142">
        <v>186.245670925024</v>
      </c>
      <c r="FB23" s="142">
        <v>151.36776918990506</v>
      </c>
      <c r="FC23" s="164" t="s">
        <v>309</v>
      </c>
      <c r="FD23" t="s">
        <v>310</v>
      </c>
      <c r="FE23" t="s">
        <v>175</v>
      </c>
      <c r="FF23" t="s">
        <v>175</v>
      </c>
      <c r="FG23" t="s">
        <v>175</v>
      </c>
      <c r="FH23">
        <v>1817.70776532481</v>
      </c>
      <c r="FI23">
        <v>192.205808137421</v>
      </c>
      <c r="FJ23">
        <v>206.34482076379999</v>
      </c>
      <c r="FK23">
        <v>3.3342354487675299</v>
      </c>
      <c r="FL23">
        <v>0.52783961174143801</v>
      </c>
      <c r="FM23">
        <v>0.49883611229027502</v>
      </c>
      <c r="FN23">
        <v>2.0590190163505699</v>
      </c>
      <c r="FO23">
        <v>0.33093439726502799</v>
      </c>
      <c r="FP23">
        <v>0.31186014657415201</v>
      </c>
      <c r="FQ23" t="s">
        <v>317</v>
      </c>
    </row>
    <row r="24" spans="1:173">
      <c r="A24" s="128" t="s">
        <v>152</v>
      </c>
      <c r="B24" t="s">
        <v>156</v>
      </c>
      <c r="C24">
        <v>2020</v>
      </c>
      <c r="D24" t="s">
        <v>194</v>
      </c>
      <c r="E24" s="142">
        <v>40309.352874755859</v>
      </c>
      <c r="F24">
        <v>16.95</v>
      </c>
      <c r="G24">
        <v>16.95</v>
      </c>
      <c r="H24" s="132">
        <v>878.64479117511803</v>
      </c>
      <c r="I24" s="132">
        <v>177.76039932927199</v>
      </c>
      <c r="J24" s="132">
        <v>147.35642689718406</v>
      </c>
      <c r="K24" t="s">
        <v>157</v>
      </c>
      <c r="L24" s="133" t="s">
        <v>158</v>
      </c>
      <c r="M24" s="134" t="s">
        <v>195</v>
      </c>
      <c r="N24" t="s">
        <v>194</v>
      </c>
      <c r="O24" t="s">
        <v>198</v>
      </c>
      <c r="P24" t="s">
        <v>201</v>
      </c>
      <c r="Q24">
        <v>5</v>
      </c>
      <c r="R24">
        <v>1</v>
      </c>
      <c r="S24">
        <v>55</v>
      </c>
      <c r="T24">
        <v>67</v>
      </c>
      <c r="U24">
        <v>32.409999999999997</v>
      </c>
      <c r="V24">
        <v>35.633332570393883</v>
      </c>
      <c r="W24" t="s">
        <v>217</v>
      </c>
      <c r="X24" t="s">
        <v>206</v>
      </c>
      <c r="Y24" s="147">
        <v>18.4404</v>
      </c>
      <c r="Z24" s="147">
        <v>-179.55500000000001</v>
      </c>
      <c r="AA24" s="147">
        <v>11.3</v>
      </c>
      <c r="AB24" s="135" t="s">
        <v>162</v>
      </c>
      <c r="AC24" s="135">
        <v>-1518</v>
      </c>
      <c r="AD24" s="135">
        <v>-1400</v>
      </c>
      <c r="AE24" t="s">
        <v>211</v>
      </c>
      <c r="AF24" t="s">
        <v>160</v>
      </c>
      <c r="AG24" s="142">
        <v>40309.352874755859</v>
      </c>
      <c r="AH24" s="148" t="s">
        <v>215</v>
      </c>
      <c r="AI24">
        <v>16.95</v>
      </c>
      <c r="AJ24">
        <v>16.95</v>
      </c>
      <c r="AK24" t="s">
        <v>214</v>
      </c>
      <c r="AL24" t="s">
        <v>216</v>
      </c>
      <c r="AM24" t="s">
        <v>218</v>
      </c>
      <c r="AN24" t="s">
        <v>162</v>
      </c>
      <c r="AO24" t="s">
        <v>162</v>
      </c>
      <c r="AP24" t="s">
        <v>162</v>
      </c>
      <c r="AQ24" t="s">
        <v>162</v>
      </c>
      <c r="AR24" t="s">
        <v>162</v>
      </c>
      <c r="AS24" t="s">
        <v>162</v>
      </c>
      <c r="AT24" t="s">
        <v>162</v>
      </c>
      <c r="AU24" t="s">
        <v>226</v>
      </c>
      <c r="AV24" t="s">
        <v>230</v>
      </c>
      <c r="AW24" s="167">
        <v>362</v>
      </c>
      <c r="AX24" s="172">
        <v>3.4420000000000002</v>
      </c>
      <c r="AY24" s="148" t="s">
        <v>232</v>
      </c>
      <c r="AZ24" t="s">
        <v>163</v>
      </c>
      <c r="BA24" t="s">
        <v>164</v>
      </c>
      <c r="BB24" t="s">
        <v>255</v>
      </c>
      <c r="BC24">
        <v>2</v>
      </c>
      <c r="BD24" s="137">
        <v>1.1610281301638992E-2</v>
      </c>
      <c r="BE24" s="145">
        <v>15.007905118144199</v>
      </c>
      <c r="BF24" t="s">
        <v>233</v>
      </c>
      <c r="BG24">
        <v>0.240325267128222</v>
      </c>
      <c r="BH24">
        <v>0.88</v>
      </c>
      <c r="BI24" t="s">
        <v>278</v>
      </c>
      <c r="BJ24" t="s">
        <v>278</v>
      </c>
      <c r="BK24" s="2">
        <v>1.85</v>
      </c>
      <c r="BL24" t="s">
        <v>278</v>
      </c>
      <c r="BM24" t="s">
        <v>278</v>
      </c>
      <c r="BN24" t="s">
        <v>279</v>
      </c>
      <c r="BO24" t="s">
        <v>280</v>
      </c>
      <c r="BP24" s="158">
        <v>15.0762613636364</v>
      </c>
      <c r="BQ24" t="s">
        <v>287</v>
      </c>
      <c r="BR24" s="160" t="s">
        <v>288</v>
      </c>
      <c r="BS24" t="s">
        <v>286</v>
      </c>
      <c r="BT24" t="s">
        <v>289</v>
      </c>
      <c r="BU24">
        <v>25</v>
      </c>
      <c r="BV24" t="s">
        <v>165</v>
      </c>
      <c r="BW24" t="s">
        <v>165</v>
      </c>
      <c r="BX24" s="145">
        <v>31.307136893373201</v>
      </c>
      <c r="BY24" t="s">
        <v>290</v>
      </c>
      <c r="BZ24" s="137">
        <v>0.651926522263093</v>
      </c>
      <c r="CA24" s="137">
        <v>0.65006532017667595</v>
      </c>
      <c r="CB24" t="s">
        <v>291</v>
      </c>
      <c r="CC24">
        <v>3.9175285616990299</v>
      </c>
      <c r="CD24" t="s">
        <v>292</v>
      </c>
      <c r="CE24">
        <v>0.11752585685097089</v>
      </c>
      <c r="CF24">
        <v>0.11752585685097089</v>
      </c>
      <c r="CG24" t="s">
        <v>295</v>
      </c>
      <c r="CH24" t="s">
        <v>162</v>
      </c>
      <c r="CI24" t="s">
        <v>293</v>
      </c>
      <c r="CJ24" t="s">
        <v>296</v>
      </c>
      <c r="CK24" t="s">
        <v>165</v>
      </c>
      <c r="CL24" t="s">
        <v>165</v>
      </c>
      <c r="CM24" t="s">
        <v>294</v>
      </c>
      <c r="CN24" t="s">
        <v>162</v>
      </c>
      <c r="CO24" t="s">
        <v>162</v>
      </c>
      <c r="CP24" t="s">
        <v>162</v>
      </c>
      <c r="CQ24" t="s">
        <v>162</v>
      </c>
      <c r="CR24" t="s">
        <v>162</v>
      </c>
      <c r="CS24" t="s">
        <v>162</v>
      </c>
      <c r="CT24" t="s">
        <v>162</v>
      </c>
      <c r="CU24" s="139">
        <v>35</v>
      </c>
      <c r="CV24" t="s">
        <v>161</v>
      </c>
      <c r="CW24">
        <v>1</v>
      </c>
      <c r="CX24" t="s">
        <v>297</v>
      </c>
      <c r="CY24">
        <v>17</v>
      </c>
      <c r="CZ24" t="s">
        <v>170</v>
      </c>
      <c r="DA24" t="s">
        <v>170</v>
      </c>
      <c r="DB24" t="s">
        <v>298</v>
      </c>
      <c r="DC24">
        <v>38</v>
      </c>
      <c r="DD24" t="s">
        <v>170</v>
      </c>
      <c r="DE24" t="s">
        <v>170</v>
      </c>
      <c r="DF24" t="s">
        <v>298</v>
      </c>
      <c r="DG24" t="s">
        <v>166</v>
      </c>
      <c r="DH24" t="s">
        <v>167</v>
      </c>
      <c r="DI24" t="s">
        <v>167</v>
      </c>
      <c r="DJ24" t="s">
        <v>167</v>
      </c>
      <c r="DK24" s="136">
        <v>432.56244218316402</v>
      </c>
      <c r="DL24" t="s">
        <v>168</v>
      </c>
      <c r="DM24" s="136">
        <v>12.3589269195213</v>
      </c>
      <c r="DN24" t="s">
        <v>169</v>
      </c>
      <c r="DO24">
        <v>38.700000000000003</v>
      </c>
      <c r="DP24" t="s">
        <v>299</v>
      </c>
      <c r="DQ24">
        <v>0.2</v>
      </c>
      <c r="DR24" t="s">
        <v>300</v>
      </c>
      <c r="DS24" t="s">
        <v>301</v>
      </c>
      <c r="DT24" t="s">
        <v>302</v>
      </c>
      <c r="DU24">
        <v>1.0271999999999999</v>
      </c>
      <c r="DV24" t="s">
        <v>170</v>
      </c>
      <c r="DW24" t="s">
        <v>170</v>
      </c>
      <c r="DX24" t="s">
        <v>177</v>
      </c>
      <c r="DY24" t="s">
        <v>170</v>
      </c>
      <c r="DZ24" t="s">
        <v>170</v>
      </c>
      <c r="EA24" t="s">
        <v>303</v>
      </c>
      <c r="EB24" t="s">
        <v>171</v>
      </c>
      <c r="EC24" t="s">
        <v>304</v>
      </c>
      <c r="ED24" t="s">
        <v>304</v>
      </c>
      <c r="EE24" t="s">
        <v>304</v>
      </c>
      <c r="EF24" t="s">
        <v>304</v>
      </c>
      <c r="EG24" t="s">
        <v>162</v>
      </c>
      <c r="EH24" t="s">
        <v>172</v>
      </c>
      <c r="EI24" t="s">
        <v>305</v>
      </c>
      <c r="EJ24" t="s">
        <v>162</v>
      </c>
      <c r="EK24" s="140">
        <v>1750</v>
      </c>
      <c r="EL24" t="s">
        <v>173</v>
      </c>
      <c r="EM24">
        <v>150</v>
      </c>
      <c r="EN24">
        <v>150</v>
      </c>
      <c r="EO24" t="s">
        <v>306</v>
      </c>
      <c r="EP24" t="s">
        <v>306</v>
      </c>
      <c r="EQ24" t="s">
        <v>306</v>
      </c>
      <c r="ER24" t="s">
        <v>306</v>
      </c>
      <c r="ES24">
        <v>7.8367202853177798</v>
      </c>
      <c r="ET24" s="138" t="s">
        <v>174</v>
      </c>
      <c r="EU24" s="161">
        <v>3.3781455295709098E-2</v>
      </c>
      <c r="EV24" s="161">
        <v>3.3781455295709098E-2</v>
      </c>
      <c r="EW24" s="142">
        <v>878.64479117511803</v>
      </c>
      <c r="EX24" s="138">
        <v>0</v>
      </c>
      <c r="EY24" s="138" t="s">
        <v>308</v>
      </c>
      <c r="EZ24" s="142">
        <v>878.64479117511803</v>
      </c>
      <c r="FA24" s="142">
        <v>177.76039932927199</v>
      </c>
      <c r="FB24" s="142">
        <v>147.35642689718406</v>
      </c>
      <c r="FC24" s="164" t="s">
        <v>309</v>
      </c>
      <c r="FD24" t="s">
        <v>310</v>
      </c>
      <c r="FE24" t="s">
        <v>175</v>
      </c>
      <c r="FF24" t="s">
        <v>175</v>
      </c>
      <c r="FG24" t="s">
        <v>175</v>
      </c>
      <c r="FH24">
        <v>1840.9382938992801</v>
      </c>
      <c r="FI24">
        <v>198.893652311116</v>
      </c>
      <c r="FJ24">
        <v>194.01478106296</v>
      </c>
      <c r="FK24">
        <v>5.5837041658195403</v>
      </c>
      <c r="FL24">
        <v>0.878124352277179</v>
      </c>
      <c r="FM24">
        <v>0.75234371953892998</v>
      </c>
      <c r="FN24">
        <v>3.5876429444875599</v>
      </c>
      <c r="FO24">
        <v>0.57059529186496005</v>
      </c>
      <c r="FP24">
        <v>0.48800944399240598</v>
      </c>
      <c r="FQ24" t="s">
        <v>317</v>
      </c>
    </row>
    <row r="25" spans="1:173">
      <c r="A25" s="128" t="s">
        <v>152</v>
      </c>
      <c r="B25" t="s">
        <v>156</v>
      </c>
      <c r="C25">
        <v>2020</v>
      </c>
      <c r="D25" t="s">
        <v>194</v>
      </c>
      <c r="E25" s="142">
        <v>40377.658843994141</v>
      </c>
      <c r="F25">
        <v>2.8600000000000003</v>
      </c>
      <c r="G25">
        <v>2.8600000000000003</v>
      </c>
      <c r="H25" s="132">
        <v>834.33315935849703</v>
      </c>
      <c r="I25" s="132">
        <v>176.70151952569302</v>
      </c>
      <c r="J25" s="132">
        <v>132.79960401280505</v>
      </c>
      <c r="K25" t="s">
        <v>157</v>
      </c>
      <c r="L25" s="133" t="s">
        <v>158</v>
      </c>
      <c r="M25" s="134" t="s">
        <v>195</v>
      </c>
      <c r="N25" t="s">
        <v>194</v>
      </c>
      <c r="O25" t="s">
        <v>198</v>
      </c>
      <c r="P25" t="s">
        <v>201</v>
      </c>
      <c r="Q25">
        <v>5</v>
      </c>
      <c r="R25">
        <v>1</v>
      </c>
      <c r="S25">
        <v>85</v>
      </c>
      <c r="T25">
        <f>S25+2</f>
        <v>87</v>
      </c>
      <c r="U25">
        <v>32.659999999999997</v>
      </c>
      <c r="V25">
        <v>35.869998931884766</v>
      </c>
      <c r="W25" t="s">
        <v>217</v>
      </c>
      <c r="X25" t="s">
        <v>206</v>
      </c>
      <c r="Y25" s="147">
        <v>18.4404</v>
      </c>
      <c r="Z25" s="147">
        <v>-179.55500000000001</v>
      </c>
      <c r="AA25" s="147">
        <v>11.3</v>
      </c>
      <c r="AB25" s="135" t="s">
        <v>162</v>
      </c>
      <c r="AC25" s="135">
        <v>-1518</v>
      </c>
      <c r="AD25" s="135">
        <v>-1400</v>
      </c>
      <c r="AE25" t="s">
        <v>211</v>
      </c>
      <c r="AF25" t="s">
        <v>160</v>
      </c>
      <c r="AG25" s="142">
        <v>40377.658843994141</v>
      </c>
      <c r="AH25" s="148" t="s">
        <v>215</v>
      </c>
      <c r="AI25">
        <v>2.8600000000000003</v>
      </c>
      <c r="AJ25">
        <v>2.8600000000000003</v>
      </c>
      <c r="AK25" t="s">
        <v>214</v>
      </c>
      <c r="AL25" t="s">
        <v>216</v>
      </c>
      <c r="AM25" t="s">
        <v>218</v>
      </c>
      <c r="AN25" t="s">
        <v>162</v>
      </c>
      <c r="AO25" t="s">
        <v>162</v>
      </c>
      <c r="AP25" t="s">
        <v>162</v>
      </c>
      <c r="AQ25" t="s">
        <v>162</v>
      </c>
      <c r="AR25" t="s">
        <v>162</v>
      </c>
      <c r="AS25" t="s">
        <v>162</v>
      </c>
      <c r="AT25" t="s">
        <v>162</v>
      </c>
      <c r="AU25" t="s">
        <v>226</v>
      </c>
      <c r="AV25" t="s">
        <v>230</v>
      </c>
      <c r="AW25" s="167">
        <v>252</v>
      </c>
      <c r="AX25" s="172">
        <v>2.3740000000000001</v>
      </c>
      <c r="AY25" s="148" t="s">
        <v>232</v>
      </c>
      <c r="AZ25" t="s">
        <v>163</v>
      </c>
      <c r="BA25" t="s">
        <v>164</v>
      </c>
      <c r="BB25" t="s">
        <v>256</v>
      </c>
      <c r="BC25">
        <v>2</v>
      </c>
      <c r="BD25" s="137">
        <v>0.38114529601997305</v>
      </c>
      <c r="BE25" s="145">
        <v>15.1062512201784</v>
      </c>
      <c r="BF25" t="s">
        <v>233</v>
      </c>
      <c r="BG25">
        <v>0.24955055569193799</v>
      </c>
      <c r="BH25">
        <v>0.88</v>
      </c>
      <c r="BI25" t="s">
        <v>278</v>
      </c>
      <c r="BJ25" t="s">
        <v>278</v>
      </c>
      <c r="BK25" s="2">
        <v>1.85</v>
      </c>
      <c r="BL25" t="s">
        <v>278</v>
      </c>
      <c r="BM25" t="s">
        <v>278</v>
      </c>
      <c r="BN25" t="s">
        <v>279</v>
      </c>
      <c r="BO25" t="s">
        <v>280</v>
      </c>
      <c r="BP25" s="158">
        <v>15.1880113636364</v>
      </c>
      <c r="BQ25" t="s">
        <v>287</v>
      </c>
      <c r="BR25" s="160" t="s">
        <v>288</v>
      </c>
      <c r="BS25" t="s">
        <v>286</v>
      </c>
      <c r="BT25" t="s">
        <v>289</v>
      </c>
      <c r="BU25">
        <v>25</v>
      </c>
      <c r="BV25" t="s">
        <v>165</v>
      </c>
      <c r="BW25" t="s">
        <v>165</v>
      </c>
      <c r="BX25" s="145">
        <v>31.721909933479999</v>
      </c>
      <c r="BY25" t="s">
        <v>290</v>
      </c>
      <c r="BZ25" s="137">
        <v>0.60907251461494405</v>
      </c>
      <c r="CA25" s="137">
        <v>0.65402084965153795</v>
      </c>
      <c r="CB25" t="s">
        <v>291</v>
      </c>
      <c r="CC25">
        <v>3.9918202741871598</v>
      </c>
      <c r="CD25" t="s">
        <v>292</v>
      </c>
      <c r="CE25">
        <v>0.11975460822561479</v>
      </c>
      <c r="CF25">
        <v>0.11975460822561479</v>
      </c>
      <c r="CG25" t="s">
        <v>295</v>
      </c>
      <c r="CH25" t="s">
        <v>162</v>
      </c>
      <c r="CI25" t="s">
        <v>293</v>
      </c>
      <c r="CJ25" t="s">
        <v>296</v>
      </c>
      <c r="CK25" t="s">
        <v>165</v>
      </c>
      <c r="CL25" t="s">
        <v>165</v>
      </c>
      <c r="CM25" t="s">
        <v>294</v>
      </c>
      <c r="CN25" t="s">
        <v>162</v>
      </c>
      <c r="CO25" t="s">
        <v>162</v>
      </c>
      <c r="CP25" t="s">
        <v>162</v>
      </c>
      <c r="CQ25" t="s">
        <v>162</v>
      </c>
      <c r="CR25" t="s">
        <v>162</v>
      </c>
      <c r="CS25" t="s">
        <v>162</v>
      </c>
      <c r="CT25" t="s">
        <v>162</v>
      </c>
      <c r="CU25" s="139">
        <v>35</v>
      </c>
      <c r="CV25" t="s">
        <v>161</v>
      </c>
      <c r="CW25">
        <v>1</v>
      </c>
      <c r="CX25" t="s">
        <v>297</v>
      </c>
      <c r="CY25">
        <v>17</v>
      </c>
      <c r="CZ25" t="s">
        <v>170</v>
      </c>
      <c r="DA25" t="s">
        <v>170</v>
      </c>
      <c r="DB25" t="s">
        <v>298</v>
      </c>
      <c r="DC25">
        <v>38</v>
      </c>
      <c r="DD25" t="s">
        <v>170</v>
      </c>
      <c r="DE25" t="s">
        <v>170</v>
      </c>
      <c r="DF25" t="s">
        <v>298</v>
      </c>
      <c r="DG25" t="s">
        <v>166</v>
      </c>
      <c r="DH25" t="s">
        <v>167</v>
      </c>
      <c r="DI25" t="s">
        <v>167</v>
      </c>
      <c r="DJ25" t="s">
        <v>167</v>
      </c>
      <c r="DK25" s="136">
        <v>432.56244218316402</v>
      </c>
      <c r="DL25" t="s">
        <v>168</v>
      </c>
      <c r="DM25" s="136">
        <v>12.3589269195214</v>
      </c>
      <c r="DN25" t="s">
        <v>169</v>
      </c>
      <c r="DO25">
        <v>38.700000000000003</v>
      </c>
      <c r="DP25" t="s">
        <v>299</v>
      </c>
      <c r="DQ25">
        <v>0.2</v>
      </c>
      <c r="DR25" t="s">
        <v>300</v>
      </c>
      <c r="DS25" t="s">
        <v>301</v>
      </c>
      <c r="DT25" t="s">
        <v>302</v>
      </c>
      <c r="DU25">
        <v>1.0271999999999999</v>
      </c>
      <c r="DV25" t="s">
        <v>170</v>
      </c>
      <c r="DW25" t="s">
        <v>170</v>
      </c>
      <c r="DX25" t="s">
        <v>177</v>
      </c>
      <c r="DY25" t="s">
        <v>170</v>
      </c>
      <c r="DZ25" t="s">
        <v>170</v>
      </c>
      <c r="EA25" t="s">
        <v>303</v>
      </c>
      <c r="EB25" t="s">
        <v>171</v>
      </c>
      <c r="EC25" t="s">
        <v>304</v>
      </c>
      <c r="ED25" t="s">
        <v>304</v>
      </c>
      <c r="EE25" t="s">
        <v>304</v>
      </c>
      <c r="EF25" t="s">
        <v>304</v>
      </c>
      <c r="EG25" t="s">
        <v>162</v>
      </c>
      <c r="EH25" t="s">
        <v>172</v>
      </c>
      <c r="EI25" t="s">
        <v>305</v>
      </c>
      <c r="EJ25" t="s">
        <v>162</v>
      </c>
      <c r="EK25" s="140">
        <v>1750</v>
      </c>
      <c r="EL25" t="s">
        <v>173</v>
      </c>
      <c r="EM25">
        <v>150</v>
      </c>
      <c r="EN25">
        <v>150</v>
      </c>
      <c r="EO25" t="s">
        <v>306</v>
      </c>
      <c r="EP25" t="s">
        <v>306</v>
      </c>
      <c r="EQ25" t="s">
        <v>306</v>
      </c>
      <c r="ER25" t="s">
        <v>306</v>
      </c>
      <c r="ES25">
        <v>7.84539364452149</v>
      </c>
      <c r="ET25" s="138" t="s">
        <v>174</v>
      </c>
      <c r="EU25" s="161">
        <v>3.1813429737531797E-2</v>
      </c>
      <c r="EV25" s="161">
        <v>3.1813429737531797E-2</v>
      </c>
      <c r="EW25" s="142">
        <v>834.33315935849703</v>
      </c>
      <c r="EX25" s="138">
        <v>0</v>
      </c>
      <c r="EY25" s="138" t="s">
        <v>308</v>
      </c>
      <c r="EZ25" s="142">
        <v>834.33315935849703</v>
      </c>
      <c r="FA25" s="142">
        <v>176.70151952569302</v>
      </c>
      <c r="FB25" s="142">
        <v>132.79960401280505</v>
      </c>
      <c r="FC25" s="164" t="s">
        <v>309</v>
      </c>
      <c r="FD25" t="s">
        <v>310</v>
      </c>
      <c r="FE25" t="s">
        <v>175</v>
      </c>
      <c r="FF25" t="s">
        <v>175</v>
      </c>
      <c r="FG25" t="s">
        <v>175</v>
      </c>
      <c r="FH25">
        <v>1839.6396046642899</v>
      </c>
      <c r="FI25">
        <v>194.02385107837401</v>
      </c>
      <c r="FJ25">
        <v>190.277379149014</v>
      </c>
      <c r="FK25">
        <v>5.6024178987240303</v>
      </c>
      <c r="FL25">
        <v>0.78546408977607096</v>
      </c>
      <c r="FM25">
        <v>0.73141337403552398</v>
      </c>
      <c r="FN25">
        <v>3.5810920438417702</v>
      </c>
      <c r="FO25">
        <v>0.50246677817318797</v>
      </c>
      <c r="FP25">
        <v>0.46864529838809199</v>
      </c>
      <c r="FQ25" t="s">
        <v>317</v>
      </c>
    </row>
    <row r="26" spans="1:173">
      <c r="A26" s="128" t="s">
        <v>152</v>
      </c>
      <c r="B26" t="s">
        <v>156</v>
      </c>
      <c r="C26">
        <v>2020</v>
      </c>
      <c r="D26" t="s">
        <v>194</v>
      </c>
      <c r="E26" s="142">
        <v>40516.803741455078</v>
      </c>
      <c r="F26">
        <v>2.8600000000000003</v>
      </c>
      <c r="G26">
        <v>2.8600000000000003</v>
      </c>
      <c r="H26" s="132">
        <v>1032.7320253057501</v>
      </c>
      <c r="I26" s="132">
        <v>225.75983480379</v>
      </c>
      <c r="J26" s="132">
        <v>190.36179718439007</v>
      </c>
      <c r="K26" t="s">
        <v>157</v>
      </c>
      <c r="L26" s="133" t="s">
        <v>158</v>
      </c>
      <c r="M26" s="134" t="s">
        <v>195</v>
      </c>
      <c r="N26" t="s">
        <v>194</v>
      </c>
      <c r="O26" t="s">
        <v>198</v>
      </c>
      <c r="P26" t="s">
        <v>200</v>
      </c>
      <c r="Q26">
        <v>4</v>
      </c>
      <c r="R26" t="s">
        <v>202</v>
      </c>
      <c r="S26">
        <v>20</v>
      </c>
      <c r="T26">
        <v>22</v>
      </c>
      <c r="U26">
        <v>35.47</v>
      </c>
      <c r="V26">
        <v>36.356999999999999</v>
      </c>
      <c r="W26" t="s">
        <v>217</v>
      </c>
      <c r="X26" t="s">
        <v>206</v>
      </c>
      <c r="Y26" s="147">
        <v>18.4404</v>
      </c>
      <c r="Z26" s="147">
        <v>-179.55500000000001</v>
      </c>
      <c r="AA26" s="147">
        <v>11.3</v>
      </c>
      <c r="AB26" s="135" t="s">
        <v>162</v>
      </c>
      <c r="AC26" s="135">
        <v>-1518</v>
      </c>
      <c r="AD26" s="135">
        <v>-1400</v>
      </c>
      <c r="AE26" t="s">
        <v>211</v>
      </c>
      <c r="AF26" t="s">
        <v>160</v>
      </c>
      <c r="AG26" s="142">
        <v>40516.803741455078</v>
      </c>
      <c r="AH26" s="148" t="s">
        <v>215</v>
      </c>
      <c r="AI26">
        <v>2.8600000000000003</v>
      </c>
      <c r="AJ26">
        <v>2.8600000000000003</v>
      </c>
      <c r="AK26" t="s">
        <v>214</v>
      </c>
      <c r="AL26" t="s">
        <v>216</v>
      </c>
      <c r="AM26" t="s">
        <v>218</v>
      </c>
      <c r="AN26" t="s">
        <v>162</v>
      </c>
      <c r="AO26" t="s">
        <v>162</v>
      </c>
      <c r="AP26" t="s">
        <v>162</v>
      </c>
      <c r="AQ26" t="s">
        <v>162</v>
      </c>
      <c r="AR26" t="s">
        <v>162</v>
      </c>
      <c r="AS26" t="s">
        <v>162</v>
      </c>
      <c r="AT26" t="s">
        <v>162</v>
      </c>
      <c r="AU26" t="s">
        <v>226</v>
      </c>
      <c r="AV26" t="s">
        <v>230</v>
      </c>
      <c r="AW26" s="167">
        <v>245</v>
      </c>
      <c r="AX26" s="172">
        <v>2.4750000000000001</v>
      </c>
      <c r="AY26" s="148" t="s">
        <v>232</v>
      </c>
      <c r="AZ26" t="s">
        <v>163</v>
      </c>
      <c r="BA26" t="s">
        <v>164</v>
      </c>
      <c r="BB26" t="s">
        <v>257</v>
      </c>
      <c r="BC26">
        <v>2</v>
      </c>
      <c r="BD26" s="137">
        <v>6.3230294249683183E-2</v>
      </c>
      <c r="BE26" s="145">
        <v>14.9066301168021</v>
      </c>
      <c r="BF26" t="s">
        <v>233</v>
      </c>
      <c r="BG26">
        <v>0.24634099403572701</v>
      </c>
      <c r="BH26">
        <v>0.88</v>
      </c>
      <c r="BI26" t="s">
        <v>278</v>
      </c>
      <c r="BJ26" t="s">
        <v>278</v>
      </c>
      <c r="BK26" s="2">
        <v>1.85</v>
      </c>
      <c r="BL26" t="s">
        <v>278</v>
      </c>
      <c r="BM26" t="s">
        <v>278</v>
      </c>
      <c r="BN26" t="s">
        <v>279</v>
      </c>
      <c r="BO26" t="s">
        <v>280</v>
      </c>
      <c r="BP26" s="158">
        <v>14.961170454545501</v>
      </c>
      <c r="BQ26" t="s">
        <v>287</v>
      </c>
      <c r="BR26" s="160" t="s">
        <v>288</v>
      </c>
      <c r="BS26" t="s">
        <v>286</v>
      </c>
      <c r="BT26" t="s">
        <v>289</v>
      </c>
      <c r="BU26">
        <v>25</v>
      </c>
      <c r="BV26" t="s">
        <v>165</v>
      </c>
      <c r="BW26" t="s">
        <v>165</v>
      </c>
      <c r="BX26" s="145">
        <v>30.866848612801899</v>
      </c>
      <c r="BY26" t="s">
        <v>290</v>
      </c>
      <c r="BZ26" s="137">
        <v>0.62589314521442296</v>
      </c>
      <c r="CA26" s="137">
        <v>0.62105223002498999</v>
      </c>
      <c r="CB26" t="s">
        <v>291</v>
      </c>
      <c r="CC26">
        <v>3.8892901134823501</v>
      </c>
      <c r="CD26" t="s">
        <v>292</v>
      </c>
      <c r="CE26">
        <v>0.11667870340447049</v>
      </c>
      <c r="CF26">
        <v>0.11667870340447049</v>
      </c>
      <c r="CG26" t="s">
        <v>295</v>
      </c>
      <c r="CH26" t="s">
        <v>162</v>
      </c>
      <c r="CI26" t="s">
        <v>293</v>
      </c>
      <c r="CJ26" t="s">
        <v>296</v>
      </c>
      <c r="CK26" t="s">
        <v>165</v>
      </c>
      <c r="CL26" t="s">
        <v>165</v>
      </c>
      <c r="CM26" t="s">
        <v>294</v>
      </c>
      <c r="CN26" t="s">
        <v>162</v>
      </c>
      <c r="CO26" t="s">
        <v>162</v>
      </c>
      <c r="CP26" t="s">
        <v>162</v>
      </c>
      <c r="CQ26" t="s">
        <v>162</v>
      </c>
      <c r="CR26" t="s">
        <v>162</v>
      </c>
      <c r="CS26" t="s">
        <v>162</v>
      </c>
      <c r="CT26" t="s">
        <v>162</v>
      </c>
      <c r="CU26" s="139">
        <v>35</v>
      </c>
      <c r="CV26" t="s">
        <v>161</v>
      </c>
      <c r="CW26">
        <v>1</v>
      </c>
      <c r="CX26" t="s">
        <v>297</v>
      </c>
      <c r="CY26">
        <v>17</v>
      </c>
      <c r="CZ26" t="s">
        <v>170</v>
      </c>
      <c r="DA26" t="s">
        <v>170</v>
      </c>
      <c r="DB26" t="s">
        <v>298</v>
      </c>
      <c r="DC26">
        <v>38</v>
      </c>
      <c r="DD26" t="s">
        <v>170</v>
      </c>
      <c r="DE26" t="s">
        <v>170</v>
      </c>
      <c r="DF26" t="s">
        <v>298</v>
      </c>
      <c r="DG26" t="s">
        <v>166</v>
      </c>
      <c r="DH26" t="s">
        <v>167</v>
      </c>
      <c r="DI26" t="s">
        <v>167</v>
      </c>
      <c r="DJ26" t="s">
        <v>167</v>
      </c>
      <c r="DK26" s="136">
        <v>432.56244218316402</v>
      </c>
      <c r="DL26" t="s">
        <v>168</v>
      </c>
      <c r="DM26" s="136">
        <v>12.358926919521499</v>
      </c>
      <c r="DN26" t="s">
        <v>169</v>
      </c>
      <c r="DO26">
        <v>38.700000000000003</v>
      </c>
      <c r="DP26" t="s">
        <v>299</v>
      </c>
      <c r="DQ26">
        <v>0.2</v>
      </c>
      <c r="DR26" t="s">
        <v>300</v>
      </c>
      <c r="DS26" t="s">
        <v>301</v>
      </c>
      <c r="DT26" t="s">
        <v>302</v>
      </c>
      <c r="DU26">
        <v>1.0271999999999999</v>
      </c>
      <c r="DV26" t="s">
        <v>170</v>
      </c>
      <c r="DW26" t="s">
        <v>170</v>
      </c>
      <c r="DX26" t="s">
        <v>177</v>
      </c>
      <c r="DY26" t="s">
        <v>170</v>
      </c>
      <c r="DZ26" t="s">
        <v>170</v>
      </c>
      <c r="EA26" t="s">
        <v>303</v>
      </c>
      <c r="EB26" t="s">
        <v>171</v>
      </c>
      <c r="EC26" t="s">
        <v>304</v>
      </c>
      <c r="ED26" t="s">
        <v>304</v>
      </c>
      <c r="EE26" t="s">
        <v>304</v>
      </c>
      <c r="EF26" t="s">
        <v>304</v>
      </c>
      <c r="EG26" t="s">
        <v>162</v>
      </c>
      <c r="EH26" t="s">
        <v>172</v>
      </c>
      <c r="EI26" t="s">
        <v>305</v>
      </c>
      <c r="EJ26" t="s">
        <v>162</v>
      </c>
      <c r="EK26" s="140">
        <v>1750</v>
      </c>
      <c r="EL26" t="s">
        <v>173</v>
      </c>
      <c r="EM26">
        <v>150</v>
      </c>
      <c r="EN26">
        <v>150</v>
      </c>
      <c r="EO26" t="s">
        <v>306</v>
      </c>
      <c r="EP26" t="s">
        <v>306</v>
      </c>
      <c r="EQ26" t="s">
        <v>306</v>
      </c>
      <c r="ER26" t="s">
        <v>306</v>
      </c>
      <c r="ES26">
        <v>7.8237275307851801</v>
      </c>
      <c r="ET26" s="138" t="s">
        <v>174</v>
      </c>
      <c r="EU26" s="161">
        <v>3.4333560430370801E-2</v>
      </c>
      <c r="EV26" s="161">
        <v>3.4333560430370801E-2</v>
      </c>
      <c r="EW26" s="142">
        <v>1032.7320253057501</v>
      </c>
      <c r="EX26" s="138">
        <v>0</v>
      </c>
      <c r="EY26" s="138" t="s">
        <v>308</v>
      </c>
      <c r="EZ26" s="142">
        <v>1032.7320253057501</v>
      </c>
      <c r="FA26" s="142">
        <v>225.75983480379</v>
      </c>
      <c r="FB26" s="142">
        <v>190.36179718439007</v>
      </c>
      <c r="FC26" s="164" t="s">
        <v>309</v>
      </c>
      <c r="FD26" t="s">
        <v>310</v>
      </c>
      <c r="FE26" t="s">
        <v>175</v>
      </c>
      <c r="FF26" t="s">
        <v>175</v>
      </c>
      <c r="FG26" t="s">
        <v>175</v>
      </c>
      <c r="FH26">
        <v>1825.45812241049</v>
      </c>
      <c r="FI26">
        <v>201.40179359426099</v>
      </c>
      <c r="FJ26">
        <v>189.48724305391499</v>
      </c>
      <c r="FK26">
        <v>4.8118423682462002</v>
      </c>
      <c r="FL26">
        <v>0.70433890800008003</v>
      </c>
      <c r="FM26">
        <v>0.64271336105738697</v>
      </c>
      <c r="FN26">
        <v>3.0935583335690802</v>
      </c>
      <c r="FO26">
        <v>0.46554463999528001</v>
      </c>
      <c r="FP26">
        <v>0.41829302276265301</v>
      </c>
      <c r="FQ26" t="s">
        <v>317</v>
      </c>
    </row>
    <row r="27" spans="1:173">
      <c r="A27" s="128" t="s">
        <v>152</v>
      </c>
      <c r="B27" t="s">
        <v>156</v>
      </c>
      <c r="C27">
        <v>2020</v>
      </c>
      <c r="D27" t="s">
        <v>194</v>
      </c>
      <c r="E27" s="142">
        <v>40629.241943359375</v>
      </c>
      <c r="F27">
        <v>2.5500000000000003</v>
      </c>
      <c r="G27">
        <v>2.5500000000000003</v>
      </c>
      <c r="H27" s="132">
        <v>732.21244925344695</v>
      </c>
      <c r="I27" s="132">
        <v>148.31241300916611</v>
      </c>
      <c r="J27" s="132">
        <v>123.38840790680899</v>
      </c>
      <c r="K27" t="s">
        <v>157</v>
      </c>
      <c r="L27" s="133" t="s">
        <v>158</v>
      </c>
      <c r="M27" s="134" t="s">
        <v>195</v>
      </c>
      <c r="N27" t="s">
        <v>194</v>
      </c>
      <c r="O27" t="s">
        <v>198</v>
      </c>
      <c r="P27" t="s">
        <v>201</v>
      </c>
      <c r="Q27">
        <v>5</v>
      </c>
      <c r="R27">
        <v>2</v>
      </c>
      <c r="S27">
        <v>25</v>
      </c>
      <c r="T27">
        <v>27</v>
      </c>
      <c r="U27">
        <v>33.56</v>
      </c>
      <c r="V27">
        <v>36.770000457763672</v>
      </c>
      <c r="W27" t="s">
        <v>217</v>
      </c>
      <c r="X27" t="s">
        <v>206</v>
      </c>
      <c r="Y27" s="147">
        <v>18.4404</v>
      </c>
      <c r="Z27" s="147">
        <v>-179.55500000000001</v>
      </c>
      <c r="AA27" s="147">
        <v>11.3</v>
      </c>
      <c r="AB27" s="135" t="s">
        <v>162</v>
      </c>
      <c r="AC27" s="135">
        <v>-1518</v>
      </c>
      <c r="AD27" s="135">
        <v>-1400</v>
      </c>
      <c r="AE27" t="s">
        <v>211</v>
      </c>
      <c r="AF27" t="s">
        <v>160</v>
      </c>
      <c r="AG27" s="142">
        <v>40629.241943359375</v>
      </c>
      <c r="AH27" s="148" t="s">
        <v>215</v>
      </c>
      <c r="AI27">
        <v>2.5500000000000003</v>
      </c>
      <c r="AJ27">
        <v>2.5500000000000003</v>
      </c>
      <c r="AK27" t="s">
        <v>214</v>
      </c>
      <c r="AL27" t="s">
        <v>216</v>
      </c>
      <c r="AM27" t="s">
        <v>218</v>
      </c>
      <c r="AN27" t="s">
        <v>162</v>
      </c>
      <c r="AO27" t="s">
        <v>162</v>
      </c>
      <c r="AP27" t="s">
        <v>162</v>
      </c>
      <c r="AQ27" t="s">
        <v>162</v>
      </c>
      <c r="AR27" t="s">
        <v>162</v>
      </c>
      <c r="AS27" t="s">
        <v>162</v>
      </c>
      <c r="AT27" t="s">
        <v>162</v>
      </c>
      <c r="AU27" t="s">
        <v>226</v>
      </c>
      <c r="AV27" t="s">
        <v>230</v>
      </c>
      <c r="AW27" s="167">
        <v>309</v>
      </c>
      <c r="AX27" s="172">
        <v>2.9449999999999998</v>
      </c>
      <c r="AY27" s="148" t="s">
        <v>232</v>
      </c>
      <c r="AZ27" t="s">
        <v>163</v>
      </c>
      <c r="BA27" t="s">
        <v>164</v>
      </c>
      <c r="BB27" t="s">
        <v>258</v>
      </c>
      <c r="BC27">
        <v>2</v>
      </c>
      <c r="BD27" s="137">
        <v>5.9071832495039438E-2</v>
      </c>
      <c r="BE27" s="145">
        <v>14.736748166711401</v>
      </c>
      <c r="BF27" t="s">
        <v>233</v>
      </c>
      <c r="BG27">
        <v>0.23964427142036401</v>
      </c>
      <c r="BH27">
        <v>0.88</v>
      </c>
      <c r="BI27" t="s">
        <v>278</v>
      </c>
      <c r="BJ27" t="s">
        <v>278</v>
      </c>
      <c r="BK27" s="2">
        <v>1.85</v>
      </c>
      <c r="BL27" t="s">
        <v>278</v>
      </c>
      <c r="BM27" t="s">
        <v>278</v>
      </c>
      <c r="BN27" t="s">
        <v>279</v>
      </c>
      <c r="BO27" t="s">
        <v>280</v>
      </c>
      <c r="BP27" s="158">
        <v>14.768125</v>
      </c>
      <c r="BQ27" t="s">
        <v>287</v>
      </c>
      <c r="BR27" s="160" t="s">
        <v>288</v>
      </c>
      <c r="BS27" t="s">
        <v>286</v>
      </c>
      <c r="BT27" t="s">
        <v>289</v>
      </c>
      <c r="BU27">
        <v>25</v>
      </c>
      <c r="BV27" t="s">
        <v>165</v>
      </c>
      <c r="BW27" t="s">
        <v>165</v>
      </c>
      <c r="BX27" s="145">
        <v>30.676226882771601</v>
      </c>
      <c r="BY27" t="s">
        <v>290</v>
      </c>
      <c r="BZ27" s="137">
        <v>0.59510074488020603</v>
      </c>
      <c r="CA27" s="137">
        <v>0.62446033256342304</v>
      </c>
      <c r="CB27" t="s">
        <v>291</v>
      </c>
      <c r="CC27">
        <v>3.9713082068436001</v>
      </c>
      <c r="CD27" t="s">
        <v>292</v>
      </c>
      <c r="CE27">
        <v>0.119139246205308</v>
      </c>
      <c r="CF27">
        <v>0.119139246205308</v>
      </c>
      <c r="CG27" t="s">
        <v>295</v>
      </c>
      <c r="CH27" t="s">
        <v>162</v>
      </c>
      <c r="CI27" t="s">
        <v>293</v>
      </c>
      <c r="CJ27" t="s">
        <v>296</v>
      </c>
      <c r="CK27" t="s">
        <v>165</v>
      </c>
      <c r="CL27" t="s">
        <v>165</v>
      </c>
      <c r="CM27" t="s">
        <v>294</v>
      </c>
      <c r="CN27" t="s">
        <v>162</v>
      </c>
      <c r="CO27" t="s">
        <v>162</v>
      </c>
      <c r="CP27" t="s">
        <v>162</v>
      </c>
      <c r="CQ27" t="s">
        <v>162</v>
      </c>
      <c r="CR27" t="s">
        <v>162</v>
      </c>
      <c r="CS27" t="s">
        <v>162</v>
      </c>
      <c r="CT27" t="s">
        <v>162</v>
      </c>
      <c r="CU27" s="139">
        <v>35</v>
      </c>
      <c r="CV27" t="s">
        <v>161</v>
      </c>
      <c r="CW27">
        <v>1</v>
      </c>
      <c r="CX27" t="s">
        <v>297</v>
      </c>
      <c r="CY27">
        <v>17</v>
      </c>
      <c r="CZ27" t="s">
        <v>170</v>
      </c>
      <c r="DA27" t="s">
        <v>170</v>
      </c>
      <c r="DB27" t="s">
        <v>298</v>
      </c>
      <c r="DC27">
        <v>38</v>
      </c>
      <c r="DD27" t="s">
        <v>170</v>
      </c>
      <c r="DE27" t="s">
        <v>170</v>
      </c>
      <c r="DF27" t="s">
        <v>298</v>
      </c>
      <c r="DG27" t="s">
        <v>166</v>
      </c>
      <c r="DH27" t="s">
        <v>167</v>
      </c>
      <c r="DI27" t="s">
        <v>167</v>
      </c>
      <c r="DJ27" t="s">
        <v>167</v>
      </c>
      <c r="DK27" s="136">
        <v>432.56244218316402</v>
      </c>
      <c r="DL27" t="s">
        <v>168</v>
      </c>
      <c r="DM27" s="136">
        <v>12.3589269195216</v>
      </c>
      <c r="DN27" t="s">
        <v>169</v>
      </c>
      <c r="DO27">
        <v>38.700000000000003</v>
      </c>
      <c r="DP27" t="s">
        <v>299</v>
      </c>
      <c r="DQ27">
        <v>0.2</v>
      </c>
      <c r="DR27" t="s">
        <v>300</v>
      </c>
      <c r="DS27" t="s">
        <v>301</v>
      </c>
      <c r="DT27" t="s">
        <v>302</v>
      </c>
      <c r="DU27">
        <v>1.0271999999999999</v>
      </c>
      <c r="DV27" t="s">
        <v>170</v>
      </c>
      <c r="DW27" t="s">
        <v>170</v>
      </c>
      <c r="DX27" t="s">
        <v>177</v>
      </c>
      <c r="DY27" t="s">
        <v>170</v>
      </c>
      <c r="DZ27" t="s">
        <v>170</v>
      </c>
      <c r="EA27" t="s">
        <v>303</v>
      </c>
      <c r="EB27" t="s">
        <v>171</v>
      </c>
      <c r="EC27" t="s">
        <v>304</v>
      </c>
      <c r="ED27" t="s">
        <v>304</v>
      </c>
      <c r="EE27" t="s">
        <v>304</v>
      </c>
      <c r="EF27" t="s">
        <v>304</v>
      </c>
      <c r="EG27" t="s">
        <v>162</v>
      </c>
      <c r="EH27" t="s">
        <v>172</v>
      </c>
      <c r="EI27" t="s">
        <v>305</v>
      </c>
      <c r="EJ27" t="s">
        <v>162</v>
      </c>
      <c r="EK27" s="140">
        <v>1750</v>
      </c>
      <c r="EL27" t="s">
        <v>173</v>
      </c>
      <c r="EM27">
        <v>150</v>
      </c>
      <c r="EN27">
        <v>150</v>
      </c>
      <c r="EO27" t="s">
        <v>306</v>
      </c>
      <c r="EP27" t="s">
        <v>306</v>
      </c>
      <c r="EQ27" t="s">
        <v>306</v>
      </c>
      <c r="ER27" t="s">
        <v>306</v>
      </c>
      <c r="ES27">
        <v>7.7960009435766304</v>
      </c>
      <c r="ET27" s="138" t="s">
        <v>174</v>
      </c>
      <c r="EU27" s="161">
        <v>3.4028186457514202E-2</v>
      </c>
      <c r="EV27" s="161">
        <v>3.4028186457514202E-2</v>
      </c>
      <c r="EW27" s="142">
        <v>732.21244925344695</v>
      </c>
      <c r="EX27" s="138">
        <v>0</v>
      </c>
      <c r="EY27" s="138" t="s">
        <v>308</v>
      </c>
      <c r="EZ27" s="142">
        <v>732.21244925344695</v>
      </c>
      <c r="FA27" s="142">
        <v>148.31241300916611</v>
      </c>
      <c r="FB27" s="142">
        <v>123.38840790680899</v>
      </c>
      <c r="FC27" s="164" t="s">
        <v>309</v>
      </c>
      <c r="FD27" t="s">
        <v>310</v>
      </c>
      <c r="FE27" t="s">
        <v>175</v>
      </c>
      <c r="FF27" t="s">
        <v>175</v>
      </c>
      <c r="FG27" t="s">
        <v>175</v>
      </c>
      <c r="FH27">
        <v>1831.4616478532901</v>
      </c>
      <c r="FI27">
        <v>188.24269635894001</v>
      </c>
      <c r="FJ27">
        <v>206.38655166955601</v>
      </c>
      <c r="FK27">
        <v>4.69811358075762</v>
      </c>
      <c r="FL27">
        <v>0.71840678580307404</v>
      </c>
      <c r="FM27">
        <v>0.60449844102299299</v>
      </c>
      <c r="FN27">
        <v>2.9384824179015698</v>
      </c>
      <c r="FO27">
        <v>0.45756534968012402</v>
      </c>
      <c r="FP27">
        <v>0.37912145546208198</v>
      </c>
      <c r="FQ27" t="s">
        <v>317</v>
      </c>
    </row>
    <row r="28" spans="1:173">
      <c r="A28" s="128" t="s">
        <v>152</v>
      </c>
      <c r="B28" t="s">
        <v>156</v>
      </c>
      <c r="C28">
        <v>2020</v>
      </c>
      <c r="D28" t="s">
        <v>194</v>
      </c>
      <c r="E28" s="142">
        <v>40810.317993164062</v>
      </c>
      <c r="F28">
        <v>1.35</v>
      </c>
      <c r="G28">
        <v>1.35</v>
      </c>
      <c r="H28" s="132">
        <v>662.97700335187005</v>
      </c>
      <c r="I28" s="132">
        <v>117.62401249838592</v>
      </c>
      <c r="J28" s="132">
        <v>109.11521495419606</v>
      </c>
      <c r="K28" t="s">
        <v>157</v>
      </c>
      <c r="L28" s="133" t="s">
        <v>158</v>
      </c>
      <c r="M28" s="134" t="s">
        <v>195</v>
      </c>
      <c r="N28" t="s">
        <v>194</v>
      </c>
      <c r="O28" t="s">
        <v>198</v>
      </c>
      <c r="P28" t="s">
        <v>201</v>
      </c>
      <c r="Q28">
        <v>5</v>
      </c>
      <c r="R28">
        <v>2</v>
      </c>
      <c r="S28">
        <v>105</v>
      </c>
      <c r="T28">
        <v>107</v>
      </c>
      <c r="U28">
        <v>34.36</v>
      </c>
      <c r="V28">
        <v>37.569999694824219</v>
      </c>
      <c r="W28" t="s">
        <v>217</v>
      </c>
      <c r="X28" t="s">
        <v>206</v>
      </c>
      <c r="Y28" s="147">
        <v>18.4404</v>
      </c>
      <c r="Z28" s="147">
        <v>-179.55500000000001</v>
      </c>
      <c r="AA28" s="147">
        <v>11.3</v>
      </c>
      <c r="AB28" s="135" t="s">
        <v>162</v>
      </c>
      <c r="AC28" s="135">
        <v>-1518</v>
      </c>
      <c r="AD28" s="135">
        <v>-1400</v>
      </c>
      <c r="AE28" t="s">
        <v>211</v>
      </c>
      <c r="AF28" t="s">
        <v>160</v>
      </c>
      <c r="AG28" s="142">
        <v>40810.317993164062</v>
      </c>
      <c r="AH28" s="148" t="s">
        <v>215</v>
      </c>
      <c r="AI28">
        <v>1.35</v>
      </c>
      <c r="AJ28">
        <v>1.35</v>
      </c>
      <c r="AK28" t="s">
        <v>214</v>
      </c>
      <c r="AL28" t="s">
        <v>216</v>
      </c>
      <c r="AM28" t="s">
        <v>218</v>
      </c>
      <c r="AN28" t="s">
        <v>162</v>
      </c>
      <c r="AO28" t="s">
        <v>162</v>
      </c>
      <c r="AP28" t="s">
        <v>162</v>
      </c>
      <c r="AQ28" t="s">
        <v>162</v>
      </c>
      <c r="AR28" t="s">
        <v>162</v>
      </c>
      <c r="AS28" t="s">
        <v>162</v>
      </c>
      <c r="AT28" t="s">
        <v>162</v>
      </c>
      <c r="AU28" t="s">
        <v>226</v>
      </c>
      <c r="AV28" t="s">
        <v>230</v>
      </c>
      <c r="AW28" s="167">
        <v>233</v>
      </c>
      <c r="AX28" s="172">
        <v>2.3109999999999999</v>
      </c>
      <c r="AY28" s="148" t="s">
        <v>232</v>
      </c>
      <c r="AZ28" t="s">
        <v>163</v>
      </c>
      <c r="BA28" t="s">
        <v>164</v>
      </c>
      <c r="BB28" t="s">
        <v>273</v>
      </c>
      <c r="BC28">
        <v>2</v>
      </c>
      <c r="BD28" s="137">
        <v>0.57889264142361618</v>
      </c>
      <c r="BE28" s="145">
        <v>14.822998009747399</v>
      </c>
      <c r="BF28" t="s">
        <v>233</v>
      </c>
      <c r="BG28">
        <v>0.25211825778203001</v>
      </c>
      <c r="BH28">
        <v>0.88</v>
      </c>
      <c r="BI28" t="s">
        <v>278</v>
      </c>
      <c r="BJ28" t="s">
        <v>278</v>
      </c>
      <c r="BK28" s="2">
        <v>1.85</v>
      </c>
      <c r="BL28" t="s">
        <v>278</v>
      </c>
      <c r="BM28" t="s">
        <v>278</v>
      </c>
      <c r="BN28" t="s">
        <v>279</v>
      </c>
      <c r="BO28" t="s">
        <v>280</v>
      </c>
      <c r="BP28" s="158">
        <v>14.8661363636364</v>
      </c>
      <c r="BQ28" t="s">
        <v>287</v>
      </c>
      <c r="BR28" s="160" t="s">
        <v>288</v>
      </c>
      <c r="BS28" t="s">
        <v>286</v>
      </c>
      <c r="BT28" t="s">
        <v>289</v>
      </c>
      <c r="BU28">
        <v>25</v>
      </c>
      <c r="BV28" t="s">
        <v>165</v>
      </c>
      <c r="BW28" t="s">
        <v>165</v>
      </c>
      <c r="BX28" s="145">
        <v>31.717453280750199</v>
      </c>
      <c r="BY28" t="s">
        <v>290</v>
      </c>
      <c r="BZ28" s="137">
        <v>0.62380146602147202</v>
      </c>
      <c r="CA28" s="137">
        <v>0.66279565876051505</v>
      </c>
      <c r="CB28" t="s">
        <v>291</v>
      </c>
      <c r="CC28">
        <v>4.0871473246201404</v>
      </c>
      <c r="CD28" t="s">
        <v>292</v>
      </c>
      <c r="CE28">
        <v>0.12261441973860421</v>
      </c>
      <c r="CF28">
        <v>0.12261441973860421</v>
      </c>
      <c r="CG28" t="s">
        <v>295</v>
      </c>
      <c r="CH28" t="s">
        <v>162</v>
      </c>
      <c r="CI28" t="s">
        <v>293</v>
      </c>
      <c r="CJ28" t="s">
        <v>296</v>
      </c>
      <c r="CK28" t="s">
        <v>165</v>
      </c>
      <c r="CL28" t="s">
        <v>165</v>
      </c>
      <c r="CM28" t="s">
        <v>294</v>
      </c>
      <c r="CN28" t="s">
        <v>162</v>
      </c>
      <c r="CO28" t="s">
        <v>162</v>
      </c>
      <c r="CP28" t="s">
        <v>162</v>
      </c>
      <c r="CQ28" t="s">
        <v>162</v>
      </c>
      <c r="CR28" t="s">
        <v>162</v>
      </c>
      <c r="CS28" t="s">
        <v>162</v>
      </c>
      <c r="CT28" t="s">
        <v>162</v>
      </c>
      <c r="CU28" s="139">
        <v>35</v>
      </c>
      <c r="CV28" t="s">
        <v>161</v>
      </c>
      <c r="CW28">
        <v>1</v>
      </c>
      <c r="CX28" t="s">
        <v>297</v>
      </c>
      <c r="CY28">
        <v>17</v>
      </c>
      <c r="CZ28" t="s">
        <v>170</v>
      </c>
      <c r="DA28" t="s">
        <v>170</v>
      </c>
      <c r="DB28" t="s">
        <v>298</v>
      </c>
      <c r="DC28">
        <v>38</v>
      </c>
      <c r="DD28" t="s">
        <v>170</v>
      </c>
      <c r="DE28" t="s">
        <v>170</v>
      </c>
      <c r="DF28" t="s">
        <v>298</v>
      </c>
      <c r="DG28" t="s">
        <v>166</v>
      </c>
      <c r="DH28" t="s">
        <v>167</v>
      </c>
      <c r="DI28" t="s">
        <v>167</v>
      </c>
      <c r="DJ28" t="s">
        <v>167</v>
      </c>
      <c r="DK28" s="136">
        <v>432.56244218316402</v>
      </c>
      <c r="DL28" t="s">
        <v>168</v>
      </c>
      <c r="DM28" s="136">
        <v>12.3589269195217</v>
      </c>
      <c r="DN28" t="s">
        <v>169</v>
      </c>
      <c r="DO28">
        <v>38.700000000000003</v>
      </c>
      <c r="DP28" t="s">
        <v>299</v>
      </c>
      <c r="DQ28">
        <v>0.2</v>
      </c>
      <c r="DR28" t="s">
        <v>300</v>
      </c>
      <c r="DS28" t="s">
        <v>301</v>
      </c>
      <c r="DT28" t="s">
        <v>302</v>
      </c>
      <c r="DU28">
        <v>1.0271999999999999</v>
      </c>
      <c r="DV28" t="s">
        <v>170</v>
      </c>
      <c r="DW28" t="s">
        <v>170</v>
      </c>
      <c r="DX28" t="s">
        <v>177</v>
      </c>
      <c r="DY28" t="s">
        <v>170</v>
      </c>
      <c r="DZ28" t="s">
        <v>170</v>
      </c>
      <c r="EA28" t="s">
        <v>303</v>
      </c>
      <c r="EB28" t="s">
        <v>171</v>
      </c>
      <c r="EC28" t="s">
        <v>304</v>
      </c>
      <c r="ED28" t="s">
        <v>304</v>
      </c>
      <c r="EE28" t="s">
        <v>304</v>
      </c>
      <c r="EF28" t="s">
        <v>304</v>
      </c>
      <c r="EG28" t="s">
        <v>162</v>
      </c>
      <c r="EH28" t="s">
        <v>172</v>
      </c>
      <c r="EI28" t="s">
        <v>305</v>
      </c>
      <c r="EJ28" t="s">
        <v>162</v>
      </c>
      <c r="EK28" s="140">
        <v>1750</v>
      </c>
      <c r="EL28" t="s">
        <v>173</v>
      </c>
      <c r="EM28">
        <v>150</v>
      </c>
      <c r="EN28">
        <v>150</v>
      </c>
      <c r="EO28" t="s">
        <v>306</v>
      </c>
      <c r="EP28" t="s">
        <v>306</v>
      </c>
      <c r="EQ28" t="s">
        <v>306</v>
      </c>
      <c r="ER28" t="s">
        <v>306</v>
      </c>
      <c r="ES28">
        <v>7.8038870880752</v>
      </c>
      <c r="ET28" s="138" t="s">
        <v>174</v>
      </c>
      <c r="EU28" s="161">
        <v>3.4191999331242097E-2</v>
      </c>
      <c r="EV28" s="161">
        <v>3.4191999331242097E-2</v>
      </c>
      <c r="EW28" s="142">
        <v>662.97700335187005</v>
      </c>
      <c r="EX28" s="138">
        <v>0</v>
      </c>
      <c r="EY28" s="138" t="s">
        <v>308</v>
      </c>
      <c r="EZ28" s="142">
        <v>662.97700335187005</v>
      </c>
      <c r="FA28" s="142">
        <v>117.62401249838592</v>
      </c>
      <c r="FB28" s="142">
        <v>109.11521495419606</v>
      </c>
      <c r="FC28" s="164" t="s">
        <v>309</v>
      </c>
      <c r="FD28" t="s">
        <v>310</v>
      </c>
      <c r="FE28" t="s">
        <v>175</v>
      </c>
      <c r="FF28" t="s">
        <v>175</v>
      </c>
      <c r="FG28" t="s">
        <v>175</v>
      </c>
      <c r="FH28">
        <v>1858.3286739652101</v>
      </c>
      <c r="FI28">
        <v>185.41077480738099</v>
      </c>
      <c r="FJ28">
        <v>208.075567116505</v>
      </c>
      <c r="FK28">
        <v>6.7103071798592602</v>
      </c>
      <c r="FL28">
        <v>0.89272009079304804</v>
      </c>
      <c r="FM28">
        <v>0.83767681739496203</v>
      </c>
      <c r="FN28">
        <v>4.2742865727607304</v>
      </c>
      <c r="FO28">
        <v>0.58513219569282204</v>
      </c>
      <c r="FP28">
        <v>0.53834346297588498</v>
      </c>
      <c r="FQ28" t="s">
        <v>317</v>
      </c>
    </row>
    <row r="29" spans="1:173">
      <c r="A29" s="128" t="s">
        <v>152</v>
      </c>
      <c r="B29" t="s">
        <v>156</v>
      </c>
      <c r="C29">
        <v>2020</v>
      </c>
      <c r="D29" t="s">
        <v>194</v>
      </c>
      <c r="E29" s="142">
        <v>40920.524597167969</v>
      </c>
      <c r="F29">
        <v>1.35</v>
      </c>
      <c r="G29">
        <v>1.35</v>
      </c>
      <c r="H29" s="132">
        <v>656.90966022804798</v>
      </c>
      <c r="I29" s="132">
        <v>119.98855447511198</v>
      </c>
      <c r="J29" s="132">
        <v>104.10738772461195</v>
      </c>
      <c r="K29" t="s">
        <v>157</v>
      </c>
      <c r="L29" s="133" t="s">
        <v>158</v>
      </c>
      <c r="M29" s="134" t="s">
        <v>195</v>
      </c>
      <c r="N29" t="s">
        <v>194</v>
      </c>
      <c r="O29" t="s">
        <v>198</v>
      </c>
      <c r="P29" t="s">
        <v>201</v>
      </c>
      <c r="Q29">
        <v>5</v>
      </c>
      <c r="R29">
        <v>3</v>
      </c>
      <c r="S29">
        <v>25</v>
      </c>
      <c r="T29">
        <v>27</v>
      </c>
      <c r="U29">
        <v>35.06</v>
      </c>
      <c r="V29">
        <v>38.270000457763672</v>
      </c>
      <c r="W29" t="s">
        <v>217</v>
      </c>
      <c r="X29" t="s">
        <v>206</v>
      </c>
      <c r="Y29" s="147">
        <v>18.4404</v>
      </c>
      <c r="Z29" s="147">
        <v>-179.55500000000001</v>
      </c>
      <c r="AA29" s="147">
        <v>11.3</v>
      </c>
      <c r="AB29" s="135" t="s">
        <v>162</v>
      </c>
      <c r="AC29" s="135">
        <v>-1518</v>
      </c>
      <c r="AD29" s="135">
        <v>-1400</v>
      </c>
      <c r="AE29" t="s">
        <v>211</v>
      </c>
      <c r="AF29" t="s">
        <v>160</v>
      </c>
      <c r="AG29" s="142">
        <v>40920.524597167969</v>
      </c>
      <c r="AH29" s="148" t="s">
        <v>215</v>
      </c>
      <c r="AI29">
        <v>1.35</v>
      </c>
      <c r="AJ29">
        <v>1.35</v>
      </c>
      <c r="AK29" t="s">
        <v>214</v>
      </c>
      <c r="AL29" t="s">
        <v>216</v>
      </c>
      <c r="AM29" t="s">
        <v>218</v>
      </c>
      <c r="AN29" t="s">
        <v>162</v>
      </c>
      <c r="AO29" t="s">
        <v>162</v>
      </c>
      <c r="AP29" t="s">
        <v>162</v>
      </c>
      <c r="AQ29" t="s">
        <v>162</v>
      </c>
      <c r="AR29" t="s">
        <v>162</v>
      </c>
      <c r="AS29" t="s">
        <v>162</v>
      </c>
      <c r="AT29" t="s">
        <v>162</v>
      </c>
      <c r="AU29" t="s">
        <v>226</v>
      </c>
      <c r="AV29" t="s">
        <v>230</v>
      </c>
      <c r="AW29" s="167" t="s">
        <v>231</v>
      </c>
      <c r="AX29" s="166" t="s">
        <v>321</v>
      </c>
      <c r="AY29" s="148" t="s">
        <v>232</v>
      </c>
      <c r="AZ29" t="s">
        <v>163</v>
      </c>
      <c r="BA29" t="s">
        <v>164</v>
      </c>
      <c r="BB29" t="s">
        <v>240</v>
      </c>
      <c r="BC29">
        <v>2</v>
      </c>
      <c r="BD29" s="137">
        <v>0.23823731638247381</v>
      </c>
      <c r="BE29" s="145">
        <v>15.0520442263749</v>
      </c>
      <c r="BF29" t="s">
        <v>233</v>
      </c>
      <c r="BG29">
        <v>0.24969107500548901</v>
      </c>
      <c r="BH29">
        <v>0.88</v>
      </c>
      <c r="BI29" t="s">
        <v>278</v>
      </c>
      <c r="BJ29" t="s">
        <v>278</v>
      </c>
      <c r="BK29" s="2">
        <v>1.85</v>
      </c>
      <c r="BL29" t="s">
        <v>278</v>
      </c>
      <c r="BM29" t="s">
        <v>278</v>
      </c>
      <c r="BN29" t="s">
        <v>279</v>
      </c>
      <c r="BO29" t="s">
        <v>280</v>
      </c>
      <c r="BP29" s="158">
        <v>15.1264090909091</v>
      </c>
      <c r="BQ29" t="s">
        <v>287</v>
      </c>
      <c r="BR29" s="160" t="s">
        <v>288</v>
      </c>
      <c r="BS29" t="s">
        <v>286</v>
      </c>
      <c r="BT29" t="s">
        <v>289</v>
      </c>
      <c r="BU29">
        <v>25</v>
      </c>
      <c r="BV29" t="s">
        <v>165</v>
      </c>
      <c r="BW29" t="s">
        <v>165</v>
      </c>
      <c r="BX29" s="145">
        <v>31.766824925017598</v>
      </c>
      <c r="BY29" t="s">
        <v>290</v>
      </c>
      <c r="BZ29" s="137">
        <v>0.63590361888331204</v>
      </c>
      <c r="CA29" s="137">
        <v>0.66968527832372604</v>
      </c>
      <c r="CB29" t="s">
        <v>291</v>
      </c>
      <c r="CC29">
        <v>3.9754866910525402</v>
      </c>
      <c r="CD29" t="s">
        <v>292</v>
      </c>
      <c r="CE29">
        <v>0.1192646007315762</v>
      </c>
      <c r="CF29">
        <v>0.1192646007315762</v>
      </c>
      <c r="CG29" t="s">
        <v>295</v>
      </c>
      <c r="CH29" t="s">
        <v>162</v>
      </c>
      <c r="CI29" t="s">
        <v>293</v>
      </c>
      <c r="CJ29" t="s">
        <v>296</v>
      </c>
      <c r="CK29" t="s">
        <v>165</v>
      </c>
      <c r="CL29" t="s">
        <v>165</v>
      </c>
      <c r="CM29" t="s">
        <v>294</v>
      </c>
      <c r="CN29" t="s">
        <v>162</v>
      </c>
      <c r="CO29" t="s">
        <v>162</v>
      </c>
      <c r="CP29" t="s">
        <v>162</v>
      </c>
      <c r="CQ29" t="s">
        <v>162</v>
      </c>
      <c r="CR29" t="s">
        <v>162</v>
      </c>
      <c r="CS29" t="s">
        <v>162</v>
      </c>
      <c r="CT29" t="s">
        <v>162</v>
      </c>
      <c r="CU29" s="139">
        <v>35</v>
      </c>
      <c r="CV29" t="s">
        <v>161</v>
      </c>
      <c r="CW29">
        <v>1</v>
      </c>
      <c r="CX29" t="s">
        <v>297</v>
      </c>
      <c r="CY29">
        <v>17</v>
      </c>
      <c r="CZ29" t="s">
        <v>170</v>
      </c>
      <c r="DA29" t="s">
        <v>170</v>
      </c>
      <c r="DB29" t="s">
        <v>298</v>
      </c>
      <c r="DC29">
        <v>38</v>
      </c>
      <c r="DD29" t="s">
        <v>170</v>
      </c>
      <c r="DE29" t="s">
        <v>170</v>
      </c>
      <c r="DF29" t="s">
        <v>298</v>
      </c>
      <c r="DG29" t="s">
        <v>166</v>
      </c>
      <c r="DH29" t="s">
        <v>167</v>
      </c>
      <c r="DI29" t="s">
        <v>167</v>
      </c>
      <c r="DJ29" t="s">
        <v>167</v>
      </c>
      <c r="DK29" s="136">
        <v>432.56244218316402</v>
      </c>
      <c r="DL29" t="s">
        <v>168</v>
      </c>
      <c r="DM29" s="136">
        <v>12.358926919521799</v>
      </c>
      <c r="DN29" t="s">
        <v>169</v>
      </c>
      <c r="DO29">
        <v>38.700000000000003</v>
      </c>
      <c r="DP29" t="s">
        <v>299</v>
      </c>
      <c r="DQ29">
        <v>0.2</v>
      </c>
      <c r="DR29" t="s">
        <v>300</v>
      </c>
      <c r="DS29" t="s">
        <v>301</v>
      </c>
      <c r="DT29" t="s">
        <v>302</v>
      </c>
      <c r="DU29">
        <v>1.0271999999999999</v>
      </c>
      <c r="DV29" t="s">
        <v>170</v>
      </c>
      <c r="DW29" t="s">
        <v>170</v>
      </c>
      <c r="DX29" t="s">
        <v>177</v>
      </c>
      <c r="DY29" t="s">
        <v>170</v>
      </c>
      <c r="DZ29" t="s">
        <v>170</v>
      </c>
      <c r="EA29" t="s">
        <v>303</v>
      </c>
      <c r="EB29" t="s">
        <v>171</v>
      </c>
      <c r="EC29" t="s">
        <v>304</v>
      </c>
      <c r="ED29" t="s">
        <v>304</v>
      </c>
      <c r="EE29" t="s">
        <v>304</v>
      </c>
      <c r="EF29" t="s">
        <v>304</v>
      </c>
      <c r="EG29" t="s">
        <v>162</v>
      </c>
      <c r="EH29" t="s">
        <v>172</v>
      </c>
      <c r="EI29" t="s">
        <v>305</v>
      </c>
      <c r="EJ29" t="s">
        <v>162</v>
      </c>
      <c r="EK29" s="140">
        <v>1750</v>
      </c>
      <c r="EL29" t="s">
        <v>173</v>
      </c>
      <c r="EM29">
        <v>150</v>
      </c>
      <c r="EN29">
        <v>150</v>
      </c>
      <c r="EO29" t="s">
        <v>306</v>
      </c>
      <c r="EP29" t="s">
        <v>306</v>
      </c>
      <c r="EQ29" t="s">
        <v>306</v>
      </c>
      <c r="ER29" t="s">
        <v>306</v>
      </c>
      <c r="ES29">
        <v>7.8392167055636204</v>
      </c>
      <c r="ET29" s="138" t="s">
        <v>174</v>
      </c>
      <c r="EU29" s="161">
        <v>3.2469185242414399E-2</v>
      </c>
      <c r="EV29" s="161">
        <v>3.2469185242414399E-2</v>
      </c>
      <c r="EW29" s="142">
        <v>656.90966022804798</v>
      </c>
      <c r="EX29" s="138">
        <v>0</v>
      </c>
      <c r="EY29" s="138" t="s">
        <v>308</v>
      </c>
      <c r="EZ29" s="142">
        <v>656.90966022804798</v>
      </c>
      <c r="FA29" s="142">
        <v>119.98855447511198</v>
      </c>
      <c r="FB29" s="142">
        <v>104.10738772461195</v>
      </c>
      <c r="FC29" s="164" t="s">
        <v>309</v>
      </c>
      <c r="FD29" t="s">
        <v>310</v>
      </c>
      <c r="FE29" t="s">
        <v>175</v>
      </c>
      <c r="FF29" t="s">
        <v>175</v>
      </c>
      <c r="FG29" t="s">
        <v>175</v>
      </c>
      <c r="FH29">
        <v>1847.74784515123</v>
      </c>
      <c r="FI29">
        <v>193.35820487665001</v>
      </c>
      <c r="FJ29">
        <v>194.122127046055</v>
      </c>
      <c r="FK29">
        <v>6.4434821570671801</v>
      </c>
      <c r="FL29">
        <v>0.81824218228992596</v>
      </c>
      <c r="FM29">
        <v>0.77345212659336704</v>
      </c>
      <c r="FN29">
        <v>4.0913464743252401</v>
      </c>
      <c r="FO29">
        <v>0.53224227902153198</v>
      </c>
      <c r="FP29">
        <v>0.48940782030126401</v>
      </c>
      <c r="FQ29" t="s">
        <v>317</v>
      </c>
    </row>
    <row r="30" spans="1:173" s="177" customFormat="1">
      <c r="A30" s="128" t="s">
        <v>152</v>
      </c>
      <c r="B30" s="177" t="s">
        <v>156</v>
      </c>
      <c r="C30" s="177">
        <v>2020</v>
      </c>
      <c r="D30" s="177" t="s">
        <v>194</v>
      </c>
      <c r="E30" s="178">
        <v>41129.554748535156</v>
      </c>
      <c r="F30" s="177">
        <v>1.74</v>
      </c>
      <c r="G30" s="177">
        <v>1.74</v>
      </c>
      <c r="H30" s="179">
        <v>609.946192451755</v>
      </c>
      <c r="I30" s="179">
        <v>115.05907613846</v>
      </c>
      <c r="J30" s="179">
        <v>102.39759967284499</v>
      </c>
      <c r="K30" s="177" t="s">
        <v>157</v>
      </c>
      <c r="L30" s="180" t="s">
        <v>158</v>
      </c>
      <c r="M30" s="181" t="s">
        <v>195</v>
      </c>
      <c r="N30" s="177" t="s">
        <v>194</v>
      </c>
      <c r="O30" s="177" t="s">
        <v>198</v>
      </c>
      <c r="P30" s="177" t="s">
        <v>201</v>
      </c>
      <c r="Q30" s="177">
        <v>5</v>
      </c>
      <c r="R30" s="177">
        <v>4</v>
      </c>
      <c r="S30" s="177">
        <v>15</v>
      </c>
      <c r="T30" s="177">
        <v>17</v>
      </c>
      <c r="U30" s="177">
        <v>36.46</v>
      </c>
      <c r="V30" s="177">
        <v>39.669998168945312</v>
      </c>
      <c r="W30" s="177" t="s">
        <v>217</v>
      </c>
      <c r="X30" s="177" t="s">
        <v>206</v>
      </c>
      <c r="Y30" s="182">
        <v>18.4404</v>
      </c>
      <c r="Z30" s="182">
        <v>-179.55500000000001</v>
      </c>
      <c r="AA30" s="182">
        <v>11.3</v>
      </c>
      <c r="AB30" s="183" t="s">
        <v>162</v>
      </c>
      <c r="AC30" s="183">
        <v>-1518</v>
      </c>
      <c r="AD30" s="183">
        <v>-1400</v>
      </c>
      <c r="AE30" s="177" t="s">
        <v>211</v>
      </c>
      <c r="AF30" s="177" t="s">
        <v>160</v>
      </c>
      <c r="AG30" s="178">
        <v>41129.554748535156</v>
      </c>
      <c r="AH30" s="184" t="s">
        <v>215</v>
      </c>
      <c r="AI30" s="177">
        <v>1.74</v>
      </c>
      <c r="AJ30" s="177">
        <v>1.74</v>
      </c>
      <c r="AK30" s="177" t="s">
        <v>214</v>
      </c>
      <c r="AL30" s="177" t="s">
        <v>216</v>
      </c>
      <c r="AM30" s="177" t="s">
        <v>218</v>
      </c>
      <c r="AN30" s="177" t="s">
        <v>162</v>
      </c>
      <c r="AO30" s="177" t="s">
        <v>162</v>
      </c>
      <c r="AP30" s="177" t="s">
        <v>162</v>
      </c>
      <c r="AQ30" s="177" t="s">
        <v>162</v>
      </c>
      <c r="AR30" s="177" t="s">
        <v>162</v>
      </c>
      <c r="AS30" s="177" t="s">
        <v>162</v>
      </c>
      <c r="AT30" s="177" t="s">
        <v>162</v>
      </c>
      <c r="AU30" s="177" t="s">
        <v>226</v>
      </c>
      <c r="AV30" s="177" t="s">
        <v>230</v>
      </c>
      <c r="AW30" s="174">
        <v>234</v>
      </c>
      <c r="AX30" s="185">
        <v>2.504</v>
      </c>
      <c r="AY30" s="184" t="s">
        <v>232</v>
      </c>
      <c r="AZ30" s="177" t="s">
        <v>163</v>
      </c>
      <c r="BA30" s="177" t="s">
        <v>164</v>
      </c>
      <c r="BB30" s="177" t="s">
        <v>272</v>
      </c>
      <c r="BC30" s="177">
        <v>2</v>
      </c>
      <c r="BD30" s="186">
        <v>0.43503437941077999</v>
      </c>
      <c r="BE30" s="187">
        <v>15.1901142346884</v>
      </c>
      <c r="BF30" s="177" t="s">
        <v>233</v>
      </c>
      <c r="BG30" s="177">
        <v>0.24794981197117899</v>
      </c>
      <c r="BH30" s="177">
        <v>0.88</v>
      </c>
      <c r="BI30" s="177" t="s">
        <v>278</v>
      </c>
      <c r="BJ30" s="177" t="s">
        <v>278</v>
      </c>
      <c r="BK30" s="188">
        <v>1.85</v>
      </c>
      <c r="BL30" s="177" t="s">
        <v>278</v>
      </c>
      <c r="BM30" s="177" t="s">
        <v>278</v>
      </c>
      <c r="BN30" s="177" t="s">
        <v>279</v>
      </c>
      <c r="BO30" s="177" t="s">
        <v>280</v>
      </c>
      <c r="BP30" s="189">
        <v>15.283306818181799</v>
      </c>
      <c r="BQ30" s="177" t="s">
        <v>287</v>
      </c>
      <c r="BR30" s="190" t="s">
        <v>288</v>
      </c>
      <c r="BS30" s="177" t="s">
        <v>286</v>
      </c>
      <c r="BT30" s="177" t="s">
        <v>289</v>
      </c>
      <c r="BU30" s="177">
        <v>25</v>
      </c>
      <c r="BV30" s="177" t="s">
        <v>165</v>
      </c>
      <c r="BW30" s="177" t="s">
        <v>165</v>
      </c>
      <c r="BX30" s="187">
        <v>31.593645586247298</v>
      </c>
      <c r="BY30" s="177" t="s">
        <v>290</v>
      </c>
      <c r="BZ30" s="186">
        <v>0.64855656577317</v>
      </c>
      <c r="CA30" s="186">
        <v>0.62978260076749104</v>
      </c>
      <c r="CB30" s="177" t="s">
        <v>291</v>
      </c>
      <c r="CC30" s="177">
        <v>3.9316416120246598</v>
      </c>
      <c r="CD30" s="177" t="s">
        <v>292</v>
      </c>
      <c r="CE30" s="177">
        <v>0.11794924836073979</v>
      </c>
      <c r="CF30" s="177">
        <v>0.11794924836073979</v>
      </c>
      <c r="CG30" s="177" t="s">
        <v>295</v>
      </c>
      <c r="CH30" s="177" t="s">
        <v>162</v>
      </c>
      <c r="CI30" s="177" t="s">
        <v>293</v>
      </c>
      <c r="CJ30" s="177" t="s">
        <v>296</v>
      </c>
      <c r="CK30" s="177" t="s">
        <v>165</v>
      </c>
      <c r="CL30" s="177" t="s">
        <v>165</v>
      </c>
      <c r="CM30" s="177" t="s">
        <v>294</v>
      </c>
      <c r="CN30" s="177" t="s">
        <v>162</v>
      </c>
      <c r="CO30" s="177" t="s">
        <v>162</v>
      </c>
      <c r="CP30" s="177" t="s">
        <v>162</v>
      </c>
      <c r="CQ30" s="177" t="s">
        <v>162</v>
      </c>
      <c r="CR30" s="177" t="s">
        <v>162</v>
      </c>
      <c r="CS30" s="177" t="s">
        <v>162</v>
      </c>
      <c r="CT30" s="177" t="s">
        <v>162</v>
      </c>
      <c r="CU30" s="191">
        <v>35</v>
      </c>
      <c r="CV30" s="177" t="s">
        <v>161</v>
      </c>
      <c r="CW30" s="177">
        <v>1</v>
      </c>
      <c r="CX30" s="177" t="s">
        <v>297</v>
      </c>
      <c r="CY30" s="177">
        <v>17</v>
      </c>
      <c r="CZ30" s="177" t="s">
        <v>170</v>
      </c>
      <c r="DA30" s="177" t="s">
        <v>170</v>
      </c>
      <c r="DB30" s="177" t="s">
        <v>298</v>
      </c>
      <c r="DC30" s="177">
        <v>38</v>
      </c>
      <c r="DD30" s="177" t="s">
        <v>170</v>
      </c>
      <c r="DE30" s="177" t="s">
        <v>170</v>
      </c>
      <c r="DF30" s="177" t="s">
        <v>298</v>
      </c>
      <c r="DG30" s="177" t="s">
        <v>166</v>
      </c>
      <c r="DH30" s="177" t="s">
        <v>167</v>
      </c>
      <c r="DI30" s="177" t="s">
        <v>167</v>
      </c>
      <c r="DJ30" s="177" t="s">
        <v>167</v>
      </c>
      <c r="DK30" s="192">
        <v>432.56244218316402</v>
      </c>
      <c r="DL30" s="177" t="s">
        <v>168</v>
      </c>
      <c r="DM30" s="192">
        <v>12.358926919521901</v>
      </c>
      <c r="DN30" s="177" t="s">
        <v>169</v>
      </c>
      <c r="DO30" s="177">
        <v>38.700000000000003</v>
      </c>
      <c r="DP30" s="177" t="s">
        <v>299</v>
      </c>
      <c r="DQ30" s="177">
        <v>0.2</v>
      </c>
      <c r="DR30" s="177" t="s">
        <v>300</v>
      </c>
      <c r="DS30" s="177" t="s">
        <v>301</v>
      </c>
      <c r="DT30" s="177" t="s">
        <v>302</v>
      </c>
      <c r="DU30" s="177">
        <v>1.0271999999999999</v>
      </c>
      <c r="DV30" s="177" t="s">
        <v>170</v>
      </c>
      <c r="DW30" s="177" t="s">
        <v>170</v>
      </c>
      <c r="DX30" s="177" t="s">
        <v>177</v>
      </c>
      <c r="DY30" s="177" t="s">
        <v>170</v>
      </c>
      <c r="DZ30" s="177" t="s">
        <v>170</v>
      </c>
      <c r="EA30" s="177" t="s">
        <v>303</v>
      </c>
      <c r="EB30" s="177" t="s">
        <v>171</v>
      </c>
      <c r="EC30" s="177" t="s">
        <v>304</v>
      </c>
      <c r="ED30" s="177" t="s">
        <v>304</v>
      </c>
      <c r="EE30" s="177" t="s">
        <v>304</v>
      </c>
      <c r="EF30" s="177" t="s">
        <v>304</v>
      </c>
      <c r="EG30" s="177" t="s">
        <v>162</v>
      </c>
      <c r="EH30" s="177" t="s">
        <v>172</v>
      </c>
      <c r="EI30" s="177" t="s">
        <v>305</v>
      </c>
      <c r="EJ30" s="177" t="s">
        <v>162</v>
      </c>
      <c r="EK30" s="193">
        <v>1750</v>
      </c>
      <c r="EL30" s="177" t="s">
        <v>173</v>
      </c>
      <c r="EM30" s="177">
        <v>150</v>
      </c>
      <c r="EN30" s="177">
        <v>150</v>
      </c>
      <c r="EO30" s="177" t="s">
        <v>306</v>
      </c>
      <c r="EP30" s="177" t="s">
        <v>306</v>
      </c>
      <c r="EQ30" s="177" t="s">
        <v>306</v>
      </c>
      <c r="ER30" s="177" t="s">
        <v>306</v>
      </c>
      <c r="ES30" s="177">
        <v>7.85935581979723</v>
      </c>
      <c r="ET30" s="194" t="s">
        <v>174</v>
      </c>
      <c r="EU30" s="195">
        <v>3.0572852922857899E-2</v>
      </c>
      <c r="EV30" s="195">
        <v>3.0572852922857899E-2</v>
      </c>
      <c r="EW30" s="178">
        <v>609.946192451755</v>
      </c>
      <c r="EX30" s="194">
        <v>0</v>
      </c>
      <c r="EY30" s="194" t="s">
        <v>308</v>
      </c>
      <c r="EZ30" s="178">
        <v>609.946192451755</v>
      </c>
      <c r="FA30" s="178">
        <v>115.05907613846</v>
      </c>
      <c r="FB30" s="178">
        <v>102.39759967284499</v>
      </c>
      <c r="FC30" s="196" t="s">
        <v>309</v>
      </c>
      <c r="FD30" s="177" t="s">
        <v>310</v>
      </c>
      <c r="FE30" s="177" t="s">
        <v>175</v>
      </c>
      <c r="FF30" s="177" t="s">
        <v>175</v>
      </c>
      <c r="FG30" s="177" t="s">
        <v>175</v>
      </c>
      <c r="FH30" s="177">
        <v>1829.1104619012899</v>
      </c>
      <c r="FI30" s="177">
        <v>195.556332764784</v>
      </c>
      <c r="FJ30" s="177">
        <v>198.04775148040099</v>
      </c>
      <c r="FK30" s="177">
        <v>4.7572999500728601</v>
      </c>
      <c r="FL30" s="177">
        <v>0.61552223689025798</v>
      </c>
      <c r="FM30" s="177">
        <v>0.58885411927837805</v>
      </c>
      <c r="FN30" s="177">
        <v>2.9467379799686699</v>
      </c>
      <c r="FO30" s="177">
        <v>0.381668021448826</v>
      </c>
      <c r="FP30" s="177">
        <v>0.37024614946197998</v>
      </c>
      <c r="FQ30" s="177" t="s">
        <v>317</v>
      </c>
    </row>
    <row r="31" spans="1:173" s="177" customFormat="1">
      <c r="A31" s="128" t="s">
        <v>152</v>
      </c>
      <c r="B31" s="177" t="s">
        <v>156</v>
      </c>
      <c r="C31" s="177">
        <v>2020</v>
      </c>
      <c r="D31" s="177" t="s">
        <v>194</v>
      </c>
      <c r="E31" s="178">
        <v>41529.5</v>
      </c>
      <c r="F31" s="177">
        <v>5.71</v>
      </c>
      <c r="G31" s="177">
        <v>5.71</v>
      </c>
      <c r="H31" s="179">
        <v>673.90985231057402</v>
      </c>
      <c r="I31" s="179">
        <v>122.81723010942403</v>
      </c>
      <c r="J31" s="179">
        <v>114.55720814461802</v>
      </c>
      <c r="K31" s="177" t="s">
        <v>157</v>
      </c>
      <c r="L31" s="180" t="s">
        <v>158</v>
      </c>
      <c r="M31" s="181" t="s">
        <v>239</v>
      </c>
      <c r="N31" s="177" t="s">
        <v>194</v>
      </c>
      <c r="O31" s="177" t="s">
        <v>198</v>
      </c>
      <c r="P31" s="177" t="s">
        <v>201</v>
      </c>
      <c r="Q31" s="177">
        <v>5</v>
      </c>
      <c r="R31" s="177">
        <v>5</v>
      </c>
      <c r="S31" s="177">
        <v>107</v>
      </c>
      <c r="T31" s="177">
        <v>116</v>
      </c>
      <c r="U31" s="177">
        <v>38.914999999999999</v>
      </c>
      <c r="V31" s="197">
        <v>42.134999999999998</v>
      </c>
      <c r="W31" s="177" t="s">
        <v>217</v>
      </c>
      <c r="X31" s="177" t="s">
        <v>206</v>
      </c>
      <c r="Y31" s="182">
        <v>18.4404</v>
      </c>
      <c r="Z31" s="182">
        <v>-179.55500000000001</v>
      </c>
      <c r="AA31" s="182">
        <v>11.3</v>
      </c>
      <c r="AB31" s="183" t="s">
        <v>162</v>
      </c>
      <c r="AC31" s="183">
        <v>-1518</v>
      </c>
      <c r="AD31" s="183">
        <v>-1400</v>
      </c>
      <c r="AE31" s="177" t="s">
        <v>211</v>
      </c>
      <c r="AF31" s="177" t="s">
        <v>160</v>
      </c>
      <c r="AG31" s="178">
        <v>41529.5</v>
      </c>
      <c r="AH31" s="184" t="s">
        <v>215</v>
      </c>
      <c r="AI31" s="177">
        <v>5.71</v>
      </c>
      <c r="AJ31" s="177">
        <v>5.71</v>
      </c>
      <c r="AK31" s="177" t="s">
        <v>214</v>
      </c>
      <c r="AL31" s="177" t="s">
        <v>216</v>
      </c>
      <c r="AM31" s="177" t="s">
        <v>218</v>
      </c>
      <c r="AN31" s="177" t="s">
        <v>162</v>
      </c>
      <c r="AO31" s="177" t="s">
        <v>162</v>
      </c>
      <c r="AP31" s="177" t="s">
        <v>162</v>
      </c>
      <c r="AQ31" s="177" t="s">
        <v>162</v>
      </c>
      <c r="AR31" s="177" t="s">
        <v>162</v>
      </c>
      <c r="AS31" s="177" t="s">
        <v>162</v>
      </c>
      <c r="AT31" s="177" t="s">
        <v>162</v>
      </c>
      <c r="AU31" s="177" t="s">
        <v>225</v>
      </c>
      <c r="AV31" s="177" t="s">
        <v>230</v>
      </c>
      <c r="AW31" s="174" t="s">
        <v>231</v>
      </c>
      <c r="AX31" s="198" t="s">
        <v>321</v>
      </c>
      <c r="AY31" s="184" t="s">
        <v>232</v>
      </c>
      <c r="AZ31" s="177" t="s">
        <v>163</v>
      </c>
      <c r="BA31" s="177" t="s">
        <v>164</v>
      </c>
      <c r="BB31" s="177" t="s">
        <v>231</v>
      </c>
      <c r="BC31" s="177">
        <v>2</v>
      </c>
      <c r="BD31" s="186" t="s">
        <v>231</v>
      </c>
      <c r="BE31" s="187">
        <v>15.35</v>
      </c>
      <c r="BF31" s="177" t="s">
        <v>233</v>
      </c>
      <c r="BG31" s="177">
        <v>0.26</v>
      </c>
      <c r="BH31" s="177">
        <v>0.88</v>
      </c>
      <c r="BI31" s="177" t="s">
        <v>278</v>
      </c>
      <c r="BJ31" s="177" t="s">
        <v>278</v>
      </c>
      <c r="BK31" s="188">
        <v>1.85</v>
      </c>
      <c r="BL31" s="177" t="s">
        <v>278</v>
      </c>
      <c r="BM31" s="177" t="s">
        <v>278</v>
      </c>
      <c r="BN31" s="177" t="s">
        <v>279</v>
      </c>
      <c r="BO31" s="177" t="s">
        <v>280</v>
      </c>
      <c r="BP31" s="189">
        <v>15.465</v>
      </c>
      <c r="BQ31" s="177" t="s">
        <v>287</v>
      </c>
      <c r="BR31" s="190" t="s">
        <v>288</v>
      </c>
      <c r="BS31" s="177" t="s">
        <v>286</v>
      </c>
      <c r="BT31" s="177" t="s">
        <v>289</v>
      </c>
      <c r="BU31" s="177">
        <v>25</v>
      </c>
      <c r="BV31" s="177" t="s">
        <v>165</v>
      </c>
      <c r="BW31" s="177" t="s">
        <v>165</v>
      </c>
      <c r="BX31" s="187">
        <v>34.297509989751603</v>
      </c>
      <c r="BY31" s="177" t="s">
        <v>290</v>
      </c>
      <c r="BZ31" s="186">
        <v>0.530392975267723</v>
      </c>
      <c r="CA31" s="186">
        <v>0.65032620370406802</v>
      </c>
      <c r="CB31" s="177" t="s">
        <v>291</v>
      </c>
      <c r="CC31" s="177">
        <v>4.5999999999999996</v>
      </c>
      <c r="CD31" s="177" t="s">
        <v>292</v>
      </c>
      <c r="CE31" s="177">
        <v>0.13799999999999998</v>
      </c>
      <c r="CF31" s="177">
        <v>0.13799999999999998</v>
      </c>
      <c r="CG31" s="177" t="s">
        <v>295</v>
      </c>
      <c r="CH31" s="177" t="s">
        <v>162</v>
      </c>
      <c r="CI31" s="177" t="s">
        <v>293</v>
      </c>
      <c r="CJ31" s="177" t="s">
        <v>296</v>
      </c>
      <c r="CK31" s="177" t="s">
        <v>165</v>
      </c>
      <c r="CL31" s="177" t="s">
        <v>165</v>
      </c>
      <c r="CM31" s="177" t="s">
        <v>294</v>
      </c>
      <c r="CN31" s="177" t="s">
        <v>162</v>
      </c>
      <c r="CO31" s="177" t="s">
        <v>162</v>
      </c>
      <c r="CP31" s="177" t="s">
        <v>162</v>
      </c>
      <c r="CQ31" s="177" t="s">
        <v>162</v>
      </c>
      <c r="CR31" s="177" t="s">
        <v>162</v>
      </c>
      <c r="CS31" s="177" t="s">
        <v>162</v>
      </c>
      <c r="CT31" s="177" t="s">
        <v>162</v>
      </c>
      <c r="CU31" s="191">
        <v>35</v>
      </c>
      <c r="CV31" s="177" t="s">
        <v>161</v>
      </c>
      <c r="CW31" s="177">
        <v>1</v>
      </c>
      <c r="CX31" s="177" t="s">
        <v>297</v>
      </c>
      <c r="CY31" s="177">
        <v>17</v>
      </c>
      <c r="CZ31" s="177" t="s">
        <v>170</v>
      </c>
      <c r="DA31" s="177" t="s">
        <v>170</v>
      </c>
      <c r="DB31" s="177" t="s">
        <v>298</v>
      </c>
      <c r="DC31" s="177">
        <v>38</v>
      </c>
      <c r="DD31" s="177" t="s">
        <v>170</v>
      </c>
      <c r="DE31" s="177" t="s">
        <v>170</v>
      </c>
      <c r="DF31" s="177" t="s">
        <v>298</v>
      </c>
      <c r="DG31" s="177" t="s">
        <v>166</v>
      </c>
      <c r="DH31" s="177" t="s">
        <v>167</v>
      </c>
      <c r="DI31" s="177" t="s">
        <v>167</v>
      </c>
      <c r="DJ31" s="177" t="s">
        <v>167</v>
      </c>
      <c r="DK31" s="192">
        <v>432.56244218316402</v>
      </c>
      <c r="DL31" s="177" t="s">
        <v>168</v>
      </c>
      <c r="DM31" s="192">
        <v>12.358926919522</v>
      </c>
      <c r="DN31" s="177" t="s">
        <v>169</v>
      </c>
      <c r="DO31" s="177">
        <v>38.700000000000003</v>
      </c>
      <c r="DP31" s="177" t="s">
        <v>299</v>
      </c>
      <c r="DQ31" s="177">
        <v>0.2</v>
      </c>
      <c r="DR31" s="177" t="s">
        <v>300</v>
      </c>
      <c r="DS31" s="177" t="s">
        <v>301</v>
      </c>
      <c r="DT31" s="177" t="s">
        <v>302</v>
      </c>
      <c r="DU31" s="177">
        <v>1.0271999999999999</v>
      </c>
      <c r="DV31" s="177" t="s">
        <v>170</v>
      </c>
      <c r="DW31" s="177" t="s">
        <v>170</v>
      </c>
      <c r="DX31" s="177" t="s">
        <v>177</v>
      </c>
      <c r="DY31" s="177" t="s">
        <v>170</v>
      </c>
      <c r="DZ31" s="177" t="s">
        <v>170</v>
      </c>
      <c r="EA31" s="177" t="s">
        <v>303</v>
      </c>
      <c r="EB31" s="177" t="s">
        <v>171</v>
      </c>
      <c r="EC31" s="177" t="s">
        <v>304</v>
      </c>
      <c r="ED31" s="177" t="s">
        <v>304</v>
      </c>
      <c r="EE31" s="177" t="s">
        <v>304</v>
      </c>
      <c r="EF31" s="177" t="s">
        <v>304</v>
      </c>
      <c r="EG31" s="177" t="s">
        <v>162</v>
      </c>
      <c r="EH31" s="177" t="s">
        <v>172</v>
      </c>
      <c r="EI31" s="177" t="s">
        <v>305</v>
      </c>
      <c r="EJ31" s="177" t="s">
        <v>162</v>
      </c>
      <c r="EK31" s="193">
        <v>1750</v>
      </c>
      <c r="EL31" s="177" t="s">
        <v>173</v>
      </c>
      <c r="EM31" s="177">
        <v>150</v>
      </c>
      <c r="EN31" s="177">
        <v>150</v>
      </c>
      <c r="EO31" s="177" t="s">
        <v>306</v>
      </c>
      <c r="EP31" s="177" t="s">
        <v>306</v>
      </c>
      <c r="EQ31" s="177" t="s">
        <v>306</v>
      </c>
      <c r="ER31" s="177" t="s">
        <v>306</v>
      </c>
      <c r="ES31" s="177">
        <v>7.8523752058387499</v>
      </c>
      <c r="ET31" s="194" t="s">
        <v>174</v>
      </c>
      <c r="EU31" s="195">
        <v>2.96185005371234E-2</v>
      </c>
      <c r="EV31" s="195">
        <v>2.96185005371234E-2</v>
      </c>
      <c r="EW31" s="178">
        <v>673.90985231057402</v>
      </c>
      <c r="EX31" s="194">
        <v>0</v>
      </c>
      <c r="EY31" s="194" t="s">
        <v>308</v>
      </c>
      <c r="EZ31" s="178">
        <v>673.90985231057402</v>
      </c>
      <c r="FA31" s="178">
        <v>122.81723010942403</v>
      </c>
      <c r="FB31" s="178">
        <v>114.55720814461802</v>
      </c>
      <c r="FC31" s="196" t="s">
        <v>309</v>
      </c>
      <c r="FD31" s="177" t="s">
        <v>310</v>
      </c>
      <c r="FE31" s="177" t="s">
        <v>175</v>
      </c>
      <c r="FF31" s="177" t="s">
        <v>175</v>
      </c>
      <c r="FG31" s="177" t="s">
        <v>175</v>
      </c>
      <c r="FH31" s="177">
        <v>1849.5453596407599</v>
      </c>
      <c r="FI31" s="177">
        <v>204.087964322332</v>
      </c>
      <c r="FJ31" s="177">
        <v>196.533461378368</v>
      </c>
      <c r="FK31" s="177">
        <v>6.5538141298131602</v>
      </c>
      <c r="FL31" s="177">
        <v>0.86271640563014396</v>
      </c>
      <c r="FM31" s="177">
        <v>0.77331252779257598</v>
      </c>
      <c r="FN31" s="177">
        <v>4.1762294177883499</v>
      </c>
      <c r="FO31" s="177">
        <v>0.55587641163405399</v>
      </c>
      <c r="FP31" s="177">
        <v>0.49577457892862598</v>
      </c>
      <c r="FQ31" s="177" t="s">
        <v>318</v>
      </c>
    </row>
    <row r="32" spans="1:173" s="150" customFormat="1">
      <c r="A32" s="150" t="s">
        <v>152</v>
      </c>
      <c r="B32" s="150" t="s">
        <v>156</v>
      </c>
      <c r="C32" s="150">
        <v>2020</v>
      </c>
      <c r="D32" s="150" t="s">
        <v>194</v>
      </c>
      <c r="E32" s="178">
        <v>39918.621063232422</v>
      </c>
      <c r="F32" s="150">
        <v>1</v>
      </c>
      <c r="G32" s="150">
        <v>1</v>
      </c>
      <c r="H32" s="179">
        <v>668.54906482210902</v>
      </c>
      <c r="I32" s="179">
        <v>126.98333072331195</v>
      </c>
      <c r="J32" s="179">
        <v>108.41847954166997</v>
      </c>
      <c r="K32" s="150" t="s">
        <v>157</v>
      </c>
      <c r="L32" s="199" t="s">
        <v>158</v>
      </c>
      <c r="M32" s="200" t="s">
        <v>195</v>
      </c>
      <c r="N32" s="150" t="s">
        <v>194</v>
      </c>
      <c r="O32" s="150" t="s">
        <v>199</v>
      </c>
      <c r="P32" s="150" t="s">
        <v>200</v>
      </c>
      <c r="Q32" s="150">
        <v>8</v>
      </c>
      <c r="R32" s="150">
        <v>3</v>
      </c>
      <c r="S32" s="150">
        <v>2</v>
      </c>
      <c r="T32" s="150">
        <v>4</v>
      </c>
      <c r="U32" s="150">
        <v>66.33</v>
      </c>
      <c r="V32" s="128" t="s">
        <v>162</v>
      </c>
      <c r="W32" s="150" t="s">
        <v>205</v>
      </c>
      <c r="X32" s="150" t="s">
        <v>207</v>
      </c>
      <c r="Y32" s="201">
        <v>-50.945999999999998</v>
      </c>
      <c r="Z32" s="201">
        <v>-26.368600000000001</v>
      </c>
      <c r="AA32" s="201">
        <v>-57.4</v>
      </c>
      <c r="AB32" s="202" t="s">
        <v>162</v>
      </c>
      <c r="AC32" s="202">
        <v>-3083.4</v>
      </c>
      <c r="AD32" s="201">
        <v>-2250</v>
      </c>
      <c r="AE32" s="150" t="s">
        <v>212</v>
      </c>
      <c r="AF32" s="150" t="s">
        <v>160</v>
      </c>
      <c r="AG32" s="178">
        <v>39918.621063232422</v>
      </c>
      <c r="AH32" s="203" t="s">
        <v>215</v>
      </c>
      <c r="AI32" s="150">
        <v>1</v>
      </c>
      <c r="AJ32" s="150">
        <v>1</v>
      </c>
      <c r="AK32" s="150" t="s">
        <v>214</v>
      </c>
      <c r="AL32" s="150" t="s">
        <v>216</v>
      </c>
      <c r="AM32" s="204" t="s">
        <v>219</v>
      </c>
      <c r="AN32" s="150">
        <v>39.743250000000003</v>
      </c>
      <c r="AO32" s="150" t="s">
        <v>162</v>
      </c>
      <c r="AP32" s="150" t="s">
        <v>162</v>
      </c>
      <c r="AQ32" s="150" t="s">
        <v>162</v>
      </c>
      <c r="AR32" s="150" t="s">
        <v>214</v>
      </c>
      <c r="AS32" s="150" t="s">
        <v>224</v>
      </c>
      <c r="AT32" s="150" t="s">
        <v>223</v>
      </c>
      <c r="AU32" s="150" t="s">
        <v>228</v>
      </c>
      <c r="AV32" s="150" t="s">
        <v>230</v>
      </c>
      <c r="AW32" s="174">
        <v>274</v>
      </c>
      <c r="AX32" s="175">
        <v>3.8380000000000001</v>
      </c>
      <c r="AY32" s="203" t="s">
        <v>232</v>
      </c>
      <c r="AZ32" s="150" t="s">
        <v>163</v>
      </c>
      <c r="BA32" s="150" t="s">
        <v>164</v>
      </c>
      <c r="BB32" s="150" t="s">
        <v>259</v>
      </c>
      <c r="BC32" s="150">
        <v>2</v>
      </c>
      <c r="BD32" s="205">
        <v>3.4908474807378909E-2</v>
      </c>
      <c r="BE32" s="206">
        <v>11.927265982652001</v>
      </c>
      <c r="BF32" s="150" t="s">
        <v>233</v>
      </c>
      <c r="BG32" s="150">
        <v>0.232330287727259</v>
      </c>
      <c r="BH32" s="150">
        <v>1.02</v>
      </c>
      <c r="BI32" s="150" t="s">
        <v>281</v>
      </c>
      <c r="BJ32" s="150">
        <v>0.5</v>
      </c>
      <c r="BK32" s="150">
        <v>-2.4900000000000002</v>
      </c>
      <c r="BL32" s="150" t="s">
        <v>282</v>
      </c>
      <c r="BM32" s="150">
        <v>9.01</v>
      </c>
      <c r="BN32" s="150" t="s">
        <v>283</v>
      </c>
      <c r="BO32" s="150" t="s">
        <v>284</v>
      </c>
      <c r="BP32" s="207">
        <v>14.1167352941176</v>
      </c>
      <c r="BQ32" s="177" t="s">
        <v>287</v>
      </c>
      <c r="BR32" s="190" t="s">
        <v>288</v>
      </c>
      <c r="BS32" s="177" t="s">
        <v>286</v>
      </c>
      <c r="BT32" s="177" t="s">
        <v>289</v>
      </c>
      <c r="BU32" s="177">
        <v>25</v>
      </c>
      <c r="BV32" s="177" t="s">
        <v>165</v>
      </c>
      <c r="BW32" s="177" t="s">
        <v>165</v>
      </c>
      <c r="BX32" s="187">
        <v>21.0341736480012</v>
      </c>
      <c r="BY32" s="177" t="s">
        <v>290</v>
      </c>
      <c r="BZ32" s="186">
        <v>0.62887433206695698</v>
      </c>
      <c r="CA32" s="186">
        <v>0.67325846422166102</v>
      </c>
      <c r="CB32" s="177" t="s">
        <v>291</v>
      </c>
      <c r="CC32" s="177">
        <v>2.2155431832969099</v>
      </c>
      <c r="CD32" s="177" t="s">
        <v>292</v>
      </c>
      <c r="CE32" s="150">
        <v>6.6466295498907299E-2</v>
      </c>
      <c r="CF32" s="150">
        <v>6.6466295498907299E-2</v>
      </c>
      <c r="CG32" s="177" t="s">
        <v>295</v>
      </c>
      <c r="CH32" s="177" t="s">
        <v>162</v>
      </c>
      <c r="CI32" s="177" t="s">
        <v>293</v>
      </c>
      <c r="CJ32" s="177" t="s">
        <v>296</v>
      </c>
      <c r="CK32" s="177" t="s">
        <v>165</v>
      </c>
      <c r="CL32" s="177" t="s">
        <v>165</v>
      </c>
      <c r="CM32" s="177" t="s">
        <v>294</v>
      </c>
      <c r="CN32" s="177" t="s">
        <v>162</v>
      </c>
      <c r="CO32" s="177" t="s">
        <v>162</v>
      </c>
      <c r="CP32" s="177" t="s">
        <v>162</v>
      </c>
      <c r="CQ32" s="177" t="s">
        <v>162</v>
      </c>
      <c r="CR32" s="177" t="s">
        <v>162</v>
      </c>
      <c r="CS32" s="177" t="s">
        <v>162</v>
      </c>
      <c r="CT32" s="177" t="s">
        <v>162</v>
      </c>
      <c r="CU32" s="191">
        <v>35</v>
      </c>
      <c r="CV32" s="177" t="s">
        <v>161</v>
      </c>
      <c r="CW32" s="177">
        <v>1</v>
      </c>
      <c r="CX32" s="177" t="s">
        <v>297</v>
      </c>
      <c r="CY32" s="177">
        <v>17</v>
      </c>
      <c r="CZ32" s="177" t="s">
        <v>170</v>
      </c>
      <c r="DA32" s="177" t="s">
        <v>170</v>
      </c>
      <c r="DB32" s="177" t="s">
        <v>298</v>
      </c>
      <c r="DC32" s="177">
        <v>38</v>
      </c>
      <c r="DD32" s="177" t="s">
        <v>170</v>
      </c>
      <c r="DE32" s="177" t="s">
        <v>170</v>
      </c>
      <c r="DF32" s="177" t="s">
        <v>298</v>
      </c>
      <c r="DG32" s="177" t="s">
        <v>166</v>
      </c>
      <c r="DH32" s="177" t="s">
        <v>167</v>
      </c>
      <c r="DI32" s="177" t="s">
        <v>167</v>
      </c>
      <c r="DJ32" s="177" t="s">
        <v>167</v>
      </c>
      <c r="DK32" s="192">
        <v>432.56244218316402</v>
      </c>
      <c r="DL32" s="177" t="s">
        <v>168</v>
      </c>
      <c r="DM32" s="192">
        <v>12.358926919522199</v>
      </c>
      <c r="DN32" s="177" t="s">
        <v>169</v>
      </c>
      <c r="DO32" s="177">
        <v>38.700000000000003</v>
      </c>
      <c r="DP32" s="177" t="s">
        <v>299</v>
      </c>
      <c r="DQ32" s="177">
        <v>0.2</v>
      </c>
      <c r="DR32" s="177" t="s">
        <v>300</v>
      </c>
      <c r="DS32" s="177" t="s">
        <v>301</v>
      </c>
      <c r="DT32" s="177" t="s">
        <v>302</v>
      </c>
      <c r="DU32" s="177">
        <v>1.0271999999999999</v>
      </c>
      <c r="DV32" s="177" t="s">
        <v>170</v>
      </c>
      <c r="DW32" s="177" t="s">
        <v>170</v>
      </c>
      <c r="DX32" s="177" t="s">
        <v>177</v>
      </c>
      <c r="DY32" s="177" t="s">
        <v>170</v>
      </c>
      <c r="DZ32" s="177" t="s">
        <v>170</v>
      </c>
      <c r="EA32" s="177" t="s">
        <v>303</v>
      </c>
      <c r="EB32" s="177" t="s">
        <v>171</v>
      </c>
      <c r="EC32" s="177" t="s">
        <v>304</v>
      </c>
      <c r="ED32" s="177" t="s">
        <v>304</v>
      </c>
      <c r="EE32" s="177" t="s">
        <v>304</v>
      </c>
      <c r="EF32" s="177" t="s">
        <v>304</v>
      </c>
      <c r="EG32" s="177" t="s">
        <v>162</v>
      </c>
      <c r="EH32" s="177" t="s">
        <v>172</v>
      </c>
      <c r="EI32" s="177" t="s">
        <v>305</v>
      </c>
      <c r="EJ32" s="177" t="s">
        <v>162</v>
      </c>
      <c r="EK32" s="193">
        <v>1750</v>
      </c>
      <c r="EL32" s="177" t="s">
        <v>173</v>
      </c>
      <c r="EM32" s="177">
        <v>150</v>
      </c>
      <c r="EN32" s="177">
        <v>150</v>
      </c>
      <c r="EO32" s="177" t="s">
        <v>306</v>
      </c>
      <c r="EP32" s="177" t="s">
        <v>306</v>
      </c>
      <c r="EQ32" s="177" t="s">
        <v>306</v>
      </c>
      <c r="ER32" s="177" t="s">
        <v>306</v>
      </c>
      <c r="ES32" s="150">
        <v>7.80987329779874</v>
      </c>
      <c r="ET32" s="194" t="s">
        <v>174</v>
      </c>
      <c r="EU32" s="208">
        <v>3.53208832253184E-2</v>
      </c>
      <c r="EV32" s="208">
        <v>3.53208832253184E-2</v>
      </c>
      <c r="EW32" s="209">
        <v>668.54906482210902</v>
      </c>
      <c r="EX32" s="194">
        <v>0</v>
      </c>
      <c r="EY32" s="194" t="s">
        <v>308</v>
      </c>
      <c r="EZ32" s="209">
        <v>668.54906482210902</v>
      </c>
      <c r="FA32" s="209">
        <v>126.98333072331195</v>
      </c>
      <c r="FB32" s="209">
        <v>108.41847954166997</v>
      </c>
      <c r="FC32" s="196" t="s">
        <v>309</v>
      </c>
      <c r="FD32" s="177" t="s">
        <v>310</v>
      </c>
      <c r="FE32" s="177" t="s">
        <v>175</v>
      </c>
      <c r="FF32" s="177" t="s">
        <v>175</v>
      </c>
      <c r="FG32" s="177" t="s">
        <v>175</v>
      </c>
      <c r="FH32" s="150">
        <v>1831.74081712253</v>
      </c>
      <c r="FI32" s="150">
        <v>191.81734452598701</v>
      </c>
      <c r="FJ32" s="150">
        <v>195.441385979074</v>
      </c>
      <c r="FK32" s="150">
        <v>5.14563995660414</v>
      </c>
      <c r="FL32" s="150">
        <v>0.70336803138139004</v>
      </c>
      <c r="FM32" s="150">
        <v>0.59090957932543597</v>
      </c>
      <c r="FN32" s="150">
        <v>3.2210507678475202</v>
      </c>
      <c r="FO32" s="150">
        <v>0.44222332846620099</v>
      </c>
      <c r="FP32" s="150">
        <v>0.36738903669449502</v>
      </c>
      <c r="FQ32" s="177" t="s">
        <v>317</v>
      </c>
    </row>
    <row r="33" spans="1:173" s="177" customFormat="1">
      <c r="A33" s="128" t="s">
        <v>152</v>
      </c>
      <c r="B33" s="177" t="s">
        <v>156</v>
      </c>
      <c r="C33" s="177">
        <v>2020</v>
      </c>
      <c r="D33" s="177" t="s">
        <v>194</v>
      </c>
      <c r="E33" s="178">
        <v>40089.321136474609</v>
      </c>
      <c r="F33" s="177">
        <v>1</v>
      </c>
      <c r="G33" s="177">
        <v>1</v>
      </c>
      <c r="H33" s="179">
        <v>656.75837260967103</v>
      </c>
      <c r="I33" s="179">
        <v>124.43788404792292</v>
      </c>
      <c r="J33" s="179">
        <v>108.88992461242708</v>
      </c>
      <c r="K33" s="177" t="s">
        <v>157</v>
      </c>
      <c r="L33" s="180" t="s">
        <v>158</v>
      </c>
      <c r="M33" s="181" t="s">
        <v>195</v>
      </c>
      <c r="N33" s="177" t="s">
        <v>194</v>
      </c>
      <c r="O33" s="177" t="s">
        <v>199</v>
      </c>
      <c r="P33" s="177" t="s">
        <v>200</v>
      </c>
      <c r="Q33" s="177">
        <v>8</v>
      </c>
      <c r="R33" s="177">
        <v>5</v>
      </c>
      <c r="S33" s="177">
        <v>122</v>
      </c>
      <c r="T33" s="177">
        <v>124</v>
      </c>
      <c r="U33" s="177">
        <v>70.53</v>
      </c>
      <c r="V33" s="128" t="s">
        <v>162</v>
      </c>
      <c r="W33" s="177" t="s">
        <v>205</v>
      </c>
      <c r="X33" s="177" t="s">
        <v>207</v>
      </c>
      <c r="Y33" s="182">
        <v>-50.945999999999998</v>
      </c>
      <c r="Z33" s="182">
        <v>-26.368600000000001</v>
      </c>
      <c r="AA33" s="182">
        <v>-57.4</v>
      </c>
      <c r="AB33" s="183" t="s">
        <v>162</v>
      </c>
      <c r="AC33" s="183">
        <v>-3083.4</v>
      </c>
      <c r="AD33" s="182">
        <v>-2250</v>
      </c>
      <c r="AE33" s="177" t="s">
        <v>212</v>
      </c>
      <c r="AF33" s="177" t="s">
        <v>160</v>
      </c>
      <c r="AG33" s="178">
        <v>40089.321136474609</v>
      </c>
      <c r="AH33" s="184" t="s">
        <v>215</v>
      </c>
      <c r="AI33" s="177">
        <v>1</v>
      </c>
      <c r="AJ33" s="177">
        <v>1</v>
      </c>
      <c r="AK33" s="177" t="s">
        <v>214</v>
      </c>
      <c r="AL33" s="177" t="s">
        <v>216</v>
      </c>
      <c r="AM33" s="192" t="s">
        <v>219</v>
      </c>
      <c r="AN33" s="177">
        <v>40.0466328125</v>
      </c>
      <c r="AO33" s="177" t="s">
        <v>162</v>
      </c>
      <c r="AP33" s="177" t="s">
        <v>162</v>
      </c>
      <c r="AQ33" s="177" t="s">
        <v>162</v>
      </c>
      <c r="AR33" s="177" t="s">
        <v>214</v>
      </c>
      <c r="AS33" s="177" t="s">
        <v>224</v>
      </c>
      <c r="AT33" s="177" t="s">
        <v>223</v>
      </c>
      <c r="AU33" s="177" t="s">
        <v>228</v>
      </c>
      <c r="AV33" s="177" t="s">
        <v>230</v>
      </c>
      <c r="AW33" s="174">
        <v>263</v>
      </c>
      <c r="AX33" s="174">
        <v>4.0979999999999999</v>
      </c>
      <c r="AY33" s="184" t="s">
        <v>232</v>
      </c>
      <c r="AZ33" s="177" t="s">
        <v>163</v>
      </c>
      <c r="BA33" s="177" t="s">
        <v>164</v>
      </c>
      <c r="BB33" s="177" t="s">
        <v>260</v>
      </c>
      <c r="BC33" s="177">
        <v>2</v>
      </c>
      <c r="BD33" s="186">
        <v>9.2290793112351097E-2</v>
      </c>
      <c r="BE33" s="187">
        <v>12.291064635488</v>
      </c>
      <c r="BF33" s="177" t="s">
        <v>233</v>
      </c>
      <c r="BG33" s="177">
        <v>0.240231810522294</v>
      </c>
      <c r="BH33" s="150">
        <v>1.02</v>
      </c>
      <c r="BI33" s="150" t="s">
        <v>281</v>
      </c>
      <c r="BJ33" s="150">
        <v>0.5</v>
      </c>
      <c r="BK33" s="150">
        <v>-2.4900000000000002</v>
      </c>
      <c r="BL33" s="150" t="s">
        <v>282</v>
      </c>
      <c r="BM33" s="150">
        <v>9.01</v>
      </c>
      <c r="BN33" s="150" t="s">
        <v>283</v>
      </c>
      <c r="BO33" s="150" t="s">
        <v>284</v>
      </c>
      <c r="BP33" s="189">
        <v>14.473392156862699</v>
      </c>
      <c r="BQ33" s="177" t="s">
        <v>287</v>
      </c>
      <c r="BR33" s="190" t="s">
        <v>288</v>
      </c>
      <c r="BS33" s="177" t="s">
        <v>286</v>
      </c>
      <c r="BT33" s="177" t="s">
        <v>289</v>
      </c>
      <c r="BU33" s="177">
        <v>25</v>
      </c>
      <c r="BV33" s="177" t="s">
        <v>165</v>
      </c>
      <c r="BW33" s="177" t="s">
        <v>165</v>
      </c>
      <c r="BX33" s="187">
        <v>22.756737359416199</v>
      </c>
      <c r="BY33" s="177" t="s">
        <v>290</v>
      </c>
      <c r="BZ33" s="186">
        <v>0.60402740967574797</v>
      </c>
      <c r="CA33" s="186">
        <v>0.67246050937006496</v>
      </c>
      <c r="CB33" s="177" t="s">
        <v>291</v>
      </c>
      <c r="CC33" s="177">
        <v>2.3896925586496698</v>
      </c>
      <c r="CD33" s="177" t="s">
        <v>292</v>
      </c>
      <c r="CE33" s="177">
        <v>7.1690776759490094E-2</v>
      </c>
      <c r="CF33" s="177">
        <v>7.1690776759490094E-2</v>
      </c>
      <c r="CG33" s="177" t="s">
        <v>295</v>
      </c>
      <c r="CH33" s="177" t="s">
        <v>162</v>
      </c>
      <c r="CI33" s="177" t="s">
        <v>293</v>
      </c>
      <c r="CJ33" s="177" t="s">
        <v>296</v>
      </c>
      <c r="CK33" s="177" t="s">
        <v>165</v>
      </c>
      <c r="CL33" s="177" t="s">
        <v>165</v>
      </c>
      <c r="CM33" s="177" t="s">
        <v>294</v>
      </c>
      <c r="CN33" s="177" t="s">
        <v>162</v>
      </c>
      <c r="CO33" s="177" t="s">
        <v>162</v>
      </c>
      <c r="CP33" s="177" t="s">
        <v>162</v>
      </c>
      <c r="CQ33" s="177" t="s">
        <v>162</v>
      </c>
      <c r="CR33" s="177" t="s">
        <v>162</v>
      </c>
      <c r="CS33" s="177" t="s">
        <v>162</v>
      </c>
      <c r="CT33" s="177" t="s">
        <v>162</v>
      </c>
      <c r="CU33" s="191">
        <v>35</v>
      </c>
      <c r="CV33" s="177" t="s">
        <v>161</v>
      </c>
      <c r="CW33" s="177">
        <v>1</v>
      </c>
      <c r="CX33" s="177" t="s">
        <v>297</v>
      </c>
      <c r="CY33" s="177">
        <v>17</v>
      </c>
      <c r="CZ33" s="177" t="s">
        <v>170</v>
      </c>
      <c r="DA33" s="177" t="s">
        <v>170</v>
      </c>
      <c r="DB33" s="177" t="s">
        <v>298</v>
      </c>
      <c r="DC33" s="177">
        <v>38</v>
      </c>
      <c r="DD33" s="177" t="s">
        <v>170</v>
      </c>
      <c r="DE33" s="177" t="s">
        <v>170</v>
      </c>
      <c r="DF33" s="177" t="s">
        <v>298</v>
      </c>
      <c r="DG33" s="177" t="s">
        <v>166</v>
      </c>
      <c r="DH33" s="177" t="s">
        <v>167</v>
      </c>
      <c r="DI33" s="177" t="s">
        <v>167</v>
      </c>
      <c r="DJ33" s="177" t="s">
        <v>167</v>
      </c>
      <c r="DK33" s="192">
        <v>432.56244218316402</v>
      </c>
      <c r="DL33" s="177" t="s">
        <v>168</v>
      </c>
      <c r="DM33" s="192">
        <v>12.3589269195223</v>
      </c>
      <c r="DN33" s="177" t="s">
        <v>169</v>
      </c>
      <c r="DO33" s="177">
        <v>38.700000000000003</v>
      </c>
      <c r="DP33" s="177" t="s">
        <v>299</v>
      </c>
      <c r="DQ33" s="177">
        <v>0.2</v>
      </c>
      <c r="DR33" s="177" t="s">
        <v>300</v>
      </c>
      <c r="DS33" s="177" t="s">
        <v>301</v>
      </c>
      <c r="DT33" s="177" t="s">
        <v>302</v>
      </c>
      <c r="DU33" s="177">
        <v>1.0271999999999999</v>
      </c>
      <c r="DV33" s="177" t="s">
        <v>170</v>
      </c>
      <c r="DW33" s="177" t="s">
        <v>170</v>
      </c>
      <c r="DX33" s="177" t="s">
        <v>177</v>
      </c>
      <c r="DY33" s="177" t="s">
        <v>170</v>
      </c>
      <c r="DZ33" s="177" t="s">
        <v>170</v>
      </c>
      <c r="EA33" s="177" t="s">
        <v>303</v>
      </c>
      <c r="EB33" s="177" t="s">
        <v>171</v>
      </c>
      <c r="EC33" s="177" t="s">
        <v>304</v>
      </c>
      <c r="ED33" s="177" t="s">
        <v>304</v>
      </c>
      <c r="EE33" s="177" t="s">
        <v>304</v>
      </c>
      <c r="EF33" s="177" t="s">
        <v>304</v>
      </c>
      <c r="EG33" s="177" t="s">
        <v>162</v>
      </c>
      <c r="EH33" s="177" t="s">
        <v>172</v>
      </c>
      <c r="EI33" s="177" t="s">
        <v>305</v>
      </c>
      <c r="EJ33" s="177" t="s">
        <v>162</v>
      </c>
      <c r="EK33" s="193">
        <v>1750</v>
      </c>
      <c r="EL33" s="177" t="s">
        <v>173</v>
      </c>
      <c r="EM33" s="177">
        <v>150</v>
      </c>
      <c r="EN33" s="177">
        <v>150</v>
      </c>
      <c r="EO33" s="177" t="s">
        <v>306</v>
      </c>
      <c r="EP33" s="177" t="s">
        <v>306</v>
      </c>
      <c r="EQ33" s="177" t="s">
        <v>306</v>
      </c>
      <c r="ER33" s="177" t="s">
        <v>306</v>
      </c>
      <c r="ES33" s="177">
        <v>7.8485164460028898</v>
      </c>
      <c r="ET33" s="194" t="s">
        <v>174</v>
      </c>
      <c r="EU33" s="195">
        <v>3.21846736491435E-2</v>
      </c>
      <c r="EV33" s="195">
        <v>3.21846736491435E-2</v>
      </c>
      <c r="EW33" s="178">
        <v>656.75837260967103</v>
      </c>
      <c r="EX33" s="194">
        <v>0</v>
      </c>
      <c r="EY33" s="194" t="s">
        <v>308</v>
      </c>
      <c r="EZ33" s="178">
        <v>656.75837260967103</v>
      </c>
      <c r="FA33" s="178">
        <v>124.43788404792292</v>
      </c>
      <c r="FB33" s="178">
        <v>108.88992461242708</v>
      </c>
      <c r="FC33" s="196" t="s">
        <v>309</v>
      </c>
      <c r="FD33" s="177" t="s">
        <v>310</v>
      </c>
      <c r="FE33" s="177" t="s">
        <v>175</v>
      </c>
      <c r="FF33" s="177" t="s">
        <v>175</v>
      </c>
      <c r="FG33" s="177" t="s">
        <v>175</v>
      </c>
      <c r="FH33" s="177">
        <v>1854.7200175385899</v>
      </c>
      <c r="FI33" s="177">
        <v>187.483162414129</v>
      </c>
      <c r="FJ33" s="177">
        <v>196.51110926847301</v>
      </c>
      <c r="FK33" s="177">
        <v>6.7900404909654704</v>
      </c>
      <c r="FL33" s="177">
        <v>0.87601018648368401</v>
      </c>
      <c r="FM33" s="177">
        <v>0.74906003493578199</v>
      </c>
      <c r="FN33" s="177">
        <v>4.3346040099989702</v>
      </c>
      <c r="FO33" s="177">
        <v>0.57263656954747</v>
      </c>
      <c r="FP33" s="177">
        <v>0.48138970515095297</v>
      </c>
      <c r="FQ33" s="177" t="s">
        <v>317</v>
      </c>
    </row>
    <row r="34" spans="1:173" s="177" customFormat="1">
      <c r="A34" s="128" t="s">
        <v>152</v>
      </c>
      <c r="B34" s="177" t="s">
        <v>156</v>
      </c>
      <c r="C34" s="177">
        <v>2020</v>
      </c>
      <c r="D34" s="177" t="s">
        <v>194</v>
      </c>
      <c r="E34" s="178">
        <v>40109.642028808594</v>
      </c>
      <c r="F34" s="177">
        <v>1</v>
      </c>
      <c r="G34" s="177">
        <v>1</v>
      </c>
      <c r="H34" s="179">
        <v>676.28328308192499</v>
      </c>
      <c r="I34" s="179">
        <v>125.47202924313797</v>
      </c>
      <c r="J34" s="179">
        <v>101.28536549668001</v>
      </c>
      <c r="K34" s="177" t="s">
        <v>157</v>
      </c>
      <c r="L34" s="180" t="s">
        <v>158</v>
      </c>
      <c r="M34" s="181" t="s">
        <v>195</v>
      </c>
      <c r="N34" s="177" t="s">
        <v>194</v>
      </c>
      <c r="O34" s="177" t="s">
        <v>199</v>
      </c>
      <c r="P34" s="177" t="s">
        <v>200</v>
      </c>
      <c r="Q34" s="177">
        <v>8</v>
      </c>
      <c r="R34" s="177">
        <v>6</v>
      </c>
      <c r="S34" s="177">
        <v>22</v>
      </c>
      <c r="T34" s="177">
        <v>24</v>
      </c>
      <c r="U34" s="177">
        <v>71.03</v>
      </c>
      <c r="V34" s="128" t="s">
        <v>162</v>
      </c>
      <c r="W34" s="177" t="s">
        <v>205</v>
      </c>
      <c r="X34" s="177" t="s">
        <v>207</v>
      </c>
      <c r="Y34" s="182">
        <v>-50.945999999999998</v>
      </c>
      <c r="Z34" s="182">
        <v>-26.368600000000001</v>
      </c>
      <c r="AA34" s="182">
        <v>-57.4</v>
      </c>
      <c r="AB34" s="183" t="s">
        <v>162</v>
      </c>
      <c r="AC34" s="183">
        <v>-3083.4</v>
      </c>
      <c r="AD34" s="182">
        <v>-2250</v>
      </c>
      <c r="AE34" s="177" t="s">
        <v>212</v>
      </c>
      <c r="AF34" s="177" t="s">
        <v>160</v>
      </c>
      <c r="AG34" s="178">
        <v>40109.642028808594</v>
      </c>
      <c r="AH34" s="184" t="s">
        <v>215</v>
      </c>
      <c r="AI34" s="177">
        <v>1</v>
      </c>
      <c r="AJ34" s="177">
        <v>1</v>
      </c>
      <c r="AK34" s="177" t="s">
        <v>214</v>
      </c>
      <c r="AL34" s="177" t="s">
        <v>216</v>
      </c>
      <c r="AM34" s="192" t="s">
        <v>219</v>
      </c>
      <c r="AN34" s="177">
        <v>40.085441406249998</v>
      </c>
      <c r="AO34" s="177" t="s">
        <v>162</v>
      </c>
      <c r="AP34" s="177" t="s">
        <v>162</v>
      </c>
      <c r="AQ34" s="177" t="s">
        <v>162</v>
      </c>
      <c r="AR34" s="177" t="s">
        <v>214</v>
      </c>
      <c r="AS34" s="177" t="s">
        <v>224</v>
      </c>
      <c r="AT34" s="177" t="s">
        <v>223</v>
      </c>
      <c r="AU34" s="177" t="s">
        <v>228</v>
      </c>
      <c r="AV34" s="177" t="s">
        <v>230</v>
      </c>
      <c r="AW34" s="174">
        <v>288</v>
      </c>
      <c r="AX34" s="176">
        <v>4.0170000000000003</v>
      </c>
      <c r="AY34" s="184" t="s">
        <v>232</v>
      </c>
      <c r="AZ34" s="177" t="s">
        <v>163</v>
      </c>
      <c r="BA34" s="177" t="s">
        <v>164</v>
      </c>
      <c r="BB34" s="177" t="s">
        <v>261</v>
      </c>
      <c r="BC34" s="177">
        <v>2</v>
      </c>
      <c r="BD34" s="186">
        <v>4.024324221663278E-2</v>
      </c>
      <c r="BE34" s="187">
        <v>12.2769721299899</v>
      </c>
      <c r="BF34" s="177" t="s">
        <v>233</v>
      </c>
      <c r="BG34" s="177">
        <v>0.24226091255445001</v>
      </c>
      <c r="BH34" s="150">
        <v>1.02</v>
      </c>
      <c r="BI34" s="150" t="s">
        <v>281</v>
      </c>
      <c r="BJ34" s="150">
        <v>0.5</v>
      </c>
      <c r="BK34" s="150">
        <v>-2.4900000000000002</v>
      </c>
      <c r="BL34" s="150" t="s">
        <v>282</v>
      </c>
      <c r="BM34" s="150">
        <v>9.01</v>
      </c>
      <c r="BN34" s="150" t="s">
        <v>283</v>
      </c>
      <c r="BO34" s="150" t="s">
        <v>284</v>
      </c>
      <c r="BP34" s="189">
        <v>14.459578431372501</v>
      </c>
      <c r="BQ34" s="177" t="s">
        <v>287</v>
      </c>
      <c r="BR34" s="190" t="s">
        <v>288</v>
      </c>
      <c r="BS34" s="177" t="s">
        <v>286</v>
      </c>
      <c r="BT34" s="177" t="s">
        <v>289</v>
      </c>
      <c r="BU34" s="177">
        <v>25</v>
      </c>
      <c r="BV34" s="177" t="s">
        <v>165</v>
      </c>
      <c r="BW34" s="177" t="s">
        <v>165</v>
      </c>
      <c r="BX34" s="187">
        <v>23.1325815911242</v>
      </c>
      <c r="BY34" s="177" t="s">
        <v>290</v>
      </c>
      <c r="BZ34" s="186">
        <v>0.60759202629634501</v>
      </c>
      <c r="CA34" s="186">
        <v>0.67321072183952801</v>
      </c>
      <c r="CB34" s="177" t="s">
        <v>291</v>
      </c>
      <c r="CC34" s="177">
        <v>2.4539213376582301</v>
      </c>
      <c r="CD34" s="177" t="s">
        <v>292</v>
      </c>
      <c r="CE34" s="177">
        <v>7.3617640129746906E-2</v>
      </c>
      <c r="CF34" s="177">
        <v>7.3617640129746906E-2</v>
      </c>
      <c r="CG34" s="177" t="s">
        <v>295</v>
      </c>
      <c r="CH34" s="177" t="s">
        <v>162</v>
      </c>
      <c r="CI34" s="177" t="s">
        <v>293</v>
      </c>
      <c r="CJ34" s="177" t="s">
        <v>296</v>
      </c>
      <c r="CK34" s="177" t="s">
        <v>165</v>
      </c>
      <c r="CL34" s="177" t="s">
        <v>165</v>
      </c>
      <c r="CM34" s="177" t="s">
        <v>294</v>
      </c>
      <c r="CN34" s="177" t="s">
        <v>162</v>
      </c>
      <c r="CO34" s="177" t="s">
        <v>162</v>
      </c>
      <c r="CP34" s="177" t="s">
        <v>162</v>
      </c>
      <c r="CQ34" s="177" t="s">
        <v>162</v>
      </c>
      <c r="CR34" s="177" t="s">
        <v>162</v>
      </c>
      <c r="CS34" s="177" t="s">
        <v>162</v>
      </c>
      <c r="CT34" s="177" t="s">
        <v>162</v>
      </c>
      <c r="CU34" s="191">
        <v>35</v>
      </c>
      <c r="CV34" s="177" t="s">
        <v>161</v>
      </c>
      <c r="CW34" s="177">
        <v>1</v>
      </c>
      <c r="CX34" s="177" t="s">
        <v>297</v>
      </c>
      <c r="CY34" s="177">
        <v>17</v>
      </c>
      <c r="CZ34" s="177" t="s">
        <v>170</v>
      </c>
      <c r="DA34" s="177" t="s">
        <v>170</v>
      </c>
      <c r="DB34" s="177" t="s">
        <v>298</v>
      </c>
      <c r="DC34" s="177">
        <v>38</v>
      </c>
      <c r="DD34" s="177" t="s">
        <v>170</v>
      </c>
      <c r="DE34" s="177" t="s">
        <v>170</v>
      </c>
      <c r="DF34" s="177" t="s">
        <v>298</v>
      </c>
      <c r="DG34" s="177" t="s">
        <v>166</v>
      </c>
      <c r="DH34" s="177" t="s">
        <v>167</v>
      </c>
      <c r="DI34" s="177" t="s">
        <v>167</v>
      </c>
      <c r="DJ34" s="177" t="s">
        <v>167</v>
      </c>
      <c r="DK34" s="192">
        <v>432.56244218316402</v>
      </c>
      <c r="DL34" s="177" t="s">
        <v>168</v>
      </c>
      <c r="DM34" s="192">
        <v>12.3589269195224</v>
      </c>
      <c r="DN34" s="177" t="s">
        <v>169</v>
      </c>
      <c r="DO34" s="177">
        <v>38.700000000000003</v>
      </c>
      <c r="DP34" s="177" t="s">
        <v>299</v>
      </c>
      <c r="DQ34" s="177">
        <v>0.2</v>
      </c>
      <c r="DR34" s="177" t="s">
        <v>300</v>
      </c>
      <c r="DS34" s="177" t="s">
        <v>301</v>
      </c>
      <c r="DT34" s="177" t="s">
        <v>302</v>
      </c>
      <c r="DU34" s="177">
        <v>1.0271999999999999</v>
      </c>
      <c r="DV34" s="177" t="s">
        <v>170</v>
      </c>
      <c r="DW34" s="177" t="s">
        <v>170</v>
      </c>
      <c r="DX34" s="177" t="s">
        <v>177</v>
      </c>
      <c r="DY34" s="177" t="s">
        <v>170</v>
      </c>
      <c r="DZ34" s="177" t="s">
        <v>170</v>
      </c>
      <c r="EA34" s="177" t="s">
        <v>303</v>
      </c>
      <c r="EB34" s="177" t="s">
        <v>171</v>
      </c>
      <c r="EC34" s="177" t="s">
        <v>304</v>
      </c>
      <c r="ED34" s="177" t="s">
        <v>304</v>
      </c>
      <c r="EE34" s="177" t="s">
        <v>304</v>
      </c>
      <c r="EF34" s="177" t="s">
        <v>304</v>
      </c>
      <c r="EG34" s="177" t="s">
        <v>162</v>
      </c>
      <c r="EH34" s="177" t="s">
        <v>172</v>
      </c>
      <c r="EI34" s="177" t="s">
        <v>305</v>
      </c>
      <c r="EJ34" s="177" t="s">
        <v>162</v>
      </c>
      <c r="EK34" s="193">
        <v>1750</v>
      </c>
      <c r="EL34" s="177" t="s">
        <v>173</v>
      </c>
      <c r="EM34" s="177">
        <v>150</v>
      </c>
      <c r="EN34" s="177">
        <v>150</v>
      </c>
      <c r="EO34" s="177" t="s">
        <v>306</v>
      </c>
      <c r="EP34" s="177" t="s">
        <v>306</v>
      </c>
      <c r="EQ34" s="177" t="s">
        <v>306</v>
      </c>
      <c r="ER34" s="177" t="s">
        <v>306</v>
      </c>
      <c r="ES34" s="177">
        <v>7.8409102205494099</v>
      </c>
      <c r="ET34" s="194" t="s">
        <v>174</v>
      </c>
      <c r="EU34" s="195">
        <v>3.12068004625232E-2</v>
      </c>
      <c r="EV34" s="195">
        <v>3.12068004625232E-2</v>
      </c>
      <c r="EW34" s="178">
        <v>676.28328308192499</v>
      </c>
      <c r="EX34" s="194">
        <v>0</v>
      </c>
      <c r="EY34" s="194" t="s">
        <v>308</v>
      </c>
      <c r="EZ34" s="178">
        <v>676.28328308192499</v>
      </c>
      <c r="FA34" s="178">
        <v>125.47202924313797</v>
      </c>
      <c r="FB34" s="178">
        <v>101.28536549668001</v>
      </c>
      <c r="FC34" s="196" t="s">
        <v>309</v>
      </c>
      <c r="FD34" s="177" t="s">
        <v>310</v>
      </c>
      <c r="FE34" s="177" t="s">
        <v>175</v>
      </c>
      <c r="FF34" s="177" t="s">
        <v>175</v>
      </c>
      <c r="FG34" s="177" t="s">
        <v>175</v>
      </c>
      <c r="FH34" s="177">
        <v>1853.5940752851</v>
      </c>
      <c r="FI34" s="177">
        <v>201.92709173325099</v>
      </c>
      <c r="FJ34" s="177">
        <v>200.95982647924001</v>
      </c>
      <c r="FK34" s="177">
        <v>6.7736313237957697</v>
      </c>
      <c r="FL34" s="177">
        <v>0.89358680986472505</v>
      </c>
      <c r="FM34" s="177">
        <v>0.82540438541471495</v>
      </c>
      <c r="FN34" s="177">
        <v>4.3277534614563802</v>
      </c>
      <c r="FO34" s="177">
        <v>0.57080761616303199</v>
      </c>
      <c r="FP34" s="177">
        <v>0.54484557863498795</v>
      </c>
      <c r="FQ34" s="177" t="s">
        <v>317</v>
      </c>
    </row>
    <row r="35" spans="1:173" s="177" customFormat="1">
      <c r="A35" s="128" t="s">
        <v>152</v>
      </c>
      <c r="B35" s="177" t="s">
        <v>156</v>
      </c>
      <c r="C35" s="177">
        <v>2020</v>
      </c>
      <c r="D35" s="177" t="s">
        <v>194</v>
      </c>
      <c r="E35" s="178">
        <v>40137.683868408203</v>
      </c>
      <c r="F35" s="177">
        <v>1</v>
      </c>
      <c r="G35" s="177">
        <v>1</v>
      </c>
      <c r="H35" s="179">
        <v>692.40652588314094</v>
      </c>
      <c r="I35" s="179">
        <v>133.59823486390007</v>
      </c>
      <c r="J35" s="179">
        <v>111.9214753737449</v>
      </c>
      <c r="K35" s="177" t="s">
        <v>157</v>
      </c>
      <c r="L35" s="180" t="s">
        <v>158</v>
      </c>
      <c r="M35" s="181" t="s">
        <v>195</v>
      </c>
      <c r="N35" s="177" t="s">
        <v>194</v>
      </c>
      <c r="O35" s="177" t="s">
        <v>199</v>
      </c>
      <c r="P35" s="177" t="s">
        <v>200</v>
      </c>
      <c r="Q35" s="177">
        <v>8</v>
      </c>
      <c r="R35" s="177">
        <v>6</v>
      </c>
      <c r="S35" s="177">
        <v>91</v>
      </c>
      <c r="T35" s="177">
        <v>93</v>
      </c>
      <c r="U35" s="177">
        <v>71.72</v>
      </c>
      <c r="V35" s="128" t="s">
        <v>162</v>
      </c>
      <c r="W35" s="177" t="s">
        <v>205</v>
      </c>
      <c r="X35" s="177" t="s">
        <v>207</v>
      </c>
      <c r="Y35" s="182">
        <v>-50.945999999999998</v>
      </c>
      <c r="Z35" s="182">
        <v>-26.368600000000001</v>
      </c>
      <c r="AA35" s="182">
        <v>-57.4</v>
      </c>
      <c r="AB35" s="183" t="s">
        <v>162</v>
      </c>
      <c r="AC35" s="183">
        <v>-3083.4</v>
      </c>
      <c r="AD35" s="182">
        <v>-2250</v>
      </c>
      <c r="AE35" s="177" t="s">
        <v>212</v>
      </c>
      <c r="AF35" s="177" t="s">
        <v>160</v>
      </c>
      <c r="AG35" s="178">
        <v>40137.683868408203</v>
      </c>
      <c r="AH35" s="184" t="s">
        <v>215</v>
      </c>
      <c r="AI35" s="177">
        <v>1</v>
      </c>
      <c r="AJ35" s="177">
        <v>1</v>
      </c>
      <c r="AK35" s="177" t="s">
        <v>214</v>
      </c>
      <c r="AL35" s="177" t="s">
        <v>216</v>
      </c>
      <c r="AM35" s="192" t="s">
        <v>219</v>
      </c>
      <c r="AN35" s="177">
        <v>40.137503906249997</v>
      </c>
      <c r="AO35" s="177" t="s">
        <v>162</v>
      </c>
      <c r="AP35" s="177" t="s">
        <v>162</v>
      </c>
      <c r="AQ35" s="177" t="s">
        <v>162</v>
      </c>
      <c r="AR35" s="177" t="s">
        <v>214</v>
      </c>
      <c r="AS35" s="177" t="s">
        <v>224</v>
      </c>
      <c r="AT35" s="177" t="s">
        <v>223</v>
      </c>
      <c r="AU35" s="177" t="s">
        <v>228</v>
      </c>
      <c r="AV35" s="177" t="s">
        <v>230</v>
      </c>
      <c r="AW35" s="174">
        <v>208</v>
      </c>
      <c r="AX35" s="176">
        <v>3.2</v>
      </c>
      <c r="AY35" s="184" t="s">
        <v>232</v>
      </c>
      <c r="AZ35" s="177" t="s">
        <v>163</v>
      </c>
      <c r="BA35" s="177" t="s">
        <v>164</v>
      </c>
      <c r="BB35" s="177" t="s">
        <v>262</v>
      </c>
      <c r="BC35" s="177">
        <v>2</v>
      </c>
      <c r="BD35" s="186">
        <v>8.4841807363963184E-2</v>
      </c>
      <c r="BE35" s="187">
        <v>11.3818825150062</v>
      </c>
      <c r="BF35" s="177" t="s">
        <v>233</v>
      </c>
      <c r="BG35" s="177">
        <v>0.24316067583131001</v>
      </c>
      <c r="BH35" s="150">
        <v>1.02</v>
      </c>
      <c r="BI35" s="150" t="s">
        <v>281</v>
      </c>
      <c r="BJ35" s="150">
        <v>0.5</v>
      </c>
      <c r="BK35" s="150">
        <v>-2.4900000000000002</v>
      </c>
      <c r="BL35" s="150" t="s">
        <v>282</v>
      </c>
      <c r="BM35" s="150">
        <v>9.01</v>
      </c>
      <c r="BN35" s="150" t="s">
        <v>283</v>
      </c>
      <c r="BO35" s="150" t="s">
        <v>284</v>
      </c>
      <c r="BP35" s="189">
        <v>13.582039215686301</v>
      </c>
      <c r="BQ35" s="177" t="s">
        <v>287</v>
      </c>
      <c r="BR35" s="190" t="s">
        <v>288</v>
      </c>
      <c r="BS35" s="177" t="s">
        <v>286</v>
      </c>
      <c r="BT35" s="177" t="s">
        <v>289</v>
      </c>
      <c r="BU35" s="177">
        <v>25</v>
      </c>
      <c r="BV35" s="177" t="s">
        <v>165</v>
      </c>
      <c r="BW35" s="177" t="s">
        <v>165</v>
      </c>
      <c r="BX35" s="187">
        <v>20.472318365301899</v>
      </c>
      <c r="BY35" s="177" t="s">
        <v>290</v>
      </c>
      <c r="BZ35" s="186">
        <v>0.64942596962043497</v>
      </c>
      <c r="CA35" s="186">
        <v>0.73214719994619104</v>
      </c>
      <c r="CB35" s="177" t="s">
        <v>291</v>
      </c>
      <c r="CC35" s="177">
        <v>2.2545272670658201</v>
      </c>
      <c r="CD35" s="177" t="s">
        <v>292</v>
      </c>
      <c r="CE35" s="177">
        <v>6.7635818011974602E-2</v>
      </c>
      <c r="CF35" s="177">
        <v>6.7635818011974602E-2</v>
      </c>
      <c r="CG35" s="177" t="s">
        <v>295</v>
      </c>
      <c r="CH35" s="177" t="s">
        <v>162</v>
      </c>
      <c r="CI35" s="177" t="s">
        <v>293</v>
      </c>
      <c r="CJ35" s="177" t="s">
        <v>296</v>
      </c>
      <c r="CK35" s="177" t="s">
        <v>165</v>
      </c>
      <c r="CL35" s="177" t="s">
        <v>165</v>
      </c>
      <c r="CM35" s="177" t="s">
        <v>294</v>
      </c>
      <c r="CN35" s="177" t="s">
        <v>162</v>
      </c>
      <c r="CO35" s="177" t="s">
        <v>162</v>
      </c>
      <c r="CP35" s="177" t="s">
        <v>162</v>
      </c>
      <c r="CQ35" s="177" t="s">
        <v>162</v>
      </c>
      <c r="CR35" s="177" t="s">
        <v>162</v>
      </c>
      <c r="CS35" s="177" t="s">
        <v>162</v>
      </c>
      <c r="CT35" s="177" t="s">
        <v>162</v>
      </c>
      <c r="CU35" s="191">
        <v>35</v>
      </c>
      <c r="CV35" s="177" t="s">
        <v>161</v>
      </c>
      <c r="CW35" s="177">
        <v>1</v>
      </c>
      <c r="CX35" s="177" t="s">
        <v>297</v>
      </c>
      <c r="CY35" s="177">
        <v>17</v>
      </c>
      <c r="CZ35" s="177" t="s">
        <v>170</v>
      </c>
      <c r="DA35" s="177" t="s">
        <v>170</v>
      </c>
      <c r="DB35" s="177" t="s">
        <v>298</v>
      </c>
      <c r="DC35" s="177">
        <v>38</v>
      </c>
      <c r="DD35" s="177" t="s">
        <v>170</v>
      </c>
      <c r="DE35" s="177" t="s">
        <v>170</v>
      </c>
      <c r="DF35" s="177" t="s">
        <v>298</v>
      </c>
      <c r="DG35" s="177" t="s">
        <v>166</v>
      </c>
      <c r="DH35" s="177" t="s">
        <v>167</v>
      </c>
      <c r="DI35" s="177" t="s">
        <v>167</v>
      </c>
      <c r="DJ35" s="177" t="s">
        <v>167</v>
      </c>
      <c r="DK35" s="192">
        <v>432.56244218316402</v>
      </c>
      <c r="DL35" s="177" t="s">
        <v>168</v>
      </c>
      <c r="DM35" s="192">
        <v>12.358926919522499</v>
      </c>
      <c r="DN35" s="177" t="s">
        <v>169</v>
      </c>
      <c r="DO35" s="177">
        <v>38.700000000000003</v>
      </c>
      <c r="DP35" s="177" t="s">
        <v>299</v>
      </c>
      <c r="DQ35" s="177">
        <v>0.2</v>
      </c>
      <c r="DR35" s="177" t="s">
        <v>300</v>
      </c>
      <c r="DS35" s="177" t="s">
        <v>301</v>
      </c>
      <c r="DT35" s="177" t="s">
        <v>302</v>
      </c>
      <c r="DU35" s="177">
        <v>1.0271999999999999</v>
      </c>
      <c r="DV35" s="177" t="s">
        <v>170</v>
      </c>
      <c r="DW35" s="177" t="s">
        <v>170</v>
      </c>
      <c r="DX35" s="177" t="s">
        <v>177</v>
      </c>
      <c r="DY35" s="177" t="s">
        <v>170</v>
      </c>
      <c r="DZ35" s="177" t="s">
        <v>170</v>
      </c>
      <c r="EA35" s="177" t="s">
        <v>303</v>
      </c>
      <c r="EB35" s="177" t="s">
        <v>171</v>
      </c>
      <c r="EC35" s="177" t="s">
        <v>304</v>
      </c>
      <c r="ED35" s="177" t="s">
        <v>304</v>
      </c>
      <c r="EE35" s="177" t="s">
        <v>304</v>
      </c>
      <c r="EF35" s="177" t="s">
        <v>304</v>
      </c>
      <c r="EG35" s="177" t="s">
        <v>162</v>
      </c>
      <c r="EH35" s="177" t="s">
        <v>172</v>
      </c>
      <c r="EI35" s="177" t="s">
        <v>305</v>
      </c>
      <c r="EJ35" s="177" t="s">
        <v>162</v>
      </c>
      <c r="EK35" s="193">
        <v>1750</v>
      </c>
      <c r="EL35" s="177" t="s">
        <v>173</v>
      </c>
      <c r="EM35" s="177">
        <v>150</v>
      </c>
      <c r="EN35" s="177">
        <v>150</v>
      </c>
      <c r="EO35" s="177" t="s">
        <v>306</v>
      </c>
      <c r="EP35" s="177" t="s">
        <v>306</v>
      </c>
      <c r="EQ35" s="177" t="s">
        <v>306</v>
      </c>
      <c r="ER35" s="177" t="s">
        <v>306</v>
      </c>
      <c r="ES35" s="177">
        <v>7.71919804289172</v>
      </c>
      <c r="ET35" s="194" t="s">
        <v>174</v>
      </c>
      <c r="EU35" s="195">
        <v>4.5744518664266903E-2</v>
      </c>
      <c r="EV35" s="195">
        <v>4.5744518664266903E-2</v>
      </c>
      <c r="EW35" s="178">
        <v>692.40652588314094</v>
      </c>
      <c r="EX35" s="194">
        <v>0</v>
      </c>
      <c r="EY35" s="194" t="s">
        <v>308</v>
      </c>
      <c r="EZ35" s="178">
        <v>692.40652588314094</v>
      </c>
      <c r="FA35" s="178">
        <v>133.59823486390007</v>
      </c>
      <c r="FB35" s="178">
        <v>111.9214753737449</v>
      </c>
      <c r="FC35" s="196" t="s">
        <v>309</v>
      </c>
      <c r="FD35" s="177" t="s">
        <v>310</v>
      </c>
      <c r="FE35" s="177" t="s">
        <v>175</v>
      </c>
      <c r="FF35" s="177" t="s">
        <v>175</v>
      </c>
      <c r="FG35" s="177" t="s">
        <v>175</v>
      </c>
      <c r="FH35" s="177">
        <v>1846.29703163467</v>
      </c>
      <c r="FI35" s="177">
        <v>207.05055223484601</v>
      </c>
      <c r="FJ35" s="177">
        <v>193.54163157522501</v>
      </c>
      <c r="FK35" s="177">
        <v>6.3269682381787904</v>
      </c>
      <c r="FL35" s="177">
        <v>0.85979307211283695</v>
      </c>
      <c r="FM35" s="177">
        <v>0.799844329147404</v>
      </c>
      <c r="FN35" s="177">
        <v>4.0263676602454401</v>
      </c>
      <c r="FO35" s="177">
        <v>0.55168494127325496</v>
      </c>
      <c r="FP35" s="177">
        <v>0.514252801064361</v>
      </c>
      <c r="FQ35" s="177" t="s">
        <v>317</v>
      </c>
    </row>
    <row r="36" spans="1:173" s="177" customFormat="1">
      <c r="A36" s="128" t="s">
        <v>152</v>
      </c>
      <c r="B36" s="177" t="s">
        <v>156</v>
      </c>
      <c r="C36" s="177">
        <v>2020</v>
      </c>
      <c r="D36" s="177" t="s">
        <v>194</v>
      </c>
      <c r="E36" s="178">
        <v>40251.941680908203</v>
      </c>
      <c r="F36" s="177">
        <v>1</v>
      </c>
      <c r="G36" s="177">
        <v>1</v>
      </c>
      <c r="H36" s="179">
        <v>654.61484436357603</v>
      </c>
      <c r="I36" s="179">
        <v>121.24431127987793</v>
      </c>
      <c r="J36" s="179">
        <v>95.731681366449038</v>
      </c>
      <c r="K36" s="177" t="s">
        <v>157</v>
      </c>
      <c r="L36" s="180" t="s">
        <v>158</v>
      </c>
      <c r="M36" s="181" t="s">
        <v>195</v>
      </c>
      <c r="N36" s="177" t="s">
        <v>194</v>
      </c>
      <c r="O36" s="177" t="s">
        <v>199</v>
      </c>
      <c r="P36" s="177" t="s">
        <v>200</v>
      </c>
      <c r="Q36" s="177">
        <v>9</v>
      </c>
      <c r="R36" s="177">
        <v>1</v>
      </c>
      <c r="S36" s="177">
        <v>40</v>
      </c>
      <c r="T36" s="177">
        <v>41</v>
      </c>
      <c r="U36" s="177">
        <v>73.209999999999994</v>
      </c>
      <c r="V36" s="128" t="s">
        <v>162</v>
      </c>
      <c r="W36" s="177" t="s">
        <v>205</v>
      </c>
      <c r="X36" s="177" t="s">
        <v>207</v>
      </c>
      <c r="Y36" s="182">
        <v>-50.945999999999998</v>
      </c>
      <c r="Z36" s="182">
        <v>-26.368600000000001</v>
      </c>
      <c r="AA36" s="182">
        <v>-57.4</v>
      </c>
      <c r="AB36" s="183" t="s">
        <v>162</v>
      </c>
      <c r="AC36" s="183">
        <v>-3083.4</v>
      </c>
      <c r="AD36" s="182">
        <v>-2250</v>
      </c>
      <c r="AE36" s="177" t="s">
        <v>212</v>
      </c>
      <c r="AF36" s="177" t="s">
        <v>160</v>
      </c>
      <c r="AG36" s="178">
        <v>40251.941680908203</v>
      </c>
      <c r="AH36" s="184" t="s">
        <v>215</v>
      </c>
      <c r="AI36" s="177">
        <v>1</v>
      </c>
      <c r="AJ36" s="177">
        <v>1</v>
      </c>
      <c r="AK36" s="177" t="s">
        <v>214</v>
      </c>
      <c r="AL36" s="177" t="s">
        <v>216</v>
      </c>
      <c r="AM36" s="192" t="s">
        <v>219</v>
      </c>
      <c r="AN36" s="177">
        <v>40.245468750000001</v>
      </c>
      <c r="AO36" s="177" t="s">
        <v>162</v>
      </c>
      <c r="AP36" s="177" t="s">
        <v>162</v>
      </c>
      <c r="AQ36" s="177" t="s">
        <v>162</v>
      </c>
      <c r="AR36" s="177" t="s">
        <v>214</v>
      </c>
      <c r="AS36" s="177" t="s">
        <v>224</v>
      </c>
      <c r="AT36" s="177" t="s">
        <v>223</v>
      </c>
      <c r="AU36" s="177" t="s">
        <v>228</v>
      </c>
      <c r="AV36" s="177" t="s">
        <v>230</v>
      </c>
      <c r="AW36" s="174">
        <v>199</v>
      </c>
      <c r="AX36" s="174">
        <v>2.9649999999999999</v>
      </c>
      <c r="AY36" s="184" t="s">
        <v>232</v>
      </c>
      <c r="AZ36" s="177" t="s">
        <v>163</v>
      </c>
      <c r="BA36" s="177" t="s">
        <v>164</v>
      </c>
      <c r="BB36" s="177" t="s">
        <v>263</v>
      </c>
      <c r="BC36" s="177">
        <v>2</v>
      </c>
      <c r="BD36" s="186">
        <v>0.11254182991340754</v>
      </c>
      <c r="BE36" s="187">
        <v>12.263942840053801</v>
      </c>
      <c r="BF36" s="177" t="s">
        <v>233</v>
      </c>
      <c r="BG36" s="177">
        <v>0.247223585998394</v>
      </c>
      <c r="BH36" s="150">
        <v>1.02</v>
      </c>
      <c r="BI36" s="150" t="s">
        <v>281</v>
      </c>
      <c r="BJ36" s="150">
        <v>0.5</v>
      </c>
      <c r="BK36" s="150">
        <v>-2.4900000000000002</v>
      </c>
      <c r="BL36" s="150" t="s">
        <v>282</v>
      </c>
      <c r="BM36" s="150">
        <v>9.01</v>
      </c>
      <c r="BN36" s="150" t="s">
        <v>283</v>
      </c>
      <c r="BO36" s="150" t="s">
        <v>284</v>
      </c>
      <c r="BP36" s="189">
        <v>14.4468039215686</v>
      </c>
      <c r="BQ36" s="177" t="s">
        <v>287</v>
      </c>
      <c r="BR36" s="190" t="s">
        <v>288</v>
      </c>
      <c r="BS36" s="177" t="s">
        <v>286</v>
      </c>
      <c r="BT36" s="177" t="s">
        <v>289</v>
      </c>
      <c r="BU36" s="177">
        <v>25</v>
      </c>
      <c r="BV36" s="177" t="s">
        <v>165</v>
      </c>
      <c r="BW36" s="177" t="s">
        <v>165</v>
      </c>
      <c r="BX36" s="187">
        <v>21.544776114125401</v>
      </c>
      <c r="BY36" s="177" t="s">
        <v>290</v>
      </c>
      <c r="BZ36" s="186">
        <v>0.60084172553231996</v>
      </c>
      <c r="CA36" s="186">
        <v>0.65411785489763496</v>
      </c>
      <c r="CB36" s="177" t="s">
        <v>291</v>
      </c>
      <c r="CC36" s="177">
        <v>2.2189287206607702</v>
      </c>
      <c r="CD36" s="177" t="s">
        <v>292</v>
      </c>
      <c r="CE36" s="177">
        <v>6.6567861619823102E-2</v>
      </c>
      <c r="CF36" s="177">
        <v>6.6567861619823102E-2</v>
      </c>
      <c r="CG36" s="177" t="s">
        <v>295</v>
      </c>
      <c r="CH36" s="177" t="s">
        <v>162</v>
      </c>
      <c r="CI36" s="177" t="s">
        <v>293</v>
      </c>
      <c r="CJ36" s="177" t="s">
        <v>296</v>
      </c>
      <c r="CK36" s="177" t="s">
        <v>165</v>
      </c>
      <c r="CL36" s="177" t="s">
        <v>165</v>
      </c>
      <c r="CM36" s="177" t="s">
        <v>294</v>
      </c>
      <c r="CN36" s="177" t="s">
        <v>162</v>
      </c>
      <c r="CO36" s="177" t="s">
        <v>162</v>
      </c>
      <c r="CP36" s="177" t="s">
        <v>162</v>
      </c>
      <c r="CQ36" s="177" t="s">
        <v>162</v>
      </c>
      <c r="CR36" s="177" t="s">
        <v>162</v>
      </c>
      <c r="CS36" s="177" t="s">
        <v>162</v>
      </c>
      <c r="CT36" s="177" t="s">
        <v>162</v>
      </c>
      <c r="CU36" s="191">
        <v>35</v>
      </c>
      <c r="CV36" s="177" t="s">
        <v>161</v>
      </c>
      <c r="CW36" s="177">
        <v>1</v>
      </c>
      <c r="CX36" s="177" t="s">
        <v>297</v>
      </c>
      <c r="CY36" s="177">
        <v>17</v>
      </c>
      <c r="CZ36" s="177" t="s">
        <v>170</v>
      </c>
      <c r="DA36" s="177" t="s">
        <v>170</v>
      </c>
      <c r="DB36" s="177" t="s">
        <v>298</v>
      </c>
      <c r="DC36" s="177">
        <v>38</v>
      </c>
      <c r="DD36" s="177" t="s">
        <v>170</v>
      </c>
      <c r="DE36" s="177" t="s">
        <v>170</v>
      </c>
      <c r="DF36" s="177" t="s">
        <v>298</v>
      </c>
      <c r="DG36" s="177" t="s">
        <v>166</v>
      </c>
      <c r="DH36" s="177" t="s">
        <v>167</v>
      </c>
      <c r="DI36" s="177" t="s">
        <v>167</v>
      </c>
      <c r="DJ36" s="177" t="s">
        <v>167</v>
      </c>
      <c r="DK36" s="192">
        <v>432.56244218316402</v>
      </c>
      <c r="DL36" s="177" t="s">
        <v>168</v>
      </c>
      <c r="DM36" s="192">
        <v>12.358926919522601</v>
      </c>
      <c r="DN36" s="177" t="s">
        <v>169</v>
      </c>
      <c r="DO36" s="177">
        <v>38.700000000000003</v>
      </c>
      <c r="DP36" s="177" t="s">
        <v>299</v>
      </c>
      <c r="DQ36" s="177">
        <v>0.2</v>
      </c>
      <c r="DR36" s="177" t="s">
        <v>300</v>
      </c>
      <c r="DS36" s="177" t="s">
        <v>301</v>
      </c>
      <c r="DT36" s="177" t="s">
        <v>302</v>
      </c>
      <c r="DU36" s="177">
        <v>1.0271999999999999</v>
      </c>
      <c r="DV36" s="177" t="s">
        <v>170</v>
      </c>
      <c r="DW36" s="177" t="s">
        <v>170</v>
      </c>
      <c r="DX36" s="177" t="s">
        <v>177</v>
      </c>
      <c r="DY36" s="177" t="s">
        <v>170</v>
      </c>
      <c r="DZ36" s="177" t="s">
        <v>170</v>
      </c>
      <c r="EA36" s="177" t="s">
        <v>303</v>
      </c>
      <c r="EB36" s="177" t="s">
        <v>171</v>
      </c>
      <c r="EC36" s="177" t="s">
        <v>304</v>
      </c>
      <c r="ED36" s="177" t="s">
        <v>304</v>
      </c>
      <c r="EE36" s="177" t="s">
        <v>304</v>
      </c>
      <c r="EF36" s="177" t="s">
        <v>304</v>
      </c>
      <c r="EG36" s="177" t="s">
        <v>162</v>
      </c>
      <c r="EH36" s="177" t="s">
        <v>172</v>
      </c>
      <c r="EI36" s="177" t="s">
        <v>305</v>
      </c>
      <c r="EJ36" s="177" t="s">
        <v>162</v>
      </c>
      <c r="EK36" s="193">
        <v>1750</v>
      </c>
      <c r="EL36" s="177" t="s">
        <v>173</v>
      </c>
      <c r="EM36" s="177">
        <v>150</v>
      </c>
      <c r="EN36" s="177">
        <v>150</v>
      </c>
      <c r="EO36" s="177" t="s">
        <v>306</v>
      </c>
      <c r="EP36" s="177" t="s">
        <v>306</v>
      </c>
      <c r="EQ36" s="177" t="s">
        <v>306</v>
      </c>
      <c r="ER36" s="177" t="s">
        <v>306</v>
      </c>
      <c r="ES36" s="177">
        <v>7.8574952837526499</v>
      </c>
      <c r="ET36" s="194" t="s">
        <v>174</v>
      </c>
      <c r="EU36" s="195">
        <v>3.2891099435659703E-2</v>
      </c>
      <c r="EV36" s="195">
        <v>3.2891099435659703E-2</v>
      </c>
      <c r="EW36" s="178">
        <v>654.61484436357603</v>
      </c>
      <c r="EX36" s="194">
        <v>0</v>
      </c>
      <c r="EY36" s="194" t="s">
        <v>308</v>
      </c>
      <c r="EZ36" s="178">
        <v>654.61484436357603</v>
      </c>
      <c r="FA36" s="178">
        <v>121.24431127987793</v>
      </c>
      <c r="FB36" s="178">
        <v>95.731681366449038</v>
      </c>
      <c r="FC36" s="196" t="s">
        <v>309</v>
      </c>
      <c r="FD36" s="177" t="s">
        <v>310</v>
      </c>
      <c r="FE36" s="177" t="s">
        <v>175</v>
      </c>
      <c r="FF36" s="177" t="s">
        <v>175</v>
      </c>
      <c r="FG36" s="177" t="s">
        <v>175</v>
      </c>
      <c r="FH36" s="177">
        <v>1851.99741643317</v>
      </c>
      <c r="FI36" s="177">
        <v>189.66151432316499</v>
      </c>
      <c r="FJ36" s="177">
        <v>184.17647526269701</v>
      </c>
      <c r="FK36" s="177">
        <v>6.5929646273884304</v>
      </c>
      <c r="FL36" s="177">
        <v>0.904123551275125</v>
      </c>
      <c r="FM36" s="177">
        <v>0.81552284318712498</v>
      </c>
      <c r="FN36" s="177">
        <v>4.1978982039028399</v>
      </c>
      <c r="FO36" s="177">
        <v>0.57799805771226598</v>
      </c>
      <c r="FP36" s="177">
        <v>0.52534616337566298</v>
      </c>
      <c r="FQ36" s="177" t="s">
        <v>317</v>
      </c>
    </row>
    <row r="37" spans="1:173" s="177" customFormat="1">
      <c r="A37" s="128" t="s">
        <v>152</v>
      </c>
      <c r="B37" s="177" t="s">
        <v>156</v>
      </c>
      <c r="C37" s="177">
        <v>2020</v>
      </c>
      <c r="D37" s="177" t="s">
        <v>194</v>
      </c>
      <c r="E37" s="178">
        <v>40605.419158935547</v>
      </c>
      <c r="F37" s="177">
        <v>1</v>
      </c>
      <c r="G37" s="177">
        <v>1</v>
      </c>
      <c r="H37" s="179">
        <v>523.368791815382</v>
      </c>
      <c r="I37" s="179">
        <v>96.065143877269975</v>
      </c>
      <c r="J37" s="179">
        <v>76.348850945825006</v>
      </c>
      <c r="K37" s="177" t="s">
        <v>157</v>
      </c>
      <c r="L37" s="180" t="s">
        <v>158</v>
      </c>
      <c r="M37" s="181" t="s">
        <v>195</v>
      </c>
      <c r="N37" s="177" t="s">
        <v>194</v>
      </c>
      <c r="O37" s="177" t="s">
        <v>199</v>
      </c>
      <c r="P37" s="177" t="s">
        <v>200</v>
      </c>
      <c r="Q37" s="177">
        <v>9</v>
      </c>
      <c r="R37" s="177">
        <v>4</v>
      </c>
      <c r="S37" s="177">
        <v>23</v>
      </c>
      <c r="T37" s="177">
        <v>25</v>
      </c>
      <c r="U37" s="177">
        <v>77.540000000000006</v>
      </c>
      <c r="V37" s="128" t="s">
        <v>162</v>
      </c>
      <c r="W37" s="177" t="s">
        <v>205</v>
      </c>
      <c r="X37" s="177" t="s">
        <v>207</v>
      </c>
      <c r="Y37" s="182">
        <v>-50.945999999999998</v>
      </c>
      <c r="Z37" s="182">
        <v>-26.368600000000001</v>
      </c>
      <c r="AA37" s="182">
        <v>-57.4</v>
      </c>
      <c r="AB37" s="183" t="s">
        <v>162</v>
      </c>
      <c r="AC37" s="183">
        <v>-3083.4</v>
      </c>
      <c r="AD37" s="182">
        <v>-2250</v>
      </c>
      <c r="AE37" s="177" t="s">
        <v>212</v>
      </c>
      <c r="AF37" s="177" t="s">
        <v>160</v>
      </c>
      <c r="AG37" s="178">
        <v>40605.419158935547</v>
      </c>
      <c r="AH37" s="184" t="s">
        <v>215</v>
      </c>
      <c r="AI37" s="177">
        <v>1</v>
      </c>
      <c r="AJ37" s="177">
        <v>1</v>
      </c>
      <c r="AK37" s="177" t="s">
        <v>214</v>
      </c>
      <c r="AL37" s="177" t="s">
        <v>216</v>
      </c>
      <c r="AM37" s="192" t="s">
        <v>219</v>
      </c>
      <c r="AN37" s="177">
        <v>40.570257812500003</v>
      </c>
      <c r="AO37" s="177" t="s">
        <v>162</v>
      </c>
      <c r="AP37" s="177" t="s">
        <v>162</v>
      </c>
      <c r="AQ37" s="177" t="s">
        <v>162</v>
      </c>
      <c r="AR37" s="177" t="s">
        <v>214</v>
      </c>
      <c r="AS37" s="177" t="s">
        <v>224</v>
      </c>
      <c r="AT37" s="177" t="s">
        <v>223</v>
      </c>
      <c r="AU37" s="177" t="s">
        <v>228</v>
      </c>
      <c r="AV37" s="177" t="s">
        <v>230</v>
      </c>
      <c r="AW37" s="174">
        <v>206</v>
      </c>
      <c r="AX37" s="174">
        <v>2.9569999999999999</v>
      </c>
      <c r="AY37" s="184" t="s">
        <v>232</v>
      </c>
      <c r="AZ37" s="177" t="s">
        <v>163</v>
      </c>
      <c r="BA37" s="177" t="s">
        <v>164</v>
      </c>
      <c r="BB37" s="177" t="s">
        <v>264</v>
      </c>
      <c r="BC37" s="177">
        <v>2</v>
      </c>
      <c r="BD37" s="186">
        <v>1.4699195710424105E-2</v>
      </c>
      <c r="BE37" s="187">
        <v>12.922389584701101</v>
      </c>
      <c r="BF37" s="177" t="s">
        <v>233</v>
      </c>
      <c r="BG37" s="177">
        <v>0.246004039168633</v>
      </c>
      <c r="BH37" s="150">
        <v>1.02</v>
      </c>
      <c r="BI37" s="150" t="s">
        <v>281</v>
      </c>
      <c r="BJ37" s="150">
        <v>0.5</v>
      </c>
      <c r="BK37" s="150">
        <v>-2.4900000000000002</v>
      </c>
      <c r="BL37" s="150" t="s">
        <v>282</v>
      </c>
      <c r="BM37" s="150">
        <v>9.01</v>
      </c>
      <c r="BN37" s="150" t="s">
        <v>283</v>
      </c>
      <c r="BO37" s="150" t="s">
        <v>284</v>
      </c>
      <c r="BP37" s="189">
        <v>15.0923431372549</v>
      </c>
      <c r="BQ37" s="177" t="s">
        <v>287</v>
      </c>
      <c r="BR37" s="190" t="s">
        <v>288</v>
      </c>
      <c r="BS37" s="177" t="s">
        <v>286</v>
      </c>
      <c r="BT37" s="177" t="s">
        <v>289</v>
      </c>
      <c r="BU37" s="177">
        <v>25</v>
      </c>
      <c r="BV37" s="177" t="s">
        <v>165</v>
      </c>
      <c r="BW37" s="177" t="s">
        <v>165</v>
      </c>
      <c r="BX37" s="187">
        <v>23.612285176098499</v>
      </c>
      <c r="BY37" s="177" t="s">
        <v>290</v>
      </c>
      <c r="BZ37" s="186">
        <v>0.62777568318093202</v>
      </c>
      <c r="CA37" s="186">
        <v>0.57897873735414196</v>
      </c>
      <c r="CB37" s="177" t="s">
        <v>291</v>
      </c>
      <c r="CC37" s="177">
        <v>2.3979546923938799</v>
      </c>
      <c r="CD37" s="177" t="s">
        <v>292</v>
      </c>
      <c r="CE37" s="177">
        <v>7.1938640771816401E-2</v>
      </c>
      <c r="CF37" s="177">
        <v>7.1938640771816401E-2</v>
      </c>
      <c r="CG37" s="177" t="s">
        <v>295</v>
      </c>
      <c r="CH37" s="177" t="s">
        <v>162</v>
      </c>
      <c r="CI37" s="177" t="s">
        <v>293</v>
      </c>
      <c r="CJ37" s="177" t="s">
        <v>296</v>
      </c>
      <c r="CK37" s="177" t="s">
        <v>165</v>
      </c>
      <c r="CL37" s="177" t="s">
        <v>165</v>
      </c>
      <c r="CM37" s="177" t="s">
        <v>294</v>
      </c>
      <c r="CN37" s="177" t="s">
        <v>162</v>
      </c>
      <c r="CO37" s="177" t="s">
        <v>162</v>
      </c>
      <c r="CP37" s="177" t="s">
        <v>162</v>
      </c>
      <c r="CQ37" s="177" t="s">
        <v>162</v>
      </c>
      <c r="CR37" s="177" t="s">
        <v>162</v>
      </c>
      <c r="CS37" s="177" t="s">
        <v>162</v>
      </c>
      <c r="CT37" s="177" t="s">
        <v>162</v>
      </c>
      <c r="CU37" s="191">
        <v>35</v>
      </c>
      <c r="CV37" s="177" t="s">
        <v>161</v>
      </c>
      <c r="CW37" s="177">
        <v>1</v>
      </c>
      <c r="CX37" s="177" t="s">
        <v>297</v>
      </c>
      <c r="CY37" s="177">
        <v>17</v>
      </c>
      <c r="CZ37" s="177" t="s">
        <v>170</v>
      </c>
      <c r="DA37" s="177" t="s">
        <v>170</v>
      </c>
      <c r="DB37" s="177" t="s">
        <v>298</v>
      </c>
      <c r="DC37" s="177">
        <v>38</v>
      </c>
      <c r="DD37" s="177" t="s">
        <v>170</v>
      </c>
      <c r="DE37" s="177" t="s">
        <v>170</v>
      </c>
      <c r="DF37" s="177" t="s">
        <v>298</v>
      </c>
      <c r="DG37" s="177" t="s">
        <v>166</v>
      </c>
      <c r="DH37" s="177" t="s">
        <v>167</v>
      </c>
      <c r="DI37" s="177" t="s">
        <v>167</v>
      </c>
      <c r="DJ37" s="177" t="s">
        <v>167</v>
      </c>
      <c r="DK37" s="192">
        <v>432.56244218316402</v>
      </c>
      <c r="DL37" s="177" t="s">
        <v>168</v>
      </c>
      <c r="DM37" s="192">
        <v>12.3589269195227</v>
      </c>
      <c r="DN37" s="177" t="s">
        <v>169</v>
      </c>
      <c r="DO37" s="177">
        <v>38.700000000000003</v>
      </c>
      <c r="DP37" s="177" t="s">
        <v>299</v>
      </c>
      <c r="DQ37" s="177">
        <v>0.2</v>
      </c>
      <c r="DR37" s="177" t="s">
        <v>300</v>
      </c>
      <c r="DS37" s="177" t="s">
        <v>301</v>
      </c>
      <c r="DT37" s="177" t="s">
        <v>302</v>
      </c>
      <c r="DU37" s="177">
        <v>1.0271999999999999</v>
      </c>
      <c r="DV37" s="177" t="s">
        <v>170</v>
      </c>
      <c r="DW37" s="177" t="s">
        <v>170</v>
      </c>
      <c r="DX37" s="177" t="s">
        <v>177</v>
      </c>
      <c r="DY37" s="177" t="s">
        <v>170</v>
      </c>
      <c r="DZ37" s="177" t="s">
        <v>170</v>
      </c>
      <c r="EA37" s="177" t="s">
        <v>303</v>
      </c>
      <c r="EB37" s="177" t="s">
        <v>171</v>
      </c>
      <c r="EC37" s="177" t="s">
        <v>304</v>
      </c>
      <c r="ED37" s="177" t="s">
        <v>304</v>
      </c>
      <c r="EE37" s="177" t="s">
        <v>304</v>
      </c>
      <c r="EF37" s="177" t="s">
        <v>304</v>
      </c>
      <c r="EG37" s="177" t="s">
        <v>162</v>
      </c>
      <c r="EH37" s="177" t="s">
        <v>172</v>
      </c>
      <c r="EI37" s="177" t="s">
        <v>305</v>
      </c>
      <c r="EJ37" s="177" t="s">
        <v>162</v>
      </c>
      <c r="EK37" s="193">
        <v>1750</v>
      </c>
      <c r="EL37" s="177" t="s">
        <v>173</v>
      </c>
      <c r="EM37" s="177">
        <v>150</v>
      </c>
      <c r="EN37" s="177">
        <v>150</v>
      </c>
      <c r="EO37" s="177" t="s">
        <v>306</v>
      </c>
      <c r="EP37" s="177" t="s">
        <v>306</v>
      </c>
      <c r="EQ37" s="177" t="s">
        <v>306</v>
      </c>
      <c r="ER37" s="177" t="s">
        <v>306</v>
      </c>
      <c r="ES37" s="177">
        <v>7.9251084412720196</v>
      </c>
      <c r="ET37" s="194" t="s">
        <v>174</v>
      </c>
      <c r="EU37" s="195">
        <v>2.7943612058112299E-2</v>
      </c>
      <c r="EV37" s="195">
        <v>2.7943612058112299E-2</v>
      </c>
      <c r="EW37" s="178">
        <v>523.368791815382</v>
      </c>
      <c r="EX37" s="194">
        <v>0</v>
      </c>
      <c r="EY37" s="194" t="s">
        <v>308</v>
      </c>
      <c r="EZ37" s="178">
        <v>523.368791815382</v>
      </c>
      <c r="FA37" s="178">
        <v>96.065143877269975</v>
      </c>
      <c r="FB37" s="178">
        <v>76.348850945825006</v>
      </c>
      <c r="FC37" s="196" t="s">
        <v>309</v>
      </c>
      <c r="FD37" s="177" t="s">
        <v>310</v>
      </c>
      <c r="FE37" s="177" t="s">
        <v>175</v>
      </c>
      <c r="FF37" s="177" t="s">
        <v>175</v>
      </c>
      <c r="FG37" s="177" t="s">
        <v>175</v>
      </c>
      <c r="FH37" s="177">
        <v>1838.3545957731401</v>
      </c>
      <c r="FI37" s="177">
        <v>202.45205766701801</v>
      </c>
      <c r="FJ37" s="177">
        <v>192.57141078957901</v>
      </c>
      <c r="FK37" s="177">
        <v>5.9903927794851199</v>
      </c>
      <c r="FL37" s="177">
        <v>0.71081071962459796</v>
      </c>
      <c r="FM37" s="177">
        <v>0.69523094178350697</v>
      </c>
      <c r="FN37" s="177">
        <v>3.7285060806122199</v>
      </c>
      <c r="FO37" s="177">
        <v>0.44309848933027401</v>
      </c>
      <c r="FP37" s="177">
        <v>0.43066937467521499</v>
      </c>
      <c r="FQ37" s="177" t="s">
        <v>317</v>
      </c>
    </row>
    <row r="38" spans="1:173" s="177" customFormat="1">
      <c r="A38" s="128" t="s">
        <v>152</v>
      </c>
      <c r="B38" s="177" t="s">
        <v>156</v>
      </c>
      <c r="C38" s="177">
        <v>2020</v>
      </c>
      <c r="D38" s="177" t="s">
        <v>194</v>
      </c>
      <c r="E38" s="178">
        <v>40816.848754882812</v>
      </c>
      <c r="F38" s="177">
        <v>1</v>
      </c>
      <c r="G38" s="177">
        <v>1</v>
      </c>
      <c r="H38" s="179">
        <v>737.99353813452899</v>
      </c>
      <c r="I38" s="179">
        <v>149.19514988188996</v>
      </c>
      <c r="J38" s="179">
        <v>118.44373143917994</v>
      </c>
      <c r="K38" s="177" t="s">
        <v>157</v>
      </c>
      <c r="L38" s="180" t="s">
        <v>158</v>
      </c>
      <c r="M38" s="181" t="s">
        <v>195</v>
      </c>
      <c r="N38" s="177" t="s">
        <v>194</v>
      </c>
      <c r="O38" s="177" t="s">
        <v>199</v>
      </c>
      <c r="P38" s="177" t="s">
        <v>200</v>
      </c>
      <c r="Q38" s="177">
        <v>9</v>
      </c>
      <c r="R38" s="177">
        <v>5</v>
      </c>
      <c r="S38" s="177">
        <v>132</v>
      </c>
      <c r="T38" s="177">
        <v>134</v>
      </c>
      <c r="U38" s="177">
        <v>80.13</v>
      </c>
      <c r="V38" s="197" t="s">
        <v>162</v>
      </c>
      <c r="W38" s="177" t="s">
        <v>205</v>
      </c>
      <c r="X38" s="177" t="s">
        <v>207</v>
      </c>
      <c r="Y38" s="182">
        <v>-50.945999999999998</v>
      </c>
      <c r="Z38" s="182">
        <v>-26.368600000000001</v>
      </c>
      <c r="AA38" s="182">
        <v>-57.4</v>
      </c>
      <c r="AB38" s="183" t="s">
        <v>162</v>
      </c>
      <c r="AC38" s="183">
        <v>-3083.4</v>
      </c>
      <c r="AD38" s="182">
        <v>-2250</v>
      </c>
      <c r="AE38" s="177" t="s">
        <v>212</v>
      </c>
      <c r="AF38" s="177" t="s">
        <v>160</v>
      </c>
      <c r="AG38" s="178">
        <v>40816.848754882812</v>
      </c>
      <c r="AH38" s="184" t="s">
        <v>215</v>
      </c>
      <c r="AI38" s="177">
        <v>1</v>
      </c>
      <c r="AJ38" s="177">
        <v>1</v>
      </c>
      <c r="AK38" s="177" t="s">
        <v>214</v>
      </c>
      <c r="AL38" s="177" t="s">
        <v>216</v>
      </c>
      <c r="AM38" s="192" t="s">
        <v>219</v>
      </c>
      <c r="AN38" s="177">
        <v>40.759441406249998</v>
      </c>
      <c r="AO38" s="177" t="s">
        <v>162</v>
      </c>
      <c r="AP38" s="177" t="s">
        <v>162</v>
      </c>
      <c r="AQ38" s="177" t="s">
        <v>162</v>
      </c>
      <c r="AR38" s="177" t="s">
        <v>214</v>
      </c>
      <c r="AS38" s="177" t="s">
        <v>224</v>
      </c>
      <c r="AT38" s="177" t="s">
        <v>223</v>
      </c>
      <c r="AU38" s="177" t="s">
        <v>228</v>
      </c>
      <c r="AV38" s="177" t="s">
        <v>230</v>
      </c>
      <c r="AW38" s="174">
        <v>238</v>
      </c>
      <c r="AX38" s="174">
        <v>3.4510000000000001</v>
      </c>
      <c r="AY38" s="184" t="s">
        <v>232</v>
      </c>
      <c r="AZ38" s="177" t="s">
        <v>163</v>
      </c>
      <c r="BA38" s="177" t="s">
        <v>164</v>
      </c>
      <c r="BB38" s="177" t="s">
        <v>265</v>
      </c>
      <c r="BC38" s="177">
        <v>2</v>
      </c>
      <c r="BD38" s="186">
        <v>0.10386956338466824</v>
      </c>
      <c r="BE38" s="187">
        <v>12.024809980019601</v>
      </c>
      <c r="BF38" s="177" t="s">
        <v>233</v>
      </c>
      <c r="BG38" s="177">
        <v>0.23392245348705201</v>
      </c>
      <c r="BH38" s="150">
        <v>1.02</v>
      </c>
      <c r="BI38" s="150" t="s">
        <v>281</v>
      </c>
      <c r="BJ38" s="150">
        <v>0.5</v>
      </c>
      <c r="BK38" s="150">
        <v>-2.4900000000000002</v>
      </c>
      <c r="BL38" s="150" t="s">
        <v>282</v>
      </c>
      <c r="BM38" s="150">
        <v>9.01</v>
      </c>
      <c r="BN38" s="150" t="s">
        <v>283</v>
      </c>
      <c r="BO38" s="150" t="s">
        <v>284</v>
      </c>
      <c r="BP38" s="189">
        <v>14.212362745098</v>
      </c>
      <c r="BQ38" s="177" t="s">
        <v>287</v>
      </c>
      <c r="BR38" s="190" t="s">
        <v>288</v>
      </c>
      <c r="BS38" s="177" t="s">
        <v>286</v>
      </c>
      <c r="BT38" s="177" t="s">
        <v>289</v>
      </c>
      <c r="BU38" s="177">
        <v>25</v>
      </c>
      <c r="BV38" s="177" t="s">
        <v>165</v>
      </c>
      <c r="BW38" s="177" t="s">
        <v>165</v>
      </c>
      <c r="BX38" s="187">
        <v>21.109669283472599</v>
      </c>
      <c r="BY38" s="177" t="s">
        <v>290</v>
      </c>
      <c r="BZ38" s="186">
        <v>0.62663060365768097</v>
      </c>
      <c r="CA38" s="186">
        <v>0.67356399221751995</v>
      </c>
      <c r="CB38" s="177" t="s">
        <v>291</v>
      </c>
      <c r="CC38" s="177">
        <v>2.20758192588944</v>
      </c>
      <c r="CD38" s="177" t="s">
        <v>292</v>
      </c>
      <c r="CE38" s="177">
        <v>6.6227457776683193E-2</v>
      </c>
      <c r="CF38" s="177">
        <v>6.6227457776683193E-2</v>
      </c>
      <c r="CG38" s="177" t="s">
        <v>295</v>
      </c>
      <c r="CH38" s="177" t="s">
        <v>162</v>
      </c>
      <c r="CI38" s="177" t="s">
        <v>293</v>
      </c>
      <c r="CJ38" s="177" t="s">
        <v>296</v>
      </c>
      <c r="CK38" s="177" t="s">
        <v>165</v>
      </c>
      <c r="CL38" s="177" t="s">
        <v>165</v>
      </c>
      <c r="CM38" s="177" t="s">
        <v>294</v>
      </c>
      <c r="CN38" s="177" t="s">
        <v>162</v>
      </c>
      <c r="CO38" s="177" t="s">
        <v>162</v>
      </c>
      <c r="CP38" s="177" t="s">
        <v>162</v>
      </c>
      <c r="CQ38" s="177" t="s">
        <v>162</v>
      </c>
      <c r="CR38" s="177" t="s">
        <v>162</v>
      </c>
      <c r="CS38" s="177" t="s">
        <v>162</v>
      </c>
      <c r="CT38" s="177" t="s">
        <v>162</v>
      </c>
      <c r="CU38" s="191">
        <v>35</v>
      </c>
      <c r="CV38" s="177" t="s">
        <v>161</v>
      </c>
      <c r="CW38" s="177">
        <v>1</v>
      </c>
      <c r="CX38" s="177" t="s">
        <v>297</v>
      </c>
      <c r="CY38" s="177">
        <v>17</v>
      </c>
      <c r="CZ38" s="177" t="s">
        <v>170</v>
      </c>
      <c r="DA38" s="177" t="s">
        <v>170</v>
      </c>
      <c r="DB38" s="177" t="s">
        <v>298</v>
      </c>
      <c r="DC38" s="177">
        <v>38</v>
      </c>
      <c r="DD38" s="177" t="s">
        <v>170</v>
      </c>
      <c r="DE38" s="177" t="s">
        <v>170</v>
      </c>
      <c r="DF38" s="177" t="s">
        <v>298</v>
      </c>
      <c r="DG38" s="177" t="s">
        <v>166</v>
      </c>
      <c r="DH38" s="177" t="s">
        <v>167</v>
      </c>
      <c r="DI38" s="177" t="s">
        <v>167</v>
      </c>
      <c r="DJ38" s="177" t="s">
        <v>167</v>
      </c>
      <c r="DK38" s="192">
        <v>432.56244218316402</v>
      </c>
      <c r="DL38" s="177" t="s">
        <v>168</v>
      </c>
      <c r="DM38" s="192">
        <v>12.3589269195228</v>
      </c>
      <c r="DN38" s="177" t="s">
        <v>169</v>
      </c>
      <c r="DO38" s="177">
        <v>38.700000000000003</v>
      </c>
      <c r="DP38" s="177" t="s">
        <v>299</v>
      </c>
      <c r="DQ38" s="177">
        <v>0.2</v>
      </c>
      <c r="DR38" s="177" t="s">
        <v>300</v>
      </c>
      <c r="DS38" s="177" t="s">
        <v>301</v>
      </c>
      <c r="DT38" s="177" t="s">
        <v>302</v>
      </c>
      <c r="DU38" s="177">
        <v>1.0271999999999999</v>
      </c>
      <c r="DV38" s="177" t="s">
        <v>170</v>
      </c>
      <c r="DW38" s="177" t="s">
        <v>170</v>
      </c>
      <c r="DX38" s="177" t="s">
        <v>177</v>
      </c>
      <c r="DY38" s="177" t="s">
        <v>170</v>
      </c>
      <c r="DZ38" s="177" t="s">
        <v>170</v>
      </c>
      <c r="EA38" s="177" t="s">
        <v>303</v>
      </c>
      <c r="EB38" s="177" t="s">
        <v>171</v>
      </c>
      <c r="EC38" s="177" t="s">
        <v>304</v>
      </c>
      <c r="ED38" s="177" t="s">
        <v>304</v>
      </c>
      <c r="EE38" s="177" t="s">
        <v>304</v>
      </c>
      <c r="EF38" s="177" t="s">
        <v>304</v>
      </c>
      <c r="EG38" s="177" t="s">
        <v>162</v>
      </c>
      <c r="EH38" s="177" t="s">
        <v>172</v>
      </c>
      <c r="EI38" s="177" t="s">
        <v>305</v>
      </c>
      <c r="EJ38" s="177" t="s">
        <v>162</v>
      </c>
      <c r="EK38" s="193">
        <v>1750</v>
      </c>
      <c r="EL38" s="177" t="s">
        <v>173</v>
      </c>
      <c r="EM38" s="177">
        <v>150</v>
      </c>
      <c r="EN38" s="177">
        <v>150</v>
      </c>
      <c r="EO38" s="177" t="s">
        <v>306</v>
      </c>
      <c r="EP38" s="177" t="s">
        <v>306</v>
      </c>
      <c r="EQ38" s="177" t="s">
        <v>306</v>
      </c>
      <c r="ER38" s="177" t="s">
        <v>306</v>
      </c>
      <c r="ES38" s="177">
        <v>7.8246438797854001</v>
      </c>
      <c r="ET38" s="194" t="s">
        <v>174</v>
      </c>
      <c r="EU38" s="195">
        <v>3.53460575953565E-2</v>
      </c>
      <c r="EV38" s="195">
        <v>3.53460575953565E-2</v>
      </c>
      <c r="EW38" s="178">
        <v>737.99353813452899</v>
      </c>
      <c r="EX38" s="194">
        <v>0</v>
      </c>
      <c r="EY38" s="194" t="s">
        <v>308</v>
      </c>
      <c r="EZ38" s="178">
        <v>737.99353813452899</v>
      </c>
      <c r="FA38" s="178">
        <v>149.19514988188996</v>
      </c>
      <c r="FB38" s="178">
        <v>118.44373143917994</v>
      </c>
      <c r="FC38" s="196" t="s">
        <v>309</v>
      </c>
      <c r="FD38" s="177" t="s">
        <v>310</v>
      </c>
      <c r="FE38" s="177" t="s">
        <v>175</v>
      </c>
      <c r="FF38" s="177" t="s">
        <v>175</v>
      </c>
      <c r="FG38" s="177" t="s">
        <v>175</v>
      </c>
      <c r="FH38" s="177">
        <v>1845.5601253447701</v>
      </c>
      <c r="FI38" s="177">
        <v>191.12012250231001</v>
      </c>
      <c r="FJ38" s="177">
        <v>192.92379334771201</v>
      </c>
      <c r="FK38" s="177">
        <v>5.9512579151903999</v>
      </c>
      <c r="FL38" s="177">
        <v>0.76294535370097805</v>
      </c>
      <c r="FM38" s="177">
        <v>0.75152553340615802</v>
      </c>
      <c r="FN38" s="177">
        <v>3.79096315270891</v>
      </c>
      <c r="FO38" s="177">
        <v>0.49421626996176898</v>
      </c>
      <c r="FP38" s="177">
        <v>0.48223892985526601</v>
      </c>
      <c r="FQ38" s="177" t="s">
        <v>317</v>
      </c>
    </row>
    <row r="39" spans="1:173" s="150" customFormat="1">
      <c r="A39" s="150" t="s">
        <v>152</v>
      </c>
      <c r="B39" s="150" t="s">
        <v>156</v>
      </c>
      <c r="C39" s="150">
        <v>2020</v>
      </c>
      <c r="D39" s="150" t="s">
        <v>194</v>
      </c>
      <c r="E39" s="178">
        <v>39933.570861816406</v>
      </c>
      <c r="F39" s="150">
        <v>1</v>
      </c>
      <c r="G39" s="150">
        <v>1</v>
      </c>
      <c r="H39" s="179">
        <v>641.10485628243805</v>
      </c>
      <c r="I39" s="179">
        <v>121.52819996063295</v>
      </c>
      <c r="J39" s="179">
        <v>104.29318218483604</v>
      </c>
      <c r="K39" s="150" t="s">
        <v>157</v>
      </c>
      <c r="L39" s="199" t="s">
        <v>158</v>
      </c>
      <c r="M39" s="200" t="s">
        <v>195</v>
      </c>
      <c r="N39" s="150" t="s">
        <v>194</v>
      </c>
      <c r="O39" s="150" t="s">
        <v>197</v>
      </c>
      <c r="P39" s="150" t="s">
        <v>200</v>
      </c>
      <c r="Q39" s="150">
        <v>8</v>
      </c>
      <c r="R39" s="150">
        <v>2</v>
      </c>
      <c r="S39" s="150">
        <v>94</v>
      </c>
      <c r="T39" s="150">
        <v>106</v>
      </c>
      <c r="U39" s="150">
        <v>115.06</v>
      </c>
      <c r="V39" s="128">
        <v>136.57</v>
      </c>
      <c r="W39" s="150" t="s">
        <v>204</v>
      </c>
      <c r="X39" s="150" t="s">
        <v>208</v>
      </c>
      <c r="Y39" s="201">
        <v>-28.53295</v>
      </c>
      <c r="Z39" s="201">
        <v>2.7795670000000001</v>
      </c>
      <c r="AA39" s="201">
        <v>-38</v>
      </c>
      <c r="AB39" s="202" t="s">
        <v>162</v>
      </c>
      <c r="AC39" s="202">
        <v>-2717</v>
      </c>
      <c r="AD39" s="201">
        <v>-2000</v>
      </c>
      <c r="AE39" s="150" t="s">
        <v>213</v>
      </c>
      <c r="AF39" s="150" t="s">
        <v>160</v>
      </c>
      <c r="AG39" s="178">
        <v>39933.570861816406</v>
      </c>
      <c r="AH39" s="203" t="s">
        <v>215</v>
      </c>
      <c r="AI39" s="150">
        <v>1</v>
      </c>
      <c r="AJ39" s="150">
        <v>1</v>
      </c>
      <c r="AK39" s="150" t="s">
        <v>214</v>
      </c>
      <c r="AL39" s="150" t="s">
        <v>216</v>
      </c>
      <c r="AM39" s="204" t="s">
        <v>219</v>
      </c>
      <c r="AN39" s="150">
        <v>39.889766693115234</v>
      </c>
      <c r="AO39" s="150" t="s">
        <v>162</v>
      </c>
      <c r="AP39" s="150" t="s">
        <v>162</v>
      </c>
      <c r="AQ39" s="150" t="s">
        <v>162</v>
      </c>
      <c r="AR39" s="150" t="s">
        <v>214</v>
      </c>
      <c r="AS39" s="150" t="s">
        <v>220</v>
      </c>
      <c r="AT39" s="150" t="s">
        <v>222</v>
      </c>
      <c r="AU39" s="150" t="s">
        <v>229</v>
      </c>
      <c r="AV39" s="150" t="s">
        <v>230</v>
      </c>
      <c r="AW39" s="174">
        <v>202</v>
      </c>
      <c r="AX39" s="174">
        <v>2.4380000000000002</v>
      </c>
      <c r="AY39" s="203" t="s">
        <v>232</v>
      </c>
      <c r="AZ39" s="150" t="s">
        <v>163</v>
      </c>
      <c r="BA39" s="150" t="s">
        <v>164</v>
      </c>
      <c r="BB39" s="150" t="s">
        <v>266</v>
      </c>
      <c r="BC39" s="150">
        <v>2</v>
      </c>
      <c r="BD39" s="205">
        <v>0.31860731751218196</v>
      </c>
      <c r="BE39" s="206">
        <v>13.402425431610601</v>
      </c>
      <c r="BF39" s="150" t="s">
        <v>233</v>
      </c>
      <c r="BG39" s="150">
        <v>0.24955060747617999</v>
      </c>
      <c r="BH39" s="177">
        <v>0.95</v>
      </c>
      <c r="BI39" s="177" t="s">
        <v>281</v>
      </c>
      <c r="BJ39" s="177">
        <v>0.17</v>
      </c>
      <c r="BK39" s="177">
        <v>-0.42</v>
      </c>
      <c r="BL39" s="177" t="s">
        <v>282</v>
      </c>
      <c r="BM39" s="177">
        <v>2.85</v>
      </c>
      <c r="BN39" s="177" t="s">
        <v>285</v>
      </c>
      <c r="BO39" s="177" t="s">
        <v>284</v>
      </c>
      <c r="BP39" s="207">
        <v>14.5978210526316</v>
      </c>
      <c r="BQ39" s="177" t="s">
        <v>287</v>
      </c>
      <c r="BR39" s="190" t="s">
        <v>288</v>
      </c>
      <c r="BS39" s="177" t="s">
        <v>286</v>
      </c>
      <c r="BT39" s="177" t="s">
        <v>289</v>
      </c>
      <c r="BU39" s="177">
        <v>25</v>
      </c>
      <c r="BV39" s="177" t="s">
        <v>165</v>
      </c>
      <c r="BW39" s="177" t="s">
        <v>165</v>
      </c>
      <c r="BX39" s="187">
        <v>26.410217030301101</v>
      </c>
      <c r="BY39" s="177" t="s">
        <v>290</v>
      </c>
      <c r="BZ39" s="186">
        <v>0.59947716551405295</v>
      </c>
      <c r="CA39" s="186">
        <v>0.65344721376333903</v>
      </c>
      <c r="CB39" s="177" t="s">
        <v>291</v>
      </c>
      <c r="CC39" s="177">
        <v>2.98674474342143</v>
      </c>
      <c r="CD39" s="177" t="s">
        <v>292</v>
      </c>
      <c r="CE39" s="150">
        <v>8.9602342302642898E-2</v>
      </c>
      <c r="CF39" s="150">
        <v>8.9602342302642898E-2</v>
      </c>
      <c r="CG39" s="177" t="s">
        <v>295</v>
      </c>
      <c r="CH39" s="177" t="s">
        <v>162</v>
      </c>
      <c r="CI39" s="177" t="s">
        <v>293</v>
      </c>
      <c r="CJ39" s="177" t="s">
        <v>296</v>
      </c>
      <c r="CK39" s="177" t="s">
        <v>165</v>
      </c>
      <c r="CL39" s="177" t="s">
        <v>165</v>
      </c>
      <c r="CM39" s="177" t="s">
        <v>294</v>
      </c>
      <c r="CN39" s="177" t="s">
        <v>162</v>
      </c>
      <c r="CO39" s="177" t="s">
        <v>162</v>
      </c>
      <c r="CP39" s="177" t="s">
        <v>162</v>
      </c>
      <c r="CQ39" s="177" t="s">
        <v>162</v>
      </c>
      <c r="CR39" s="177" t="s">
        <v>162</v>
      </c>
      <c r="CS39" s="177" t="s">
        <v>162</v>
      </c>
      <c r="CT39" s="177" t="s">
        <v>162</v>
      </c>
      <c r="CU39" s="191">
        <v>35</v>
      </c>
      <c r="CV39" s="177" t="s">
        <v>161</v>
      </c>
      <c r="CW39" s="177">
        <v>1</v>
      </c>
      <c r="CX39" s="177" t="s">
        <v>297</v>
      </c>
      <c r="CY39" s="177">
        <v>17</v>
      </c>
      <c r="CZ39" s="177" t="s">
        <v>170</v>
      </c>
      <c r="DA39" s="177" t="s">
        <v>170</v>
      </c>
      <c r="DB39" s="177" t="s">
        <v>298</v>
      </c>
      <c r="DC39" s="177">
        <v>38</v>
      </c>
      <c r="DD39" s="177" t="s">
        <v>170</v>
      </c>
      <c r="DE39" s="177" t="s">
        <v>170</v>
      </c>
      <c r="DF39" s="177" t="s">
        <v>298</v>
      </c>
      <c r="DG39" s="177" t="s">
        <v>166</v>
      </c>
      <c r="DH39" s="177" t="s">
        <v>167</v>
      </c>
      <c r="DI39" s="177" t="s">
        <v>167</v>
      </c>
      <c r="DJ39" s="177" t="s">
        <v>167</v>
      </c>
      <c r="DK39" s="192">
        <v>432.56244218316402</v>
      </c>
      <c r="DL39" s="177" t="s">
        <v>168</v>
      </c>
      <c r="DM39" s="192">
        <v>12.358926919523</v>
      </c>
      <c r="DN39" s="177" t="s">
        <v>169</v>
      </c>
      <c r="DO39" s="177">
        <v>38.700000000000003</v>
      </c>
      <c r="DP39" s="177" t="s">
        <v>299</v>
      </c>
      <c r="DQ39" s="177">
        <v>0.2</v>
      </c>
      <c r="DR39" s="177" t="s">
        <v>300</v>
      </c>
      <c r="DS39" s="177" t="s">
        <v>301</v>
      </c>
      <c r="DT39" s="177" t="s">
        <v>302</v>
      </c>
      <c r="DU39" s="177">
        <v>1.0271999999999999</v>
      </c>
      <c r="DV39" s="177" t="s">
        <v>170</v>
      </c>
      <c r="DW39" s="177" t="s">
        <v>170</v>
      </c>
      <c r="DX39" s="177" t="s">
        <v>177</v>
      </c>
      <c r="DY39" s="177" t="s">
        <v>170</v>
      </c>
      <c r="DZ39" s="177" t="s">
        <v>170</v>
      </c>
      <c r="EA39" s="177" t="s">
        <v>303</v>
      </c>
      <c r="EB39" s="177" t="s">
        <v>171</v>
      </c>
      <c r="EC39" s="177" t="s">
        <v>304</v>
      </c>
      <c r="ED39" s="177" t="s">
        <v>304</v>
      </c>
      <c r="EE39" s="177" t="s">
        <v>304</v>
      </c>
      <c r="EF39" s="177" t="s">
        <v>304</v>
      </c>
      <c r="EG39" s="177" t="s">
        <v>162</v>
      </c>
      <c r="EH39" s="177" t="s">
        <v>172</v>
      </c>
      <c r="EI39" s="177" t="s">
        <v>305</v>
      </c>
      <c r="EJ39" s="177" t="s">
        <v>162</v>
      </c>
      <c r="EK39" s="193">
        <v>1750</v>
      </c>
      <c r="EL39" s="177" t="s">
        <v>173</v>
      </c>
      <c r="EM39" s="177">
        <v>150</v>
      </c>
      <c r="EN39" s="177">
        <v>150</v>
      </c>
      <c r="EO39" s="177" t="s">
        <v>306</v>
      </c>
      <c r="EP39" s="177" t="s">
        <v>306</v>
      </c>
      <c r="EQ39" s="177" t="s">
        <v>306</v>
      </c>
      <c r="ER39" s="177" t="s">
        <v>306</v>
      </c>
      <c r="ES39" s="150">
        <v>7.8230368132795203</v>
      </c>
      <c r="ET39" s="194" t="s">
        <v>174</v>
      </c>
      <c r="EU39" s="208">
        <v>3.39983567727557E-2</v>
      </c>
      <c r="EV39" s="208">
        <v>3.39983567727557E-2</v>
      </c>
      <c r="EW39" s="209">
        <v>641.10485628243805</v>
      </c>
      <c r="EX39" s="194">
        <v>0</v>
      </c>
      <c r="EY39" s="194" t="s">
        <v>308</v>
      </c>
      <c r="EZ39" s="209">
        <v>641.10485628243805</v>
      </c>
      <c r="FA39" s="209">
        <v>121.52819996063295</v>
      </c>
      <c r="FB39" s="209">
        <v>104.29318218483604</v>
      </c>
      <c r="FC39" s="196" t="s">
        <v>309</v>
      </c>
      <c r="FD39" s="177" t="s">
        <v>310</v>
      </c>
      <c r="FE39" s="177" t="s">
        <v>175</v>
      </c>
      <c r="FF39" s="177" t="s">
        <v>175</v>
      </c>
      <c r="FG39" s="177" t="s">
        <v>175</v>
      </c>
      <c r="FH39" s="150">
        <v>1852.46273079355</v>
      </c>
      <c r="FI39" s="150">
        <v>198.90304544858699</v>
      </c>
      <c r="FJ39" s="150">
        <v>195.73941431825901</v>
      </c>
      <c r="FK39" s="150">
        <v>6.7006013421775803</v>
      </c>
      <c r="FL39" s="150">
        <v>0.85468939695716595</v>
      </c>
      <c r="FM39" s="150">
        <v>0.79272456418234405</v>
      </c>
      <c r="FN39" s="150">
        <v>4.2601690963932803</v>
      </c>
      <c r="FO39" s="150">
        <v>0.54551930957375205</v>
      </c>
      <c r="FP39" s="150">
        <v>0.50970818705527698</v>
      </c>
      <c r="FQ39" s="177" t="s">
        <v>317</v>
      </c>
    </row>
    <row r="40" spans="1:173" s="177" customFormat="1">
      <c r="A40" s="128" t="s">
        <v>152</v>
      </c>
      <c r="B40" s="177" t="s">
        <v>156</v>
      </c>
      <c r="C40" s="177">
        <v>2020</v>
      </c>
      <c r="D40" s="177" t="s">
        <v>194</v>
      </c>
      <c r="E40" s="178">
        <v>39989.673614501953</v>
      </c>
      <c r="F40" s="177">
        <v>1</v>
      </c>
      <c r="G40" s="177">
        <v>1</v>
      </c>
      <c r="H40" s="179">
        <v>588.75734323702</v>
      </c>
      <c r="I40" s="179">
        <v>112.27490879800803</v>
      </c>
      <c r="J40" s="179">
        <v>89.054361494588989</v>
      </c>
      <c r="K40" s="177" t="s">
        <v>157</v>
      </c>
      <c r="L40" s="180" t="s">
        <v>158</v>
      </c>
      <c r="M40" s="181" t="s">
        <v>195</v>
      </c>
      <c r="N40" s="177" t="s">
        <v>194</v>
      </c>
      <c r="O40" s="177" t="s">
        <v>197</v>
      </c>
      <c r="P40" s="177" t="s">
        <v>200</v>
      </c>
      <c r="Q40" s="177">
        <v>8</v>
      </c>
      <c r="R40" s="177">
        <v>3</v>
      </c>
      <c r="S40" s="177">
        <v>100</v>
      </c>
      <c r="T40" s="177">
        <v>102</v>
      </c>
      <c r="U40" s="177">
        <v>116.52</v>
      </c>
      <c r="V40" s="177">
        <v>138.07999999999998</v>
      </c>
      <c r="W40" s="177" t="s">
        <v>204</v>
      </c>
      <c r="X40" s="177" t="s">
        <v>208</v>
      </c>
      <c r="Y40" s="182">
        <v>-28.53295</v>
      </c>
      <c r="Z40" s="182">
        <v>2.7795670000000001</v>
      </c>
      <c r="AA40" s="182">
        <v>-38</v>
      </c>
      <c r="AB40" s="183" t="s">
        <v>162</v>
      </c>
      <c r="AC40" s="183">
        <v>-2717</v>
      </c>
      <c r="AD40" s="182">
        <v>-2000</v>
      </c>
      <c r="AE40" s="177" t="s">
        <v>213</v>
      </c>
      <c r="AF40" s="177" t="s">
        <v>160</v>
      </c>
      <c r="AG40" s="178">
        <v>39989.673614501953</v>
      </c>
      <c r="AH40" s="184" t="s">
        <v>215</v>
      </c>
      <c r="AI40" s="177">
        <v>1</v>
      </c>
      <c r="AJ40" s="177">
        <v>1</v>
      </c>
      <c r="AK40" s="177" t="s">
        <v>214</v>
      </c>
      <c r="AL40" s="177" t="s">
        <v>216</v>
      </c>
      <c r="AM40" s="192" t="s">
        <v>219</v>
      </c>
      <c r="AN40" s="177">
        <v>40.012306213378906</v>
      </c>
      <c r="AO40" s="177" t="s">
        <v>162</v>
      </c>
      <c r="AP40" s="177" t="s">
        <v>162</v>
      </c>
      <c r="AQ40" s="177" t="s">
        <v>162</v>
      </c>
      <c r="AR40" s="177" t="s">
        <v>214</v>
      </c>
      <c r="AS40" s="177" t="s">
        <v>220</v>
      </c>
      <c r="AT40" s="177" t="s">
        <v>222</v>
      </c>
      <c r="AU40" s="177" t="s">
        <v>229</v>
      </c>
      <c r="AV40" s="177" t="s">
        <v>230</v>
      </c>
      <c r="AW40" s="174">
        <v>206</v>
      </c>
      <c r="AX40" s="174">
        <v>2.798</v>
      </c>
      <c r="AY40" s="184" t="s">
        <v>232</v>
      </c>
      <c r="AZ40" s="177" t="s">
        <v>163</v>
      </c>
      <c r="BA40" s="177" t="s">
        <v>164</v>
      </c>
      <c r="BB40" s="177" t="s">
        <v>267</v>
      </c>
      <c r="BC40" s="177">
        <v>2</v>
      </c>
      <c r="BD40" s="186">
        <v>0.29420083239582689</v>
      </c>
      <c r="BE40" s="187">
        <v>13.583034491087901</v>
      </c>
      <c r="BF40" s="177" t="s">
        <v>233</v>
      </c>
      <c r="BG40" s="177">
        <v>0.24729519744172901</v>
      </c>
      <c r="BH40" s="177">
        <v>0.95</v>
      </c>
      <c r="BI40" s="177" t="s">
        <v>281</v>
      </c>
      <c r="BJ40" s="177">
        <v>0.17</v>
      </c>
      <c r="BK40" s="177">
        <v>-0.42</v>
      </c>
      <c r="BL40" s="177" t="s">
        <v>282</v>
      </c>
      <c r="BM40" s="177">
        <v>2.85</v>
      </c>
      <c r="BN40" s="177" t="s">
        <v>285</v>
      </c>
      <c r="BO40" s="177" t="s">
        <v>284</v>
      </c>
      <c r="BP40" s="189">
        <v>14.7879263157895</v>
      </c>
      <c r="BQ40" s="177" t="s">
        <v>287</v>
      </c>
      <c r="BR40" s="190" t="s">
        <v>288</v>
      </c>
      <c r="BS40" s="177" t="s">
        <v>286</v>
      </c>
      <c r="BT40" s="177" t="s">
        <v>289</v>
      </c>
      <c r="BU40" s="177">
        <v>25</v>
      </c>
      <c r="BV40" s="177" t="s">
        <v>165</v>
      </c>
      <c r="BW40" s="177" t="s">
        <v>165</v>
      </c>
      <c r="BX40" s="187">
        <v>27.363487498686698</v>
      </c>
      <c r="BY40" s="177" t="s">
        <v>290</v>
      </c>
      <c r="BZ40" s="186">
        <v>0.62567430136409596</v>
      </c>
      <c r="CA40" s="186">
        <v>0.60527833028591604</v>
      </c>
      <c r="CB40" s="177" t="s">
        <v>291</v>
      </c>
      <c r="CC40" s="177">
        <v>3.1212009256370798</v>
      </c>
      <c r="CD40" s="177" t="s">
        <v>292</v>
      </c>
      <c r="CE40" s="177">
        <v>9.3636027769112395E-2</v>
      </c>
      <c r="CF40" s="177">
        <v>9.3636027769112395E-2</v>
      </c>
      <c r="CG40" s="177" t="s">
        <v>295</v>
      </c>
      <c r="CH40" s="177" t="s">
        <v>162</v>
      </c>
      <c r="CI40" s="177" t="s">
        <v>293</v>
      </c>
      <c r="CJ40" s="177" t="s">
        <v>296</v>
      </c>
      <c r="CK40" s="177" t="s">
        <v>165</v>
      </c>
      <c r="CL40" s="177" t="s">
        <v>165</v>
      </c>
      <c r="CM40" s="177" t="s">
        <v>294</v>
      </c>
      <c r="CN40" s="177" t="s">
        <v>162</v>
      </c>
      <c r="CO40" s="177" t="s">
        <v>162</v>
      </c>
      <c r="CP40" s="177" t="s">
        <v>162</v>
      </c>
      <c r="CQ40" s="177" t="s">
        <v>162</v>
      </c>
      <c r="CR40" s="177" t="s">
        <v>162</v>
      </c>
      <c r="CS40" s="177" t="s">
        <v>162</v>
      </c>
      <c r="CT40" s="177" t="s">
        <v>162</v>
      </c>
      <c r="CU40" s="191">
        <v>35</v>
      </c>
      <c r="CV40" s="177" t="s">
        <v>161</v>
      </c>
      <c r="CW40" s="177">
        <v>1</v>
      </c>
      <c r="CX40" s="177" t="s">
        <v>297</v>
      </c>
      <c r="CY40" s="177">
        <v>17</v>
      </c>
      <c r="CZ40" s="177" t="s">
        <v>170</v>
      </c>
      <c r="DA40" s="177" t="s">
        <v>170</v>
      </c>
      <c r="DB40" s="177" t="s">
        <v>298</v>
      </c>
      <c r="DC40" s="177">
        <v>38</v>
      </c>
      <c r="DD40" s="177" t="s">
        <v>170</v>
      </c>
      <c r="DE40" s="177" t="s">
        <v>170</v>
      </c>
      <c r="DF40" s="177" t="s">
        <v>298</v>
      </c>
      <c r="DG40" s="177" t="s">
        <v>166</v>
      </c>
      <c r="DH40" s="177" t="s">
        <v>167</v>
      </c>
      <c r="DI40" s="177" t="s">
        <v>167</v>
      </c>
      <c r="DJ40" s="177" t="s">
        <v>167</v>
      </c>
      <c r="DK40" s="192">
        <v>432.56244218316402</v>
      </c>
      <c r="DL40" s="177" t="s">
        <v>168</v>
      </c>
      <c r="DM40" s="192">
        <v>12.3589269195231</v>
      </c>
      <c r="DN40" s="177" t="s">
        <v>169</v>
      </c>
      <c r="DO40" s="177">
        <v>38.700000000000003</v>
      </c>
      <c r="DP40" s="177" t="s">
        <v>299</v>
      </c>
      <c r="DQ40" s="177">
        <v>0.2</v>
      </c>
      <c r="DR40" s="177" t="s">
        <v>300</v>
      </c>
      <c r="DS40" s="177" t="s">
        <v>301</v>
      </c>
      <c r="DT40" s="177" t="s">
        <v>302</v>
      </c>
      <c r="DU40" s="177">
        <v>1.0271999999999999</v>
      </c>
      <c r="DV40" s="177" t="s">
        <v>170</v>
      </c>
      <c r="DW40" s="177" t="s">
        <v>170</v>
      </c>
      <c r="DX40" s="177" t="s">
        <v>177</v>
      </c>
      <c r="DY40" s="177" t="s">
        <v>170</v>
      </c>
      <c r="DZ40" s="177" t="s">
        <v>170</v>
      </c>
      <c r="EA40" s="177" t="s">
        <v>303</v>
      </c>
      <c r="EB40" s="177" t="s">
        <v>171</v>
      </c>
      <c r="EC40" s="177" t="s">
        <v>304</v>
      </c>
      <c r="ED40" s="177" t="s">
        <v>304</v>
      </c>
      <c r="EE40" s="177" t="s">
        <v>304</v>
      </c>
      <c r="EF40" s="177" t="s">
        <v>304</v>
      </c>
      <c r="EG40" s="177" t="s">
        <v>162</v>
      </c>
      <c r="EH40" s="177" t="s">
        <v>172</v>
      </c>
      <c r="EI40" s="177" t="s">
        <v>305</v>
      </c>
      <c r="EJ40" s="177" t="s">
        <v>162</v>
      </c>
      <c r="EK40" s="193">
        <v>1750</v>
      </c>
      <c r="EL40" s="177" t="s">
        <v>173</v>
      </c>
      <c r="EM40" s="177">
        <v>150</v>
      </c>
      <c r="EN40" s="177">
        <v>150</v>
      </c>
      <c r="EO40" s="177" t="s">
        <v>306</v>
      </c>
      <c r="EP40" s="177" t="s">
        <v>306</v>
      </c>
      <c r="EQ40" s="177" t="s">
        <v>306</v>
      </c>
      <c r="ER40" s="177" t="s">
        <v>306</v>
      </c>
      <c r="ES40" s="177">
        <v>7.8427612686363704</v>
      </c>
      <c r="ET40" s="194" t="s">
        <v>174</v>
      </c>
      <c r="EU40" s="195">
        <v>3.0869326089696902E-2</v>
      </c>
      <c r="EV40" s="195">
        <v>3.0869326089696902E-2</v>
      </c>
      <c r="EW40" s="178">
        <v>588.75734323702</v>
      </c>
      <c r="EX40" s="194">
        <v>0</v>
      </c>
      <c r="EY40" s="194" t="s">
        <v>308</v>
      </c>
      <c r="EZ40" s="178">
        <v>588.75734323702</v>
      </c>
      <c r="FA40" s="178">
        <v>112.27490879800803</v>
      </c>
      <c r="FB40" s="178">
        <v>89.054361494588989</v>
      </c>
      <c r="FC40" s="196" t="s">
        <v>309</v>
      </c>
      <c r="FD40" s="177" t="s">
        <v>310</v>
      </c>
      <c r="FE40" s="177" t="s">
        <v>175</v>
      </c>
      <c r="FF40" s="177" t="s">
        <v>175</v>
      </c>
      <c r="FG40" s="177" t="s">
        <v>175</v>
      </c>
      <c r="FH40" s="177">
        <v>1837.0171504579801</v>
      </c>
      <c r="FI40" s="177">
        <v>204.95434906460099</v>
      </c>
      <c r="FJ40" s="177">
        <v>190.16749259851201</v>
      </c>
      <c r="FK40" s="177">
        <v>5.7694923255349799</v>
      </c>
      <c r="FL40" s="177">
        <v>0.75165502224712499</v>
      </c>
      <c r="FM40" s="177">
        <v>0.68073363241325202</v>
      </c>
      <c r="FN40" s="177">
        <v>3.6141286247236599</v>
      </c>
      <c r="FO40" s="177">
        <v>0.47628645841666301</v>
      </c>
      <c r="FP40" s="177">
        <v>0.43373533034078798</v>
      </c>
      <c r="FQ40" s="177" t="s">
        <v>317</v>
      </c>
    </row>
    <row r="41" spans="1:173" s="177" customFormat="1">
      <c r="A41" s="128" t="s">
        <v>152</v>
      </c>
      <c r="B41" s="177" t="s">
        <v>156</v>
      </c>
      <c r="C41" s="177">
        <v>2020</v>
      </c>
      <c r="D41" s="177" t="s">
        <v>194</v>
      </c>
      <c r="E41" s="178">
        <v>40074.131011962891</v>
      </c>
      <c r="F41" s="177">
        <v>1</v>
      </c>
      <c r="G41" s="177">
        <v>1</v>
      </c>
      <c r="H41" s="179">
        <v>724.68439342267902</v>
      </c>
      <c r="I41" s="179">
        <v>143.99618926778294</v>
      </c>
      <c r="J41" s="179">
        <v>116.84973151816598</v>
      </c>
      <c r="K41" s="177" t="s">
        <v>157</v>
      </c>
      <c r="L41" s="180" t="s">
        <v>158</v>
      </c>
      <c r="M41" s="181" t="s">
        <v>195</v>
      </c>
      <c r="N41" s="177" t="s">
        <v>194</v>
      </c>
      <c r="O41" s="177" t="s">
        <v>197</v>
      </c>
      <c r="P41" s="177" t="s">
        <v>200</v>
      </c>
      <c r="Q41" s="177">
        <v>8</v>
      </c>
      <c r="R41" s="177">
        <v>5</v>
      </c>
      <c r="S41" s="177">
        <v>36</v>
      </c>
      <c r="T41" s="177">
        <v>41</v>
      </c>
      <c r="U41" s="177">
        <v>118.91</v>
      </c>
      <c r="V41" s="177">
        <v>140.45499999999998</v>
      </c>
      <c r="W41" s="177" t="s">
        <v>204</v>
      </c>
      <c r="X41" s="177" t="s">
        <v>208</v>
      </c>
      <c r="Y41" s="182">
        <v>-28.53295</v>
      </c>
      <c r="Z41" s="182">
        <v>2.7795670000000001</v>
      </c>
      <c r="AA41" s="182">
        <v>-38</v>
      </c>
      <c r="AB41" s="183" t="s">
        <v>162</v>
      </c>
      <c r="AC41" s="183">
        <v>-2717</v>
      </c>
      <c r="AD41" s="182">
        <v>-2000</v>
      </c>
      <c r="AE41" s="177" t="s">
        <v>213</v>
      </c>
      <c r="AF41" s="177" t="s">
        <v>160</v>
      </c>
      <c r="AG41" s="178">
        <v>40074.131011962891</v>
      </c>
      <c r="AH41" s="184" t="s">
        <v>215</v>
      </c>
      <c r="AI41" s="177">
        <v>1</v>
      </c>
      <c r="AJ41" s="177">
        <v>1</v>
      </c>
      <c r="AK41" s="177" t="s">
        <v>214</v>
      </c>
      <c r="AL41" s="177" t="s">
        <v>216</v>
      </c>
      <c r="AM41" s="192" t="s">
        <v>219</v>
      </c>
      <c r="AN41" s="177">
        <v>40.204547882080078</v>
      </c>
      <c r="AO41" s="177" t="s">
        <v>162</v>
      </c>
      <c r="AP41" s="177" t="s">
        <v>162</v>
      </c>
      <c r="AQ41" s="177" t="s">
        <v>162</v>
      </c>
      <c r="AR41" s="177" t="s">
        <v>214</v>
      </c>
      <c r="AS41" s="177" t="s">
        <v>220</v>
      </c>
      <c r="AT41" s="177" t="s">
        <v>222</v>
      </c>
      <c r="AU41" s="177" t="s">
        <v>229</v>
      </c>
      <c r="AV41" s="177" t="s">
        <v>230</v>
      </c>
      <c r="AW41" s="174">
        <v>218</v>
      </c>
      <c r="AX41" s="174">
        <v>3.2490000000000001</v>
      </c>
      <c r="AY41" s="184" t="s">
        <v>232</v>
      </c>
      <c r="AZ41" s="177" t="s">
        <v>163</v>
      </c>
      <c r="BA41" s="177" t="s">
        <v>164</v>
      </c>
      <c r="BB41" s="177" t="s">
        <v>274</v>
      </c>
      <c r="BC41" s="177">
        <v>2</v>
      </c>
      <c r="BD41" s="186">
        <v>0.13806949064024643</v>
      </c>
      <c r="BE41" s="187">
        <v>13.4818938664553</v>
      </c>
      <c r="BF41" s="177" t="s">
        <v>233</v>
      </c>
      <c r="BG41" s="177">
        <v>0.24031225151899299</v>
      </c>
      <c r="BH41" s="177">
        <v>0.95</v>
      </c>
      <c r="BI41" s="177" t="s">
        <v>281</v>
      </c>
      <c r="BJ41" s="177">
        <v>0.17</v>
      </c>
      <c r="BK41" s="177">
        <v>-0.42</v>
      </c>
      <c r="BL41" s="177" t="s">
        <v>282</v>
      </c>
      <c r="BM41" s="177">
        <v>2.85</v>
      </c>
      <c r="BN41" s="177" t="s">
        <v>285</v>
      </c>
      <c r="BO41" s="177" t="s">
        <v>284</v>
      </c>
      <c r="BP41" s="189">
        <v>14.681463157894701</v>
      </c>
      <c r="BQ41" s="177" t="s">
        <v>287</v>
      </c>
      <c r="BR41" s="190" t="s">
        <v>288</v>
      </c>
      <c r="BS41" s="177" t="s">
        <v>286</v>
      </c>
      <c r="BT41" s="177" t="s">
        <v>289</v>
      </c>
      <c r="BU41" s="177">
        <v>25</v>
      </c>
      <c r="BV41" s="177" t="s">
        <v>165</v>
      </c>
      <c r="BW41" s="177" t="s">
        <v>165</v>
      </c>
      <c r="BX41" s="187">
        <v>27.343046558283799</v>
      </c>
      <c r="BY41" s="177" t="s">
        <v>290</v>
      </c>
      <c r="BZ41" s="186">
        <v>0.64129222792962504</v>
      </c>
      <c r="CA41" s="186">
        <v>0.70886778353853996</v>
      </c>
      <c r="CB41" s="177" t="s">
        <v>291</v>
      </c>
      <c r="CC41" s="177">
        <v>3.1407007473400199</v>
      </c>
      <c r="CD41" s="177" t="s">
        <v>292</v>
      </c>
      <c r="CE41" s="177">
        <v>9.4221022420200598E-2</v>
      </c>
      <c r="CF41" s="177">
        <v>9.4221022420200598E-2</v>
      </c>
      <c r="CG41" s="177" t="s">
        <v>295</v>
      </c>
      <c r="CH41" s="177" t="s">
        <v>162</v>
      </c>
      <c r="CI41" s="177" t="s">
        <v>293</v>
      </c>
      <c r="CJ41" s="177" t="s">
        <v>296</v>
      </c>
      <c r="CK41" s="177" t="s">
        <v>165</v>
      </c>
      <c r="CL41" s="177" t="s">
        <v>165</v>
      </c>
      <c r="CM41" s="177" t="s">
        <v>294</v>
      </c>
      <c r="CN41" s="177" t="s">
        <v>162</v>
      </c>
      <c r="CO41" s="177" t="s">
        <v>162</v>
      </c>
      <c r="CP41" s="177" t="s">
        <v>162</v>
      </c>
      <c r="CQ41" s="177" t="s">
        <v>162</v>
      </c>
      <c r="CR41" s="177" t="s">
        <v>162</v>
      </c>
      <c r="CS41" s="177" t="s">
        <v>162</v>
      </c>
      <c r="CT41" s="177" t="s">
        <v>162</v>
      </c>
      <c r="CU41" s="191">
        <v>35</v>
      </c>
      <c r="CV41" s="177" t="s">
        <v>161</v>
      </c>
      <c r="CW41" s="177">
        <v>1</v>
      </c>
      <c r="CX41" s="177" t="s">
        <v>297</v>
      </c>
      <c r="CY41" s="177">
        <v>17</v>
      </c>
      <c r="CZ41" s="177" t="s">
        <v>170</v>
      </c>
      <c r="DA41" s="177" t="s">
        <v>170</v>
      </c>
      <c r="DB41" s="177" t="s">
        <v>298</v>
      </c>
      <c r="DC41" s="177">
        <v>38</v>
      </c>
      <c r="DD41" s="177" t="s">
        <v>170</v>
      </c>
      <c r="DE41" s="177" t="s">
        <v>170</v>
      </c>
      <c r="DF41" s="177" t="s">
        <v>298</v>
      </c>
      <c r="DG41" s="177" t="s">
        <v>166</v>
      </c>
      <c r="DH41" s="177" t="s">
        <v>167</v>
      </c>
      <c r="DI41" s="177" t="s">
        <v>167</v>
      </c>
      <c r="DJ41" s="177" t="s">
        <v>167</v>
      </c>
      <c r="DK41" s="192">
        <v>432.56244218316402</v>
      </c>
      <c r="DL41" s="177" t="s">
        <v>168</v>
      </c>
      <c r="DM41" s="192">
        <v>12.358926919523199</v>
      </c>
      <c r="DN41" s="177" t="s">
        <v>169</v>
      </c>
      <c r="DO41" s="177">
        <v>38.700000000000003</v>
      </c>
      <c r="DP41" s="177" t="s">
        <v>299</v>
      </c>
      <c r="DQ41" s="177">
        <v>0.2</v>
      </c>
      <c r="DR41" s="177" t="s">
        <v>300</v>
      </c>
      <c r="DS41" s="177" t="s">
        <v>301</v>
      </c>
      <c r="DT41" s="177" t="s">
        <v>302</v>
      </c>
      <c r="DU41" s="177">
        <v>1.0271999999999999</v>
      </c>
      <c r="DV41" s="177" t="s">
        <v>170</v>
      </c>
      <c r="DW41" s="177" t="s">
        <v>170</v>
      </c>
      <c r="DX41" s="177" t="s">
        <v>177</v>
      </c>
      <c r="DY41" s="177" t="s">
        <v>170</v>
      </c>
      <c r="DZ41" s="177" t="s">
        <v>170</v>
      </c>
      <c r="EA41" s="177" t="s">
        <v>303</v>
      </c>
      <c r="EB41" s="177" t="s">
        <v>171</v>
      </c>
      <c r="EC41" s="177" t="s">
        <v>304</v>
      </c>
      <c r="ED41" s="177" t="s">
        <v>304</v>
      </c>
      <c r="EE41" s="177" t="s">
        <v>304</v>
      </c>
      <c r="EF41" s="177" t="s">
        <v>304</v>
      </c>
      <c r="EG41" s="177" t="s">
        <v>162</v>
      </c>
      <c r="EH41" s="177" t="s">
        <v>172</v>
      </c>
      <c r="EI41" s="177" t="s">
        <v>305</v>
      </c>
      <c r="EJ41" s="177" t="s">
        <v>162</v>
      </c>
      <c r="EK41" s="193">
        <v>1750</v>
      </c>
      <c r="EL41" s="177" t="s">
        <v>173</v>
      </c>
      <c r="EM41" s="177">
        <v>150</v>
      </c>
      <c r="EN41" s="177">
        <v>150</v>
      </c>
      <c r="EO41" s="177" t="s">
        <v>306</v>
      </c>
      <c r="EP41" s="177" t="s">
        <v>306</v>
      </c>
      <c r="EQ41" s="177" t="s">
        <v>306</v>
      </c>
      <c r="ER41" s="177" t="s">
        <v>306</v>
      </c>
      <c r="ES41" s="177">
        <v>7.8272420221268604</v>
      </c>
      <c r="ET41" s="194" t="s">
        <v>174</v>
      </c>
      <c r="EU41" s="195">
        <v>3.2422223991734E-2</v>
      </c>
      <c r="EV41" s="195">
        <v>3.2422223991734E-2</v>
      </c>
      <c r="EW41" s="178">
        <v>724.68439342267902</v>
      </c>
      <c r="EX41" s="194">
        <v>0</v>
      </c>
      <c r="EY41" s="194" t="s">
        <v>308</v>
      </c>
      <c r="EZ41" s="178">
        <v>724.68439342267902</v>
      </c>
      <c r="FA41" s="178">
        <v>143.99618926778294</v>
      </c>
      <c r="FB41" s="178">
        <v>116.84973151816598</v>
      </c>
      <c r="FC41" s="196" t="s">
        <v>309</v>
      </c>
      <c r="FD41" s="177" t="s">
        <v>310</v>
      </c>
      <c r="FE41" s="177" t="s">
        <v>175</v>
      </c>
      <c r="FF41" s="177" t="s">
        <v>175</v>
      </c>
      <c r="FG41" s="177" t="s">
        <v>175</v>
      </c>
      <c r="FH41" s="177">
        <v>1848.4496380021201</v>
      </c>
      <c r="FI41" s="177">
        <v>186.518057698946</v>
      </c>
      <c r="FJ41" s="177">
        <v>199.476086256196</v>
      </c>
      <c r="FK41" s="177">
        <v>6.1705320141213198</v>
      </c>
      <c r="FL41" s="177">
        <v>0.85531206282974304</v>
      </c>
      <c r="FM41" s="177">
        <v>0.79948225241201598</v>
      </c>
      <c r="FN41" s="177">
        <v>3.9373006431778101</v>
      </c>
      <c r="FO41" s="177">
        <v>0.54520412974214305</v>
      </c>
      <c r="FP41" s="177">
        <v>0.50328116703044101</v>
      </c>
      <c r="FQ41" s="177" t="s">
        <v>317</v>
      </c>
    </row>
    <row r="42" spans="1:173" s="177" customFormat="1">
      <c r="A42" s="128" t="s">
        <v>152</v>
      </c>
      <c r="B42" s="177" t="s">
        <v>156</v>
      </c>
      <c r="C42" s="177">
        <v>2020</v>
      </c>
      <c r="D42" s="177" t="s">
        <v>194</v>
      </c>
      <c r="E42" s="178">
        <v>40115.573883056641</v>
      </c>
      <c r="F42" s="177">
        <v>1</v>
      </c>
      <c r="G42" s="177">
        <v>1</v>
      </c>
      <c r="H42" s="179">
        <v>655.37238786061698</v>
      </c>
      <c r="I42" s="179">
        <v>128.60017921897202</v>
      </c>
      <c r="J42" s="179">
        <v>99.529370799916023</v>
      </c>
      <c r="K42" s="177" t="s">
        <v>157</v>
      </c>
      <c r="L42" s="180" t="s">
        <v>158</v>
      </c>
      <c r="M42" s="181" t="s">
        <v>195</v>
      </c>
      <c r="N42" s="177" t="s">
        <v>194</v>
      </c>
      <c r="O42" s="177" t="s">
        <v>197</v>
      </c>
      <c r="P42" s="177" t="s">
        <v>200</v>
      </c>
      <c r="Q42" s="177">
        <v>8</v>
      </c>
      <c r="R42" s="177">
        <v>5</v>
      </c>
      <c r="S42" s="177">
        <v>120</v>
      </c>
      <c r="T42" s="177">
        <v>121</v>
      </c>
      <c r="U42" s="177">
        <v>119.71</v>
      </c>
      <c r="V42" s="177">
        <v>141.27500000000001</v>
      </c>
      <c r="W42" s="177" t="s">
        <v>204</v>
      </c>
      <c r="X42" s="177" t="s">
        <v>208</v>
      </c>
      <c r="Y42" s="182">
        <v>-28.53295</v>
      </c>
      <c r="Z42" s="182">
        <v>2.7795670000000001</v>
      </c>
      <c r="AA42" s="182">
        <v>-38</v>
      </c>
      <c r="AB42" s="183" t="s">
        <v>162</v>
      </c>
      <c r="AC42" s="183">
        <v>-2717</v>
      </c>
      <c r="AD42" s="182">
        <v>-2000</v>
      </c>
      <c r="AE42" s="177" t="s">
        <v>213</v>
      </c>
      <c r="AF42" s="177" t="s">
        <v>160</v>
      </c>
      <c r="AG42" s="178">
        <v>40115.573883056641</v>
      </c>
      <c r="AH42" s="184" t="s">
        <v>215</v>
      </c>
      <c r="AI42" s="177">
        <v>1</v>
      </c>
      <c r="AJ42" s="177">
        <v>1</v>
      </c>
      <c r="AK42" s="177" t="s">
        <v>214</v>
      </c>
      <c r="AL42" s="177" t="s">
        <v>216</v>
      </c>
      <c r="AM42" s="192" t="s">
        <v>219</v>
      </c>
      <c r="AN42" s="177">
        <v>40.271011352539062</v>
      </c>
      <c r="AO42" s="177" t="s">
        <v>162</v>
      </c>
      <c r="AP42" s="177" t="s">
        <v>162</v>
      </c>
      <c r="AQ42" s="177" t="s">
        <v>162</v>
      </c>
      <c r="AR42" s="177" t="s">
        <v>214</v>
      </c>
      <c r="AS42" s="177" t="s">
        <v>220</v>
      </c>
      <c r="AT42" s="177" t="s">
        <v>222</v>
      </c>
      <c r="AU42" s="177" t="s">
        <v>229</v>
      </c>
      <c r="AV42" s="177" t="s">
        <v>230</v>
      </c>
      <c r="AW42" s="174">
        <v>280</v>
      </c>
      <c r="AX42" s="174">
        <v>4.2670000000000003</v>
      </c>
      <c r="AY42" s="184" t="s">
        <v>232</v>
      </c>
      <c r="AZ42" s="177" t="s">
        <v>163</v>
      </c>
      <c r="BA42" s="177" t="s">
        <v>164</v>
      </c>
      <c r="BB42" s="177" t="s">
        <v>268</v>
      </c>
      <c r="BC42" s="177">
        <v>2</v>
      </c>
      <c r="BD42" s="186">
        <v>3.4048880801680781E-2</v>
      </c>
      <c r="BE42" s="187">
        <v>13.171109563385199</v>
      </c>
      <c r="BF42" s="177" t="s">
        <v>233</v>
      </c>
      <c r="BG42" s="177">
        <v>0.233724194447264</v>
      </c>
      <c r="BH42" s="177">
        <v>0.95</v>
      </c>
      <c r="BI42" s="177" t="s">
        <v>281</v>
      </c>
      <c r="BJ42" s="177">
        <v>0.17</v>
      </c>
      <c r="BK42" s="177">
        <v>-0.42</v>
      </c>
      <c r="BL42" s="177" t="s">
        <v>282</v>
      </c>
      <c r="BM42" s="177">
        <v>2.85</v>
      </c>
      <c r="BN42" s="177" t="s">
        <v>285</v>
      </c>
      <c r="BO42" s="177" t="s">
        <v>284</v>
      </c>
      <c r="BP42" s="189">
        <v>14.3543263157895</v>
      </c>
      <c r="BQ42" s="177" t="s">
        <v>287</v>
      </c>
      <c r="BR42" s="190" t="s">
        <v>288</v>
      </c>
      <c r="BS42" s="177" t="s">
        <v>286</v>
      </c>
      <c r="BT42" s="177" t="s">
        <v>289</v>
      </c>
      <c r="BU42" s="177">
        <v>25</v>
      </c>
      <c r="BV42" s="177" t="s">
        <v>165</v>
      </c>
      <c r="BW42" s="177" t="s">
        <v>165</v>
      </c>
      <c r="BX42" s="187">
        <v>26.915963212072199</v>
      </c>
      <c r="BY42" s="177" t="s">
        <v>290</v>
      </c>
      <c r="BZ42" s="186">
        <v>0.64456078099425396</v>
      </c>
      <c r="CA42" s="186">
        <v>0.68177436445687101</v>
      </c>
      <c r="CB42" s="177" t="s">
        <v>291</v>
      </c>
      <c r="CC42" s="177">
        <v>3.1474811629363399</v>
      </c>
      <c r="CD42" s="177" t="s">
        <v>292</v>
      </c>
      <c r="CE42" s="177">
        <v>9.44244348880902E-2</v>
      </c>
      <c r="CF42" s="177">
        <v>9.44244348880902E-2</v>
      </c>
      <c r="CG42" s="177" t="s">
        <v>295</v>
      </c>
      <c r="CH42" s="177" t="s">
        <v>162</v>
      </c>
      <c r="CI42" s="177" t="s">
        <v>293</v>
      </c>
      <c r="CJ42" s="177" t="s">
        <v>296</v>
      </c>
      <c r="CK42" s="177" t="s">
        <v>165</v>
      </c>
      <c r="CL42" s="177" t="s">
        <v>165</v>
      </c>
      <c r="CM42" s="177" t="s">
        <v>294</v>
      </c>
      <c r="CN42" s="177" t="s">
        <v>162</v>
      </c>
      <c r="CO42" s="177" t="s">
        <v>162</v>
      </c>
      <c r="CP42" s="177" t="s">
        <v>162</v>
      </c>
      <c r="CQ42" s="177" t="s">
        <v>162</v>
      </c>
      <c r="CR42" s="177" t="s">
        <v>162</v>
      </c>
      <c r="CS42" s="177" t="s">
        <v>162</v>
      </c>
      <c r="CT42" s="177" t="s">
        <v>162</v>
      </c>
      <c r="CU42" s="191">
        <v>35</v>
      </c>
      <c r="CV42" s="177" t="s">
        <v>161</v>
      </c>
      <c r="CW42" s="177">
        <v>1</v>
      </c>
      <c r="CX42" s="177" t="s">
        <v>297</v>
      </c>
      <c r="CY42" s="177">
        <v>17</v>
      </c>
      <c r="CZ42" s="177" t="s">
        <v>170</v>
      </c>
      <c r="DA42" s="177" t="s">
        <v>170</v>
      </c>
      <c r="DB42" s="177" t="s">
        <v>298</v>
      </c>
      <c r="DC42" s="177">
        <v>38</v>
      </c>
      <c r="DD42" s="177" t="s">
        <v>170</v>
      </c>
      <c r="DE42" s="177" t="s">
        <v>170</v>
      </c>
      <c r="DF42" s="177" t="s">
        <v>298</v>
      </c>
      <c r="DG42" s="177" t="s">
        <v>166</v>
      </c>
      <c r="DH42" s="177" t="s">
        <v>167</v>
      </c>
      <c r="DI42" s="177" t="s">
        <v>167</v>
      </c>
      <c r="DJ42" s="177" t="s">
        <v>167</v>
      </c>
      <c r="DK42" s="192">
        <v>432.56244218316402</v>
      </c>
      <c r="DL42" s="177" t="s">
        <v>168</v>
      </c>
      <c r="DM42" s="192">
        <v>12.3589269195233</v>
      </c>
      <c r="DN42" s="177" t="s">
        <v>169</v>
      </c>
      <c r="DO42" s="177">
        <v>38.700000000000003</v>
      </c>
      <c r="DP42" s="177" t="s">
        <v>299</v>
      </c>
      <c r="DQ42" s="177">
        <v>0.2</v>
      </c>
      <c r="DR42" s="177" t="s">
        <v>300</v>
      </c>
      <c r="DS42" s="177" t="s">
        <v>301</v>
      </c>
      <c r="DT42" s="177" t="s">
        <v>302</v>
      </c>
      <c r="DU42" s="177">
        <v>1.0271999999999999</v>
      </c>
      <c r="DV42" s="177" t="s">
        <v>170</v>
      </c>
      <c r="DW42" s="177" t="s">
        <v>170</v>
      </c>
      <c r="DX42" s="177" t="s">
        <v>177</v>
      </c>
      <c r="DY42" s="177" t="s">
        <v>170</v>
      </c>
      <c r="DZ42" s="177" t="s">
        <v>170</v>
      </c>
      <c r="EA42" s="177" t="s">
        <v>303</v>
      </c>
      <c r="EB42" s="177" t="s">
        <v>171</v>
      </c>
      <c r="EC42" s="177" t="s">
        <v>304</v>
      </c>
      <c r="ED42" s="177" t="s">
        <v>304</v>
      </c>
      <c r="EE42" s="177" t="s">
        <v>304</v>
      </c>
      <c r="EF42" s="177" t="s">
        <v>304</v>
      </c>
      <c r="EG42" s="177" t="s">
        <v>162</v>
      </c>
      <c r="EH42" s="177" t="s">
        <v>172</v>
      </c>
      <c r="EI42" s="177" t="s">
        <v>305</v>
      </c>
      <c r="EJ42" s="177" t="s">
        <v>162</v>
      </c>
      <c r="EK42" s="193">
        <v>1750</v>
      </c>
      <c r="EL42" s="177" t="s">
        <v>173</v>
      </c>
      <c r="EM42" s="177">
        <v>150</v>
      </c>
      <c r="EN42" s="177">
        <v>150</v>
      </c>
      <c r="EO42" s="177" t="s">
        <v>306</v>
      </c>
      <c r="EP42" s="177" t="s">
        <v>306</v>
      </c>
      <c r="EQ42" s="177" t="s">
        <v>306</v>
      </c>
      <c r="ER42" s="177" t="s">
        <v>306</v>
      </c>
      <c r="ES42" s="177">
        <v>7.7822531187231698</v>
      </c>
      <c r="ET42" s="194" t="s">
        <v>174</v>
      </c>
      <c r="EU42" s="195">
        <v>3.5318222461363201E-2</v>
      </c>
      <c r="EV42" s="195">
        <v>3.5318222461363201E-2</v>
      </c>
      <c r="EW42" s="178">
        <v>655.37238786061698</v>
      </c>
      <c r="EX42" s="194">
        <v>0</v>
      </c>
      <c r="EY42" s="194" t="s">
        <v>308</v>
      </c>
      <c r="EZ42" s="178">
        <v>655.37238786061698</v>
      </c>
      <c r="FA42" s="178">
        <v>128.60017921897202</v>
      </c>
      <c r="FB42" s="178">
        <v>99.529370799916023</v>
      </c>
      <c r="FC42" s="196" t="s">
        <v>309</v>
      </c>
      <c r="FD42" s="177" t="s">
        <v>310</v>
      </c>
      <c r="FE42" s="177" t="s">
        <v>175</v>
      </c>
      <c r="FF42" s="177" t="s">
        <v>175</v>
      </c>
      <c r="FG42" s="177" t="s">
        <v>175</v>
      </c>
      <c r="FH42" s="177">
        <v>1819.4561745723499</v>
      </c>
      <c r="FI42" s="177">
        <v>189.70839832320701</v>
      </c>
      <c r="FJ42" s="177">
        <v>187.286268873306</v>
      </c>
      <c r="FK42" s="177">
        <v>4.3348372145710403</v>
      </c>
      <c r="FL42" s="177">
        <v>0.58162347014515603</v>
      </c>
      <c r="FM42" s="177">
        <v>0.55320022216310305</v>
      </c>
      <c r="FN42" s="177">
        <v>2.68189791714236</v>
      </c>
      <c r="FO42" s="177">
        <v>0.36276647862783801</v>
      </c>
      <c r="FP42" s="177">
        <v>0.34773352567829302</v>
      </c>
      <c r="FQ42" s="177" t="s">
        <v>317</v>
      </c>
    </row>
    <row r="43" spans="1:173" s="177" customFormat="1">
      <c r="A43" s="128" t="s">
        <v>152</v>
      </c>
      <c r="B43" s="177" t="s">
        <v>156</v>
      </c>
      <c r="C43" s="177">
        <v>2020</v>
      </c>
      <c r="D43" s="177" t="s">
        <v>194</v>
      </c>
      <c r="E43" s="178">
        <v>40125.328063964844</v>
      </c>
      <c r="F43" s="177">
        <v>1</v>
      </c>
      <c r="G43" s="177">
        <v>1</v>
      </c>
      <c r="H43" s="179">
        <v>668.54729479577804</v>
      </c>
      <c r="I43" s="179">
        <v>128.34692214096492</v>
      </c>
      <c r="J43" s="179">
        <v>99.452275434027001</v>
      </c>
      <c r="K43" s="177" t="s">
        <v>157</v>
      </c>
      <c r="L43" s="180" t="s">
        <v>158</v>
      </c>
      <c r="M43" s="181" t="s">
        <v>195</v>
      </c>
      <c r="N43" s="177" t="s">
        <v>194</v>
      </c>
      <c r="O43" s="177" t="s">
        <v>197</v>
      </c>
      <c r="P43" s="177" t="s">
        <v>200</v>
      </c>
      <c r="Q43" s="177">
        <v>8</v>
      </c>
      <c r="R43" s="177">
        <v>5</v>
      </c>
      <c r="S43" s="177">
        <v>140</v>
      </c>
      <c r="T43" s="177">
        <v>141</v>
      </c>
      <c r="U43" s="177">
        <v>119.91</v>
      </c>
      <c r="V43" s="177">
        <v>141.47499999999999</v>
      </c>
      <c r="W43" s="177" t="s">
        <v>204</v>
      </c>
      <c r="X43" s="177" t="s">
        <v>208</v>
      </c>
      <c r="Y43" s="182">
        <v>-28.53295</v>
      </c>
      <c r="Z43" s="182">
        <v>2.7795670000000001</v>
      </c>
      <c r="AA43" s="182">
        <v>-38</v>
      </c>
      <c r="AB43" s="183" t="s">
        <v>162</v>
      </c>
      <c r="AC43" s="183">
        <v>-2717</v>
      </c>
      <c r="AD43" s="182">
        <v>-2000</v>
      </c>
      <c r="AE43" s="177" t="s">
        <v>213</v>
      </c>
      <c r="AF43" s="177" t="s">
        <v>160</v>
      </c>
      <c r="AG43" s="178">
        <v>40125.328063964844</v>
      </c>
      <c r="AH43" s="184" t="s">
        <v>215</v>
      </c>
      <c r="AI43" s="177">
        <v>1</v>
      </c>
      <c r="AJ43" s="177">
        <v>1</v>
      </c>
      <c r="AK43" s="177" t="s">
        <v>214</v>
      </c>
      <c r="AL43" s="177" t="s">
        <v>216</v>
      </c>
      <c r="AM43" s="192" t="s">
        <v>219</v>
      </c>
      <c r="AN43" s="177">
        <v>40.285324096679688</v>
      </c>
      <c r="AO43" s="177" t="s">
        <v>162</v>
      </c>
      <c r="AP43" s="177" t="s">
        <v>162</v>
      </c>
      <c r="AQ43" s="177" t="s">
        <v>162</v>
      </c>
      <c r="AR43" s="177" t="s">
        <v>214</v>
      </c>
      <c r="AS43" s="177" t="s">
        <v>220</v>
      </c>
      <c r="AT43" s="177" t="s">
        <v>222</v>
      </c>
      <c r="AU43" s="177" t="s">
        <v>229</v>
      </c>
      <c r="AV43" s="177" t="s">
        <v>230</v>
      </c>
      <c r="AW43" s="174">
        <v>227</v>
      </c>
      <c r="AX43" s="174">
        <v>2.9089999999999998</v>
      </c>
      <c r="AY43" s="184" t="s">
        <v>232</v>
      </c>
      <c r="AZ43" s="177" t="s">
        <v>163</v>
      </c>
      <c r="BA43" s="177" t="s">
        <v>164</v>
      </c>
      <c r="BB43" s="177" t="s">
        <v>269</v>
      </c>
      <c r="BC43" s="177">
        <v>2</v>
      </c>
      <c r="BD43" s="186">
        <v>0.28781391996537131</v>
      </c>
      <c r="BE43" s="187">
        <v>13.1969267002961</v>
      </c>
      <c r="BF43" s="177" t="s">
        <v>233</v>
      </c>
      <c r="BG43" s="177">
        <v>0.24535366635762301</v>
      </c>
      <c r="BH43" s="177">
        <v>0.95</v>
      </c>
      <c r="BI43" s="177" t="s">
        <v>281</v>
      </c>
      <c r="BJ43" s="177">
        <v>0.17</v>
      </c>
      <c r="BK43" s="177">
        <v>-0.42</v>
      </c>
      <c r="BL43" s="177" t="s">
        <v>282</v>
      </c>
      <c r="BM43" s="177">
        <v>2.85</v>
      </c>
      <c r="BN43" s="177" t="s">
        <v>285</v>
      </c>
      <c r="BO43" s="177" t="s">
        <v>284</v>
      </c>
      <c r="BP43" s="189">
        <v>14.3815052631579</v>
      </c>
      <c r="BQ43" s="177" t="s">
        <v>287</v>
      </c>
      <c r="BR43" s="190" t="s">
        <v>288</v>
      </c>
      <c r="BS43" s="177" t="s">
        <v>286</v>
      </c>
      <c r="BT43" s="177" t="s">
        <v>289</v>
      </c>
      <c r="BU43" s="177">
        <v>25</v>
      </c>
      <c r="BV43" s="177" t="s">
        <v>165</v>
      </c>
      <c r="BW43" s="177" t="s">
        <v>165</v>
      </c>
      <c r="BX43" s="187">
        <v>28.6347418050659</v>
      </c>
      <c r="BY43" s="177" t="s">
        <v>290</v>
      </c>
      <c r="BZ43" s="186">
        <v>0.60454995040339599</v>
      </c>
      <c r="CA43" s="186">
        <v>0.71720559368786496</v>
      </c>
      <c r="CB43" s="177" t="s">
        <v>291</v>
      </c>
      <c r="CC43" s="177">
        <v>3.4971521546523499</v>
      </c>
      <c r="CD43" s="177" t="s">
        <v>292</v>
      </c>
      <c r="CE43" s="177">
        <v>0.1049145646395705</v>
      </c>
      <c r="CF43" s="177">
        <v>0.1049145646395705</v>
      </c>
      <c r="CG43" s="177" t="s">
        <v>295</v>
      </c>
      <c r="CH43" s="177" t="s">
        <v>162</v>
      </c>
      <c r="CI43" s="177" t="s">
        <v>293</v>
      </c>
      <c r="CJ43" s="177" t="s">
        <v>296</v>
      </c>
      <c r="CK43" s="177" t="s">
        <v>165</v>
      </c>
      <c r="CL43" s="177" t="s">
        <v>165</v>
      </c>
      <c r="CM43" s="177" t="s">
        <v>294</v>
      </c>
      <c r="CN43" s="177" t="s">
        <v>162</v>
      </c>
      <c r="CO43" s="177" t="s">
        <v>162</v>
      </c>
      <c r="CP43" s="177" t="s">
        <v>162</v>
      </c>
      <c r="CQ43" s="177" t="s">
        <v>162</v>
      </c>
      <c r="CR43" s="177" t="s">
        <v>162</v>
      </c>
      <c r="CS43" s="177" t="s">
        <v>162</v>
      </c>
      <c r="CT43" s="177" t="s">
        <v>162</v>
      </c>
      <c r="CU43" s="191">
        <v>35</v>
      </c>
      <c r="CV43" s="177" t="s">
        <v>161</v>
      </c>
      <c r="CW43" s="177">
        <v>1</v>
      </c>
      <c r="CX43" s="177" t="s">
        <v>297</v>
      </c>
      <c r="CY43" s="177">
        <v>17</v>
      </c>
      <c r="CZ43" s="177" t="s">
        <v>170</v>
      </c>
      <c r="DA43" s="177" t="s">
        <v>170</v>
      </c>
      <c r="DB43" s="177" t="s">
        <v>298</v>
      </c>
      <c r="DC43" s="177">
        <v>38</v>
      </c>
      <c r="DD43" s="177" t="s">
        <v>170</v>
      </c>
      <c r="DE43" s="177" t="s">
        <v>170</v>
      </c>
      <c r="DF43" s="177" t="s">
        <v>298</v>
      </c>
      <c r="DG43" s="177" t="s">
        <v>166</v>
      </c>
      <c r="DH43" s="177" t="s">
        <v>167</v>
      </c>
      <c r="DI43" s="177" t="s">
        <v>167</v>
      </c>
      <c r="DJ43" s="177" t="s">
        <v>167</v>
      </c>
      <c r="DK43" s="192">
        <v>432.56244218316402</v>
      </c>
      <c r="DL43" s="177" t="s">
        <v>168</v>
      </c>
      <c r="DM43" s="192">
        <v>12.3589269195234</v>
      </c>
      <c r="DN43" s="177" t="s">
        <v>169</v>
      </c>
      <c r="DO43" s="177">
        <v>38.700000000000003</v>
      </c>
      <c r="DP43" s="177" t="s">
        <v>299</v>
      </c>
      <c r="DQ43" s="177">
        <v>0.2</v>
      </c>
      <c r="DR43" s="177" t="s">
        <v>300</v>
      </c>
      <c r="DS43" s="177" t="s">
        <v>301</v>
      </c>
      <c r="DT43" s="177" t="s">
        <v>302</v>
      </c>
      <c r="DU43" s="177">
        <v>1.0271999999999999</v>
      </c>
      <c r="DV43" s="177" t="s">
        <v>170</v>
      </c>
      <c r="DW43" s="177" t="s">
        <v>170</v>
      </c>
      <c r="DX43" s="177" t="s">
        <v>177</v>
      </c>
      <c r="DY43" s="177" t="s">
        <v>170</v>
      </c>
      <c r="DZ43" s="177" t="s">
        <v>170</v>
      </c>
      <c r="EA43" s="177" t="s">
        <v>303</v>
      </c>
      <c r="EB43" s="177" t="s">
        <v>171</v>
      </c>
      <c r="EC43" s="177" t="s">
        <v>304</v>
      </c>
      <c r="ED43" s="177" t="s">
        <v>304</v>
      </c>
      <c r="EE43" s="177" t="s">
        <v>304</v>
      </c>
      <c r="EF43" s="177" t="s">
        <v>304</v>
      </c>
      <c r="EG43" s="177" t="s">
        <v>162</v>
      </c>
      <c r="EH43" s="177" t="s">
        <v>172</v>
      </c>
      <c r="EI43" s="177" t="s">
        <v>305</v>
      </c>
      <c r="EJ43" s="177" t="s">
        <v>162</v>
      </c>
      <c r="EK43" s="193">
        <v>1750</v>
      </c>
      <c r="EL43" s="177" t="s">
        <v>173</v>
      </c>
      <c r="EM43" s="177">
        <v>150</v>
      </c>
      <c r="EN43" s="177">
        <v>150</v>
      </c>
      <c r="EO43" s="177" t="s">
        <v>306</v>
      </c>
      <c r="EP43" s="177" t="s">
        <v>306</v>
      </c>
      <c r="EQ43" s="177" t="s">
        <v>306</v>
      </c>
      <c r="ER43" s="177" t="s">
        <v>306</v>
      </c>
      <c r="ES43" s="177">
        <v>7.7671106590551702</v>
      </c>
      <c r="ET43" s="194" t="s">
        <v>174</v>
      </c>
      <c r="EU43" s="195">
        <v>3.5352780746350398E-2</v>
      </c>
      <c r="EV43" s="195">
        <v>3.5352780746350398E-2</v>
      </c>
      <c r="EW43" s="178">
        <v>668.54729479577804</v>
      </c>
      <c r="EX43" s="194">
        <v>0</v>
      </c>
      <c r="EY43" s="194" t="s">
        <v>308</v>
      </c>
      <c r="EZ43" s="178">
        <v>668.54729479577804</v>
      </c>
      <c r="FA43" s="178">
        <v>128.34692214096492</v>
      </c>
      <c r="FB43" s="178">
        <v>99.452275434027001</v>
      </c>
      <c r="FC43" s="196" t="s">
        <v>309</v>
      </c>
      <c r="FD43" s="177" t="s">
        <v>310</v>
      </c>
      <c r="FE43" s="177" t="s">
        <v>175</v>
      </c>
      <c r="FF43" s="177" t="s">
        <v>175</v>
      </c>
      <c r="FG43" s="177" t="s">
        <v>175</v>
      </c>
      <c r="FH43" s="177">
        <v>1849.7979596554101</v>
      </c>
      <c r="FI43" s="177">
        <v>205.35514357591799</v>
      </c>
      <c r="FJ43" s="177">
        <v>189.791149357363</v>
      </c>
      <c r="FK43" s="177">
        <v>6.6518747939986298</v>
      </c>
      <c r="FL43" s="177">
        <v>0.88523993297907499</v>
      </c>
      <c r="FM43" s="177">
        <v>0.80823355532697105</v>
      </c>
      <c r="FN43" s="177">
        <v>4.2430264952253802</v>
      </c>
      <c r="FO43" s="177">
        <v>0.56432562587340596</v>
      </c>
      <c r="FP43" s="177">
        <v>0.51720421306684095</v>
      </c>
      <c r="FQ43" s="177" t="s">
        <v>317</v>
      </c>
    </row>
    <row r="44" spans="1:173" s="177" customFormat="1">
      <c r="A44" s="128" t="s">
        <v>152</v>
      </c>
      <c r="B44" s="177" t="s">
        <v>156</v>
      </c>
      <c r="C44" s="177">
        <v>2020</v>
      </c>
      <c r="D44" s="177" t="s">
        <v>194</v>
      </c>
      <c r="E44" s="178">
        <v>40241.508483886719</v>
      </c>
      <c r="F44" s="177">
        <v>1</v>
      </c>
      <c r="G44" s="177">
        <v>1</v>
      </c>
      <c r="H44" s="179">
        <v>758.23397591600303</v>
      </c>
      <c r="I44" s="179">
        <v>147.82808192472396</v>
      </c>
      <c r="J44" s="179">
        <v>118.68010420075404</v>
      </c>
      <c r="K44" s="177" t="s">
        <v>157</v>
      </c>
      <c r="L44" s="180" t="s">
        <v>158</v>
      </c>
      <c r="M44" s="181" t="s">
        <v>195</v>
      </c>
      <c r="N44" s="177" t="s">
        <v>194</v>
      </c>
      <c r="O44" s="177" t="s">
        <v>197</v>
      </c>
      <c r="P44" s="177" t="s">
        <v>200</v>
      </c>
      <c r="Q44" s="177">
        <v>8</v>
      </c>
      <c r="R44" s="177">
        <v>6</v>
      </c>
      <c r="S44" s="177">
        <v>142</v>
      </c>
      <c r="T44" s="177">
        <v>143</v>
      </c>
      <c r="U44" s="177">
        <v>121.43</v>
      </c>
      <c r="V44" s="177">
        <v>142.995</v>
      </c>
      <c r="W44" s="177" t="s">
        <v>204</v>
      </c>
      <c r="X44" s="177" t="s">
        <v>208</v>
      </c>
      <c r="Y44" s="182">
        <v>-28.53295</v>
      </c>
      <c r="Z44" s="182">
        <v>2.7795670000000001</v>
      </c>
      <c r="AA44" s="182">
        <v>-38</v>
      </c>
      <c r="AB44" s="183" t="s">
        <v>162</v>
      </c>
      <c r="AC44" s="183">
        <v>-2717</v>
      </c>
      <c r="AD44" s="182">
        <v>-2000</v>
      </c>
      <c r="AE44" s="177" t="s">
        <v>213</v>
      </c>
      <c r="AF44" s="177" t="s">
        <v>160</v>
      </c>
      <c r="AG44" s="178">
        <v>40241.508483886719</v>
      </c>
      <c r="AH44" s="184" t="s">
        <v>215</v>
      </c>
      <c r="AI44" s="177">
        <v>1</v>
      </c>
      <c r="AJ44" s="177">
        <v>1</v>
      </c>
      <c r="AK44" s="177" t="s">
        <v>214</v>
      </c>
      <c r="AL44" s="177" t="s">
        <v>216</v>
      </c>
      <c r="AM44" s="192" t="s">
        <v>219</v>
      </c>
      <c r="AN44" s="177">
        <v>40.393211364746094</v>
      </c>
      <c r="AO44" s="177" t="s">
        <v>162</v>
      </c>
      <c r="AP44" s="177" t="s">
        <v>162</v>
      </c>
      <c r="AQ44" s="177" t="s">
        <v>162</v>
      </c>
      <c r="AR44" s="177" t="s">
        <v>214</v>
      </c>
      <c r="AS44" s="177" t="s">
        <v>220</v>
      </c>
      <c r="AT44" s="177" t="s">
        <v>222</v>
      </c>
      <c r="AU44" s="177" t="s">
        <v>229</v>
      </c>
      <c r="AV44" s="177" t="s">
        <v>230</v>
      </c>
      <c r="AW44" s="174">
        <v>251</v>
      </c>
      <c r="AX44" s="174">
        <v>3.9430000000000001</v>
      </c>
      <c r="AY44" s="184" t="s">
        <v>232</v>
      </c>
      <c r="AZ44" s="177" t="s">
        <v>163</v>
      </c>
      <c r="BA44" s="177" t="s">
        <v>164</v>
      </c>
      <c r="BB44" s="177" t="s">
        <v>275</v>
      </c>
      <c r="BC44" s="177">
        <v>2</v>
      </c>
      <c r="BD44" s="186">
        <v>0.10237634878688162</v>
      </c>
      <c r="BE44" s="187">
        <v>13.104295128468401</v>
      </c>
      <c r="BF44" s="177" t="s">
        <v>233</v>
      </c>
      <c r="BG44" s="177">
        <v>0.233759606258234</v>
      </c>
      <c r="BH44" s="177">
        <v>0.95</v>
      </c>
      <c r="BI44" s="177" t="s">
        <v>281</v>
      </c>
      <c r="BJ44" s="177">
        <v>0.17</v>
      </c>
      <c r="BK44" s="177">
        <v>-0.42</v>
      </c>
      <c r="BL44" s="177" t="s">
        <v>282</v>
      </c>
      <c r="BM44" s="177">
        <v>2.85</v>
      </c>
      <c r="BN44" s="177" t="s">
        <v>285</v>
      </c>
      <c r="BO44" s="177" t="s">
        <v>284</v>
      </c>
      <c r="BP44" s="189">
        <v>14.284000000000001</v>
      </c>
      <c r="BQ44" s="177" t="s">
        <v>287</v>
      </c>
      <c r="BR44" s="190" t="s">
        <v>288</v>
      </c>
      <c r="BS44" s="177" t="s">
        <v>286</v>
      </c>
      <c r="BT44" s="177" t="s">
        <v>289</v>
      </c>
      <c r="BU44" s="177">
        <v>25</v>
      </c>
      <c r="BV44" s="177" t="s">
        <v>165</v>
      </c>
      <c r="BW44" s="177" t="s">
        <v>165</v>
      </c>
      <c r="BX44" s="187">
        <v>25.429656083201301</v>
      </c>
      <c r="BY44" s="177" t="s">
        <v>290</v>
      </c>
      <c r="BZ44" s="186">
        <v>0.66031165392622504</v>
      </c>
      <c r="CA44" s="186">
        <v>0.70969239072113099</v>
      </c>
      <c r="CB44" s="177" t="s">
        <v>291</v>
      </c>
      <c r="CC44" s="177">
        <v>2.8790303876100598</v>
      </c>
      <c r="CD44" s="177" t="s">
        <v>292</v>
      </c>
      <c r="CE44" s="177">
        <v>8.6370911628301794E-2</v>
      </c>
      <c r="CF44" s="177">
        <v>8.6370911628301794E-2</v>
      </c>
      <c r="CG44" s="177" t="s">
        <v>295</v>
      </c>
      <c r="CH44" s="177" t="s">
        <v>162</v>
      </c>
      <c r="CI44" s="177" t="s">
        <v>293</v>
      </c>
      <c r="CJ44" s="177" t="s">
        <v>296</v>
      </c>
      <c r="CK44" s="177" t="s">
        <v>165</v>
      </c>
      <c r="CL44" s="177" t="s">
        <v>165</v>
      </c>
      <c r="CM44" s="177" t="s">
        <v>294</v>
      </c>
      <c r="CN44" s="177" t="s">
        <v>162</v>
      </c>
      <c r="CO44" s="177" t="s">
        <v>162</v>
      </c>
      <c r="CP44" s="177" t="s">
        <v>162</v>
      </c>
      <c r="CQ44" s="177" t="s">
        <v>162</v>
      </c>
      <c r="CR44" s="177" t="s">
        <v>162</v>
      </c>
      <c r="CS44" s="177" t="s">
        <v>162</v>
      </c>
      <c r="CT44" s="177" t="s">
        <v>162</v>
      </c>
      <c r="CU44" s="191">
        <v>35</v>
      </c>
      <c r="CV44" s="177" t="s">
        <v>161</v>
      </c>
      <c r="CW44" s="177">
        <v>1</v>
      </c>
      <c r="CX44" s="177" t="s">
        <v>297</v>
      </c>
      <c r="CY44" s="177">
        <v>17</v>
      </c>
      <c r="CZ44" s="177" t="s">
        <v>170</v>
      </c>
      <c r="DA44" s="177" t="s">
        <v>170</v>
      </c>
      <c r="DB44" s="177" t="s">
        <v>298</v>
      </c>
      <c r="DC44" s="177">
        <v>38</v>
      </c>
      <c r="DD44" s="177" t="s">
        <v>170</v>
      </c>
      <c r="DE44" s="177" t="s">
        <v>170</v>
      </c>
      <c r="DF44" s="177" t="s">
        <v>298</v>
      </c>
      <c r="DG44" s="177" t="s">
        <v>166</v>
      </c>
      <c r="DH44" s="177" t="s">
        <v>167</v>
      </c>
      <c r="DI44" s="177" t="s">
        <v>167</v>
      </c>
      <c r="DJ44" s="177" t="s">
        <v>167</v>
      </c>
      <c r="DK44" s="192">
        <v>432.56244218316402</v>
      </c>
      <c r="DL44" s="177" t="s">
        <v>168</v>
      </c>
      <c r="DM44" s="192">
        <v>12.358926919523499</v>
      </c>
      <c r="DN44" s="177" t="s">
        <v>169</v>
      </c>
      <c r="DO44" s="177">
        <v>38.700000000000003</v>
      </c>
      <c r="DP44" s="177" t="s">
        <v>299</v>
      </c>
      <c r="DQ44" s="177">
        <v>0.2</v>
      </c>
      <c r="DR44" s="177" t="s">
        <v>300</v>
      </c>
      <c r="DS44" s="177" t="s">
        <v>301</v>
      </c>
      <c r="DT44" s="177" t="s">
        <v>302</v>
      </c>
      <c r="DU44" s="177">
        <v>1.0271999999999999</v>
      </c>
      <c r="DV44" s="177" t="s">
        <v>170</v>
      </c>
      <c r="DW44" s="177" t="s">
        <v>170</v>
      </c>
      <c r="DX44" s="177" t="s">
        <v>177</v>
      </c>
      <c r="DY44" s="177" t="s">
        <v>170</v>
      </c>
      <c r="DZ44" s="177" t="s">
        <v>170</v>
      </c>
      <c r="EA44" s="177" t="s">
        <v>303</v>
      </c>
      <c r="EB44" s="177" t="s">
        <v>171</v>
      </c>
      <c r="EC44" s="177" t="s">
        <v>304</v>
      </c>
      <c r="ED44" s="177" t="s">
        <v>304</v>
      </c>
      <c r="EE44" s="177" t="s">
        <v>304</v>
      </c>
      <c r="EF44" s="177" t="s">
        <v>304</v>
      </c>
      <c r="EG44" s="177" t="s">
        <v>162</v>
      </c>
      <c r="EH44" s="177" t="s">
        <v>172</v>
      </c>
      <c r="EI44" s="177" t="s">
        <v>305</v>
      </c>
      <c r="EJ44" s="177" t="s">
        <v>162</v>
      </c>
      <c r="EK44" s="193">
        <v>1750</v>
      </c>
      <c r="EL44" s="177" t="s">
        <v>173</v>
      </c>
      <c r="EM44" s="177">
        <v>150</v>
      </c>
      <c r="EN44" s="177">
        <v>150</v>
      </c>
      <c r="EO44" s="177" t="s">
        <v>306</v>
      </c>
      <c r="EP44" s="177" t="s">
        <v>306</v>
      </c>
      <c r="EQ44" s="177" t="s">
        <v>306</v>
      </c>
      <c r="ER44" s="177" t="s">
        <v>306</v>
      </c>
      <c r="ES44" s="177">
        <v>7.7865726747453801</v>
      </c>
      <c r="ET44" s="194" t="s">
        <v>174</v>
      </c>
      <c r="EU44" s="195">
        <v>3.7339968349779998E-2</v>
      </c>
      <c r="EV44" s="195">
        <v>3.7339968349779998E-2</v>
      </c>
      <c r="EW44" s="178">
        <v>758.23397591600303</v>
      </c>
      <c r="EX44" s="194">
        <v>0</v>
      </c>
      <c r="EY44" s="194" t="s">
        <v>308</v>
      </c>
      <c r="EZ44" s="178">
        <v>758.23397591600303</v>
      </c>
      <c r="FA44" s="178">
        <v>147.82808192472396</v>
      </c>
      <c r="FB44" s="178">
        <v>118.68010420075404</v>
      </c>
      <c r="FC44" s="196" t="s">
        <v>309</v>
      </c>
      <c r="FD44" s="177" t="s">
        <v>310</v>
      </c>
      <c r="FE44" s="177" t="s">
        <v>175</v>
      </c>
      <c r="FF44" s="177" t="s">
        <v>175</v>
      </c>
      <c r="FG44" s="177" t="s">
        <v>175</v>
      </c>
      <c r="FH44" s="177">
        <v>1847.3797314005501</v>
      </c>
      <c r="FI44" s="177">
        <v>189.10112268217199</v>
      </c>
      <c r="FJ44" s="177">
        <v>192.61379092449701</v>
      </c>
      <c r="FK44" s="177">
        <v>5.9755679931797498</v>
      </c>
      <c r="FL44" s="177">
        <v>0.84068496543123505</v>
      </c>
      <c r="FM44" s="177">
        <v>0.77576565963724797</v>
      </c>
      <c r="FN44" s="177">
        <v>3.8138115911095798</v>
      </c>
      <c r="FO44" s="177">
        <v>0.536203083144422</v>
      </c>
      <c r="FP44" s="177">
        <v>0.49944843346425499</v>
      </c>
      <c r="FQ44" s="177" t="s">
        <v>317</v>
      </c>
    </row>
    <row r="45" spans="1:173" s="177" customFormat="1">
      <c r="A45" s="128" t="s">
        <v>152</v>
      </c>
      <c r="B45" s="177" t="s">
        <v>156</v>
      </c>
      <c r="C45" s="177">
        <v>2020</v>
      </c>
      <c r="D45" s="177" t="s">
        <v>194</v>
      </c>
      <c r="E45" s="178">
        <v>40337.608337402344</v>
      </c>
      <c r="F45" s="177">
        <v>1</v>
      </c>
      <c r="G45" s="177">
        <v>1</v>
      </c>
      <c r="H45" s="179">
        <v>620.01111937054998</v>
      </c>
      <c r="I45" s="179">
        <v>117.64198423218602</v>
      </c>
      <c r="J45" s="179">
        <v>97.423440173182939</v>
      </c>
      <c r="K45" s="177" t="s">
        <v>157</v>
      </c>
      <c r="L45" s="180" t="s">
        <v>158</v>
      </c>
      <c r="M45" s="181" t="s">
        <v>195</v>
      </c>
      <c r="N45" s="177" t="s">
        <v>194</v>
      </c>
      <c r="O45" s="177" t="s">
        <v>197</v>
      </c>
      <c r="P45" s="177" t="s">
        <v>200</v>
      </c>
      <c r="Q45" s="177">
        <v>8</v>
      </c>
      <c r="R45" s="177">
        <v>7</v>
      </c>
      <c r="S45" s="177">
        <v>57</v>
      </c>
      <c r="T45" s="177">
        <v>58</v>
      </c>
      <c r="U45" s="177">
        <v>122.08</v>
      </c>
      <c r="V45" s="177">
        <v>143.64499999999998</v>
      </c>
      <c r="W45" s="177" t="s">
        <v>204</v>
      </c>
      <c r="X45" s="177" t="s">
        <v>208</v>
      </c>
      <c r="Y45" s="182">
        <v>-28.53295</v>
      </c>
      <c r="Z45" s="182">
        <v>2.7795670000000001</v>
      </c>
      <c r="AA45" s="182">
        <v>-38</v>
      </c>
      <c r="AB45" s="183" t="s">
        <v>162</v>
      </c>
      <c r="AC45" s="183">
        <v>-2717</v>
      </c>
      <c r="AD45" s="182">
        <v>-2000</v>
      </c>
      <c r="AE45" s="177" t="s">
        <v>213</v>
      </c>
      <c r="AF45" s="177" t="s">
        <v>160</v>
      </c>
      <c r="AG45" s="178">
        <v>40337.608337402344</v>
      </c>
      <c r="AH45" s="184" t="s">
        <v>215</v>
      </c>
      <c r="AI45" s="177">
        <v>1</v>
      </c>
      <c r="AJ45" s="177">
        <v>1</v>
      </c>
      <c r="AK45" s="177" t="s">
        <v>214</v>
      </c>
      <c r="AL45" s="177" t="s">
        <v>216</v>
      </c>
      <c r="AM45" s="192" t="s">
        <v>219</v>
      </c>
      <c r="AN45" s="177">
        <v>40.439437866210938</v>
      </c>
      <c r="AO45" s="177" t="s">
        <v>162</v>
      </c>
      <c r="AP45" s="177" t="s">
        <v>162</v>
      </c>
      <c r="AQ45" s="177" t="s">
        <v>162</v>
      </c>
      <c r="AR45" s="177" t="s">
        <v>214</v>
      </c>
      <c r="AS45" s="177" t="s">
        <v>220</v>
      </c>
      <c r="AT45" s="177" t="s">
        <v>222</v>
      </c>
      <c r="AU45" s="177" t="s">
        <v>229</v>
      </c>
      <c r="AV45" s="177" t="s">
        <v>230</v>
      </c>
      <c r="AW45" s="174">
        <v>244</v>
      </c>
      <c r="AX45" s="174">
        <v>3.8340000000000001</v>
      </c>
      <c r="AY45" s="184" t="s">
        <v>232</v>
      </c>
      <c r="AZ45" s="177" t="s">
        <v>163</v>
      </c>
      <c r="BA45" s="177" t="s">
        <v>164</v>
      </c>
      <c r="BB45" s="177" t="s">
        <v>270</v>
      </c>
      <c r="BC45" s="177">
        <v>2</v>
      </c>
      <c r="BD45" s="186">
        <v>0.1456040600394779</v>
      </c>
      <c r="BE45" s="187">
        <v>13.3472675749984</v>
      </c>
      <c r="BF45" s="177" t="s">
        <v>233</v>
      </c>
      <c r="BG45" s="177">
        <v>0.23554168323132299</v>
      </c>
      <c r="BH45" s="177">
        <v>0.95</v>
      </c>
      <c r="BI45" s="177" t="s">
        <v>281</v>
      </c>
      <c r="BJ45" s="177">
        <v>0.17</v>
      </c>
      <c r="BK45" s="177">
        <v>-0.42</v>
      </c>
      <c r="BL45" s="177" t="s">
        <v>282</v>
      </c>
      <c r="BM45" s="177">
        <v>2.85</v>
      </c>
      <c r="BN45" s="177" t="s">
        <v>285</v>
      </c>
      <c r="BO45" s="177" t="s">
        <v>284</v>
      </c>
      <c r="BP45" s="189">
        <v>14.5397578947368</v>
      </c>
      <c r="BQ45" s="177" t="s">
        <v>287</v>
      </c>
      <c r="BR45" s="190" t="s">
        <v>288</v>
      </c>
      <c r="BS45" s="177" t="s">
        <v>286</v>
      </c>
      <c r="BT45" s="177" t="s">
        <v>289</v>
      </c>
      <c r="BU45" s="177">
        <v>25</v>
      </c>
      <c r="BV45" s="177" t="s">
        <v>165</v>
      </c>
      <c r="BW45" s="177" t="s">
        <v>165</v>
      </c>
      <c r="BX45" s="187">
        <v>25.589366963967802</v>
      </c>
      <c r="BY45" s="177" t="s">
        <v>290</v>
      </c>
      <c r="BZ45" s="186">
        <v>0.69311456817288397</v>
      </c>
      <c r="CA45" s="186">
        <v>0.68623699370425595</v>
      </c>
      <c r="CB45" s="177" t="s">
        <v>291</v>
      </c>
      <c r="CC45" s="177">
        <v>2.8459356274786001</v>
      </c>
      <c r="CD45" s="177" t="s">
        <v>292</v>
      </c>
      <c r="CE45" s="177">
        <v>8.5378068824358E-2</v>
      </c>
      <c r="CF45" s="177">
        <v>8.5378068824358E-2</v>
      </c>
      <c r="CG45" s="177" t="s">
        <v>295</v>
      </c>
      <c r="CH45" s="177" t="s">
        <v>162</v>
      </c>
      <c r="CI45" s="177" t="s">
        <v>293</v>
      </c>
      <c r="CJ45" s="177" t="s">
        <v>296</v>
      </c>
      <c r="CK45" s="177" t="s">
        <v>165</v>
      </c>
      <c r="CL45" s="177" t="s">
        <v>165</v>
      </c>
      <c r="CM45" s="177" t="s">
        <v>294</v>
      </c>
      <c r="CN45" s="177" t="s">
        <v>162</v>
      </c>
      <c r="CO45" s="177" t="s">
        <v>162</v>
      </c>
      <c r="CP45" s="177" t="s">
        <v>162</v>
      </c>
      <c r="CQ45" s="177" t="s">
        <v>162</v>
      </c>
      <c r="CR45" s="177" t="s">
        <v>162</v>
      </c>
      <c r="CS45" s="177" t="s">
        <v>162</v>
      </c>
      <c r="CT45" s="177" t="s">
        <v>162</v>
      </c>
      <c r="CU45" s="191">
        <v>35</v>
      </c>
      <c r="CV45" s="177" t="s">
        <v>161</v>
      </c>
      <c r="CW45" s="177">
        <v>1</v>
      </c>
      <c r="CX45" s="177" t="s">
        <v>297</v>
      </c>
      <c r="CY45" s="177">
        <v>17</v>
      </c>
      <c r="CZ45" s="177" t="s">
        <v>170</v>
      </c>
      <c r="DA45" s="177" t="s">
        <v>170</v>
      </c>
      <c r="DB45" s="177" t="s">
        <v>298</v>
      </c>
      <c r="DC45" s="177">
        <v>38</v>
      </c>
      <c r="DD45" s="177" t="s">
        <v>170</v>
      </c>
      <c r="DE45" s="177" t="s">
        <v>170</v>
      </c>
      <c r="DF45" s="177" t="s">
        <v>298</v>
      </c>
      <c r="DG45" s="177" t="s">
        <v>166</v>
      </c>
      <c r="DH45" s="177" t="s">
        <v>167</v>
      </c>
      <c r="DI45" s="177" t="s">
        <v>167</v>
      </c>
      <c r="DJ45" s="177" t="s">
        <v>167</v>
      </c>
      <c r="DK45" s="192">
        <v>432.56244218316402</v>
      </c>
      <c r="DL45" s="177" t="s">
        <v>168</v>
      </c>
      <c r="DM45" s="192">
        <v>12.358926919523601</v>
      </c>
      <c r="DN45" s="177" t="s">
        <v>169</v>
      </c>
      <c r="DO45" s="177">
        <v>38.700000000000003</v>
      </c>
      <c r="DP45" s="177" t="s">
        <v>299</v>
      </c>
      <c r="DQ45" s="177">
        <v>0.2</v>
      </c>
      <c r="DR45" s="177" t="s">
        <v>300</v>
      </c>
      <c r="DS45" s="177" t="s">
        <v>301</v>
      </c>
      <c r="DT45" s="177" t="s">
        <v>302</v>
      </c>
      <c r="DU45" s="177">
        <v>1.0271999999999999</v>
      </c>
      <c r="DV45" s="177" t="s">
        <v>170</v>
      </c>
      <c r="DW45" s="177" t="s">
        <v>170</v>
      </c>
      <c r="DX45" s="177" t="s">
        <v>177</v>
      </c>
      <c r="DY45" s="177" t="s">
        <v>170</v>
      </c>
      <c r="DZ45" s="177" t="s">
        <v>170</v>
      </c>
      <c r="EA45" s="177" t="s">
        <v>303</v>
      </c>
      <c r="EB45" s="177" t="s">
        <v>171</v>
      </c>
      <c r="EC45" s="177" t="s">
        <v>304</v>
      </c>
      <c r="ED45" s="177" t="s">
        <v>304</v>
      </c>
      <c r="EE45" s="177" t="s">
        <v>304</v>
      </c>
      <c r="EF45" s="177" t="s">
        <v>304</v>
      </c>
      <c r="EG45" s="177" t="s">
        <v>162</v>
      </c>
      <c r="EH45" s="177" t="s">
        <v>172</v>
      </c>
      <c r="EI45" s="177" t="s">
        <v>305</v>
      </c>
      <c r="EJ45" s="177" t="s">
        <v>162</v>
      </c>
      <c r="EK45" s="193">
        <v>1750</v>
      </c>
      <c r="EL45" s="177" t="s">
        <v>173</v>
      </c>
      <c r="EM45" s="177">
        <v>150</v>
      </c>
      <c r="EN45" s="177">
        <v>150</v>
      </c>
      <c r="EO45" s="177" t="s">
        <v>306</v>
      </c>
      <c r="EP45" s="177" t="s">
        <v>306</v>
      </c>
      <c r="EQ45" s="177" t="s">
        <v>306</v>
      </c>
      <c r="ER45" s="177" t="s">
        <v>306</v>
      </c>
      <c r="ES45" s="177">
        <v>7.8253180510930296</v>
      </c>
      <c r="ET45" s="194" t="s">
        <v>174</v>
      </c>
      <c r="EU45" s="195">
        <v>3.37759287966116E-2</v>
      </c>
      <c r="EV45" s="195">
        <v>3.37759287966116E-2</v>
      </c>
      <c r="EW45" s="178">
        <v>620.01111937054998</v>
      </c>
      <c r="EX45" s="194">
        <v>0</v>
      </c>
      <c r="EY45" s="194" t="s">
        <v>308</v>
      </c>
      <c r="EZ45" s="178">
        <v>620.01111937054998</v>
      </c>
      <c r="FA45" s="178">
        <v>117.64198423218602</v>
      </c>
      <c r="FB45" s="178">
        <v>97.423440173182939</v>
      </c>
      <c r="FC45" s="196" t="s">
        <v>309</v>
      </c>
      <c r="FD45" s="177" t="s">
        <v>310</v>
      </c>
      <c r="FE45" s="177" t="s">
        <v>175</v>
      </c>
      <c r="FF45" s="177" t="s">
        <v>175</v>
      </c>
      <c r="FG45" s="177" t="s">
        <v>175</v>
      </c>
      <c r="FH45" s="177">
        <v>1833.8311124724501</v>
      </c>
      <c r="FI45" s="177">
        <v>202.423863770515</v>
      </c>
      <c r="FJ45" s="177">
        <v>183.81320379809</v>
      </c>
      <c r="FK45" s="177">
        <v>5.6425986480424797</v>
      </c>
      <c r="FL45" s="177">
        <v>0.725545691378367</v>
      </c>
      <c r="FM45" s="177">
        <v>0.69841537342136395</v>
      </c>
      <c r="FN45" s="177">
        <v>3.5380305999667701</v>
      </c>
      <c r="FO45" s="177">
        <v>0.455112006083909</v>
      </c>
      <c r="FP45" s="177">
        <v>0.43816373135076803</v>
      </c>
      <c r="FQ45" s="177" t="s">
        <v>317</v>
      </c>
    </row>
    <row r="46" spans="1:173" s="177" customFormat="1">
      <c r="A46" s="128" t="s">
        <v>152</v>
      </c>
      <c r="B46" s="177" t="s">
        <v>156</v>
      </c>
      <c r="C46" s="177">
        <v>2020</v>
      </c>
      <c r="D46" s="177" t="s">
        <v>194</v>
      </c>
      <c r="E46" s="178">
        <v>40725.719451904297</v>
      </c>
      <c r="F46" s="177">
        <v>1</v>
      </c>
      <c r="G46" s="177">
        <v>1</v>
      </c>
      <c r="H46" s="179">
        <v>635.14063133550405</v>
      </c>
      <c r="I46" s="179">
        <v>109.22853847212593</v>
      </c>
      <c r="J46" s="179">
        <v>96.071681880210008</v>
      </c>
      <c r="K46" s="177" t="s">
        <v>157</v>
      </c>
      <c r="L46" s="180" t="s">
        <v>158</v>
      </c>
      <c r="M46" s="181" t="s">
        <v>195</v>
      </c>
      <c r="N46" s="177" t="s">
        <v>194</v>
      </c>
      <c r="O46" s="177" t="s">
        <v>197</v>
      </c>
      <c r="P46" s="177" t="s">
        <v>200</v>
      </c>
      <c r="Q46" s="177">
        <v>9</v>
      </c>
      <c r="R46" s="177">
        <v>1</v>
      </c>
      <c r="S46" s="177">
        <v>79</v>
      </c>
      <c r="T46" s="177">
        <v>91</v>
      </c>
      <c r="U46" s="177">
        <v>122.91</v>
      </c>
      <c r="V46" s="177">
        <v>146.07999999999998</v>
      </c>
      <c r="W46" s="177" t="s">
        <v>204</v>
      </c>
      <c r="X46" s="177" t="s">
        <v>208</v>
      </c>
      <c r="Y46" s="182">
        <v>-28.53295</v>
      </c>
      <c r="Z46" s="182">
        <v>2.7795670000000001</v>
      </c>
      <c r="AA46" s="182">
        <v>-38</v>
      </c>
      <c r="AB46" s="183" t="s">
        <v>162</v>
      </c>
      <c r="AC46" s="183">
        <v>-2717</v>
      </c>
      <c r="AD46" s="182">
        <v>-2000</v>
      </c>
      <c r="AE46" s="177" t="s">
        <v>213</v>
      </c>
      <c r="AF46" s="177" t="s">
        <v>160</v>
      </c>
      <c r="AG46" s="178">
        <v>40725.719451904297</v>
      </c>
      <c r="AH46" s="184" t="s">
        <v>215</v>
      </c>
      <c r="AI46" s="177">
        <v>1</v>
      </c>
      <c r="AJ46" s="177">
        <v>1</v>
      </c>
      <c r="AK46" s="177" t="s">
        <v>214</v>
      </c>
      <c r="AL46" s="177" t="s">
        <v>216</v>
      </c>
      <c r="AM46" s="192" t="s">
        <v>219</v>
      </c>
      <c r="AN46" s="177">
        <v>40.612617492675781</v>
      </c>
      <c r="AO46" s="177" t="s">
        <v>162</v>
      </c>
      <c r="AP46" s="177" t="s">
        <v>162</v>
      </c>
      <c r="AQ46" s="177" t="s">
        <v>162</v>
      </c>
      <c r="AR46" s="177" t="s">
        <v>214</v>
      </c>
      <c r="AS46" s="177" t="s">
        <v>220</v>
      </c>
      <c r="AT46" s="177" t="s">
        <v>222</v>
      </c>
      <c r="AU46" s="177" t="s">
        <v>229</v>
      </c>
      <c r="AV46" s="177" t="s">
        <v>230</v>
      </c>
      <c r="AW46" s="174">
        <v>221</v>
      </c>
      <c r="AX46" s="174">
        <v>2.4660000000000002</v>
      </c>
      <c r="AY46" s="184" t="s">
        <v>232</v>
      </c>
      <c r="AZ46" s="177" t="s">
        <v>163</v>
      </c>
      <c r="BA46" s="177" t="s">
        <v>164</v>
      </c>
      <c r="BB46" s="177" t="s">
        <v>271</v>
      </c>
      <c r="BC46" s="177">
        <v>2</v>
      </c>
      <c r="BD46" s="186">
        <v>6.8989552934528575E-2</v>
      </c>
      <c r="BE46" s="187">
        <v>13.695045156115199</v>
      </c>
      <c r="BF46" s="177" t="s">
        <v>233</v>
      </c>
      <c r="BG46" s="177">
        <v>0.247946121043088</v>
      </c>
      <c r="BH46" s="177">
        <v>0.95</v>
      </c>
      <c r="BI46" s="177" t="s">
        <v>281</v>
      </c>
      <c r="BJ46" s="177">
        <v>0.17</v>
      </c>
      <c r="BK46" s="177">
        <v>-0.42</v>
      </c>
      <c r="BL46" s="177" t="s">
        <v>282</v>
      </c>
      <c r="BM46" s="177">
        <v>2.85</v>
      </c>
      <c r="BN46" s="177" t="s">
        <v>285</v>
      </c>
      <c r="BO46" s="177" t="s">
        <v>284</v>
      </c>
      <c r="BP46" s="189">
        <v>14.905842105263201</v>
      </c>
      <c r="BQ46" s="177" t="s">
        <v>287</v>
      </c>
      <c r="BR46" s="190" t="s">
        <v>288</v>
      </c>
      <c r="BS46" s="177" t="s">
        <v>286</v>
      </c>
      <c r="BT46" s="177" t="s">
        <v>289</v>
      </c>
      <c r="BU46" s="177">
        <v>25</v>
      </c>
      <c r="BV46" s="177" t="s">
        <v>165</v>
      </c>
      <c r="BW46" s="177" t="s">
        <v>165</v>
      </c>
      <c r="BX46" s="187">
        <v>25.370628608346902</v>
      </c>
      <c r="BY46" s="177" t="s">
        <v>290</v>
      </c>
      <c r="BZ46" s="186">
        <v>0.60699744582984405</v>
      </c>
      <c r="CA46" s="186">
        <v>0.66821520210816499</v>
      </c>
      <c r="CB46" s="177" t="s">
        <v>291</v>
      </c>
      <c r="CC46" s="177">
        <v>2.7233608374904801</v>
      </c>
      <c r="CD46" s="177" t="s">
        <v>292</v>
      </c>
      <c r="CE46" s="177">
        <v>8.1700825124714396E-2</v>
      </c>
      <c r="CF46" s="177">
        <v>8.1700825124714396E-2</v>
      </c>
      <c r="CG46" s="177" t="s">
        <v>295</v>
      </c>
      <c r="CH46" s="177" t="s">
        <v>162</v>
      </c>
      <c r="CI46" s="177" t="s">
        <v>293</v>
      </c>
      <c r="CJ46" s="177" t="s">
        <v>296</v>
      </c>
      <c r="CK46" s="177" t="s">
        <v>165</v>
      </c>
      <c r="CL46" s="177" t="s">
        <v>165</v>
      </c>
      <c r="CM46" s="177" t="s">
        <v>294</v>
      </c>
      <c r="CN46" s="177" t="s">
        <v>162</v>
      </c>
      <c r="CO46" s="177" t="s">
        <v>162</v>
      </c>
      <c r="CP46" s="177" t="s">
        <v>162</v>
      </c>
      <c r="CQ46" s="177" t="s">
        <v>162</v>
      </c>
      <c r="CR46" s="177" t="s">
        <v>162</v>
      </c>
      <c r="CS46" s="177" t="s">
        <v>162</v>
      </c>
      <c r="CT46" s="177" t="s">
        <v>162</v>
      </c>
      <c r="CU46" s="191">
        <v>35</v>
      </c>
      <c r="CV46" s="177" t="s">
        <v>161</v>
      </c>
      <c r="CW46" s="177">
        <v>1</v>
      </c>
      <c r="CX46" s="177" t="s">
        <v>297</v>
      </c>
      <c r="CY46" s="177">
        <v>17</v>
      </c>
      <c r="CZ46" s="177" t="s">
        <v>170</v>
      </c>
      <c r="DA46" s="177" t="s">
        <v>170</v>
      </c>
      <c r="DB46" s="177" t="s">
        <v>298</v>
      </c>
      <c r="DC46" s="177">
        <v>38</v>
      </c>
      <c r="DD46" s="177" t="s">
        <v>170</v>
      </c>
      <c r="DE46" s="177" t="s">
        <v>170</v>
      </c>
      <c r="DF46" s="177" t="s">
        <v>298</v>
      </c>
      <c r="DG46" s="177" t="s">
        <v>166</v>
      </c>
      <c r="DH46" s="177" t="s">
        <v>167</v>
      </c>
      <c r="DI46" s="177" t="s">
        <v>167</v>
      </c>
      <c r="DJ46" s="177" t="s">
        <v>167</v>
      </c>
      <c r="DK46" s="192">
        <v>432.56244218316402</v>
      </c>
      <c r="DL46" s="177" t="s">
        <v>168</v>
      </c>
      <c r="DM46" s="192">
        <v>12.3589269195238</v>
      </c>
      <c r="DN46" s="177" t="s">
        <v>169</v>
      </c>
      <c r="DO46" s="177">
        <v>38.700000000000003</v>
      </c>
      <c r="DP46" s="177" t="s">
        <v>299</v>
      </c>
      <c r="DQ46" s="177">
        <v>0.2</v>
      </c>
      <c r="DR46" s="177" t="s">
        <v>300</v>
      </c>
      <c r="DS46" s="177" t="s">
        <v>301</v>
      </c>
      <c r="DT46" s="177" t="s">
        <v>302</v>
      </c>
      <c r="DU46" s="177">
        <v>1.0271999999999999</v>
      </c>
      <c r="DV46" s="177" t="s">
        <v>170</v>
      </c>
      <c r="DW46" s="177" t="s">
        <v>170</v>
      </c>
      <c r="DX46" s="177" t="s">
        <v>177</v>
      </c>
      <c r="DY46" s="177" t="s">
        <v>170</v>
      </c>
      <c r="DZ46" s="177" t="s">
        <v>170</v>
      </c>
      <c r="EA46" s="177" t="s">
        <v>303</v>
      </c>
      <c r="EB46" s="177" t="s">
        <v>171</v>
      </c>
      <c r="EC46" s="177" t="s">
        <v>304</v>
      </c>
      <c r="ED46" s="177" t="s">
        <v>304</v>
      </c>
      <c r="EE46" s="177" t="s">
        <v>304</v>
      </c>
      <c r="EF46" s="177" t="s">
        <v>304</v>
      </c>
      <c r="EG46" s="177" t="s">
        <v>162</v>
      </c>
      <c r="EH46" s="177" t="s">
        <v>172</v>
      </c>
      <c r="EI46" s="177" t="s">
        <v>305</v>
      </c>
      <c r="EJ46" s="177" t="s">
        <v>162</v>
      </c>
      <c r="EK46" s="193">
        <v>1750</v>
      </c>
      <c r="EL46" s="177" t="s">
        <v>173</v>
      </c>
      <c r="EM46" s="177">
        <v>150</v>
      </c>
      <c r="EN46" s="177">
        <v>150</v>
      </c>
      <c r="EO46" s="177" t="s">
        <v>306</v>
      </c>
      <c r="EP46" s="177" t="s">
        <v>306</v>
      </c>
      <c r="EQ46" s="177" t="s">
        <v>306</v>
      </c>
      <c r="ER46" s="177" t="s">
        <v>306</v>
      </c>
      <c r="ES46" s="177">
        <v>7.8781111741229797</v>
      </c>
      <c r="ET46" s="194" t="s">
        <v>174</v>
      </c>
      <c r="EU46" s="195">
        <v>3.0441527258193199E-2</v>
      </c>
      <c r="EV46" s="195">
        <v>3.0441527258193199E-2</v>
      </c>
      <c r="EW46" s="178">
        <v>635.14063133550405</v>
      </c>
      <c r="EX46" s="194">
        <v>0</v>
      </c>
      <c r="EY46" s="194" t="s">
        <v>308</v>
      </c>
      <c r="EZ46" s="178">
        <v>635.14063133550405</v>
      </c>
      <c r="FA46" s="178">
        <v>109.22853847212593</v>
      </c>
      <c r="FB46" s="178">
        <v>96.071681880210008</v>
      </c>
      <c r="FC46" s="196" t="s">
        <v>309</v>
      </c>
      <c r="FD46" s="177" t="s">
        <v>310</v>
      </c>
      <c r="FE46" s="177" t="s">
        <v>175</v>
      </c>
      <c r="FF46" s="177" t="s">
        <v>175</v>
      </c>
      <c r="FG46" s="177" t="s">
        <v>175</v>
      </c>
      <c r="FH46" s="177">
        <v>1852.7200127563301</v>
      </c>
      <c r="FI46" s="177">
        <v>190.80598437356301</v>
      </c>
      <c r="FJ46" s="177">
        <v>196.16231652700901</v>
      </c>
      <c r="FK46" s="177">
        <v>6.9409787995402299</v>
      </c>
      <c r="FL46" s="177">
        <v>0.94375533984823001</v>
      </c>
      <c r="FM46" s="177">
        <v>0.82157702961764401</v>
      </c>
      <c r="FN46" s="177">
        <v>4.4293690504659402</v>
      </c>
      <c r="FO46" s="177">
        <v>0.607811981941903</v>
      </c>
      <c r="FP46" s="177">
        <v>0.53046631969699998</v>
      </c>
      <c r="FQ46" s="177" t="s">
        <v>317</v>
      </c>
    </row>
    <row r="47" spans="1:173" s="177" customFormat="1">
      <c r="A47" s="128" t="s">
        <v>152</v>
      </c>
      <c r="B47" s="177" t="s">
        <v>156</v>
      </c>
      <c r="C47" s="177">
        <v>2020</v>
      </c>
      <c r="D47" s="177" t="s">
        <v>194</v>
      </c>
      <c r="E47" s="178">
        <v>41064.14794921875</v>
      </c>
      <c r="F47" s="177">
        <v>1</v>
      </c>
      <c r="G47" s="177">
        <v>1</v>
      </c>
      <c r="H47" s="179">
        <v>657.81326271638704</v>
      </c>
      <c r="I47" s="179">
        <v>116.23957142276799</v>
      </c>
      <c r="J47" s="179">
        <v>99.949330476146997</v>
      </c>
      <c r="K47" s="177" t="s">
        <v>157</v>
      </c>
      <c r="L47" s="180" t="s">
        <v>158</v>
      </c>
      <c r="M47" s="181" t="s">
        <v>195</v>
      </c>
      <c r="N47" s="177" t="s">
        <v>194</v>
      </c>
      <c r="O47" s="177" t="s">
        <v>197</v>
      </c>
      <c r="P47" s="177" t="s">
        <v>200</v>
      </c>
      <c r="Q47" s="177">
        <v>9</v>
      </c>
      <c r="R47" s="177">
        <v>3</v>
      </c>
      <c r="S47" s="177">
        <v>0</v>
      </c>
      <c r="T47" s="177">
        <v>12</v>
      </c>
      <c r="U47" s="177">
        <v>125.12</v>
      </c>
      <c r="V47" s="177">
        <v>148.29</v>
      </c>
      <c r="W47" s="177" t="s">
        <v>204</v>
      </c>
      <c r="X47" s="177" t="s">
        <v>208</v>
      </c>
      <c r="Y47" s="182">
        <v>-28.53295</v>
      </c>
      <c r="Z47" s="182">
        <v>2.7795670000000001</v>
      </c>
      <c r="AA47" s="182">
        <v>-38</v>
      </c>
      <c r="AB47" s="183" t="s">
        <v>162</v>
      </c>
      <c r="AC47" s="183">
        <v>-2717</v>
      </c>
      <c r="AD47" s="182">
        <v>-2000</v>
      </c>
      <c r="AE47" s="177" t="s">
        <v>213</v>
      </c>
      <c r="AF47" s="177" t="s">
        <v>160</v>
      </c>
      <c r="AG47" s="178">
        <v>41064.14794921875</v>
      </c>
      <c r="AH47" s="184" t="s">
        <v>215</v>
      </c>
      <c r="AI47" s="177">
        <v>1</v>
      </c>
      <c r="AJ47" s="177">
        <v>1</v>
      </c>
      <c r="AK47" s="177" t="s">
        <v>214</v>
      </c>
      <c r="AL47" s="177" t="s">
        <v>216</v>
      </c>
      <c r="AM47" s="192" t="s">
        <v>219</v>
      </c>
      <c r="AN47" s="177">
        <v>40.847396850585938</v>
      </c>
      <c r="AO47" s="177" t="s">
        <v>162</v>
      </c>
      <c r="AP47" s="177" t="s">
        <v>162</v>
      </c>
      <c r="AQ47" s="177" t="s">
        <v>162</v>
      </c>
      <c r="AR47" s="177" t="s">
        <v>214</v>
      </c>
      <c r="AS47" s="177" t="s">
        <v>220</v>
      </c>
      <c r="AT47" s="177" t="s">
        <v>222</v>
      </c>
      <c r="AU47" s="177" t="s">
        <v>229</v>
      </c>
      <c r="AV47" s="177" t="s">
        <v>230</v>
      </c>
      <c r="AW47" s="174">
        <v>225</v>
      </c>
      <c r="AX47" s="174">
        <v>3.2509999999999999</v>
      </c>
      <c r="AY47" s="184" t="s">
        <v>232</v>
      </c>
      <c r="AZ47" s="177" t="s">
        <v>163</v>
      </c>
      <c r="BA47" s="177" t="s">
        <v>164</v>
      </c>
      <c r="BB47" s="177" t="s">
        <v>276</v>
      </c>
      <c r="BC47" s="177">
        <v>2</v>
      </c>
      <c r="BD47" s="186">
        <v>0.23947269235404534</v>
      </c>
      <c r="BE47" s="187">
        <v>13.599735772391901</v>
      </c>
      <c r="BF47" s="177" t="s">
        <v>233</v>
      </c>
      <c r="BG47" s="177">
        <v>0.237604306714638</v>
      </c>
      <c r="BH47" s="177">
        <v>0.95</v>
      </c>
      <c r="BI47" s="177" t="s">
        <v>281</v>
      </c>
      <c r="BJ47" s="177">
        <v>0.17</v>
      </c>
      <c r="BK47" s="177">
        <v>-0.42</v>
      </c>
      <c r="BL47" s="177" t="s">
        <v>282</v>
      </c>
      <c r="BM47" s="177">
        <v>2.85</v>
      </c>
      <c r="BN47" s="177" t="s">
        <v>285</v>
      </c>
      <c r="BO47" s="177" t="s">
        <v>284</v>
      </c>
      <c r="BP47" s="189">
        <v>14.8055157894737</v>
      </c>
      <c r="BQ47" s="177" t="s">
        <v>287</v>
      </c>
      <c r="BR47" s="190" t="s">
        <v>288</v>
      </c>
      <c r="BS47" s="177" t="s">
        <v>286</v>
      </c>
      <c r="BT47" s="177" t="s">
        <v>289</v>
      </c>
      <c r="BU47" s="177">
        <v>25</v>
      </c>
      <c r="BV47" s="177" t="s">
        <v>165</v>
      </c>
      <c r="BW47" s="177" t="s">
        <v>165</v>
      </c>
      <c r="BX47" s="187">
        <v>25.922816213175</v>
      </c>
      <c r="BY47" s="177" t="s">
        <v>290</v>
      </c>
      <c r="BZ47" s="186">
        <v>0.62116751413117699</v>
      </c>
      <c r="CA47" s="186">
        <v>0.6403086236012</v>
      </c>
      <c r="CB47" s="177" t="s">
        <v>291</v>
      </c>
      <c r="CC47" s="177">
        <v>2.8420855064726198</v>
      </c>
      <c r="CD47" s="177" t="s">
        <v>292</v>
      </c>
      <c r="CE47" s="177">
        <v>8.5262565194178588E-2</v>
      </c>
      <c r="CF47" s="177">
        <v>8.5262565194178588E-2</v>
      </c>
      <c r="CG47" s="177" t="s">
        <v>295</v>
      </c>
      <c r="CH47" s="177" t="s">
        <v>162</v>
      </c>
      <c r="CI47" s="177" t="s">
        <v>293</v>
      </c>
      <c r="CJ47" s="177" t="s">
        <v>296</v>
      </c>
      <c r="CK47" s="177" t="s">
        <v>165</v>
      </c>
      <c r="CL47" s="177" t="s">
        <v>165</v>
      </c>
      <c r="CM47" s="177" t="s">
        <v>294</v>
      </c>
      <c r="CN47" s="177" t="s">
        <v>162</v>
      </c>
      <c r="CO47" s="177" t="s">
        <v>162</v>
      </c>
      <c r="CP47" s="177" t="s">
        <v>162</v>
      </c>
      <c r="CQ47" s="177" t="s">
        <v>162</v>
      </c>
      <c r="CR47" s="177" t="s">
        <v>162</v>
      </c>
      <c r="CS47" s="177" t="s">
        <v>162</v>
      </c>
      <c r="CT47" s="177" t="s">
        <v>162</v>
      </c>
      <c r="CU47" s="191">
        <v>35</v>
      </c>
      <c r="CV47" s="177" t="s">
        <v>161</v>
      </c>
      <c r="CW47" s="177">
        <v>1</v>
      </c>
      <c r="CX47" s="177" t="s">
        <v>297</v>
      </c>
      <c r="CY47" s="177">
        <v>17</v>
      </c>
      <c r="CZ47" s="177" t="s">
        <v>170</v>
      </c>
      <c r="DA47" s="177" t="s">
        <v>170</v>
      </c>
      <c r="DB47" s="177" t="s">
        <v>298</v>
      </c>
      <c r="DC47" s="177">
        <v>38</v>
      </c>
      <c r="DD47" s="177" t="s">
        <v>170</v>
      </c>
      <c r="DE47" s="177" t="s">
        <v>170</v>
      </c>
      <c r="DF47" s="177" t="s">
        <v>298</v>
      </c>
      <c r="DG47" s="177" t="s">
        <v>166</v>
      </c>
      <c r="DH47" s="177" t="s">
        <v>167</v>
      </c>
      <c r="DI47" s="177" t="s">
        <v>167</v>
      </c>
      <c r="DJ47" s="177" t="s">
        <v>167</v>
      </c>
      <c r="DK47" s="192">
        <v>432.56244218316402</v>
      </c>
      <c r="DL47" s="177" t="s">
        <v>168</v>
      </c>
      <c r="DM47" s="192">
        <v>12.358926919523901</v>
      </c>
      <c r="DN47" s="177" t="s">
        <v>169</v>
      </c>
      <c r="DO47" s="177">
        <v>38.700000000000003</v>
      </c>
      <c r="DP47" s="177" t="s">
        <v>299</v>
      </c>
      <c r="DQ47" s="177">
        <v>0.2</v>
      </c>
      <c r="DR47" s="177" t="s">
        <v>300</v>
      </c>
      <c r="DS47" s="177" t="s">
        <v>301</v>
      </c>
      <c r="DT47" s="177" t="s">
        <v>302</v>
      </c>
      <c r="DU47" s="177">
        <v>1.0271999999999999</v>
      </c>
      <c r="DV47" s="177" t="s">
        <v>170</v>
      </c>
      <c r="DW47" s="177" t="s">
        <v>170</v>
      </c>
      <c r="DX47" s="177" t="s">
        <v>177</v>
      </c>
      <c r="DY47" s="177" t="s">
        <v>170</v>
      </c>
      <c r="DZ47" s="177" t="s">
        <v>170</v>
      </c>
      <c r="EA47" s="177" t="s">
        <v>303</v>
      </c>
      <c r="EB47" s="177" t="s">
        <v>171</v>
      </c>
      <c r="EC47" s="177" t="s">
        <v>304</v>
      </c>
      <c r="ED47" s="177" t="s">
        <v>304</v>
      </c>
      <c r="EE47" s="177" t="s">
        <v>304</v>
      </c>
      <c r="EF47" s="177" t="s">
        <v>304</v>
      </c>
      <c r="EG47" s="177" t="s">
        <v>162</v>
      </c>
      <c r="EH47" s="177" t="s">
        <v>172</v>
      </c>
      <c r="EI47" s="177" t="s">
        <v>305</v>
      </c>
      <c r="EJ47" s="177" t="s">
        <v>162</v>
      </c>
      <c r="EK47" s="193">
        <v>1750</v>
      </c>
      <c r="EL47" s="177" t="s">
        <v>173</v>
      </c>
      <c r="EM47" s="177">
        <v>150</v>
      </c>
      <c r="EN47" s="177">
        <v>150</v>
      </c>
      <c r="EO47" s="177" t="s">
        <v>306</v>
      </c>
      <c r="EP47" s="177" t="s">
        <v>306</v>
      </c>
      <c r="EQ47" s="177" t="s">
        <v>306</v>
      </c>
      <c r="ER47" s="177" t="s">
        <v>306</v>
      </c>
      <c r="ES47" s="177">
        <v>7.8600529990689303</v>
      </c>
      <c r="ET47" s="194" t="s">
        <v>174</v>
      </c>
      <c r="EU47" s="195">
        <v>3.2236389793429902E-2</v>
      </c>
      <c r="EV47" s="195">
        <v>3.2236389793429902E-2</v>
      </c>
      <c r="EW47" s="178">
        <v>657.81326271638704</v>
      </c>
      <c r="EX47" s="194">
        <v>0</v>
      </c>
      <c r="EY47" s="194" t="s">
        <v>308</v>
      </c>
      <c r="EZ47" s="178">
        <v>657.81326271638704</v>
      </c>
      <c r="FA47" s="178">
        <v>116.23957142276799</v>
      </c>
      <c r="FB47" s="178">
        <v>99.949330476146997</v>
      </c>
      <c r="FC47" s="196" t="s">
        <v>309</v>
      </c>
      <c r="FD47" s="177" t="s">
        <v>310</v>
      </c>
      <c r="FE47" s="177" t="s">
        <v>175</v>
      </c>
      <c r="FF47" s="177" t="s">
        <v>175</v>
      </c>
      <c r="FG47" s="177" t="s">
        <v>175</v>
      </c>
      <c r="FH47" s="177">
        <v>1869.2179461378701</v>
      </c>
      <c r="FI47" s="177">
        <v>195.86925978177999</v>
      </c>
      <c r="FJ47" s="177">
        <v>193.06382378751701</v>
      </c>
      <c r="FK47" s="177">
        <v>7.62905480265061</v>
      </c>
      <c r="FL47" s="177">
        <v>0.917493355297891</v>
      </c>
      <c r="FM47" s="177">
        <v>0.89306863578594398</v>
      </c>
      <c r="FN47" s="177">
        <v>4.90550460914148</v>
      </c>
      <c r="FO47" s="177">
        <v>0.59947747537019203</v>
      </c>
      <c r="FP47" s="177">
        <v>0.57014120346567099</v>
      </c>
      <c r="FQ47" s="177" t="s">
        <v>317</v>
      </c>
    </row>
    <row r="48" spans="1:173" s="177" customFormat="1">
      <c r="A48" s="128" t="s">
        <v>152</v>
      </c>
      <c r="B48" s="177" t="s">
        <v>156</v>
      </c>
      <c r="C48" s="177">
        <v>2020</v>
      </c>
      <c r="D48" s="177" t="s">
        <v>194</v>
      </c>
      <c r="E48" s="178">
        <v>39807.929992675781</v>
      </c>
      <c r="F48" s="177">
        <v>1</v>
      </c>
      <c r="G48" s="177">
        <v>1</v>
      </c>
      <c r="H48" s="179">
        <v>543.50723166505804</v>
      </c>
      <c r="I48" s="179">
        <v>159.37645580768697</v>
      </c>
      <c r="J48" s="179">
        <v>112.16047916203104</v>
      </c>
      <c r="K48" s="177" t="s">
        <v>157</v>
      </c>
      <c r="L48" s="180" t="s">
        <v>158</v>
      </c>
      <c r="M48" s="181" t="s">
        <v>195</v>
      </c>
      <c r="N48" s="177" t="s">
        <v>194</v>
      </c>
      <c r="O48" s="177" t="s">
        <v>196</v>
      </c>
      <c r="P48" s="177" t="s">
        <v>159</v>
      </c>
      <c r="Q48" s="177">
        <v>6</v>
      </c>
      <c r="R48" s="177">
        <v>1</v>
      </c>
      <c r="S48" s="177">
        <v>7</v>
      </c>
      <c r="T48" s="177">
        <v>8.5</v>
      </c>
      <c r="U48" s="210">
        <v>38.277500000000003</v>
      </c>
      <c r="V48" s="177">
        <v>38.270000000000003</v>
      </c>
      <c r="W48" s="177" t="s">
        <v>203</v>
      </c>
      <c r="X48" s="177" t="s">
        <v>209</v>
      </c>
      <c r="Y48" s="182">
        <v>9.2656670000000005</v>
      </c>
      <c r="Z48" s="182">
        <v>-54.544032999999999</v>
      </c>
      <c r="AA48" s="182">
        <v>0.8</v>
      </c>
      <c r="AB48" s="183" t="s">
        <v>162</v>
      </c>
      <c r="AC48" s="183">
        <v>-2549</v>
      </c>
      <c r="AD48" s="183">
        <v>-2850</v>
      </c>
      <c r="AE48" s="177" t="s">
        <v>210</v>
      </c>
      <c r="AF48" s="177" t="s">
        <v>160</v>
      </c>
      <c r="AG48" s="142">
        <v>39807.929992675781</v>
      </c>
      <c r="AH48" s="184" t="s">
        <v>215</v>
      </c>
      <c r="AI48" s="177">
        <v>1</v>
      </c>
      <c r="AJ48" s="177">
        <v>1</v>
      </c>
      <c r="AK48" s="177" t="s">
        <v>214</v>
      </c>
      <c r="AL48" s="177" t="s">
        <v>216</v>
      </c>
      <c r="AM48" s="192" t="s">
        <v>219</v>
      </c>
      <c r="AN48" s="177">
        <v>39.816597656250003</v>
      </c>
      <c r="AO48" s="177" t="s">
        <v>162</v>
      </c>
      <c r="AP48" s="177" t="s">
        <v>162</v>
      </c>
      <c r="AQ48" s="177" t="s">
        <v>162</v>
      </c>
      <c r="AR48" s="177" t="s">
        <v>214</v>
      </c>
      <c r="AS48" s="177" t="s">
        <v>220</v>
      </c>
      <c r="AT48" s="177" t="s">
        <v>221</v>
      </c>
      <c r="AU48" s="177" t="s">
        <v>225</v>
      </c>
      <c r="AV48" s="177" t="s">
        <v>230</v>
      </c>
      <c r="AW48" s="165" t="s">
        <v>231</v>
      </c>
      <c r="AX48" s="198" t="s">
        <v>321</v>
      </c>
      <c r="AY48" s="184" t="s">
        <v>232</v>
      </c>
      <c r="AZ48" s="177" t="s">
        <v>163</v>
      </c>
      <c r="BA48" s="177" t="s">
        <v>164</v>
      </c>
      <c r="BB48" s="184" t="s">
        <v>234</v>
      </c>
      <c r="BC48" s="177">
        <v>2</v>
      </c>
      <c r="BD48" s="186">
        <v>0.24097437922295306</v>
      </c>
      <c r="BE48" s="187">
        <v>14.788</v>
      </c>
      <c r="BF48" s="177" t="s">
        <v>233</v>
      </c>
      <c r="BG48" s="177">
        <v>0.22818629847806901</v>
      </c>
      <c r="BH48" s="177">
        <v>0.88</v>
      </c>
      <c r="BI48" s="177" t="s">
        <v>278</v>
      </c>
      <c r="BJ48" s="177" t="s">
        <v>278</v>
      </c>
      <c r="BK48" s="188">
        <v>1.85</v>
      </c>
      <c r="BL48" s="177" t="s">
        <v>278</v>
      </c>
      <c r="BM48" s="177" t="s">
        <v>278</v>
      </c>
      <c r="BN48" s="177" t="s">
        <v>279</v>
      </c>
      <c r="BO48" s="177" t="s">
        <v>280</v>
      </c>
      <c r="BP48" s="194">
        <v>14.826363636363601</v>
      </c>
      <c r="BQ48" s="177" t="s">
        <v>287</v>
      </c>
      <c r="BR48" s="190" t="s">
        <v>288</v>
      </c>
      <c r="BS48" s="177" t="s">
        <v>286</v>
      </c>
      <c r="BT48" s="177" t="s">
        <v>289</v>
      </c>
      <c r="BU48" s="177">
        <v>25</v>
      </c>
      <c r="BV48" s="177" t="s">
        <v>165</v>
      </c>
      <c r="BW48" s="177" t="s">
        <v>165</v>
      </c>
      <c r="BX48" s="187">
        <v>30.7085765049525</v>
      </c>
      <c r="BY48" s="177" t="s">
        <v>290</v>
      </c>
      <c r="BZ48" s="186">
        <v>0.62268389952570002</v>
      </c>
      <c r="CA48" s="186">
        <v>0.69166118327210002</v>
      </c>
      <c r="CB48" s="177" t="s">
        <v>291</v>
      </c>
      <c r="CC48" s="177">
        <v>3.8488323985577302</v>
      </c>
      <c r="CD48" s="177" t="s">
        <v>292</v>
      </c>
      <c r="CE48" s="177">
        <v>0.1154649719567319</v>
      </c>
      <c r="CF48" s="177">
        <v>0.1154649719567319</v>
      </c>
      <c r="CG48" s="177" t="s">
        <v>295</v>
      </c>
      <c r="CH48" s="177" t="s">
        <v>162</v>
      </c>
      <c r="CI48" s="177" t="s">
        <v>293</v>
      </c>
      <c r="CJ48" s="177" t="s">
        <v>296</v>
      </c>
      <c r="CK48" s="177" t="s">
        <v>165</v>
      </c>
      <c r="CL48" s="177" t="s">
        <v>165</v>
      </c>
      <c r="CM48" s="177" t="s">
        <v>294</v>
      </c>
      <c r="CN48" s="177" t="s">
        <v>162</v>
      </c>
      <c r="CO48" s="177" t="s">
        <v>162</v>
      </c>
      <c r="CP48" s="177" t="s">
        <v>162</v>
      </c>
      <c r="CQ48" s="177" t="s">
        <v>162</v>
      </c>
      <c r="CR48" s="177" t="s">
        <v>162</v>
      </c>
      <c r="CS48" s="177" t="s">
        <v>162</v>
      </c>
      <c r="CT48" s="177" t="s">
        <v>162</v>
      </c>
      <c r="CU48" s="191">
        <v>35</v>
      </c>
      <c r="CV48" s="177" t="s">
        <v>161</v>
      </c>
      <c r="CW48" s="177">
        <v>1</v>
      </c>
      <c r="CX48" s="177" t="s">
        <v>297</v>
      </c>
      <c r="CY48" s="177">
        <v>17</v>
      </c>
      <c r="CZ48" s="177" t="s">
        <v>170</v>
      </c>
      <c r="DA48" s="177" t="s">
        <v>170</v>
      </c>
      <c r="DB48" s="177" t="s">
        <v>298</v>
      </c>
      <c r="DC48" s="177">
        <v>38</v>
      </c>
      <c r="DD48" s="177" t="s">
        <v>170</v>
      </c>
      <c r="DE48" s="177" t="s">
        <v>170</v>
      </c>
      <c r="DF48" s="177" t="s">
        <v>298</v>
      </c>
      <c r="DG48" s="177" t="s">
        <v>166</v>
      </c>
      <c r="DH48" s="177" t="s">
        <v>167</v>
      </c>
      <c r="DI48" s="177" t="s">
        <v>167</v>
      </c>
      <c r="DJ48" s="177" t="s">
        <v>167</v>
      </c>
      <c r="DK48" s="192">
        <v>432.5624421831638</v>
      </c>
      <c r="DL48" s="177" t="s">
        <v>168</v>
      </c>
      <c r="DM48" s="192">
        <v>12.358926919518979</v>
      </c>
      <c r="DN48" s="177" t="s">
        <v>169</v>
      </c>
      <c r="DO48" s="177">
        <v>38.700000000000003</v>
      </c>
      <c r="DP48" s="177" t="s">
        <v>299</v>
      </c>
      <c r="DQ48" s="177">
        <v>0.2</v>
      </c>
      <c r="DR48" s="177" t="s">
        <v>300</v>
      </c>
      <c r="DS48" s="177" t="s">
        <v>301</v>
      </c>
      <c r="DT48" s="177" t="s">
        <v>302</v>
      </c>
      <c r="DU48" s="177">
        <v>1.0271999999999999</v>
      </c>
      <c r="DV48" s="177" t="s">
        <v>170</v>
      </c>
      <c r="DW48" s="177" t="s">
        <v>170</v>
      </c>
      <c r="DX48" s="177" t="s">
        <v>177</v>
      </c>
      <c r="DY48" s="177" t="s">
        <v>170</v>
      </c>
      <c r="DZ48" s="177" t="s">
        <v>170</v>
      </c>
      <c r="EA48" s="177" t="s">
        <v>303</v>
      </c>
      <c r="EB48" s="177" t="s">
        <v>171</v>
      </c>
      <c r="EC48" s="177" t="s">
        <v>304</v>
      </c>
      <c r="ED48" s="177" t="s">
        <v>304</v>
      </c>
      <c r="EE48" s="177" t="s">
        <v>304</v>
      </c>
      <c r="EF48" s="177" t="s">
        <v>304</v>
      </c>
      <c r="EG48" s="177" t="s">
        <v>162</v>
      </c>
      <c r="EH48" s="177" t="s">
        <v>312</v>
      </c>
      <c r="EI48" s="177" t="s">
        <v>313</v>
      </c>
      <c r="EJ48" s="177" t="s">
        <v>314</v>
      </c>
      <c r="EK48" s="177" t="s">
        <v>307</v>
      </c>
      <c r="EL48" s="177" t="s">
        <v>307</v>
      </c>
      <c r="EM48" s="177" t="s">
        <v>307</v>
      </c>
      <c r="EN48" s="177" t="s">
        <v>307</v>
      </c>
      <c r="EO48" s="177">
        <v>6.625</v>
      </c>
      <c r="EP48" s="177" t="s">
        <v>299</v>
      </c>
      <c r="EQ48" s="177">
        <v>0.875</v>
      </c>
      <c r="ER48" s="177">
        <v>0.875</v>
      </c>
      <c r="ES48" s="211">
        <v>7.8094461616308601</v>
      </c>
      <c r="ET48" s="194" t="s">
        <v>174</v>
      </c>
      <c r="EU48" s="211">
        <v>3.4286596935735401E-2</v>
      </c>
      <c r="EV48" s="211">
        <v>3.4286596935735401E-2</v>
      </c>
      <c r="EW48" s="178">
        <v>543.50723166505804</v>
      </c>
      <c r="EX48" s="194">
        <v>0</v>
      </c>
      <c r="EY48" s="194" t="s">
        <v>308</v>
      </c>
      <c r="EZ48" s="178">
        <v>543.50723166505804</v>
      </c>
      <c r="FA48" s="178">
        <v>159.37645580768697</v>
      </c>
      <c r="FB48" s="178">
        <v>112.16047916203104</v>
      </c>
      <c r="FC48" s="196" t="s">
        <v>309</v>
      </c>
      <c r="FD48" s="177" t="s">
        <v>311</v>
      </c>
      <c r="FE48" s="177">
        <v>1870.52941005312</v>
      </c>
      <c r="FF48" s="177">
        <v>320.02845346375102</v>
      </c>
      <c r="FG48" s="177">
        <v>256.31874105787199</v>
      </c>
      <c r="FH48" s="177">
        <v>1656.38980198684</v>
      </c>
      <c r="FI48" s="177">
        <v>310.237754604847</v>
      </c>
      <c r="FJ48" s="177">
        <v>247.14986199574801</v>
      </c>
      <c r="FK48" s="177" t="s">
        <v>175</v>
      </c>
      <c r="FL48" s="177" t="s">
        <v>175</v>
      </c>
      <c r="FM48" s="177" t="s">
        <v>175</v>
      </c>
      <c r="FN48" s="177" t="s">
        <v>175</v>
      </c>
      <c r="FO48" s="177" t="s">
        <v>175</v>
      </c>
      <c r="FP48" s="177" t="s">
        <v>175</v>
      </c>
      <c r="FQ48" s="177" t="s">
        <v>319</v>
      </c>
    </row>
    <row r="49" spans="1:173" s="177" customFormat="1">
      <c r="A49" s="128" t="s">
        <v>152</v>
      </c>
      <c r="B49" s="177" t="s">
        <v>156</v>
      </c>
      <c r="C49" s="177">
        <v>2020</v>
      </c>
      <c r="D49" s="177" t="s">
        <v>194</v>
      </c>
      <c r="E49" s="178">
        <v>39910.953521728516</v>
      </c>
      <c r="F49" s="177">
        <v>1</v>
      </c>
      <c r="G49" s="177">
        <v>1</v>
      </c>
      <c r="H49" s="179">
        <v>633.91491686930397</v>
      </c>
      <c r="I49" s="179">
        <v>174.638987239882</v>
      </c>
      <c r="J49" s="179">
        <v>135.99113266991094</v>
      </c>
      <c r="K49" s="177" t="s">
        <v>157</v>
      </c>
      <c r="L49" s="180" t="s">
        <v>158</v>
      </c>
      <c r="M49" s="181" t="s">
        <v>195</v>
      </c>
      <c r="N49" s="177" t="s">
        <v>194</v>
      </c>
      <c r="O49" s="177" t="s">
        <v>196</v>
      </c>
      <c r="P49" s="177" t="s">
        <v>159</v>
      </c>
      <c r="Q49" s="177">
        <v>6</v>
      </c>
      <c r="R49" s="177">
        <v>2</v>
      </c>
      <c r="S49" s="178">
        <v>77</v>
      </c>
      <c r="T49" s="177">
        <v>78.5</v>
      </c>
      <c r="U49" s="210">
        <v>40.477499999999999</v>
      </c>
      <c r="V49" s="177">
        <v>40.477499999999999</v>
      </c>
      <c r="W49" s="177" t="s">
        <v>203</v>
      </c>
      <c r="X49" s="177" t="s">
        <v>209</v>
      </c>
      <c r="Y49" s="182">
        <v>9.2656670000000005</v>
      </c>
      <c r="Z49" s="182">
        <v>-54.544032999999999</v>
      </c>
      <c r="AA49" s="182">
        <v>0.8</v>
      </c>
      <c r="AB49" s="183" t="s">
        <v>162</v>
      </c>
      <c r="AC49" s="183">
        <v>-2549</v>
      </c>
      <c r="AD49" s="183">
        <v>-2850</v>
      </c>
      <c r="AE49" s="177" t="s">
        <v>210</v>
      </c>
      <c r="AF49" s="177" t="s">
        <v>160</v>
      </c>
      <c r="AG49" s="142">
        <v>39910.953521728516</v>
      </c>
      <c r="AH49" s="184" t="s">
        <v>215</v>
      </c>
      <c r="AI49" s="177">
        <v>1</v>
      </c>
      <c r="AJ49" s="177">
        <v>1</v>
      </c>
      <c r="AK49" s="177" t="s">
        <v>214</v>
      </c>
      <c r="AL49" s="177" t="s">
        <v>216</v>
      </c>
      <c r="AM49" s="192" t="s">
        <v>219</v>
      </c>
      <c r="AN49" s="177">
        <v>39.915953125000001</v>
      </c>
      <c r="AO49" s="177" t="s">
        <v>162</v>
      </c>
      <c r="AP49" s="177" t="s">
        <v>162</v>
      </c>
      <c r="AQ49" s="177" t="s">
        <v>162</v>
      </c>
      <c r="AR49" s="177" t="s">
        <v>214</v>
      </c>
      <c r="AS49" s="177" t="s">
        <v>220</v>
      </c>
      <c r="AT49" s="177" t="s">
        <v>221</v>
      </c>
      <c r="AU49" s="177" t="s">
        <v>225</v>
      </c>
      <c r="AV49" s="177" t="s">
        <v>230</v>
      </c>
      <c r="AW49" s="174">
        <v>369</v>
      </c>
      <c r="AX49" s="168">
        <v>3.9780000000000002</v>
      </c>
      <c r="AY49" s="184" t="s">
        <v>232</v>
      </c>
      <c r="AZ49" s="177" t="s">
        <v>163</v>
      </c>
      <c r="BA49" s="177" t="s">
        <v>164</v>
      </c>
      <c r="BB49" s="177" t="s">
        <v>244</v>
      </c>
      <c r="BC49" s="177">
        <v>2</v>
      </c>
      <c r="BD49" s="186">
        <v>2.8635900266495536E-2</v>
      </c>
      <c r="BE49" s="187">
        <v>15.0816826879439</v>
      </c>
      <c r="BF49" s="177" t="s">
        <v>233</v>
      </c>
      <c r="BG49" s="177">
        <v>0.216868805109839</v>
      </c>
      <c r="BH49" s="177">
        <v>0.88</v>
      </c>
      <c r="BI49" s="177" t="s">
        <v>278</v>
      </c>
      <c r="BJ49" s="177" t="s">
        <v>278</v>
      </c>
      <c r="BK49" s="188">
        <v>1.85</v>
      </c>
      <c r="BL49" s="177" t="s">
        <v>278</v>
      </c>
      <c r="BM49" s="177" t="s">
        <v>278</v>
      </c>
      <c r="BN49" s="177" t="s">
        <v>279</v>
      </c>
      <c r="BO49" s="177" t="s">
        <v>280</v>
      </c>
      <c r="BP49" s="194">
        <v>15.160090909090901</v>
      </c>
      <c r="BQ49" s="177" t="s">
        <v>287</v>
      </c>
      <c r="BR49" s="190" t="s">
        <v>288</v>
      </c>
      <c r="BS49" s="177" t="s">
        <v>286</v>
      </c>
      <c r="BT49" s="177" t="s">
        <v>289</v>
      </c>
      <c r="BU49" s="177">
        <v>25</v>
      </c>
      <c r="BV49" s="177" t="s">
        <v>165</v>
      </c>
      <c r="BW49" s="177" t="s">
        <v>165</v>
      </c>
      <c r="BX49" s="187">
        <v>30.001351533272501</v>
      </c>
      <c r="BY49" s="177" t="s">
        <v>290</v>
      </c>
      <c r="BZ49" s="186">
        <v>0.62351307463837502</v>
      </c>
      <c r="CA49" s="186">
        <v>0.64035879968327003</v>
      </c>
      <c r="CB49" s="177" t="s">
        <v>291</v>
      </c>
      <c r="CC49" s="177">
        <v>3.5847105076075398</v>
      </c>
      <c r="CD49" s="177" t="s">
        <v>292</v>
      </c>
      <c r="CE49" s="177">
        <v>0.10754131522822619</v>
      </c>
      <c r="CF49" s="177">
        <v>0.10754131522822619</v>
      </c>
      <c r="CG49" s="177" t="s">
        <v>295</v>
      </c>
      <c r="CH49" s="177" t="s">
        <v>162</v>
      </c>
      <c r="CI49" s="177" t="s">
        <v>293</v>
      </c>
      <c r="CJ49" s="177" t="s">
        <v>296</v>
      </c>
      <c r="CK49" s="177" t="s">
        <v>165</v>
      </c>
      <c r="CL49" s="177" t="s">
        <v>165</v>
      </c>
      <c r="CM49" s="177" t="s">
        <v>294</v>
      </c>
      <c r="CN49" s="177" t="s">
        <v>162</v>
      </c>
      <c r="CO49" s="177" t="s">
        <v>162</v>
      </c>
      <c r="CP49" s="177" t="s">
        <v>162</v>
      </c>
      <c r="CQ49" s="177" t="s">
        <v>162</v>
      </c>
      <c r="CR49" s="177" t="s">
        <v>162</v>
      </c>
      <c r="CS49" s="177" t="s">
        <v>162</v>
      </c>
      <c r="CT49" s="177" t="s">
        <v>162</v>
      </c>
      <c r="CU49" s="191">
        <v>35</v>
      </c>
      <c r="CV49" s="177" t="s">
        <v>161</v>
      </c>
      <c r="CW49" s="177">
        <v>1</v>
      </c>
      <c r="CX49" s="177" t="s">
        <v>297</v>
      </c>
      <c r="CY49" s="177">
        <v>17</v>
      </c>
      <c r="CZ49" s="177" t="s">
        <v>170</v>
      </c>
      <c r="DA49" s="177" t="s">
        <v>170</v>
      </c>
      <c r="DB49" s="177" t="s">
        <v>298</v>
      </c>
      <c r="DC49" s="177">
        <v>38</v>
      </c>
      <c r="DD49" s="177" t="s">
        <v>170</v>
      </c>
      <c r="DE49" s="177" t="s">
        <v>170</v>
      </c>
      <c r="DF49" s="177" t="s">
        <v>298</v>
      </c>
      <c r="DG49" s="177" t="s">
        <v>166</v>
      </c>
      <c r="DH49" s="177" t="s">
        <v>167</v>
      </c>
      <c r="DI49" s="177" t="s">
        <v>167</v>
      </c>
      <c r="DJ49" s="177" t="s">
        <v>167</v>
      </c>
      <c r="DK49" s="192">
        <v>432.5624421831638</v>
      </c>
      <c r="DL49" s="177" t="s">
        <v>168</v>
      </c>
      <c r="DM49" s="192">
        <v>12.358926919519092</v>
      </c>
      <c r="DN49" s="177" t="s">
        <v>169</v>
      </c>
      <c r="DO49" s="177">
        <v>38.700000000000003</v>
      </c>
      <c r="DP49" s="177" t="s">
        <v>299</v>
      </c>
      <c r="DQ49" s="177">
        <v>0.2</v>
      </c>
      <c r="DR49" s="177" t="s">
        <v>300</v>
      </c>
      <c r="DS49" s="177" t="s">
        <v>301</v>
      </c>
      <c r="DT49" s="177" t="s">
        <v>302</v>
      </c>
      <c r="DU49" s="177">
        <v>1.0271999999999999</v>
      </c>
      <c r="DV49" s="177" t="s">
        <v>170</v>
      </c>
      <c r="DW49" s="177" t="s">
        <v>170</v>
      </c>
      <c r="DX49" s="177" t="s">
        <v>177</v>
      </c>
      <c r="DY49" s="177" t="s">
        <v>170</v>
      </c>
      <c r="DZ49" s="177" t="s">
        <v>170</v>
      </c>
      <c r="EA49" s="177" t="s">
        <v>303</v>
      </c>
      <c r="EB49" s="177" t="s">
        <v>171</v>
      </c>
      <c r="EC49" s="177" t="s">
        <v>304</v>
      </c>
      <c r="ED49" s="177" t="s">
        <v>304</v>
      </c>
      <c r="EE49" s="177" t="s">
        <v>304</v>
      </c>
      <c r="EF49" s="177" t="s">
        <v>304</v>
      </c>
      <c r="EG49" s="177" t="s">
        <v>162</v>
      </c>
      <c r="EH49" s="177" t="s">
        <v>312</v>
      </c>
      <c r="EI49" s="177" t="s">
        <v>313</v>
      </c>
      <c r="EJ49" s="177" t="s">
        <v>314</v>
      </c>
      <c r="EK49" s="177" t="s">
        <v>307</v>
      </c>
      <c r="EL49" s="177" t="s">
        <v>307</v>
      </c>
      <c r="EM49" s="177" t="s">
        <v>307</v>
      </c>
      <c r="EN49" s="177" t="s">
        <v>307</v>
      </c>
      <c r="EO49" s="177">
        <v>6.625</v>
      </c>
      <c r="EP49" s="177" t="s">
        <v>299</v>
      </c>
      <c r="EQ49" s="177">
        <v>0.875</v>
      </c>
      <c r="ER49" s="177">
        <v>0.875</v>
      </c>
      <c r="ES49" s="211">
        <v>7.86163390900224</v>
      </c>
      <c r="ET49" s="194" t="s">
        <v>174</v>
      </c>
      <c r="EU49" s="211">
        <v>3.1641638202559198E-2</v>
      </c>
      <c r="EV49" s="211">
        <v>3.1641638202559198E-2</v>
      </c>
      <c r="EW49" s="178">
        <v>633.91491686930397</v>
      </c>
      <c r="EX49" s="194">
        <v>0</v>
      </c>
      <c r="EY49" s="194" t="s">
        <v>308</v>
      </c>
      <c r="EZ49" s="178">
        <v>633.91491686930397</v>
      </c>
      <c r="FA49" s="178">
        <v>174.638987239882</v>
      </c>
      <c r="FB49" s="178">
        <v>135.99113266991094</v>
      </c>
      <c r="FC49" s="196" t="s">
        <v>309</v>
      </c>
      <c r="FD49" s="177" t="s">
        <v>311</v>
      </c>
      <c r="FE49" s="177">
        <v>2077.7978217343102</v>
      </c>
      <c r="FF49" s="177">
        <v>359.844087878148</v>
      </c>
      <c r="FG49" s="177">
        <v>300.74142092520202</v>
      </c>
      <c r="FH49" s="177">
        <v>1873.8884497260799</v>
      </c>
      <c r="FI49" s="177">
        <v>349.93055127684801</v>
      </c>
      <c r="FJ49" s="177">
        <v>293.03402513200302</v>
      </c>
      <c r="FK49" s="177" t="s">
        <v>175</v>
      </c>
      <c r="FL49" s="177" t="s">
        <v>175</v>
      </c>
      <c r="FM49" s="177" t="s">
        <v>175</v>
      </c>
      <c r="FN49" s="177" t="s">
        <v>175</v>
      </c>
      <c r="FO49" s="177" t="s">
        <v>175</v>
      </c>
      <c r="FP49" s="177" t="s">
        <v>175</v>
      </c>
      <c r="FQ49" s="177" t="s">
        <v>319</v>
      </c>
    </row>
    <row r="50" spans="1:173" s="177" customFormat="1">
      <c r="A50" s="128" t="s">
        <v>152</v>
      </c>
      <c r="B50" s="177" t="s">
        <v>156</v>
      </c>
      <c r="C50" s="177">
        <v>2020</v>
      </c>
      <c r="D50" s="177" t="s">
        <v>194</v>
      </c>
      <c r="E50" s="142">
        <v>39982.666015625</v>
      </c>
      <c r="F50" s="177">
        <v>1</v>
      </c>
      <c r="G50" s="177">
        <v>1</v>
      </c>
      <c r="H50" s="179">
        <v>777.10836805736301</v>
      </c>
      <c r="I50" s="179">
        <v>254.69913394856701</v>
      </c>
      <c r="J50" s="179">
        <v>164.111139230395</v>
      </c>
      <c r="K50" s="177" t="s">
        <v>157</v>
      </c>
      <c r="L50" s="180" t="s">
        <v>158</v>
      </c>
      <c r="M50" s="181" t="s">
        <v>195</v>
      </c>
      <c r="N50" s="177" t="s">
        <v>194</v>
      </c>
      <c r="O50" s="177" t="s">
        <v>196</v>
      </c>
      <c r="P50" s="177" t="s">
        <v>159</v>
      </c>
      <c r="Q50" s="177">
        <v>6</v>
      </c>
      <c r="R50" s="177">
        <v>3</v>
      </c>
      <c r="S50" s="177">
        <v>77</v>
      </c>
      <c r="T50" s="177">
        <v>78.5</v>
      </c>
      <c r="U50" s="210">
        <v>41.977499999999999</v>
      </c>
      <c r="V50" s="177">
        <v>41.977499999999999</v>
      </c>
      <c r="W50" s="177" t="s">
        <v>203</v>
      </c>
      <c r="X50" s="177" t="s">
        <v>209</v>
      </c>
      <c r="Y50" s="182">
        <v>9.2656670000000005</v>
      </c>
      <c r="Z50" s="182">
        <v>-54.544032999999999</v>
      </c>
      <c r="AA50" s="182">
        <v>0.8</v>
      </c>
      <c r="AB50" s="183" t="s">
        <v>162</v>
      </c>
      <c r="AC50" s="183">
        <v>-2549</v>
      </c>
      <c r="AD50" s="183">
        <v>-2850</v>
      </c>
      <c r="AE50" s="177" t="s">
        <v>210</v>
      </c>
      <c r="AF50" s="177" t="s">
        <v>160</v>
      </c>
      <c r="AG50" s="142">
        <v>39982.666015625</v>
      </c>
      <c r="AH50" s="184" t="s">
        <v>215</v>
      </c>
      <c r="AI50" s="177">
        <v>1</v>
      </c>
      <c r="AJ50" s="177">
        <v>1</v>
      </c>
      <c r="AK50" s="177" t="s">
        <v>214</v>
      </c>
      <c r="AL50" s="177" t="s">
        <v>216</v>
      </c>
      <c r="AM50" s="192" t="s">
        <v>219</v>
      </c>
      <c r="AN50" s="177">
        <v>39.983695312499997</v>
      </c>
      <c r="AO50" s="177" t="s">
        <v>162</v>
      </c>
      <c r="AP50" s="177" t="s">
        <v>162</v>
      </c>
      <c r="AQ50" s="177" t="s">
        <v>162</v>
      </c>
      <c r="AR50" s="177" t="s">
        <v>214</v>
      </c>
      <c r="AS50" s="177" t="s">
        <v>220</v>
      </c>
      <c r="AT50" s="177" t="s">
        <v>221</v>
      </c>
      <c r="AU50" s="177" t="s">
        <v>225</v>
      </c>
      <c r="AV50" s="177" t="s">
        <v>230</v>
      </c>
      <c r="AW50" s="174">
        <v>343</v>
      </c>
      <c r="AX50" s="168">
        <v>3.9119999999999999</v>
      </c>
      <c r="AY50" s="184" t="s">
        <v>232</v>
      </c>
      <c r="AZ50" s="177" t="s">
        <v>163</v>
      </c>
      <c r="BA50" s="177" t="s">
        <v>164</v>
      </c>
      <c r="BB50" s="177" t="s">
        <v>248</v>
      </c>
      <c r="BC50" s="177">
        <v>2</v>
      </c>
      <c r="BD50" s="186">
        <v>1.1218428802209244E-2</v>
      </c>
      <c r="BE50" s="187">
        <v>15.0832091925013</v>
      </c>
      <c r="BF50" s="177" t="s">
        <v>233</v>
      </c>
      <c r="BG50" s="177">
        <v>0.23231578006946199</v>
      </c>
      <c r="BH50" s="177">
        <v>0.88</v>
      </c>
      <c r="BI50" s="177" t="s">
        <v>278</v>
      </c>
      <c r="BJ50" s="177" t="s">
        <v>278</v>
      </c>
      <c r="BK50" s="188">
        <v>1.85</v>
      </c>
      <c r="BL50" s="177" t="s">
        <v>278</v>
      </c>
      <c r="BM50" s="177" t="s">
        <v>278</v>
      </c>
      <c r="BN50" s="177" t="s">
        <v>279</v>
      </c>
      <c r="BO50" s="177" t="s">
        <v>280</v>
      </c>
      <c r="BP50" s="194">
        <v>15.1618295454545</v>
      </c>
      <c r="BQ50" s="177" t="s">
        <v>287</v>
      </c>
      <c r="BR50" s="190" t="s">
        <v>288</v>
      </c>
      <c r="BS50" s="177" t="s">
        <v>286</v>
      </c>
      <c r="BT50" s="177" t="s">
        <v>289</v>
      </c>
      <c r="BU50" s="177">
        <v>25</v>
      </c>
      <c r="BV50" s="177" t="s">
        <v>165</v>
      </c>
      <c r="BW50" s="177" t="s">
        <v>165</v>
      </c>
      <c r="BX50" s="187">
        <v>28.682492073000301</v>
      </c>
      <c r="BY50" s="177" t="s">
        <v>290</v>
      </c>
      <c r="BZ50" s="186">
        <v>0.63583991436542298</v>
      </c>
      <c r="CA50" s="186">
        <v>0.63155279808943698</v>
      </c>
      <c r="CB50" s="177" t="s">
        <v>291</v>
      </c>
      <c r="CC50" s="177">
        <v>3.2988223896752</v>
      </c>
      <c r="CD50" s="177" t="s">
        <v>292</v>
      </c>
      <c r="CE50" s="177">
        <v>9.8964671690255995E-2</v>
      </c>
      <c r="CF50" s="177">
        <v>9.8964671690255995E-2</v>
      </c>
      <c r="CG50" s="177" t="s">
        <v>295</v>
      </c>
      <c r="CH50" s="177" t="s">
        <v>162</v>
      </c>
      <c r="CI50" s="177" t="s">
        <v>293</v>
      </c>
      <c r="CJ50" s="177" t="s">
        <v>296</v>
      </c>
      <c r="CK50" s="177" t="s">
        <v>165</v>
      </c>
      <c r="CL50" s="177" t="s">
        <v>165</v>
      </c>
      <c r="CM50" s="177" t="s">
        <v>294</v>
      </c>
      <c r="CN50" s="177" t="s">
        <v>162</v>
      </c>
      <c r="CO50" s="177" t="s">
        <v>162</v>
      </c>
      <c r="CP50" s="177" t="s">
        <v>162</v>
      </c>
      <c r="CQ50" s="177" t="s">
        <v>162</v>
      </c>
      <c r="CR50" s="177" t="s">
        <v>162</v>
      </c>
      <c r="CS50" s="177" t="s">
        <v>162</v>
      </c>
      <c r="CT50" s="177" t="s">
        <v>162</v>
      </c>
      <c r="CU50" s="191">
        <v>35</v>
      </c>
      <c r="CV50" s="177" t="s">
        <v>161</v>
      </c>
      <c r="CW50" s="177">
        <v>1</v>
      </c>
      <c r="CX50" s="177" t="s">
        <v>297</v>
      </c>
      <c r="CY50" s="177">
        <v>17</v>
      </c>
      <c r="CZ50" s="177" t="s">
        <v>170</v>
      </c>
      <c r="DA50" s="177" t="s">
        <v>170</v>
      </c>
      <c r="DB50" s="177" t="s">
        <v>298</v>
      </c>
      <c r="DC50" s="177">
        <v>38</v>
      </c>
      <c r="DD50" s="177" t="s">
        <v>170</v>
      </c>
      <c r="DE50" s="177" t="s">
        <v>170</v>
      </c>
      <c r="DF50" s="177" t="s">
        <v>298</v>
      </c>
      <c r="DG50" s="177" t="s">
        <v>166</v>
      </c>
      <c r="DH50" s="177" t="s">
        <v>167</v>
      </c>
      <c r="DI50" s="177" t="s">
        <v>167</v>
      </c>
      <c r="DJ50" s="177" t="s">
        <v>167</v>
      </c>
      <c r="DK50" s="192">
        <v>432.5624421831638</v>
      </c>
      <c r="DL50" s="177" t="s">
        <v>168</v>
      </c>
      <c r="DM50" s="192">
        <v>12.358926919519092</v>
      </c>
      <c r="DN50" s="177" t="s">
        <v>169</v>
      </c>
      <c r="DO50" s="177">
        <v>38.700000000000003</v>
      </c>
      <c r="DP50" s="177" t="s">
        <v>299</v>
      </c>
      <c r="DQ50" s="177">
        <v>0.2</v>
      </c>
      <c r="DR50" s="177" t="s">
        <v>300</v>
      </c>
      <c r="DS50" s="177" t="s">
        <v>301</v>
      </c>
      <c r="DT50" s="177" t="s">
        <v>302</v>
      </c>
      <c r="DU50" s="177">
        <v>1.0271999999999999</v>
      </c>
      <c r="DV50" s="177" t="s">
        <v>170</v>
      </c>
      <c r="DW50" s="177" t="s">
        <v>170</v>
      </c>
      <c r="DX50" s="177" t="s">
        <v>177</v>
      </c>
      <c r="DY50" s="177" t="s">
        <v>170</v>
      </c>
      <c r="DZ50" s="177" t="s">
        <v>170</v>
      </c>
      <c r="EA50" s="177" t="s">
        <v>303</v>
      </c>
      <c r="EB50" s="177" t="s">
        <v>171</v>
      </c>
      <c r="EC50" s="177" t="s">
        <v>304</v>
      </c>
      <c r="ED50" s="177" t="s">
        <v>304</v>
      </c>
      <c r="EE50" s="177" t="s">
        <v>304</v>
      </c>
      <c r="EF50" s="177" t="s">
        <v>304</v>
      </c>
      <c r="EG50" s="177" t="s">
        <v>162</v>
      </c>
      <c r="EH50" s="177" t="s">
        <v>312</v>
      </c>
      <c r="EI50" s="177" t="s">
        <v>313</v>
      </c>
      <c r="EJ50" s="177" t="s">
        <v>314</v>
      </c>
      <c r="EK50" s="177" t="s">
        <v>307</v>
      </c>
      <c r="EL50" s="177" t="s">
        <v>307</v>
      </c>
      <c r="EM50" s="177" t="s">
        <v>307</v>
      </c>
      <c r="EN50" s="177" t="s">
        <v>307</v>
      </c>
      <c r="EO50" s="177">
        <v>6.625</v>
      </c>
      <c r="EP50" s="177" t="s">
        <v>299</v>
      </c>
      <c r="EQ50" s="177">
        <v>0.875</v>
      </c>
      <c r="ER50" s="177">
        <v>0.875</v>
      </c>
      <c r="ES50" s="211">
        <v>7.8761585301646697</v>
      </c>
      <c r="ET50" s="194" t="s">
        <v>174</v>
      </c>
      <c r="EU50" s="211">
        <v>3.2929114886703803E-2</v>
      </c>
      <c r="EV50" s="211">
        <v>3.2929114886703803E-2</v>
      </c>
      <c r="EW50" s="178">
        <v>777.10836805736301</v>
      </c>
      <c r="EX50" s="194">
        <v>0</v>
      </c>
      <c r="EY50" s="194" t="s">
        <v>308</v>
      </c>
      <c r="EZ50" s="178">
        <v>777.10836805736301</v>
      </c>
      <c r="FA50" s="178">
        <v>254.69913394856701</v>
      </c>
      <c r="FB50" s="178">
        <v>164.111139230395</v>
      </c>
      <c r="FC50" s="196" t="s">
        <v>309</v>
      </c>
      <c r="FD50" s="177" t="s">
        <v>311</v>
      </c>
      <c r="FE50" s="177">
        <v>2214.8692556730698</v>
      </c>
      <c r="FF50" s="177">
        <v>416.11896627742902</v>
      </c>
      <c r="FG50" s="177">
        <v>324.57651147438497</v>
      </c>
      <c r="FH50" s="177">
        <v>2018.10860076882</v>
      </c>
      <c r="FI50" s="177">
        <v>410.87981213032901</v>
      </c>
      <c r="FJ50" s="177">
        <v>318.97444592866498</v>
      </c>
      <c r="FK50" s="177" t="s">
        <v>175</v>
      </c>
      <c r="FL50" s="177" t="s">
        <v>175</v>
      </c>
      <c r="FM50" s="177" t="s">
        <v>175</v>
      </c>
      <c r="FN50" s="177" t="s">
        <v>175</v>
      </c>
      <c r="FO50" s="177" t="s">
        <v>175</v>
      </c>
      <c r="FP50" s="177" t="s">
        <v>175</v>
      </c>
      <c r="FQ50" s="177" t="s">
        <v>319</v>
      </c>
    </row>
    <row r="51" spans="1:173" s="177" customFormat="1">
      <c r="A51" s="128" t="s">
        <v>152</v>
      </c>
      <c r="B51" s="177" t="s">
        <v>156</v>
      </c>
      <c r="C51" s="177">
        <v>2020</v>
      </c>
      <c r="D51" s="177" t="s">
        <v>194</v>
      </c>
      <c r="E51" s="142">
        <v>40061.538696289062</v>
      </c>
      <c r="F51" s="177">
        <v>1</v>
      </c>
      <c r="G51" s="177">
        <v>1</v>
      </c>
      <c r="H51" s="179">
        <v>629.83918617539905</v>
      </c>
      <c r="I51" s="179">
        <v>186.76899533570895</v>
      </c>
      <c r="J51" s="179">
        <v>135.79831150685703</v>
      </c>
      <c r="K51" s="177" t="s">
        <v>157</v>
      </c>
      <c r="L51" s="180" t="s">
        <v>158</v>
      </c>
      <c r="M51" s="181" t="s">
        <v>195</v>
      </c>
      <c r="N51" s="177" t="s">
        <v>194</v>
      </c>
      <c r="O51" s="177" t="s">
        <v>196</v>
      </c>
      <c r="P51" s="177" t="s">
        <v>159</v>
      </c>
      <c r="Q51" s="177">
        <v>6</v>
      </c>
      <c r="R51" s="177">
        <v>4</v>
      </c>
      <c r="S51" s="177">
        <v>67</v>
      </c>
      <c r="T51" s="177">
        <v>78.5</v>
      </c>
      <c r="U51" s="210">
        <v>43.427500000000002</v>
      </c>
      <c r="V51" s="177">
        <v>43.427500000000002</v>
      </c>
      <c r="W51" s="177" t="s">
        <v>203</v>
      </c>
      <c r="X51" s="177" t="s">
        <v>209</v>
      </c>
      <c r="Y51" s="182">
        <v>9.2656670000000005</v>
      </c>
      <c r="Z51" s="182">
        <v>-54.544032999999999</v>
      </c>
      <c r="AA51" s="182">
        <v>0.8</v>
      </c>
      <c r="AB51" s="183" t="s">
        <v>162</v>
      </c>
      <c r="AC51" s="183">
        <v>-2549</v>
      </c>
      <c r="AD51" s="183">
        <v>-2850</v>
      </c>
      <c r="AE51" s="177" t="s">
        <v>210</v>
      </c>
      <c r="AF51" s="177" t="s">
        <v>160</v>
      </c>
      <c r="AG51" s="142">
        <v>40061.538696289062</v>
      </c>
      <c r="AH51" s="184" t="s">
        <v>215</v>
      </c>
      <c r="AI51" s="177">
        <v>1</v>
      </c>
      <c r="AJ51" s="177">
        <v>1</v>
      </c>
      <c r="AK51" s="177" t="s">
        <v>214</v>
      </c>
      <c r="AL51" s="177" t="s">
        <v>216</v>
      </c>
      <c r="AM51" s="192" t="s">
        <v>219</v>
      </c>
      <c r="AN51" s="177">
        <v>40.04917578125</v>
      </c>
      <c r="AO51" s="177" t="s">
        <v>162</v>
      </c>
      <c r="AP51" s="177" t="s">
        <v>162</v>
      </c>
      <c r="AQ51" s="177" t="s">
        <v>162</v>
      </c>
      <c r="AR51" s="177" t="s">
        <v>214</v>
      </c>
      <c r="AS51" s="177" t="s">
        <v>220</v>
      </c>
      <c r="AT51" s="177" t="s">
        <v>221</v>
      </c>
      <c r="AU51" s="177" t="s">
        <v>225</v>
      </c>
      <c r="AV51" s="177" t="s">
        <v>230</v>
      </c>
      <c r="AW51" s="174">
        <v>184</v>
      </c>
      <c r="AX51" s="168">
        <v>1.782</v>
      </c>
      <c r="AY51" s="184" t="s">
        <v>232</v>
      </c>
      <c r="AZ51" s="177" t="s">
        <v>163</v>
      </c>
      <c r="BA51" s="177" t="s">
        <v>164</v>
      </c>
      <c r="BB51" s="177" t="s">
        <v>245</v>
      </c>
      <c r="BC51" s="177">
        <v>2</v>
      </c>
      <c r="BD51" s="186">
        <v>1.7976348343292869E-2</v>
      </c>
      <c r="BE51" s="187">
        <v>14.564587436053801</v>
      </c>
      <c r="BF51" s="177" t="s">
        <v>233</v>
      </c>
      <c r="BG51" s="177">
        <v>0.24700593412319299</v>
      </c>
      <c r="BH51" s="177">
        <v>0.88</v>
      </c>
      <c r="BI51" s="177" t="s">
        <v>278</v>
      </c>
      <c r="BJ51" s="177" t="s">
        <v>278</v>
      </c>
      <c r="BK51" s="188">
        <v>1.85</v>
      </c>
      <c r="BL51" s="177" t="s">
        <v>278</v>
      </c>
      <c r="BM51" s="177" t="s">
        <v>278</v>
      </c>
      <c r="BN51" s="177" t="s">
        <v>279</v>
      </c>
      <c r="BO51" s="177" t="s">
        <v>280</v>
      </c>
      <c r="BP51" s="189">
        <v>14.5724886363636</v>
      </c>
      <c r="BQ51" s="177" t="s">
        <v>287</v>
      </c>
      <c r="BR51" s="190" t="s">
        <v>288</v>
      </c>
      <c r="BS51" s="177" t="s">
        <v>286</v>
      </c>
      <c r="BT51" s="177" t="s">
        <v>289</v>
      </c>
      <c r="BU51" s="177">
        <v>25</v>
      </c>
      <c r="BV51" s="177" t="s">
        <v>165</v>
      </c>
      <c r="BW51" s="177" t="s">
        <v>165</v>
      </c>
      <c r="BX51" s="187">
        <v>27.741484971839299</v>
      </c>
      <c r="BY51" s="177" t="s">
        <v>290</v>
      </c>
      <c r="BZ51" s="186">
        <v>0.62356327025979796</v>
      </c>
      <c r="CA51" s="186">
        <v>0.68956573080905403</v>
      </c>
      <c r="CB51" s="177" t="s">
        <v>291</v>
      </c>
      <c r="CC51" s="177">
        <v>3.2522327185689699</v>
      </c>
      <c r="CD51" s="177" t="s">
        <v>292</v>
      </c>
      <c r="CE51" s="177">
        <v>9.7566981557069096E-2</v>
      </c>
      <c r="CF51" s="177">
        <v>9.7566981557069096E-2</v>
      </c>
      <c r="CG51" s="177" t="s">
        <v>295</v>
      </c>
      <c r="CH51" s="177" t="s">
        <v>162</v>
      </c>
      <c r="CI51" s="177" t="s">
        <v>293</v>
      </c>
      <c r="CJ51" s="177" t="s">
        <v>296</v>
      </c>
      <c r="CK51" s="177" t="s">
        <v>165</v>
      </c>
      <c r="CL51" s="177" t="s">
        <v>165</v>
      </c>
      <c r="CM51" s="177" t="s">
        <v>294</v>
      </c>
      <c r="CN51" s="177" t="s">
        <v>162</v>
      </c>
      <c r="CO51" s="177" t="s">
        <v>162</v>
      </c>
      <c r="CP51" s="177" t="s">
        <v>162</v>
      </c>
      <c r="CQ51" s="177" t="s">
        <v>162</v>
      </c>
      <c r="CR51" s="177" t="s">
        <v>162</v>
      </c>
      <c r="CS51" s="177" t="s">
        <v>162</v>
      </c>
      <c r="CT51" s="177" t="s">
        <v>162</v>
      </c>
      <c r="CU51" s="191">
        <v>35</v>
      </c>
      <c r="CV51" s="177" t="s">
        <v>161</v>
      </c>
      <c r="CW51" s="177">
        <v>1</v>
      </c>
      <c r="CX51" s="177" t="s">
        <v>297</v>
      </c>
      <c r="CY51" s="177">
        <v>17</v>
      </c>
      <c r="CZ51" s="177" t="s">
        <v>170</v>
      </c>
      <c r="DA51" s="177" t="s">
        <v>170</v>
      </c>
      <c r="DB51" s="177" t="s">
        <v>298</v>
      </c>
      <c r="DC51" s="177">
        <v>38</v>
      </c>
      <c r="DD51" s="177" t="s">
        <v>170</v>
      </c>
      <c r="DE51" s="177" t="s">
        <v>170</v>
      </c>
      <c r="DF51" s="177" t="s">
        <v>298</v>
      </c>
      <c r="DG51" s="177" t="s">
        <v>166</v>
      </c>
      <c r="DH51" s="177" t="s">
        <v>167</v>
      </c>
      <c r="DI51" s="177" t="s">
        <v>167</v>
      </c>
      <c r="DJ51" s="177" t="s">
        <v>167</v>
      </c>
      <c r="DK51" s="192">
        <v>432.56244218316402</v>
      </c>
      <c r="DL51" s="177" t="s">
        <v>168</v>
      </c>
      <c r="DM51" s="192">
        <v>12.3589269195193</v>
      </c>
      <c r="DN51" s="177" t="s">
        <v>169</v>
      </c>
      <c r="DO51" s="177">
        <v>38.700000000000003</v>
      </c>
      <c r="DP51" s="177" t="s">
        <v>299</v>
      </c>
      <c r="DQ51" s="177">
        <v>0.2</v>
      </c>
      <c r="DR51" s="177" t="s">
        <v>300</v>
      </c>
      <c r="DS51" s="177" t="s">
        <v>301</v>
      </c>
      <c r="DT51" s="177" t="s">
        <v>302</v>
      </c>
      <c r="DU51" s="177">
        <v>1.0271999999999999</v>
      </c>
      <c r="DV51" s="177" t="s">
        <v>170</v>
      </c>
      <c r="DW51" s="177" t="s">
        <v>170</v>
      </c>
      <c r="DX51" s="177" t="s">
        <v>177</v>
      </c>
      <c r="DY51" s="177" t="s">
        <v>170</v>
      </c>
      <c r="DZ51" s="177" t="s">
        <v>170</v>
      </c>
      <c r="EA51" s="177" t="s">
        <v>303</v>
      </c>
      <c r="EB51" s="177" t="s">
        <v>171</v>
      </c>
      <c r="EC51" s="177" t="s">
        <v>304</v>
      </c>
      <c r="ED51" s="177" t="s">
        <v>304</v>
      </c>
      <c r="EE51" s="177" t="s">
        <v>304</v>
      </c>
      <c r="EF51" s="177" t="s">
        <v>304</v>
      </c>
      <c r="EG51" s="177" t="s">
        <v>162</v>
      </c>
      <c r="EH51" s="177" t="s">
        <v>312</v>
      </c>
      <c r="EI51" s="177" t="s">
        <v>313</v>
      </c>
      <c r="EJ51" s="177" t="s">
        <v>314</v>
      </c>
      <c r="EK51" s="177" t="s">
        <v>307</v>
      </c>
      <c r="EL51" s="177" t="s">
        <v>307</v>
      </c>
      <c r="EM51" s="177" t="s">
        <v>307</v>
      </c>
      <c r="EN51" s="177" t="s">
        <v>307</v>
      </c>
      <c r="EO51" s="177">
        <v>6.625</v>
      </c>
      <c r="EP51" s="177" t="s">
        <v>299</v>
      </c>
      <c r="EQ51" s="177">
        <v>0.875</v>
      </c>
      <c r="ER51" s="177">
        <v>0.875</v>
      </c>
      <c r="ES51" s="177">
        <v>7.8064233268481296</v>
      </c>
      <c r="ET51" s="194" t="s">
        <v>174</v>
      </c>
      <c r="EU51" s="195">
        <v>3.5568013260197803E-2</v>
      </c>
      <c r="EV51" s="195">
        <v>3.5568013260197803E-2</v>
      </c>
      <c r="EW51" s="178">
        <v>629.83918617539905</v>
      </c>
      <c r="EX51" s="194">
        <v>0</v>
      </c>
      <c r="EY51" s="194" t="s">
        <v>308</v>
      </c>
      <c r="EZ51" s="178">
        <v>629.83918617539905</v>
      </c>
      <c r="FA51" s="178">
        <v>186.76899533570895</v>
      </c>
      <c r="FB51" s="178">
        <v>135.79831150685703</v>
      </c>
      <c r="FC51" s="196" t="s">
        <v>309</v>
      </c>
      <c r="FD51" s="177" t="s">
        <v>311</v>
      </c>
      <c r="FE51" s="177">
        <v>2056.19905251194</v>
      </c>
      <c r="FF51" s="177">
        <v>359.55584171529199</v>
      </c>
      <c r="FG51" s="177">
        <v>300.087607933279</v>
      </c>
      <c r="FH51" s="177">
        <v>1850.82314480945</v>
      </c>
      <c r="FI51" s="177">
        <v>354.27482683315202</v>
      </c>
      <c r="FJ51" s="177">
        <v>288.67239333055801</v>
      </c>
      <c r="FK51" s="177" t="s">
        <v>175</v>
      </c>
      <c r="FL51" s="177" t="s">
        <v>175</v>
      </c>
      <c r="FM51" s="177" t="s">
        <v>175</v>
      </c>
      <c r="FN51" s="177" t="s">
        <v>175</v>
      </c>
      <c r="FO51" s="177" t="s">
        <v>175</v>
      </c>
      <c r="FP51" s="177" t="s">
        <v>175</v>
      </c>
      <c r="FQ51" s="177" t="s">
        <v>319</v>
      </c>
    </row>
    <row r="52" spans="1:173" s="177" customFormat="1">
      <c r="A52" s="128" t="s">
        <v>152</v>
      </c>
      <c r="B52" s="177" t="s">
        <v>156</v>
      </c>
      <c r="C52" s="177">
        <v>2020</v>
      </c>
      <c r="D52" s="177" t="s">
        <v>194</v>
      </c>
      <c r="E52" s="142">
        <v>40110.877990722656</v>
      </c>
      <c r="F52" s="177">
        <v>1</v>
      </c>
      <c r="G52" s="177">
        <v>1</v>
      </c>
      <c r="H52" s="179">
        <v>726.03685028164602</v>
      </c>
      <c r="I52" s="179">
        <v>245.52873936423896</v>
      </c>
      <c r="J52" s="179">
        <v>187.49924723198205</v>
      </c>
      <c r="K52" s="177" t="s">
        <v>157</v>
      </c>
      <c r="L52" s="180" t="s">
        <v>158</v>
      </c>
      <c r="M52" s="181" t="s">
        <v>195</v>
      </c>
      <c r="N52" s="177" t="s">
        <v>194</v>
      </c>
      <c r="O52" s="177" t="s">
        <v>196</v>
      </c>
      <c r="P52" s="177" t="s">
        <v>159</v>
      </c>
      <c r="Q52" s="177">
        <v>6</v>
      </c>
      <c r="R52" s="177">
        <v>5</v>
      </c>
      <c r="S52" s="177">
        <v>7</v>
      </c>
      <c r="T52" s="177">
        <v>8.5</v>
      </c>
      <c r="U52" s="210">
        <v>44.277500000000003</v>
      </c>
      <c r="V52" s="177">
        <v>44.277500000000003</v>
      </c>
      <c r="W52" s="177" t="s">
        <v>203</v>
      </c>
      <c r="X52" s="177" t="s">
        <v>209</v>
      </c>
      <c r="Y52" s="182">
        <v>9.2656670000000005</v>
      </c>
      <c r="Z52" s="182">
        <v>-54.544032999999999</v>
      </c>
      <c r="AA52" s="182">
        <v>0.8</v>
      </c>
      <c r="AB52" s="183" t="s">
        <v>162</v>
      </c>
      <c r="AC52" s="183">
        <v>-2549</v>
      </c>
      <c r="AD52" s="183">
        <v>-2850</v>
      </c>
      <c r="AE52" s="177" t="s">
        <v>210</v>
      </c>
      <c r="AF52" s="177" t="s">
        <v>160</v>
      </c>
      <c r="AG52" s="142">
        <v>40110.877990722656</v>
      </c>
      <c r="AH52" s="184" t="s">
        <v>215</v>
      </c>
      <c r="AI52" s="177">
        <v>1</v>
      </c>
      <c r="AJ52" s="177">
        <v>1</v>
      </c>
      <c r="AK52" s="177" t="s">
        <v>214</v>
      </c>
      <c r="AL52" s="177" t="s">
        <v>216</v>
      </c>
      <c r="AM52" s="192" t="s">
        <v>219</v>
      </c>
      <c r="AN52" s="177">
        <v>40.087566406249998</v>
      </c>
      <c r="AO52" s="177" t="s">
        <v>162</v>
      </c>
      <c r="AP52" s="177" t="s">
        <v>162</v>
      </c>
      <c r="AQ52" s="177" t="s">
        <v>162</v>
      </c>
      <c r="AR52" s="177" t="s">
        <v>214</v>
      </c>
      <c r="AS52" s="177" t="s">
        <v>220</v>
      </c>
      <c r="AT52" s="177" t="s">
        <v>221</v>
      </c>
      <c r="AU52" s="177" t="s">
        <v>225</v>
      </c>
      <c r="AV52" s="177" t="s">
        <v>230</v>
      </c>
      <c r="AW52" s="174">
        <v>308</v>
      </c>
      <c r="AX52" s="168">
        <v>3.6960000000000002</v>
      </c>
      <c r="AY52" s="184" t="s">
        <v>232</v>
      </c>
      <c r="AZ52" s="177" t="s">
        <v>163</v>
      </c>
      <c r="BA52" s="177" t="s">
        <v>164</v>
      </c>
      <c r="BB52" s="177" t="s">
        <v>243</v>
      </c>
      <c r="BC52" s="177">
        <v>2</v>
      </c>
      <c r="BD52" s="186">
        <v>0.13977055823046489</v>
      </c>
      <c r="BE52" s="187">
        <v>14.6850925764235</v>
      </c>
      <c r="BF52" s="177" t="s">
        <v>233</v>
      </c>
      <c r="BG52" s="177">
        <v>0.22685732109957599</v>
      </c>
      <c r="BH52" s="177">
        <v>0.88</v>
      </c>
      <c r="BI52" s="177" t="s">
        <v>278</v>
      </c>
      <c r="BJ52" s="177" t="s">
        <v>278</v>
      </c>
      <c r="BK52" s="188">
        <v>1.85</v>
      </c>
      <c r="BL52" s="177" t="s">
        <v>278</v>
      </c>
      <c r="BM52" s="177" t="s">
        <v>278</v>
      </c>
      <c r="BN52" s="177" t="s">
        <v>279</v>
      </c>
      <c r="BO52" s="177" t="s">
        <v>280</v>
      </c>
      <c r="BP52" s="189">
        <v>14.7094204545455</v>
      </c>
      <c r="BQ52" s="177" t="s">
        <v>287</v>
      </c>
      <c r="BR52" s="190" t="s">
        <v>288</v>
      </c>
      <c r="BS52" s="177" t="s">
        <v>286</v>
      </c>
      <c r="BT52" s="177" t="s">
        <v>289</v>
      </c>
      <c r="BU52" s="177">
        <v>25</v>
      </c>
      <c r="BV52" s="177" t="s">
        <v>165</v>
      </c>
      <c r="BW52" s="177" t="s">
        <v>165</v>
      </c>
      <c r="BX52" s="187">
        <v>32.183422190586199</v>
      </c>
      <c r="BY52" s="177" t="s">
        <v>290</v>
      </c>
      <c r="BZ52" s="186">
        <v>0.61013274995891498</v>
      </c>
      <c r="CA52" s="186">
        <v>0.73558772674290995</v>
      </c>
      <c r="CB52" s="177" t="s">
        <v>291</v>
      </c>
      <c r="CC52" s="177">
        <v>4.2620540789519401</v>
      </c>
      <c r="CD52" s="177" t="s">
        <v>292</v>
      </c>
      <c r="CE52" s="177">
        <v>0.12786162236855819</v>
      </c>
      <c r="CF52" s="177">
        <v>0.12786162236855819</v>
      </c>
      <c r="CG52" s="177" t="s">
        <v>295</v>
      </c>
      <c r="CH52" s="177" t="s">
        <v>162</v>
      </c>
      <c r="CI52" s="177" t="s">
        <v>293</v>
      </c>
      <c r="CJ52" s="177" t="s">
        <v>296</v>
      </c>
      <c r="CK52" s="177" t="s">
        <v>165</v>
      </c>
      <c r="CL52" s="177" t="s">
        <v>165</v>
      </c>
      <c r="CM52" s="177" t="s">
        <v>294</v>
      </c>
      <c r="CN52" s="177" t="s">
        <v>162</v>
      </c>
      <c r="CO52" s="177" t="s">
        <v>162</v>
      </c>
      <c r="CP52" s="177" t="s">
        <v>162</v>
      </c>
      <c r="CQ52" s="177" t="s">
        <v>162</v>
      </c>
      <c r="CR52" s="177" t="s">
        <v>162</v>
      </c>
      <c r="CS52" s="177" t="s">
        <v>162</v>
      </c>
      <c r="CT52" s="177" t="s">
        <v>162</v>
      </c>
      <c r="CU52" s="191">
        <v>35</v>
      </c>
      <c r="CV52" s="177" t="s">
        <v>161</v>
      </c>
      <c r="CW52" s="177">
        <v>1</v>
      </c>
      <c r="CX52" s="177" t="s">
        <v>297</v>
      </c>
      <c r="CY52" s="177">
        <v>17</v>
      </c>
      <c r="CZ52" s="177" t="s">
        <v>170</v>
      </c>
      <c r="DA52" s="177" t="s">
        <v>170</v>
      </c>
      <c r="DB52" s="177" t="s">
        <v>298</v>
      </c>
      <c r="DC52" s="177">
        <v>38</v>
      </c>
      <c r="DD52" s="177" t="s">
        <v>170</v>
      </c>
      <c r="DE52" s="177" t="s">
        <v>170</v>
      </c>
      <c r="DF52" s="177" t="s">
        <v>298</v>
      </c>
      <c r="DG52" s="177" t="s">
        <v>166</v>
      </c>
      <c r="DH52" s="177" t="s">
        <v>167</v>
      </c>
      <c r="DI52" s="177" t="s">
        <v>167</v>
      </c>
      <c r="DJ52" s="177" t="s">
        <v>167</v>
      </c>
      <c r="DK52" s="192">
        <v>432.56244218316402</v>
      </c>
      <c r="DL52" s="177" t="s">
        <v>168</v>
      </c>
      <c r="DM52" s="192">
        <v>12.3589269195194</v>
      </c>
      <c r="DN52" s="177" t="s">
        <v>169</v>
      </c>
      <c r="DO52" s="177">
        <v>38.700000000000003</v>
      </c>
      <c r="DP52" s="177" t="s">
        <v>299</v>
      </c>
      <c r="DQ52" s="177">
        <v>0.2</v>
      </c>
      <c r="DR52" s="177" t="s">
        <v>300</v>
      </c>
      <c r="DS52" s="177" t="s">
        <v>301</v>
      </c>
      <c r="DT52" s="177" t="s">
        <v>302</v>
      </c>
      <c r="DU52" s="177">
        <v>1.0271999999999999</v>
      </c>
      <c r="DV52" s="177" t="s">
        <v>170</v>
      </c>
      <c r="DW52" s="177" t="s">
        <v>170</v>
      </c>
      <c r="DX52" s="177" t="s">
        <v>177</v>
      </c>
      <c r="DY52" s="177" t="s">
        <v>170</v>
      </c>
      <c r="DZ52" s="177" t="s">
        <v>170</v>
      </c>
      <c r="EA52" s="177" t="s">
        <v>303</v>
      </c>
      <c r="EB52" s="177" t="s">
        <v>171</v>
      </c>
      <c r="EC52" s="177" t="s">
        <v>304</v>
      </c>
      <c r="ED52" s="177" t="s">
        <v>304</v>
      </c>
      <c r="EE52" s="177" t="s">
        <v>304</v>
      </c>
      <c r="EF52" s="177" t="s">
        <v>304</v>
      </c>
      <c r="EG52" s="177" t="s">
        <v>162</v>
      </c>
      <c r="EH52" s="177" t="s">
        <v>312</v>
      </c>
      <c r="EI52" s="177" t="s">
        <v>313</v>
      </c>
      <c r="EJ52" s="177" t="s">
        <v>314</v>
      </c>
      <c r="EK52" s="177" t="s">
        <v>307</v>
      </c>
      <c r="EL52" s="177" t="s">
        <v>307</v>
      </c>
      <c r="EM52" s="177" t="s">
        <v>307</v>
      </c>
      <c r="EN52" s="177" t="s">
        <v>307</v>
      </c>
      <c r="EO52" s="177">
        <v>6.625</v>
      </c>
      <c r="EP52" s="177" t="s">
        <v>299</v>
      </c>
      <c r="EQ52" s="177">
        <v>0.875</v>
      </c>
      <c r="ER52" s="177">
        <v>0.875</v>
      </c>
      <c r="ES52" s="177">
        <v>7.7766950699256903</v>
      </c>
      <c r="ET52" s="194" t="s">
        <v>174</v>
      </c>
      <c r="EU52" s="195">
        <v>3.67647873996041E-2</v>
      </c>
      <c r="EV52" s="195">
        <v>3.67647873996041E-2</v>
      </c>
      <c r="EW52" s="178">
        <v>726.03685028164602</v>
      </c>
      <c r="EX52" s="194">
        <v>0</v>
      </c>
      <c r="EY52" s="194" t="s">
        <v>308</v>
      </c>
      <c r="EZ52" s="178">
        <v>726.03685028164602</v>
      </c>
      <c r="FA52" s="178">
        <v>245.52873936423896</v>
      </c>
      <c r="FB52" s="178">
        <v>187.49924723198205</v>
      </c>
      <c r="FC52" s="196" t="s">
        <v>309</v>
      </c>
      <c r="FD52" s="177" t="s">
        <v>311</v>
      </c>
      <c r="FE52" s="177">
        <v>2087.5398939861602</v>
      </c>
      <c r="FF52" s="177">
        <v>434.954127902501</v>
      </c>
      <c r="FG52" s="177">
        <v>406.52746205211702</v>
      </c>
      <c r="FH52" s="177">
        <v>1959.5380888069301</v>
      </c>
      <c r="FI52" s="177">
        <v>432.22547175898899</v>
      </c>
      <c r="FJ52" s="177">
        <v>405.45476377171002</v>
      </c>
      <c r="FK52" s="177" t="s">
        <v>175</v>
      </c>
      <c r="FL52" s="177" t="s">
        <v>175</v>
      </c>
      <c r="FM52" s="177" t="s">
        <v>175</v>
      </c>
      <c r="FN52" s="177" t="s">
        <v>175</v>
      </c>
      <c r="FO52" s="177" t="s">
        <v>175</v>
      </c>
      <c r="FP52" s="177" t="s">
        <v>175</v>
      </c>
      <c r="FQ52" s="177" t="s">
        <v>319</v>
      </c>
    </row>
    <row r="53" spans="1:173" s="177" customFormat="1">
      <c r="A53" s="128" t="s">
        <v>152</v>
      </c>
      <c r="B53" s="177" t="s">
        <v>156</v>
      </c>
      <c r="C53" s="177">
        <v>2020</v>
      </c>
      <c r="D53" s="177" t="s">
        <v>194</v>
      </c>
      <c r="E53" s="142">
        <v>40250.213623046875</v>
      </c>
      <c r="F53" s="177">
        <v>1</v>
      </c>
      <c r="G53" s="177">
        <v>1</v>
      </c>
      <c r="H53" s="179">
        <v>792.04607014525595</v>
      </c>
      <c r="I53" s="179">
        <v>284.76765891144396</v>
      </c>
      <c r="J53" s="179">
        <v>194.17182610786892</v>
      </c>
      <c r="K53" s="177" t="s">
        <v>157</v>
      </c>
      <c r="L53" s="180" t="s">
        <v>158</v>
      </c>
      <c r="M53" s="181" t="s">
        <v>195</v>
      </c>
      <c r="N53" s="177" t="s">
        <v>194</v>
      </c>
      <c r="O53" s="177" t="s">
        <v>196</v>
      </c>
      <c r="P53" s="177" t="s">
        <v>200</v>
      </c>
      <c r="Q53" s="177">
        <v>1</v>
      </c>
      <c r="R53" s="177">
        <v>5</v>
      </c>
      <c r="S53" s="177">
        <v>87</v>
      </c>
      <c r="T53" s="177">
        <v>88.5</v>
      </c>
      <c r="U53" s="210">
        <v>47.077500000000001</v>
      </c>
      <c r="V53" s="177">
        <v>47.077500000000001</v>
      </c>
      <c r="W53" s="177" t="s">
        <v>203</v>
      </c>
      <c r="X53" s="177" t="s">
        <v>209</v>
      </c>
      <c r="Y53" s="182">
        <v>9.2656670000000005</v>
      </c>
      <c r="Z53" s="182">
        <v>-54.544032999999999</v>
      </c>
      <c r="AA53" s="182">
        <v>0.8</v>
      </c>
      <c r="AB53" s="183" t="s">
        <v>162</v>
      </c>
      <c r="AC53" s="183">
        <v>-2549</v>
      </c>
      <c r="AD53" s="183">
        <v>-2850</v>
      </c>
      <c r="AE53" s="177" t="s">
        <v>210</v>
      </c>
      <c r="AF53" s="177" t="s">
        <v>160</v>
      </c>
      <c r="AG53" s="142">
        <v>40250.213623046875</v>
      </c>
      <c r="AH53" s="184" t="s">
        <v>215</v>
      </c>
      <c r="AI53" s="177">
        <v>1</v>
      </c>
      <c r="AJ53" s="177">
        <v>1</v>
      </c>
      <c r="AK53" s="177" t="s">
        <v>214</v>
      </c>
      <c r="AL53" s="177" t="s">
        <v>216</v>
      </c>
      <c r="AM53" s="192" t="s">
        <v>219</v>
      </c>
      <c r="AN53" s="177">
        <v>40.23960546875</v>
      </c>
      <c r="AO53" s="177" t="s">
        <v>162</v>
      </c>
      <c r="AP53" s="177" t="s">
        <v>162</v>
      </c>
      <c r="AQ53" s="177" t="s">
        <v>162</v>
      </c>
      <c r="AR53" s="177" t="s">
        <v>214</v>
      </c>
      <c r="AS53" s="177" t="s">
        <v>220</v>
      </c>
      <c r="AT53" s="177" t="s">
        <v>221</v>
      </c>
      <c r="AU53" s="177" t="s">
        <v>225</v>
      </c>
      <c r="AV53" s="177" t="s">
        <v>230</v>
      </c>
      <c r="AW53" s="174">
        <v>282</v>
      </c>
      <c r="AX53" s="168">
        <v>4.548</v>
      </c>
      <c r="AY53" s="184" t="s">
        <v>232</v>
      </c>
      <c r="AZ53" s="177" t="s">
        <v>163</v>
      </c>
      <c r="BA53" s="177" t="s">
        <v>164</v>
      </c>
      <c r="BB53" s="177" t="s">
        <v>247</v>
      </c>
      <c r="BC53" s="177">
        <v>2</v>
      </c>
      <c r="BD53" s="186">
        <v>6.7540019185246422E-2</v>
      </c>
      <c r="BE53" s="187">
        <v>14.987611163078199</v>
      </c>
      <c r="BF53" s="177" t="s">
        <v>233</v>
      </c>
      <c r="BG53" s="177">
        <v>0.21420067332152301</v>
      </c>
      <c r="BH53" s="177">
        <v>0.88</v>
      </c>
      <c r="BI53" s="177" t="s">
        <v>278</v>
      </c>
      <c r="BJ53" s="177" t="s">
        <v>278</v>
      </c>
      <c r="BK53" s="188">
        <v>1.85</v>
      </c>
      <c r="BL53" s="177" t="s">
        <v>278</v>
      </c>
      <c r="BM53" s="177" t="s">
        <v>278</v>
      </c>
      <c r="BN53" s="177" t="s">
        <v>279</v>
      </c>
      <c r="BO53" s="177" t="s">
        <v>280</v>
      </c>
      <c r="BP53" s="189">
        <v>15.0531931818182</v>
      </c>
      <c r="BQ53" s="177" t="s">
        <v>287</v>
      </c>
      <c r="BR53" s="190" t="s">
        <v>288</v>
      </c>
      <c r="BS53" s="177" t="s">
        <v>286</v>
      </c>
      <c r="BT53" s="177" t="s">
        <v>289</v>
      </c>
      <c r="BU53" s="177">
        <v>25</v>
      </c>
      <c r="BV53" s="177" t="s">
        <v>165</v>
      </c>
      <c r="BW53" s="177" t="s">
        <v>165</v>
      </c>
      <c r="BX53" s="187">
        <v>30.360656757512899</v>
      </c>
      <c r="BY53" s="177" t="s">
        <v>290</v>
      </c>
      <c r="BZ53" s="186">
        <v>0.63494873591331902</v>
      </c>
      <c r="CA53" s="186">
        <v>0.67572513010292901</v>
      </c>
      <c r="CB53" s="177" t="s">
        <v>291</v>
      </c>
      <c r="CC53" s="177">
        <v>3.6954073926253899</v>
      </c>
      <c r="CD53" s="177" t="s">
        <v>292</v>
      </c>
      <c r="CE53" s="177">
        <v>0.11086222177876169</v>
      </c>
      <c r="CF53" s="177">
        <v>0.11086222177876169</v>
      </c>
      <c r="CG53" s="177" t="s">
        <v>295</v>
      </c>
      <c r="CH53" s="177" t="s">
        <v>162</v>
      </c>
      <c r="CI53" s="177" t="s">
        <v>293</v>
      </c>
      <c r="CJ53" s="177" t="s">
        <v>296</v>
      </c>
      <c r="CK53" s="177" t="s">
        <v>165</v>
      </c>
      <c r="CL53" s="177" t="s">
        <v>165</v>
      </c>
      <c r="CM53" s="177" t="s">
        <v>294</v>
      </c>
      <c r="CN53" s="177" t="s">
        <v>162</v>
      </c>
      <c r="CO53" s="177" t="s">
        <v>162</v>
      </c>
      <c r="CP53" s="177" t="s">
        <v>162</v>
      </c>
      <c r="CQ53" s="177" t="s">
        <v>162</v>
      </c>
      <c r="CR53" s="177" t="s">
        <v>162</v>
      </c>
      <c r="CS53" s="177" t="s">
        <v>162</v>
      </c>
      <c r="CT53" s="177" t="s">
        <v>162</v>
      </c>
      <c r="CU53" s="191">
        <v>35</v>
      </c>
      <c r="CV53" s="177" t="s">
        <v>161</v>
      </c>
      <c r="CW53" s="177">
        <v>1</v>
      </c>
      <c r="CX53" s="177" t="s">
        <v>297</v>
      </c>
      <c r="CY53" s="177">
        <v>17</v>
      </c>
      <c r="CZ53" s="177" t="s">
        <v>170</v>
      </c>
      <c r="DA53" s="177" t="s">
        <v>170</v>
      </c>
      <c r="DB53" s="177" t="s">
        <v>298</v>
      </c>
      <c r="DC53" s="177">
        <v>38</v>
      </c>
      <c r="DD53" s="177" t="s">
        <v>170</v>
      </c>
      <c r="DE53" s="177" t="s">
        <v>170</v>
      </c>
      <c r="DF53" s="177" t="s">
        <v>298</v>
      </c>
      <c r="DG53" s="177" t="s">
        <v>166</v>
      </c>
      <c r="DH53" s="177" t="s">
        <v>167</v>
      </c>
      <c r="DI53" s="177" t="s">
        <v>167</v>
      </c>
      <c r="DJ53" s="177" t="s">
        <v>167</v>
      </c>
      <c r="DK53" s="192">
        <v>432.56244218316402</v>
      </c>
      <c r="DL53" s="177" t="s">
        <v>168</v>
      </c>
      <c r="DM53" s="192">
        <v>12.358926919519501</v>
      </c>
      <c r="DN53" s="177" t="s">
        <v>169</v>
      </c>
      <c r="DO53" s="177">
        <v>38.700000000000003</v>
      </c>
      <c r="DP53" s="177" t="s">
        <v>299</v>
      </c>
      <c r="DQ53" s="177">
        <v>0.2</v>
      </c>
      <c r="DR53" s="177" t="s">
        <v>300</v>
      </c>
      <c r="DS53" s="177" t="s">
        <v>301</v>
      </c>
      <c r="DT53" s="177" t="s">
        <v>302</v>
      </c>
      <c r="DU53" s="177">
        <v>1.0271999999999999</v>
      </c>
      <c r="DV53" s="177" t="s">
        <v>170</v>
      </c>
      <c r="DW53" s="177" t="s">
        <v>170</v>
      </c>
      <c r="DX53" s="177" t="s">
        <v>177</v>
      </c>
      <c r="DY53" s="177" t="s">
        <v>170</v>
      </c>
      <c r="DZ53" s="177" t="s">
        <v>170</v>
      </c>
      <c r="EA53" s="177" t="s">
        <v>303</v>
      </c>
      <c r="EB53" s="177" t="s">
        <v>171</v>
      </c>
      <c r="EC53" s="177" t="s">
        <v>304</v>
      </c>
      <c r="ED53" s="177" t="s">
        <v>304</v>
      </c>
      <c r="EE53" s="177" t="s">
        <v>304</v>
      </c>
      <c r="EF53" s="177" t="s">
        <v>304</v>
      </c>
      <c r="EG53" s="177" t="s">
        <v>162</v>
      </c>
      <c r="EH53" s="177" t="s">
        <v>312</v>
      </c>
      <c r="EI53" s="177" t="s">
        <v>313</v>
      </c>
      <c r="EJ53" s="177" t="s">
        <v>314</v>
      </c>
      <c r="EK53" s="177" t="s">
        <v>307</v>
      </c>
      <c r="EL53" s="177" t="s">
        <v>307</v>
      </c>
      <c r="EM53" s="177" t="s">
        <v>307</v>
      </c>
      <c r="EN53" s="177" t="s">
        <v>307</v>
      </c>
      <c r="EO53" s="177">
        <v>6.625</v>
      </c>
      <c r="EP53" s="177" t="s">
        <v>299</v>
      </c>
      <c r="EQ53" s="177">
        <v>0.875</v>
      </c>
      <c r="ER53" s="177">
        <v>0.875</v>
      </c>
      <c r="ES53" s="177">
        <v>7.8434000330476499</v>
      </c>
      <c r="ET53" s="194" t="s">
        <v>174</v>
      </c>
      <c r="EU53" s="195">
        <v>3.1418554113129202E-2</v>
      </c>
      <c r="EV53" s="195">
        <v>3.1418554113129202E-2</v>
      </c>
      <c r="EW53" s="178">
        <v>792.04607014525595</v>
      </c>
      <c r="EX53" s="194">
        <v>0</v>
      </c>
      <c r="EY53" s="194" t="s">
        <v>308</v>
      </c>
      <c r="EZ53" s="178">
        <v>792.04607014525595</v>
      </c>
      <c r="FA53" s="178">
        <v>284.76765891144396</v>
      </c>
      <c r="FB53" s="178">
        <v>194.17182610786892</v>
      </c>
      <c r="FC53" s="196" t="s">
        <v>309</v>
      </c>
      <c r="FD53" s="177" t="s">
        <v>311</v>
      </c>
      <c r="FE53" s="177">
        <v>2333.47681761594</v>
      </c>
      <c r="FF53" s="177">
        <v>504.55326008296697</v>
      </c>
      <c r="FG53" s="177">
        <v>424.88404212962701</v>
      </c>
      <c r="FH53" s="177">
        <v>2152.8544680425198</v>
      </c>
      <c r="FI53" s="177">
        <v>498.37805324688497</v>
      </c>
      <c r="FJ53" s="177">
        <v>413.31512063519699</v>
      </c>
      <c r="FK53" s="177" t="s">
        <v>175</v>
      </c>
      <c r="FL53" s="177" t="s">
        <v>175</v>
      </c>
      <c r="FM53" s="177" t="s">
        <v>175</v>
      </c>
      <c r="FN53" s="177" t="s">
        <v>175</v>
      </c>
      <c r="FO53" s="177" t="s">
        <v>175</v>
      </c>
      <c r="FP53" s="177" t="s">
        <v>175</v>
      </c>
      <c r="FQ53" s="177" t="s">
        <v>319</v>
      </c>
    </row>
    <row r="54" spans="1:173" s="177" customFormat="1">
      <c r="A54" s="128" t="s">
        <v>152</v>
      </c>
      <c r="B54" s="177" t="s">
        <v>156</v>
      </c>
      <c r="C54" s="177">
        <v>2020</v>
      </c>
      <c r="D54" s="177" t="s">
        <v>194</v>
      </c>
      <c r="E54" s="142">
        <v>40394.073486328125</v>
      </c>
      <c r="F54" s="177">
        <v>1</v>
      </c>
      <c r="G54" s="177">
        <v>1</v>
      </c>
      <c r="H54" s="179">
        <v>642.20290982828703</v>
      </c>
      <c r="I54" s="179">
        <v>188.13039965963299</v>
      </c>
      <c r="J54" s="179">
        <v>138.08632786494604</v>
      </c>
      <c r="K54" s="177" t="s">
        <v>157</v>
      </c>
      <c r="L54" s="180" t="s">
        <v>158</v>
      </c>
      <c r="M54" s="181" t="s">
        <v>195</v>
      </c>
      <c r="N54" s="177" t="s">
        <v>194</v>
      </c>
      <c r="O54" s="177" t="s">
        <v>196</v>
      </c>
      <c r="P54" s="177" t="s">
        <v>159</v>
      </c>
      <c r="Q54" s="177">
        <v>7</v>
      </c>
      <c r="R54" s="177">
        <v>1</v>
      </c>
      <c r="S54" s="177">
        <v>127</v>
      </c>
      <c r="T54" s="177">
        <v>128.5</v>
      </c>
      <c r="U54" s="210">
        <v>48.777500000000003</v>
      </c>
      <c r="V54" s="177">
        <v>49.277500000000003</v>
      </c>
      <c r="W54" s="177" t="s">
        <v>203</v>
      </c>
      <c r="X54" s="177" t="s">
        <v>209</v>
      </c>
      <c r="Y54" s="182">
        <v>9.2656670000000005</v>
      </c>
      <c r="Z54" s="182">
        <v>-54.544032999999999</v>
      </c>
      <c r="AA54" s="182">
        <v>0.8</v>
      </c>
      <c r="AB54" s="183" t="s">
        <v>162</v>
      </c>
      <c r="AC54" s="183">
        <v>-2549</v>
      </c>
      <c r="AD54" s="183">
        <v>-2850</v>
      </c>
      <c r="AE54" s="177" t="s">
        <v>210</v>
      </c>
      <c r="AF54" s="177" t="s">
        <v>160</v>
      </c>
      <c r="AG54" s="142">
        <v>40394.073486328125</v>
      </c>
      <c r="AH54" s="184" t="s">
        <v>215</v>
      </c>
      <c r="AI54" s="177">
        <v>1</v>
      </c>
      <c r="AJ54" s="177">
        <v>1</v>
      </c>
      <c r="AK54" s="177" t="s">
        <v>214</v>
      </c>
      <c r="AL54" s="177" t="s">
        <v>216</v>
      </c>
      <c r="AM54" s="192" t="s">
        <v>219</v>
      </c>
      <c r="AN54" s="177">
        <v>40.36436328125</v>
      </c>
      <c r="AO54" s="177" t="s">
        <v>162</v>
      </c>
      <c r="AP54" s="177" t="s">
        <v>162</v>
      </c>
      <c r="AQ54" s="177" t="s">
        <v>162</v>
      </c>
      <c r="AR54" s="177" t="s">
        <v>214</v>
      </c>
      <c r="AS54" s="177" t="s">
        <v>220</v>
      </c>
      <c r="AT54" s="177" t="s">
        <v>221</v>
      </c>
      <c r="AU54" s="177" t="s">
        <v>225</v>
      </c>
      <c r="AV54" s="177" t="s">
        <v>230</v>
      </c>
      <c r="AW54" s="174">
        <v>239</v>
      </c>
      <c r="AX54" s="168">
        <v>2.6560000000000001</v>
      </c>
      <c r="AY54" s="184" t="s">
        <v>232</v>
      </c>
      <c r="AZ54" s="177" t="s">
        <v>163</v>
      </c>
      <c r="BA54" s="177" t="s">
        <v>164</v>
      </c>
      <c r="BB54" s="177" t="s">
        <v>246</v>
      </c>
      <c r="BC54" s="177">
        <v>2</v>
      </c>
      <c r="BD54" s="186">
        <v>0.12676279350029063</v>
      </c>
      <c r="BE54" s="187">
        <v>15.076082614402701</v>
      </c>
      <c r="BF54" s="177" t="s">
        <v>233</v>
      </c>
      <c r="BG54" s="177">
        <v>0.24129436801325399</v>
      </c>
      <c r="BH54" s="177">
        <v>0.88</v>
      </c>
      <c r="BI54" s="177" t="s">
        <v>278</v>
      </c>
      <c r="BJ54" s="177" t="s">
        <v>278</v>
      </c>
      <c r="BK54" s="188">
        <v>1.85</v>
      </c>
      <c r="BL54" s="177" t="s">
        <v>278</v>
      </c>
      <c r="BM54" s="177" t="s">
        <v>278</v>
      </c>
      <c r="BN54" s="177" t="s">
        <v>279</v>
      </c>
      <c r="BO54" s="177" t="s">
        <v>280</v>
      </c>
      <c r="BP54" s="189">
        <v>15.1537272727273</v>
      </c>
      <c r="BQ54" s="177" t="s">
        <v>287</v>
      </c>
      <c r="BR54" s="190" t="s">
        <v>288</v>
      </c>
      <c r="BS54" s="177" t="s">
        <v>286</v>
      </c>
      <c r="BT54" s="177" t="s">
        <v>289</v>
      </c>
      <c r="BU54" s="177">
        <v>25</v>
      </c>
      <c r="BV54" s="177" t="s">
        <v>165</v>
      </c>
      <c r="BW54" s="177" t="s">
        <v>165</v>
      </c>
      <c r="BX54" s="187">
        <v>32.224107588749497</v>
      </c>
      <c r="BY54" s="177" t="s">
        <v>290</v>
      </c>
      <c r="BZ54" s="186">
        <v>0.65066252816971804</v>
      </c>
      <c r="CA54" s="186">
        <v>0.61239292703571402</v>
      </c>
      <c r="CB54" s="177" t="s">
        <v>291</v>
      </c>
      <c r="CC54" s="177">
        <v>4.13722042729081</v>
      </c>
      <c r="CD54" s="177" t="s">
        <v>292</v>
      </c>
      <c r="CE54" s="177">
        <v>0.1241166128187243</v>
      </c>
      <c r="CF54" s="177">
        <v>0.1241166128187243</v>
      </c>
      <c r="CG54" s="177" t="s">
        <v>295</v>
      </c>
      <c r="CH54" s="177" t="s">
        <v>162</v>
      </c>
      <c r="CI54" s="177" t="s">
        <v>293</v>
      </c>
      <c r="CJ54" s="177" t="s">
        <v>296</v>
      </c>
      <c r="CK54" s="177" t="s">
        <v>165</v>
      </c>
      <c r="CL54" s="177" t="s">
        <v>165</v>
      </c>
      <c r="CM54" s="177" t="s">
        <v>294</v>
      </c>
      <c r="CN54" s="177" t="s">
        <v>162</v>
      </c>
      <c r="CO54" s="177" t="s">
        <v>162</v>
      </c>
      <c r="CP54" s="177" t="s">
        <v>162</v>
      </c>
      <c r="CQ54" s="177" t="s">
        <v>162</v>
      </c>
      <c r="CR54" s="177" t="s">
        <v>162</v>
      </c>
      <c r="CS54" s="177" t="s">
        <v>162</v>
      </c>
      <c r="CT54" s="177" t="s">
        <v>162</v>
      </c>
      <c r="CU54" s="191">
        <v>35</v>
      </c>
      <c r="CV54" s="177" t="s">
        <v>161</v>
      </c>
      <c r="CW54" s="177">
        <v>1</v>
      </c>
      <c r="CX54" s="177" t="s">
        <v>297</v>
      </c>
      <c r="CY54" s="177">
        <v>17</v>
      </c>
      <c r="CZ54" s="177" t="s">
        <v>170</v>
      </c>
      <c r="DA54" s="177" t="s">
        <v>170</v>
      </c>
      <c r="DB54" s="177" t="s">
        <v>298</v>
      </c>
      <c r="DC54" s="177">
        <v>38</v>
      </c>
      <c r="DD54" s="177" t="s">
        <v>170</v>
      </c>
      <c r="DE54" s="177" t="s">
        <v>170</v>
      </c>
      <c r="DF54" s="177" t="s">
        <v>298</v>
      </c>
      <c r="DG54" s="177" t="s">
        <v>166</v>
      </c>
      <c r="DH54" s="177" t="s">
        <v>167</v>
      </c>
      <c r="DI54" s="177" t="s">
        <v>167</v>
      </c>
      <c r="DJ54" s="177" t="s">
        <v>167</v>
      </c>
      <c r="DK54" s="192">
        <v>432.56244218316402</v>
      </c>
      <c r="DL54" s="177" t="s">
        <v>168</v>
      </c>
      <c r="DM54" s="192">
        <v>12.3589269195197</v>
      </c>
      <c r="DN54" s="177" t="s">
        <v>169</v>
      </c>
      <c r="DO54" s="177">
        <v>38.700000000000003</v>
      </c>
      <c r="DP54" s="177" t="s">
        <v>299</v>
      </c>
      <c r="DQ54" s="177">
        <v>0.2</v>
      </c>
      <c r="DR54" s="177" t="s">
        <v>300</v>
      </c>
      <c r="DS54" s="177" t="s">
        <v>301</v>
      </c>
      <c r="DT54" s="177" t="s">
        <v>302</v>
      </c>
      <c r="DU54" s="177">
        <v>1.0271999999999999</v>
      </c>
      <c r="DV54" s="177" t="s">
        <v>170</v>
      </c>
      <c r="DW54" s="177" t="s">
        <v>170</v>
      </c>
      <c r="DX54" s="177" t="s">
        <v>177</v>
      </c>
      <c r="DY54" s="177" t="s">
        <v>170</v>
      </c>
      <c r="DZ54" s="177" t="s">
        <v>170</v>
      </c>
      <c r="EA54" s="177" t="s">
        <v>303</v>
      </c>
      <c r="EB54" s="177" t="s">
        <v>171</v>
      </c>
      <c r="EC54" s="177" t="s">
        <v>304</v>
      </c>
      <c r="ED54" s="177" t="s">
        <v>304</v>
      </c>
      <c r="EE54" s="177" t="s">
        <v>304</v>
      </c>
      <c r="EF54" s="177" t="s">
        <v>304</v>
      </c>
      <c r="EG54" s="177" t="s">
        <v>162</v>
      </c>
      <c r="EH54" s="177" t="s">
        <v>312</v>
      </c>
      <c r="EI54" s="177" t="s">
        <v>313</v>
      </c>
      <c r="EJ54" s="177" t="s">
        <v>314</v>
      </c>
      <c r="EK54" s="177" t="s">
        <v>307</v>
      </c>
      <c r="EL54" s="177" t="s">
        <v>307</v>
      </c>
      <c r="EM54" s="177" t="s">
        <v>307</v>
      </c>
      <c r="EN54" s="177" t="s">
        <v>307</v>
      </c>
      <c r="EO54" s="177">
        <v>6.625</v>
      </c>
      <c r="EP54" s="177" t="s">
        <v>299</v>
      </c>
      <c r="EQ54" s="177">
        <v>0.875</v>
      </c>
      <c r="ER54" s="177">
        <v>0.875</v>
      </c>
      <c r="ES54" s="177">
        <v>7.8357470576027701</v>
      </c>
      <c r="ET54" s="194" t="s">
        <v>174</v>
      </c>
      <c r="EU54" s="195">
        <v>3.0373861216128901E-2</v>
      </c>
      <c r="EV54" s="195">
        <v>3.0373861216128901E-2</v>
      </c>
      <c r="EW54" s="178">
        <v>642.20290982828703</v>
      </c>
      <c r="EX54" s="194">
        <v>0</v>
      </c>
      <c r="EY54" s="194" t="s">
        <v>308</v>
      </c>
      <c r="EZ54" s="178">
        <v>642.20290982828703</v>
      </c>
      <c r="FA54" s="178">
        <v>188.13039965963299</v>
      </c>
      <c r="FB54" s="178">
        <v>138.08632786494604</v>
      </c>
      <c r="FC54" s="196" t="s">
        <v>309</v>
      </c>
      <c r="FD54" s="177" t="s">
        <v>311</v>
      </c>
      <c r="FE54" s="177">
        <v>1975.85794480288</v>
      </c>
      <c r="FF54" s="177">
        <v>344.112215532096</v>
      </c>
      <c r="FG54" s="177">
        <v>283.31595240186903</v>
      </c>
      <c r="FH54" s="177">
        <v>1768.66984649339</v>
      </c>
      <c r="FI54" s="177">
        <v>335.40111126366202</v>
      </c>
      <c r="FJ54" s="177">
        <v>270.90440493764601</v>
      </c>
      <c r="FK54" s="177" t="s">
        <v>175</v>
      </c>
      <c r="FL54" s="177" t="s">
        <v>175</v>
      </c>
      <c r="FM54" s="177" t="s">
        <v>175</v>
      </c>
      <c r="FN54" s="177" t="s">
        <v>175</v>
      </c>
      <c r="FO54" s="177" t="s">
        <v>175</v>
      </c>
      <c r="FP54" s="177" t="s">
        <v>175</v>
      </c>
      <c r="FQ54" s="177" t="s">
        <v>319</v>
      </c>
    </row>
    <row r="55" spans="1:173" s="177" customFormat="1">
      <c r="A55" s="128" t="s">
        <v>152</v>
      </c>
      <c r="B55" s="177" t="s">
        <v>156</v>
      </c>
      <c r="C55" s="177">
        <v>2020</v>
      </c>
      <c r="D55" s="177" t="s">
        <v>194</v>
      </c>
      <c r="E55" s="142">
        <v>40517.196655273438</v>
      </c>
      <c r="F55" s="177">
        <v>1</v>
      </c>
      <c r="G55" s="177">
        <v>1</v>
      </c>
      <c r="H55" s="179">
        <v>616.61674828536798</v>
      </c>
      <c r="I55" s="179">
        <v>175.90299612784906</v>
      </c>
      <c r="J55" s="179">
        <v>132.67222610566898</v>
      </c>
      <c r="K55" s="177" t="s">
        <v>157</v>
      </c>
      <c r="L55" s="180" t="s">
        <v>158</v>
      </c>
      <c r="M55" s="181" t="s">
        <v>195</v>
      </c>
      <c r="N55" s="177" t="s">
        <v>194</v>
      </c>
      <c r="O55" s="177" t="s">
        <v>196</v>
      </c>
      <c r="P55" s="177" t="s">
        <v>159</v>
      </c>
      <c r="Q55" s="177">
        <v>7</v>
      </c>
      <c r="R55" s="177">
        <v>3</v>
      </c>
      <c r="S55" s="177">
        <v>57</v>
      </c>
      <c r="T55" s="177">
        <v>58.5</v>
      </c>
      <c r="U55" s="210">
        <v>51.077500000000001</v>
      </c>
      <c r="V55" s="177">
        <v>51.577500000000001</v>
      </c>
      <c r="W55" s="177" t="s">
        <v>203</v>
      </c>
      <c r="X55" s="177" t="s">
        <v>209</v>
      </c>
      <c r="Y55" s="182">
        <v>9.2656670000000005</v>
      </c>
      <c r="Z55" s="182">
        <v>-54.544032999999999</v>
      </c>
      <c r="AA55" s="182">
        <v>0.8</v>
      </c>
      <c r="AB55" s="183" t="s">
        <v>162</v>
      </c>
      <c r="AC55" s="183">
        <v>-2549</v>
      </c>
      <c r="AD55" s="183">
        <v>-2850</v>
      </c>
      <c r="AE55" s="177" t="s">
        <v>210</v>
      </c>
      <c r="AF55" s="177" t="s">
        <v>160</v>
      </c>
      <c r="AG55" s="142">
        <v>40517.196655273438</v>
      </c>
      <c r="AH55" s="184" t="s">
        <v>215</v>
      </c>
      <c r="AI55" s="177">
        <v>1</v>
      </c>
      <c r="AJ55" s="177">
        <v>1</v>
      </c>
      <c r="AK55" s="177" t="s">
        <v>214</v>
      </c>
      <c r="AL55" s="177" t="s">
        <v>216</v>
      </c>
      <c r="AM55" s="192" t="s">
        <v>219</v>
      </c>
      <c r="AN55" s="177">
        <v>40.484824218749999</v>
      </c>
      <c r="AO55" s="177" t="s">
        <v>162</v>
      </c>
      <c r="AP55" s="177" t="s">
        <v>162</v>
      </c>
      <c r="AQ55" s="177" t="s">
        <v>162</v>
      </c>
      <c r="AR55" s="177" t="s">
        <v>214</v>
      </c>
      <c r="AS55" s="177" t="s">
        <v>220</v>
      </c>
      <c r="AT55" s="177" t="s">
        <v>221</v>
      </c>
      <c r="AU55" s="177" t="s">
        <v>225</v>
      </c>
      <c r="AV55" s="177" t="s">
        <v>230</v>
      </c>
      <c r="AW55" s="174">
        <v>311</v>
      </c>
      <c r="AX55" s="168">
        <v>4.2889999999999997</v>
      </c>
      <c r="AY55" s="184" t="s">
        <v>232</v>
      </c>
      <c r="AZ55" s="177" t="s">
        <v>163</v>
      </c>
      <c r="BA55" s="177" t="s">
        <v>164</v>
      </c>
      <c r="BB55" s="177" t="s">
        <v>242</v>
      </c>
      <c r="BC55" s="177">
        <v>2</v>
      </c>
      <c r="BD55" s="186">
        <v>5.077347405562093E-2</v>
      </c>
      <c r="BE55" s="187">
        <v>15.033190335811099</v>
      </c>
      <c r="BF55" s="177" t="s">
        <v>233</v>
      </c>
      <c r="BG55" s="177">
        <v>0.21811436540529699</v>
      </c>
      <c r="BH55" s="177">
        <v>0.88</v>
      </c>
      <c r="BI55" s="177" t="s">
        <v>278</v>
      </c>
      <c r="BJ55" s="177" t="s">
        <v>278</v>
      </c>
      <c r="BK55" s="188">
        <v>1.85</v>
      </c>
      <c r="BL55" s="177" t="s">
        <v>278</v>
      </c>
      <c r="BM55" s="177" t="s">
        <v>278</v>
      </c>
      <c r="BN55" s="177" t="s">
        <v>279</v>
      </c>
      <c r="BO55" s="177" t="s">
        <v>280</v>
      </c>
      <c r="BP55" s="189">
        <v>15.104988636363601</v>
      </c>
      <c r="BQ55" s="177" t="s">
        <v>287</v>
      </c>
      <c r="BR55" s="190" t="s">
        <v>288</v>
      </c>
      <c r="BS55" s="177" t="s">
        <v>286</v>
      </c>
      <c r="BT55" s="177" t="s">
        <v>289</v>
      </c>
      <c r="BU55" s="177">
        <v>25</v>
      </c>
      <c r="BV55" s="177" t="s">
        <v>165</v>
      </c>
      <c r="BW55" s="177" t="s">
        <v>165</v>
      </c>
      <c r="BX55" s="187">
        <v>31.039650609651201</v>
      </c>
      <c r="BY55" s="177" t="s">
        <v>290</v>
      </c>
      <c r="BZ55" s="186">
        <v>0.67931967686998695</v>
      </c>
      <c r="CA55" s="186">
        <v>0.64343537375058801</v>
      </c>
      <c r="CB55" s="177" t="s">
        <v>291</v>
      </c>
      <c r="CC55" s="177">
        <v>3.7999497926307901</v>
      </c>
      <c r="CD55" s="177" t="s">
        <v>292</v>
      </c>
      <c r="CE55" s="177">
        <v>0.1139984937789237</v>
      </c>
      <c r="CF55" s="177">
        <v>0.1139984937789237</v>
      </c>
      <c r="CG55" s="177" t="s">
        <v>295</v>
      </c>
      <c r="CH55" s="177" t="s">
        <v>162</v>
      </c>
      <c r="CI55" s="177" t="s">
        <v>293</v>
      </c>
      <c r="CJ55" s="177" t="s">
        <v>296</v>
      </c>
      <c r="CK55" s="177" t="s">
        <v>165</v>
      </c>
      <c r="CL55" s="177" t="s">
        <v>165</v>
      </c>
      <c r="CM55" s="177" t="s">
        <v>294</v>
      </c>
      <c r="CN55" s="177" t="s">
        <v>162</v>
      </c>
      <c r="CO55" s="177" t="s">
        <v>162</v>
      </c>
      <c r="CP55" s="177" t="s">
        <v>162</v>
      </c>
      <c r="CQ55" s="177" t="s">
        <v>162</v>
      </c>
      <c r="CR55" s="177" t="s">
        <v>162</v>
      </c>
      <c r="CS55" s="177" t="s">
        <v>162</v>
      </c>
      <c r="CT55" s="177" t="s">
        <v>162</v>
      </c>
      <c r="CU55" s="191">
        <v>35</v>
      </c>
      <c r="CV55" s="177" t="s">
        <v>161</v>
      </c>
      <c r="CW55" s="177">
        <v>1</v>
      </c>
      <c r="CX55" s="177" t="s">
        <v>297</v>
      </c>
      <c r="CY55" s="177">
        <v>17</v>
      </c>
      <c r="CZ55" s="177" t="s">
        <v>170</v>
      </c>
      <c r="DA55" s="177" t="s">
        <v>170</v>
      </c>
      <c r="DB55" s="177" t="s">
        <v>298</v>
      </c>
      <c r="DC55" s="177">
        <v>38</v>
      </c>
      <c r="DD55" s="177" t="s">
        <v>170</v>
      </c>
      <c r="DE55" s="177" t="s">
        <v>170</v>
      </c>
      <c r="DF55" s="177" t="s">
        <v>298</v>
      </c>
      <c r="DG55" s="177" t="s">
        <v>166</v>
      </c>
      <c r="DH55" s="177" t="s">
        <v>167</v>
      </c>
      <c r="DI55" s="177" t="s">
        <v>167</v>
      </c>
      <c r="DJ55" s="177" t="s">
        <v>167</v>
      </c>
      <c r="DK55" s="192">
        <v>432.56244218316402</v>
      </c>
      <c r="DL55" s="177" t="s">
        <v>168</v>
      </c>
      <c r="DM55" s="192">
        <v>12.358926919519799</v>
      </c>
      <c r="DN55" s="177" t="s">
        <v>169</v>
      </c>
      <c r="DO55" s="177">
        <v>38.700000000000003</v>
      </c>
      <c r="DP55" s="177" t="s">
        <v>299</v>
      </c>
      <c r="DQ55" s="177">
        <v>0.2</v>
      </c>
      <c r="DR55" s="177" t="s">
        <v>300</v>
      </c>
      <c r="DS55" s="177" t="s">
        <v>301</v>
      </c>
      <c r="DT55" s="177" t="s">
        <v>302</v>
      </c>
      <c r="DU55" s="177">
        <v>1.0271999999999999</v>
      </c>
      <c r="DV55" s="177" t="s">
        <v>170</v>
      </c>
      <c r="DW55" s="177" t="s">
        <v>170</v>
      </c>
      <c r="DX55" s="177" t="s">
        <v>177</v>
      </c>
      <c r="DY55" s="177" t="s">
        <v>170</v>
      </c>
      <c r="DZ55" s="177" t="s">
        <v>170</v>
      </c>
      <c r="EA55" s="177" t="s">
        <v>303</v>
      </c>
      <c r="EB55" s="177" t="s">
        <v>171</v>
      </c>
      <c r="EC55" s="177" t="s">
        <v>304</v>
      </c>
      <c r="ED55" s="177" t="s">
        <v>304</v>
      </c>
      <c r="EE55" s="177" t="s">
        <v>304</v>
      </c>
      <c r="EF55" s="177" t="s">
        <v>304</v>
      </c>
      <c r="EG55" s="177" t="s">
        <v>162</v>
      </c>
      <c r="EH55" s="177" t="s">
        <v>312</v>
      </c>
      <c r="EI55" s="177" t="s">
        <v>313</v>
      </c>
      <c r="EJ55" s="177" t="s">
        <v>314</v>
      </c>
      <c r="EK55" s="177" t="s">
        <v>307</v>
      </c>
      <c r="EL55" s="177" t="s">
        <v>307</v>
      </c>
      <c r="EM55" s="177" t="s">
        <v>307</v>
      </c>
      <c r="EN55" s="177" t="s">
        <v>307</v>
      </c>
      <c r="EO55" s="177">
        <v>6.625</v>
      </c>
      <c r="EP55" s="177" t="s">
        <v>299</v>
      </c>
      <c r="EQ55" s="177">
        <v>0.875</v>
      </c>
      <c r="ER55" s="177">
        <v>0.875</v>
      </c>
      <c r="ES55" s="177">
        <v>7.8443896297779396</v>
      </c>
      <c r="ET55" s="194" t="s">
        <v>174</v>
      </c>
      <c r="EU55" s="195">
        <v>3.3613588864626599E-2</v>
      </c>
      <c r="EV55" s="195">
        <v>3.3613588864626599E-2</v>
      </c>
      <c r="EW55" s="178">
        <v>616.61674828536798</v>
      </c>
      <c r="EX55" s="194">
        <v>0</v>
      </c>
      <c r="EY55" s="194" t="s">
        <v>308</v>
      </c>
      <c r="EZ55" s="178">
        <v>616.61674828536798</v>
      </c>
      <c r="FA55" s="178">
        <v>175.90299612784906</v>
      </c>
      <c r="FB55" s="178">
        <v>132.67222610566898</v>
      </c>
      <c r="FC55" s="196" t="s">
        <v>309</v>
      </c>
      <c r="FD55" s="177" t="s">
        <v>311</v>
      </c>
      <c r="FE55" s="177">
        <v>2096.1841298656</v>
      </c>
      <c r="FF55" s="177">
        <v>345.47081763508697</v>
      </c>
      <c r="FG55" s="177">
        <v>307.10132294791902</v>
      </c>
      <c r="FH55" s="177">
        <v>1891.83734892654</v>
      </c>
      <c r="FI55" s="177">
        <v>337.33539558800402</v>
      </c>
      <c r="FJ55" s="177">
        <v>300.91302431622699</v>
      </c>
      <c r="FK55" s="177" t="s">
        <v>175</v>
      </c>
      <c r="FL55" s="177" t="s">
        <v>175</v>
      </c>
      <c r="FM55" s="177" t="s">
        <v>175</v>
      </c>
      <c r="FN55" s="177" t="s">
        <v>175</v>
      </c>
      <c r="FO55" s="177" t="s">
        <v>175</v>
      </c>
      <c r="FP55" s="177" t="s">
        <v>175</v>
      </c>
      <c r="FQ55" s="177" t="s">
        <v>319</v>
      </c>
    </row>
    <row r="56" spans="1:173" s="177" customFormat="1">
      <c r="A56" s="128" t="s">
        <v>152</v>
      </c>
      <c r="B56" s="177" t="s">
        <v>156</v>
      </c>
      <c r="C56" s="177">
        <v>2020</v>
      </c>
      <c r="D56" s="177" t="s">
        <v>194</v>
      </c>
      <c r="E56" s="142">
        <v>40648.937225341797</v>
      </c>
      <c r="F56" s="177">
        <v>1</v>
      </c>
      <c r="G56" s="177">
        <v>1</v>
      </c>
      <c r="H56" s="179">
        <v>705.82721175433198</v>
      </c>
      <c r="I56" s="179">
        <v>219.63490163553104</v>
      </c>
      <c r="J56" s="179">
        <v>159.91238564358798</v>
      </c>
      <c r="K56" s="177" t="s">
        <v>157</v>
      </c>
      <c r="L56" s="180" t="s">
        <v>158</v>
      </c>
      <c r="M56" s="181" t="s">
        <v>195</v>
      </c>
      <c r="N56" s="177" t="s">
        <v>194</v>
      </c>
      <c r="O56" s="177" t="s">
        <v>196</v>
      </c>
      <c r="P56" s="177" t="s">
        <v>159</v>
      </c>
      <c r="Q56" s="177">
        <v>7</v>
      </c>
      <c r="R56" s="177">
        <v>4</v>
      </c>
      <c r="S56" s="177">
        <v>37</v>
      </c>
      <c r="T56" s="177">
        <v>38.5</v>
      </c>
      <c r="U56" s="210">
        <v>52.377499999999998</v>
      </c>
      <c r="V56" s="177">
        <v>52.877499999999998</v>
      </c>
      <c r="W56" s="177" t="s">
        <v>203</v>
      </c>
      <c r="X56" s="177" t="s">
        <v>209</v>
      </c>
      <c r="Y56" s="182">
        <v>9.2656670000000005</v>
      </c>
      <c r="Z56" s="182">
        <v>-54.544032999999999</v>
      </c>
      <c r="AA56" s="182">
        <v>0.8</v>
      </c>
      <c r="AB56" s="183" t="s">
        <v>162</v>
      </c>
      <c r="AC56" s="183">
        <v>-2549</v>
      </c>
      <c r="AD56" s="183">
        <v>-2850</v>
      </c>
      <c r="AE56" s="177" t="s">
        <v>210</v>
      </c>
      <c r="AF56" s="177" t="s">
        <v>160</v>
      </c>
      <c r="AG56" s="142">
        <v>40648.937225341797</v>
      </c>
      <c r="AH56" s="184" t="s">
        <v>215</v>
      </c>
      <c r="AI56" s="177">
        <v>1</v>
      </c>
      <c r="AJ56" s="177">
        <v>1</v>
      </c>
      <c r="AK56" s="177" t="s">
        <v>214</v>
      </c>
      <c r="AL56" s="177" t="s">
        <v>216</v>
      </c>
      <c r="AM56" s="192" t="s">
        <v>219</v>
      </c>
      <c r="AN56" s="177">
        <v>40.555140625</v>
      </c>
      <c r="AO56" s="177" t="s">
        <v>162</v>
      </c>
      <c r="AP56" s="177" t="s">
        <v>162</v>
      </c>
      <c r="AQ56" s="177" t="s">
        <v>162</v>
      </c>
      <c r="AR56" s="177" t="s">
        <v>214</v>
      </c>
      <c r="AS56" s="177" t="s">
        <v>220</v>
      </c>
      <c r="AT56" s="177" t="s">
        <v>221</v>
      </c>
      <c r="AU56" s="177" t="s">
        <v>225</v>
      </c>
      <c r="AV56" s="177" t="s">
        <v>230</v>
      </c>
      <c r="AW56" s="174">
        <v>208</v>
      </c>
      <c r="AX56" s="168">
        <v>2.4929999999999999</v>
      </c>
      <c r="AY56" s="184" t="s">
        <v>232</v>
      </c>
      <c r="AZ56" s="177" t="s">
        <v>163</v>
      </c>
      <c r="BA56" s="177" t="s">
        <v>164</v>
      </c>
      <c r="BB56" s="177" t="s">
        <v>241</v>
      </c>
      <c r="BC56" s="177">
        <v>2</v>
      </c>
      <c r="BD56" s="186">
        <v>0.36365173896322561</v>
      </c>
      <c r="BE56" s="187">
        <v>15.0891171811212</v>
      </c>
      <c r="BF56" s="177" t="s">
        <v>233</v>
      </c>
      <c r="BG56" s="177">
        <v>0.23835600480119501</v>
      </c>
      <c r="BH56" s="177">
        <v>0.88</v>
      </c>
      <c r="BI56" s="177" t="s">
        <v>278</v>
      </c>
      <c r="BJ56" s="177" t="s">
        <v>278</v>
      </c>
      <c r="BK56" s="188">
        <v>1.85</v>
      </c>
      <c r="BL56" s="177" t="s">
        <v>278</v>
      </c>
      <c r="BM56" s="177" t="s">
        <v>278</v>
      </c>
      <c r="BN56" s="177" t="s">
        <v>279</v>
      </c>
      <c r="BO56" s="177" t="s">
        <v>280</v>
      </c>
      <c r="BP56" s="189">
        <v>15.1685454545455</v>
      </c>
      <c r="BQ56" s="177" t="s">
        <v>287</v>
      </c>
      <c r="BR56" s="190" t="s">
        <v>288</v>
      </c>
      <c r="BS56" s="177" t="s">
        <v>286</v>
      </c>
      <c r="BT56" s="177" t="s">
        <v>289</v>
      </c>
      <c r="BU56" s="177">
        <v>25</v>
      </c>
      <c r="BV56" s="177" t="s">
        <v>165</v>
      </c>
      <c r="BW56" s="177" t="s">
        <v>165</v>
      </c>
      <c r="BX56" s="187">
        <v>31.122968680472599</v>
      </c>
      <c r="BY56" s="177" t="s">
        <v>290</v>
      </c>
      <c r="BZ56" s="186">
        <v>0.61768922183196295</v>
      </c>
      <c r="CA56" s="186">
        <v>0.65776640073145398</v>
      </c>
      <c r="CB56" s="177" t="s">
        <v>291</v>
      </c>
      <c r="CC56" s="177">
        <v>3.7409461680991498</v>
      </c>
      <c r="CD56" s="177" t="s">
        <v>292</v>
      </c>
      <c r="CE56" s="177">
        <v>0.11222838504297449</v>
      </c>
      <c r="CF56" s="177">
        <v>0.11222838504297449</v>
      </c>
      <c r="CG56" s="177" t="s">
        <v>295</v>
      </c>
      <c r="CH56" s="177" t="s">
        <v>162</v>
      </c>
      <c r="CI56" s="177" t="s">
        <v>293</v>
      </c>
      <c r="CJ56" s="177" t="s">
        <v>296</v>
      </c>
      <c r="CK56" s="177" t="s">
        <v>165</v>
      </c>
      <c r="CL56" s="177" t="s">
        <v>165</v>
      </c>
      <c r="CM56" s="177" t="s">
        <v>294</v>
      </c>
      <c r="CN56" s="177" t="s">
        <v>162</v>
      </c>
      <c r="CO56" s="177" t="s">
        <v>162</v>
      </c>
      <c r="CP56" s="177" t="s">
        <v>162</v>
      </c>
      <c r="CQ56" s="177" t="s">
        <v>162</v>
      </c>
      <c r="CR56" s="177" t="s">
        <v>162</v>
      </c>
      <c r="CS56" s="177" t="s">
        <v>162</v>
      </c>
      <c r="CT56" s="177" t="s">
        <v>162</v>
      </c>
      <c r="CU56" s="191">
        <v>35</v>
      </c>
      <c r="CV56" s="177" t="s">
        <v>161</v>
      </c>
      <c r="CW56" s="177">
        <v>1</v>
      </c>
      <c r="CX56" s="177" t="s">
        <v>297</v>
      </c>
      <c r="CY56" s="177">
        <v>17</v>
      </c>
      <c r="CZ56" s="177" t="s">
        <v>170</v>
      </c>
      <c r="DA56" s="177" t="s">
        <v>170</v>
      </c>
      <c r="DB56" s="177" t="s">
        <v>298</v>
      </c>
      <c r="DC56" s="177">
        <v>38</v>
      </c>
      <c r="DD56" s="177" t="s">
        <v>170</v>
      </c>
      <c r="DE56" s="177" t="s">
        <v>170</v>
      </c>
      <c r="DF56" s="177" t="s">
        <v>298</v>
      </c>
      <c r="DG56" s="177" t="s">
        <v>166</v>
      </c>
      <c r="DH56" s="177" t="s">
        <v>167</v>
      </c>
      <c r="DI56" s="177" t="s">
        <v>167</v>
      </c>
      <c r="DJ56" s="177" t="s">
        <v>167</v>
      </c>
      <c r="DK56" s="192">
        <v>432.56244218316402</v>
      </c>
      <c r="DL56" s="177" t="s">
        <v>168</v>
      </c>
      <c r="DM56" s="192">
        <v>12.358926919519901</v>
      </c>
      <c r="DN56" s="177" t="s">
        <v>169</v>
      </c>
      <c r="DO56" s="177">
        <v>38.700000000000003</v>
      </c>
      <c r="DP56" s="177" t="s">
        <v>299</v>
      </c>
      <c r="DQ56" s="177">
        <v>0.2</v>
      </c>
      <c r="DR56" s="177" t="s">
        <v>300</v>
      </c>
      <c r="DS56" s="177" t="s">
        <v>301</v>
      </c>
      <c r="DT56" s="177" t="s">
        <v>302</v>
      </c>
      <c r="DU56" s="177">
        <v>1.0271999999999999</v>
      </c>
      <c r="DV56" s="177" t="s">
        <v>170</v>
      </c>
      <c r="DW56" s="177" t="s">
        <v>170</v>
      </c>
      <c r="DX56" s="177" t="s">
        <v>177</v>
      </c>
      <c r="DY56" s="177" t="s">
        <v>170</v>
      </c>
      <c r="DZ56" s="177" t="s">
        <v>170</v>
      </c>
      <c r="EA56" s="177" t="s">
        <v>303</v>
      </c>
      <c r="EB56" s="177" t="s">
        <v>171</v>
      </c>
      <c r="EC56" s="177" t="s">
        <v>304</v>
      </c>
      <c r="ED56" s="177" t="s">
        <v>304</v>
      </c>
      <c r="EE56" s="177" t="s">
        <v>304</v>
      </c>
      <c r="EF56" s="177" t="s">
        <v>304</v>
      </c>
      <c r="EG56" s="177" t="s">
        <v>162</v>
      </c>
      <c r="EH56" s="177" t="s">
        <v>312</v>
      </c>
      <c r="EI56" s="177" t="s">
        <v>313</v>
      </c>
      <c r="EJ56" s="177" t="s">
        <v>314</v>
      </c>
      <c r="EK56" s="177" t="s">
        <v>307</v>
      </c>
      <c r="EL56" s="177" t="s">
        <v>307</v>
      </c>
      <c r="EM56" s="177" t="s">
        <v>307</v>
      </c>
      <c r="EN56" s="177" t="s">
        <v>307</v>
      </c>
      <c r="EO56" s="177">
        <v>6.625</v>
      </c>
      <c r="EP56" s="177" t="s">
        <v>299</v>
      </c>
      <c r="EQ56" s="177">
        <v>0.875</v>
      </c>
      <c r="ER56" s="177">
        <v>0.875</v>
      </c>
      <c r="ES56" s="177">
        <v>7.8539957601453301</v>
      </c>
      <c r="ET56" s="194" t="s">
        <v>174</v>
      </c>
      <c r="EU56" s="195">
        <v>3.0654388402747701E-2</v>
      </c>
      <c r="EV56" s="195">
        <v>3.0654388402747701E-2</v>
      </c>
      <c r="EW56" s="178">
        <v>705.82721175433198</v>
      </c>
      <c r="EX56" s="194">
        <v>0</v>
      </c>
      <c r="EY56" s="194" t="s">
        <v>308</v>
      </c>
      <c r="EZ56" s="178">
        <v>705.82721175433198</v>
      </c>
      <c r="FA56" s="178">
        <v>219.63490163553104</v>
      </c>
      <c r="FB56" s="178">
        <v>159.91238564358798</v>
      </c>
      <c r="FC56" s="196" t="s">
        <v>309</v>
      </c>
      <c r="FD56" s="177" t="s">
        <v>311</v>
      </c>
      <c r="FE56" s="177">
        <v>2183.7246237956001</v>
      </c>
      <c r="FF56" s="177">
        <v>440.86936013803597</v>
      </c>
      <c r="FG56" s="177">
        <v>378.60686815829803</v>
      </c>
      <c r="FH56" s="177">
        <v>1995.9875782322499</v>
      </c>
      <c r="FI56" s="177">
        <v>436.19705446603899</v>
      </c>
      <c r="FJ56" s="177">
        <v>363.12689570512202</v>
      </c>
      <c r="FK56" s="177" t="s">
        <v>175</v>
      </c>
      <c r="FL56" s="177" t="s">
        <v>175</v>
      </c>
      <c r="FM56" s="177" t="s">
        <v>175</v>
      </c>
      <c r="FN56" s="177" t="s">
        <v>175</v>
      </c>
      <c r="FO56" s="177" t="s">
        <v>175</v>
      </c>
      <c r="FP56" s="177" t="s">
        <v>175</v>
      </c>
      <c r="FQ56" s="177" t="s">
        <v>319</v>
      </c>
    </row>
    <row r="57" spans="1:173" s="177" customFormat="1">
      <c r="A57" s="128" t="s">
        <v>152</v>
      </c>
      <c r="B57" s="177" t="s">
        <v>156</v>
      </c>
      <c r="C57" s="177">
        <v>2020</v>
      </c>
      <c r="D57" s="177" t="s">
        <v>194</v>
      </c>
      <c r="E57" s="142">
        <v>41012.3291015625</v>
      </c>
      <c r="F57" s="177">
        <v>1</v>
      </c>
      <c r="G57" s="177">
        <v>1</v>
      </c>
      <c r="H57" s="179">
        <v>622.44389090977802</v>
      </c>
      <c r="I57" s="179">
        <v>183.40807724792899</v>
      </c>
      <c r="J57" s="179">
        <v>134.57290340078202</v>
      </c>
      <c r="K57" s="177" t="s">
        <v>157</v>
      </c>
      <c r="L57" s="180" t="s">
        <v>158</v>
      </c>
      <c r="M57" s="181" t="s">
        <v>195</v>
      </c>
      <c r="N57" s="177" t="s">
        <v>194</v>
      </c>
      <c r="O57" s="177" t="s">
        <v>196</v>
      </c>
      <c r="P57" s="177" t="s">
        <v>159</v>
      </c>
      <c r="Q57" s="177">
        <v>8</v>
      </c>
      <c r="R57" s="177">
        <v>2</v>
      </c>
      <c r="S57" s="177">
        <v>77</v>
      </c>
      <c r="T57" s="177">
        <v>78.5</v>
      </c>
      <c r="U57" s="210">
        <v>59.477499999999999</v>
      </c>
      <c r="V57" s="177">
        <v>59.977499999999999</v>
      </c>
      <c r="W57" s="177" t="s">
        <v>203</v>
      </c>
      <c r="X57" s="177" t="s">
        <v>209</v>
      </c>
      <c r="Y57" s="182">
        <v>9.2656670000000005</v>
      </c>
      <c r="Z57" s="182">
        <v>-54.544032999999999</v>
      </c>
      <c r="AA57" s="182">
        <v>0.8</v>
      </c>
      <c r="AB57" s="183" t="s">
        <v>162</v>
      </c>
      <c r="AC57" s="183">
        <v>-2549</v>
      </c>
      <c r="AD57" s="183">
        <v>-2850</v>
      </c>
      <c r="AE57" s="177" t="s">
        <v>210</v>
      </c>
      <c r="AF57" s="177" t="s">
        <v>160</v>
      </c>
      <c r="AG57" s="142">
        <v>41012.3291015625</v>
      </c>
      <c r="AH57" s="184" t="s">
        <v>215</v>
      </c>
      <c r="AI57" s="177">
        <v>1</v>
      </c>
      <c r="AJ57" s="177">
        <v>1</v>
      </c>
      <c r="AK57" s="177" t="s">
        <v>214</v>
      </c>
      <c r="AL57" s="177" t="s">
        <v>216</v>
      </c>
      <c r="AM57" s="192" t="s">
        <v>219</v>
      </c>
      <c r="AN57" s="177">
        <v>40.906917968750001</v>
      </c>
      <c r="AO57" s="177" t="s">
        <v>162</v>
      </c>
      <c r="AP57" s="177" t="s">
        <v>162</v>
      </c>
      <c r="AQ57" s="177" t="s">
        <v>162</v>
      </c>
      <c r="AR57" s="177" t="s">
        <v>214</v>
      </c>
      <c r="AS57" s="177" t="s">
        <v>220</v>
      </c>
      <c r="AT57" s="177" t="s">
        <v>221</v>
      </c>
      <c r="AU57" s="177" t="s">
        <v>226</v>
      </c>
      <c r="AV57" s="177" t="s">
        <v>230</v>
      </c>
      <c r="AW57" s="169" t="s">
        <v>231</v>
      </c>
      <c r="AX57" s="198" t="s">
        <v>321</v>
      </c>
      <c r="AY57" s="184" t="s">
        <v>232</v>
      </c>
      <c r="AZ57" s="177" t="s">
        <v>163</v>
      </c>
      <c r="BA57" s="177" t="s">
        <v>164</v>
      </c>
      <c r="BB57" s="177" t="s">
        <v>235</v>
      </c>
      <c r="BC57" s="177">
        <v>2</v>
      </c>
      <c r="BD57" s="186">
        <v>0.18579545743171441</v>
      </c>
      <c r="BE57" s="187">
        <v>14.714</v>
      </c>
      <c r="BF57" s="177" t="s">
        <v>233</v>
      </c>
      <c r="BG57" s="177">
        <v>0.23042416639152299</v>
      </c>
      <c r="BH57" s="177">
        <v>0.88</v>
      </c>
      <c r="BI57" s="177" t="s">
        <v>278</v>
      </c>
      <c r="BJ57" s="177" t="s">
        <v>278</v>
      </c>
      <c r="BK57" s="188">
        <v>1.85</v>
      </c>
      <c r="BL57" s="177" t="s">
        <v>278</v>
      </c>
      <c r="BM57" s="177" t="s">
        <v>278</v>
      </c>
      <c r="BN57" s="177" t="s">
        <v>279</v>
      </c>
      <c r="BO57" s="177" t="s">
        <v>280</v>
      </c>
      <c r="BP57" s="189">
        <v>14.742272727272701</v>
      </c>
      <c r="BQ57" s="177" t="s">
        <v>287</v>
      </c>
      <c r="BR57" s="190" t="s">
        <v>288</v>
      </c>
      <c r="BS57" s="177" t="s">
        <v>286</v>
      </c>
      <c r="BT57" s="177" t="s">
        <v>289</v>
      </c>
      <c r="BU57" s="177">
        <v>25</v>
      </c>
      <c r="BV57" s="177" t="s">
        <v>165</v>
      </c>
      <c r="BW57" s="177" t="s">
        <v>165</v>
      </c>
      <c r="BX57" s="187">
        <v>31.571289763858001</v>
      </c>
      <c r="BY57" s="177" t="s">
        <v>290</v>
      </c>
      <c r="BZ57" s="186">
        <v>0.62737422698491196</v>
      </c>
      <c r="CA57" s="186">
        <v>0.67831871043862102</v>
      </c>
      <c r="CB57" s="177" t="s">
        <v>291</v>
      </c>
      <c r="CC57" s="177">
        <v>4.1407746563944201</v>
      </c>
      <c r="CD57" s="177" t="s">
        <v>292</v>
      </c>
      <c r="CE57" s="177">
        <v>0.1242232396918326</v>
      </c>
      <c r="CF57" s="177">
        <v>0.1242232396918326</v>
      </c>
      <c r="CG57" s="177" t="s">
        <v>295</v>
      </c>
      <c r="CH57" s="177" t="s">
        <v>162</v>
      </c>
      <c r="CI57" s="177" t="s">
        <v>293</v>
      </c>
      <c r="CJ57" s="177" t="s">
        <v>296</v>
      </c>
      <c r="CK57" s="177" t="s">
        <v>165</v>
      </c>
      <c r="CL57" s="177" t="s">
        <v>165</v>
      </c>
      <c r="CM57" s="177" t="s">
        <v>294</v>
      </c>
      <c r="CN57" s="177" t="s">
        <v>162</v>
      </c>
      <c r="CO57" s="177" t="s">
        <v>162</v>
      </c>
      <c r="CP57" s="177" t="s">
        <v>162</v>
      </c>
      <c r="CQ57" s="177" t="s">
        <v>162</v>
      </c>
      <c r="CR57" s="177" t="s">
        <v>162</v>
      </c>
      <c r="CS57" s="177" t="s">
        <v>162</v>
      </c>
      <c r="CT57" s="177" t="s">
        <v>162</v>
      </c>
      <c r="CU57" s="191">
        <v>35</v>
      </c>
      <c r="CV57" s="177" t="s">
        <v>161</v>
      </c>
      <c r="CW57" s="177">
        <v>1</v>
      </c>
      <c r="CX57" s="177" t="s">
        <v>297</v>
      </c>
      <c r="CY57" s="177">
        <v>17</v>
      </c>
      <c r="CZ57" s="177" t="s">
        <v>170</v>
      </c>
      <c r="DA57" s="177" t="s">
        <v>170</v>
      </c>
      <c r="DB57" s="177" t="s">
        <v>298</v>
      </c>
      <c r="DC57" s="177">
        <v>38</v>
      </c>
      <c r="DD57" s="177" t="s">
        <v>170</v>
      </c>
      <c r="DE57" s="177" t="s">
        <v>170</v>
      </c>
      <c r="DF57" s="177" t="s">
        <v>298</v>
      </c>
      <c r="DG57" s="177" t="s">
        <v>166</v>
      </c>
      <c r="DH57" s="177" t="s">
        <v>167</v>
      </c>
      <c r="DI57" s="177" t="s">
        <v>167</v>
      </c>
      <c r="DJ57" s="177" t="s">
        <v>167</v>
      </c>
      <c r="DK57" s="192">
        <v>432.56244218316402</v>
      </c>
      <c r="DL57" s="177" t="s">
        <v>168</v>
      </c>
      <c r="DM57" s="192">
        <v>12.35892691952</v>
      </c>
      <c r="DN57" s="177" t="s">
        <v>169</v>
      </c>
      <c r="DO57" s="177">
        <v>38.700000000000003</v>
      </c>
      <c r="DP57" s="177" t="s">
        <v>299</v>
      </c>
      <c r="DQ57" s="177">
        <v>0.2</v>
      </c>
      <c r="DR57" s="177" t="s">
        <v>300</v>
      </c>
      <c r="DS57" s="177" t="s">
        <v>301</v>
      </c>
      <c r="DT57" s="177" t="s">
        <v>302</v>
      </c>
      <c r="DU57" s="177">
        <v>1.0271999999999999</v>
      </c>
      <c r="DV57" s="177" t="s">
        <v>170</v>
      </c>
      <c r="DW57" s="177" t="s">
        <v>170</v>
      </c>
      <c r="DX57" s="177" t="s">
        <v>177</v>
      </c>
      <c r="DY57" s="177" t="s">
        <v>170</v>
      </c>
      <c r="DZ57" s="177" t="s">
        <v>170</v>
      </c>
      <c r="EA57" s="177" t="s">
        <v>303</v>
      </c>
      <c r="EB57" s="177" t="s">
        <v>171</v>
      </c>
      <c r="EC57" s="177" t="s">
        <v>304</v>
      </c>
      <c r="ED57" s="177" t="s">
        <v>304</v>
      </c>
      <c r="EE57" s="177" t="s">
        <v>304</v>
      </c>
      <c r="EF57" s="177" t="s">
        <v>304</v>
      </c>
      <c r="EG57" s="177" t="s">
        <v>162</v>
      </c>
      <c r="EH57" s="177" t="s">
        <v>312</v>
      </c>
      <c r="EI57" s="177" t="s">
        <v>313</v>
      </c>
      <c r="EJ57" s="177" t="s">
        <v>314</v>
      </c>
      <c r="EK57" s="177" t="s">
        <v>307</v>
      </c>
      <c r="EL57" s="177" t="s">
        <v>307</v>
      </c>
      <c r="EM57" s="177" t="s">
        <v>307</v>
      </c>
      <c r="EN57" s="177" t="s">
        <v>307</v>
      </c>
      <c r="EO57" s="177">
        <v>6.625</v>
      </c>
      <c r="EP57" s="177" t="s">
        <v>299</v>
      </c>
      <c r="EQ57" s="177">
        <v>0.875</v>
      </c>
      <c r="ER57" s="177">
        <v>0.875</v>
      </c>
      <c r="ES57" s="177">
        <v>7.7857916901383799</v>
      </c>
      <c r="ET57" s="194" t="s">
        <v>174</v>
      </c>
      <c r="EU57" s="195">
        <v>3.5671444210686701E-2</v>
      </c>
      <c r="EV57" s="195">
        <v>3.5671444210686701E-2</v>
      </c>
      <c r="EW57" s="178">
        <v>622.44389090977802</v>
      </c>
      <c r="EX57" s="194">
        <v>0</v>
      </c>
      <c r="EY57" s="194" t="s">
        <v>308</v>
      </c>
      <c r="EZ57" s="178">
        <v>622.44389090977802</v>
      </c>
      <c r="FA57" s="178">
        <v>183.40807724792899</v>
      </c>
      <c r="FB57" s="178">
        <v>134.57290340078202</v>
      </c>
      <c r="FC57" s="196" t="s">
        <v>309</v>
      </c>
      <c r="FD57" s="177" t="s">
        <v>311</v>
      </c>
      <c r="FE57" s="177">
        <v>1937.8375227879501</v>
      </c>
      <c r="FF57" s="177">
        <v>347.94364490279997</v>
      </c>
      <c r="FG57" s="177">
        <v>277.93922273376597</v>
      </c>
      <c r="FH57" s="177">
        <v>1729.9605907294999</v>
      </c>
      <c r="FI57" s="177">
        <v>337.56466508752902</v>
      </c>
      <c r="FJ57" s="177">
        <v>273.72154604394802</v>
      </c>
      <c r="FK57" s="177" t="s">
        <v>175</v>
      </c>
      <c r="FL57" s="177" t="s">
        <v>175</v>
      </c>
      <c r="FM57" s="177" t="s">
        <v>175</v>
      </c>
      <c r="FN57" s="177" t="s">
        <v>175</v>
      </c>
      <c r="FO57" s="177" t="s">
        <v>175</v>
      </c>
      <c r="FP57" s="177" t="s">
        <v>175</v>
      </c>
      <c r="FQ57" s="177" t="s">
        <v>319</v>
      </c>
    </row>
    <row r="58" spans="1:173" s="177" customFormat="1">
      <c r="A58" s="150" t="s">
        <v>152</v>
      </c>
      <c r="B58" s="150" t="s">
        <v>156</v>
      </c>
      <c r="C58" s="150">
        <v>2020</v>
      </c>
      <c r="D58" s="150" t="s">
        <v>194</v>
      </c>
      <c r="E58" s="142">
        <v>39123.607635498047</v>
      </c>
      <c r="F58" s="150">
        <v>10.28</v>
      </c>
      <c r="G58" s="150">
        <v>10.28</v>
      </c>
      <c r="H58" s="179">
        <v>740.86676190871003</v>
      </c>
      <c r="I58" s="179">
        <v>232.54218821535494</v>
      </c>
      <c r="J58" s="179">
        <v>165.71387020404404</v>
      </c>
      <c r="K58" s="150" t="s">
        <v>157</v>
      </c>
      <c r="L58" s="199" t="s">
        <v>158</v>
      </c>
      <c r="M58" s="200" t="s">
        <v>195</v>
      </c>
      <c r="N58" s="150" t="s">
        <v>194</v>
      </c>
      <c r="O58" s="150" t="s">
        <v>198</v>
      </c>
      <c r="P58" s="150" t="s">
        <v>201</v>
      </c>
      <c r="Q58" s="150">
        <v>4</v>
      </c>
      <c r="R58" s="150">
        <v>5</v>
      </c>
      <c r="S58" s="150">
        <v>65</v>
      </c>
      <c r="T58" s="150">
        <v>77</v>
      </c>
      <c r="U58" s="150">
        <v>29.01</v>
      </c>
      <c r="V58" s="150">
        <v>29</v>
      </c>
      <c r="W58" s="150" t="s">
        <v>217</v>
      </c>
      <c r="X58" s="150" t="s">
        <v>206</v>
      </c>
      <c r="Y58" s="201">
        <v>18.4404</v>
      </c>
      <c r="Z58" s="201">
        <v>-179.55500000000001</v>
      </c>
      <c r="AA58" s="201">
        <v>11.3</v>
      </c>
      <c r="AB58" s="202" t="s">
        <v>162</v>
      </c>
      <c r="AC58" s="202">
        <v>-1518</v>
      </c>
      <c r="AD58" s="202">
        <v>-1400</v>
      </c>
      <c r="AE58" s="150" t="s">
        <v>211</v>
      </c>
      <c r="AF58" s="150" t="s">
        <v>160</v>
      </c>
      <c r="AG58" s="142">
        <v>39123.607635498047</v>
      </c>
      <c r="AH58" s="203" t="s">
        <v>215</v>
      </c>
      <c r="AI58" s="150">
        <v>10.28</v>
      </c>
      <c r="AJ58" s="150">
        <v>10.28</v>
      </c>
      <c r="AK58" s="150" t="s">
        <v>214</v>
      </c>
      <c r="AL58" s="150" t="s">
        <v>216</v>
      </c>
      <c r="AM58" s="150" t="s">
        <v>218</v>
      </c>
      <c r="AN58" s="150" t="s">
        <v>162</v>
      </c>
      <c r="AO58" s="150" t="s">
        <v>162</v>
      </c>
      <c r="AP58" s="150" t="s">
        <v>162</v>
      </c>
      <c r="AQ58" s="150" t="s">
        <v>162</v>
      </c>
      <c r="AR58" s="150" t="s">
        <v>162</v>
      </c>
      <c r="AS58" s="150" t="s">
        <v>162</v>
      </c>
      <c r="AT58" s="150" t="s">
        <v>162</v>
      </c>
      <c r="AU58" s="150" t="s">
        <v>226</v>
      </c>
      <c r="AV58" s="150" t="s">
        <v>230</v>
      </c>
      <c r="AW58" s="165">
        <v>297</v>
      </c>
      <c r="AX58" s="212">
        <v>3.1760000000000002</v>
      </c>
      <c r="AY58" s="203" t="s">
        <v>232</v>
      </c>
      <c r="AZ58" s="150" t="s">
        <v>163</v>
      </c>
      <c r="BA58" s="150" t="s">
        <v>164</v>
      </c>
      <c r="BB58" s="150" t="s">
        <v>249</v>
      </c>
      <c r="BC58" s="150">
        <v>2</v>
      </c>
      <c r="BD58" s="205">
        <v>6.7062051908314046E-2</v>
      </c>
      <c r="BE58" s="206">
        <v>15.365611162235799</v>
      </c>
      <c r="BF58" s="150" t="s">
        <v>233</v>
      </c>
      <c r="BG58" s="150">
        <v>0.242792739580516</v>
      </c>
      <c r="BH58" s="177">
        <v>0.88</v>
      </c>
      <c r="BI58" s="177" t="s">
        <v>278</v>
      </c>
      <c r="BJ58" s="177" t="s">
        <v>278</v>
      </c>
      <c r="BK58" s="188">
        <v>1.85</v>
      </c>
      <c r="BL58" s="177" t="s">
        <v>278</v>
      </c>
      <c r="BM58" s="177" t="s">
        <v>278</v>
      </c>
      <c r="BN58" s="177" t="s">
        <v>279</v>
      </c>
      <c r="BO58" s="177" t="s">
        <v>280</v>
      </c>
      <c r="BP58" s="207">
        <v>15.482738636363599</v>
      </c>
      <c r="BQ58" s="177" t="s">
        <v>287</v>
      </c>
      <c r="BR58" s="190" t="s">
        <v>288</v>
      </c>
      <c r="BS58" s="177" t="s">
        <v>286</v>
      </c>
      <c r="BT58" s="177" t="s">
        <v>289</v>
      </c>
      <c r="BU58" s="177">
        <v>25</v>
      </c>
      <c r="BV58" s="177" t="s">
        <v>165</v>
      </c>
      <c r="BW58" s="177" t="s">
        <v>165</v>
      </c>
      <c r="BX58" s="187">
        <v>32.252958138011302</v>
      </c>
      <c r="BY58" s="177" t="s">
        <v>290</v>
      </c>
      <c r="BZ58" s="186">
        <v>0.61274369157486996</v>
      </c>
      <c r="CA58" s="186">
        <v>0.62634280886174298</v>
      </c>
      <c r="CB58" s="177" t="s">
        <v>291</v>
      </c>
      <c r="CC58" s="177">
        <v>4.0367166214332197</v>
      </c>
      <c r="CD58" s="177" t="s">
        <v>292</v>
      </c>
      <c r="CE58" s="150">
        <v>0.12110149864299659</v>
      </c>
      <c r="CF58" s="150">
        <v>0.12110149864299659</v>
      </c>
      <c r="CG58" s="177" t="s">
        <v>295</v>
      </c>
      <c r="CH58" s="177" t="s">
        <v>162</v>
      </c>
      <c r="CI58" s="177" t="s">
        <v>293</v>
      </c>
      <c r="CJ58" s="177" t="s">
        <v>296</v>
      </c>
      <c r="CK58" s="177" t="s">
        <v>165</v>
      </c>
      <c r="CL58" s="177" t="s">
        <v>165</v>
      </c>
      <c r="CM58" s="177" t="s">
        <v>294</v>
      </c>
      <c r="CN58" s="177" t="s">
        <v>162</v>
      </c>
      <c r="CO58" s="177" t="s">
        <v>162</v>
      </c>
      <c r="CP58" s="177" t="s">
        <v>162</v>
      </c>
      <c r="CQ58" s="177" t="s">
        <v>162</v>
      </c>
      <c r="CR58" s="177" t="s">
        <v>162</v>
      </c>
      <c r="CS58" s="177" t="s">
        <v>162</v>
      </c>
      <c r="CT58" s="177" t="s">
        <v>162</v>
      </c>
      <c r="CU58" s="191">
        <v>35</v>
      </c>
      <c r="CV58" s="177" t="s">
        <v>161</v>
      </c>
      <c r="CW58" s="177">
        <v>1</v>
      </c>
      <c r="CX58" s="177" t="s">
        <v>297</v>
      </c>
      <c r="CY58" s="177">
        <v>17</v>
      </c>
      <c r="CZ58" s="177" t="s">
        <v>170</v>
      </c>
      <c r="DA58" s="177" t="s">
        <v>170</v>
      </c>
      <c r="DB58" s="177" t="s">
        <v>298</v>
      </c>
      <c r="DC58" s="177">
        <v>38</v>
      </c>
      <c r="DD58" s="177" t="s">
        <v>170</v>
      </c>
      <c r="DE58" s="177" t="s">
        <v>170</v>
      </c>
      <c r="DF58" s="177" t="s">
        <v>298</v>
      </c>
      <c r="DG58" s="177" t="s">
        <v>166</v>
      </c>
      <c r="DH58" s="177" t="s">
        <v>167</v>
      </c>
      <c r="DI58" s="177" t="s">
        <v>167</v>
      </c>
      <c r="DJ58" s="177" t="s">
        <v>167</v>
      </c>
      <c r="DK58" s="192">
        <v>432.56244218316402</v>
      </c>
      <c r="DL58" s="177" t="s">
        <v>168</v>
      </c>
      <c r="DM58" s="192">
        <v>12.358926919520099</v>
      </c>
      <c r="DN58" s="177" t="s">
        <v>169</v>
      </c>
      <c r="DO58" s="177">
        <v>38.700000000000003</v>
      </c>
      <c r="DP58" s="177" t="s">
        <v>299</v>
      </c>
      <c r="DQ58" s="177">
        <v>0.2</v>
      </c>
      <c r="DR58" s="177" t="s">
        <v>300</v>
      </c>
      <c r="DS58" s="177" t="s">
        <v>301</v>
      </c>
      <c r="DT58" s="177" t="s">
        <v>302</v>
      </c>
      <c r="DU58" s="177">
        <v>1.0271999999999999</v>
      </c>
      <c r="DV58" s="177" t="s">
        <v>170</v>
      </c>
      <c r="DW58" s="177" t="s">
        <v>170</v>
      </c>
      <c r="DX58" s="177" t="s">
        <v>177</v>
      </c>
      <c r="DY58" s="177" t="s">
        <v>170</v>
      </c>
      <c r="DZ58" s="177" t="s">
        <v>170</v>
      </c>
      <c r="EA58" s="177" t="s">
        <v>303</v>
      </c>
      <c r="EB58" s="177" t="s">
        <v>171</v>
      </c>
      <c r="EC58" s="177" t="s">
        <v>304</v>
      </c>
      <c r="ED58" s="177" t="s">
        <v>304</v>
      </c>
      <c r="EE58" s="177" t="s">
        <v>304</v>
      </c>
      <c r="EF58" s="177" t="s">
        <v>304</v>
      </c>
      <c r="EG58" s="177" t="s">
        <v>162</v>
      </c>
      <c r="EH58" s="177" t="s">
        <v>312</v>
      </c>
      <c r="EI58" s="177" t="s">
        <v>313</v>
      </c>
      <c r="EJ58" s="177" t="s">
        <v>314</v>
      </c>
      <c r="EK58" s="177" t="s">
        <v>307</v>
      </c>
      <c r="EL58" s="177" t="s">
        <v>307</v>
      </c>
      <c r="EM58" s="177" t="s">
        <v>307</v>
      </c>
      <c r="EN58" s="177" t="s">
        <v>307</v>
      </c>
      <c r="EO58" s="177">
        <v>6.625</v>
      </c>
      <c r="EP58" s="177" t="s">
        <v>299</v>
      </c>
      <c r="EQ58" s="177">
        <v>0.875</v>
      </c>
      <c r="ER58" s="177">
        <v>0.875</v>
      </c>
      <c r="ES58" s="150">
        <v>7.8771970687937101</v>
      </c>
      <c r="ET58" s="194" t="s">
        <v>174</v>
      </c>
      <c r="EU58" s="208">
        <v>2.9694065176374199E-2</v>
      </c>
      <c r="EV58" s="208">
        <v>2.9694065176374199E-2</v>
      </c>
      <c r="EW58" s="178">
        <v>740.86676190871003</v>
      </c>
      <c r="EX58" s="194">
        <v>0</v>
      </c>
      <c r="EY58" s="194" t="s">
        <v>308</v>
      </c>
      <c r="EZ58" s="178">
        <v>740.86676190871003</v>
      </c>
      <c r="FA58" s="178">
        <v>232.54218821535494</v>
      </c>
      <c r="FB58" s="178">
        <v>165.71387020404404</v>
      </c>
      <c r="FC58" s="196" t="s">
        <v>309</v>
      </c>
      <c r="FD58" s="177" t="s">
        <v>311</v>
      </c>
      <c r="FE58" s="177">
        <v>2085.0213346311798</v>
      </c>
      <c r="FF58" s="177">
        <v>384.74888715815899</v>
      </c>
      <c r="FG58" s="177">
        <v>303.34126449900299</v>
      </c>
      <c r="FH58" s="177">
        <v>1886.3869492096301</v>
      </c>
      <c r="FI58" s="177">
        <v>375.33139757074201</v>
      </c>
      <c r="FJ58" s="177">
        <v>301.02744369860301</v>
      </c>
      <c r="FK58" s="177" t="s">
        <v>175</v>
      </c>
      <c r="FL58" s="177" t="s">
        <v>175</v>
      </c>
      <c r="FM58" s="177" t="s">
        <v>175</v>
      </c>
      <c r="FN58" s="177" t="s">
        <v>175</v>
      </c>
      <c r="FO58" s="177" t="s">
        <v>175</v>
      </c>
      <c r="FP58" s="177" t="s">
        <v>175</v>
      </c>
      <c r="FQ58" s="177" t="s">
        <v>319</v>
      </c>
    </row>
    <row r="59" spans="1:173" s="177" customFormat="1">
      <c r="A59" s="128" t="s">
        <v>152</v>
      </c>
      <c r="B59" s="177" t="s">
        <v>156</v>
      </c>
      <c r="C59" s="177">
        <v>2020</v>
      </c>
      <c r="D59" s="177" t="s">
        <v>194</v>
      </c>
      <c r="E59" s="142">
        <v>39327.358245849609</v>
      </c>
      <c r="F59" s="177">
        <v>1.1299999999999999</v>
      </c>
      <c r="G59" s="177">
        <v>1.1299999999999999</v>
      </c>
      <c r="H59" s="179">
        <v>874.97477451283601</v>
      </c>
      <c r="I59" s="179">
        <v>310.67004788031397</v>
      </c>
      <c r="J59" s="179">
        <v>198.41244390385702</v>
      </c>
      <c r="K59" s="177" t="s">
        <v>157</v>
      </c>
      <c r="L59" s="180" t="s">
        <v>158</v>
      </c>
      <c r="M59" s="181" t="s">
        <v>195</v>
      </c>
      <c r="N59" s="177" t="s">
        <v>194</v>
      </c>
      <c r="O59" s="177" t="s">
        <v>198</v>
      </c>
      <c r="P59" s="177" t="s">
        <v>201</v>
      </c>
      <c r="Q59" s="177">
        <v>4</v>
      </c>
      <c r="R59" s="177">
        <v>6</v>
      </c>
      <c r="S59" s="177">
        <v>25</v>
      </c>
      <c r="T59" s="177">
        <v>27</v>
      </c>
      <c r="U59" s="177">
        <v>30.06</v>
      </c>
      <c r="V59" s="177">
        <v>30.076189041137695</v>
      </c>
      <c r="W59" s="177" t="s">
        <v>217</v>
      </c>
      <c r="X59" s="177" t="s">
        <v>206</v>
      </c>
      <c r="Y59" s="182">
        <v>18.4404</v>
      </c>
      <c r="Z59" s="182">
        <v>-179.55500000000001</v>
      </c>
      <c r="AA59" s="182">
        <v>11.3</v>
      </c>
      <c r="AB59" s="183" t="s">
        <v>162</v>
      </c>
      <c r="AC59" s="183">
        <v>-1518</v>
      </c>
      <c r="AD59" s="183">
        <v>-1400</v>
      </c>
      <c r="AE59" s="177" t="s">
        <v>211</v>
      </c>
      <c r="AF59" s="177" t="s">
        <v>160</v>
      </c>
      <c r="AG59" s="142">
        <v>39327.358245849609</v>
      </c>
      <c r="AH59" s="184" t="s">
        <v>215</v>
      </c>
      <c r="AI59" s="177">
        <v>1.1299999999999999</v>
      </c>
      <c r="AJ59" s="177">
        <v>1.1299999999999999</v>
      </c>
      <c r="AK59" s="177" t="s">
        <v>214</v>
      </c>
      <c r="AL59" s="177" t="s">
        <v>216</v>
      </c>
      <c r="AM59" s="177" t="s">
        <v>218</v>
      </c>
      <c r="AN59" s="177" t="s">
        <v>162</v>
      </c>
      <c r="AO59" s="177" t="s">
        <v>162</v>
      </c>
      <c r="AP59" s="177" t="s">
        <v>162</v>
      </c>
      <c r="AQ59" s="177" t="s">
        <v>162</v>
      </c>
      <c r="AR59" s="177" t="s">
        <v>162</v>
      </c>
      <c r="AS59" s="177" t="s">
        <v>162</v>
      </c>
      <c r="AT59" s="177" t="s">
        <v>162</v>
      </c>
      <c r="AU59" s="177" t="s">
        <v>227</v>
      </c>
      <c r="AV59" s="177" t="s">
        <v>230</v>
      </c>
      <c r="AW59" s="174" t="s">
        <v>231</v>
      </c>
      <c r="AX59" s="198" t="s">
        <v>321</v>
      </c>
      <c r="AY59" s="184" t="s">
        <v>232</v>
      </c>
      <c r="AZ59" s="177" t="s">
        <v>163</v>
      </c>
      <c r="BA59" s="177" t="s">
        <v>164</v>
      </c>
      <c r="BB59" s="177" t="s">
        <v>236</v>
      </c>
      <c r="BC59" s="177">
        <v>2</v>
      </c>
      <c r="BD59" s="186">
        <v>0.12044767479109984</v>
      </c>
      <c r="BE59" s="187">
        <v>15.063498821330001</v>
      </c>
      <c r="BF59" s="177" t="s">
        <v>233</v>
      </c>
      <c r="BG59" s="177">
        <v>0.231410993780505</v>
      </c>
      <c r="BH59" s="177">
        <v>0.88</v>
      </c>
      <c r="BI59" s="177" t="s">
        <v>278</v>
      </c>
      <c r="BJ59" s="177" t="s">
        <v>278</v>
      </c>
      <c r="BK59" s="188">
        <v>1.85</v>
      </c>
      <c r="BL59" s="177" t="s">
        <v>278</v>
      </c>
      <c r="BM59" s="177" t="s">
        <v>278</v>
      </c>
      <c r="BN59" s="177" t="s">
        <v>279</v>
      </c>
      <c r="BO59" s="177" t="s">
        <v>280</v>
      </c>
      <c r="BP59" s="189">
        <v>15.1394318181818</v>
      </c>
      <c r="BQ59" s="177" t="s">
        <v>287</v>
      </c>
      <c r="BR59" s="190" t="s">
        <v>288</v>
      </c>
      <c r="BS59" s="177" t="s">
        <v>286</v>
      </c>
      <c r="BT59" s="177" t="s">
        <v>289</v>
      </c>
      <c r="BU59" s="177">
        <v>25</v>
      </c>
      <c r="BV59" s="177" t="s">
        <v>165</v>
      </c>
      <c r="BW59" s="177" t="s">
        <v>165</v>
      </c>
      <c r="BX59" s="187">
        <v>29.651654578524699</v>
      </c>
      <c r="BY59" s="177" t="s">
        <v>290</v>
      </c>
      <c r="BZ59" s="186">
        <v>0.66347796609232601</v>
      </c>
      <c r="CA59" s="186">
        <v>0.65706425507378396</v>
      </c>
      <c r="CB59" s="177" t="s">
        <v>291</v>
      </c>
      <c r="CC59" s="177">
        <v>3.51055801497992</v>
      </c>
      <c r="CD59" s="177" t="s">
        <v>292</v>
      </c>
      <c r="CE59" s="177">
        <v>0.10531674044939759</v>
      </c>
      <c r="CF59" s="177">
        <v>0.10531674044939759</v>
      </c>
      <c r="CG59" s="177" t="s">
        <v>295</v>
      </c>
      <c r="CH59" s="177" t="s">
        <v>162</v>
      </c>
      <c r="CI59" s="177" t="s">
        <v>293</v>
      </c>
      <c r="CJ59" s="177" t="s">
        <v>296</v>
      </c>
      <c r="CK59" s="177" t="s">
        <v>165</v>
      </c>
      <c r="CL59" s="177" t="s">
        <v>165</v>
      </c>
      <c r="CM59" s="177" t="s">
        <v>294</v>
      </c>
      <c r="CN59" s="177" t="s">
        <v>162</v>
      </c>
      <c r="CO59" s="177" t="s">
        <v>162</v>
      </c>
      <c r="CP59" s="177" t="s">
        <v>162</v>
      </c>
      <c r="CQ59" s="177" t="s">
        <v>162</v>
      </c>
      <c r="CR59" s="177" t="s">
        <v>162</v>
      </c>
      <c r="CS59" s="177" t="s">
        <v>162</v>
      </c>
      <c r="CT59" s="177" t="s">
        <v>162</v>
      </c>
      <c r="CU59" s="191">
        <v>35</v>
      </c>
      <c r="CV59" s="177" t="s">
        <v>161</v>
      </c>
      <c r="CW59" s="177">
        <v>1</v>
      </c>
      <c r="CX59" s="177" t="s">
        <v>297</v>
      </c>
      <c r="CY59" s="177">
        <v>17</v>
      </c>
      <c r="CZ59" s="177" t="s">
        <v>170</v>
      </c>
      <c r="DA59" s="177" t="s">
        <v>170</v>
      </c>
      <c r="DB59" s="177" t="s">
        <v>298</v>
      </c>
      <c r="DC59" s="177">
        <v>38</v>
      </c>
      <c r="DD59" s="177" t="s">
        <v>170</v>
      </c>
      <c r="DE59" s="177" t="s">
        <v>170</v>
      </c>
      <c r="DF59" s="177" t="s">
        <v>298</v>
      </c>
      <c r="DG59" s="177" t="s">
        <v>166</v>
      </c>
      <c r="DH59" s="177" t="s">
        <v>167</v>
      </c>
      <c r="DI59" s="177" t="s">
        <v>167</v>
      </c>
      <c r="DJ59" s="177" t="s">
        <v>167</v>
      </c>
      <c r="DK59" s="192">
        <v>432.56244218316402</v>
      </c>
      <c r="DL59" s="177" t="s">
        <v>168</v>
      </c>
      <c r="DM59" s="192">
        <v>12.358926919520201</v>
      </c>
      <c r="DN59" s="177" t="s">
        <v>169</v>
      </c>
      <c r="DO59" s="177">
        <v>38.700000000000003</v>
      </c>
      <c r="DP59" s="177" t="s">
        <v>299</v>
      </c>
      <c r="DQ59" s="177">
        <v>0.2</v>
      </c>
      <c r="DR59" s="177" t="s">
        <v>300</v>
      </c>
      <c r="DS59" s="177" t="s">
        <v>301</v>
      </c>
      <c r="DT59" s="177" t="s">
        <v>302</v>
      </c>
      <c r="DU59" s="177">
        <v>1.0271999999999999</v>
      </c>
      <c r="DV59" s="177" t="s">
        <v>170</v>
      </c>
      <c r="DW59" s="177" t="s">
        <v>170</v>
      </c>
      <c r="DX59" s="177" t="s">
        <v>177</v>
      </c>
      <c r="DY59" s="177" t="s">
        <v>170</v>
      </c>
      <c r="DZ59" s="177" t="s">
        <v>170</v>
      </c>
      <c r="EA59" s="177" t="s">
        <v>303</v>
      </c>
      <c r="EB59" s="177" t="s">
        <v>171</v>
      </c>
      <c r="EC59" s="177" t="s">
        <v>304</v>
      </c>
      <c r="ED59" s="177" t="s">
        <v>304</v>
      </c>
      <c r="EE59" s="177" t="s">
        <v>304</v>
      </c>
      <c r="EF59" s="177" t="s">
        <v>304</v>
      </c>
      <c r="EG59" s="177" t="s">
        <v>162</v>
      </c>
      <c r="EH59" s="177" t="s">
        <v>312</v>
      </c>
      <c r="EI59" s="177" t="s">
        <v>313</v>
      </c>
      <c r="EJ59" s="177" t="s">
        <v>314</v>
      </c>
      <c r="EK59" s="177" t="s">
        <v>307</v>
      </c>
      <c r="EL59" s="177" t="s">
        <v>307</v>
      </c>
      <c r="EM59" s="177" t="s">
        <v>307</v>
      </c>
      <c r="EN59" s="177" t="s">
        <v>307</v>
      </c>
      <c r="EO59" s="177">
        <v>6.625</v>
      </c>
      <c r="EP59" s="177" t="s">
        <v>299</v>
      </c>
      <c r="EQ59" s="177">
        <v>0.875</v>
      </c>
      <c r="ER59" s="177">
        <v>0.875</v>
      </c>
      <c r="ES59" s="177">
        <v>7.8617973015565497</v>
      </c>
      <c r="ET59" s="194" t="s">
        <v>174</v>
      </c>
      <c r="EU59" s="195">
        <v>3.1439719368153499E-2</v>
      </c>
      <c r="EV59" s="195">
        <v>3.1439719368153499E-2</v>
      </c>
      <c r="EW59" s="178">
        <v>874.97477451283601</v>
      </c>
      <c r="EX59" s="194">
        <v>0</v>
      </c>
      <c r="EY59" s="194" t="s">
        <v>308</v>
      </c>
      <c r="EZ59" s="178">
        <v>874.97477451283601</v>
      </c>
      <c r="FA59" s="178">
        <v>310.67004788031397</v>
      </c>
      <c r="FB59" s="178">
        <v>198.41244390385702</v>
      </c>
      <c r="FC59" s="196" t="s">
        <v>309</v>
      </c>
      <c r="FD59" s="177" t="s">
        <v>311</v>
      </c>
      <c r="FE59" s="177">
        <v>2449.1078179033002</v>
      </c>
      <c r="FF59" s="177">
        <v>497.747334131397</v>
      </c>
      <c r="FG59" s="177">
        <v>371.74663479359202</v>
      </c>
      <c r="FH59" s="177">
        <v>2260.3976212316302</v>
      </c>
      <c r="FI59" s="177">
        <v>500.08464906841601</v>
      </c>
      <c r="FJ59" s="177">
        <v>366.11843689688101</v>
      </c>
      <c r="FK59" s="177" t="s">
        <v>175</v>
      </c>
      <c r="FL59" s="177" t="s">
        <v>175</v>
      </c>
      <c r="FM59" s="177" t="s">
        <v>175</v>
      </c>
      <c r="FN59" s="177" t="s">
        <v>175</v>
      </c>
      <c r="FO59" s="177" t="s">
        <v>175</v>
      </c>
      <c r="FP59" s="177" t="s">
        <v>175</v>
      </c>
      <c r="FQ59" s="177" t="s">
        <v>319</v>
      </c>
    </row>
    <row r="60" spans="1:173" s="177" customFormat="1">
      <c r="A60" s="128" t="s">
        <v>152</v>
      </c>
      <c r="B60" s="177" t="s">
        <v>156</v>
      </c>
      <c r="C60" s="177">
        <v>2020</v>
      </c>
      <c r="D60" s="177" t="s">
        <v>194</v>
      </c>
      <c r="E60" s="142">
        <v>39958.087921142578</v>
      </c>
      <c r="F60" s="177">
        <v>2.25</v>
      </c>
      <c r="G60" s="177">
        <v>2.25</v>
      </c>
      <c r="H60" s="179">
        <v>759.416042307819</v>
      </c>
      <c r="I60" s="179">
        <v>242.31734206807096</v>
      </c>
      <c r="J60" s="179">
        <v>188.34047998623203</v>
      </c>
      <c r="K60" s="177" t="s">
        <v>157</v>
      </c>
      <c r="L60" s="180" t="s">
        <v>158</v>
      </c>
      <c r="M60" s="181" t="s">
        <v>195</v>
      </c>
      <c r="N60" s="177" t="s">
        <v>194</v>
      </c>
      <c r="O60" s="177" t="s">
        <v>198</v>
      </c>
      <c r="P60" s="177" t="s">
        <v>200</v>
      </c>
      <c r="Q60" s="177">
        <v>4</v>
      </c>
      <c r="R60" s="177">
        <v>4</v>
      </c>
      <c r="S60" s="177">
        <v>88</v>
      </c>
      <c r="T60" s="177">
        <v>92</v>
      </c>
      <c r="U60" s="177">
        <v>32.9</v>
      </c>
      <c r="V60" s="177">
        <v>33.68</v>
      </c>
      <c r="W60" s="177" t="s">
        <v>217</v>
      </c>
      <c r="X60" s="177" t="s">
        <v>206</v>
      </c>
      <c r="Y60" s="182">
        <v>18.4404</v>
      </c>
      <c r="Z60" s="182">
        <v>-179.55500000000001</v>
      </c>
      <c r="AA60" s="182">
        <v>11.3</v>
      </c>
      <c r="AB60" s="183" t="s">
        <v>162</v>
      </c>
      <c r="AC60" s="183">
        <v>-1518</v>
      </c>
      <c r="AD60" s="183">
        <v>-1400</v>
      </c>
      <c r="AE60" s="177" t="s">
        <v>211</v>
      </c>
      <c r="AF60" s="177" t="s">
        <v>160</v>
      </c>
      <c r="AG60" s="142">
        <v>39958.087921142578</v>
      </c>
      <c r="AH60" s="184" t="s">
        <v>215</v>
      </c>
      <c r="AI60" s="177">
        <v>2.25</v>
      </c>
      <c r="AJ60" s="177">
        <v>2.25</v>
      </c>
      <c r="AK60" s="177" t="s">
        <v>214</v>
      </c>
      <c r="AL60" s="177" t="s">
        <v>216</v>
      </c>
      <c r="AM60" s="177" t="s">
        <v>218</v>
      </c>
      <c r="AN60" s="177" t="s">
        <v>162</v>
      </c>
      <c r="AO60" s="177" t="s">
        <v>162</v>
      </c>
      <c r="AP60" s="177" t="s">
        <v>162</v>
      </c>
      <c r="AQ60" s="177" t="s">
        <v>162</v>
      </c>
      <c r="AR60" s="177" t="s">
        <v>162</v>
      </c>
      <c r="AS60" s="177" t="s">
        <v>162</v>
      </c>
      <c r="AT60" s="177" t="s">
        <v>162</v>
      </c>
      <c r="AU60" s="177" t="s">
        <v>226</v>
      </c>
      <c r="AV60" s="177" t="s">
        <v>230</v>
      </c>
      <c r="AW60" s="174">
        <v>303</v>
      </c>
      <c r="AX60" s="185">
        <v>3.1219999999999999</v>
      </c>
      <c r="AY60" s="184" t="s">
        <v>232</v>
      </c>
      <c r="AZ60" s="177" t="s">
        <v>163</v>
      </c>
      <c r="BA60" s="177" t="s">
        <v>164</v>
      </c>
      <c r="BB60" s="177" t="s">
        <v>250</v>
      </c>
      <c r="BC60" s="177">
        <v>2</v>
      </c>
      <c r="BD60" s="186">
        <v>0.17980846078171095</v>
      </c>
      <c r="BE60" s="187">
        <v>15.114143020923301</v>
      </c>
      <c r="BF60" s="177" t="s">
        <v>233</v>
      </c>
      <c r="BG60" s="177">
        <v>0.24217459745852801</v>
      </c>
      <c r="BH60" s="177">
        <v>0.88</v>
      </c>
      <c r="BI60" s="177" t="s">
        <v>278</v>
      </c>
      <c r="BJ60" s="177" t="s">
        <v>278</v>
      </c>
      <c r="BK60" s="188">
        <v>1.85</v>
      </c>
      <c r="BL60" s="177" t="s">
        <v>278</v>
      </c>
      <c r="BM60" s="177" t="s">
        <v>278</v>
      </c>
      <c r="BN60" s="177" t="s">
        <v>279</v>
      </c>
      <c r="BO60" s="177" t="s">
        <v>280</v>
      </c>
      <c r="BP60" s="189">
        <v>15.196977272727301</v>
      </c>
      <c r="BQ60" s="177" t="s">
        <v>287</v>
      </c>
      <c r="BR60" s="190" t="s">
        <v>288</v>
      </c>
      <c r="BS60" s="177" t="s">
        <v>286</v>
      </c>
      <c r="BT60" s="177" t="s">
        <v>289</v>
      </c>
      <c r="BU60" s="177">
        <v>25</v>
      </c>
      <c r="BV60" s="177" t="s">
        <v>165</v>
      </c>
      <c r="BW60" s="177" t="s">
        <v>165</v>
      </c>
      <c r="BX60" s="187">
        <v>32.726622757977601</v>
      </c>
      <c r="BY60" s="177" t="s">
        <v>290</v>
      </c>
      <c r="BZ60" s="186">
        <v>0.64433344961869199</v>
      </c>
      <c r="CA60" s="186">
        <v>0.653928681036128</v>
      </c>
      <c r="CB60" s="177" t="s">
        <v>291</v>
      </c>
      <c r="CC60" s="177">
        <v>4.2456543477265596</v>
      </c>
      <c r="CD60" s="177" t="s">
        <v>292</v>
      </c>
      <c r="CE60" s="177">
        <v>0.12736963043179678</v>
      </c>
      <c r="CF60" s="177">
        <v>0.12736963043179678</v>
      </c>
      <c r="CG60" s="177" t="s">
        <v>295</v>
      </c>
      <c r="CH60" s="177" t="s">
        <v>162</v>
      </c>
      <c r="CI60" s="177" t="s">
        <v>293</v>
      </c>
      <c r="CJ60" s="177" t="s">
        <v>296</v>
      </c>
      <c r="CK60" s="177" t="s">
        <v>165</v>
      </c>
      <c r="CL60" s="177" t="s">
        <v>165</v>
      </c>
      <c r="CM60" s="177" t="s">
        <v>294</v>
      </c>
      <c r="CN60" s="177" t="s">
        <v>162</v>
      </c>
      <c r="CO60" s="177" t="s">
        <v>162</v>
      </c>
      <c r="CP60" s="177" t="s">
        <v>162</v>
      </c>
      <c r="CQ60" s="177" t="s">
        <v>162</v>
      </c>
      <c r="CR60" s="177" t="s">
        <v>162</v>
      </c>
      <c r="CS60" s="177" t="s">
        <v>162</v>
      </c>
      <c r="CT60" s="177" t="s">
        <v>162</v>
      </c>
      <c r="CU60" s="191">
        <v>35</v>
      </c>
      <c r="CV60" s="177" t="s">
        <v>161</v>
      </c>
      <c r="CW60" s="177">
        <v>1</v>
      </c>
      <c r="CX60" s="177" t="s">
        <v>297</v>
      </c>
      <c r="CY60" s="177">
        <v>17</v>
      </c>
      <c r="CZ60" s="177" t="s">
        <v>170</v>
      </c>
      <c r="DA60" s="177" t="s">
        <v>170</v>
      </c>
      <c r="DB60" s="177" t="s">
        <v>298</v>
      </c>
      <c r="DC60" s="177">
        <v>38</v>
      </c>
      <c r="DD60" s="177" t="s">
        <v>170</v>
      </c>
      <c r="DE60" s="177" t="s">
        <v>170</v>
      </c>
      <c r="DF60" s="177" t="s">
        <v>298</v>
      </c>
      <c r="DG60" s="177" t="s">
        <v>166</v>
      </c>
      <c r="DH60" s="177" t="s">
        <v>167</v>
      </c>
      <c r="DI60" s="177" t="s">
        <v>167</v>
      </c>
      <c r="DJ60" s="177" t="s">
        <v>167</v>
      </c>
      <c r="DK60" s="192">
        <v>432.56244218316402</v>
      </c>
      <c r="DL60" s="177" t="s">
        <v>168</v>
      </c>
      <c r="DM60" s="192">
        <v>12.3589269195203</v>
      </c>
      <c r="DN60" s="177" t="s">
        <v>169</v>
      </c>
      <c r="DO60" s="177">
        <v>38.700000000000003</v>
      </c>
      <c r="DP60" s="177" t="s">
        <v>299</v>
      </c>
      <c r="DQ60" s="177">
        <v>0.2</v>
      </c>
      <c r="DR60" s="177" t="s">
        <v>300</v>
      </c>
      <c r="DS60" s="177" t="s">
        <v>301</v>
      </c>
      <c r="DT60" s="177" t="s">
        <v>302</v>
      </c>
      <c r="DU60" s="177">
        <v>1.0271999999999999</v>
      </c>
      <c r="DV60" s="177" t="s">
        <v>170</v>
      </c>
      <c r="DW60" s="177" t="s">
        <v>170</v>
      </c>
      <c r="DX60" s="177" t="s">
        <v>177</v>
      </c>
      <c r="DY60" s="177" t="s">
        <v>170</v>
      </c>
      <c r="DZ60" s="177" t="s">
        <v>170</v>
      </c>
      <c r="EA60" s="177" t="s">
        <v>303</v>
      </c>
      <c r="EB60" s="177" t="s">
        <v>171</v>
      </c>
      <c r="EC60" s="177" t="s">
        <v>304</v>
      </c>
      <c r="ED60" s="177" t="s">
        <v>304</v>
      </c>
      <c r="EE60" s="177" t="s">
        <v>304</v>
      </c>
      <c r="EF60" s="177" t="s">
        <v>304</v>
      </c>
      <c r="EG60" s="177" t="s">
        <v>162</v>
      </c>
      <c r="EH60" s="177" t="s">
        <v>312</v>
      </c>
      <c r="EI60" s="177" t="s">
        <v>313</v>
      </c>
      <c r="EJ60" s="177" t="s">
        <v>314</v>
      </c>
      <c r="EK60" s="177" t="s">
        <v>307</v>
      </c>
      <c r="EL60" s="177" t="s">
        <v>307</v>
      </c>
      <c r="EM60" s="177" t="s">
        <v>307</v>
      </c>
      <c r="EN60" s="177" t="s">
        <v>307</v>
      </c>
      <c r="EO60" s="177">
        <v>6.625</v>
      </c>
      <c r="EP60" s="177" t="s">
        <v>299</v>
      </c>
      <c r="EQ60" s="177">
        <v>0.875</v>
      </c>
      <c r="ER60" s="177">
        <v>0.875</v>
      </c>
      <c r="ES60" s="177">
        <v>7.8375050000053097</v>
      </c>
      <c r="ET60" s="194" t="s">
        <v>174</v>
      </c>
      <c r="EU60" s="195">
        <v>3.12595410785972E-2</v>
      </c>
      <c r="EV60" s="195">
        <v>3.12595410785972E-2</v>
      </c>
      <c r="EW60" s="178">
        <v>759.416042307819</v>
      </c>
      <c r="EX60" s="194">
        <v>0</v>
      </c>
      <c r="EY60" s="194" t="s">
        <v>308</v>
      </c>
      <c r="EZ60" s="178">
        <v>759.416042307819</v>
      </c>
      <c r="FA60" s="178">
        <v>242.31734206807096</v>
      </c>
      <c r="FB60" s="178">
        <v>188.34047998623203</v>
      </c>
      <c r="FC60" s="196" t="s">
        <v>309</v>
      </c>
      <c r="FD60" s="177" t="s">
        <v>311</v>
      </c>
      <c r="FE60" s="177">
        <v>2256.6840082256599</v>
      </c>
      <c r="FF60" s="177">
        <v>453.44302368285901</v>
      </c>
      <c r="FG60" s="177">
        <v>409.43097871752099</v>
      </c>
      <c r="FH60" s="177">
        <v>2076.6903733045101</v>
      </c>
      <c r="FI60" s="177">
        <v>442.67382737071898</v>
      </c>
      <c r="FJ60" s="177">
        <v>407.45760984679902</v>
      </c>
      <c r="FK60" s="177" t="s">
        <v>175</v>
      </c>
      <c r="FL60" s="177" t="s">
        <v>175</v>
      </c>
      <c r="FM60" s="177" t="s">
        <v>175</v>
      </c>
      <c r="FN60" s="177" t="s">
        <v>175</v>
      </c>
      <c r="FO60" s="177" t="s">
        <v>175</v>
      </c>
      <c r="FP60" s="177" t="s">
        <v>175</v>
      </c>
      <c r="FQ60" s="177" t="s">
        <v>319</v>
      </c>
    </row>
    <row r="61" spans="1:173" s="177" customFormat="1">
      <c r="A61" s="128" t="s">
        <v>152</v>
      </c>
      <c r="B61" s="177" t="s">
        <v>156</v>
      </c>
      <c r="C61" s="177">
        <v>2020</v>
      </c>
      <c r="D61" s="177" t="s">
        <v>194</v>
      </c>
      <c r="E61" s="142">
        <v>40000.175476074219</v>
      </c>
      <c r="F61" s="177">
        <v>0.76</v>
      </c>
      <c r="G61" s="177">
        <v>0.76</v>
      </c>
      <c r="H61" s="179">
        <v>576.99354276016595</v>
      </c>
      <c r="I61" s="179">
        <v>185.05602592515606</v>
      </c>
      <c r="J61" s="179">
        <v>140.16104665158593</v>
      </c>
      <c r="K61" s="177" t="s">
        <v>157</v>
      </c>
      <c r="L61" s="180" t="s">
        <v>158</v>
      </c>
      <c r="M61" s="181" t="s">
        <v>195</v>
      </c>
      <c r="N61" s="177" t="s">
        <v>194</v>
      </c>
      <c r="O61" s="177" t="s">
        <v>198</v>
      </c>
      <c r="P61" s="177" t="s">
        <v>200</v>
      </c>
      <c r="Q61" s="177">
        <v>4</v>
      </c>
      <c r="R61" s="177">
        <v>4</v>
      </c>
      <c r="S61" s="177">
        <v>140</v>
      </c>
      <c r="T61" s="177">
        <v>142</v>
      </c>
      <c r="U61" s="177">
        <v>33.409999999999997</v>
      </c>
      <c r="V61" s="177">
        <v>34.19</v>
      </c>
      <c r="W61" s="177" t="s">
        <v>217</v>
      </c>
      <c r="X61" s="177" t="s">
        <v>206</v>
      </c>
      <c r="Y61" s="182">
        <v>18.4404</v>
      </c>
      <c r="Z61" s="182">
        <v>-179.55500000000001</v>
      </c>
      <c r="AA61" s="182">
        <v>11.3</v>
      </c>
      <c r="AB61" s="183" t="s">
        <v>162</v>
      </c>
      <c r="AC61" s="183">
        <v>-1518</v>
      </c>
      <c r="AD61" s="183">
        <v>-1400</v>
      </c>
      <c r="AE61" s="177" t="s">
        <v>211</v>
      </c>
      <c r="AF61" s="177" t="s">
        <v>160</v>
      </c>
      <c r="AG61" s="142">
        <v>40000.175476074219</v>
      </c>
      <c r="AH61" s="184" t="s">
        <v>215</v>
      </c>
      <c r="AI61" s="177">
        <v>0.76</v>
      </c>
      <c r="AJ61" s="177">
        <v>0.76</v>
      </c>
      <c r="AK61" s="177" t="s">
        <v>214</v>
      </c>
      <c r="AL61" s="177" t="s">
        <v>216</v>
      </c>
      <c r="AM61" s="177" t="s">
        <v>218</v>
      </c>
      <c r="AN61" s="177" t="s">
        <v>162</v>
      </c>
      <c r="AO61" s="177" t="s">
        <v>162</v>
      </c>
      <c r="AP61" s="177" t="s">
        <v>162</v>
      </c>
      <c r="AQ61" s="177" t="s">
        <v>162</v>
      </c>
      <c r="AR61" s="177" t="s">
        <v>162</v>
      </c>
      <c r="AS61" s="177" t="s">
        <v>162</v>
      </c>
      <c r="AT61" s="177" t="s">
        <v>162</v>
      </c>
      <c r="AU61" s="177" t="s">
        <v>226</v>
      </c>
      <c r="AV61" s="177" t="s">
        <v>230</v>
      </c>
      <c r="AW61" s="174">
        <v>296</v>
      </c>
      <c r="AX61" s="185">
        <v>2.996</v>
      </c>
      <c r="AY61" s="184" t="s">
        <v>232</v>
      </c>
      <c r="AZ61" s="177" t="s">
        <v>163</v>
      </c>
      <c r="BA61" s="177" t="s">
        <v>164</v>
      </c>
      <c r="BB61" s="177" t="s">
        <v>277</v>
      </c>
      <c r="BC61" s="177">
        <v>2</v>
      </c>
      <c r="BD61" s="186">
        <v>2.5791316004335485E-2</v>
      </c>
      <c r="BE61" s="187">
        <v>15.183987882513801</v>
      </c>
      <c r="BF61" s="177" t="s">
        <v>233</v>
      </c>
      <c r="BG61" s="177">
        <v>0.24753033540988401</v>
      </c>
      <c r="BH61" s="177">
        <v>0.88</v>
      </c>
      <c r="BI61" s="177" t="s">
        <v>278</v>
      </c>
      <c r="BJ61" s="177" t="s">
        <v>278</v>
      </c>
      <c r="BK61" s="188">
        <v>1.85</v>
      </c>
      <c r="BL61" s="177" t="s">
        <v>278</v>
      </c>
      <c r="BM61" s="177" t="s">
        <v>278</v>
      </c>
      <c r="BN61" s="177" t="s">
        <v>279</v>
      </c>
      <c r="BO61" s="177" t="s">
        <v>280</v>
      </c>
      <c r="BP61" s="189">
        <v>15.2763522727273</v>
      </c>
      <c r="BQ61" s="177" t="s">
        <v>287</v>
      </c>
      <c r="BR61" s="190" t="s">
        <v>288</v>
      </c>
      <c r="BS61" s="177" t="s">
        <v>286</v>
      </c>
      <c r="BT61" s="177" t="s">
        <v>289</v>
      </c>
      <c r="BU61" s="177">
        <v>25</v>
      </c>
      <c r="BV61" s="177" t="s">
        <v>165</v>
      </c>
      <c r="BW61" s="177" t="s">
        <v>165</v>
      </c>
      <c r="BX61" s="187">
        <v>32.960312365902297</v>
      </c>
      <c r="BY61" s="177" t="s">
        <v>290</v>
      </c>
      <c r="BZ61" s="186">
        <v>0.63368120945489903</v>
      </c>
      <c r="CA61" s="186">
        <v>0.64986756834805703</v>
      </c>
      <c r="CB61" s="177" t="s">
        <v>291</v>
      </c>
      <c r="CC61" s="177">
        <v>4.2950698803647498</v>
      </c>
      <c r="CD61" s="177" t="s">
        <v>292</v>
      </c>
      <c r="CE61" s="177">
        <v>0.1288520964109425</v>
      </c>
      <c r="CF61" s="177">
        <v>0.1288520964109425</v>
      </c>
      <c r="CG61" s="177" t="s">
        <v>295</v>
      </c>
      <c r="CH61" s="177" t="s">
        <v>162</v>
      </c>
      <c r="CI61" s="177" t="s">
        <v>293</v>
      </c>
      <c r="CJ61" s="177" t="s">
        <v>296</v>
      </c>
      <c r="CK61" s="177" t="s">
        <v>165</v>
      </c>
      <c r="CL61" s="177" t="s">
        <v>165</v>
      </c>
      <c r="CM61" s="177" t="s">
        <v>294</v>
      </c>
      <c r="CN61" s="177" t="s">
        <v>162</v>
      </c>
      <c r="CO61" s="177" t="s">
        <v>162</v>
      </c>
      <c r="CP61" s="177" t="s">
        <v>162</v>
      </c>
      <c r="CQ61" s="177" t="s">
        <v>162</v>
      </c>
      <c r="CR61" s="177" t="s">
        <v>162</v>
      </c>
      <c r="CS61" s="177" t="s">
        <v>162</v>
      </c>
      <c r="CT61" s="177" t="s">
        <v>162</v>
      </c>
      <c r="CU61" s="191">
        <v>35</v>
      </c>
      <c r="CV61" s="177" t="s">
        <v>161</v>
      </c>
      <c r="CW61" s="177">
        <v>1</v>
      </c>
      <c r="CX61" s="177" t="s">
        <v>297</v>
      </c>
      <c r="CY61" s="177">
        <v>17</v>
      </c>
      <c r="CZ61" s="177" t="s">
        <v>170</v>
      </c>
      <c r="DA61" s="177" t="s">
        <v>170</v>
      </c>
      <c r="DB61" s="177" t="s">
        <v>298</v>
      </c>
      <c r="DC61" s="177">
        <v>38</v>
      </c>
      <c r="DD61" s="177" t="s">
        <v>170</v>
      </c>
      <c r="DE61" s="177" t="s">
        <v>170</v>
      </c>
      <c r="DF61" s="177" t="s">
        <v>298</v>
      </c>
      <c r="DG61" s="177" t="s">
        <v>166</v>
      </c>
      <c r="DH61" s="177" t="s">
        <v>167</v>
      </c>
      <c r="DI61" s="177" t="s">
        <v>167</v>
      </c>
      <c r="DJ61" s="177" t="s">
        <v>167</v>
      </c>
      <c r="DK61" s="192">
        <v>432.56244218316402</v>
      </c>
      <c r="DL61" s="177" t="s">
        <v>168</v>
      </c>
      <c r="DM61" s="192">
        <v>12.358926919520499</v>
      </c>
      <c r="DN61" s="177" t="s">
        <v>169</v>
      </c>
      <c r="DO61" s="177">
        <v>38.700000000000003</v>
      </c>
      <c r="DP61" s="177" t="s">
        <v>299</v>
      </c>
      <c r="DQ61" s="177">
        <v>0.2</v>
      </c>
      <c r="DR61" s="177" t="s">
        <v>300</v>
      </c>
      <c r="DS61" s="177" t="s">
        <v>301</v>
      </c>
      <c r="DT61" s="177" t="s">
        <v>302</v>
      </c>
      <c r="DU61" s="177">
        <v>1.0271999999999999</v>
      </c>
      <c r="DV61" s="177" t="s">
        <v>170</v>
      </c>
      <c r="DW61" s="177" t="s">
        <v>170</v>
      </c>
      <c r="DX61" s="177" t="s">
        <v>177</v>
      </c>
      <c r="DY61" s="177" t="s">
        <v>170</v>
      </c>
      <c r="DZ61" s="177" t="s">
        <v>170</v>
      </c>
      <c r="EA61" s="177" t="s">
        <v>303</v>
      </c>
      <c r="EB61" s="177" t="s">
        <v>171</v>
      </c>
      <c r="EC61" s="177" t="s">
        <v>304</v>
      </c>
      <c r="ED61" s="177" t="s">
        <v>304</v>
      </c>
      <c r="EE61" s="177" t="s">
        <v>304</v>
      </c>
      <c r="EF61" s="177" t="s">
        <v>304</v>
      </c>
      <c r="EG61" s="177" t="s">
        <v>162</v>
      </c>
      <c r="EH61" s="177" t="s">
        <v>312</v>
      </c>
      <c r="EI61" s="177" t="s">
        <v>313</v>
      </c>
      <c r="EJ61" s="177" t="s">
        <v>314</v>
      </c>
      <c r="EK61" s="177" t="s">
        <v>307</v>
      </c>
      <c r="EL61" s="177" t="s">
        <v>307</v>
      </c>
      <c r="EM61" s="177" t="s">
        <v>307</v>
      </c>
      <c r="EN61" s="177" t="s">
        <v>307</v>
      </c>
      <c r="EO61" s="177">
        <v>6.625</v>
      </c>
      <c r="EP61" s="177" t="s">
        <v>299</v>
      </c>
      <c r="EQ61" s="177">
        <v>0.875</v>
      </c>
      <c r="ER61" s="177">
        <v>0.875</v>
      </c>
      <c r="ES61" s="177">
        <v>7.8433609214092197</v>
      </c>
      <c r="ET61" s="194" t="s">
        <v>174</v>
      </c>
      <c r="EU61" s="195">
        <v>3.2181352748257598E-2</v>
      </c>
      <c r="EV61" s="195">
        <v>3.2181352748257598E-2</v>
      </c>
      <c r="EW61" s="178">
        <v>576.99354276016595</v>
      </c>
      <c r="EX61" s="194">
        <v>0</v>
      </c>
      <c r="EY61" s="194" t="s">
        <v>308</v>
      </c>
      <c r="EZ61" s="178">
        <v>576.99354276016595</v>
      </c>
      <c r="FA61" s="178">
        <v>185.05602592515606</v>
      </c>
      <c r="FB61" s="178">
        <v>140.16104665158593</v>
      </c>
      <c r="FC61" s="196" t="s">
        <v>309</v>
      </c>
      <c r="FD61" s="177" t="s">
        <v>311</v>
      </c>
      <c r="FE61" s="177">
        <v>1825.67105296658</v>
      </c>
      <c r="FF61" s="177">
        <v>366.36092069496101</v>
      </c>
      <c r="FG61" s="177">
        <v>319.016462511756</v>
      </c>
      <c r="FH61" s="177">
        <v>1687.498791578</v>
      </c>
      <c r="FI61" s="177">
        <v>356.71822019962099</v>
      </c>
      <c r="FJ61" s="177">
        <v>320.39274436020997</v>
      </c>
      <c r="FK61" s="177" t="s">
        <v>175</v>
      </c>
      <c r="FL61" s="177" t="s">
        <v>175</v>
      </c>
      <c r="FM61" s="177" t="s">
        <v>175</v>
      </c>
      <c r="FN61" s="177" t="s">
        <v>175</v>
      </c>
      <c r="FO61" s="177" t="s">
        <v>175</v>
      </c>
      <c r="FP61" s="177" t="s">
        <v>175</v>
      </c>
      <c r="FQ61" s="177" t="s">
        <v>319</v>
      </c>
    </row>
    <row r="62" spans="1:173" s="177" customFormat="1">
      <c r="A62" s="128" t="s">
        <v>152</v>
      </c>
      <c r="B62" s="177" t="s">
        <v>156</v>
      </c>
      <c r="C62" s="177">
        <v>2020</v>
      </c>
      <c r="D62" s="177" t="s">
        <v>194</v>
      </c>
      <c r="E62" s="142">
        <v>40031.204223632812</v>
      </c>
      <c r="F62" s="177">
        <v>2.1</v>
      </c>
      <c r="G62" s="177">
        <v>2.1</v>
      </c>
      <c r="H62" s="179">
        <v>1003.64705965962</v>
      </c>
      <c r="I62" s="179">
        <v>319.90795114794992</v>
      </c>
      <c r="J62" s="179">
        <v>237.07860746598908</v>
      </c>
      <c r="K62" s="177" t="s">
        <v>157</v>
      </c>
      <c r="L62" s="180" t="s">
        <v>158</v>
      </c>
      <c r="M62" s="181" t="s">
        <v>195</v>
      </c>
      <c r="N62" s="177" t="s">
        <v>194</v>
      </c>
      <c r="O62" s="177" t="s">
        <v>198</v>
      </c>
      <c r="P62" s="177" t="s">
        <v>200</v>
      </c>
      <c r="Q62" s="177">
        <v>4</v>
      </c>
      <c r="R62" s="177">
        <v>5</v>
      </c>
      <c r="S62" s="177">
        <v>30</v>
      </c>
      <c r="T62" s="177">
        <v>32</v>
      </c>
      <c r="U62" s="177">
        <v>33.81</v>
      </c>
      <c r="V62" s="177">
        <v>34.590000000000003</v>
      </c>
      <c r="W62" s="177" t="s">
        <v>217</v>
      </c>
      <c r="X62" s="177" t="s">
        <v>206</v>
      </c>
      <c r="Y62" s="182">
        <v>18.4404</v>
      </c>
      <c r="Z62" s="182">
        <v>-179.55500000000001</v>
      </c>
      <c r="AA62" s="182">
        <v>11.3</v>
      </c>
      <c r="AB62" s="183" t="s">
        <v>162</v>
      </c>
      <c r="AC62" s="183">
        <v>-1518</v>
      </c>
      <c r="AD62" s="183">
        <v>-1400</v>
      </c>
      <c r="AE62" s="177" t="s">
        <v>211</v>
      </c>
      <c r="AF62" s="177" t="s">
        <v>160</v>
      </c>
      <c r="AG62" s="142">
        <v>40031.204223632812</v>
      </c>
      <c r="AH62" s="184" t="s">
        <v>215</v>
      </c>
      <c r="AI62" s="177">
        <v>2.1</v>
      </c>
      <c r="AJ62" s="177">
        <v>2.1</v>
      </c>
      <c r="AK62" s="177" t="s">
        <v>214</v>
      </c>
      <c r="AL62" s="177" t="s">
        <v>216</v>
      </c>
      <c r="AM62" s="177" t="s">
        <v>218</v>
      </c>
      <c r="AN62" s="177" t="s">
        <v>162</v>
      </c>
      <c r="AO62" s="177" t="s">
        <v>162</v>
      </c>
      <c r="AP62" s="177" t="s">
        <v>162</v>
      </c>
      <c r="AQ62" s="177" t="s">
        <v>162</v>
      </c>
      <c r="AR62" s="177" t="s">
        <v>162</v>
      </c>
      <c r="AS62" s="177" t="s">
        <v>162</v>
      </c>
      <c r="AT62" s="177" t="s">
        <v>162</v>
      </c>
      <c r="AU62" s="177" t="s">
        <v>226</v>
      </c>
      <c r="AV62" s="177" t="s">
        <v>230</v>
      </c>
      <c r="AW62" s="174">
        <v>298</v>
      </c>
      <c r="AX62" s="185">
        <v>2.9969999999999999</v>
      </c>
      <c r="AY62" s="184" t="s">
        <v>232</v>
      </c>
      <c r="AZ62" s="177" t="s">
        <v>163</v>
      </c>
      <c r="BA62" s="177" t="s">
        <v>164</v>
      </c>
      <c r="BB62" s="177" t="s">
        <v>251</v>
      </c>
      <c r="BC62" s="177">
        <v>2</v>
      </c>
      <c r="BD62" s="186">
        <v>4.2764023403554674E-2</v>
      </c>
      <c r="BE62" s="187">
        <v>14.903625924380499</v>
      </c>
      <c r="BF62" s="177" t="s">
        <v>233</v>
      </c>
      <c r="BG62" s="177">
        <v>0.24704139021315</v>
      </c>
      <c r="BH62" s="177">
        <v>0.88</v>
      </c>
      <c r="BI62" s="177" t="s">
        <v>278</v>
      </c>
      <c r="BJ62" s="177" t="s">
        <v>278</v>
      </c>
      <c r="BK62" s="188">
        <v>1.85</v>
      </c>
      <c r="BL62" s="177" t="s">
        <v>278</v>
      </c>
      <c r="BM62" s="177" t="s">
        <v>278</v>
      </c>
      <c r="BN62" s="177" t="s">
        <v>279</v>
      </c>
      <c r="BO62" s="177" t="s">
        <v>280</v>
      </c>
      <c r="BP62" s="189">
        <v>14.957761363636401</v>
      </c>
      <c r="BQ62" s="177" t="s">
        <v>287</v>
      </c>
      <c r="BR62" s="190" t="s">
        <v>288</v>
      </c>
      <c r="BS62" s="177" t="s">
        <v>286</v>
      </c>
      <c r="BT62" s="177" t="s">
        <v>289</v>
      </c>
      <c r="BU62" s="177">
        <v>25</v>
      </c>
      <c r="BV62" s="177" t="s">
        <v>165</v>
      </c>
      <c r="BW62" s="177" t="s">
        <v>165</v>
      </c>
      <c r="BX62" s="187">
        <v>32.716271924847597</v>
      </c>
      <c r="BY62" s="177" t="s">
        <v>290</v>
      </c>
      <c r="BZ62" s="186">
        <v>0.63418131795526</v>
      </c>
      <c r="CA62" s="186">
        <v>0.69765450344472402</v>
      </c>
      <c r="CB62" s="177" t="s">
        <v>291</v>
      </c>
      <c r="CC62" s="177">
        <v>4.3237229613521304</v>
      </c>
      <c r="CD62" s="177" t="s">
        <v>292</v>
      </c>
      <c r="CE62" s="177">
        <v>0.12971168884056392</v>
      </c>
      <c r="CF62" s="177">
        <v>0.12971168884056392</v>
      </c>
      <c r="CG62" s="177" t="s">
        <v>295</v>
      </c>
      <c r="CH62" s="177" t="s">
        <v>162</v>
      </c>
      <c r="CI62" s="177" t="s">
        <v>293</v>
      </c>
      <c r="CJ62" s="177" t="s">
        <v>296</v>
      </c>
      <c r="CK62" s="177" t="s">
        <v>165</v>
      </c>
      <c r="CL62" s="177" t="s">
        <v>165</v>
      </c>
      <c r="CM62" s="177" t="s">
        <v>294</v>
      </c>
      <c r="CN62" s="177" t="s">
        <v>162</v>
      </c>
      <c r="CO62" s="177" t="s">
        <v>162</v>
      </c>
      <c r="CP62" s="177" t="s">
        <v>162</v>
      </c>
      <c r="CQ62" s="177" t="s">
        <v>162</v>
      </c>
      <c r="CR62" s="177" t="s">
        <v>162</v>
      </c>
      <c r="CS62" s="177" t="s">
        <v>162</v>
      </c>
      <c r="CT62" s="177" t="s">
        <v>162</v>
      </c>
      <c r="CU62" s="191">
        <v>35</v>
      </c>
      <c r="CV62" s="177" t="s">
        <v>161</v>
      </c>
      <c r="CW62" s="177">
        <v>1</v>
      </c>
      <c r="CX62" s="177" t="s">
        <v>297</v>
      </c>
      <c r="CY62" s="177">
        <v>17</v>
      </c>
      <c r="CZ62" s="177" t="s">
        <v>170</v>
      </c>
      <c r="DA62" s="177" t="s">
        <v>170</v>
      </c>
      <c r="DB62" s="177" t="s">
        <v>298</v>
      </c>
      <c r="DC62" s="177">
        <v>38</v>
      </c>
      <c r="DD62" s="177" t="s">
        <v>170</v>
      </c>
      <c r="DE62" s="177" t="s">
        <v>170</v>
      </c>
      <c r="DF62" s="177" t="s">
        <v>298</v>
      </c>
      <c r="DG62" s="177" t="s">
        <v>166</v>
      </c>
      <c r="DH62" s="177" t="s">
        <v>167</v>
      </c>
      <c r="DI62" s="177" t="s">
        <v>167</v>
      </c>
      <c r="DJ62" s="177" t="s">
        <v>167</v>
      </c>
      <c r="DK62" s="192">
        <v>432.56244218316402</v>
      </c>
      <c r="DL62" s="177" t="s">
        <v>168</v>
      </c>
      <c r="DM62" s="192">
        <v>12.3589269195206</v>
      </c>
      <c r="DN62" s="177" t="s">
        <v>169</v>
      </c>
      <c r="DO62" s="177">
        <v>38.700000000000003</v>
      </c>
      <c r="DP62" s="177" t="s">
        <v>299</v>
      </c>
      <c r="DQ62" s="177">
        <v>0.2</v>
      </c>
      <c r="DR62" s="177" t="s">
        <v>300</v>
      </c>
      <c r="DS62" s="177" t="s">
        <v>301</v>
      </c>
      <c r="DT62" s="177" t="s">
        <v>302</v>
      </c>
      <c r="DU62" s="177">
        <v>1.0271999999999999</v>
      </c>
      <c r="DV62" s="177" t="s">
        <v>170</v>
      </c>
      <c r="DW62" s="177" t="s">
        <v>170</v>
      </c>
      <c r="DX62" s="177" t="s">
        <v>177</v>
      </c>
      <c r="DY62" s="177" t="s">
        <v>170</v>
      </c>
      <c r="DZ62" s="177" t="s">
        <v>170</v>
      </c>
      <c r="EA62" s="177" t="s">
        <v>303</v>
      </c>
      <c r="EB62" s="177" t="s">
        <v>171</v>
      </c>
      <c r="EC62" s="177" t="s">
        <v>304</v>
      </c>
      <c r="ED62" s="177" t="s">
        <v>304</v>
      </c>
      <c r="EE62" s="177" t="s">
        <v>304</v>
      </c>
      <c r="EF62" s="177" t="s">
        <v>304</v>
      </c>
      <c r="EG62" s="177" t="s">
        <v>162</v>
      </c>
      <c r="EH62" s="177" t="s">
        <v>312</v>
      </c>
      <c r="EI62" s="177" t="s">
        <v>313</v>
      </c>
      <c r="EJ62" s="177" t="s">
        <v>314</v>
      </c>
      <c r="EK62" s="177" t="s">
        <v>307</v>
      </c>
      <c r="EL62" s="177" t="s">
        <v>307</v>
      </c>
      <c r="EM62" s="177" t="s">
        <v>307</v>
      </c>
      <c r="EN62" s="177" t="s">
        <v>307</v>
      </c>
      <c r="EO62" s="177">
        <v>6.625</v>
      </c>
      <c r="EP62" s="177" t="s">
        <v>299</v>
      </c>
      <c r="EQ62" s="177">
        <v>0.875</v>
      </c>
      <c r="ER62" s="177">
        <v>0.875</v>
      </c>
      <c r="ES62" s="177">
        <v>7.8052040622758803</v>
      </c>
      <c r="ET62" s="194" t="s">
        <v>174</v>
      </c>
      <c r="EU62" s="195">
        <v>3.2084456159895303E-2</v>
      </c>
      <c r="EV62" s="195">
        <v>3.2084456159895303E-2</v>
      </c>
      <c r="EW62" s="178">
        <v>1003.64705965962</v>
      </c>
      <c r="EX62" s="194">
        <v>0</v>
      </c>
      <c r="EY62" s="194" t="s">
        <v>308</v>
      </c>
      <c r="EZ62" s="178">
        <v>1003.64705965962</v>
      </c>
      <c r="FA62" s="178">
        <v>319.90795114794992</v>
      </c>
      <c r="FB62" s="178">
        <v>237.07860746598908</v>
      </c>
      <c r="FC62" s="196" t="s">
        <v>309</v>
      </c>
      <c r="FD62" s="177" t="s">
        <v>311</v>
      </c>
      <c r="FE62" s="177">
        <v>2376.8972270138802</v>
      </c>
      <c r="FF62" s="177">
        <v>442.54029906335597</v>
      </c>
      <c r="FG62" s="177">
        <v>384.17894376142698</v>
      </c>
      <c r="FH62" s="177">
        <v>2190.1087439478501</v>
      </c>
      <c r="FI62" s="177">
        <v>441.34213990722498</v>
      </c>
      <c r="FJ62" s="177">
        <v>377.59743499616098</v>
      </c>
      <c r="FK62" s="177" t="s">
        <v>175</v>
      </c>
      <c r="FL62" s="177" t="s">
        <v>175</v>
      </c>
      <c r="FM62" s="177" t="s">
        <v>175</v>
      </c>
      <c r="FN62" s="177" t="s">
        <v>175</v>
      </c>
      <c r="FO62" s="177" t="s">
        <v>175</v>
      </c>
      <c r="FP62" s="177" t="s">
        <v>175</v>
      </c>
      <c r="FQ62" s="177" t="s">
        <v>319</v>
      </c>
    </row>
    <row r="63" spans="1:173" s="177" customFormat="1">
      <c r="A63" s="128" t="s">
        <v>152</v>
      </c>
      <c r="B63" s="177" t="s">
        <v>156</v>
      </c>
      <c r="C63" s="177">
        <v>2020</v>
      </c>
      <c r="D63" s="177" t="s">
        <v>194</v>
      </c>
      <c r="E63" s="142">
        <v>40092.166900634766</v>
      </c>
      <c r="F63" s="177">
        <v>2.1</v>
      </c>
      <c r="G63" s="177">
        <v>2.1</v>
      </c>
      <c r="H63" s="179">
        <v>587.77097835539405</v>
      </c>
      <c r="I63" s="179">
        <v>176.37832315574394</v>
      </c>
      <c r="J63" s="179">
        <v>139.50467413905903</v>
      </c>
      <c r="K63" s="177" t="s">
        <v>157</v>
      </c>
      <c r="L63" s="180" t="s">
        <v>158</v>
      </c>
      <c r="M63" s="181" t="s">
        <v>195</v>
      </c>
      <c r="N63" s="177" t="s">
        <v>194</v>
      </c>
      <c r="O63" s="177" t="s">
        <v>198</v>
      </c>
      <c r="P63" s="177" t="s">
        <v>200</v>
      </c>
      <c r="Q63" s="177">
        <v>4</v>
      </c>
      <c r="R63" s="177">
        <v>5</v>
      </c>
      <c r="S63" s="177">
        <v>60</v>
      </c>
      <c r="T63" s="177">
        <v>62</v>
      </c>
      <c r="U63" s="177">
        <v>34.11</v>
      </c>
      <c r="V63" s="177">
        <v>34.89</v>
      </c>
      <c r="W63" s="177" t="s">
        <v>217</v>
      </c>
      <c r="X63" s="177" t="s">
        <v>206</v>
      </c>
      <c r="Y63" s="182">
        <v>18.4404</v>
      </c>
      <c r="Z63" s="182">
        <v>-179.55500000000001</v>
      </c>
      <c r="AA63" s="182">
        <v>11.3</v>
      </c>
      <c r="AB63" s="183" t="s">
        <v>162</v>
      </c>
      <c r="AC63" s="183">
        <v>-1518</v>
      </c>
      <c r="AD63" s="183">
        <v>-1400</v>
      </c>
      <c r="AE63" s="177" t="s">
        <v>211</v>
      </c>
      <c r="AF63" s="177" t="s">
        <v>160</v>
      </c>
      <c r="AG63" s="142">
        <v>40092.166900634766</v>
      </c>
      <c r="AH63" s="184" t="s">
        <v>215</v>
      </c>
      <c r="AI63" s="177">
        <v>2.1</v>
      </c>
      <c r="AJ63" s="177">
        <v>2.1</v>
      </c>
      <c r="AK63" s="177" t="s">
        <v>214</v>
      </c>
      <c r="AL63" s="177" t="s">
        <v>216</v>
      </c>
      <c r="AM63" s="177" t="s">
        <v>218</v>
      </c>
      <c r="AN63" s="177" t="s">
        <v>162</v>
      </c>
      <c r="AO63" s="177" t="s">
        <v>162</v>
      </c>
      <c r="AP63" s="177" t="s">
        <v>162</v>
      </c>
      <c r="AQ63" s="177" t="s">
        <v>162</v>
      </c>
      <c r="AR63" s="177" t="s">
        <v>162</v>
      </c>
      <c r="AS63" s="177" t="s">
        <v>162</v>
      </c>
      <c r="AT63" s="177" t="s">
        <v>162</v>
      </c>
      <c r="AU63" s="177" t="s">
        <v>226</v>
      </c>
      <c r="AV63" s="177" t="s">
        <v>230</v>
      </c>
      <c r="AW63" s="174">
        <v>274</v>
      </c>
      <c r="AX63" s="185">
        <v>2.7360000000000002</v>
      </c>
      <c r="AY63" s="184" t="s">
        <v>232</v>
      </c>
      <c r="AZ63" s="177" t="s">
        <v>163</v>
      </c>
      <c r="BA63" s="177" t="s">
        <v>164</v>
      </c>
      <c r="BB63" s="177" t="s">
        <v>252</v>
      </c>
      <c r="BC63" s="177">
        <v>2</v>
      </c>
      <c r="BD63" s="186">
        <v>0.13232152808946293</v>
      </c>
      <c r="BE63" s="187">
        <v>14.5023732064193</v>
      </c>
      <c r="BF63" s="177" t="s">
        <v>233</v>
      </c>
      <c r="BG63" s="177">
        <v>0.24730822813623099</v>
      </c>
      <c r="BH63" s="177">
        <v>0.88</v>
      </c>
      <c r="BI63" s="177" t="s">
        <v>278</v>
      </c>
      <c r="BJ63" s="177" t="s">
        <v>278</v>
      </c>
      <c r="BK63" s="188">
        <v>1.85</v>
      </c>
      <c r="BL63" s="177" t="s">
        <v>278</v>
      </c>
      <c r="BM63" s="177" t="s">
        <v>278</v>
      </c>
      <c r="BN63" s="177" t="s">
        <v>279</v>
      </c>
      <c r="BO63" s="177" t="s">
        <v>280</v>
      </c>
      <c r="BP63" s="189">
        <v>14.5017840909091</v>
      </c>
      <c r="BQ63" s="177" t="s">
        <v>287</v>
      </c>
      <c r="BR63" s="190" t="s">
        <v>288</v>
      </c>
      <c r="BS63" s="177" t="s">
        <v>286</v>
      </c>
      <c r="BT63" s="177" t="s">
        <v>289</v>
      </c>
      <c r="BU63" s="177">
        <v>25</v>
      </c>
      <c r="BV63" s="177" t="s">
        <v>165</v>
      </c>
      <c r="BW63" s="177" t="s">
        <v>165</v>
      </c>
      <c r="BX63" s="187">
        <v>32.5359743885653</v>
      </c>
      <c r="BY63" s="177" t="s">
        <v>290</v>
      </c>
      <c r="BZ63" s="186">
        <v>0.62464555266579702</v>
      </c>
      <c r="CA63" s="186">
        <v>0.670950754058527</v>
      </c>
      <c r="CB63" s="177" t="s">
        <v>291</v>
      </c>
      <c r="CC63" s="177">
        <v>4.4332690387495903</v>
      </c>
      <c r="CD63" s="177" t="s">
        <v>292</v>
      </c>
      <c r="CE63" s="177">
        <v>0.13299807116248771</v>
      </c>
      <c r="CF63" s="177">
        <v>0.13299807116248771</v>
      </c>
      <c r="CG63" s="177" t="s">
        <v>295</v>
      </c>
      <c r="CH63" s="177" t="s">
        <v>162</v>
      </c>
      <c r="CI63" s="177" t="s">
        <v>293</v>
      </c>
      <c r="CJ63" s="177" t="s">
        <v>296</v>
      </c>
      <c r="CK63" s="177" t="s">
        <v>165</v>
      </c>
      <c r="CL63" s="177" t="s">
        <v>165</v>
      </c>
      <c r="CM63" s="177" t="s">
        <v>294</v>
      </c>
      <c r="CN63" s="177" t="s">
        <v>162</v>
      </c>
      <c r="CO63" s="177" t="s">
        <v>162</v>
      </c>
      <c r="CP63" s="177" t="s">
        <v>162</v>
      </c>
      <c r="CQ63" s="177" t="s">
        <v>162</v>
      </c>
      <c r="CR63" s="177" t="s">
        <v>162</v>
      </c>
      <c r="CS63" s="177" t="s">
        <v>162</v>
      </c>
      <c r="CT63" s="177" t="s">
        <v>162</v>
      </c>
      <c r="CU63" s="191">
        <v>35</v>
      </c>
      <c r="CV63" s="177" t="s">
        <v>161</v>
      </c>
      <c r="CW63" s="177">
        <v>1</v>
      </c>
      <c r="CX63" s="177" t="s">
        <v>297</v>
      </c>
      <c r="CY63" s="177">
        <v>17</v>
      </c>
      <c r="CZ63" s="177" t="s">
        <v>170</v>
      </c>
      <c r="DA63" s="177" t="s">
        <v>170</v>
      </c>
      <c r="DB63" s="177" t="s">
        <v>298</v>
      </c>
      <c r="DC63" s="177">
        <v>38</v>
      </c>
      <c r="DD63" s="177" t="s">
        <v>170</v>
      </c>
      <c r="DE63" s="177" t="s">
        <v>170</v>
      </c>
      <c r="DF63" s="177" t="s">
        <v>298</v>
      </c>
      <c r="DG63" s="177" t="s">
        <v>166</v>
      </c>
      <c r="DH63" s="177" t="s">
        <v>167</v>
      </c>
      <c r="DI63" s="177" t="s">
        <v>167</v>
      </c>
      <c r="DJ63" s="177" t="s">
        <v>167</v>
      </c>
      <c r="DK63" s="192">
        <v>432.56244218316402</v>
      </c>
      <c r="DL63" s="177" t="s">
        <v>168</v>
      </c>
      <c r="DM63" s="192">
        <v>12.3589269195207</v>
      </c>
      <c r="DN63" s="177" t="s">
        <v>169</v>
      </c>
      <c r="DO63" s="177">
        <v>38.700000000000003</v>
      </c>
      <c r="DP63" s="177" t="s">
        <v>299</v>
      </c>
      <c r="DQ63" s="177">
        <v>0.2</v>
      </c>
      <c r="DR63" s="177" t="s">
        <v>300</v>
      </c>
      <c r="DS63" s="177" t="s">
        <v>301</v>
      </c>
      <c r="DT63" s="177" t="s">
        <v>302</v>
      </c>
      <c r="DU63" s="177">
        <v>1.0271999999999999</v>
      </c>
      <c r="DV63" s="177" t="s">
        <v>170</v>
      </c>
      <c r="DW63" s="177" t="s">
        <v>170</v>
      </c>
      <c r="DX63" s="177" t="s">
        <v>177</v>
      </c>
      <c r="DY63" s="177" t="s">
        <v>170</v>
      </c>
      <c r="DZ63" s="177" t="s">
        <v>170</v>
      </c>
      <c r="EA63" s="177" t="s">
        <v>303</v>
      </c>
      <c r="EB63" s="177" t="s">
        <v>171</v>
      </c>
      <c r="EC63" s="177" t="s">
        <v>304</v>
      </c>
      <c r="ED63" s="177" t="s">
        <v>304</v>
      </c>
      <c r="EE63" s="177" t="s">
        <v>304</v>
      </c>
      <c r="EF63" s="177" t="s">
        <v>304</v>
      </c>
      <c r="EG63" s="177" t="s">
        <v>162</v>
      </c>
      <c r="EH63" s="177" t="s">
        <v>312</v>
      </c>
      <c r="EI63" s="177" t="s">
        <v>313</v>
      </c>
      <c r="EJ63" s="177" t="s">
        <v>314</v>
      </c>
      <c r="EK63" s="177" t="s">
        <v>307</v>
      </c>
      <c r="EL63" s="177" t="s">
        <v>307</v>
      </c>
      <c r="EM63" s="177" t="s">
        <v>307</v>
      </c>
      <c r="EN63" s="177" t="s">
        <v>307</v>
      </c>
      <c r="EO63" s="177">
        <v>6.625</v>
      </c>
      <c r="EP63" s="177" t="s">
        <v>299</v>
      </c>
      <c r="EQ63" s="177">
        <v>0.875</v>
      </c>
      <c r="ER63" s="177">
        <v>0.875</v>
      </c>
      <c r="ES63" s="177">
        <v>7.7424404302918699</v>
      </c>
      <c r="ET63" s="194" t="s">
        <v>174</v>
      </c>
      <c r="EU63" s="195">
        <v>3.5387048222757601E-2</v>
      </c>
      <c r="EV63" s="195">
        <v>3.5387048222757601E-2</v>
      </c>
      <c r="EW63" s="178">
        <v>587.77097835539405</v>
      </c>
      <c r="EX63" s="194">
        <v>0</v>
      </c>
      <c r="EY63" s="194" t="s">
        <v>308</v>
      </c>
      <c r="EZ63" s="178">
        <v>587.77097835539405</v>
      </c>
      <c r="FA63" s="178">
        <v>176.37832315574394</v>
      </c>
      <c r="FB63" s="178">
        <v>139.50467413905903</v>
      </c>
      <c r="FC63" s="196" t="s">
        <v>309</v>
      </c>
      <c r="FD63" s="177" t="s">
        <v>311</v>
      </c>
      <c r="FE63" s="177">
        <v>1828.63025925274</v>
      </c>
      <c r="FF63" s="177">
        <v>346.13402028547898</v>
      </c>
      <c r="FG63" s="177">
        <v>325.895117387916</v>
      </c>
      <c r="FH63" s="177">
        <v>1687.4866425727701</v>
      </c>
      <c r="FI63" s="177">
        <v>344.36170994664099</v>
      </c>
      <c r="FJ63" s="177">
        <v>320.75819788622601</v>
      </c>
      <c r="FK63" s="177" t="s">
        <v>175</v>
      </c>
      <c r="FL63" s="177" t="s">
        <v>175</v>
      </c>
      <c r="FM63" s="177" t="s">
        <v>175</v>
      </c>
      <c r="FN63" s="177" t="s">
        <v>175</v>
      </c>
      <c r="FO63" s="177" t="s">
        <v>175</v>
      </c>
      <c r="FP63" s="177" t="s">
        <v>175</v>
      </c>
      <c r="FQ63" s="177" t="s">
        <v>319</v>
      </c>
    </row>
    <row r="64" spans="1:173" s="177" customFormat="1">
      <c r="A64" s="128" t="s">
        <v>152</v>
      </c>
      <c r="B64" s="177" t="s">
        <v>156</v>
      </c>
      <c r="C64" s="177">
        <v>2020</v>
      </c>
      <c r="D64" s="177" t="s">
        <v>194</v>
      </c>
      <c r="E64" s="142">
        <v>40139.675140380859</v>
      </c>
      <c r="F64" s="177">
        <v>2.82</v>
      </c>
      <c r="G64" s="177">
        <v>2.82</v>
      </c>
      <c r="H64" s="179">
        <v>867.51859249440804</v>
      </c>
      <c r="I64" s="179">
        <v>273.21234687918195</v>
      </c>
      <c r="J64" s="179">
        <v>199.26076486269801</v>
      </c>
      <c r="K64" s="177" t="s">
        <v>157</v>
      </c>
      <c r="L64" s="180" t="s">
        <v>158</v>
      </c>
      <c r="M64" s="181" t="s">
        <v>195</v>
      </c>
      <c r="N64" s="177" t="s">
        <v>194</v>
      </c>
      <c r="O64" s="177" t="s">
        <v>198</v>
      </c>
      <c r="P64" s="177" t="s">
        <v>201</v>
      </c>
      <c r="Q64" s="177">
        <v>5</v>
      </c>
      <c r="R64" s="177">
        <v>1</v>
      </c>
      <c r="S64" s="177">
        <v>5</v>
      </c>
      <c r="T64" s="177">
        <v>7</v>
      </c>
      <c r="U64" s="177">
        <v>31.86</v>
      </c>
      <c r="V64" s="177">
        <v>35.075981140136719</v>
      </c>
      <c r="W64" s="177" t="s">
        <v>217</v>
      </c>
      <c r="X64" s="177" t="s">
        <v>206</v>
      </c>
      <c r="Y64" s="182">
        <v>18.4404</v>
      </c>
      <c r="Z64" s="182">
        <v>-179.55500000000001</v>
      </c>
      <c r="AA64" s="182">
        <v>11.3</v>
      </c>
      <c r="AB64" s="183" t="s">
        <v>162</v>
      </c>
      <c r="AC64" s="183">
        <v>-1518</v>
      </c>
      <c r="AD64" s="183">
        <v>-1400</v>
      </c>
      <c r="AE64" s="177" t="s">
        <v>211</v>
      </c>
      <c r="AF64" s="177" t="s">
        <v>160</v>
      </c>
      <c r="AG64" s="142">
        <v>40139.675140380859</v>
      </c>
      <c r="AH64" s="184" t="s">
        <v>215</v>
      </c>
      <c r="AI64" s="177">
        <v>2.82</v>
      </c>
      <c r="AJ64" s="177">
        <v>2.82</v>
      </c>
      <c r="AK64" s="177" t="s">
        <v>214</v>
      </c>
      <c r="AL64" s="177" t="s">
        <v>216</v>
      </c>
      <c r="AM64" s="177" t="s">
        <v>218</v>
      </c>
      <c r="AN64" s="177" t="s">
        <v>162</v>
      </c>
      <c r="AO64" s="177" t="s">
        <v>162</v>
      </c>
      <c r="AP64" s="177" t="s">
        <v>162</v>
      </c>
      <c r="AQ64" s="177" t="s">
        <v>162</v>
      </c>
      <c r="AR64" s="177" t="s">
        <v>162</v>
      </c>
      <c r="AS64" s="177" t="s">
        <v>162</v>
      </c>
      <c r="AT64" s="177" t="s">
        <v>162</v>
      </c>
      <c r="AU64" s="177" t="s">
        <v>226</v>
      </c>
      <c r="AV64" s="177" t="s">
        <v>230</v>
      </c>
      <c r="AW64" s="174" t="s">
        <v>231</v>
      </c>
      <c r="AX64" s="198" t="s">
        <v>321</v>
      </c>
      <c r="AY64" s="184" t="s">
        <v>232</v>
      </c>
      <c r="AZ64" s="177" t="s">
        <v>163</v>
      </c>
      <c r="BA64" s="177" t="s">
        <v>164</v>
      </c>
      <c r="BB64" s="177" t="s">
        <v>237</v>
      </c>
      <c r="BC64" s="177">
        <v>2</v>
      </c>
      <c r="BD64" s="213">
        <v>6.2866847382430535E-2</v>
      </c>
      <c r="BE64" s="187">
        <v>14.4822803056653</v>
      </c>
      <c r="BF64" s="177" t="s">
        <v>233</v>
      </c>
      <c r="BG64" s="177">
        <v>0.24396455644627901</v>
      </c>
      <c r="BH64" s="177">
        <v>0.88</v>
      </c>
      <c r="BI64" s="177" t="s">
        <v>278</v>
      </c>
      <c r="BJ64" s="177" t="s">
        <v>278</v>
      </c>
      <c r="BK64" s="188">
        <v>1.85</v>
      </c>
      <c r="BL64" s="177" t="s">
        <v>278</v>
      </c>
      <c r="BM64" s="177" t="s">
        <v>278</v>
      </c>
      <c r="BN64" s="177" t="s">
        <v>279</v>
      </c>
      <c r="BO64" s="177" t="s">
        <v>280</v>
      </c>
      <c r="BP64" s="189">
        <v>14.478954545454499</v>
      </c>
      <c r="BQ64" s="177" t="s">
        <v>287</v>
      </c>
      <c r="BR64" s="190" t="s">
        <v>288</v>
      </c>
      <c r="BS64" s="177" t="s">
        <v>286</v>
      </c>
      <c r="BT64" s="177" t="s">
        <v>289</v>
      </c>
      <c r="BU64" s="177">
        <v>25</v>
      </c>
      <c r="BV64" s="177" t="s">
        <v>165</v>
      </c>
      <c r="BW64" s="177" t="s">
        <v>165</v>
      </c>
      <c r="BX64" s="187">
        <v>33.526148922124797</v>
      </c>
      <c r="BY64" s="177" t="s">
        <v>290</v>
      </c>
      <c r="BZ64" s="186">
        <v>0.704555936527967</v>
      </c>
      <c r="CA64" s="186">
        <v>0.65177985868146504</v>
      </c>
      <c r="CB64" s="177" t="s">
        <v>291</v>
      </c>
      <c r="CC64" s="177">
        <v>4.7280185784437698</v>
      </c>
      <c r="CD64" s="177" t="s">
        <v>292</v>
      </c>
      <c r="CE64" s="177">
        <v>0.14184055735331308</v>
      </c>
      <c r="CF64" s="177">
        <v>0.14184055735331308</v>
      </c>
      <c r="CG64" s="177" t="s">
        <v>295</v>
      </c>
      <c r="CH64" s="177" t="s">
        <v>162</v>
      </c>
      <c r="CI64" s="177" t="s">
        <v>293</v>
      </c>
      <c r="CJ64" s="177" t="s">
        <v>296</v>
      </c>
      <c r="CK64" s="177" t="s">
        <v>165</v>
      </c>
      <c r="CL64" s="177" t="s">
        <v>165</v>
      </c>
      <c r="CM64" s="177" t="s">
        <v>294</v>
      </c>
      <c r="CN64" s="177" t="s">
        <v>162</v>
      </c>
      <c r="CO64" s="177" t="s">
        <v>162</v>
      </c>
      <c r="CP64" s="177" t="s">
        <v>162</v>
      </c>
      <c r="CQ64" s="177" t="s">
        <v>162</v>
      </c>
      <c r="CR64" s="177" t="s">
        <v>162</v>
      </c>
      <c r="CS64" s="177" t="s">
        <v>162</v>
      </c>
      <c r="CT64" s="177" t="s">
        <v>162</v>
      </c>
      <c r="CU64" s="191">
        <v>35</v>
      </c>
      <c r="CV64" s="177" t="s">
        <v>161</v>
      </c>
      <c r="CW64" s="177">
        <v>1</v>
      </c>
      <c r="CX64" s="177" t="s">
        <v>297</v>
      </c>
      <c r="CY64" s="177">
        <v>17</v>
      </c>
      <c r="CZ64" s="177" t="s">
        <v>170</v>
      </c>
      <c r="DA64" s="177" t="s">
        <v>170</v>
      </c>
      <c r="DB64" s="177" t="s">
        <v>298</v>
      </c>
      <c r="DC64" s="177">
        <v>38</v>
      </c>
      <c r="DD64" s="177" t="s">
        <v>170</v>
      </c>
      <c r="DE64" s="177" t="s">
        <v>170</v>
      </c>
      <c r="DF64" s="177" t="s">
        <v>298</v>
      </c>
      <c r="DG64" s="177" t="s">
        <v>166</v>
      </c>
      <c r="DH64" s="177" t="s">
        <v>167</v>
      </c>
      <c r="DI64" s="177" t="s">
        <v>167</v>
      </c>
      <c r="DJ64" s="177" t="s">
        <v>167</v>
      </c>
      <c r="DK64" s="192">
        <v>432.56244218316402</v>
      </c>
      <c r="DL64" s="177" t="s">
        <v>168</v>
      </c>
      <c r="DM64" s="192">
        <v>12.358926919520799</v>
      </c>
      <c r="DN64" s="177" t="s">
        <v>169</v>
      </c>
      <c r="DO64" s="177">
        <v>38.700000000000003</v>
      </c>
      <c r="DP64" s="177" t="s">
        <v>299</v>
      </c>
      <c r="DQ64" s="177">
        <v>0.2</v>
      </c>
      <c r="DR64" s="177" t="s">
        <v>300</v>
      </c>
      <c r="DS64" s="177" t="s">
        <v>301</v>
      </c>
      <c r="DT64" s="177" t="s">
        <v>302</v>
      </c>
      <c r="DU64" s="177">
        <v>1.0271999999999999</v>
      </c>
      <c r="DV64" s="177" t="s">
        <v>170</v>
      </c>
      <c r="DW64" s="177" t="s">
        <v>170</v>
      </c>
      <c r="DX64" s="177" t="s">
        <v>177</v>
      </c>
      <c r="DY64" s="177" t="s">
        <v>170</v>
      </c>
      <c r="DZ64" s="177" t="s">
        <v>170</v>
      </c>
      <c r="EA64" s="177" t="s">
        <v>303</v>
      </c>
      <c r="EB64" s="177" t="s">
        <v>171</v>
      </c>
      <c r="EC64" s="177" t="s">
        <v>304</v>
      </c>
      <c r="ED64" s="177" t="s">
        <v>304</v>
      </c>
      <c r="EE64" s="177" t="s">
        <v>304</v>
      </c>
      <c r="EF64" s="177" t="s">
        <v>304</v>
      </c>
      <c r="EG64" s="177" t="s">
        <v>162</v>
      </c>
      <c r="EH64" s="177" t="s">
        <v>312</v>
      </c>
      <c r="EI64" s="177" t="s">
        <v>313</v>
      </c>
      <c r="EJ64" s="177" t="s">
        <v>314</v>
      </c>
      <c r="EK64" s="177" t="s">
        <v>307</v>
      </c>
      <c r="EL64" s="177" t="s">
        <v>307</v>
      </c>
      <c r="EM64" s="177" t="s">
        <v>307</v>
      </c>
      <c r="EN64" s="177" t="s">
        <v>307</v>
      </c>
      <c r="EO64" s="177">
        <v>6.625</v>
      </c>
      <c r="EP64" s="177" t="s">
        <v>299</v>
      </c>
      <c r="EQ64" s="177">
        <v>0.875</v>
      </c>
      <c r="ER64" s="177">
        <v>0.875</v>
      </c>
      <c r="ES64" s="177">
        <v>7.7288443996415896</v>
      </c>
      <c r="ET64" s="194" t="s">
        <v>174</v>
      </c>
      <c r="EU64" s="195">
        <v>3.8341682424334403E-2</v>
      </c>
      <c r="EV64" s="195">
        <v>3.8341682424334403E-2</v>
      </c>
      <c r="EW64" s="178">
        <v>867.51859249440804</v>
      </c>
      <c r="EX64" s="194">
        <v>0</v>
      </c>
      <c r="EY64" s="194" t="s">
        <v>308</v>
      </c>
      <c r="EZ64" s="178">
        <v>867.51859249440804</v>
      </c>
      <c r="FA64" s="178">
        <v>273.21234687918195</v>
      </c>
      <c r="FB64" s="178">
        <v>199.26076486269801</v>
      </c>
      <c r="FC64" s="196" t="s">
        <v>309</v>
      </c>
      <c r="FD64" s="177" t="s">
        <v>311</v>
      </c>
      <c r="FE64" s="177">
        <v>2251.92350453883</v>
      </c>
      <c r="FF64" s="177">
        <v>424.53798396184902</v>
      </c>
      <c r="FG64" s="177">
        <v>343.05145213638798</v>
      </c>
      <c r="FH64" s="177">
        <v>2057.6533369666399</v>
      </c>
      <c r="FI64" s="177">
        <v>423.210610644859</v>
      </c>
      <c r="FJ64" s="177">
        <v>335.06124206794698</v>
      </c>
      <c r="FK64" s="177" t="s">
        <v>175</v>
      </c>
      <c r="FL64" s="177" t="s">
        <v>175</v>
      </c>
      <c r="FM64" s="177" t="s">
        <v>175</v>
      </c>
      <c r="FN64" s="177" t="s">
        <v>175</v>
      </c>
      <c r="FO64" s="177" t="s">
        <v>175</v>
      </c>
      <c r="FP64" s="177" t="s">
        <v>175</v>
      </c>
      <c r="FQ64" s="177" t="s">
        <v>319</v>
      </c>
    </row>
    <row r="65" spans="1:173" s="177" customFormat="1">
      <c r="A65" s="128" t="s">
        <v>152</v>
      </c>
      <c r="B65" s="177" t="s">
        <v>156</v>
      </c>
      <c r="C65" s="177">
        <v>2020</v>
      </c>
      <c r="D65" s="177" t="s">
        <v>194</v>
      </c>
      <c r="E65" s="142">
        <v>40139.675140380859</v>
      </c>
      <c r="F65" s="177">
        <v>2.82</v>
      </c>
      <c r="G65" s="177">
        <v>2.82</v>
      </c>
      <c r="H65" s="179">
        <v>941.36194453005805</v>
      </c>
      <c r="I65" s="179">
        <v>339.49276199215205</v>
      </c>
      <c r="J65" s="179">
        <v>228.40989693579604</v>
      </c>
      <c r="K65" s="177" t="s">
        <v>157</v>
      </c>
      <c r="L65" s="180" t="s">
        <v>158</v>
      </c>
      <c r="M65" s="181" t="s">
        <v>195</v>
      </c>
      <c r="N65" s="177" t="s">
        <v>194</v>
      </c>
      <c r="O65" s="177" t="s">
        <v>198</v>
      </c>
      <c r="P65" s="177" t="s">
        <v>201</v>
      </c>
      <c r="Q65" s="177">
        <v>5</v>
      </c>
      <c r="R65" s="177">
        <v>1</v>
      </c>
      <c r="S65" s="177">
        <v>5</v>
      </c>
      <c r="T65" s="177">
        <v>7</v>
      </c>
      <c r="U65" s="177">
        <v>31.86</v>
      </c>
      <c r="V65" s="177">
        <v>35.075981140136719</v>
      </c>
      <c r="W65" s="177" t="s">
        <v>217</v>
      </c>
      <c r="X65" s="177" t="s">
        <v>206</v>
      </c>
      <c r="Y65" s="182">
        <v>18.4404</v>
      </c>
      <c r="Z65" s="182">
        <v>-179.55500000000001</v>
      </c>
      <c r="AA65" s="182">
        <v>11.3</v>
      </c>
      <c r="AB65" s="183" t="s">
        <v>162</v>
      </c>
      <c r="AC65" s="183">
        <v>-1518</v>
      </c>
      <c r="AD65" s="183">
        <v>-1400</v>
      </c>
      <c r="AE65" s="177" t="s">
        <v>211</v>
      </c>
      <c r="AF65" s="177" t="s">
        <v>160</v>
      </c>
      <c r="AG65" s="142">
        <v>40139.675140380859</v>
      </c>
      <c r="AH65" s="184" t="s">
        <v>215</v>
      </c>
      <c r="AI65" s="177">
        <v>2.82</v>
      </c>
      <c r="AJ65" s="177">
        <v>2.82</v>
      </c>
      <c r="AK65" s="177" t="s">
        <v>214</v>
      </c>
      <c r="AL65" s="177" t="s">
        <v>216</v>
      </c>
      <c r="AM65" s="177" t="s">
        <v>218</v>
      </c>
      <c r="AN65" s="177" t="s">
        <v>162</v>
      </c>
      <c r="AO65" s="177" t="s">
        <v>162</v>
      </c>
      <c r="AP65" s="177" t="s">
        <v>162</v>
      </c>
      <c r="AQ65" s="177" t="s">
        <v>162</v>
      </c>
      <c r="AR65" s="177" t="s">
        <v>162</v>
      </c>
      <c r="AS65" s="177" t="s">
        <v>162</v>
      </c>
      <c r="AT65" s="177" t="s">
        <v>162</v>
      </c>
      <c r="AU65" s="177" t="s">
        <v>225</v>
      </c>
      <c r="AV65" s="177" t="s">
        <v>230</v>
      </c>
      <c r="AW65" s="174" t="s">
        <v>231</v>
      </c>
      <c r="AX65" s="198" t="s">
        <v>321</v>
      </c>
      <c r="AY65" s="184" t="s">
        <v>232</v>
      </c>
      <c r="AZ65" s="177" t="s">
        <v>163</v>
      </c>
      <c r="BA65" s="177" t="s">
        <v>164</v>
      </c>
      <c r="BB65" s="177" t="s">
        <v>238</v>
      </c>
      <c r="BC65" s="177">
        <v>2</v>
      </c>
      <c r="BD65" s="213">
        <v>8.4164235866516876E-2</v>
      </c>
      <c r="BE65" s="187">
        <v>14.522409800270299</v>
      </c>
      <c r="BF65" s="177" t="s">
        <v>233</v>
      </c>
      <c r="BG65" s="177">
        <v>0.23537649627877399</v>
      </c>
      <c r="BH65" s="177">
        <v>0.88</v>
      </c>
      <c r="BI65" s="177" t="s">
        <v>278</v>
      </c>
      <c r="BJ65" s="177" t="s">
        <v>278</v>
      </c>
      <c r="BK65" s="188">
        <v>1.85</v>
      </c>
      <c r="BL65" s="177" t="s">
        <v>278</v>
      </c>
      <c r="BM65" s="177" t="s">
        <v>278</v>
      </c>
      <c r="BN65" s="177" t="s">
        <v>279</v>
      </c>
      <c r="BO65" s="177" t="s">
        <v>280</v>
      </c>
      <c r="BP65" s="189">
        <v>14.5245568181818</v>
      </c>
      <c r="BQ65" s="177" t="s">
        <v>287</v>
      </c>
      <c r="BR65" s="190" t="s">
        <v>288</v>
      </c>
      <c r="BS65" s="177" t="s">
        <v>286</v>
      </c>
      <c r="BT65" s="177" t="s">
        <v>289</v>
      </c>
      <c r="BU65" s="177">
        <v>25</v>
      </c>
      <c r="BV65" s="177" t="s">
        <v>165</v>
      </c>
      <c r="BW65" s="177" t="s">
        <v>165</v>
      </c>
      <c r="BX65" s="187">
        <v>32.459925667906198</v>
      </c>
      <c r="BY65" s="177" t="s">
        <v>290</v>
      </c>
      <c r="BZ65" s="186">
        <v>0.68421967156658103</v>
      </c>
      <c r="CA65" s="186">
        <v>0.66494190045738599</v>
      </c>
      <c r="CB65" s="177" t="s">
        <v>291</v>
      </c>
      <c r="CC65" s="177">
        <v>4.4030665158598499</v>
      </c>
      <c r="CD65" s="177" t="s">
        <v>292</v>
      </c>
      <c r="CE65" s="177">
        <v>0.1320919954757955</v>
      </c>
      <c r="CF65" s="177">
        <v>0.1320919954757955</v>
      </c>
      <c r="CG65" s="177" t="s">
        <v>295</v>
      </c>
      <c r="CH65" s="177" t="s">
        <v>162</v>
      </c>
      <c r="CI65" s="177" t="s">
        <v>293</v>
      </c>
      <c r="CJ65" s="177" t="s">
        <v>296</v>
      </c>
      <c r="CK65" s="177" t="s">
        <v>165</v>
      </c>
      <c r="CL65" s="177" t="s">
        <v>165</v>
      </c>
      <c r="CM65" s="177" t="s">
        <v>294</v>
      </c>
      <c r="CN65" s="177" t="s">
        <v>162</v>
      </c>
      <c r="CO65" s="177" t="s">
        <v>162</v>
      </c>
      <c r="CP65" s="177" t="s">
        <v>162</v>
      </c>
      <c r="CQ65" s="177" t="s">
        <v>162</v>
      </c>
      <c r="CR65" s="177" t="s">
        <v>162</v>
      </c>
      <c r="CS65" s="177" t="s">
        <v>162</v>
      </c>
      <c r="CT65" s="177" t="s">
        <v>162</v>
      </c>
      <c r="CU65" s="191">
        <v>35</v>
      </c>
      <c r="CV65" s="177" t="s">
        <v>161</v>
      </c>
      <c r="CW65" s="177">
        <v>1</v>
      </c>
      <c r="CX65" s="177" t="s">
        <v>297</v>
      </c>
      <c r="CY65" s="177">
        <v>17</v>
      </c>
      <c r="CZ65" s="177" t="s">
        <v>170</v>
      </c>
      <c r="DA65" s="177" t="s">
        <v>170</v>
      </c>
      <c r="DB65" s="177" t="s">
        <v>298</v>
      </c>
      <c r="DC65" s="177">
        <v>38</v>
      </c>
      <c r="DD65" s="177" t="s">
        <v>170</v>
      </c>
      <c r="DE65" s="177" t="s">
        <v>170</v>
      </c>
      <c r="DF65" s="177" t="s">
        <v>298</v>
      </c>
      <c r="DG65" s="177" t="s">
        <v>166</v>
      </c>
      <c r="DH65" s="177" t="s">
        <v>167</v>
      </c>
      <c r="DI65" s="177" t="s">
        <v>167</v>
      </c>
      <c r="DJ65" s="177" t="s">
        <v>167</v>
      </c>
      <c r="DK65" s="192">
        <v>432.56244218316402</v>
      </c>
      <c r="DL65" s="177" t="s">
        <v>168</v>
      </c>
      <c r="DM65" s="192">
        <v>12.358926919520901</v>
      </c>
      <c r="DN65" s="177" t="s">
        <v>169</v>
      </c>
      <c r="DO65" s="177">
        <v>38.700000000000003</v>
      </c>
      <c r="DP65" s="177" t="s">
        <v>299</v>
      </c>
      <c r="DQ65" s="177">
        <v>0.2</v>
      </c>
      <c r="DR65" s="177" t="s">
        <v>300</v>
      </c>
      <c r="DS65" s="177" t="s">
        <v>301</v>
      </c>
      <c r="DT65" s="177" t="s">
        <v>302</v>
      </c>
      <c r="DU65" s="177">
        <v>1.0271999999999999</v>
      </c>
      <c r="DV65" s="177" t="s">
        <v>170</v>
      </c>
      <c r="DW65" s="177" t="s">
        <v>170</v>
      </c>
      <c r="DX65" s="177" t="s">
        <v>177</v>
      </c>
      <c r="DY65" s="177" t="s">
        <v>170</v>
      </c>
      <c r="DZ65" s="177" t="s">
        <v>170</v>
      </c>
      <c r="EA65" s="177" t="s">
        <v>303</v>
      </c>
      <c r="EB65" s="177" t="s">
        <v>171</v>
      </c>
      <c r="EC65" s="177" t="s">
        <v>304</v>
      </c>
      <c r="ED65" s="177" t="s">
        <v>304</v>
      </c>
      <c r="EE65" s="177" t="s">
        <v>304</v>
      </c>
      <c r="EF65" s="177" t="s">
        <v>304</v>
      </c>
      <c r="EG65" s="177" t="s">
        <v>162</v>
      </c>
      <c r="EH65" s="177" t="s">
        <v>312</v>
      </c>
      <c r="EI65" s="177" t="s">
        <v>313</v>
      </c>
      <c r="EJ65" s="177" t="s">
        <v>314</v>
      </c>
      <c r="EK65" s="177" t="s">
        <v>307</v>
      </c>
      <c r="EL65" s="177" t="s">
        <v>307</v>
      </c>
      <c r="EM65" s="177" t="s">
        <v>307</v>
      </c>
      <c r="EN65" s="177" t="s">
        <v>307</v>
      </c>
      <c r="EO65" s="177">
        <v>6.625</v>
      </c>
      <c r="EP65" s="177" t="s">
        <v>299</v>
      </c>
      <c r="EQ65" s="177">
        <v>0.875</v>
      </c>
      <c r="ER65" s="177">
        <v>0.875</v>
      </c>
      <c r="ES65" s="177">
        <v>7.7454239972892296</v>
      </c>
      <c r="ET65" s="194" t="s">
        <v>174</v>
      </c>
      <c r="EU65" s="195">
        <v>3.7045217893765102E-2</v>
      </c>
      <c r="EV65" s="195">
        <v>3.7045217893765102E-2</v>
      </c>
      <c r="EW65" s="178">
        <v>941.36194453005805</v>
      </c>
      <c r="EX65" s="194">
        <v>0</v>
      </c>
      <c r="EY65" s="194" t="s">
        <v>308</v>
      </c>
      <c r="EZ65" s="178">
        <v>941.36194453005805</v>
      </c>
      <c r="FA65" s="178">
        <v>339.49276199215205</v>
      </c>
      <c r="FB65" s="178">
        <v>228.40989693579604</v>
      </c>
      <c r="FC65" s="196" t="s">
        <v>309</v>
      </c>
      <c r="FD65" s="177" t="s">
        <v>311</v>
      </c>
      <c r="FE65" s="177">
        <v>2480.8376024784402</v>
      </c>
      <c r="FF65" s="177">
        <v>535.68215937498405</v>
      </c>
      <c r="FG65" s="177">
        <v>456.28478439927102</v>
      </c>
      <c r="FH65" s="177">
        <v>2305.04005777882</v>
      </c>
      <c r="FI65" s="177">
        <v>543.47902848386798</v>
      </c>
      <c r="FJ65" s="177">
        <v>441.16659361639898</v>
      </c>
      <c r="FK65" s="177" t="s">
        <v>175</v>
      </c>
      <c r="FL65" s="177" t="s">
        <v>175</v>
      </c>
      <c r="FM65" s="177" t="s">
        <v>175</v>
      </c>
      <c r="FN65" s="177" t="s">
        <v>175</v>
      </c>
      <c r="FO65" s="177" t="s">
        <v>175</v>
      </c>
      <c r="FP65" s="177" t="s">
        <v>175</v>
      </c>
      <c r="FQ65" s="177" t="s">
        <v>319</v>
      </c>
    </row>
    <row r="66" spans="1:173" s="177" customFormat="1">
      <c r="A66" s="128" t="s">
        <v>152</v>
      </c>
      <c r="B66" s="177" t="s">
        <v>156</v>
      </c>
      <c r="C66" s="177">
        <v>2020</v>
      </c>
      <c r="D66" s="177" t="s">
        <v>194</v>
      </c>
      <c r="E66" s="142">
        <v>40168.716430664062</v>
      </c>
      <c r="F66" s="177">
        <v>2.82</v>
      </c>
      <c r="G66" s="177">
        <v>2.82</v>
      </c>
      <c r="H66" s="179">
        <v>951.03896963957095</v>
      </c>
      <c r="I66" s="179">
        <v>343.78230272371911</v>
      </c>
      <c r="J66" s="179">
        <v>238.03578179368492</v>
      </c>
      <c r="K66" s="177" t="s">
        <v>157</v>
      </c>
      <c r="L66" s="180" t="s">
        <v>158</v>
      </c>
      <c r="M66" s="181" t="s">
        <v>195</v>
      </c>
      <c r="N66" s="177" t="s">
        <v>194</v>
      </c>
      <c r="O66" s="177" t="s">
        <v>198</v>
      </c>
      <c r="P66" s="177" t="s">
        <v>201</v>
      </c>
      <c r="Q66" s="177">
        <v>5</v>
      </c>
      <c r="R66" s="177">
        <v>1</v>
      </c>
      <c r="S66" s="177">
        <v>15</v>
      </c>
      <c r="T66" s="177">
        <f>S66+2</f>
        <v>17</v>
      </c>
      <c r="U66" s="177">
        <v>31.96</v>
      </c>
      <c r="V66" s="177">
        <v>35.171379089355469</v>
      </c>
      <c r="W66" s="177" t="s">
        <v>217</v>
      </c>
      <c r="X66" s="177" t="s">
        <v>206</v>
      </c>
      <c r="Y66" s="182">
        <v>18.4404</v>
      </c>
      <c r="Z66" s="182">
        <v>-179.55500000000001</v>
      </c>
      <c r="AA66" s="182">
        <v>11.3</v>
      </c>
      <c r="AB66" s="183" t="s">
        <v>162</v>
      </c>
      <c r="AC66" s="183">
        <v>-1518</v>
      </c>
      <c r="AD66" s="183">
        <v>-1400</v>
      </c>
      <c r="AE66" s="177" t="s">
        <v>211</v>
      </c>
      <c r="AF66" s="177" t="s">
        <v>160</v>
      </c>
      <c r="AG66" s="142">
        <v>40168.716430664062</v>
      </c>
      <c r="AH66" s="184" t="s">
        <v>215</v>
      </c>
      <c r="AI66" s="177">
        <v>2.82</v>
      </c>
      <c r="AJ66" s="177">
        <v>2.82</v>
      </c>
      <c r="AK66" s="177" t="s">
        <v>214</v>
      </c>
      <c r="AL66" s="177" t="s">
        <v>216</v>
      </c>
      <c r="AM66" s="177" t="s">
        <v>218</v>
      </c>
      <c r="AN66" s="177" t="s">
        <v>162</v>
      </c>
      <c r="AO66" s="177" t="s">
        <v>162</v>
      </c>
      <c r="AP66" s="177" t="s">
        <v>162</v>
      </c>
      <c r="AQ66" s="177" t="s">
        <v>162</v>
      </c>
      <c r="AR66" s="177" t="s">
        <v>162</v>
      </c>
      <c r="AS66" s="177" t="s">
        <v>162</v>
      </c>
      <c r="AT66" s="177" t="s">
        <v>162</v>
      </c>
      <c r="AU66" s="177" t="s">
        <v>226</v>
      </c>
      <c r="AV66" s="177" t="s">
        <v>230</v>
      </c>
      <c r="AW66" s="174">
        <v>201</v>
      </c>
      <c r="AX66" s="185">
        <v>1.9790000000000001</v>
      </c>
      <c r="AY66" s="184" t="s">
        <v>232</v>
      </c>
      <c r="AZ66" s="177" t="s">
        <v>163</v>
      </c>
      <c r="BA66" s="177" t="s">
        <v>164</v>
      </c>
      <c r="BB66" s="177" t="s">
        <v>253</v>
      </c>
      <c r="BC66" s="177">
        <v>2</v>
      </c>
      <c r="BD66" s="186">
        <v>0.12165635629390791</v>
      </c>
      <c r="BE66" s="187">
        <v>14.108486542101801</v>
      </c>
      <c r="BF66" s="177" t="s">
        <v>233</v>
      </c>
      <c r="BG66" s="177">
        <v>0.26845199109808299</v>
      </c>
      <c r="BH66" s="177">
        <v>0.88</v>
      </c>
      <c r="BI66" s="177" t="s">
        <v>278</v>
      </c>
      <c r="BJ66" s="177" t="s">
        <v>278</v>
      </c>
      <c r="BK66" s="188">
        <v>1.85</v>
      </c>
      <c r="BL66" s="177" t="s">
        <v>278</v>
      </c>
      <c r="BM66" s="177" t="s">
        <v>278</v>
      </c>
      <c r="BN66" s="177" t="s">
        <v>279</v>
      </c>
      <c r="BO66" s="177" t="s">
        <v>280</v>
      </c>
      <c r="BP66" s="189">
        <v>14.054193181818199</v>
      </c>
      <c r="BQ66" s="177" t="s">
        <v>287</v>
      </c>
      <c r="BR66" s="190" t="s">
        <v>288</v>
      </c>
      <c r="BS66" s="177" t="s">
        <v>286</v>
      </c>
      <c r="BT66" s="177" t="s">
        <v>289</v>
      </c>
      <c r="BU66" s="177">
        <v>25</v>
      </c>
      <c r="BV66" s="177" t="s">
        <v>165</v>
      </c>
      <c r="BW66" s="177" t="s">
        <v>165</v>
      </c>
      <c r="BX66" s="187">
        <v>33.807204392296903</v>
      </c>
      <c r="BY66" s="177" t="s">
        <v>290</v>
      </c>
      <c r="BZ66" s="186">
        <v>0.69940742161387703</v>
      </c>
      <c r="CA66" s="186">
        <v>0.71099776450811403</v>
      </c>
      <c r="CB66" s="177" t="s">
        <v>291</v>
      </c>
      <c r="CC66" s="177">
        <v>4.9917055770780596</v>
      </c>
      <c r="CD66" s="177" t="s">
        <v>292</v>
      </c>
      <c r="CE66" s="177">
        <v>0.14975116731234178</v>
      </c>
      <c r="CF66" s="177">
        <v>0.14975116731234178</v>
      </c>
      <c r="CG66" s="177" t="s">
        <v>295</v>
      </c>
      <c r="CH66" s="177" t="s">
        <v>162</v>
      </c>
      <c r="CI66" s="177" t="s">
        <v>293</v>
      </c>
      <c r="CJ66" s="177" t="s">
        <v>296</v>
      </c>
      <c r="CK66" s="177" t="s">
        <v>165</v>
      </c>
      <c r="CL66" s="177" t="s">
        <v>165</v>
      </c>
      <c r="CM66" s="177" t="s">
        <v>294</v>
      </c>
      <c r="CN66" s="177" t="s">
        <v>162</v>
      </c>
      <c r="CO66" s="177" t="s">
        <v>162</v>
      </c>
      <c r="CP66" s="177" t="s">
        <v>162</v>
      </c>
      <c r="CQ66" s="177" t="s">
        <v>162</v>
      </c>
      <c r="CR66" s="177" t="s">
        <v>162</v>
      </c>
      <c r="CS66" s="177" t="s">
        <v>162</v>
      </c>
      <c r="CT66" s="177" t="s">
        <v>162</v>
      </c>
      <c r="CU66" s="191">
        <v>35</v>
      </c>
      <c r="CV66" s="177" t="s">
        <v>161</v>
      </c>
      <c r="CW66" s="177">
        <v>1</v>
      </c>
      <c r="CX66" s="177" t="s">
        <v>297</v>
      </c>
      <c r="CY66" s="177">
        <v>17</v>
      </c>
      <c r="CZ66" s="177" t="s">
        <v>170</v>
      </c>
      <c r="DA66" s="177" t="s">
        <v>170</v>
      </c>
      <c r="DB66" s="177" t="s">
        <v>298</v>
      </c>
      <c r="DC66" s="177">
        <v>38</v>
      </c>
      <c r="DD66" s="177" t="s">
        <v>170</v>
      </c>
      <c r="DE66" s="177" t="s">
        <v>170</v>
      </c>
      <c r="DF66" s="177" t="s">
        <v>298</v>
      </c>
      <c r="DG66" s="177" t="s">
        <v>166</v>
      </c>
      <c r="DH66" s="177" t="s">
        <v>167</v>
      </c>
      <c r="DI66" s="177" t="s">
        <v>167</v>
      </c>
      <c r="DJ66" s="177" t="s">
        <v>167</v>
      </c>
      <c r="DK66" s="192">
        <v>432.56244218316402</v>
      </c>
      <c r="DL66" s="177" t="s">
        <v>168</v>
      </c>
      <c r="DM66" s="192">
        <v>12.358926919521</v>
      </c>
      <c r="DN66" s="177" t="s">
        <v>169</v>
      </c>
      <c r="DO66" s="177">
        <v>38.700000000000003</v>
      </c>
      <c r="DP66" s="177" t="s">
        <v>299</v>
      </c>
      <c r="DQ66" s="177">
        <v>0.2</v>
      </c>
      <c r="DR66" s="177" t="s">
        <v>300</v>
      </c>
      <c r="DS66" s="177" t="s">
        <v>301</v>
      </c>
      <c r="DT66" s="177" t="s">
        <v>302</v>
      </c>
      <c r="DU66" s="177">
        <v>1.0271999999999999</v>
      </c>
      <c r="DV66" s="177" t="s">
        <v>170</v>
      </c>
      <c r="DW66" s="177" t="s">
        <v>170</v>
      </c>
      <c r="DX66" s="177" t="s">
        <v>177</v>
      </c>
      <c r="DY66" s="177" t="s">
        <v>170</v>
      </c>
      <c r="DZ66" s="177" t="s">
        <v>170</v>
      </c>
      <c r="EA66" s="177" t="s">
        <v>303</v>
      </c>
      <c r="EB66" s="177" t="s">
        <v>171</v>
      </c>
      <c r="EC66" s="177" t="s">
        <v>304</v>
      </c>
      <c r="ED66" s="177" t="s">
        <v>304</v>
      </c>
      <c r="EE66" s="177" t="s">
        <v>304</v>
      </c>
      <c r="EF66" s="177" t="s">
        <v>304</v>
      </c>
      <c r="EG66" s="177" t="s">
        <v>162</v>
      </c>
      <c r="EH66" s="177" t="s">
        <v>312</v>
      </c>
      <c r="EI66" s="177" t="s">
        <v>313</v>
      </c>
      <c r="EJ66" s="177" t="s">
        <v>314</v>
      </c>
      <c r="EK66" s="177" t="s">
        <v>307</v>
      </c>
      <c r="EL66" s="177" t="s">
        <v>307</v>
      </c>
      <c r="EM66" s="177" t="s">
        <v>307</v>
      </c>
      <c r="EN66" s="177" t="s">
        <v>307</v>
      </c>
      <c r="EO66" s="177">
        <v>6.625</v>
      </c>
      <c r="EP66" s="177" t="s">
        <v>299</v>
      </c>
      <c r="EQ66" s="177">
        <v>0.875</v>
      </c>
      <c r="ER66" s="177">
        <v>0.875</v>
      </c>
      <c r="ES66" s="177">
        <v>7.6580987596337398</v>
      </c>
      <c r="ET66" s="194" t="s">
        <v>174</v>
      </c>
      <c r="EU66" s="195">
        <v>4.2053825530737998E-2</v>
      </c>
      <c r="EV66" s="195">
        <v>4.2053825530737998E-2</v>
      </c>
      <c r="EW66" s="178">
        <v>951.03896963957095</v>
      </c>
      <c r="EX66" s="194">
        <v>0</v>
      </c>
      <c r="EY66" s="194" t="s">
        <v>308</v>
      </c>
      <c r="EZ66" s="178">
        <v>951.03896963957095</v>
      </c>
      <c r="FA66" s="178">
        <v>343.78230272371911</v>
      </c>
      <c r="FB66" s="178">
        <v>238.03578179368492</v>
      </c>
      <c r="FC66" s="196" t="s">
        <v>309</v>
      </c>
      <c r="FD66" s="177" t="s">
        <v>311</v>
      </c>
      <c r="FE66" s="177">
        <v>2422.3520445874501</v>
      </c>
      <c r="FF66" s="177">
        <v>515.14788592232196</v>
      </c>
      <c r="FG66" s="177">
        <v>462.137071743891</v>
      </c>
      <c r="FH66" s="177">
        <v>2247.15469892288</v>
      </c>
      <c r="FI66" s="177">
        <v>511.93054651731399</v>
      </c>
      <c r="FJ66" s="177">
        <v>454.86545496229098</v>
      </c>
      <c r="FK66" s="177" t="s">
        <v>175</v>
      </c>
      <c r="FL66" s="177" t="s">
        <v>175</v>
      </c>
      <c r="FM66" s="177" t="s">
        <v>175</v>
      </c>
      <c r="FN66" s="177" t="s">
        <v>175</v>
      </c>
      <c r="FO66" s="177" t="s">
        <v>175</v>
      </c>
      <c r="FP66" s="177" t="s">
        <v>175</v>
      </c>
      <c r="FQ66" s="177" t="s">
        <v>319</v>
      </c>
    </row>
    <row r="67" spans="1:173" s="177" customFormat="1">
      <c r="A67" s="128" t="s">
        <v>152</v>
      </c>
      <c r="B67" s="177" t="s">
        <v>156</v>
      </c>
      <c r="C67" s="177">
        <v>2020</v>
      </c>
      <c r="D67" s="177" t="s">
        <v>194</v>
      </c>
      <c r="E67" s="142">
        <v>40244.403839111328</v>
      </c>
      <c r="F67" s="177">
        <v>16.91</v>
      </c>
      <c r="G67" s="177">
        <v>16.91</v>
      </c>
      <c r="H67" s="179">
        <v>1120.5168265375</v>
      </c>
      <c r="I67" s="179">
        <v>465.17637627396994</v>
      </c>
      <c r="J67" s="179">
        <v>326.63682299877507</v>
      </c>
      <c r="K67" s="177" t="s">
        <v>157</v>
      </c>
      <c r="L67" s="180" t="s">
        <v>158</v>
      </c>
      <c r="M67" s="181" t="s">
        <v>195</v>
      </c>
      <c r="N67" s="177" t="s">
        <v>194</v>
      </c>
      <c r="O67" s="177" t="s">
        <v>198</v>
      </c>
      <c r="P67" s="177" t="s">
        <v>201</v>
      </c>
      <c r="Q67" s="177">
        <v>5</v>
      </c>
      <c r="R67" s="177">
        <v>1</v>
      </c>
      <c r="S67" s="177">
        <v>35</v>
      </c>
      <c r="T67" s="177">
        <v>47</v>
      </c>
      <c r="U67" s="177">
        <v>32.21</v>
      </c>
      <c r="V67" s="177">
        <v>35.420000076293945</v>
      </c>
      <c r="W67" s="177" t="s">
        <v>217</v>
      </c>
      <c r="X67" s="177" t="s">
        <v>206</v>
      </c>
      <c r="Y67" s="182">
        <v>18.4404</v>
      </c>
      <c r="Z67" s="182">
        <v>-179.55500000000001</v>
      </c>
      <c r="AA67" s="182">
        <v>11.3</v>
      </c>
      <c r="AB67" s="183" t="s">
        <v>162</v>
      </c>
      <c r="AC67" s="183">
        <v>-1518</v>
      </c>
      <c r="AD67" s="183">
        <v>-1400</v>
      </c>
      <c r="AE67" s="177" t="s">
        <v>211</v>
      </c>
      <c r="AF67" s="177" t="s">
        <v>160</v>
      </c>
      <c r="AG67" s="142">
        <v>40244.403839111328</v>
      </c>
      <c r="AH67" s="184" t="s">
        <v>215</v>
      </c>
      <c r="AI67" s="177">
        <v>16.91</v>
      </c>
      <c r="AJ67" s="177">
        <v>16.91</v>
      </c>
      <c r="AK67" s="177" t="s">
        <v>214</v>
      </c>
      <c r="AL67" s="177" t="s">
        <v>216</v>
      </c>
      <c r="AM67" s="177" t="s">
        <v>218</v>
      </c>
      <c r="AN67" s="177" t="s">
        <v>162</v>
      </c>
      <c r="AO67" s="177" t="s">
        <v>162</v>
      </c>
      <c r="AP67" s="177" t="s">
        <v>162</v>
      </c>
      <c r="AQ67" s="177" t="s">
        <v>162</v>
      </c>
      <c r="AR67" s="177" t="s">
        <v>162</v>
      </c>
      <c r="AS67" s="177" t="s">
        <v>162</v>
      </c>
      <c r="AT67" s="177" t="s">
        <v>162</v>
      </c>
      <c r="AU67" s="177" t="s">
        <v>226</v>
      </c>
      <c r="AV67" s="177" t="s">
        <v>230</v>
      </c>
      <c r="AW67" s="174">
        <v>307</v>
      </c>
      <c r="AX67" s="214">
        <v>3.0019999999999998</v>
      </c>
      <c r="AY67" s="184" t="s">
        <v>232</v>
      </c>
      <c r="AZ67" s="177" t="s">
        <v>163</v>
      </c>
      <c r="BA67" s="177" t="s">
        <v>164</v>
      </c>
      <c r="BB67" s="177" t="s">
        <v>254</v>
      </c>
      <c r="BC67" s="177">
        <v>2</v>
      </c>
      <c r="BD67" s="186">
        <v>0.10393409289200761</v>
      </c>
      <c r="BE67" s="187">
        <v>15.0622474937866</v>
      </c>
      <c r="BF67" s="177" t="s">
        <v>233</v>
      </c>
      <c r="BG67" s="177">
        <v>0.24080855890956901</v>
      </c>
      <c r="BH67" s="177">
        <v>0.88</v>
      </c>
      <c r="BI67" s="177" t="s">
        <v>278</v>
      </c>
      <c r="BJ67" s="177" t="s">
        <v>278</v>
      </c>
      <c r="BK67" s="188">
        <v>1.85</v>
      </c>
      <c r="BL67" s="177" t="s">
        <v>278</v>
      </c>
      <c r="BM67" s="177" t="s">
        <v>278</v>
      </c>
      <c r="BN67" s="177" t="s">
        <v>279</v>
      </c>
      <c r="BO67" s="177" t="s">
        <v>280</v>
      </c>
      <c r="BP67" s="189">
        <v>15.1380113636364</v>
      </c>
      <c r="BQ67" s="177" t="s">
        <v>287</v>
      </c>
      <c r="BR67" s="190" t="s">
        <v>288</v>
      </c>
      <c r="BS67" s="177" t="s">
        <v>286</v>
      </c>
      <c r="BT67" s="177" t="s">
        <v>289</v>
      </c>
      <c r="BU67" s="177">
        <v>25</v>
      </c>
      <c r="BV67" s="177" t="s">
        <v>165</v>
      </c>
      <c r="BW67" s="177" t="s">
        <v>165</v>
      </c>
      <c r="BX67" s="187">
        <v>31.42978408251</v>
      </c>
      <c r="BY67" s="177" t="s">
        <v>290</v>
      </c>
      <c r="BZ67" s="186">
        <v>0.60175604705719699</v>
      </c>
      <c r="CA67" s="186">
        <v>0.61902401684895703</v>
      </c>
      <c r="CB67" s="177" t="s">
        <v>291</v>
      </c>
      <c r="CC67" s="177">
        <v>3.9300668002412</v>
      </c>
      <c r="CD67" s="177" t="s">
        <v>292</v>
      </c>
      <c r="CE67" s="177">
        <v>0.11790200400723599</v>
      </c>
      <c r="CF67" s="177">
        <v>0.11790200400723599</v>
      </c>
      <c r="CG67" s="177" t="s">
        <v>295</v>
      </c>
      <c r="CH67" s="177" t="s">
        <v>162</v>
      </c>
      <c r="CI67" s="177" t="s">
        <v>293</v>
      </c>
      <c r="CJ67" s="177" t="s">
        <v>296</v>
      </c>
      <c r="CK67" s="177" t="s">
        <v>165</v>
      </c>
      <c r="CL67" s="177" t="s">
        <v>165</v>
      </c>
      <c r="CM67" s="177" t="s">
        <v>294</v>
      </c>
      <c r="CN67" s="177" t="s">
        <v>162</v>
      </c>
      <c r="CO67" s="177" t="s">
        <v>162</v>
      </c>
      <c r="CP67" s="177" t="s">
        <v>162</v>
      </c>
      <c r="CQ67" s="177" t="s">
        <v>162</v>
      </c>
      <c r="CR67" s="177" t="s">
        <v>162</v>
      </c>
      <c r="CS67" s="177" t="s">
        <v>162</v>
      </c>
      <c r="CT67" s="177" t="s">
        <v>162</v>
      </c>
      <c r="CU67" s="191">
        <v>35</v>
      </c>
      <c r="CV67" s="177" t="s">
        <v>161</v>
      </c>
      <c r="CW67" s="177">
        <v>1</v>
      </c>
      <c r="CX67" s="177" t="s">
        <v>297</v>
      </c>
      <c r="CY67" s="177">
        <v>17</v>
      </c>
      <c r="CZ67" s="177" t="s">
        <v>170</v>
      </c>
      <c r="DA67" s="177" t="s">
        <v>170</v>
      </c>
      <c r="DB67" s="177" t="s">
        <v>298</v>
      </c>
      <c r="DC67" s="177">
        <v>38</v>
      </c>
      <c r="DD67" s="177" t="s">
        <v>170</v>
      </c>
      <c r="DE67" s="177" t="s">
        <v>170</v>
      </c>
      <c r="DF67" s="177" t="s">
        <v>298</v>
      </c>
      <c r="DG67" s="177" t="s">
        <v>166</v>
      </c>
      <c r="DH67" s="177" t="s">
        <v>167</v>
      </c>
      <c r="DI67" s="177" t="s">
        <v>167</v>
      </c>
      <c r="DJ67" s="177" t="s">
        <v>167</v>
      </c>
      <c r="DK67" s="192">
        <v>432.56244218316402</v>
      </c>
      <c r="DL67" s="177" t="s">
        <v>168</v>
      </c>
      <c r="DM67" s="192">
        <v>12.3589269195211</v>
      </c>
      <c r="DN67" s="177" t="s">
        <v>169</v>
      </c>
      <c r="DO67" s="177">
        <v>38.700000000000003</v>
      </c>
      <c r="DP67" s="177" t="s">
        <v>299</v>
      </c>
      <c r="DQ67" s="177">
        <v>0.2</v>
      </c>
      <c r="DR67" s="177" t="s">
        <v>300</v>
      </c>
      <c r="DS67" s="177" t="s">
        <v>301</v>
      </c>
      <c r="DT67" s="177" t="s">
        <v>302</v>
      </c>
      <c r="DU67" s="177">
        <v>1.0271999999999999</v>
      </c>
      <c r="DV67" s="177" t="s">
        <v>170</v>
      </c>
      <c r="DW67" s="177" t="s">
        <v>170</v>
      </c>
      <c r="DX67" s="177" t="s">
        <v>177</v>
      </c>
      <c r="DY67" s="177" t="s">
        <v>170</v>
      </c>
      <c r="DZ67" s="177" t="s">
        <v>170</v>
      </c>
      <c r="EA67" s="177" t="s">
        <v>303</v>
      </c>
      <c r="EB67" s="177" t="s">
        <v>171</v>
      </c>
      <c r="EC67" s="177" t="s">
        <v>304</v>
      </c>
      <c r="ED67" s="177" t="s">
        <v>304</v>
      </c>
      <c r="EE67" s="177" t="s">
        <v>304</v>
      </c>
      <c r="EF67" s="177" t="s">
        <v>304</v>
      </c>
      <c r="EG67" s="177" t="s">
        <v>162</v>
      </c>
      <c r="EH67" s="177" t="s">
        <v>312</v>
      </c>
      <c r="EI67" s="177" t="s">
        <v>313</v>
      </c>
      <c r="EJ67" s="177" t="s">
        <v>314</v>
      </c>
      <c r="EK67" s="177" t="s">
        <v>307</v>
      </c>
      <c r="EL67" s="177" t="s">
        <v>307</v>
      </c>
      <c r="EM67" s="177" t="s">
        <v>307</v>
      </c>
      <c r="EN67" s="177" t="s">
        <v>307</v>
      </c>
      <c r="EO67" s="177">
        <v>6.625</v>
      </c>
      <c r="EP67" s="177" t="s">
        <v>299</v>
      </c>
      <c r="EQ67" s="177">
        <v>0.875</v>
      </c>
      <c r="ER67" s="177">
        <v>0.875</v>
      </c>
      <c r="ES67" s="177">
        <v>7.84281722783577</v>
      </c>
      <c r="ET67" s="194" t="s">
        <v>174</v>
      </c>
      <c r="EU67" s="195">
        <v>3.3339042053861401E-2</v>
      </c>
      <c r="EV67" s="195">
        <v>3.3339042053861401E-2</v>
      </c>
      <c r="EW67" s="178">
        <v>1120.5168265375</v>
      </c>
      <c r="EX67" s="194">
        <v>0</v>
      </c>
      <c r="EY67" s="194" t="s">
        <v>308</v>
      </c>
      <c r="EZ67" s="178">
        <v>1120.5168265375</v>
      </c>
      <c r="FA67" s="178">
        <v>465.17637627396994</v>
      </c>
      <c r="FB67" s="178">
        <v>326.63682299877507</v>
      </c>
      <c r="FC67" s="196" t="s">
        <v>309</v>
      </c>
      <c r="FD67" s="177" t="s">
        <v>311</v>
      </c>
      <c r="FE67" s="177">
        <v>2553.4770723708498</v>
      </c>
      <c r="FF67" s="177">
        <v>601.44637363690902</v>
      </c>
      <c r="FG67" s="177">
        <v>523.70626122967803</v>
      </c>
      <c r="FH67" s="177">
        <v>2440.6474685180801</v>
      </c>
      <c r="FI67" s="177">
        <v>623.19871022927805</v>
      </c>
      <c r="FJ67" s="177">
        <v>514.80758927141096</v>
      </c>
      <c r="FK67" s="177" t="s">
        <v>175</v>
      </c>
      <c r="FL67" s="177" t="s">
        <v>175</v>
      </c>
      <c r="FM67" s="177" t="s">
        <v>175</v>
      </c>
      <c r="FN67" s="177" t="s">
        <v>175</v>
      </c>
      <c r="FO67" s="177" t="s">
        <v>175</v>
      </c>
      <c r="FP67" s="177" t="s">
        <v>175</v>
      </c>
      <c r="FQ67" s="177" t="s">
        <v>319</v>
      </c>
    </row>
    <row r="68" spans="1:173" s="177" customFormat="1">
      <c r="A68" s="128" t="s">
        <v>152</v>
      </c>
      <c r="B68" s="177" t="s">
        <v>156</v>
      </c>
      <c r="C68" s="177">
        <v>2020</v>
      </c>
      <c r="D68" s="177" t="s">
        <v>194</v>
      </c>
      <c r="E68" s="142">
        <v>40309.352874755859</v>
      </c>
      <c r="F68" s="177">
        <v>16.95</v>
      </c>
      <c r="G68" s="177">
        <v>16.95</v>
      </c>
      <c r="H68" s="179">
        <v>1042.6182219877001</v>
      </c>
      <c r="I68" s="179">
        <v>338.15183862823005</v>
      </c>
      <c r="J68" s="179">
        <v>258.1484829319121</v>
      </c>
      <c r="K68" s="177" t="s">
        <v>157</v>
      </c>
      <c r="L68" s="180" t="s">
        <v>158</v>
      </c>
      <c r="M68" s="181" t="s">
        <v>195</v>
      </c>
      <c r="N68" s="177" t="s">
        <v>194</v>
      </c>
      <c r="O68" s="177" t="s">
        <v>198</v>
      </c>
      <c r="P68" s="177" t="s">
        <v>201</v>
      </c>
      <c r="Q68" s="177">
        <v>5</v>
      </c>
      <c r="R68" s="177">
        <v>1</v>
      </c>
      <c r="S68" s="177">
        <v>55</v>
      </c>
      <c r="T68" s="177">
        <v>67</v>
      </c>
      <c r="U68" s="177">
        <v>32.409999999999997</v>
      </c>
      <c r="V68" s="177">
        <v>35.633332570393883</v>
      </c>
      <c r="W68" s="177" t="s">
        <v>217</v>
      </c>
      <c r="X68" s="177" t="s">
        <v>206</v>
      </c>
      <c r="Y68" s="182">
        <v>18.4404</v>
      </c>
      <c r="Z68" s="182">
        <v>-179.55500000000001</v>
      </c>
      <c r="AA68" s="182">
        <v>11.3</v>
      </c>
      <c r="AB68" s="183" t="s">
        <v>162</v>
      </c>
      <c r="AC68" s="183">
        <v>-1518</v>
      </c>
      <c r="AD68" s="183">
        <v>-1400</v>
      </c>
      <c r="AE68" s="177" t="s">
        <v>211</v>
      </c>
      <c r="AF68" s="177" t="s">
        <v>160</v>
      </c>
      <c r="AG68" s="142">
        <v>40309.352874755859</v>
      </c>
      <c r="AH68" s="184" t="s">
        <v>215</v>
      </c>
      <c r="AI68" s="177">
        <v>16.95</v>
      </c>
      <c r="AJ68" s="177">
        <v>16.95</v>
      </c>
      <c r="AK68" s="177" t="s">
        <v>214</v>
      </c>
      <c r="AL68" s="177" t="s">
        <v>216</v>
      </c>
      <c r="AM68" s="177" t="s">
        <v>218</v>
      </c>
      <c r="AN68" s="177" t="s">
        <v>162</v>
      </c>
      <c r="AO68" s="177" t="s">
        <v>162</v>
      </c>
      <c r="AP68" s="177" t="s">
        <v>162</v>
      </c>
      <c r="AQ68" s="177" t="s">
        <v>162</v>
      </c>
      <c r="AR68" s="177" t="s">
        <v>162</v>
      </c>
      <c r="AS68" s="177" t="s">
        <v>162</v>
      </c>
      <c r="AT68" s="177" t="s">
        <v>162</v>
      </c>
      <c r="AU68" s="177" t="s">
        <v>226</v>
      </c>
      <c r="AV68" s="177" t="s">
        <v>230</v>
      </c>
      <c r="AW68" s="174">
        <v>362</v>
      </c>
      <c r="AX68" s="185">
        <v>3.4420000000000002</v>
      </c>
      <c r="AY68" s="184" t="s">
        <v>232</v>
      </c>
      <c r="AZ68" s="177" t="s">
        <v>163</v>
      </c>
      <c r="BA68" s="177" t="s">
        <v>164</v>
      </c>
      <c r="BB68" s="177" t="s">
        <v>255</v>
      </c>
      <c r="BC68" s="177">
        <v>2</v>
      </c>
      <c r="BD68" s="186">
        <v>1.1610281301638992E-2</v>
      </c>
      <c r="BE68" s="187">
        <v>15.007905118144199</v>
      </c>
      <c r="BF68" s="177" t="s">
        <v>233</v>
      </c>
      <c r="BG68" s="177">
        <v>0.240325267128222</v>
      </c>
      <c r="BH68" s="177">
        <v>0.88</v>
      </c>
      <c r="BI68" s="177" t="s">
        <v>278</v>
      </c>
      <c r="BJ68" s="177" t="s">
        <v>278</v>
      </c>
      <c r="BK68" s="188">
        <v>1.85</v>
      </c>
      <c r="BL68" s="177" t="s">
        <v>278</v>
      </c>
      <c r="BM68" s="177" t="s">
        <v>278</v>
      </c>
      <c r="BN68" s="177" t="s">
        <v>279</v>
      </c>
      <c r="BO68" s="177" t="s">
        <v>280</v>
      </c>
      <c r="BP68" s="189">
        <v>15.0762613636364</v>
      </c>
      <c r="BQ68" s="177" t="s">
        <v>287</v>
      </c>
      <c r="BR68" s="190" t="s">
        <v>288</v>
      </c>
      <c r="BS68" s="177" t="s">
        <v>286</v>
      </c>
      <c r="BT68" s="177" t="s">
        <v>289</v>
      </c>
      <c r="BU68" s="177">
        <v>25</v>
      </c>
      <c r="BV68" s="177" t="s">
        <v>165</v>
      </c>
      <c r="BW68" s="177" t="s">
        <v>165</v>
      </c>
      <c r="BX68" s="187">
        <v>31.307136893373201</v>
      </c>
      <c r="BY68" s="177" t="s">
        <v>290</v>
      </c>
      <c r="BZ68" s="186">
        <v>0.651926522263093</v>
      </c>
      <c r="CA68" s="186">
        <v>0.65006532017667595</v>
      </c>
      <c r="CB68" s="177" t="s">
        <v>291</v>
      </c>
      <c r="CC68" s="177">
        <v>3.9175285616990299</v>
      </c>
      <c r="CD68" s="177" t="s">
        <v>292</v>
      </c>
      <c r="CE68" s="177">
        <v>0.11752585685097089</v>
      </c>
      <c r="CF68" s="177">
        <v>0.11752585685097089</v>
      </c>
      <c r="CG68" s="177" t="s">
        <v>295</v>
      </c>
      <c r="CH68" s="177" t="s">
        <v>162</v>
      </c>
      <c r="CI68" s="177" t="s">
        <v>293</v>
      </c>
      <c r="CJ68" s="177" t="s">
        <v>296</v>
      </c>
      <c r="CK68" s="177" t="s">
        <v>165</v>
      </c>
      <c r="CL68" s="177" t="s">
        <v>165</v>
      </c>
      <c r="CM68" s="177" t="s">
        <v>294</v>
      </c>
      <c r="CN68" s="177" t="s">
        <v>162</v>
      </c>
      <c r="CO68" s="177" t="s">
        <v>162</v>
      </c>
      <c r="CP68" s="177" t="s">
        <v>162</v>
      </c>
      <c r="CQ68" s="177" t="s">
        <v>162</v>
      </c>
      <c r="CR68" s="177" t="s">
        <v>162</v>
      </c>
      <c r="CS68" s="177" t="s">
        <v>162</v>
      </c>
      <c r="CT68" s="177" t="s">
        <v>162</v>
      </c>
      <c r="CU68" s="191">
        <v>35</v>
      </c>
      <c r="CV68" s="177" t="s">
        <v>161</v>
      </c>
      <c r="CW68" s="177">
        <v>1</v>
      </c>
      <c r="CX68" s="177" t="s">
        <v>297</v>
      </c>
      <c r="CY68" s="177">
        <v>17</v>
      </c>
      <c r="CZ68" s="177" t="s">
        <v>170</v>
      </c>
      <c r="DA68" s="177" t="s">
        <v>170</v>
      </c>
      <c r="DB68" s="177" t="s">
        <v>298</v>
      </c>
      <c r="DC68" s="177">
        <v>38</v>
      </c>
      <c r="DD68" s="177" t="s">
        <v>170</v>
      </c>
      <c r="DE68" s="177" t="s">
        <v>170</v>
      </c>
      <c r="DF68" s="177" t="s">
        <v>298</v>
      </c>
      <c r="DG68" s="177" t="s">
        <v>166</v>
      </c>
      <c r="DH68" s="177" t="s">
        <v>167</v>
      </c>
      <c r="DI68" s="177" t="s">
        <v>167</v>
      </c>
      <c r="DJ68" s="177" t="s">
        <v>167</v>
      </c>
      <c r="DK68" s="192">
        <v>432.56244218316402</v>
      </c>
      <c r="DL68" s="177" t="s">
        <v>168</v>
      </c>
      <c r="DM68" s="192">
        <v>12.3589269195213</v>
      </c>
      <c r="DN68" s="177" t="s">
        <v>169</v>
      </c>
      <c r="DO68" s="177">
        <v>38.700000000000003</v>
      </c>
      <c r="DP68" s="177" t="s">
        <v>299</v>
      </c>
      <c r="DQ68" s="177">
        <v>0.2</v>
      </c>
      <c r="DR68" s="177" t="s">
        <v>300</v>
      </c>
      <c r="DS68" s="177" t="s">
        <v>301</v>
      </c>
      <c r="DT68" s="177" t="s">
        <v>302</v>
      </c>
      <c r="DU68" s="177">
        <v>1.0271999999999999</v>
      </c>
      <c r="DV68" s="177" t="s">
        <v>170</v>
      </c>
      <c r="DW68" s="177" t="s">
        <v>170</v>
      </c>
      <c r="DX68" s="177" t="s">
        <v>177</v>
      </c>
      <c r="DY68" s="177" t="s">
        <v>170</v>
      </c>
      <c r="DZ68" s="177" t="s">
        <v>170</v>
      </c>
      <c r="EA68" s="177" t="s">
        <v>303</v>
      </c>
      <c r="EB68" s="177" t="s">
        <v>171</v>
      </c>
      <c r="EC68" s="177" t="s">
        <v>304</v>
      </c>
      <c r="ED68" s="177" t="s">
        <v>304</v>
      </c>
      <c r="EE68" s="177" t="s">
        <v>304</v>
      </c>
      <c r="EF68" s="177" t="s">
        <v>304</v>
      </c>
      <c r="EG68" s="177" t="s">
        <v>162</v>
      </c>
      <c r="EH68" s="177" t="s">
        <v>312</v>
      </c>
      <c r="EI68" s="177" t="s">
        <v>313</v>
      </c>
      <c r="EJ68" s="177" t="s">
        <v>314</v>
      </c>
      <c r="EK68" s="177" t="s">
        <v>307</v>
      </c>
      <c r="EL68" s="177" t="s">
        <v>307</v>
      </c>
      <c r="EM68" s="177" t="s">
        <v>307</v>
      </c>
      <c r="EN68" s="177" t="s">
        <v>307</v>
      </c>
      <c r="EO68" s="177">
        <v>6.625</v>
      </c>
      <c r="EP68" s="177" t="s">
        <v>299</v>
      </c>
      <c r="EQ68" s="177">
        <v>0.875</v>
      </c>
      <c r="ER68" s="177">
        <v>0.875</v>
      </c>
      <c r="ES68" s="177">
        <v>7.8367202853177798</v>
      </c>
      <c r="ET68" s="194" t="s">
        <v>174</v>
      </c>
      <c r="EU68" s="195">
        <v>3.3781455295709098E-2</v>
      </c>
      <c r="EV68" s="195">
        <v>3.3781455295709098E-2</v>
      </c>
      <c r="EW68" s="178">
        <v>1042.6182219877001</v>
      </c>
      <c r="EX68" s="194">
        <v>0</v>
      </c>
      <c r="EY68" s="194" t="s">
        <v>308</v>
      </c>
      <c r="EZ68" s="178">
        <v>1042.6182219877001</v>
      </c>
      <c r="FA68" s="178">
        <v>338.15183862823005</v>
      </c>
      <c r="FB68" s="178">
        <v>258.1484829319121</v>
      </c>
      <c r="FC68" s="196" t="s">
        <v>309</v>
      </c>
      <c r="FD68" s="177" t="s">
        <v>311</v>
      </c>
      <c r="FE68" s="177">
        <v>2363.8706107058001</v>
      </c>
      <c r="FF68" s="177">
        <v>445.98023046379802</v>
      </c>
      <c r="FG68" s="177">
        <v>369.32240717413401</v>
      </c>
      <c r="FH68" s="177">
        <v>2181.9339603261101</v>
      </c>
      <c r="FI68" s="177">
        <v>446.365899545697</v>
      </c>
      <c r="FJ68" s="177">
        <v>374.24661620986899</v>
      </c>
      <c r="FK68" s="177" t="s">
        <v>175</v>
      </c>
      <c r="FL68" s="177" t="s">
        <v>175</v>
      </c>
      <c r="FM68" s="177" t="s">
        <v>175</v>
      </c>
      <c r="FN68" s="177" t="s">
        <v>175</v>
      </c>
      <c r="FO68" s="177" t="s">
        <v>175</v>
      </c>
      <c r="FP68" s="177" t="s">
        <v>175</v>
      </c>
      <c r="FQ68" s="177" t="s">
        <v>319</v>
      </c>
    </row>
    <row r="69" spans="1:173" s="177" customFormat="1">
      <c r="A69" s="128" t="s">
        <v>152</v>
      </c>
      <c r="B69" s="177" t="s">
        <v>156</v>
      </c>
      <c r="C69" s="177">
        <v>2020</v>
      </c>
      <c r="D69" s="177" t="s">
        <v>194</v>
      </c>
      <c r="E69" s="142">
        <v>40377.658843994141</v>
      </c>
      <c r="F69" s="177">
        <v>2.8600000000000003</v>
      </c>
      <c r="G69" s="177">
        <v>2.8600000000000003</v>
      </c>
      <c r="H69" s="179">
        <v>981.27936624919198</v>
      </c>
      <c r="I69" s="179">
        <v>346.09784818913795</v>
      </c>
      <c r="J69" s="179">
        <v>226.21411045408297</v>
      </c>
      <c r="K69" s="177" t="s">
        <v>157</v>
      </c>
      <c r="L69" s="180" t="s">
        <v>158</v>
      </c>
      <c r="M69" s="181" t="s">
        <v>195</v>
      </c>
      <c r="N69" s="177" t="s">
        <v>194</v>
      </c>
      <c r="O69" s="177" t="s">
        <v>198</v>
      </c>
      <c r="P69" s="177" t="s">
        <v>201</v>
      </c>
      <c r="Q69" s="177">
        <v>5</v>
      </c>
      <c r="R69" s="177">
        <v>1</v>
      </c>
      <c r="S69" s="177">
        <v>85</v>
      </c>
      <c r="T69" s="177">
        <f>S69+2</f>
        <v>87</v>
      </c>
      <c r="U69" s="177">
        <v>32.659999999999997</v>
      </c>
      <c r="V69" s="177">
        <v>35.869998931884766</v>
      </c>
      <c r="W69" s="177" t="s">
        <v>217</v>
      </c>
      <c r="X69" s="177" t="s">
        <v>206</v>
      </c>
      <c r="Y69" s="182">
        <v>18.4404</v>
      </c>
      <c r="Z69" s="182">
        <v>-179.55500000000001</v>
      </c>
      <c r="AA69" s="182">
        <v>11.3</v>
      </c>
      <c r="AB69" s="183" t="s">
        <v>162</v>
      </c>
      <c r="AC69" s="183">
        <v>-1518</v>
      </c>
      <c r="AD69" s="183">
        <v>-1400</v>
      </c>
      <c r="AE69" s="177" t="s">
        <v>211</v>
      </c>
      <c r="AF69" s="177" t="s">
        <v>160</v>
      </c>
      <c r="AG69" s="142">
        <v>40377.658843994141</v>
      </c>
      <c r="AH69" s="184" t="s">
        <v>215</v>
      </c>
      <c r="AI69" s="177">
        <v>2.8600000000000003</v>
      </c>
      <c r="AJ69" s="177">
        <v>2.8600000000000003</v>
      </c>
      <c r="AK69" s="177" t="s">
        <v>214</v>
      </c>
      <c r="AL69" s="177" t="s">
        <v>216</v>
      </c>
      <c r="AM69" s="177" t="s">
        <v>218</v>
      </c>
      <c r="AN69" s="177" t="s">
        <v>162</v>
      </c>
      <c r="AO69" s="177" t="s">
        <v>162</v>
      </c>
      <c r="AP69" s="177" t="s">
        <v>162</v>
      </c>
      <c r="AQ69" s="177" t="s">
        <v>162</v>
      </c>
      <c r="AR69" s="177" t="s">
        <v>162</v>
      </c>
      <c r="AS69" s="177" t="s">
        <v>162</v>
      </c>
      <c r="AT69" s="177" t="s">
        <v>162</v>
      </c>
      <c r="AU69" s="177" t="s">
        <v>226</v>
      </c>
      <c r="AV69" s="177" t="s">
        <v>230</v>
      </c>
      <c r="AW69" s="174">
        <v>252</v>
      </c>
      <c r="AX69" s="185">
        <v>2.3740000000000001</v>
      </c>
      <c r="AY69" s="184" t="s">
        <v>232</v>
      </c>
      <c r="AZ69" s="177" t="s">
        <v>163</v>
      </c>
      <c r="BA69" s="177" t="s">
        <v>164</v>
      </c>
      <c r="BB69" s="177" t="s">
        <v>256</v>
      </c>
      <c r="BC69" s="177">
        <v>2</v>
      </c>
      <c r="BD69" s="186">
        <v>0.38114529601997305</v>
      </c>
      <c r="BE69" s="187">
        <v>15.1062512201784</v>
      </c>
      <c r="BF69" s="177" t="s">
        <v>233</v>
      </c>
      <c r="BG69" s="177">
        <v>0.24955055569193799</v>
      </c>
      <c r="BH69" s="177">
        <v>0.88</v>
      </c>
      <c r="BI69" s="177" t="s">
        <v>278</v>
      </c>
      <c r="BJ69" s="177" t="s">
        <v>278</v>
      </c>
      <c r="BK69" s="188">
        <v>1.85</v>
      </c>
      <c r="BL69" s="177" t="s">
        <v>278</v>
      </c>
      <c r="BM69" s="177" t="s">
        <v>278</v>
      </c>
      <c r="BN69" s="177" t="s">
        <v>279</v>
      </c>
      <c r="BO69" s="177" t="s">
        <v>280</v>
      </c>
      <c r="BP69" s="189">
        <v>15.1880113636364</v>
      </c>
      <c r="BQ69" s="177" t="s">
        <v>287</v>
      </c>
      <c r="BR69" s="190" t="s">
        <v>288</v>
      </c>
      <c r="BS69" s="177" t="s">
        <v>286</v>
      </c>
      <c r="BT69" s="177" t="s">
        <v>289</v>
      </c>
      <c r="BU69" s="177">
        <v>25</v>
      </c>
      <c r="BV69" s="177" t="s">
        <v>165</v>
      </c>
      <c r="BW69" s="177" t="s">
        <v>165</v>
      </c>
      <c r="BX69" s="187">
        <v>31.721909933479999</v>
      </c>
      <c r="BY69" s="177" t="s">
        <v>290</v>
      </c>
      <c r="BZ69" s="186">
        <v>0.60907251461494405</v>
      </c>
      <c r="CA69" s="186">
        <v>0.65402084965153795</v>
      </c>
      <c r="CB69" s="177" t="s">
        <v>291</v>
      </c>
      <c r="CC69" s="177">
        <v>3.9918202741871598</v>
      </c>
      <c r="CD69" s="177" t="s">
        <v>292</v>
      </c>
      <c r="CE69" s="177">
        <v>0.11975460822561479</v>
      </c>
      <c r="CF69" s="177">
        <v>0.11975460822561479</v>
      </c>
      <c r="CG69" s="177" t="s">
        <v>295</v>
      </c>
      <c r="CH69" s="177" t="s">
        <v>162</v>
      </c>
      <c r="CI69" s="177" t="s">
        <v>293</v>
      </c>
      <c r="CJ69" s="177" t="s">
        <v>296</v>
      </c>
      <c r="CK69" s="177" t="s">
        <v>165</v>
      </c>
      <c r="CL69" s="177" t="s">
        <v>165</v>
      </c>
      <c r="CM69" s="177" t="s">
        <v>294</v>
      </c>
      <c r="CN69" s="177" t="s">
        <v>162</v>
      </c>
      <c r="CO69" s="177" t="s">
        <v>162</v>
      </c>
      <c r="CP69" s="177" t="s">
        <v>162</v>
      </c>
      <c r="CQ69" s="177" t="s">
        <v>162</v>
      </c>
      <c r="CR69" s="177" t="s">
        <v>162</v>
      </c>
      <c r="CS69" s="177" t="s">
        <v>162</v>
      </c>
      <c r="CT69" s="177" t="s">
        <v>162</v>
      </c>
      <c r="CU69" s="191">
        <v>35</v>
      </c>
      <c r="CV69" s="177" t="s">
        <v>161</v>
      </c>
      <c r="CW69" s="177">
        <v>1</v>
      </c>
      <c r="CX69" s="177" t="s">
        <v>297</v>
      </c>
      <c r="CY69" s="177">
        <v>17</v>
      </c>
      <c r="CZ69" s="177" t="s">
        <v>170</v>
      </c>
      <c r="DA69" s="177" t="s">
        <v>170</v>
      </c>
      <c r="DB69" s="177" t="s">
        <v>298</v>
      </c>
      <c r="DC69" s="177">
        <v>38</v>
      </c>
      <c r="DD69" s="177" t="s">
        <v>170</v>
      </c>
      <c r="DE69" s="177" t="s">
        <v>170</v>
      </c>
      <c r="DF69" s="177" t="s">
        <v>298</v>
      </c>
      <c r="DG69" s="177" t="s">
        <v>166</v>
      </c>
      <c r="DH69" s="177" t="s">
        <v>167</v>
      </c>
      <c r="DI69" s="177" t="s">
        <v>167</v>
      </c>
      <c r="DJ69" s="177" t="s">
        <v>167</v>
      </c>
      <c r="DK69" s="192">
        <v>432.56244218316402</v>
      </c>
      <c r="DL69" s="177" t="s">
        <v>168</v>
      </c>
      <c r="DM69" s="192">
        <v>12.3589269195214</v>
      </c>
      <c r="DN69" s="177" t="s">
        <v>169</v>
      </c>
      <c r="DO69" s="177">
        <v>38.700000000000003</v>
      </c>
      <c r="DP69" s="177" t="s">
        <v>299</v>
      </c>
      <c r="DQ69" s="177">
        <v>0.2</v>
      </c>
      <c r="DR69" s="177" t="s">
        <v>300</v>
      </c>
      <c r="DS69" s="177" t="s">
        <v>301</v>
      </c>
      <c r="DT69" s="177" t="s">
        <v>302</v>
      </c>
      <c r="DU69" s="177">
        <v>1.0271999999999999</v>
      </c>
      <c r="DV69" s="177" t="s">
        <v>170</v>
      </c>
      <c r="DW69" s="177" t="s">
        <v>170</v>
      </c>
      <c r="DX69" s="177" t="s">
        <v>177</v>
      </c>
      <c r="DY69" s="177" t="s">
        <v>170</v>
      </c>
      <c r="DZ69" s="177" t="s">
        <v>170</v>
      </c>
      <c r="EA69" s="177" t="s">
        <v>303</v>
      </c>
      <c r="EB69" s="177" t="s">
        <v>171</v>
      </c>
      <c r="EC69" s="177" t="s">
        <v>304</v>
      </c>
      <c r="ED69" s="177" t="s">
        <v>304</v>
      </c>
      <c r="EE69" s="177" t="s">
        <v>304</v>
      </c>
      <c r="EF69" s="177" t="s">
        <v>304</v>
      </c>
      <c r="EG69" s="177" t="s">
        <v>162</v>
      </c>
      <c r="EH69" s="177" t="s">
        <v>312</v>
      </c>
      <c r="EI69" s="177" t="s">
        <v>313</v>
      </c>
      <c r="EJ69" s="177" t="s">
        <v>314</v>
      </c>
      <c r="EK69" s="177" t="s">
        <v>307</v>
      </c>
      <c r="EL69" s="177" t="s">
        <v>307</v>
      </c>
      <c r="EM69" s="177" t="s">
        <v>307</v>
      </c>
      <c r="EN69" s="177" t="s">
        <v>307</v>
      </c>
      <c r="EO69" s="177">
        <v>6.625</v>
      </c>
      <c r="EP69" s="177" t="s">
        <v>299</v>
      </c>
      <c r="EQ69" s="177">
        <v>0.875</v>
      </c>
      <c r="ER69" s="177">
        <v>0.875</v>
      </c>
      <c r="ES69" s="177">
        <v>7.84539364452149</v>
      </c>
      <c r="ET69" s="194" t="s">
        <v>174</v>
      </c>
      <c r="EU69" s="195">
        <v>3.1813429737531797E-2</v>
      </c>
      <c r="EV69" s="195">
        <v>3.1813429737531797E-2</v>
      </c>
      <c r="EW69" s="178">
        <v>981.27936624919198</v>
      </c>
      <c r="EX69" s="194">
        <v>0</v>
      </c>
      <c r="EY69" s="194" t="s">
        <v>308</v>
      </c>
      <c r="EZ69" s="178">
        <v>981.27936624919198</v>
      </c>
      <c r="FA69" s="178">
        <v>346.09784818913795</v>
      </c>
      <c r="FB69" s="178">
        <v>226.21411045408297</v>
      </c>
      <c r="FC69" s="196" t="s">
        <v>309</v>
      </c>
      <c r="FD69" s="177" t="s">
        <v>311</v>
      </c>
      <c r="FE69" s="177">
        <v>2348.9486192975301</v>
      </c>
      <c r="FF69" s="177">
        <v>468.43251762823201</v>
      </c>
      <c r="FG69" s="177">
        <v>357.26075683224502</v>
      </c>
      <c r="FH69" s="177">
        <v>2164.3173841754701</v>
      </c>
      <c r="FI69" s="177">
        <v>466.89889132378198</v>
      </c>
      <c r="FJ69" s="177">
        <v>346.79553794402398</v>
      </c>
      <c r="FK69" s="177" t="s">
        <v>175</v>
      </c>
      <c r="FL69" s="177" t="s">
        <v>175</v>
      </c>
      <c r="FM69" s="177" t="s">
        <v>175</v>
      </c>
      <c r="FN69" s="177" t="s">
        <v>175</v>
      </c>
      <c r="FO69" s="177" t="s">
        <v>175</v>
      </c>
      <c r="FP69" s="177" t="s">
        <v>175</v>
      </c>
      <c r="FQ69" s="177" t="s">
        <v>319</v>
      </c>
    </row>
    <row r="70" spans="1:173" s="177" customFormat="1">
      <c r="A70" s="128" t="s">
        <v>152</v>
      </c>
      <c r="B70" s="177" t="s">
        <v>156</v>
      </c>
      <c r="C70" s="177">
        <v>2020</v>
      </c>
      <c r="D70" s="177" t="s">
        <v>194</v>
      </c>
      <c r="E70" s="142">
        <v>40516.803741455078</v>
      </c>
      <c r="F70" s="177">
        <v>2.8600000000000003</v>
      </c>
      <c r="G70" s="177">
        <v>2.8600000000000003</v>
      </c>
      <c r="H70" s="179">
        <v>1425.22620039098</v>
      </c>
      <c r="I70" s="179">
        <v>562.91764049424</v>
      </c>
      <c r="J70" s="179">
        <v>361.9480419337001</v>
      </c>
      <c r="K70" s="177" t="s">
        <v>157</v>
      </c>
      <c r="L70" s="180" t="s">
        <v>158</v>
      </c>
      <c r="M70" s="181" t="s">
        <v>195</v>
      </c>
      <c r="N70" s="177" t="s">
        <v>194</v>
      </c>
      <c r="O70" s="177" t="s">
        <v>198</v>
      </c>
      <c r="P70" s="177" t="s">
        <v>200</v>
      </c>
      <c r="Q70" s="177">
        <v>4</v>
      </c>
      <c r="R70" s="177" t="s">
        <v>202</v>
      </c>
      <c r="S70" s="177">
        <v>20</v>
      </c>
      <c r="T70" s="177">
        <v>22</v>
      </c>
      <c r="U70" s="177">
        <v>35.47</v>
      </c>
      <c r="V70" s="177">
        <v>36.356999999999999</v>
      </c>
      <c r="W70" s="177" t="s">
        <v>217</v>
      </c>
      <c r="X70" s="177" t="s">
        <v>206</v>
      </c>
      <c r="Y70" s="182">
        <v>18.4404</v>
      </c>
      <c r="Z70" s="182">
        <v>-179.55500000000001</v>
      </c>
      <c r="AA70" s="182">
        <v>11.3</v>
      </c>
      <c r="AB70" s="183" t="s">
        <v>162</v>
      </c>
      <c r="AC70" s="183">
        <v>-1518</v>
      </c>
      <c r="AD70" s="183">
        <v>-1400</v>
      </c>
      <c r="AE70" s="177" t="s">
        <v>211</v>
      </c>
      <c r="AF70" s="177" t="s">
        <v>160</v>
      </c>
      <c r="AG70" s="142">
        <v>40516.803741455078</v>
      </c>
      <c r="AH70" s="184" t="s">
        <v>215</v>
      </c>
      <c r="AI70" s="177">
        <v>2.8600000000000003</v>
      </c>
      <c r="AJ70" s="177">
        <v>2.8600000000000003</v>
      </c>
      <c r="AK70" s="177" t="s">
        <v>214</v>
      </c>
      <c r="AL70" s="177" t="s">
        <v>216</v>
      </c>
      <c r="AM70" s="177" t="s">
        <v>218</v>
      </c>
      <c r="AN70" s="177" t="s">
        <v>162</v>
      </c>
      <c r="AO70" s="177" t="s">
        <v>162</v>
      </c>
      <c r="AP70" s="177" t="s">
        <v>162</v>
      </c>
      <c r="AQ70" s="177" t="s">
        <v>162</v>
      </c>
      <c r="AR70" s="177" t="s">
        <v>162</v>
      </c>
      <c r="AS70" s="177" t="s">
        <v>162</v>
      </c>
      <c r="AT70" s="177" t="s">
        <v>162</v>
      </c>
      <c r="AU70" s="177" t="s">
        <v>226</v>
      </c>
      <c r="AV70" s="177" t="s">
        <v>230</v>
      </c>
      <c r="AW70" s="174">
        <v>245</v>
      </c>
      <c r="AX70" s="185">
        <v>2.4750000000000001</v>
      </c>
      <c r="AY70" s="184" t="s">
        <v>232</v>
      </c>
      <c r="AZ70" s="177" t="s">
        <v>163</v>
      </c>
      <c r="BA70" s="177" t="s">
        <v>164</v>
      </c>
      <c r="BB70" s="177" t="s">
        <v>257</v>
      </c>
      <c r="BC70" s="177">
        <v>2</v>
      </c>
      <c r="BD70" s="186">
        <v>6.3230294249683183E-2</v>
      </c>
      <c r="BE70" s="187">
        <v>14.9066301168021</v>
      </c>
      <c r="BF70" s="177" t="s">
        <v>233</v>
      </c>
      <c r="BG70" s="177">
        <v>0.24634099403572701</v>
      </c>
      <c r="BH70" s="177">
        <v>0.88</v>
      </c>
      <c r="BI70" s="177" t="s">
        <v>278</v>
      </c>
      <c r="BJ70" s="177" t="s">
        <v>278</v>
      </c>
      <c r="BK70" s="188">
        <v>1.85</v>
      </c>
      <c r="BL70" s="177" t="s">
        <v>278</v>
      </c>
      <c r="BM70" s="177" t="s">
        <v>278</v>
      </c>
      <c r="BN70" s="177" t="s">
        <v>279</v>
      </c>
      <c r="BO70" s="177" t="s">
        <v>280</v>
      </c>
      <c r="BP70" s="189">
        <v>14.961170454545501</v>
      </c>
      <c r="BQ70" s="177" t="s">
        <v>287</v>
      </c>
      <c r="BR70" s="190" t="s">
        <v>288</v>
      </c>
      <c r="BS70" s="177" t="s">
        <v>286</v>
      </c>
      <c r="BT70" s="177" t="s">
        <v>289</v>
      </c>
      <c r="BU70" s="177">
        <v>25</v>
      </c>
      <c r="BV70" s="177" t="s">
        <v>165</v>
      </c>
      <c r="BW70" s="177" t="s">
        <v>165</v>
      </c>
      <c r="BX70" s="187">
        <v>30.866848612801899</v>
      </c>
      <c r="BY70" s="177" t="s">
        <v>290</v>
      </c>
      <c r="BZ70" s="186">
        <v>0.62589314521442296</v>
      </c>
      <c r="CA70" s="186">
        <v>0.62105223002498999</v>
      </c>
      <c r="CB70" s="177" t="s">
        <v>291</v>
      </c>
      <c r="CC70" s="177">
        <v>3.8892901134823501</v>
      </c>
      <c r="CD70" s="177" t="s">
        <v>292</v>
      </c>
      <c r="CE70" s="177">
        <v>0.11667870340447049</v>
      </c>
      <c r="CF70" s="177">
        <v>0.11667870340447049</v>
      </c>
      <c r="CG70" s="177" t="s">
        <v>295</v>
      </c>
      <c r="CH70" s="177" t="s">
        <v>162</v>
      </c>
      <c r="CI70" s="177" t="s">
        <v>293</v>
      </c>
      <c r="CJ70" s="177" t="s">
        <v>296</v>
      </c>
      <c r="CK70" s="177" t="s">
        <v>165</v>
      </c>
      <c r="CL70" s="177" t="s">
        <v>165</v>
      </c>
      <c r="CM70" s="177" t="s">
        <v>294</v>
      </c>
      <c r="CN70" s="177" t="s">
        <v>162</v>
      </c>
      <c r="CO70" s="177" t="s">
        <v>162</v>
      </c>
      <c r="CP70" s="177" t="s">
        <v>162</v>
      </c>
      <c r="CQ70" s="177" t="s">
        <v>162</v>
      </c>
      <c r="CR70" s="177" t="s">
        <v>162</v>
      </c>
      <c r="CS70" s="177" t="s">
        <v>162</v>
      </c>
      <c r="CT70" s="177" t="s">
        <v>162</v>
      </c>
      <c r="CU70" s="191">
        <v>35</v>
      </c>
      <c r="CV70" s="177" t="s">
        <v>161</v>
      </c>
      <c r="CW70" s="177">
        <v>1</v>
      </c>
      <c r="CX70" s="177" t="s">
        <v>297</v>
      </c>
      <c r="CY70" s="177">
        <v>17</v>
      </c>
      <c r="CZ70" s="177" t="s">
        <v>170</v>
      </c>
      <c r="DA70" s="177" t="s">
        <v>170</v>
      </c>
      <c r="DB70" s="177" t="s">
        <v>298</v>
      </c>
      <c r="DC70" s="177">
        <v>38</v>
      </c>
      <c r="DD70" s="177" t="s">
        <v>170</v>
      </c>
      <c r="DE70" s="177" t="s">
        <v>170</v>
      </c>
      <c r="DF70" s="177" t="s">
        <v>298</v>
      </c>
      <c r="DG70" s="177" t="s">
        <v>166</v>
      </c>
      <c r="DH70" s="177" t="s">
        <v>167</v>
      </c>
      <c r="DI70" s="177" t="s">
        <v>167</v>
      </c>
      <c r="DJ70" s="177" t="s">
        <v>167</v>
      </c>
      <c r="DK70" s="192">
        <v>432.56244218316402</v>
      </c>
      <c r="DL70" s="177" t="s">
        <v>168</v>
      </c>
      <c r="DM70" s="192">
        <v>12.358926919521499</v>
      </c>
      <c r="DN70" s="177" t="s">
        <v>169</v>
      </c>
      <c r="DO70" s="177">
        <v>38.700000000000003</v>
      </c>
      <c r="DP70" s="177" t="s">
        <v>299</v>
      </c>
      <c r="DQ70" s="177">
        <v>0.2</v>
      </c>
      <c r="DR70" s="177" t="s">
        <v>300</v>
      </c>
      <c r="DS70" s="177" t="s">
        <v>301</v>
      </c>
      <c r="DT70" s="177" t="s">
        <v>302</v>
      </c>
      <c r="DU70" s="177">
        <v>1.0271999999999999</v>
      </c>
      <c r="DV70" s="177" t="s">
        <v>170</v>
      </c>
      <c r="DW70" s="177" t="s">
        <v>170</v>
      </c>
      <c r="DX70" s="177" t="s">
        <v>177</v>
      </c>
      <c r="DY70" s="177" t="s">
        <v>170</v>
      </c>
      <c r="DZ70" s="177" t="s">
        <v>170</v>
      </c>
      <c r="EA70" s="177" t="s">
        <v>303</v>
      </c>
      <c r="EB70" s="177" t="s">
        <v>171</v>
      </c>
      <c r="EC70" s="177" t="s">
        <v>304</v>
      </c>
      <c r="ED70" s="177" t="s">
        <v>304</v>
      </c>
      <c r="EE70" s="177" t="s">
        <v>304</v>
      </c>
      <c r="EF70" s="177" t="s">
        <v>304</v>
      </c>
      <c r="EG70" s="177" t="s">
        <v>162</v>
      </c>
      <c r="EH70" s="177" t="s">
        <v>312</v>
      </c>
      <c r="EI70" s="177" t="s">
        <v>313</v>
      </c>
      <c r="EJ70" s="177" t="s">
        <v>314</v>
      </c>
      <c r="EK70" s="177" t="s">
        <v>307</v>
      </c>
      <c r="EL70" s="177" t="s">
        <v>307</v>
      </c>
      <c r="EM70" s="177" t="s">
        <v>307</v>
      </c>
      <c r="EN70" s="177" t="s">
        <v>307</v>
      </c>
      <c r="EO70" s="177">
        <v>6.625</v>
      </c>
      <c r="EP70" s="177" t="s">
        <v>299</v>
      </c>
      <c r="EQ70" s="177">
        <v>0.875</v>
      </c>
      <c r="ER70" s="177">
        <v>0.875</v>
      </c>
      <c r="ES70" s="177">
        <v>7.8237275307851801</v>
      </c>
      <c r="ET70" s="194" t="s">
        <v>174</v>
      </c>
      <c r="EU70" s="195">
        <v>3.4333560430370801E-2</v>
      </c>
      <c r="EV70" s="195">
        <v>3.4333560430370801E-2</v>
      </c>
      <c r="EW70" s="178">
        <v>1425.22620039098</v>
      </c>
      <c r="EX70" s="194">
        <v>0</v>
      </c>
      <c r="EY70" s="194" t="s">
        <v>308</v>
      </c>
      <c r="EZ70" s="178">
        <v>1425.22620039098</v>
      </c>
      <c r="FA70" s="178">
        <v>562.91764049424</v>
      </c>
      <c r="FB70" s="178">
        <v>361.9480419337001</v>
      </c>
      <c r="FC70" s="196" t="s">
        <v>309</v>
      </c>
      <c r="FD70" s="177" t="s">
        <v>311</v>
      </c>
      <c r="FE70" s="177">
        <v>2683.8448727846198</v>
      </c>
      <c r="FF70" s="177">
        <v>572.597343041567</v>
      </c>
      <c r="FG70" s="177">
        <v>442.33189021463897</v>
      </c>
      <c r="FH70" s="177">
        <v>2514.75388524447</v>
      </c>
      <c r="FI70" s="177">
        <v>570.55551212384103</v>
      </c>
      <c r="FJ70" s="177">
        <v>439.81120748783297</v>
      </c>
      <c r="FK70" s="177" t="s">
        <v>175</v>
      </c>
      <c r="FL70" s="177" t="s">
        <v>175</v>
      </c>
      <c r="FM70" s="177" t="s">
        <v>175</v>
      </c>
      <c r="FN70" s="177" t="s">
        <v>175</v>
      </c>
      <c r="FO70" s="177" t="s">
        <v>175</v>
      </c>
      <c r="FP70" s="177" t="s">
        <v>175</v>
      </c>
      <c r="FQ70" s="177" t="s">
        <v>319</v>
      </c>
    </row>
    <row r="71" spans="1:173" s="177" customFormat="1">
      <c r="A71" s="128" t="s">
        <v>152</v>
      </c>
      <c r="B71" s="177" t="s">
        <v>156</v>
      </c>
      <c r="C71" s="177">
        <v>2020</v>
      </c>
      <c r="D71" s="177" t="s">
        <v>194</v>
      </c>
      <c r="E71" s="142">
        <v>40629.241943359375</v>
      </c>
      <c r="F71" s="177">
        <v>2.5500000000000003</v>
      </c>
      <c r="G71" s="177">
        <v>2.5500000000000003</v>
      </c>
      <c r="H71" s="179">
        <v>961.70749629830095</v>
      </c>
      <c r="I71" s="179">
        <v>355.99620093675901</v>
      </c>
      <c r="J71" s="179">
        <v>229.72595514364991</v>
      </c>
      <c r="K71" s="177" t="s">
        <v>157</v>
      </c>
      <c r="L71" s="180" t="s">
        <v>158</v>
      </c>
      <c r="M71" s="181" t="s">
        <v>195</v>
      </c>
      <c r="N71" s="177" t="s">
        <v>194</v>
      </c>
      <c r="O71" s="177" t="s">
        <v>198</v>
      </c>
      <c r="P71" s="177" t="s">
        <v>201</v>
      </c>
      <c r="Q71" s="177">
        <v>5</v>
      </c>
      <c r="R71" s="177">
        <v>2</v>
      </c>
      <c r="S71" s="177">
        <v>25</v>
      </c>
      <c r="T71" s="177">
        <v>27</v>
      </c>
      <c r="U71" s="177">
        <v>33.56</v>
      </c>
      <c r="V71" s="177">
        <v>36.770000457763672</v>
      </c>
      <c r="W71" s="177" t="s">
        <v>217</v>
      </c>
      <c r="X71" s="177" t="s">
        <v>206</v>
      </c>
      <c r="Y71" s="182">
        <v>18.4404</v>
      </c>
      <c r="Z71" s="182">
        <v>-179.55500000000001</v>
      </c>
      <c r="AA71" s="182">
        <v>11.3</v>
      </c>
      <c r="AB71" s="183" t="s">
        <v>162</v>
      </c>
      <c r="AC71" s="183">
        <v>-1518</v>
      </c>
      <c r="AD71" s="183">
        <v>-1400</v>
      </c>
      <c r="AE71" s="177" t="s">
        <v>211</v>
      </c>
      <c r="AF71" s="177" t="s">
        <v>160</v>
      </c>
      <c r="AG71" s="142">
        <v>40629.241943359375</v>
      </c>
      <c r="AH71" s="184" t="s">
        <v>215</v>
      </c>
      <c r="AI71" s="177">
        <v>2.5500000000000003</v>
      </c>
      <c r="AJ71" s="177">
        <v>2.5500000000000003</v>
      </c>
      <c r="AK71" s="177" t="s">
        <v>214</v>
      </c>
      <c r="AL71" s="177" t="s">
        <v>216</v>
      </c>
      <c r="AM71" s="177" t="s">
        <v>218</v>
      </c>
      <c r="AN71" s="177" t="s">
        <v>162</v>
      </c>
      <c r="AO71" s="177" t="s">
        <v>162</v>
      </c>
      <c r="AP71" s="177" t="s">
        <v>162</v>
      </c>
      <c r="AQ71" s="177" t="s">
        <v>162</v>
      </c>
      <c r="AR71" s="177" t="s">
        <v>162</v>
      </c>
      <c r="AS71" s="177" t="s">
        <v>162</v>
      </c>
      <c r="AT71" s="177" t="s">
        <v>162</v>
      </c>
      <c r="AU71" s="177" t="s">
        <v>226</v>
      </c>
      <c r="AV71" s="177" t="s">
        <v>230</v>
      </c>
      <c r="AW71" s="174">
        <v>309</v>
      </c>
      <c r="AX71" s="185">
        <v>2.9449999999999998</v>
      </c>
      <c r="AY71" s="184" t="s">
        <v>232</v>
      </c>
      <c r="AZ71" s="177" t="s">
        <v>163</v>
      </c>
      <c r="BA71" s="177" t="s">
        <v>164</v>
      </c>
      <c r="BB71" s="177" t="s">
        <v>258</v>
      </c>
      <c r="BC71" s="177">
        <v>2</v>
      </c>
      <c r="BD71" s="186">
        <v>5.9071832495039438E-2</v>
      </c>
      <c r="BE71" s="187">
        <v>14.736748166711401</v>
      </c>
      <c r="BF71" s="177" t="s">
        <v>233</v>
      </c>
      <c r="BG71" s="177">
        <v>0.23964427142036401</v>
      </c>
      <c r="BH71" s="177">
        <v>0.88</v>
      </c>
      <c r="BI71" s="177" t="s">
        <v>278</v>
      </c>
      <c r="BJ71" s="177" t="s">
        <v>278</v>
      </c>
      <c r="BK71" s="188">
        <v>1.85</v>
      </c>
      <c r="BL71" s="177" t="s">
        <v>278</v>
      </c>
      <c r="BM71" s="177" t="s">
        <v>278</v>
      </c>
      <c r="BN71" s="177" t="s">
        <v>279</v>
      </c>
      <c r="BO71" s="177" t="s">
        <v>280</v>
      </c>
      <c r="BP71" s="189">
        <v>14.768125</v>
      </c>
      <c r="BQ71" s="177" t="s">
        <v>287</v>
      </c>
      <c r="BR71" s="190" t="s">
        <v>288</v>
      </c>
      <c r="BS71" s="177" t="s">
        <v>286</v>
      </c>
      <c r="BT71" s="177" t="s">
        <v>289</v>
      </c>
      <c r="BU71" s="177">
        <v>25</v>
      </c>
      <c r="BV71" s="177" t="s">
        <v>165</v>
      </c>
      <c r="BW71" s="177" t="s">
        <v>165</v>
      </c>
      <c r="BX71" s="187">
        <v>30.676226882771601</v>
      </c>
      <c r="BY71" s="177" t="s">
        <v>290</v>
      </c>
      <c r="BZ71" s="186">
        <v>0.59510074488020603</v>
      </c>
      <c r="CA71" s="186">
        <v>0.62446033256342304</v>
      </c>
      <c r="CB71" s="177" t="s">
        <v>291</v>
      </c>
      <c r="CC71" s="177">
        <v>3.9713082068436001</v>
      </c>
      <c r="CD71" s="177" t="s">
        <v>292</v>
      </c>
      <c r="CE71" s="177">
        <v>0.119139246205308</v>
      </c>
      <c r="CF71" s="177">
        <v>0.119139246205308</v>
      </c>
      <c r="CG71" s="177" t="s">
        <v>295</v>
      </c>
      <c r="CH71" s="177" t="s">
        <v>162</v>
      </c>
      <c r="CI71" s="177" t="s">
        <v>293</v>
      </c>
      <c r="CJ71" s="177" t="s">
        <v>296</v>
      </c>
      <c r="CK71" s="177" t="s">
        <v>165</v>
      </c>
      <c r="CL71" s="177" t="s">
        <v>165</v>
      </c>
      <c r="CM71" s="177" t="s">
        <v>294</v>
      </c>
      <c r="CN71" s="177" t="s">
        <v>162</v>
      </c>
      <c r="CO71" s="177" t="s">
        <v>162</v>
      </c>
      <c r="CP71" s="177" t="s">
        <v>162</v>
      </c>
      <c r="CQ71" s="177" t="s">
        <v>162</v>
      </c>
      <c r="CR71" s="177" t="s">
        <v>162</v>
      </c>
      <c r="CS71" s="177" t="s">
        <v>162</v>
      </c>
      <c r="CT71" s="177" t="s">
        <v>162</v>
      </c>
      <c r="CU71" s="191">
        <v>35</v>
      </c>
      <c r="CV71" s="177" t="s">
        <v>161</v>
      </c>
      <c r="CW71" s="177">
        <v>1</v>
      </c>
      <c r="CX71" s="177" t="s">
        <v>297</v>
      </c>
      <c r="CY71" s="177">
        <v>17</v>
      </c>
      <c r="CZ71" s="177" t="s">
        <v>170</v>
      </c>
      <c r="DA71" s="177" t="s">
        <v>170</v>
      </c>
      <c r="DB71" s="177" t="s">
        <v>298</v>
      </c>
      <c r="DC71" s="177">
        <v>38</v>
      </c>
      <c r="DD71" s="177" t="s">
        <v>170</v>
      </c>
      <c r="DE71" s="177" t="s">
        <v>170</v>
      </c>
      <c r="DF71" s="177" t="s">
        <v>298</v>
      </c>
      <c r="DG71" s="177" t="s">
        <v>166</v>
      </c>
      <c r="DH71" s="177" t="s">
        <v>167</v>
      </c>
      <c r="DI71" s="177" t="s">
        <v>167</v>
      </c>
      <c r="DJ71" s="177" t="s">
        <v>167</v>
      </c>
      <c r="DK71" s="192">
        <v>432.56244218316402</v>
      </c>
      <c r="DL71" s="177" t="s">
        <v>168</v>
      </c>
      <c r="DM71" s="192">
        <v>12.3589269195216</v>
      </c>
      <c r="DN71" s="177" t="s">
        <v>169</v>
      </c>
      <c r="DO71" s="177">
        <v>38.700000000000003</v>
      </c>
      <c r="DP71" s="177" t="s">
        <v>299</v>
      </c>
      <c r="DQ71" s="177">
        <v>0.2</v>
      </c>
      <c r="DR71" s="177" t="s">
        <v>300</v>
      </c>
      <c r="DS71" s="177" t="s">
        <v>301</v>
      </c>
      <c r="DT71" s="177" t="s">
        <v>302</v>
      </c>
      <c r="DU71" s="177">
        <v>1.0271999999999999</v>
      </c>
      <c r="DV71" s="177" t="s">
        <v>170</v>
      </c>
      <c r="DW71" s="177" t="s">
        <v>170</v>
      </c>
      <c r="DX71" s="177" t="s">
        <v>177</v>
      </c>
      <c r="DY71" s="177" t="s">
        <v>170</v>
      </c>
      <c r="DZ71" s="177" t="s">
        <v>170</v>
      </c>
      <c r="EA71" s="177" t="s">
        <v>303</v>
      </c>
      <c r="EB71" s="177" t="s">
        <v>171</v>
      </c>
      <c r="EC71" s="177" t="s">
        <v>304</v>
      </c>
      <c r="ED71" s="177" t="s">
        <v>304</v>
      </c>
      <c r="EE71" s="177" t="s">
        <v>304</v>
      </c>
      <c r="EF71" s="177" t="s">
        <v>304</v>
      </c>
      <c r="EG71" s="177" t="s">
        <v>162</v>
      </c>
      <c r="EH71" s="177" t="s">
        <v>312</v>
      </c>
      <c r="EI71" s="177" t="s">
        <v>313</v>
      </c>
      <c r="EJ71" s="177" t="s">
        <v>314</v>
      </c>
      <c r="EK71" s="177" t="s">
        <v>307</v>
      </c>
      <c r="EL71" s="177" t="s">
        <v>307</v>
      </c>
      <c r="EM71" s="177" t="s">
        <v>307</v>
      </c>
      <c r="EN71" s="177" t="s">
        <v>307</v>
      </c>
      <c r="EO71" s="177">
        <v>6.625</v>
      </c>
      <c r="EP71" s="177" t="s">
        <v>299</v>
      </c>
      <c r="EQ71" s="177">
        <v>0.875</v>
      </c>
      <c r="ER71" s="177">
        <v>0.875</v>
      </c>
      <c r="ES71" s="177">
        <v>7.7960009435766304</v>
      </c>
      <c r="ET71" s="194" t="s">
        <v>174</v>
      </c>
      <c r="EU71" s="195">
        <v>3.4028186457514202E-2</v>
      </c>
      <c r="EV71" s="195">
        <v>3.4028186457514202E-2</v>
      </c>
      <c r="EW71" s="178">
        <v>961.70749629830095</v>
      </c>
      <c r="EX71" s="194">
        <v>0</v>
      </c>
      <c r="EY71" s="194" t="s">
        <v>308</v>
      </c>
      <c r="EZ71" s="178">
        <v>961.70749629830095</v>
      </c>
      <c r="FA71" s="178">
        <v>355.99620093675901</v>
      </c>
      <c r="FB71" s="178">
        <v>229.72595514364991</v>
      </c>
      <c r="FC71" s="196" t="s">
        <v>309</v>
      </c>
      <c r="FD71" s="177" t="s">
        <v>311</v>
      </c>
      <c r="FE71" s="177">
        <v>2585.19050576881</v>
      </c>
      <c r="FF71" s="177">
        <v>562.98142294136699</v>
      </c>
      <c r="FG71" s="177">
        <v>470.33978810342802</v>
      </c>
      <c r="FH71" s="177">
        <v>2411.7924015502299</v>
      </c>
      <c r="FI71" s="177">
        <v>563.35154711952998</v>
      </c>
      <c r="FJ71" s="177">
        <v>460.838681586939</v>
      </c>
      <c r="FK71" s="177" t="s">
        <v>175</v>
      </c>
      <c r="FL71" s="177" t="s">
        <v>175</v>
      </c>
      <c r="FM71" s="177" t="s">
        <v>175</v>
      </c>
      <c r="FN71" s="177" t="s">
        <v>175</v>
      </c>
      <c r="FO71" s="177" t="s">
        <v>175</v>
      </c>
      <c r="FP71" s="177" t="s">
        <v>175</v>
      </c>
      <c r="FQ71" s="177" t="s">
        <v>319</v>
      </c>
    </row>
    <row r="72" spans="1:173" s="177" customFormat="1">
      <c r="A72" s="128" t="s">
        <v>152</v>
      </c>
      <c r="B72" s="177" t="s">
        <v>156</v>
      </c>
      <c r="C72" s="177">
        <v>2020</v>
      </c>
      <c r="D72" s="177" t="s">
        <v>194</v>
      </c>
      <c r="E72" s="142">
        <v>40810.317993164062</v>
      </c>
      <c r="F72" s="177">
        <v>1.35</v>
      </c>
      <c r="G72" s="177">
        <v>1.35</v>
      </c>
      <c r="H72" s="179">
        <v>652.87141898016398</v>
      </c>
      <c r="I72" s="179">
        <v>182.92817843909904</v>
      </c>
      <c r="J72" s="179">
        <v>141.42723297200797</v>
      </c>
      <c r="K72" s="177" t="s">
        <v>157</v>
      </c>
      <c r="L72" s="180" t="s">
        <v>158</v>
      </c>
      <c r="M72" s="181" t="s">
        <v>195</v>
      </c>
      <c r="N72" s="177" t="s">
        <v>194</v>
      </c>
      <c r="O72" s="177" t="s">
        <v>198</v>
      </c>
      <c r="P72" s="177" t="s">
        <v>201</v>
      </c>
      <c r="Q72" s="177">
        <v>5</v>
      </c>
      <c r="R72" s="177">
        <v>2</v>
      </c>
      <c r="S72" s="177">
        <v>105</v>
      </c>
      <c r="T72" s="177">
        <v>107</v>
      </c>
      <c r="U72" s="177">
        <v>34.36</v>
      </c>
      <c r="V72" s="177">
        <v>37.569999694824219</v>
      </c>
      <c r="W72" s="177" t="s">
        <v>217</v>
      </c>
      <c r="X72" s="177" t="s">
        <v>206</v>
      </c>
      <c r="Y72" s="182">
        <v>18.4404</v>
      </c>
      <c r="Z72" s="182">
        <v>-179.55500000000001</v>
      </c>
      <c r="AA72" s="182">
        <v>11.3</v>
      </c>
      <c r="AB72" s="183" t="s">
        <v>162</v>
      </c>
      <c r="AC72" s="183">
        <v>-1518</v>
      </c>
      <c r="AD72" s="183">
        <v>-1400</v>
      </c>
      <c r="AE72" s="177" t="s">
        <v>211</v>
      </c>
      <c r="AF72" s="177" t="s">
        <v>160</v>
      </c>
      <c r="AG72" s="142">
        <v>40810.317993164062</v>
      </c>
      <c r="AH72" s="184" t="s">
        <v>215</v>
      </c>
      <c r="AI72" s="177">
        <v>1.35</v>
      </c>
      <c r="AJ72" s="177">
        <v>1.35</v>
      </c>
      <c r="AK72" s="177" t="s">
        <v>214</v>
      </c>
      <c r="AL72" s="177" t="s">
        <v>216</v>
      </c>
      <c r="AM72" s="177" t="s">
        <v>218</v>
      </c>
      <c r="AN72" s="177" t="s">
        <v>162</v>
      </c>
      <c r="AO72" s="177" t="s">
        <v>162</v>
      </c>
      <c r="AP72" s="177" t="s">
        <v>162</v>
      </c>
      <c r="AQ72" s="177" t="s">
        <v>162</v>
      </c>
      <c r="AR72" s="177" t="s">
        <v>162</v>
      </c>
      <c r="AS72" s="177" t="s">
        <v>162</v>
      </c>
      <c r="AT72" s="177" t="s">
        <v>162</v>
      </c>
      <c r="AU72" s="177" t="s">
        <v>226</v>
      </c>
      <c r="AV72" s="177" t="s">
        <v>230</v>
      </c>
      <c r="AW72" s="174">
        <v>233</v>
      </c>
      <c r="AX72" s="185">
        <v>2.3109999999999999</v>
      </c>
      <c r="AY72" s="184" t="s">
        <v>232</v>
      </c>
      <c r="AZ72" s="177" t="s">
        <v>163</v>
      </c>
      <c r="BA72" s="177" t="s">
        <v>164</v>
      </c>
      <c r="BB72" s="177" t="s">
        <v>273</v>
      </c>
      <c r="BC72" s="177">
        <v>2</v>
      </c>
      <c r="BD72" s="186">
        <v>0.57889264142361618</v>
      </c>
      <c r="BE72" s="187">
        <v>14.822998009747399</v>
      </c>
      <c r="BF72" s="177" t="s">
        <v>233</v>
      </c>
      <c r="BG72" s="177">
        <v>0.25211825778203001</v>
      </c>
      <c r="BH72" s="177">
        <v>0.88</v>
      </c>
      <c r="BI72" s="177" t="s">
        <v>278</v>
      </c>
      <c r="BJ72" s="177" t="s">
        <v>278</v>
      </c>
      <c r="BK72" s="188">
        <v>1.85</v>
      </c>
      <c r="BL72" s="177" t="s">
        <v>278</v>
      </c>
      <c r="BM72" s="177" t="s">
        <v>278</v>
      </c>
      <c r="BN72" s="177" t="s">
        <v>279</v>
      </c>
      <c r="BO72" s="177" t="s">
        <v>280</v>
      </c>
      <c r="BP72" s="189">
        <v>14.8661363636364</v>
      </c>
      <c r="BQ72" s="177" t="s">
        <v>287</v>
      </c>
      <c r="BR72" s="190" t="s">
        <v>288</v>
      </c>
      <c r="BS72" s="177" t="s">
        <v>286</v>
      </c>
      <c r="BT72" s="177" t="s">
        <v>289</v>
      </c>
      <c r="BU72" s="177">
        <v>25</v>
      </c>
      <c r="BV72" s="177" t="s">
        <v>165</v>
      </c>
      <c r="BW72" s="177" t="s">
        <v>165</v>
      </c>
      <c r="BX72" s="187">
        <v>31.717453280750199</v>
      </c>
      <c r="BY72" s="177" t="s">
        <v>290</v>
      </c>
      <c r="BZ72" s="186">
        <v>0.62380146602147202</v>
      </c>
      <c r="CA72" s="186">
        <v>0.66279565876051505</v>
      </c>
      <c r="CB72" s="177" t="s">
        <v>291</v>
      </c>
      <c r="CC72" s="177">
        <v>4.0871473246201404</v>
      </c>
      <c r="CD72" s="177" t="s">
        <v>292</v>
      </c>
      <c r="CE72" s="177">
        <v>0.12261441973860421</v>
      </c>
      <c r="CF72" s="177">
        <v>0.12261441973860421</v>
      </c>
      <c r="CG72" s="177" t="s">
        <v>295</v>
      </c>
      <c r="CH72" s="177" t="s">
        <v>162</v>
      </c>
      <c r="CI72" s="177" t="s">
        <v>293</v>
      </c>
      <c r="CJ72" s="177" t="s">
        <v>296</v>
      </c>
      <c r="CK72" s="177" t="s">
        <v>165</v>
      </c>
      <c r="CL72" s="177" t="s">
        <v>165</v>
      </c>
      <c r="CM72" s="177" t="s">
        <v>294</v>
      </c>
      <c r="CN72" s="177" t="s">
        <v>162</v>
      </c>
      <c r="CO72" s="177" t="s">
        <v>162</v>
      </c>
      <c r="CP72" s="177" t="s">
        <v>162</v>
      </c>
      <c r="CQ72" s="177" t="s">
        <v>162</v>
      </c>
      <c r="CR72" s="177" t="s">
        <v>162</v>
      </c>
      <c r="CS72" s="177" t="s">
        <v>162</v>
      </c>
      <c r="CT72" s="177" t="s">
        <v>162</v>
      </c>
      <c r="CU72" s="191">
        <v>35</v>
      </c>
      <c r="CV72" s="177" t="s">
        <v>161</v>
      </c>
      <c r="CW72" s="177">
        <v>1</v>
      </c>
      <c r="CX72" s="177" t="s">
        <v>297</v>
      </c>
      <c r="CY72" s="177">
        <v>17</v>
      </c>
      <c r="CZ72" s="177" t="s">
        <v>170</v>
      </c>
      <c r="DA72" s="177" t="s">
        <v>170</v>
      </c>
      <c r="DB72" s="177" t="s">
        <v>298</v>
      </c>
      <c r="DC72" s="177">
        <v>38</v>
      </c>
      <c r="DD72" s="177" t="s">
        <v>170</v>
      </c>
      <c r="DE72" s="177" t="s">
        <v>170</v>
      </c>
      <c r="DF72" s="177" t="s">
        <v>298</v>
      </c>
      <c r="DG72" s="177" t="s">
        <v>166</v>
      </c>
      <c r="DH72" s="177" t="s">
        <v>167</v>
      </c>
      <c r="DI72" s="177" t="s">
        <v>167</v>
      </c>
      <c r="DJ72" s="177" t="s">
        <v>167</v>
      </c>
      <c r="DK72" s="192">
        <v>432.56244218316402</v>
      </c>
      <c r="DL72" s="177" t="s">
        <v>168</v>
      </c>
      <c r="DM72" s="192">
        <v>12.3589269195217</v>
      </c>
      <c r="DN72" s="177" t="s">
        <v>169</v>
      </c>
      <c r="DO72" s="177">
        <v>38.700000000000003</v>
      </c>
      <c r="DP72" s="177" t="s">
        <v>299</v>
      </c>
      <c r="DQ72" s="177">
        <v>0.2</v>
      </c>
      <c r="DR72" s="177" t="s">
        <v>300</v>
      </c>
      <c r="DS72" s="177" t="s">
        <v>301</v>
      </c>
      <c r="DT72" s="177" t="s">
        <v>302</v>
      </c>
      <c r="DU72" s="177">
        <v>1.0271999999999999</v>
      </c>
      <c r="DV72" s="177" t="s">
        <v>170</v>
      </c>
      <c r="DW72" s="177" t="s">
        <v>170</v>
      </c>
      <c r="DX72" s="177" t="s">
        <v>177</v>
      </c>
      <c r="DY72" s="177" t="s">
        <v>170</v>
      </c>
      <c r="DZ72" s="177" t="s">
        <v>170</v>
      </c>
      <c r="EA72" s="177" t="s">
        <v>303</v>
      </c>
      <c r="EB72" s="177" t="s">
        <v>171</v>
      </c>
      <c r="EC72" s="177" t="s">
        <v>304</v>
      </c>
      <c r="ED72" s="177" t="s">
        <v>304</v>
      </c>
      <c r="EE72" s="177" t="s">
        <v>304</v>
      </c>
      <c r="EF72" s="177" t="s">
        <v>304</v>
      </c>
      <c r="EG72" s="177" t="s">
        <v>162</v>
      </c>
      <c r="EH72" s="177" t="s">
        <v>312</v>
      </c>
      <c r="EI72" s="177" t="s">
        <v>313</v>
      </c>
      <c r="EJ72" s="177" t="s">
        <v>314</v>
      </c>
      <c r="EK72" s="177" t="s">
        <v>307</v>
      </c>
      <c r="EL72" s="177" t="s">
        <v>307</v>
      </c>
      <c r="EM72" s="177" t="s">
        <v>307</v>
      </c>
      <c r="EN72" s="177" t="s">
        <v>307</v>
      </c>
      <c r="EO72" s="177">
        <v>6.625</v>
      </c>
      <c r="EP72" s="177" t="s">
        <v>299</v>
      </c>
      <c r="EQ72" s="177">
        <v>0.875</v>
      </c>
      <c r="ER72" s="177">
        <v>0.875</v>
      </c>
      <c r="ES72" s="177">
        <v>7.8038870880752</v>
      </c>
      <c r="ET72" s="194" t="s">
        <v>174</v>
      </c>
      <c r="EU72" s="195">
        <v>3.4191999331242097E-2</v>
      </c>
      <c r="EV72" s="195">
        <v>3.4191999331242097E-2</v>
      </c>
      <c r="EW72" s="178">
        <v>652.87141898016398</v>
      </c>
      <c r="EX72" s="194">
        <v>0</v>
      </c>
      <c r="EY72" s="194" t="s">
        <v>308</v>
      </c>
      <c r="EZ72" s="178">
        <v>652.87141898016398</v>
      </c>
      <c r="FA72" s="178">
        <v>182.92817843909904</v>
      </c>
      <c r="FB72" s="178">
        <v>141.42723297200797</v>
      </c>
      <c r="FC72" s="196" t="s">
        <v>309</v>
      </c>
      <c r="FD72" s="177" t="s">
        <v>311</v>
      </c>
      <c r="FE72" s="177">
        <v>2035.2293021350899</v>
      </c>
      <c r="FF72" s="177">
        <v>350.29445712062397</v>
      </c>
      <c r="FG72" s="177">
        <v>299.12828646871998</v>
      </c>
      <c r="FH72" s="177">
        <v>1828.96777158393</v>
      </c>
      <c r="FI72" s="177">
        <v>350.19455762966498</v>
      </c>
      <c r="FJ72" s="177">
        <v>291.81754786550198</v>
      </c>
      <c r="FK72" s="177" t="s">
        <v>175</v>
      </c>
      <c r="FL72" s="177" t="s">
        <v>175</v>
      </c>
      <c r="FM72" s="177" t="s">
        <v>175</v>
      </c>
      <c r="FN72" s="177" t="s">
        <v>175</v>
      </c>
      <c r="FO72" s="177" t="s">
        <v>175</v>
      </c>
      <c r="FP72" s="177" t="s">
        <v>175</v>
      </c>
      <c r="FQ72" s="177" t="s">
        <v>319</v>
      </c>
    </row>
    <row r="73" spans="1:173" s="177" customFormat="1">
      <c r="A73" s="128" t="s">
        <v>152</v>
      </c>
      <c r="B73" s="177" t="s">
        <v>156</v>
      </c>
      <c r="C73" s="177">
        <v>2020</v>
      </c>
      <c r="D73" s="177" t="s">
        <v>194</v>
      </c>
      <c r="E73" s="142">
        <v>40920.524597167969</v>
      </c>
      <c r="F73" s="177">
        <v>1.35</v>
      </c>
      <c r="G73" s="177">
        <v>1.35</v>
      </c>
      <c r="H73" s="179">
        <v>673.44035814297899</v>
      </c>
      <c r="I73" s="179">
        <v>189.65348190807299</v>
      </c>
      <c r="J73" s="179">
        <v>144.496274512799</v>
      </c>
      <c r="K73" s="177" t="s">
        <v>157</v>
      </c>
      <c r="L73" s="180" t="s">
        <v>158</v>
      </c>
      <c r="M73" s="181" t="s">
        <v>195</v>
      </c>
      <c r="N73" s="177" t="s">
        <v>194</v>
      </c>
      <c r="O73" s="177" t="s">
        <v>198</v>
      </c>
      <c r="P73" s="177" t="s">
        <v>201</v>
      </c>
      <c r="Q73" s="177">
        <v>5</v>
      </c>
      <c r="R73" s="177">
        <v>3</v>
      </c>
      <c r="S73" s="177">
        <v>25</v>
      </c>
      <c r="T73" s="177">
        <v>27</v>
      </c>
      <c r="U73" s="177">
        <v>35.06</v>
      </c>
      <c r="V73" s="177">
        <v>38.270000457763672</v>
      </c>
      <c r="W73" s="177" t="s">
        <v>217</v>
      </c>
      <c r="X73" s="177" t="s">
        <v>206</v>
      </c>
      <c r="Y73" s="182">
        <v>18.4404</v>
      </c>
      <c r="Z73" s="182">
        <v>-179.55500000000001</v>
      </c>
      <c r="AA73" s="182">
        <v>11.3</v>
      </c>
      <c r="AB73" s="183" t="s">
        <v>162</v>
      </c>
      <c r="AC73" s="183">
        <v>-1518</v>
      </c>
      <c r="AD73" s="183">
        <v>-1400</v>
      </c>
      <c r="AE73" s="177" t="s">
        <v>211</v>
      </c>
      <c r="AF73" s="177" t="s">
        <v>160</v>
      </c>
      <c r="AG73" s="142">
        <v>40920.524597167969</v>
      </c>
      <c r="AH73" s="184" t="s">
        <v>215</v>
      </c>
      <c r="AI73" s="177">
        <v>1.35</v>
      </c>
      <c r="AJ73" s="177">
        <v>1.35</v>
      </c>
      <c r="AK73" s="177" t="s">
        <v>214</v>
      </c>
      <c r="AL73" s="177" t="s">
        <v>216</v>
      </c>
      <c r="AM73" s="177" t="s">
        <v>218</v>
      </c>
      <c r="AN73" s="177" t="s">
        <v>162</v>
      </c>
      <c r="AO73" s="177" t="s">
        <v>162</v>
      </c>
      <c r="AP73" s="177" t="s">
        <v>162</v>
      </c>
      <c r="AQ73" s="177" t="s">
        <v>162</v>
      </c>
      <c r="AR73" s="177" t="s">
        <v>162</v>
      </c>
      <c r="AS73" s="177" t="s">
        <v>162</v>
      </c>
      <c r="AT73" s="177" t="s">
        <v>162</v>
      </c>
      <c r="AU73" s="177" t="s">
        <v>226</v>
      </c>
      <c r="AV73" s="177" t="s">
        <v>230</v>
      </c>
      <c r="AW73" s="174" t="s">
        <v>231</v>
      </c>
      <c r="AX73" s="198" t="s">
        <v>321</v>
      </c>
      <c r="AY73" s="184" t="s">
        <v>232</v>
      </c>
      <c r="AZ73" s="177" t="s">
        <v>163</v>
      </c>
      <c r="BA73" s="177" t="s">
        <v>164</v>
      </c>
      <c r="BB73" s="177" t="s">
        <v>240</v>
      </c>
      <c r="BC73" s="177">
        <v>2</v>
      </c>
      <c r="BD73" s="186">
        <v>0.23823731638247381</v>
      </c>
      <c r="BE73" s="187">
        <v>15.0520442263749</v>
      </c>
      <c r="BF73" s="177" t="s">
        <v>233</v>
      </c>
      <c r="BG73" s="177">
        <v>0.24969107500548901</v>
      </c>
      <c r="BH73" s="177">
        <v>0.88</v>
      </c>
      <c r="BI73" s="177" t="s">
        <v>278</v>
      </c>
      <c r="BJ73" s="177" t="s">
        <v>278</v>
      </c>
      <c r="BK73" s="188">
        <v>1.85</v>
      </c>
      <c r="BL73" s="177" t="s">
        <v>278</v>
      </c>
      <c r="BM73" s="177" t="s">
        <v>278</v>
      </c>
      <c r="BN73" s="177" t="s">
        <v>279</v>
      </c>
      <c r="BO73" s="177" t="s">
        <v>280</v>
      </c>
      <c r="BP73" s="189">
        <v>15.1264090909091</v>
      </c>
      <c r="BQ73" s="177" t="s">
        <v>287</v>
      </c>
      <c r="BR73" s="190" t="s">
        <v>288</v>
      </c>
      <c r="BS73" s="177" t="s">
        <v>286</v>
      </c>
      <c r="BT73" s="177" t="s">
        <v>289</v>
      </c>
      <c r="BU73" s="177">
        <v>25</v>
      </c>
      <c r="BV73" s="177" t="s">
        <v>165</v>
      </c>
      <c r="BW73" s="177" t="s">
        <v>165</v>
      </c>
      <c r="BX73" s="187">
        <v>31.766824925017598</v>
      </c>
      <c r="BY73" s="177" t="s">
        <v>290</v>
      </c>
      <c r="BZ73" s="186">
        <v>0.63590361888331204</v>
      </c>
      <c r="CA73" s="186">
        <v>0.66968527832372604</v>
      </c>
      <c r="CB73" s="177" t="s">
        <v>291</v>
      </c>
      <c r="CC73" s="177">
        <v>3.9754866910525402</v>
      </c>
      <c r="CD73" s="177" t="s">
        <v>292</v>
      </c>
      <c r="CE73" s="177">
        <v>0.1192646007315762</v>
      </c>
      <c r="CF73" s="177">
        <v>0.1192646007315762</v>
      </c>
      <c r="CG73" s="177" t="s">
        <v>295</v>
      </c>
      <c r="CH73" s="177" t="s">
        <v>162</v>
      </c>
      <c r="CI73" s="177" t="s">
        <v>293</v>
      </c>
      <c r="CJ73" s="177" t="s">
        <v>296</v>
      </c>
      <c r="CK73" s="177" t="s">
        <v>165</v>
      </c>
      <c r="CL73" s="177" t="s">
        <v>165</v>
      </c>
      <c r="CM73" s="177" t="s">
        <v>294</v>
      </c>
      <c r="CN73" s="177" t="s">
        <v>162</v>
      </c>
      <c r="CO73" s="177" t="s">
        <v>162</v>
      </c>
      <c r="CP73" s="177" t="s">
        <v>162</v>
      </c>
      <c r="CQ73" s="177" t="s">
        <v>162</v>
      </c>
      <c r="CR73" s="177" t="s">
        <v>162</v>
      </c>
      <c r="CS73" s="177" t="s">
        <v>162</v>
      </c>
      <c r="CT73" s="177" t="s">
        <v>162</v>
      </c>
      <c r="CU73" s="191">
        <v>35</v>
      </c>
      <c r="CV73" s="177" t="s">
        <v>161</v>
      </c>
      <c r="CW73" s="177">
        <v>1</v>
      </c>
      <c r="CX73" s="177" t="s">
        <v>297</v>
      </c>
      <c r="CY73" s="177">
        <v>17</v>
      </c>
      <c r="CZ73" s="177" t="s">
        <v>170</v>
      </c>
      <c r="DA73" s="177" t="s">
        <v>170</v>
      </c>
      <c r="DB73" s="177" t="s">
        <v>298</v>
      </c>
      <c r="DC73" s="177">
        <v>38</v>
      </c>
      <c r="DD73" s="177" t="s">
        <v>170</v>
      </c>
      <c r="DE73" s="177" t="s">
        <v>170</v>
      </c>
      <c r="DF73" s="177" t="s">
        <v>298</v>
      </c>
      <c r="DG73" s="177" t="s">
        <v>166</v>
      </c>
      <c r="DH73" s="177" t="s">
        <v>167</v>
      </c>
      <c r="DI73" s="177" t="s">
        <v>167</v>
      </c>
      <c r="DJ73" s="177" t="s">
        <v>167</v>
      </c>
      <c r="DK73" s="192">
        <v>432.56244218316402</v>
      </c>
      <c r="DL73" s="177" t="s">
        <v>168</v>
      </c>
      <c r="DM73" s="192">
        <v>12.358926919521799</v>
      </c>
      <c r="DN73" s="177" t="s">
        <v>169</v>
      </c>
      <c r="DO73" s="177">
        <v>38.700000000000003</v>
      </c>
      <c r="DP73" s="177" t="s">
        <v>299</v>
      </c>
      <c r="DQ73" s="177">
        <v>0.2</v>
      </c>
      <c r="DR73" s="177" t="s">
        <v>300</v>
      </c>
      <c r="DS73" s="177" t="s">
        <v>301</v>
      </c>
      <c r="DT73" s="177" t="s">
        <v>302</v>
      </c>
      <c r="DU73" s="177">
        <v>1.0271999999999999</v>
      </c>
      <c r="DV73" s="177" t="s">
        <v>170</v>
      </c>
      <c r="DW73" s="177" t="s">
        <v>170</v>
      </c>
      <c r="DX73" s="177" t="s">
        <v>177</v>
      </c>
      <c r="DY73" s="177" t="s">
        <v>170</v>
      </c>
      <c r="DZ73" s="177" t="s">
        <v>170</v>
      </c>
      <c r="EA73" s="177" t="s">
        <v>303</v>
      </c>
      <c r="EB73" s="177" t="s">
        <v>171</v>
      </c>
      <c r="EC73" s="177" t="s">
        <v>304</v>
      </c>
      <c r="ED73" s="177" t="s">
        <v>304</v>
      </c>
      <c r="EE73" s="177" t="s">
        <v>304</v>
      </c>
      <c r="EF73" s="177" t="s">
        <v>304</v>
      </c>
      <c r="EG73" s="177" t="s">
        <v>162</v>
      </c>
      <c r="EH73" s="177" t="s">
        <v>312</v>
      </c>
      <c r="EI73" s="177" t="s">
        <v>313</v>
      </c>
      <c r="EJ73" s="177" t="s">
        <v>314</v>
      </c>
      <c r="EK73" s="177" t="s">
        <v>307</v>
      </c>
      <c r="EL73" s="177" t="s">
        <v>307</v>
      </c>
      <c r="EM73" s="177" t="s">
        <v>307</v>
      </c>
      <c r="EN73" s="177" t="s">
        <v>307</v>
      </c>
      <c r="EO73" s="177">
        <v>6.625</v>
      </c>
      <c r="EP73" s="177" t="s">
        <v>299</v>
      </c>
      <c r="EQ73" s="177">
        <v>0.875</v>
      </c>
      <c r="ER73" s="177">
        <v>0.875</v>
      </c>
      <c r="ES73" s="177">
        <v>7.8392167055636204</v>
      </c>
      <c r="ET73" s="194" t="s">
        <v>174</v>
      </c>
      <c r="EU73" s="195">
        <v>3.2469185242414399E-2</v>
      </c>
      <c r="EV73" s="195">
        <v>3.2469185242414399E-2</v>
      </c>
      <c r="EW73" s="178">
        <v>673.44035814297899</v>
      </c>
      <c r="EX73" s="194">
        <v>0</v>
      </c>
      <c r="EY73" s="194" t="s">
        <v>308</v>
      </c>
      <c r="EZ73" s="178">
        <v>673.44035814297899</v>
      </c>
      <c r="FA73" s="178">
        <v>189.65348190807299</v>
      </c>
      <c r="FB73" s="178">
        <v>144.496274512799</v>
      </c>
      <c r="FC73" s="196" t="s">
        <v>309</v>
      </c>
      <c r="FD73" s="177" t="s">
        <v>311</v>
      </c>
      <c r="FE73" s="177">
        <v>2100.6960830461499</v>
      </c>
      <c r="FF73" s="177">
        <v>360.98968435795098</v>
      </c>
      <c r="FG73" s="177">
        <v>309.26664361560802</v>
      </c>
      <c r="FH73" s="177">
        <v>1897.97407929675</v>
      </c>
      <c r="FI73" s="177">
        <v>361.12715784319499</v>
      </c>
      <c r="FJ73" s="177">
        <v>300.20449134434199</v>
      </c>
      <c r="FK73" s="177" t="s">
        <v>175</v>
      </c>
      <c r="FL73" s="177" t="s">
        <v>175</v>
      </c>
      <c r="FM73" s="177" t="s">
        <v>175</v>
      </c>
      <c r="FN73" s="177" t="s">
        <v>175</v>
      </c>
      <c r="FO73" s="177" t="s">
        <v>175</v>
      </c>
      <c r="FP73" s="177" t="s">
        <v>175</v>
      </c>
      <c r="FQ73" s="177" t="s">
        <v>319</v>
      </c>
    </row>
    <row r="74" spans="1:173" s="177" customFormat="1">
      <c r="A74" s="128" t="s">
        <v>152</v>
      </c>
      <c r="B74" s="177" t="s">
        <v>156</v>
      </c>
      <c r="C74" s="177">
        <v>2020</v>
      </c>
      <c r="D74" s="177" t="s">
        <v>194</v>
      </c>
      <c r="E74" s="178">
        <v>41129.554748535156</v>
      </c>
      <c r="F74" s="177">
        <v>1.74</v>
      </c>
      <c r="G74" s="177">
        <v>1.74</v>
      </c>
      <c r="H74" s="179">
        <v>576.67707255088203</v>
      </c>
      <c r="I74" s="179">
        <v>185.48395733738096</v>
      </c>
      <c r="J74" s="179">
        <v>147.94156882890502</v>
      </c>
      <c r="K74" s="177" t="s">
        <v>157</v>
      </c>
      <c r="L74" s="180" t="s">
        <v>158</v>
      </c>
      <c r="M74" s="181" t="s">
        <v>195</v>
      </c>
      <c r="N74" s="177" t="s">
        <v>194</v>
      </c>
      <c r="O74" s="177" t="s">
        <v>198</v>
      </c>
      <c r="P74" s="177" t="s">
        <v>201</v>
      </c>
      <c r="Q74" s="177">
        <v>5</v>
      </c>
      <c r="R74" s="177">
        <v>4</v>
      </c>
      <c r="S74" s="177">
        <v>15</v>
      </c>
      <c r="T74" s="177">
        <v>17</v>
      </c>
      <c r="U74" s="177">
        <v>36.46</v>
      </c>
      <c r="V74" s="177">
        <v>39.669998168945312</v>
      </c>
      <c r="W74" s="177" t="s">
        <v>217</v>
      </c>
      <c r="X74" s="177" t="s">
        <v>206</v>
      </c>
      <c r="Y74" s="182">
        <v>18.4404</v>
      </c>
      <c r="Z74" s="182">
        <v>-179.55500000000001</v>
      </c>
      <c r="AA74" s="182">
        <v>11.3</v>
      </c>
      <c r="AB74" s="183" t="s">
        <v>162</v>
      </c>
      <c r="AC74" s="183">
        <v>-1518</v>
      </c>
      <c r="AD74" s="183">
        <v>-1400</v>
      </c>
      <c r="AE74" s="177" t="s">
        <v>211</v>
      </c>
      <c r="AF74" s="177" t="s">
        <v>160</v>
      </c>
      <c r="AG74" s="178">
        <v>41129.554748535156</v>
      </c>
      <c r="AH74" s="184" t="s">
        <v>215</v>
      </c>
      <c r="AI74" s="177">
        <v>1.74</v>
      </c>
      <c r="AJ74" s="177">
        <v>1.74</v>
      </c>
      <c r="AK74" s="177" t="s">
        <v>214</v>
      </c>
      <c r="AL74" s="177" t="s">
        <v>216</v>
      </c>
      <c r="AM74" s="177" t="s">
        <v>218</v>
      </c>
      <c r="AN74" s="177" t="s">
        <v>162</v>
      </c>
      <c r="AO74" s="177" t="s">
        <v>162</v>
      </c>
      <c r="AP74" s="177" t="s">
        <v>162</v>
      </c>
      <c r="AQ74" s="177" t="s">
        <v>162</v>
      </c>
      <c r="AR74" s="177" t="s">
        <v>162</v>
      </c>
      <c r="AS74" s="177" t="s">
        <v>162</v>
      </c>
      <c r="AT74" s="177" t="s">
        <v>162</v>
      </c>
      <c r="AU74" s="177" t="s">
        <v>226</v>
      </c>
      <c r="AV74" s="177" t="s">
        <v>230</v>
      </c>
      <c r="AW74" s="174">
        <v>234</v>
      </c>
      <c r="AX74" s="185">
        <v>2.504</v>
      </c>
      <c r="AY74" s="184" t="s">
        <v>232</v>
      </c>
      <c r="AZ74" s="177" t="s">
        <v>163</v>
      </c>
      <c r="BA74" s="177" t="s">
        <v>164</v>
      </c>
      <c r="BB74" s="177" t="s">
        <v>272</v>
      </c>
      <c r="BC74" s="177">
        <v>2</v>
      </c>
      <c r="BD74" s="186">
        <v>0.43503437941077999</v>
      </c>
      <c r="BE74" s="187">
        <v>15.1901142346884</v>
      </c>
      <c r="BF74" s="177" t="s">
        <v>233</v>
      </c>
      <c r="BG74" s="177">
        <v>0.24794981197117899</v>
      </c>
      <c r="BH74" s="177">
        <v>0.88</v>
      </c>
      <c r="BI74" s="177" t="s">
        <v>278</v>
      </c>
      <c r="BJ74" s="177" t="s">
        <v>278</v>
      </c>
      <c r="BK74" s="188">
        <v>1.85</v>
      </c>
      <c r="BL74" s="177" t="s">
        <v>278</v>
      </c>
      <c r="BM74" s="177" t="s">
        <v>278</v>
      </c>
      <c r="BN74" s="177" t="s">
        <v>279</v>
      </c>
      <c r="BO74" s="177" t="s">
        <v>280</v>
      </c>
      <c r="BP74" s="189">
        <v>15.283306818181799</v>
      </c>
      <c r="BQ74" s="177" t="s">
        <v>287</v>
      </c>
      <c r="BR74" s="190" t="s">
        <v>288</v>
      </c>
      <c r="BS74" s="177" t="s">
        <v>286</v>
      </c>
      <c r="BT74" s="177" t="s">
        <v>289</v>
      </c>
      <c r="BU74" s="177">
        <v>25</v>
      </c>
      <c r="BV74" s="177" t="s">
        <v>165</v>
      </c>
      <c r="BW74" s="177" t="s">
        <v>165</v>
      </c>
      <c r="BX74" s="187">
        <v>31.593645586247298</v>
      </c>
      <c r="BY74" s="177" t="s">
        <v>290</v>
      </c>
      <c r="BZ74" s="186">
        <v>0.64855656577317</v>
      </c>
      <c r="CA74" s="186">
        <v>0.62978260076749104</v>
      </c>
      <c r="CB74" s="177" t="s">
        <v>291</v>
      </c>
      <c r="CC74" s="177">
        <v>3.9316416120246598</v>
      </c>
      <c r="CD74" s="177" t="s">
        <v>292</v>
      </c>
      <c r="CE74" s="177">
        <v>0.11794924836073979</v>
      </c>
      <c r="CF74" s="177">
        <v>0.11794924836073979</v>
      </c>
      <c r="CG74" s="177" t="s">
        <v>295</v>
      </c>
      <c r="CH74" s="177" t="s">
        <v>162</v>
      </c>
      <c r="CI74" s="177" t="s">
        <v>293</v>
      </c>
      <c r="CJ74" s="177" t="s">
        <v>296</v>
      </c>
      <c r="CK74" s="177" t="s">
        <v>165</v>
      </c>
      <c r="CL74" s="177" t="s">
        <v>165</v>
      </c>
      <c r="CM74" s="177" t="s">
        <v>294</v>
      </c>
      <c r="CN74" s="177" t="s">
        <v>162</v>
      </c>
      <c r="CO74" s="177" t="s">
        <v>162</v>
      </c>
      <c r="CP74" s="177" t="s">
        <v>162</v>
      </c>
      <c r="CQ74" s="177" t="s">
        <v>162</v>
      </c>
      <c r="CR74" s="177" t="s">
        <v>162</v>
      </c>
      <c r="CS74" s="177" t="s">
        <v>162</v>
      </c>
      <c r="CT74" s="177" t="s">
        <v>162</v>
      </c>
      <c r="CU74" s="191">
        <v>35</v>
      </c>
      <c r="CV74" s="177" t="s">
        <v>161</v>
      </c>
      <c r="CW74" s="177">
        <v>1</v>
      </c>
      <c r="CX74" s="177" t="s">
        <v>297</v>
      </c>
      <c r="CY74" s="177">
        <v>17</v>
      </c>
      <c r="CZ74" s="177" t="s">
        <v>170</v>
      </c>
      <c r="DA74" s="177" t="s">
        <v>170</v>
      </c>
      <c r="DB74" s="177" t="s">
        <v>298</v>
      </c>
      <c r="DC74" s="177">
        <v>38</v>
      </c>
      <c r="DD74" s="177" t="s">
        <v>170</v>
      </c>
      <c r="DE74" s="177" t="s">
        <v>170</v>
      </c>
      <c r="DF74" s="177" t="s">
        <v>298</v>
      </c>
      <c r="DG74" s="177" t="s">
        <v>166</v>
      </c>
      <c r="DH74" s="177" t="s">
        <v>167</v>
      </c>
      <c r="DI74" s="177" t="s">
        <v>167</v>
      </c>
      <c r="DJ74" s="177" t="s">
        <v>167</v>
      </c>
      <c r="DK74" s="192">
        <v>432.56244218316402</v>
      </c>
      <c r="DL74" s="177" t="s">
        <v>168</v>
      </c>
      <c r="DM74" s="192">
        <v>12.358926919521901</v>
      </c>
      <c r="DN74" s="177" t="s">
        <v>169</v>
      </c>
      <c r="DO74" s="177">
        <v>38.700000000000003</v>
      </c>
      <c r="DP74" s="177" t="s">
        <v>299</v>
      </c>
      <c r="DQ74" s="177">
        <v>0.2</v>
      </c>
      <c r="DR74" s="177" t="s">
        <v>300</v>
      </c>
      <c r="DS74" s="177" t="s">
        <v>301</v>
      </c>
      <c r="DT74" s="177" t="s">
        <v>302</v>
      </c>
      <c r="DU74" s="177">
        <v>1.0271999999999999</v>
      </c>
      <c r="DV74" s="177" t="s">
        <v>170</v>
      </c>
      <c r="DW74" s="177" t="s">
        <v>170</v>
      </c>
      <c r="DX74" s="177" t="s">
        <v>177</v>
      </c>
      <c r="DY74" s="177" t="s">
        <v>170</v>
      </c>
      <c r="DZ74" s="177" t="s">
        <v>170</v>
      </c>
      <c r="EA74" s="177" t="s">
        <v>303</v>
      </c>
      <c r="EB74" s="177" t="s">
        <v>171</v>
      </c>
      <c r="EC74" s="177" t="s">
        <v>304</v>
      </c>
      <c r="ED74" s="177" t="s">
        <v>304</v>
      </c>
      <c r="EE74" s="177" t="s">
        <v>304</v>
      </c>
      <c r="EF74" s="177" t="s">
        <v>304</v>
      </c>
      <c r="EG74" s="177" t="s">
        <v>162</v>
      </c>
      <c r="EH74" s="177" t="s">
        <v>312</v>
      </c>
      <c r="EI74" s="177" t="s">
        <v>313</v>
      </c>
      <c r="EJ74" s="177" t="s">
        <v>314</v>
      </c>
      <c r="EK74" s="177" t="s">
        <v>307</v>
      </c>
      <c r="EL74" s="177" t="s">
        <v>307</v>
      </c>
      <c r="EM74" s="177" t="s">
        <v>307</v>
      </c>
      <c r="EN74" s="177" t="s">
        <v>307</v>
      </c>
      <c r="EO74" s="177">
        <v>6.625</v>
      </c>
      <c r="EP74" s="177" t="s">
        <v>299</v>
      </c>
      <c r="EQ74" s="177">
        <v>0.875</v>
      </c>
      <c r="ER74" s="177">
        <v>0.875</v>
      </c>
      <c r="ES74" s="177">
        <v>7.85935581979723</v>
      </c>
      <c r="ET74" s="194" t="s">
        <v>174</v>
      </c>
      <c r="EU74" s="195">
        <v>3.0572852922857899E-2</v>
      </c>
      <c r="EV74" s="195">
        <v>3.0572852922857899E-2</v>
      </c>
      <c r="EW74" s="178">
        <v>576.67707255088203</v>
      </c>
      <c r="EX74" s="194">
        <v>0</v>
      </c>
      <c r="EY74" s="194" t="s">
        <v>308</v>
      </c>
      <c r="EZ74" s="178">
        <v>576.67707255088203</v>
      </c>
      <c r="FA74" s="178">
        <v>185.48395733738096</v>
      </c>
      <c r="FB74" s="178">
        <v>147.94156882890502</v>
      </c>
      <c r="FC74" s="196" t="s">
        <v>309</v>
      </c>
      <c r="FD74" s="177" t="s">
        <v>311</v>
      </c>
      <c r="FE74" s="177">
        <v>1874.2893938091499</v>
      </c>
      <c r="FF74" s="177">
        <v>367.73804205118898</v>
      </c>
      <c r="FG74" s="177">
        <v>357.35485560207201</v>
      </c>
      <c r="FH74" s="177">
        <v>1728.3732789491901</v>
      </c>
      <c r="FI74" s="177">
        <v>367.14848484507098</v>
      </c>
      <c r="FJ74" s="177">
        <v>344.18526100524798</v>
      </c>
      <c r="FK74" s="177" t="s">
        <v>175</v>
      </c>
      <c r="FL74" s="177" t="s">
        <v>175</v>
      </c>
      <c r="FM74" s="177" t="s">
        <v>175</v>
      </c>
      <c r="FN74" s="177" t="s">
        <v>175</v>
      </c>
      <c r="FO74" s="177" t="s">
        <v>175</v>
      </c>
      <c r="FP74" s="177" t="s">
        <v>175</v>
      </c>
      <c r="FQ74" s="177" t="s">
        <v>319</v>
      </c>
    </row>
    <row r="75" spans="1:173" s="177" customFormat="1">
      <c r="A75" s="128" t="s">
        <v>152</v>
      </c>
      <c r="B75" s="177" t="s">
        <v>156</v>
      </c>
      <c r="C75" s="177">
        <v>2020</v>
      </c>
      <c r="D75" s="177" t="s">
        <v>194</v>
      </c>
      <c r="E75" s="178">
        <v>41529.5</v>
      </c>
      <c r="F75" s="177">
        <v>5.71</v>
      </c>
      <c r="G75" s="177">
        <v>5.71</v>
      </c>
      <c r="H75" s="179">
        <v>674.182042508834</v>
      </c>
      <c r="I75" s="179">
        <v>207.79714675819503</v>
      </c>
      <c r="J75" s="179">
        <v>150.77850696191501</v>
      </c>
      <c r="K75" s="177" t="s">
        <v>157</v>
      </c>
      <c r="L75" s="180" t="s">
        <v>158</v>
      </c>
      <c r="M75" s="181" t="s">
        <v>239</v>
      </c>
      <c r="N75" s="177" t="s">
        <v>194</v>
      </c>
      <c r="O75" s="177" t="s">
        <v>198</v>
      </c>
      <c r="P75" s="177" t="s">
        <v>201</v>
      </c>
      <c r="Q75" s="177">
        <v>5</v>
      </c>
      <c r="R75" s="177">
        <v>5</v>
      </c>
      <c r="S75" s="177">
        <v>107</v>
      </c>
      <c r="T75" s="177">
        <v>116</v>
      </c>
      <c r="U75" s="177">
        <v>38.914999999999999</v>
      </c>
      <c r="V75" s="177">
        <v>42.134999999999998</v>
      </c>
      <c r="W75" s="177" t="s">
        <v>217</v>
      </c>
      <c r="X75" s="177" t="s">
        <v>206</v>
      </c>
      <c r="Y75" s="182">
        <v>18.4404</v>
      </c>
      <c r="Z75" s="182">
        <v>-179.55500000000001</v>
      </c>
      <c r="AA75" s="182">
        <v>11.3</v>
      </c>
      <c r="AB75" s="183" t="s">
        <v>162</v>
      </c>
      <c r="AC75" s="183">
        <v>-1518</v>
      </c>
      <c r="AD75" s="183">
        <v>-1400</v>
      </c>
      <c r="AE75" s="177" t="s">
        <v>211</v>
      </c>
      <c r="AF75" s="177" t="s">
        <v>160</v>
      </c>
      <c r="AG75" s="178">
        <v>41529.5</v>
      </c>
      <c r="AH75" s="184" t="s">
        <v>215</v>
      </c>
      <c r="AI75" s="177">
        <v>5.71</v>
      </c>
      <c r="AJ75" s="177">
        <v>5.71</v>
      </c>
      <c r="AK75" s="177" t="s">
        <v>214</v>
      </c>
      <c r="AL75" s="177" t="s">
        <v>216</v>
      </c>
      <c r="AM75" s="177" t="s">
        <v>218</v>
      </c>
      <c r="AN75" s="177" t="s">
        <v>162</v>
      </c>
      <c r="AO75" s="177" t="s">
        <v>162</v>
      </c>
      <c r="AP75" s="177" t="s">
        <v>162</v>
      </c>
      <c r="AQ75" s="177" t="s">
        <v>162</v>
      </c>
      <c r="AR75" s="177" t="s">
        <v>162</v>
      </c>
      <c r="AS75" s="177" t="s">
        <v>162</v>
      </c>
      <c r="AT75" s="177" t="s">
        <v>162</v>
      </c>
      <c r="AU75" s="177" t="s">
        <v>225</v>
      </c>
      <c r="AV75" s="177" t="s">
        <v>230</v>
      </c>
      <c r="AW75" s="174" t="s">
        <v>231</v>
      </c>
      <c r="AX75" s="198" t="s">
        <v>321</v>
      </c>
      <c r="AY75" s="184" t="s">
        <v>232</v>
      </c>
      <c r="AZ75" s="177" t="s">
        <v>163</v>
      </c>
      <c r="BA75" s="177" t="s">
        <v>164</v>
      </c>
      <c r="BB75" s="177" t="s">
        <v>231</v>
      </c>
      <c r="BC75" s="177">
        <v>2</v>
      </c>
      <c r="BD75" s="186" t="s">
        <v>231</v>
      </c>
      <c r="BE75" s="187">
        <v>15.35</v>
      </c>
      <c r="BF75" s="177" t="s">
        <v>233</v>
      </c>
      <c r="BG75" s="177">
        <v>0.26</v>
      </c>
      <c r="BH75" s="177">
        <v>0.88</v>
      </c>
      <c r="BI75" s="177" t="s">
        <v>278</v>
      </c>
      <c r="BJ75" s="177" t="s">
        <v>278</v>
      </c>
      <c r="BK75" s="188">
        <v>1.85</v>
      </c>
      <c r="BL75" s="177" t="s">
        <v>278</v>
      </c>
      <c r="BM75" s="177" t="s">
        <v>278</v>
      </c>
      <c r="BN75" s="177" t="s">
        <v>279</v>
      </c>
      <c r="BO75" s="177" t="s">
        <v>280</v>
      </c>
      <c r="BP75" s="189">
        <v>15.465</v>
      </c>
      <c r="BQ75" s="177" t="s">
        <v>287</v>
      </c>
      <c r="BR75" s="190" t="s">
        <v>288</v>
      </c>
      <c r="BS75" s="177" t="s">
        <v>286</v>
      </c>
      <c r="BT75" s="177" t="s">
        <v>289</v>
      </c>
      <c r="BU75" s="177">
        <v>25</v>
      </c>
      <c r="BV75" s="177" t="s">
        <v>165</v>
      </c>
      <c r="BW75" s="177" t="s">
        <v>165</v>
      </c>
      <c r="BX75" s="187">
        <v>34.297509989751603</v>
      </c>
      <c r="BY75" s="177" t="s">
        <v>290</v>
      </c>
      <c r="BZ75" s="186">
        <v>0.530392975267723</v>
      </c>
      <c r="CA75" s="186">
        <v>0.65032620370406802</v>
      </c>
      <c r="CB75" s="177" t="s">
        <v>291</v>
      </c>
      <c r="CC75" s="177">
        <v>4.5999999999999996</v>
      </c>
      <c r="CD75" s="177" t="s">
        <v>292</v>
      </c>
      <c r="CE75" s="177">
        <v>0.13799999999999998</v>
      </c>
      <c r="CF75" s="177">
        <v>0.13799999999999998</v>
      </c>
      <c r="CG75" s="177" t="s">
        <v>295</v>
      </c>
      <c r="CH75" s="177" t="s">
        <v>162</v>
      </c>
      <c r="CI75" s="177" t="s">
        <v>293</v>
      </c>
      <c r="CJ75" s="177" t="s">
        <v>296</v>
      </c>
      <c r="CK75" s="177" t="s">
        <v>165</v>
      </c>
      <c r="CL75" s="177" t="s">
        <v>165</v>
      </c>
      <c r="CM75" s="177" t="s">
        <v>294</v>
      </c>
      <c r="CN75" s="177" t="s">
        <v>162</v>
      </c>
      <c r="CO75" s="177" t="s">
        <v>162</v>
      </c>
      <c r="CP75" s="177" t="s">
        <v>162</v>
      </c>
      <c r="CQ75" s="177" t="s">
        <v>162</v>
      </c>
      <c r="CR75" s="177" t="s">
        <v>162</v>
      </c>
      <c r="CS75" s="177" t="s">
        <v>162</v>
      </c>
      <c r="CT75" s="177" t="s">
        <v>162</v>
      </c>
      <c r="CU75" s="191">
        <v>35</v>
      </c>
      <c r="CV75" s="177" t="s">
        <v>161</v>
      </c>
      <c r="CW75" s="177">
        <v>1</v>
      </c>
      <c r="CX75" s="177" t="s">
        <v>297</v>
      </c>
      <c r="CY75" s="177">
        <v>17</v>
      </c>
      <c r="CZ75" s="177" t="s">
        <v>170</v>
      </c>
      <c r="DA75" s="177" t="s">
        <v>170</v>
      </c>
      <c r="DB75" s="177" t="s">
        <v>298</v>
      </c>
      <c r="DC75" s="177">
        <v>38</v>
      </c>
      <c r="DD75" s="177" t="s">
        <v>170</v>
      </c>
      <c r="DE75" s="177" t="s">
        <v>170</v>
      </c>
      <c r="DF75" s="177" t="s">
        <v>298</v>
      </c>
      <c r="DG75" s="177" t="s">
        <v>166</v>
      </c>
      <c r="DH75" s="177" t="s">
        <v>167</v>
      </c>
      <c r="DI75" s="177" t="s">
        <v>167</v>
      </c>
      <c r="DJ75" s="177" t="s">
        <v>167</v>
      </c>
      <c r="DK75" s="192">
        <v>432.56244218316402</v>
      </c>
      <c r="DL75" s="177" t="s">
        <v>168</v>
      </c>
      <c r="DM75" s="192">
        <v>12.358926919522</v>
      </c>
      <c r="DN75" s="177" t="s">
        <v>169</v>
      </c>
      <c r="DO75" s="177">
        <v>38.700000000000003</v>
      </c>
      <c r="DP75" s="177" t="s">
        <v>299</v>
      </c>
      <c r="DQ75" s="177">
        <v>0.2</v>
      </c>
      <c r="DR75" s="177" t="s">
        <v>300</v>
      </c>
      <c r="DS75" s="177" t="s">
        <v>301</v>
      </c>
      <c r="DT75" s="177" t="s">
        <v>302</v>
      </c>
      <c r="DU75" s="177">
        <v>1.0271999999999999</v>
      </c>
      <c r="DV75" s="177" t="s">
        <v>170</v>
      </c>
      <c r="DW75" s="177" t="s">
        <v>170</v>
      </c>
      <c r="DX75" s="177" t="s">
        <v>177</v>
      </c>
      <c r="DY75" s="177" t="s">
        <v>170</v>
      </c>
      <c r="DZ75" s="177" t="s">
        <v>170</v>
      </c>
      <c r="EA75" s="177" t="s">
        <v>303</v>
      </c>
      <c r="EB75" s="177" t="s">
        <v>171</v>
      </c>
      <c r="EC75" s="177" t="s">
        <v>304</v>
      </c>
      <c r="ED75" s="177" t="s">
        <v>304</v>
      </c>
      <c r="EE75" s="177" t="s">
        <v>304</v>
      </c>
      <c r="EF75" s="177" t="s">
        <v>304</v>
      </c>
      <c r="EG75" s="177" t="s">
        <v>162</v>
      </c>
      <c r="EH75" s="177" t="s">
        <v>312</v>
      </c>
      <c r="EI75" s="177" t="s">
        <v>313</v>
      </c>
      <c r="EJ75" s="177" t="s">
        <v>314</v>
      </c>
      <c r="EK75" s="177" t="s">
        <v>307</v>
      </c>
      <c r="EL75" s="177" t="s">
        <v>307</v>
      </c>
      <c r="EM75" s="177" t="s">
        <v>307</v>
      </c>
      <c r="EN75" s="177" t="s">
        <v>307</v>
      </c>
      <c r="EO75" s="177">
        <v>6.625</v>
      </c>
      <c r="EP75" s="177" t="s">
        <v>299</v>
      </c>
      <c r="EQ75" s="177">
        <v>0.875</v>
      </c>
      <c r="ER75" s="177">
        <v>0.875</v>
      </c>
      <c r="ES75" s="177">
        <v>7.8523752058387499</v>
      </c>
      <c r="ET75" s="194" t="s">
        <v>174</v>
      </c>
      <c r="EU75" s="195">
        <v>2.96185005371234E-2</v>
      </c>
      <c r="EV75" s="195">
        <v>2.96185005371234E-2</v>
      </c>
      <c r="EW75" s="178">
        <v>674.182042508834</v>
      </c>
      <c r="EX75" s="194">
        <v>0</v>
      </c>
      <c r="EY75" s="194" t="s">
        <v>308</v>
      </c>
      <c r="EZ75" s="178">
        <v>674.182042508834</v>
      </c>
      <c r="FA75" s="178">
        <v>207.79714675819503</v>
      </c>
      <c r="FB75" s="178">
        <v>150.77850696191501</v>
      </c>
      <c r="FC75" s="196" t="s">
        <v>309</v>
      </c>
      <c r="FD75" s="177" t="s">
        <v>311</v>
      </c>
      <c r="FE75" s="177">
        <v>2068.10025285555</v>
      </c>
      <c r="FF75" s="177">
        <v>374.921848590195</v>
      </c>
      <c r="FG75" s="177">
        <v>307.65011843977999</v>
      </c>
      <c r="FH75" s="177">
        <v>1863.5087312016999</v>
      </c>
      <c r="FI75" s="177">
        <v>369.05986348929798</v>
      </c>
      <c r="FJ75" s="177">
        <v>304.131566863503</v>
      </c>
      <c r="FK75" s="177" t="s">
        <v>175</v>
      </c>
      <c r="FL75" s="177" t="s">
        <v>175</v>
      </c>
      <c r="FM75" s="177" t="s">
        <v>175</v>
      </c>
      <c r="FN75" s="177" t="s">
        <v>175</v>
      </c>
      <c r="FO75" s="177" t="s">
        <v>175</v>
      </c>
      <c r="FP75" s="177" t="s">
        <v>175</v>
      </c>
      <c r="FQ75" s="177" t="s">
        <v>320</v>
      </c>
    </row>
    <row r="76" spans="1:173" s="177" customFormat="1">
      <c r="A76" s="150" t="s">
        <v>152</v>
      </c>
      <c r="B76" s="150" t="s">
        <v>156</v>
      </c>
      <c r="C76" s="150">
        <v>2020</v>
      </c>
      <c r="D76" s="150" t="s">
        <v>194</v>
      </c>
      <c r="E76" s="178">
        <v>39918.621063232422</v>
      </c>
      <c r="F76" s="150">
        <v>1</v>
      </c>
      <c r="G76" s="150">
        <v>1</v>
      </c>
      <c r="H76" s="179">
        <v>806.614057086137</v>
      </c>
      <c r="I76" s="179">
        <v>272.5886718489129</v>
      </c>
      <c r="J76" s="179">
        <v>203.02177741893502</v>
      </c>
      <c r="K76" s="150" t="s">
        <v>157</v>
      </c>
      <c r="L76" s="199" t="s">
        <v>158</v>
      </c>
      <c r="M76" s="200" t="s">
        <v>195</v>
      </c>
      <c r="N76" s="150" t="s">
        <v>194</v>
      </c>
      <c r="O76" s="150" t="s">
        <v>199</v>
      </c>
      <c r="P76" s="150" t="s">
        <v>200</v>
      </c>
      <c r="Q76" s="150">
        <v>8</v>
      </c>
      <c r="R76" s="150">
        <v>3</v>
      </c>
      <c r="S76" s="150">
        <v>2</v>
      </c>
      <c r="T76" s="150">
        <v>4</v>
      </c>
      <c r="U76" s="150">
        <v>66.33</v>
      </c>
      <c r="V76" s="128" t="s">
        <v>162</v>
      </c>
      <c r="W76" s="150" t="s">
        <v>205</v>
      </c>
      <c r="X76" s="150" t="s">
        <v>207</v>
      </c>
      <c r="Y76" s="201">
        <v>-50.945999999999998</v>
      </c>
      <c r="Z76" s="201">
        <v>-26.368600000000001</v>
      </c>
      <c r="AA76" s="201">
        <v>-57.4</v>
      </c>
      <c r="AB76" s="202" t="s">
        <v>162</v>
      </c>
      <c r="AC76" s="202">
        <v>-3083.4</v>
      </c>
      <c r="AD76" s="201">
        <v>-2250</v>
      </c>
      <c r="AE76" s="150" t="s">
        <v>212</v>
      </c>
      <c r="AF76" s="150" t="s">
        <v>160</v>
      </c>
      <c r="AG76" s="178">
        <v>39918.621063232422</v>
      </c>
      <c r="AH76" s="203" t="s">
        <v>215</v>
      </c>
      <c r="AI76" s="150">
        <v>1</v>
      </c>
      <c r="AJ76" s="150">
        <v>1</v>
      </c>
      <c r="AK76" s="150" t="s">
        <v>214</v>
      </c>
      <c r="AL76" s="150" t="s">
        <v>216</v>
      </c>
      <c r="AM76" s="204" t="s">
        <v>219</v>
      </c>
      <c r="AN76" s="150">
        <v>39.743250000000003</v>
      </c>
      <c r="AO76" s="150" t="s">
        <v>162</v>
      </c>
      <c r="AP76" s="150" t="s">
        <v>162</v>
      </c>
      <c r="AQ76" s="150" t="s">
        <v>162</v>
      </c>
      <c r="AR76" s="150" t="s">
        <v>214</v>
      </c>
      <c r="AS76" s="150" t="s">
        <v>224</v>
      </c>
      <c r="AT76" s="150" t="s">
        <v>223</v>
      </c>
      <c r="AU76" s="150" t="s">
        <v>228</v>
      </c>
      <c r="AV76" s="150" t="s">
        <v>230</v>
      </c>
      <c r="AW76" s="174">
        <v>274</v>
      </c>
      <c r="AX76" s="175">
        <v>3.8380000000000001</v>
      </c>
      <c r="AY76" s="203" t="s">
        <v>232</v>
      </c>
      <c r="AZ76" s="150" t="s">
        <v>163</v>
      </c>
      <c r="BA76" s="150" t="s">
        <v>164</v>
      </c>
      <c r="BB76" s="150" t="s">
        <v>259</v>
      </c>
      <c r="BC76" s="150">
        <v>2</v>
      </c>
      <c r="BD76" s="205">
        <v>3.4908474807378909E-2</v>
      </c>
      <c r="BE76" s="206">
        <v>11.927265982652001</v>
      </c>
      <c r="BF76" s="150" t="s">
        <v>233</v>
      </c>
      <c r="BG76" s="150">
        <v>0.232330287727259</v>
      </c>
      <c r="BH76" s="150">
        <v>1.02</v>
      </c>
      <c r="BI76" s="150" t="s">
        <v>281</v>
      </c>
      <c r="BJ76" s="150">
        <v>0.5</v>
      </c>
      <c r="BK76" s="150">
        <v>-2.4900000000000002</v>
      </c>
      <c r="BL76" s="150" t="s">
        <v>282</v>
      </c>
      <c r="BM76" s="150">
        <v>9.01</v>
      </c>
      <c r="BN76" s="150" t="s">
        <v>283</v>
      </c>
      <c r="BO76" s="150" t="s">
        <v>284</v>
      </c>
      <c r="BP76" s="207">
        <v>14.1167352941176</v>
      </c>
      <c r="BQ76" s="177" t="s">
        <v>287</v>
      </c>
      <c r="BR76" s="190" t="s">
        <v>288</v>
      </c>
      <c r="BS76" s="177" t="s">
        <v>286</v>
      </c>
      <c r="BT76" s="177" t="s">
        <v>289</v>
      </c>
      <c r="BU76" s="177">
        <v>25</v>
      </c>
      <c r="BV76" s="177" t="s">
        <v>165</v>
      </c>
      <c r="BW76" s="177" t="s">
        <v>165</v>
      </c>
      <c r="BX76" s="187">
        <v>21.0341736480012</v>
      </c>
      <c r="BY76" s="177" t="s">
        <v>290</v>
      </c>
      <c r="BZ76" s="186">
        <v>0.62887433206695698</v>
      </c>
      <c r="CA76" s="186">
        <v>0.67325846422166102</v>
      </c>
      <c r="CB76" s="177" t="s">
        <v>291</v>
      </c>
      <c r="CC76" s="177">
        <v>2.2155431832969099</v>
      </c>
      <c r="CD76" s="177" t="s">
        <v>292</v>
      </c>
      <c r="CE76" s="150">
        <v>6.6466295498907299E-2</v>
      </c>
      <c r="CF76" s="150">
        <v>6.6466295498907299E-2</v>
      </c>
      <c r="CG76" s="177" t="s">
        <v>295</v>
      </c>
      <c r="CH76" s="177" t="s">
        <v>162</v>
      </c>
      <c r="CI76" s="177" t="s">
        <v>293</v>
      </c>
      <c r="CJ76" s="177" t="s">
        <v>296</v>
      </c>
      <c r="CK76" s="177" t="s">
        <v>165</v>
      </c>
      <c r="CL76" s="177" t="s">
        <v>165</v>
      </c>
      <c r="CM76" s="177" t="s">
        <v>294</v>
      </c>
      <c r="CN76" s="177" t="s">
        <v>162</v>
      </c>
      <c r="CO76" s="177" t="s">
        <v>162</v>
      </c>
      <c r="CP76" s="177" t="s">
        <v>162</v>
      </c>
      <c r="CQ76" s="177" t="s">
        <v>162</v>
      </c>
      <c r="CR76" s="177" t="s">
        <v>162</v>
      </c>
      <c r="CS76" s="177" t="s">
        <v>162</v>
      </c>
      <c r="CT76" s="177" t="s">
        <v>162</v>
      </c>
      <c r="CU76" s="191">
        <v>35</v>
      </c>
      <c r="CV76" s="177" t="s">
        <v>161</v>
      </c>
      <c r="CW76" s="177">
        <v>1</v>
      </c>
      <c r="CX76" s="177" t="s">
        <v>297</v>
      </c>
      <c r="CY76" s="177">
        <v>17</v>
      </c>
      <c r="CZ76" s="177" t="s">
        <v>170</v>
      </c>
      <c r="DA76" s="177" t="s">
        <v>170</v>
      </c>
      <c r="DB76" s="177" t="s">
        <v>298</v>
      </c>
      <c r="DC76" s="177">
        <v>38</v>
      </c>
      <c r="DD76" s="177" t="s">
        <v>170</v>
      </c>
      <c r="DE76" s="177" t="s">
        <v>170</v>
      </c>
      <c r="DF76" s="177" t="s">
        <v>298</v>
      </c>
      <c r="DG76" s="177" t="s">
        <v>166</v>
      </c>
      <c r="DH76" s="177" t="s">
        <v>167</v>
      </c>
      <c r="DI76" s="177" t="s">
        <v>167</v>
      </c>
      <c r="DJ76" s="177" t="s">
        <v>167</v>
      </c>
      <c r="DK76" s="192">
        <v>432.56244218316402</v>
      </c>
      <c r="DL76" s="177" t="s">
        <v>168</v>
      </c>
      <c r="DM76" s="192">
        <v>12.358926919522199</v>
      </c>
      <c r="DN76" s="177" t="s">
        <v>169</v>
      </c>
      <c r="DO76" s="177">
        <v>38.700000000000003</v>
      </c>
      <c r="DP76" s="177" t="s">
        <v>299</v>
      </c>
      <c r="DQ76" s="177">
        <v>0.2</v>
      </c>
      <c r="DR76" s="177" t="s">
        <v>300</v>
      </c>
      <c r="DS76" s="177" t="s">
        <v>301</v>
      </c>
      <c r="DT76" s="177" t="s">
        <v>302</v>
      </c>
      <c r="DU76" s="177">
        <v>1.0271999999999999</v>
      </c>
      <c r="DV76" s="177" t="s">
        <v>170</v>
      </c>
      <c r="DW76" s="177" t="s">
        <v>170</v>
      </c>
      <c r="DX76" s="177" t="s">
        <v>177</v>
      </c>
      <c r="DY76" s="177" t="s">
        <v>170</v>
      </c>
      <c r="DZ76" s="177" t="s">
        <v>170</v>
      </c>
      <c r="EA76" s="177" t="s">
        <v>303</v>
      </c>
      <c r="EB76" s="177" t="s">
        <v>171</v>
      </c>
      <c r="EC76" s="177" t="s">
        <v>304</v>
      </c>
      <c r="ED76" s="177" t="s">
        <v>304</v>
      </c>
      <c r="EE76" s="177" t="s">
        <v>304</v>
      </c>
      <c r="EF76" s="177" t="s">
        <v>304</v>
      </c>
      <c r="EG76" s="177" t="s">
        <v>162</v>
      </c>
      <c r="EH76" s="177" t="s">
        <v>312</v>
      </c>
      <c r="EI76" s="177" t="s">
        <v>313</v>
      </c>
      <c r="EJ76" s="177" t="s">
        <v>314</v>
      </c>
      <c r="EK76" s="177" t="s">
        <v>307</v>
      </c>
      <c r="EL76" s="177" t="s">
        <v>307</v>
      </c>
      <c r="EM76" s="177" t="s">
        <v>307</v>
      </c>
      <c r="EN76" s="177" t="s">
        <v>307</v>
      </c>
      <c r="EO76" s="150">
        <v>4.5</v>
      </c>
      <c r="EP76" s="177" t="s">
        <v>299</v>
      </c>
      <c r="EQ76" s="150">
        <v>0.75</v>
      </c>
      <c r="ER76" s="150">
        <v>0.75</v>
      </c>
      <c r="ES76" s="150">
        <v>7.80987329779874</v>
      </c>
      <c r="ET76" s="194" t="s">
        <v>174</v>
      </c>
      <c r="EU76" s="208">
        <v>3.53208832253184E-2</v>
      </c>
      <c r="EV76" s="208">
        <v>3.53208832253184E-2</v>
      </c>
      <c r="EW76" s="178">
        <v>806.614057086137</v>
      </c>
      <c r="EX76" s="194">
        <v>0</v>
      </c>
      <c r="EY76" s="194" t="s">
        <v>308</v>
      </c>
      <c r="EZ76" s="178">
        <v>806.614057086137</v>
      </c>
      <c r="FA76" s="178">
        <v>272.5886718489129</v>
      </c>
      <c r="FB76" s="178">
        <v>203.02177741893502</v>
      </c>
      <c r="FC76" s="196" t="s">
        <v>309</v>
      </c>
      <c r="FD76" s="177" t="s">
        <v>311</v>
      </c>
      <c r="FE76" s="177">
        <v>2387.9514004899702</v>
      </c>
      <c r="FF76" s="177">
        <v>500.68374173362997</v>
      </c>
      <c r="FG76" s="177">
        <v>440.491531770476</v>
      </c>
      <c r="FH76" s="177">
        <v>2206.4785034971201</v>
      </c>
      <c r="FI76" s="177">
        <v>493.005770242072</v>
      </c>
      <c r="FJ76" s="177">
        <v>432.94614524349601</v>
      </c>
      <c r="FK76" s="177" t="s">
        <v>175</v>
      </c>
      <c r="FL76" s="177" t="s">
        <v>175</v>
      </c>
      <c r="FM76" s="177" t="s">
        <v>175</v>
      </c>
      <c r="FN76" s="177" t="s">
        <v>175</v>
      </c>
      <c r="FO76" s="177" t="s">
        <v>175</v>
      </c>
      <c r="FP76" s="177" t="s">
        <v>175</v>
      </c>
      <c r="FQ76" s="177" t="s">
        <v>319</v>
      </c>
    </row>
    <row r="77" spans="1:173" s="177" customFormat="1">
      <c r="A77" s="128" t="s">
        <v>152</v>
      </c>
      <c r="B77" s="177" t="s">
        <v>156</v>
      </c>
      <c r="C77" s="177">
        <v>2020</v>
      </c>
      <c r="D77" s="177" t="s">
        <v>194</v>
      </c>
      <c r="E77" s="178">
        <v>40089.321136474609</v>
      </c>
      <c r="F77" s="177">
        <v>1</v>
      </c>
      <c r="G77" s="177">
        <v>1</v>
      </c>
      <c r="H77" s="179">
        <v>635.20054392716702</v>
      </c>
      <c r="I77" s="179">
        <v>188.03617403266503</v>
      </c>
      <c r="J77" s="179">
        <v>130.402565659858</v>
      </c>
      <c r="K77" s="177" t="s">
        <v>157</v>
      </c>
      <c r="L77" s="180" t="s">
        <v>158</v>
      </c>
      <c r="M77" s="181" t="s">
        <v>195</v>
      </c>
      <c r="N77" s="177" t="s">
        <v>194</v>
      </c>
      <c r="O77" s="177" t="s">
        <v>199</v>
      </c>
      <c r="P77" s="177" t="s">
        <v>200</v>
      </c>
      <c r="Q77" s="177">
        <v>8</v>
      </c>
      <c r="R77" s="177">
        <v>5</v>
      </c>
      <c r="S77" s="177">
        <v>122</v>
      </c>
      <c r="T77" s="177">
        <v>124</v>
      </c>
      <c r="U77" s="177">
        <v>70.53</v>
      </c>
      <c r="V77" s="128" t="s">
        <v>162</v>
      </c>
      <c r="W77" s="177" t="s">
        <v>205</v>
      </c>
      <c r="X77" s="177" t="s">
        <v>207</v>
      </c>
      <c r="Y77" s="182">
        <v>-50.945999999999998</v>
      </c>
      <c r="Z77" s="182">
        <v>-26.368600000000001</v>
      </c>
      <c r="AA77" s="182">
        <v>-57.4</v>
      </c>
      <c r="AB77" s="183" t="s">
        <v>162</v>
      </c>
      <c r="AC77" s="183">
        <v>-3083.4</v>
      </c>
      <c r="AD77" s="182">
        <v>-2250</v>
      </c>
      <c r="AE77" s="177" t="s">
        <v>212</v>
      </c>
      <c r="AF77" s="177" t="s">
        <v>160</v>
      </c>
      <c r="AG77" s="178">
        <v>40089.321136474609</v>
      </c>
      <c r="AH77" s="184" t="s">
        <v>215</v>
      </c>
      <c r="AI77" s="177">
        <v>1</v>
      </c>
      <c r="AJ77" s="177">
        <v>1</v>
      </c>
      <c r="AK77" s="177" t="s">
        <v>214</v>
      </c>
      <c r="AL77" s="177" t="s">
        <v>216</v>
      </c>
      <c r="AM77" s="192" t="s">
        <v>219</v>
      </c>
      <c r="AN77" s="177">
        <v>40.0466328125</v>
      </c>
      <c r="AO77" s="177" t="s">
        <v>162</v>
      </c>
      <c r="AP77" s="177" t="s">
        <v>162</v>
      </c>
      <c r="AQ77" s="177" t="s">
        <v>162</v>
      </c>
      <c r="AR77" s="177" t="s">
        <v>214</v>
      </c>
      <c r="AS77" s="177" t="s">
        <v>224</v>
      </c>
      <c r="AT77" s="177" t="s">
        <v>223</v>
      </c>
      <c r="AU77" s="177" t="s">
        <v>228</v>
      </c>
      <c r="AV77" s="177" t="s">
        <v>230</v>
      </c>
      <c r="AW77" s="174">
        <v>263</v>
      </c>
      <c r="AX77" s="174">
        <v>4.0979999999999999</v>
      </c>
      <c r="AY77" s="184" t="s">
        <v>232</v>
      </c>
      <c r="AZ77" s="177" t="s">
        <v>163</v>
      </c>
      <c r="BA77" s="177" t="s">
        <v>164</v>
      </c>
      <c r="BB77" s="177" t="s">
        <v>260</v>
      </c>
      <c r="BC77" s="177">
        <v>2</v>
      </c>
      <c r="BD77" s="186">
        <v>9.2290793112351097E-2</v>
      </c>
      <c r="BE77" s="187">
        <v>12.291064635488</v>
      </c>
      <c r="BF77" s="177" t="s">
        <v>233</v>
      </c>
      <c r="BG77" s="177">
        <v>0.240231810522294</v>
      </c>
      <c r="BH77" s="150">
        <v>1.02</v>
      </c>
      <c r="BI77" s="150" t="s">
        <v>281</v>
      </c>
      <c r="BJ77" s="150">
        <v>0.5</v>
      </c>
      <c r="BK77" s="150">
        <v>-2.4900000000000002</v>
      </c>
      <c r="BL77" s="150" t="s">
        <v>282</v>
      </c>
      <c r="BM77" s="150">
        <v>9.01</v>
      </c>
      <c r="BN77" s="150" t="s">
        <v>283</v>
      </c>
      <c r="BO77" s="150" t="s">
        <v>284</v>
      </c>
      <c r="BP77" s="189">
        <v>14.473392156862699</v>
      </c>
      <c r="BQ77" s="177" t="s">
        <v>287</v>
      </c>
      <c r="BR77" s="190" t="s">
        <v>288</v>
      </c>
      <c r="BS77" s="177" t="s">
        <v>286</v>
      </c>
      <c r="BT77" s="177" t="s">
        <v>289</v>
      </c>
      <c r="BU77" s="177">
        <v>25</v>
      </c>
      <c r="BV77" s="177" t="s">
        <v>165</v>
      </c>
      <c r="BW77" s="177" t="s">
        <v>165</v>
      </c>
      <c r="BX77" s="187">
        <v>22.756737359416199</v>
      </c>
      <c r="BY77" s="177" t="s">
        <v>290</v>
      </c>
      <c r="BZ77" s="186">
        <v>0.60402740967574797</v>
      </c>
      <c r="CA77" s="186">
        <v>0.67246050937006496</v>
      </c>
      <c r="CB77" s="177" t="s">
        <v>291</v>
      </c>
      <c r="CC77" s="177">
        <v>2.3896925586496698</v>
      </c>
      <c r="CD77" s="177" t="s">
        <v>292</v>
      </c>
      <c r="CE77" s="177">
        <v>7.1690776759490094E-2</v>
      </c>
      <c r="CF77" s="177">
        <v>7.1690776759490094E-2</v>
      </c>
      <c r="CG77" s="177" t="s">
        <v>295</v>
      </c>
      <c r="CH77" s="177" t="s">
        <v>162</v>
      </c>
      <c r="CI77" s="177" t="s">
        <v>293</v>
      </c>
      <c r="CJ77" s="177" t="s">
        <v>296</v>
      </c>
      <c r="CK77" s="177" t="s">
        <v>165</v>
      </c>
      <c r="CL77" s="177" t="s">
        <v>165</v>
      </c>
      <c r="CM77" s="177" t="s">
        <v>294</v>
      </c>
      <c r="CN77" s="177" t="s">
        <v>162</v>
      </c>
      <c r="CO77" s="177" t="s">
        <v>162</v>
      </c>
      <c r="CP77" s="177" t="s">
        <v>162</v>
      </c>
      <c r="CQ77" s="177" t="s">
        <v>162</v>
      </c>
      <c r="CR77" s="177" t="s">
        <v>162</v>
      </c>
      <c r="CS77" s="177" t="s">
        <v>162</v>
      </c>
      <c r="CT77" s="177" t="s">
        <v>162</v>
      </c>
      <c r="CU77" s="191">
        <v>35</v>
      </c>
      <c r="CV77" s="177" t="s">
        <v>161</v>
      </c>
      <c r="CW77" s="177">
        <v>1</v>
      </c>
      <c r="CX77" s="177" t="s">
        <v>297</v>
      </c>
      <c r="CY77" s="177">
        <v>17</v>
      </c>
      <c r="CZ77" s="177" t="s">
        <v>170</v>
      </c>
      <c r="DA77" s="177" t="s">
        <v>170</v>
      </c>
      <c r="DB77" s="177" t="s">
        <v>298</v>
      </c>
      <c r="DC77" s="177">
        <v>38</v>
      </c>
      <c r="DD77" s="177" t="s">
        <v>170</v>
      </c>
      <c r="DE77" s="177" t="s">
        <v>170</v>
      </c>
      <c r="DF77" s="177" t="s">
        <v>298</v>
      </c>
      <c r="DG77" s="177" t="s">
        <v>166</v>
      </c>
      <c r="DH77" s="177" t="s">
        <v>167</v>
      </c>
      <c r="DI77" s="177" t="s">
        <v>167</v>
      </c>
      <c r="DJ77" s="177" t="s">
        <v>167</v>
      </c>
      <c r="DK77" s="192">
        <v>432.56244218316402</v>
      </c>
      <c r="DL77" s="177" t="s">
        <v>168</v>
      </c>
      <c r="DM77" s="192">
        <v>12.3589269195223</v>
      </c>
      <c r="DN77" s="177" t="s">
        <v>169</v>
      </c>
      <c r="DO77" s="177">
        <v>38.700000000000003</v>
      </c>
      <c r="DP77" s="177" t="s">
        <v>299</v>
      </c>
      <c r="DQ77" s="177">
        <v>0.2</v>
      </c>
      <c r="DR77" s="177" t="s">
        <v>300</v>
      </c>
      <c r="DS77" s="177" t="s">
        <v>301</v>
      </c>
      <c r="DT77" s="177" t="s">
        <v>302</v>
      </c>
      <c r="DU77" s="177">
        <v>1.0271999999999999</v>
      </c>
      <c r="DV77" s="177" t="s">
        <v>170</v>
      </c>
      <c r="DW77" s="177" t="s">
        <v>170</v>
      </c>
      <c r="DX77" s="177" t="s">
        <v>177</v>
      </c>
      <c r="DY77" s="177" t="s">
        <v>170</v>
      </c>
      <c r="DZ77" s="177" t="s">
        <v>170</v>
      </c>
      <c r="EA77" s="177" t="s">
        <v>303</v>
      </c>
      <c r="EB77" s="177" t="s">
        <v>171</v>
      </c>
      <c r="EC77" s="177" t="s">
        <v>304</v>
      </c>
      <c r="ED77" s="177" t="s">
        <v>304</v>
      </c>
      <c r="EE77" s="177" t="s">
        <v>304</v>
      </c>
      <c r="EF77" s="177" t="s">
        <v>304</v>
      </c>
      <c r="EG77" s="177" t="s">
        <v>162</v>
      </c>
      <c r="EH77" s="177" t="s">
        <v>312</v>
      </c>
      <c r="EI77" s="177" t="s">
        <v>313</v>
      </c>
      <c r="EJ77" s="177" t="s">
        <v>314</v>
      </c>
      <c r="EK77" s="177" t="s">
        <v>307</v>
      </c>
      <c r="EL77" s="177" t="s">
        <v>307</v>
      </c>
      <c r="EM77" s="177" t="s">
        <v>307</v>
      </c>
      <c r="EN77" s="177" t="s">
        <v>307</v>
      </c>
      <c r="EO77" s="128">
        <v>4.5</v>
      </c>
      <c r="EP77" s="128" t="s">
        <v>299</v>
      </c>
      <c r="EQ77" s="128">
        <v>0.75</v>
      </c>
      <c r="ER77" s="128">
        <v>0.75</v>
      </c>
      <c r="ES77" s="177">
        <v>7.8485164460028898</v>
      </c>
      <c r="ET77" s="194" t="s">
        <v>174</v>
      </c>
      <c r="EU77" s="195">
        <v>3.21846736491435E-2</v>
      </c>
      <c r="EV77" s="195">
        <v>3.21846736491435E-2</v>
      </c>
      <c r="EW77" s="178">
        <v>635.20054392716702</v>
      </c>
      <c r="EX77" s="194">
        <v>0</v>
      </c>
      <c r="EY77" s="194" t="s">
        <v>308</v>
      </c>
      <c r="EZ77" s="178">
        <v>635.20054392716702</v>
      </c>
      <c r="FA77" s="178">
        <v>188.03617403266503</v>
      </c>
      <c r="FB77" s="178">
        <v>130.402565659858</v>
      </c>
      <c r="FC77" s="196" t="s">
        <v>309</v>
      </c>
      <c r="FD77" s="177" t="s">
        <v>311</v>
      </c>
      <c r="FE77" s="177">
        <v>2000.3059211340101</v>
      </c>
      <c r="FF77" s="177">
        <v>349.03167680689501</v>
      </c>
      <c r="FG77" s="177">
        <v>281.070187411483</v>
      </c>
      <c r="FH77" s="177">
        <v>1796.7000263150701</v>
      </c>
      <c r="FI77" s="177">
        <v>337.71119225900799</v>
      </c>
      <c r="FJ77" s="177">
        <v>271.76151404554901</v>
      </c>
      <c r="FK77" s="177" t="s">
        <v>175</v>
      </c>
      <c r="FL77" s="177" t="s">
        <v>175</v>
      </c>
      <c r="FM77" s="177" t="s">
        <v>175</v>
      </c>
      <c r="FN77" s="177" t="s">
        <v>175</v>
      </c>
      <c r="FO77" s="177" t="s">
        <v>175</v>
      </c>
      <c r="FP77" s="177" t="s">
        <v>175</v>
      </c>
      <c r="FQ77" s="177" t="s">
        <v>319</v>
      </c>
    </row>
    <row r="78" spans="1:173" s="177" customFormat="1">
      <c r="A78" s="128" t="s">
        <v>152</v>
      </c>
      <c r="B78" s="177" t="s">
        <v>156</v>
      </c>
      <c r="C78" s="177">
        <v>2020</v>
      </c>
      <c r="D78" s="177" t="s">
        <v>194</v>
      </c>
      <c r="E78" s="178">
        <v>40109.642028808594</v>
      </c>
      <c r="F78" s="177">
        <v>1</v>
      </c>
      <c r="G78" s="177">
        <v>1</v>
      </c>
      <c r="H78" s="179">
        <v>656.91819758073905</v>
      </c>
      <c r="I78" s="179">
        <v>216.71690152758299</v>
      </c>
      <c r="J78" s="179">
        <v>146.29367089319607</v>
      </c>
      <c r="K78" s="177" t="s">
        <v>157</v>
      </c>
      <c r="L78" s="180" t="s">
        <v>158</v>
      </c>
      <c r="M78" s="181" t="s">
        <v>195</v>
      </c>
      <c r="N78" s="177" t="s">
        <v>194</v>
      </c>
      <c r="O78" s="177" t="s">
        <v>199</v>
      </c>
      <c r="P78" s="177" t="s">
        <v>200</v>
      </c>
      <c r="Q78" s="177">
        <v>8</v>
      </c>
      <c r="R78" s="177">
        <v>6</v>
      </c>
      <c r="S78" s="177">
        <v>22</v>
      </c>
      <c r="T78" s="177">
        <v>24</v>
      </c>
      <c r="U78" s="177">
        <v>71.03</v>
      </c>
      <c r="V78" s="128" t="s">
        <v>162</v>
      </c>
      <c r="W78" s="177" t="s">
        <v>205</v>
      </c>
      <c r="X78" s="177" t="s">
        <v>207</v>
      </c>
      <c r="Y78" s="182">
        <v>-50.945999999999998</v>
      </c>
      <c r="Z78" s="182">
        <v>-26.368600000000001</v>
      </c>
      <c r="AA78" s="182">
        <v>-57.4</v>
      </c>
      <c r="AB78" s="183" t="s">
        <v>162</v>
      </c>
      <c r="AC78" s="183">
        <v>-3083.4</v>
      </c>
      <c r="AD78" s="182">
        <v>-2250</v>
      </c>
      <c r="AE78" s="177" t="s">
        <v>212</v>
      </c>
      <c r="AF78" s="177" t="s">
        <v>160</v>
      </c>
      <c r="AG78" s="178">
        <v>40109.642028808594</v>
      </c>
      <c r="AH78" s="184" t="s">
        <v>215</v>
      </c>
      <c r="AI78" s="177">
        <v>1</v>
      </c>
      <c r="AJ78" s="177">
        <v>1</v>
      </c>
      <c r="AK78" s="177" t="s">
        <v>214</v>
      </c>
      <c r="AL78" s="177" t="s">
        <v>216</v>
      </c>
      <c r="AM78" s="192" t="s">
        <v>219</v>
      </c>
      <c r="AN78" s="177">
        <v>40.085441406249998</v>
      </c>
      <c r="AO78" s="177" t="s">
        <v>162</v>
      </c>
      <c r="AP78" s="177" t="s">
        <v>162</v>
      </c>
      <c r="AQ78" s="177" t="s">
        <v>162</v>
      </c>
      <c r="AR78" s="177" t="s">
        <v>214</v>
      </c>
      <c r="AS78" s="177" t="s">
        <v>224</v>
      </c>
      <c r="AT78" s="177" t="s">
        <v>223</v>
      </c>
      <c r="AU78" s="177" t="s">
        <v>228</v>
      </c>
      <c r="AV78" s="177" t="s">
        <v>230</v>
      </c>
      <c r="AW78" s="174">
        <v>288</v>
      </c>
      <c r="AX78" s="176">
        <v>4.0170000000000003</v>
      </c>
      <c r="AY78" s="184" t="s">
        <v>232</v>
      </c>
      <c r="AZ78" s="177" t="s">
        <v>163</v>
      </c>
      <c r="BA78" s="177" t="s">
        <v>164</v>
      </c>
      <c r="BB78" s="177" t="s">
        <v>261</v>
      </c>
      <c r="BC78" s="177">
        <v>2</v>
      </c>
      <c r="BD78" s="186">
        <v>4.024324221663278E-2</v>
      </c>
      <c r="BE78" s="187">
        <v>12.2769721299899</v>
      </c>
      <c r="BF78" s="177" t="s">
        <v>233</v>
      </c>
      <c r="BG78" s="177">
        <v>0.24226091255445001</v>
      </c>
      <c r="BH78" s="150">
        <v>1.02</v>
      </c>
      <c r="BI78" s="150" t="s">
        <v>281</v>
      </c>
      <c r="BJ78" s="150">
        <v>0.5</v>
      </c>
      <c r="BK78" s="150">
        <v>-2.4900000000000002</v>
      </c>
      <c r="BL78" s="150" t="s">
        <v>282</v>
      </c>
      <c r="BM78" s="150">
        <v>9.01</v>
      </c>
      <c r="BN78" s="150" t="s">
        <v>283</v>
      </c>
      <c r="BO78" s="150" t="s">
        <v>284</v>
      </c>
      <c r="BP78" s="189">
        <v>14.459578431372501</v>
      </c>
      <c r="BQ78" s="177" t="s">
        <v>287</v>
      </c>
      <c r="BR78" s="190" t="s">
        <v>288</v>
      </c>
      <c r="BS78" s="177" t="s">
        <v>286</v>
      </c>
      <c r="BT78" s="177" t="s">
        <v>289</v>
      </c>
      <c r="BU78" s="177">
        <v>25</v>
      </c>
      <c r="BV78" s="177" t="s">
        <v>165</v>
      </c>
      <c r="BW78" s="177" t="s">
        <v>165</v>
      </c>
      <c r="BX78" s="187">
        <v>23.1325815911242</v>
      </c>
      <c r="BY78" s="177" t="s">
        <v>290</v>
      </c>
      <c r="BZ78" s="186">
        <v>0.60759202629634501</v>
      </c>
      <c r="CA78" s="186">
        <v>0.67321072183952801</v>
      </c>
      <c r="CB78" s="177" t="s">
        <v>291</v>
      </c>
      <c r="CC78" s="177">
        <v>2.4539213376582301</v>
      </c>
      <c r="CD78" s="177" t="s">
        <v>292</v>
      </c>
      <c r="CE78" s="177">
        <v>7.3617640129746906E-2</v>
      </c>
      <c r="CF78" s="177">
        <v>7.3617640129746906E-2</v>
      </c>
      <c r="CG78" s="177" t="s">
        <v>295</v>
      </c>
      <c r="CH78" s="177" t="s">
        <v>162</v>
      </c>
      <c r="CI78" s="177" t="s">
        <v>293</v>
      </c>
      <c r="CJ78" s="177" t="s">
        <v>296</v>
      </c>
      <c r="CK78" s="177" t="s">
        <v>165</v>
      </c>
      <c r="CL78" s="177" t="s">
        <v>165</v>
      </c>
      <c r="CM78" s="177" t="s">
        <v>294</v>
      </c>
      <c r="CN78" s="177" t="s">
        <v>162</v>
      </c>
      <c r="CO78" s="177" t="s">
        <v>162</v>
      </c>
      <c r="CP78" s="177" t="s">
        <v>162</v>
      </c>
      <c r="CQ78" s="177" t="s">
        <v>162</v>
      </c>
      <c r="CR78" s="177" t="s">
        <v>162</v>
      </c>
      <c r="CS78" s="177" t="s">
        <v>162</v>
      </c>
      <c r="CT78" s="177" t="s">
        <v>162</v>
      </c>
      <c r="CU78" s="191">
        <v>35</v>
      </c>
      <c r="CV78" s="177" t="s">
        <v>161</v>
      </c>
      <c r="CW78" s="177">
        <v>1</v>
      </c>
      <c r="CX78" s="177" t="s">
        <v>297</v>
      </c>
      <c r="CY78" s="177">
        <v>17</v>
      </c>
      <c r="CZ78" s="177" t="s">
        <v>170</v>
      </c>
      <c r="DA78" s="177" t="s">
        <v>170</v>
      </c>
      <c r="DB78" s="177" t="s">
        <v>298</v>
      </c>
      <c r="DC78" s="177">
        <v>38</v>
      </c>
      <c r="DD78" s="177" t="s">
        <v>170</v>
      </c>
      <c r="DE78" s="177" t="s">
        <v>170</v>
      </c>
      <c r="DF78" s="177" t="s">
        <v>298</v>
      </c>
      <c r="DG78" s="177" t="s">
        <v>166</v>
      </c>
      <c r="DH78" s="177" t="s">
        <v>167</v>
      </c>
      <c r="DI78" s="177" t="s">
        <v>167</v>
      </c>
      <c r="DJ78" s="177" t="s">
        <v>167</v>
      </c>
      <c r="DK78" s="192">
        <v>432.56244218316402</v>
      </c>
      <c r="DL78" s="177" t="s">
        <v>168</v>
      </c>
      <c r="DM78" s="192">
        <v>12.3589269195224</v>
      </c>
      <c r="DN78" s="177" t="s">
        <v>169</v>
      </c>
      <c r="DO78" s="177">
        <v>38.700000000000003</v>
      </c>
      <c r="DP78" s="177" t="s">
        <v>299</v>
      </c>
      <c r="DQ78" s="177">
        <v>0.2</v>
      </c>
      <c r="DR78" s="177" t="s">
        <v>300</v>
      </c>
      <c r="DS78" s="177" t="s">
        <v>301</v>
      </c>
      <c r="DT78" s="177" t="s">
        <v>302</v>
      </c>
      <c r="DU78" s="177">
        <v>1.0271999999999999</v>
      </c>
      <c r="DV78" s="177" t="s">
        <v>170</v>
      </c>
      <c r="DW78" s="177" t="s">
        <v>170</v>
      </c>
      <c r="DX78" s="177" t="s">
        <v>177</v>
      </c>
      <c r="DY78" s="177" t="s">
        <v>170</v>
      </c>
      <c r="DZ78" s="177" t="s">
        <v>170</v>
      </c>
      <c r="EA78" s="177" t="s">
        <v>303</v>
      </c>
      <c r="EB78" s="177" t="s">
        <v>171</v>
      </c>
      <c r="EC78" s="177" t="s">
        <v>304</v>
      </c>
      <c r="ED78" s="177" t="s">
        <v>304</v>
      </c>
      <c r="EE78" s="177" t="s">
        <v>304</v>
      </c>
      <c r="EF78" s="177" t="s">
        <v>304</v>
      </c>
      <c r="EG78" s="177" t="s">
        <v>162</v>
      </c>
      <c r="EH78" s="177" t="s">
        <v>312</v>
      </c>
      <c r="EI78" s="177" t="s">
        <v>313</v>
      </c>
      <c r="EJ78" s="177" t="s">
        <v>314</v>
      </c>
      <c r="EK78" s="177" t="s">
        <v>307</v>
      </c>
      <c r="EL78" s="177" t="s">
        <v>307</v>
      </c>
      <c r="EM78" s="177" t="s">
        <v>307</v>
      </c>
      <c r="EN78" s="177" t="s">
        <v>307</v>
      </c>
      <c r="EO78" s="128">
        <v>4.5</v>
      </c>
      <c r="EP78" s="128" t="s">
        <v>299</v>
      </c>
      <c r="EQ78" s="128">
        <v>0.75</v>
      </c>
      <c r="ER78" s="128">
        <v>0.75</v>
      </c>
      <c r="ES78" s="177">
        <v>7.8409102205494099</v>
      </c>
      <c r="ET78" s="194" t="s">
        <v>174</v>
      </c>
      <c r="EU78" s="195">
        <v>3.12068004625232E-2</v>
      </c>
      <c r="EV78" s="195">
        <v>3.12068004625232E-2</v>
      </c>
      <c r="EW78" s="178">
        <v>656.91819758073905</v>
      </c>
      <c r="EX78" s="194">
        <v>0</v>
      </c>
      <c r="EY78" s="194" t="s">
        <v>308</v>
      </c>
      <c r="EZ78" s="178">
        <v>656.91819758073905</v>
      </c>
      <c r="FA78" s="178">
        <v>216.71690152758299</v>
      </c>
      <c r="FB78" s="178">
        <v>146.29367089319607</v>
      </c>
      <c r="FC78" s="196" t="s">
        <v>309</v>
      </c>
      <c r="FD78" s="177" t="s">
        <v>311</v>
      </c>
      <c r="FE78" s="177">
        <v>2007.73196765328</v>
      </c>
      <c r="FF78" s="177">
        <v>381.03208887862701</v>
      </c>
      <c r="FG78" s="177">
        <v>299.80663340106798</v>
      </c>
      <c r="FH78" s="177">
        <v>1803.7239989383399</v>
      </c>
      <c r="FI78" s="177">
        <v>373.60955990483302</v>
      </c>
      <c r="FJ78" s="177">
        <v>293.94309227884798</v>
      </c>
      <c r="FK78" s="177" t="s">
        <v>175</v>
      </c>
      <c r="FL78" s="177" t="s">
        <v>175</v>
      </c>
      <c r="FM78" s="177" t="s">
        <v>175</v>
      </c>
      <c r="FN78" s="177" t="s">
        <v>175</v>
      </c>
      <c r="FO78" s="177" t="s">
        <v>175</v>
      </c>
      <c r="FP78" s="177" t="s">
        <v>175</v>
      </c>
      <c r="FQ78" s="177" t="s">
        <v>319</v>
      </c>
    </row>
    <row r="79" spans="1:173" s="177" customFormat="1">
      <c r="A79" s="128" t="s">
        <v>152</v>
      </c>
      <c r="B79" s="177" t="s">
        <v>156</v>
      </c>
      <c r="C79" s="177">
        <v>2020</v>
      </c>
      <c r="D79" s="177" t="s">
        <v>194</v>
      </c>
      <c r="E79" s="178">
        <v>40137.683868408203</v>
      </c>
      <c r="F79" s="177">
        <v>1</v>
      </c>
      <c r="G79" s="177">
        <v>1</v>
      </c>
      <c r="H79" s="179">
        <v>727.77242624182099</v>
      </c>
      <c r="I79" s="179">
        <v>219.96838142781496</v>
      </c>
      <c r="J79" s="179">
        <v>169.62877720008703</v>
      </c>
      <c r="K79" s="177" t="s">
        <v>157</v>
      </c>
      <c r="L79" s="180" t="s">
        <v>158</v>
      </c>
      <c r="M79" s="181" t="s">
        <v>195</v>
      </c>
      <c r="N79" s="177" t="s">
        <v>194</v>
      </c>
      <c r="O79" s="177" t="s">
        <v>199</v>
      </c>
      <c r="P79" s="177" t="s">
        <v>200</v>
      </c>
      <c r="Q79" s="177">
        <v>8</v>
      </c>
      <c r="R79" s="177">
        <v>6</v>
      </c>
      <c r="S79" s="177">
        <v>91</v>
      </c>
      <c r="T79" s="177">
        <v>93</v>
      </c>
      <c r="U79" s="177">
        <v>71.72</v>
      </c>
      <c r="V79" s="128" t="s">
        <v>162</v>
      </c>
      <c r="W79" s="177" t="s">
        <v>205</v>
      </c>
      <c r="X79" s="177" t="s">
        <v>207</v>
      </c>
      <c r="Y79" s="182">
        <v>-50.945999999999998</v>
      </c>
      <c r="Z79" s="182">
        <v>-26.368600000000001</v>
      </c>
      <c r="AA79" s="182">
        <v>-57.4</v>
      </c>
      <c r="AB79" s="183" t="s">
        <v>162</v>
      </c>
      <c r="AC79" s="183">
        <v>-3083.4</v>
      </c>
      <c r="AD79" s="182">
        <v>-2250</v>
      </c>
      <c r="AE79" s="177" t="s">
        <v>212</v>
      </c>
      <c r="AF79" s="177" t="s">
        <v>160</v>
      </c>
      <c r="AG79" s="178">
        <v>40137.683868408203</v>
      </c>
      <c r="AH79" s="184" t="s">
        <v>215</v>
      </c>
      <c r="AI79" s="177">
        <v>1</v>
      </c>
      <c r="AJ79" s="177">
        <v>1</v>
      </c>
      <c r="AK79" s="177" t="s">
        <v>214</v>
      </c>
      <c r="AL79" s="177" t="s">
        <v>216</v>
      </c>
      <c r="AM79" s="192" t="s">
        <v>219</v>
      </c>
      <c r="AN79" s="177">
        <v>40.137503906249997</v>
      </c>
      <c r="AO79" s="177" t="s">
        <v>162</v>
      </c>
      <c r="AP79" s="177" t="s">
        <v>162</v>
      </c>
      <c r="AQ79" s="177" t="s">
        <v>162</v>
      </c>
      <c r="AR79" s="177" t="s">
        <v>214</v>
      </c>
      <c r="AS79" s="177" t="s">
        <v>224</v>
      </c>
      <c r="AT79" s="177" t="s">
        <v>223</v>
      </c>
      <c r="AU79" s="177" t="s">
        <v>228</v>
      </c>
      <c r="AV79" s="177" t="s">
        <v>230</v>
      </c>
      <c r="AW79" s="174">
        <v>208</v>
      </c>
      <c r="AX79" s="176">
        <v>3.2</v>
      </c>
      <c r="AY79" s="184" t="s">
        <v>232</v>
      </c>
      <c r="AZ79" s="177" t="s">
        <v>163</v>
      </c>
      <c r="BA79" s="177" t="s">
        <v>164</v>
      </c>
      <c r="BB79" s="177" t="s">
        <v>262</v>
      </c>
      <c r="BC79" s="177">
        <v>2</v>
      </c>
      <c r="BD79" s="186">
        <v>8.4841807363963184E-2</v>
      </c>
      <c r="BE79" s="187">
        <v>11.3818825150062</v>
      </c>
      <c r="BF79" s="177" t="s">
        <v>233</v>
      </c>
      <c r="BG79" s="177">
        <v>0.24316067583131001</v>
      </c>
      <c r="BH79" s="150">
        <v>1.02</v>
      </c>
      <c r="BI79" s="150" t="s">
        <v>281</v>
      </c>
      <c r="BJ79" s="150">
        <v>0.5</v>
      </c>
      <c r="BK79" s="150">
        <v>-2.4900000000000002</v>
      </c>
      <c r="BL79" s="150" t="s">
        <v>282</v>
      </c>
      <c r="BM79" s="150">
        <v>9.01</v>
      </c>
      <c r="BN79" s="150" t="s">
        <v>283</v>
      </c>
      <c r="BO79" s="150" t="s">
        <v>284</v>
      </c>
      <c r="BP79" s="189">
        <v>13.582039215686301</v>
      </c>
      <c r="BQ79" s="177" t="s">
        <v>287</v>
      </c>
      <c r="BR79" s="190" t="s">
        <v>288</v>
      </c>
      <c r="BS79" s="177" t="s">
        <v>286</v>
      </c>
      <c r="BT79" s="177" t="s">
        <v>289</v>
      </c>
      <c r="BU79" s="177">
        <v>25</v>
      </c>
      <c r="BV79" s="177" t="s">
        <v>165</v>
      </c>
      <c r="BW79" s="177" t="s">
        <v>165</v>
      </c>
      <c r="BX79" s="187">
        <v>20.472318365301899</v>
      </c>
      <c r="BY79" s="177" t="s">
        <v>290</v>
      </c>
      <c r="BZ79" s="186">
        <v>0.64942596962043497</v>
      </c>
      <c r="CA79" s="186">
        <v>0.73214719994619104</v>
      </c>
      <c r="CB79" s="177" t="s">
        <v>291</v>
      </c>
      <c r="CC79" s="177">
        <v>2.2545272670658201</v>
      </c>
      <c r="CD79" s="177" t="s">
        <v>292</v>
      </c>
      <c r="CE79" s="177">
        <v>6.7635818011974602E-2</v>
      </c>
      <c r="CF79" s="177">
        <v>6.7635818011974602E-2</v>
      </c>
      <c r="CG79" s="177" t="s">
        <v>295</v>
      </c>
      <c r="CH79" s="177" t="s">
        <v>162</v>
      </c>
      <c r="CI79" s="177" t="s">
        <v>293</v>
      </c>
      <c r="CJ79" s="177" t="s">
        <v>296</v>
      </c>
      <c r="CK79" s="177" t="s">
        <v>165</v>
      </c>
      <c r="CL79" s="177" t="s">
        <v>165</v>
      </c>
      <c r="CM79" s="177" t="s">
        <v>294</v>
      </c>
      <c r="CN79" s="177" t="s">
        <v>162</v>
      </c>
      <c r="CO79" s="177" t="s">
        <v>162</v>
      </c>
      <c r="CP79" s="177" t="s">
        <v>162</v>
      </c>
      <c r="CQ79" s="177" t="s">
        <v>162</v>
      </c>
      <c r="CR79" s="177" t="s">
        <v>162</v>
      </c>
      <c r="CS79" s="177" t="s">
        <v>162</v>
      </c>
      <c r="CT79" s="177" t="s">
        <v>162</v>
      </c>
      <c r="CU79" s="191">
        <v>35</v>
      </c>
      <c r="CV79" s="177" t="s">
        <v>161</v>
      </c>
      <c r="CW79" s="177">
        <v>1</v>
      </c>
      <c r="CX79" s="177" t="s">
        <v>297</v>
      </c>
      <c r="CY79" s="177">
        <v>17</v>
      </c>
      <c r="CZ79" s="177" t="s">
        <v>170</v>
      </c>
      <c r="DA79" s="177" t="s">
        <v>170</v>
      </c>
      <c r="DB79" s="177" t="s">
        <v>298</v>
      </c>
      <c r="DC79" s="177">
        <v>38</v>
      </c>
      <c r="DD79" s="177" t="s">
        <v>170</v>
      </c>
      <c r="DE79" s="177" t="s">
        <v>170</v>
      </c>
      <c r="DF79" s="177" t="s">
        <v>298</v>
      </c>
      <c r="DG79" s="177" t="s">
        <v>166</v>
      </c>
      <c r="DH79" s="177" t="s">
        <v>167</v>
      </c>
      <c r="DI79" s="177" t="s">
        <v>167</v>
      </c>
      <c r="DJ79" s="177" t="s">
        <v>167</v>
      </c>
      <c r="DK79" s="192">
        <v>432.56244218316402</v>
      </c>
      <c r="DL79" s="177" t="s">
        <v>168</v>
      </c>
      <c r="DM79" s="192">
        <v>12.358926919522499</v>
      </c>
      <c r="DN79" s="177" t="s">
        <v>169</v>
      </c>
      <c r="DO79" s="177">
        <v>38.700000000000003</v>
      </c>
      <c r="DP79" s="177" t="s">
        <v>299</v>
      </c>
      <c r="DQ79" s="177">
        <v>0.2</v>
      </c>
      <c r="DR79" s="177" t="s">
        <v>300</v>
      </c>
      <c r="DS79" s="177" t="s">
        <v>301</v>
      </c>
      <c r="DT79" s="177" t="s">
        <v>302</v>
      </c>
      <c r="DU79" s="177">
        <v>1.0271999999999999</v>
      </c>
      <c r="DV79" s="177" t="s">
        <v>170</v>
      </c>
      <c r="DW79" s="177" t="s">
        <v>170</v>
      </c>
      <c r="DX79" s="177" t="s">
        <v>177</v>
      </c>
      <c r="DY79" s="177" t="s">
        <v>170</v>
      </c>
      <c r="DZ79" s="177" t="s">
        <v>170</v>
      </c>
      <c r="EA79" s="177" t="s">
        <v>303</v>
      </c>
      <c r="EB79" s="177" t="s">
        <v>171</v>
      </c>
      <c r="EC79" s="177" t="s">
        <v>304</v>
      </c>
      <c r="ED79" s="177" t="s">
        <v>304</v>
      </c>
      <c r="EE79" s="177" t="s">
        <v>304</v>
      </c>
      <c r="EF79" s="177" t="s">
        <v>304</v>
      </c>
      <c r="EG79" s="177" t="s">
        <v>162</v>
      </c>
      <c r="EH79" s="177" t="s">
        <v>312</v>
      </c>
      <c r="EI79" s="177" t="s">
        <v>313</v>
      </c>
      <c r="EJ79" s="177" t="s">
        <v>314</v>
      </c>
      <c r="EK79" s="177" t="s">
        <v>307</v>
      </c>
      <c r="EL79" s="177" t="s">
        <v>307</v>
      </c>
      <c r="EM79" s="177" t="s">
        <v>307</v>
      </c>
      <c r="EN79" s="177" t="s">
        <v>307</v>
      </c>
      <c r="EO79" s="128">
        <v>4.5</v>
      </c>
      <c r="EP79" s="128" t="s">
        <v>299</v>
      </c>
      <c r="EQ79" s="128">
        <v>0.75</v>
      </c>
      <c r="ER79" s="128">
        <v>0.75</v>
      </c>
      <c r="ES79" s="177">
        <v>7.71919804289172</v>
      </c>
      <c r="ET79" s="194" t="s">
        <v>174</v>
      </c>
      <c r="EU79" s="195">
        <v>4.5744518664266903E-2</v>
      </c>
      <c r="EV79" s="195">
        <v>4.5744518664266903E-2</v>
      </c>
      <c r="EW79" s="178">
        <v>727.77242624182099</v>
      </c>
      <c r="EX79" s="194">
        <v>0</v>
      </c>
      <c r="EY79" s="194" t="s">
        <v>308</v>
      </c>
      <c r="EZ79" s="178">
        <v>727.77242624182099</v>
      </c>
      <c r="FA79" s="178">
        <v>219.96838142781496</v>
      </c>
      <c r="FB79" s="178">
        <v>169.62877720008703</v>
      </c>
      <c r="FC79" s="196" t="s">
        <v>309</v>
      </c>
      <c r="FD79" s="177" t="s">
        <v>311</v>
      </c>
      <c r="FE79" s="177">
        <v>2137.6072418066101</v>
      </c>
      <c r="FF79" s="177">
        <v>375.09865518655801</v>
      </c>
      <c r="FG79" s="177">
        <v>328.07434965996202</v>
      </c>
      <c r="FH79" s="177">
        <v>1937.6523479354701</v>
      </c>
      <c r="FI79" s="177">
        <v>377.48467845887802</v>
      </c>
      <c r="FJ79" s="177">
        <v>318.55583714652403</v>
      </c>
      <c r="FK79" s="177" t="s">
        <v>175</v>
      </c>
      <c r="FL79" s="177" t="s">
        <v>175</v>
      </c>
      <c r="FM79" s="177" t="s">
        <v>175</v>
      </c>
      <c r="FN79" s="177" t="s">
        <v>175</v>
      </c>
      <c r="FO79" s="177" t="s">
        <v>175</v>
      </c>
      <c r="FP79" s="177" t="s">
        <v>175</v>
      </c>
      <c r="FQ79" s="177" t="s">
        <v>319</v>
      </c>
    </row>
    <row r="80" spans="1:173" s="177" customFormat="1">
      <c r="A80" s="128" t="s">
        <v>152</v>
      </c>
      <c r="B80" s="177" t="s">
        <v>156</v>
      </c>
      <c r="C80" s="177">
        <v>2020</v>
      </c>
      <c r="D80" s="177" t="s">
        <v>194</v>
      </c>
      <c r="E80" s="178">
        <v>40251.941680908203</v>
      </c>
      <c r="F80" s="177">
        <v>1</v>
      </c>
      <c r="G80" s="177">
        <v>1</v>
      </c>
      <c r="H80" s="179">
        <v>656.26026243883905</v>
      </c>
      <c r="I80" s="179">
        <v>206.71191402632098</v>
      </c>
      <c r="J80" s="179">
        <v>137.05555539313207</v>
      </c>
      <c r="K80" s="177" t="s">
        <v>157</v>
      </c>
      <c r="L80" s="180" t="s">
        <v>158</v>
      </c>
      <c r="M80" s="181" t="s">
        <v>195</v>
      </c>
      <c r="N80" s="177" t="s">
        <v>194</v>
      </c>
      <c r="O80" s="177" t="s">
        <v>199</v>
      </c>
      <c r="P80" s="177" t="s">
        <v>200</v>
      </c>
      <c r="Q80" s="177">
        <v>9</v>
      </c>
      <c r="R80" s="177">
        <v>1</v>
      </c>
      <c r="S80" s="177">
        <v>40</v>
      </c>
      <c r="T80" s="177">
        <v>41</v>
      </c>
      <c r="U80" s="177">
        <v>73.209999999999994</v>
      </c>
      <c r="V80" s="128" t="s">
        <v>162</v>
      </c>
      <c r="W80" s="177" t="s">
        <v>205</v>
      </c>
      <c r="X80" s="177" t="s">
        <v>207</v>
      </c>
      <c r="Y80" s="182">
        <v>-50.945999999999998</v>
      </c>
      <c r="Z80" s="182">
        <v>-26.368600000000001</v>
      </c>
      <c r="AA80" s="182">
        <v>-57.4</v>
      </c>
      <c r="AB80" s="183" t="s">
        <v>162</v>
      </c>
      <c r="AC80" s="183">
        <v>-3083.4</v>
      </c>
      <c r="AD80" s="182">
        <v>-2250</v>
      </c>
      <c r="AE80" s="177" t="s">
        <v>212</v>
      </c>
      <c r="AF80" s="177" t="s">
        <v>160</v>
      </c>
      <c r="AG80" s="178">
        <v>40251.941680908203</v>
      </c>
      <c r="AH80" s="184" t="s">
        <v>215</v>
      </c>
      <c r="AI80" s="177">
        <v>1</v>
      </c>
      <c r="AJ80" s="177">
        <v>1</v>
      </c>
      <c r="AK80" s="177" t="s">
        <v>214</v>
      </c>
      <c r="AL80" s="177" t="s">
        <v>216</v>
      </c>
      <c r="AM80" s="192" t="s">
        <v>219</v>
      </c>
      <c r="AN80" s="177">
        <v>40.245468750000001</v>
      </c>
      <c r="AO80" s="177" t="s">
        <v>162</v>
      </c>
      <c r="AP80" s="177" t="s">
        <v>162</v>
      </c>
      <c r="AQ80" s="177" t="s">
        <v>162</v>
      </c>
      <c r="AR80" s="177" t="s">
        <v>214</v>
      </c>
      <c r="AS80" s="177" t="s">
        <v>224</v>
      </c>
      <c r="AT80" s="177" t="s">
        <v>223</v>
      </c>
      <c r="AU80" s="177" t="s">
        <v>228</v>
      </c>
      <c r="AV80" s="177" t="s">
        <v>230</v>
      </c>
      <c r="AW80" s="174">
        <v>199</v>
      </c>
      <c r="AX80" s="174">
        <v>2.9649999999999999</v>
      </c>
      <c r="AY80" s="184" t="s">
        <v>232</v>
      </c>
      <c r="AZ80" s="177" t="s">
        <v>163</v>
      </c>
      <c r="BA80" s="177" t="s">
        <v>164</v>
      </c>
      <c r="BB80" s="177" t="s">
        <v>263</v>
      </c>
      <c r="BC80" s="177">
        <v>2</v>
      </c>
      <c r="BD80" s="186">
        <v>0.11254182991340754</v>
      </c>
      <c r="BE80" s="187">
        <v>12.263942840053801</v>
      </c>
      <c r="BF80" s="177" t="s">
        <v>233</v>
      </c>
      <c r="BG80" s="177">
        <v>0.247223585998394</v>
      </c>
      <c r="BH80" s="150">
        <v>1.02</v>
      </c>
      <c r="BI80" s="150" t="s">
        <v>281</v>
      </c>
      <c r="BJ80" s="150">
        <v>0.5</v>
      </c>
      <c r="BK80" s="150">
        <v>-2.4900000000000002</v>
      </c>
      <c r="BL80" s="150" t="s">
        <v>282</v>
      </c>
      <c r="BM80" s="150">
        <v>9.01</v>
      </c>
      <c r="BN80" s="150" t="s">
        <v>283</v>
      </c>
      <c r="BO80" s="150" t="s">
        <v>284</v>
      </c>
      <c r="BP80" s="189">
        <v>14.4468039215686</v>
      </c>
      <c r="BQ80" s="177" t="s">
        <v>287</v>
      </c>
      <c r="BR80" s="190" t="s">
        <v>288</v>
      </c>
      <c r="BS80" s="177" t="s">
        <v>286</v>
      </c>
      <c r="BT80" s="177" t="s">
        <v>289</v>
      </c>
      <c r="BU80" s="177">
        <v>25</v>
      </c>
      <c r="BV80" s="177" t="s">
        <v>165</v>
      </c>
      <c r="BW80" s="177" t="s">
        <v>165</v>
      </c>
      <c r="BX80" s="187">
        <v>21.544776114125401</v>
      </c>
      <c r="BY80" s="177" t="s">
        <v>290</v>
      </c>
      <c r="BZ80" s="186">
        <v>0.60084172553231996</v>
      </c>
      <c r="CA80" s="186">
        <v>0.65411785489763496</v>
      </c>
      <c r="CB80" s="177" t="s">
        <v>291</v>
      </c>
      <c r="CC80" s="177">
        <v>2.2189287206607702</v>
      </c>
      <c r="CD80" s="177" t="s">
        <v>292</v>
      </c>
      <c r="CE80" s="177">
        <v>6.6567861619823102E-2</v>
      </c>
      <c r="CF80" s="177">
        <v>6.6567861619823102E-2</v>
      </c>
      <c r="CG80" s="177" t="s">
        <v>295</v>
      </c>
      <c r="CH80" s="177" t="s">
        <v>162</v>
      </c>
      <c r="CI80" s="177" t="s">
        <v>293</v>
      </c>
      <c r="CJ80" s="177" t="s">
        <v>296</v>
      </c>
      <c r="CK80" s="177" t="s">
        <v>165</v>
      </c>
      <c r="CL80" s="177" t="s">
        <v>165</v>
      </c>
      <c r="CM80" s="177" t="s">
        <v>294</v>
      </c>
      <c r="CN80" s="177" t="s">
        <v>162</v>
      </c>
      <c r="CO80" s="177" t="s">
        <v>162</v>
      </c>
      <c r="CP80" s="177" t="s">
        <v>162</v>
      </c>
      <c r="CQ80" s="177" t="s">
        <v>162</v>
      </c>
      <c r="CR80" s="177" t="s">
        <v>162</v>
      </c>
      <c r="CS80" s="177" t="s">
        <v>162</v>
      </c>
      <c r="CT80" s="177" t="s">
        <v>162</v>
      </c>
      <c r="CU80" s="191">
        <v>35</v>
      </c>
      <c r="CV80" s="177" t="s">
        <v>161</v>
      </c>
      <c r="CW80" s="177">
        <v>1</v>
      </c>
      <c r="CX80" s="177" t="s">
        <v>297</v>
      </c>
      <c r="CY80" s="177">
        <v>17</v>
      </c>
      <c r="CZ80" s="177" t="s">
        <v>170</v>
      </c>
      <c r="DA80" s="177" t="s">
        <v>170</v>
      </c>
      <c r="DB80" s="177" t="s">
        <v>298</v>
      </c>
      <c r="DC80" s="177">
        <v>38</v>
      </c>
      <c r="DD80" s="177" t="s">
        <v>170</v>
      </c>
      <c r="DE80" s="177" t="s">
        <v>170</v>
      </c>
      <c r="DF80" s="177" t="s">
        <v>298</v>
      </c>
      <c r="DG80" s="177" t="s">
        <v>166</v>
      </c>
      <c r="DH80" s="177" t="s">
        <v>167</v>
      </c>
      <c r="DI80" s="177" t="s">
        <v>167</v>
      </c>
      <c r="DJ80" s="177" t="s">
        <v>167</v>
      </c>
      <c r="DK80" s="192">
        <v>432.56244218316402</v>
      </c>
      <c r="DL80" s="177" t="s">
        <v>168</v>
      </c>
      <c r="DM80" s="192">
        <v>12.358926919522601</v>
      </c>
      <c r="DN80" s="177" t="s">
        <v>169</v>
      </c>
      <c r="DO80" s="177">
        <v>38.700000000000003</v>
      </c>
      <c r="DP80" s="177" t="s">
        <v>299</v>
      </c>
      <c r="DQ80" s="177">
        <v>0.2</v>
      </c>
      <c r="DR80" s="177" t="s">
        <v>300</v>
      </c>
      <c r="DS80" s="177" t="s">
        <v>301</v>
      </c>
      <c r="DT80" s="177" t="s">
        <v>302</v>
      </c>
      <c r="DU80" s="177">
        <v>1.0271999999999999</v>
      </c>
      <c r="DV80" s="177" t="s">
        <v>170</v>
      </c>
      <c r="DW80" s="177" t="s">
        <v>170</v>
      </c>
      <c r="DX80" s="177" t="s">
        <v>177</v>
      </c>
      <c r="DY80" s="177" t="s">
        <v>170</v>
      </c>
      <c r="DZ80" s="177" t="s">
        <v>170</v>
      </c>
      <c r="EA80" s="177" t="s">
        <v>303</v>
      </c>
      <c r="EB80" s="177" t="s">
        <v>171</v>
      </c>
      <c r="EC80" s="177" t="s">
        <v>304</v>
      </c>
      <c r="ED80" s="177" t="s">
        <v>304</v>
      </c>
      <c r="EE80" s="177" t="s">
        <v>304</v>
      </c>
      <c r="EF80" s="177" t="s">
        <v>304</v>
      </c>
      <c r="EG80" s="177" t="s">
        <v>162</v>
      </c>
      <c r="EH80" s="177" t="s">
        <v>312</v>
      </c>
      <c r="EI80" s="177" t="s">
        <v>313</v>
      </c>
      <c r="EJ80" s="177" t="s">
        <v>314</v>
      </c>
      <c r="EK80" s="177" t="s">
        <v>307</v>
      </c>
      <c r="EL80" s="177" t="s">
        <v>307</v>
      </c>
      <c r="EM80" s="177" t="s">
        <v>307</v>
      </c>
      <c r="EN80" s="177" t="s">
        <v>307</v>
      </c>
      <c r="EO80" s="128">
        <v>4.5</v>
      </c>
      <c r="EP80" s="128" t="s">
        <v>299</v>
      </c>
      <c r="EQ80" s="128">
        <v>0.75</v>
      </c>
      <c r="ER80" s="128">
        <v>0.75</v>
      </c>
      <c r="ES80" s="177">
        <v>7.8574952837526499</v>
      </c>
      <c r="ET80" s="194" t="s">
        <v>174</v>
      </c>
      <c r="EU80" s="195">
        <v>3.2891099435659703E-2</v>
      </c>
      <c r="EV80" s="195">
        <v>3.2891099435659703E-2</v>
      </c>
      <c r="EW80" s="178">
        <v>656.26026243883905</v>
      </c>
      <c r="EX80" s="194">
        <v>0</v>
      </c>
      <c r="EY80" s="194" t="s">
        <v>308</v>
      </c>
      <c r="EZ80" s="178">
        <v>656.26026243883905</v>
      </c>
      <c r="FA80" s="178">
        <v>206.71191402632098</v>
      </c>
      <c r="FB80" s="178">
        <v>137.05555539313207</v>
      </c>
      <c r="FC80" s="196" t="s">
        <v>309</v>
      </c>
      <c r="FD80" s="177" t="s">
        <v>311</v>
      </c>
      <c r="FE80" s="177">
        <v>2067.81195082457</v>
      </c>
      <c r="FF80" s="177">
        <v>359.38417336180402</v>
      </c>
      <c r="FG80" s="177">
        <v>299.22002157261397</v>
      </c>
      <c r="FH80" s="177">
        <v>1861.24522492186</v>
      </c>
      <c r="FI80" s="177">
        <v>355.48506749788402</v>
      </c>
      <c r="FJ80" s="177">
        <v>288.52856476405901</v>
      </c>
      <c r="FK80" s="177" t="s">
        <v>175</v>
      </c>
      <c r="FL80" s="177" t="s">
        <v>175</v>
      </c>
      <c r="FM80" s="177" t="s">
        <v>175</v>
      </c>
      <c r="FN80" s="177" t="s">
        <v>175</v>
      </c>
      <c r="FO80" s="177" t="s">
        <v>175</v>
      </c>
      <c r="FP80" s="177" t="s">
        <v>175</v>
      </c>
      <c r="FQ80" s="177" t="s">
        <v>319</v>
      </c>
    </row>
    <row r="81" spans="1:173" s="177" customFormat="1">
      <c r="A81" s="128" t="s">
        <v>152</v>
      </c>
      <c r="B81" s="177" t="s">
        <v>156</v>
      </c>
      <c r="C81" s="177">
        <v>2020</v>
      </c>
      <c r="D81" s="177" t="s">
        <v>194</v>
      </c>
      <c r="E81" s="178">
        <v>40605.419158935547</v>
      </c>
      <c r="F81" s="177">
        <v>1</v>
      </c>
      <c r="G81" s="177">
        <v>1</v>
      </c>
      <c r="H81" s="179">
        <v>393.50091823015799</v>
      </c>
      <c r="I81" s="179">
        <v>114.04176371927798</v>
      </c>
      <c r="J81" s="179">
        <v>89.720069246271009</v>
      </c>
      <c r="K81" s="177" t="s">
        <v>157</v>
      </c>
      <c r="L81" s="180" t="s">
        <v>158</v>
      </c>
      <c r="M81" s="181" t="s">
        <v>195</v>
      </c>
      <c r="N81" s="177" t="s">
        <v>194</v>
      </c>
      <c r="O81" s="177" t="s">
        <v>199</v>
      </c>
      <c r="P81" s="177" t="s">
        <v>200</v>
      </c>
      <c r="Q81" s="177">
        <v>9</v>
      </c>
      <c r="R81" s="177">
        <v>4</v>
      </c>
      <c r="S81" s="177">
        <v>23</v>
      </c>
      <c r="T81" s="177">
        <v>25</v>
      </c>
      <c r="U81" s="177">
        <v>77.540000000000006</v>
      </c>
      <c r="V81" s="128" t="s">
        <v>162</v>
      </c>
      <c r="W81" s="177" t="s">
        <v>205</v>
      </c>
      <c r="X81" s="177" t="s">
        <v>207</v>
      </c>
      <c r="Y81" s="182">
        <v>-50.945999999999998</v>
      </c>
      <c r="Z81" s="182">
        <v>-26.368600000000001</v>
      </c>
      <c r="AA81" s="182">
        <v>-57.4</v>
      </c>
      <c r="AB81" s="183" t="s">
        <v>162</v>
      </c>
      <c r="AC81" s="183">
        <v>-3083.4</v>
      </c>
      <c r="AD81" s="182">
        <v>-2250</v>
      </c>
      <c r="AE81" s="177" t="s">
        <v>212</v>
      </c>
      <c r="AF81" s="177" t="s">
        <v>160</v>
      </c>
      <c r="AG81" s="178">
        <v>40605.419158935547</v>
      </c>
      <c r="AH81" s="184" t="s">
        <v>215</v>
      </c>
      <c r="AI81" s="177">
        <v>1</v>
      </c>
      <c r="AJ81" s="177">
        <v>1</v>
      </c>
      <c r="AK81" s="177" t="s">
        <v>214</v>
      </c>
      <c r="AL81" s="177" t="s">
        <v>216</v>
      </c>
      <c r="AM81" s="192" t="s">
        <v>219</v>
      </c>
      <c r="AN81" s="177">
        <v>40.570257812500003</v>
      </c>
      <c r="AO81" s="177" t="s">
        <v>162</v>
      </c>
      <c r="AP81" s="177" t="s">
        <v>162</v>
      </c>
      <c r="AQ81" s="177" t="s">
        <v>162</v>
      </c>
      <c r="AR81" s="177" t="s">
        <v>214</v>
      </c>
      <c r="AS81" s="177" t="s">
        <v>224</v>
      </c>
      <c r="AT81" s="177" t="s">
        <v>223</v>
      </c>
      <c r="AU81" s="177" t="s">
        <v>228</v>
      </c>
      <c r="AV81" s="177" t="s">
        <v>230</v>
      </c>
      <c r="AW81" s="174">
        <v>206</v>
      </c>
      <c r="AX81" s="174">
        <v>2.9569999999999999</v>
      </c>
      <c r="AY81" s="184" t="s">
        <v>232</v>
      </c>
      <c r="AZ81" s="177" t="s">
        <v>163</v>
      </c>
      <c r="BA81" s="177" t="s">
        <v>164</v>
      </c>
      <c r="BB81" s="177" t="s">
        <v>264</v>
      </c>
      <c r="BC81" s="177">
        <v>2</v>
      </c>
      <c r="BD81" s="186">
        <v>1.4699195710424105E-2</v>
      </c>
      <c r="BE81" s="187">
        <v>12.922389584701101</v>
      </c>
      <c r="BF81" s="177" t="s">
        <v>233</v>
      </c>
      <c r="BG81" s="177">
        <v>0.246004039168633</v>
      </c>
      <c r="BH81" s="150">
        <v>1.02</v>
      </c>
      <c r="BI81" s="150" t="s">
        <v>281</v>
      </c>
      <c r="BJ81" s="150">
        <v>0.5</v>
      </c>
      <c r="BK81" s="150">
        <v>-2.4900000000000002</v>
      </c>
      <c r="BL81" s="150" t="s">
        <v>282</v>
      </c>
      <c r="BM81" s="150">
        <v>9.01</v>
      </c>
      <c r="BN81" s="150" t="s">
        <v>283</v>
      </c>
      <c r="BO81" s="150" t="s">
        <v>284</v>
      </c>
      <c r="BP81" s="189">
        <v>15.0923431372549</v>
      </c>
      <c r="BQ81" s="177" t="s">
        <v>287</v>
      </c>
      <c r="BR81" s="190" t="s">
        <v>288</v>
      </c>
      <c r="BS81" s="177" t="s">
        <v>286</v>
      </c>
      <c r="BT81" s="177" t="s">
        <v>289</v>
      </c>
      <c r="BU81" s="177">
        <v>25</v>
      </c>
      <c r="BV81" s="177" t="s">
        <v>165</v>
      </c>
      <c r="BW81" s="177" t="s">
        <v>165</v>
      </c>
      <c r="BX81" s="187">
        <v>23.612285176098499</v>
      </c>
      <c r="BY81" s="177" t="s">
        <v>290</v>
      </c>
      <c r="BZ81" s="186">
        <v>0.62777568318093202</v>
      </c>
      <c r="CA81" s="186">
        <v>0.57897873735414196</v>
      </c>
      <c r="CB81" s="177" t="s">
        <v>291</v>
      </c>
      <c r="CC81" s="177">
        <v>2.3979546923938799</v>
      </c>
      <c r="CD81" s="177" t="s">
        <v>292</v>
      </c>
      <c r="CE81" s="177">
        <v>7.1938640771816401E-2</v>
      </c>
      <c r="CF81" s="177">
        <v>7.1938640771816401E-2</v>
      </c>
      <c r="CG81" s="177" t="s">
        <v>295</v>
      </c>
      <c r="CH81" s="177" t="s">
        <v>162</v>
      </c>
      <c r="CI81" s="177" t="s">
        <v>293</v>
      </c>
      <c r="CJ81" s="177" t="s">
        <v>296</v>
      </c>
      <c r="CK81" s="177" t="s">
        <v>165</v>
      </c>
      <c r="CL81" s="177" t="s">
        <v>165</v>
      </c>
      <c r="CM81" s="177" t="s">
        <v>294</v>
      </c>
      <c r="CN81" s="177" t="s">
        <v>162</v>
      </c>
      <c r="CO81" s="177" t="s">
        <v>162</v>
      </c>
      <c r="CP81" s="177" t="s">
        <v>162</v>
      </c>
      <c r="CQ81" s="177" t="s">
        <v>162</v>
      </c>
      <c r="CR81" s="177" t="s">
        <v>162</v>
      </c>
      <c r="CS81" s="177" t="s">
        <v>162</v>
      </c>
      <c r="CT81" s="177" t="s">
        <v>162</v>
      </c>
      <c r="CU81" s="191">
        <v>35</v>
      </c>
      <c r="CV81" s="177" t="s">
        <v>161</v>
      </c>
      <c r="CW81" s="177">
        <v>1</v>
      </c>
      <c r="CX81" s="177" t="s">
        <v>297</v>
      </c>
      <c r="CY81" s="177">
        <v>17</v>
      </c>
      <c r="CZ81" s="177" t="s">
        <v>170</v>
      </c>
      <c r="DA81" s="177" t="s">
        <v>170</v>
      </c>
      <c r="DB81" s="177" t="s">
        <v>298</v>
      </c>
      <c r="DC81" s="177">
        <v>38</v>
      </c>
      <c r="DD81" s="177" t="s">
        <v>170</v>
      </c>
      <c r="DE81" s="177" t="s">
        <v>170</v>
      </c>
      <c r="DF81" s="177" t="s">
        <v>298</v>
      </c>
      <c r="DG81" s="177" t="s">
        <v>166</v>
      </c>
      <c r="DH81" s="177" t="s">
        <v>167</v>
      </c>
      <c r="DI81" s="177" t="s">
        <v>167</v>
      </c>
      <c r="DJ81" s="177" t="s">
        <v>167</v>
      </c>
      <c r="DK81" s="192">
        <v>432.56244218316402</v>
      </c>
      <c r="DL81" s="177" t="s">
        <v>168</v>
      </c>
      <c r="DM81" s="192">
        <v>12.3589269195227</v>
      </c>
      <c r="DN81" s="177" t="s">
        <v>169</v>
      </c>
      <c r="DO81" s="177">
        <v>38.700000000000003</v>
      </c>
      <c r="DP81" s="177" t="s">
        <v>299</v>
      </c>
      <c r="DQ81" s="177">
        <v>0.2</v>
      </c>
      <c r="DR81" s="177" t="s">
        <v>300</v>
      </c>
      <c r="DS81" s="177" t="s">
        <v>301</v>
      </c>
      <c r="DT81" s="177" t="s">
        <v>302</v>
      </c>
      <c r="DU81" s="177">
        <v>1.0271999999999999</v>
      </c>
      <c r="DV81" s="177" t="s">
        <v>170</v>
      </c>
      <c r="DW81" s="177" t="s">
        <v>170</v>
      </c>
      <c r="DX81" s="177" t="s">
        <v>177</v>
      </c>
      <c r="DY81" s="177" t="s">
        <v>170</v>
      </c>
      <c r="DZ81" s="177" t="s">
        <v>170</v>
      </c>
      <c r="EA81" s="177" t="s">
        <v>303</v>
      </c>
      <c r="EB81" s="177" t="s">
        <v>171</v>
      </c>
      <c r="EC81" s="177" t="s">
        <v>304</v>
      </c>
      <c r="ED81" s="177" t="s">
        <v>304</v>
      </c>
      <c r="EE81" s="177" t="s">
        <v>304</v>
      </c>
      <c r="EF81" s="177" t="s">
        <v>304</v>
      </c>
      <c r="EG81" s="177" t="s">
        <v>162</v>
      </c>
      <c r="EH81" s="177" t="s">
        <v>312</v>
      </c>
      <c r="EI81" s="177" t="s">
        <v>313</v>
      </c>
      <c r="EJ81" s="177" t="s">
        <v>314</v>
      </c>
      <c r="EK81" s="177" t="s">
        <v>307</v>
      </c>
      <c r="EL81" s="177" t="s">
        <v>307</v>
      </c>
      <c r="EM81" s="177" t="s">
        <v>307</v>
      </c>
      <c r="EN81" s="177" t="s">
        <v>307</v>
      </c>
      <c r="EO81" s="128">
        <v>4.5</v>
      </c>
      <c r="EP81" s="128" t="s">
        <v>299</v>
      </c>
      <c r="EQ81" s="128">
        <v>0.75</v>
      </c>
      <c r="ER81" s="128">
        <v>0.75</v>
      </c>
      <c r="ES81" s="177">
        <v>7.9251084412720196</v>
      </c>
      <c r="ET81" s="194" t="s">
        <v>174</v>
      </c>
      <c r="EU81" s="195">
        <v>2.7943612058112299E-2</v>
      </c>
      <c r="EV81" s="195">
        <v>2.7943612058112299E-2</v>
      </c>
      <c r="EW81" s="178">
        <v>393.50091823015799</v>
      </c>
      <c r="EX81" s="194">
        <v>0</v>
      </c>
      <c r="EY81" s="194" t="s">
        <v>308</v>
      </c>
      <c r="EZ81" s="178">
        <v>393.50091823015799</v>
      </c>
      <c r="FA81" s="178">
        <v>114.04176371927798</v>
      </c>
      <c r="FB81" s="178">
        <v>89.720069246271009</v>
      </c>
      <c r="FC81" s="196" t="s">
        <v>309</v>
      </c>
      <c r="FD81" s="177" t="s">
        <v>311</v>
      </c>
      <c r="FE81" s="177">
        <v>1541.70320832476</v>
      </c>
      <c r="FF81" s="177">
        <v>296.47187241209701</v>
      </c>
      <c r="FG81" s="177">
        <v>260.33041273416001</v>
      </c>
      <c r="FH81" s="177">
        <v>1381.4500424769001</v>
      </c>
      <c r="FI81" s="177">
        <v>292.09917615794899</v>
      </c>
      <c r="FJ81" s="177">
        <v>247.71692113376201</v>
      </c>
      <c r="FK81" s="177" t="s">
        <v>175</v>
      </c>
      <c r="FL81" s="177" t="s">
        <v>175</v>
      </c>
      <c r="FM81" s="177" t="s">
        <v>175</v>
      </c>
      <c r="FN81" s="177" t="s">
        <v>175</v>
      </c>
      <c r="FO81" s="177" t="s">
        <v>175</v>
      </c>
      <c r="FP81" s="177" t="s">
        <v>175</v>
      </c>
      <c r="FQ81" s="177" t="s">
        <v>319</v>
      </c>
    </row>
    <row r="82" spans="1:173" s="177" customFormat="1">
      <c r="A82" s="128" t="s">
        <v>152</v>
      </c>
      <c r="B82" s="177" t="s">
        <v>156</v>
      </c>
      <c r="C82" s="177">
        <v>2020</v>
      </c>
      <c r="D82" s="177" t="s">
        <v>194</v>
      </c>
      <c r="E82" s="178">
        <v>40816.848754882812</v>
      </c>
      <c r="F82" s="177">
        <v>1</v>
      </c>
      <c r="G82" s="177">
        <v>1</v>
      </c>
      <c r="H82" s="179">
        <v>819.22993511580603</v>
      </c>
      <c r="I82" s="179">
        <v>254.20714789073395</v>
      </c>
      <c r="J82" s="179">
        <v>173.52792518833007</v>
      </c>
      <c r="K82" s="177" t="s">
        <v>157</v>
      </c>
      <c r="L82" s="180" t="s">
        <v>158</v>
      </c>
      <c r="M82" s="181" t="s">
        <v>195</v>
      </c>
      <c r="N82" s="177" t="s">
        <v>194</v>
      </c>
      <c r="O82" s="177" t="s">
        <v>199</v>
      </c>
      <c r="P82" s="177" t="s">
        <v>200</v>
      </c>
      <c r="Q82" s="177">
        <v>9</v>
      </c>
      <c r="R82" s="177">
        <v>5</v>
      </c>
      <c r="S82" s="177">
        <v>132</v>
      </c>
      <c r="T82" s="177">
        <v>134</v>
      </c>
      <c r="U82" s="177">
        <v>80.13</v>
      </c>
      <c r="V82" s="197" t="s">
        <v>162</v>
      </c>
      <c r="W82" s="177" t="s">
        <v>205</v>
      </c>
      <c r="X82" s="177" t="s">
        <v>207</v>
      </c>
      <c r="Y82" s="182">
        <v>-50.945999999999998</v>
      </c>
      <c r="Z82" s="182">
        <v>-26.368600000000001</v>
      </c>
      <c r="AA82" s="182">
        <v>-57.4</v>
      </c>
      <c r="AB82" s="183" t="s">
        <v>162</v>
      </c>
      <c r="AC82" s="183">
        <v>-3083.4</v>
      </c>
      <c r="AD82" s="182">
        <v>-2250</v>
      </c>
      <c r="AE82" s="177" t="s">
        <v>212</v>
      </c>
      <c r="AF82" s="177" t="s">
        <v>160</v>
      </c>
      <c r="AG82" s="178">
        <v>40816.848754882812</v>
      </c>
      <c r="AH82" s="184" t="s">
        <v>215</v>
      </c>
      <c r="AI82" s="177">
        <v>1</v>
      </c>
      <c r="AJ82" s="177">
        <v>1</v>
      </c>
      <c r="AK82" s="177" t="s">
        <v>214</v>
      </c>
      <c r="AL82" s="177" t="s">
        <v>216</v>
      </c>
      <c r="AM82" s="192" t="s">
        <v>219</v>
      </c>
      <c r="AN82" s="177">
        <v>40.759441406249998</v>
      </c>
      <c r="AO82" s="177" t="s">
        <v>162</v>
      </c>
      <c r="AP82" s="177" t="s">
        <v>162</v>
      </c>
      <c r="AQ82" s="177" t="s">
        <v>162</v>
      </c>
      <c r="AR82" s="177" t="s">
        <v>214</v>
      </c>
      <c r="AS82" s="177" t="s">
        <v>224</v>
      </c>
      <c r="AT82" s="177" t="s">
        <v>223</v>
      </c>
      <c r="AU82" s="177" t="s">
        <v>228</v>
      </c>
      <c r="AV82" s="177" t="s">
        <v>230</v>
      </c>
      <c r="AW82" s="174">
        <v>238</v>
      </c>
      <c r="AX82" s="174">
        <v>3.4510000000000001</v>
      </c>
      <c r="AY82" s="184" t="s">
        <v>232</v>
      </c>
      <c r="AZ82" s="177" t="s">
        <v>163</v>
      </c>
      <c r="BA82" s="177" t="s">
        <v>164</v>
      </c>
      <c r="BB82" s="177" t="s">
        <v>265</v>
      </c>
      <c r="BC82" s="177">
        <v>2</v>
      </c>
      <c r="BD82" s="186">
        <v>0.10386956338466824</v>
      </c>
      <c r="BE82" s="187">
        <v>12.024809980019601</v>
      </c>
      <c r="BF82" s="177" t="s">
        <v>233</v>
      </c>
      <c r="BG82" s="177">
        <v>0.23392245348705201</v>
      </c>
      <c r="BH82" s="150">
        <v>1.02</v>
      </c>
      <c r="BI82" s="150" t="s">
        <v>281</v>
      </c>
      <c r="BJ82" s="150">
        <v>0.5</v>
      </c>
      <c r="BK82" s="150">
        <v>-2.4900000000000002</v>
      </c>
      <c r="BL82" s="150" t="s">
        <v>282</v>
      </c>
      <c r="BM82" s="150">
        <v>9.01</v>
      </c>
      <c r="BN82" s="150" t="s">
        <v>283</v>
      </c>
      <c r="BO82" s="150" t="s">
        <v>284</v>
      </c>
      <c r="BP82" s="189">
        <v>14.212362745098</v>
      </c>
      <c r="BQ82" s="177" t="s">
        <v>287</v>
      </c>
      <c r="BR82" s="190" t="s">
        <v>288</v>
      </c>
      <c r="BS82" s="177" t="s">
        <v>286</v>
      </c>
      <c r="BT82" s="177" t="s">
        <v>289</v>
      </c>
      <c r="BU82" s="177">
        <v>25</v>
      </c>
      <c r="BV82" s="177" t="s">
        <v>165</v>
      </c>
      <c r="BW82" s="177" t="s">
        <v>165</v>
      </c>
      <c r="BX82" s="187">
        <v>21.109669283472599</v>
      </c>
      <c r="BY82" s="177" t="s">
        <v>290</v>
      </c>
      <c r="BZ82" s="186">
        <v>0.62663060365768097</v>
      </c>
      <c r="CA82" s="186">
        <v>0.67356399221751995</v>
      </c>
      <c r="CB82" s="177" t="s">
        <v>291</v>
      </c>
      <c r="CC82" s="177">
        <v>2.20758192588944</v>
      </c>
      <c r="CD82" s="177" t="s">
        <v>292</v>
      </c>
      <c r="CE82" s="177">
        <v>6.6227457776683193E-2</v>
      </c>
      <c r="CF82" s="177">
        <v>6.6227457776683193E-2</v>
      </c>
      <c r="CG82" s="177" t="s">
        <v>295</v>
      </c>
      <c r="CH82" s="177" t="s">
        <v>162</v>
      </c>
      <c r="CI82" s="177" t="s">
        <v>293</v>
      </c>
      <c r="CJ82" s="177" t="s">
        <v>296</v>
      </c>
      <c r="CK82" s="177" t="s">
        <v>165</v>
      </c>
      <c r="CL82" s="177" t="s">
        <v>165</v>
      </c>
      <c r="CM82" s="177" t="s">
        <v>294</v>
      </c>
      <c r="CN82" s="177" t="s">
        <v>162</v>
      </c>
      <c r="CO82" s="177" t="s">
        <v>162</v>
      </c>
      <c r="CP82" s="177" t="s">
        <v>162</v>
      </c>
      <c r="CQ82" s="177" t="s">
        <v>162</v>
      </c>
      <c r="CR82" s="177" t="s">
        <v>162</v>
      </c>
      <c r="CS82" s="177" t="s">
        <v>162</v>
      </c>
      <c r="CT82" s="177" t="s">
        <v>162</v>
      </c>
      <c r="CU82" s="191">
        <v>35</v>
      </c>
      <c r="CV82" s="177" t="s">
        <v>161</v>
      </c>
      <c r="CW82" s="177">
        <v>1</v>
      </c>
      <c r="CX82" s="177" t="s">
        <v>297</v>
      </c>
      <c r="CY82" s="177">
        <v>17</v>
      </c>
      <c r="CZ82" s="177" t="s">
        <v>170</v>
      </c>
      <c r="DA82" s="177" t="s">
        <v>170</v>
      </c>
      <c r="DB82" s="177" t="s">
        <v>298</v>
      </c>
      <c r="DC82" s="177">
        <v>38</v>
      </c>
      <c r="DD82" s="177" t="s">
        <v>170</v>
      </c>
      <c r="DE82" s="177" t="s">
        <v>170</v>
      </c>
      <c r="DF82" s="177" t="s">
        <v>298</v>
      </c>
      <c r="DG82" s="177" t="s">
        <v>166</v>
      </c>
      <c r="DH82" s="177" t="s">
        <v>167</v>
      </c>
      <c r="DI82" s="177" t="s">
        <v>167</v>
      </c>
      <c r="DJ82" s="177" t="s">
        <v>167</v>
      </c>
      <c r="DK82" s="192">
        <v>432.56244218316402</v>
      </c>
      <c r="DL82" s="177" t="s">
        <v>168</v>
      </c>
      <c r="DM82" s="192">
        <v>12.3589269195228</v>
      </c>
      <c r="DN82" s="177" t="s">
        <v>169</v>
      </c>
      <c r="DO82" s="177">
        <v>38.700000000000003</v>
      </c>
      <c r="DP82" s="177" t="s">
        <v>299</v>
      </c>
      <c r="DQ82" s="177">
        <v>0.2</v>
      </c>
      <c r="DR82" s="177" t="s">
        <v>300</v>
      </c>
      <c r="DS82" s="177" t="s">
        <v>301</v>
      </c>
      <c r="DT82" s="177" t="s">
        <v>302</v>
      </c>
      <c r="DU82" s="177">
        <v>1.0271999999999999</v>
      </c>
      <c r="DV82" s="177" t="s">
        <v>170</v>
      </c>
      <c r="DW82" s="177" t="s">
        <v>170</v>
      </c>
      <c r="DX82" s="177" t="s">
        <v>177</v>
      </c>
      <c r="DY82" s="177" t="s">
        <v>170</v>
      </c>
      <c r="DZ82" s="177" t="s">
        <v>170</v>
      </c>
      <c r="EA82" s="177" t="s">
        <v>303</v>
      </c>
      <c r="EB82" s="177" t="s">
        <v>171</v>
      </c>
      <c r="EC82" s="177" t="s">
        <v>304</v>
      </c>
      <c r="ED82" s="177" t="s">
        <v>304</v>
      </c>
      <c r="EE82" s="177" t="s">
        <v>304</v>
      </c>
      <c r="EF82" s="177" t="s">
        <v>304</v>
      </c>
      <c r="EG82" s="177" t="s">
        <v>162</v>
      </c>
      <c r="EH82" s="177" t="s">
        <v>312</v>
      </c>
      <c r="EI82" s="177" t="s">
        <v>313</v>
      </c>
      <c r="EJ82" s="177" t="s">
        <v>314</v>
      </c>
      <c r="EK82" s="177" t="s">
        <v>307</v>
      </c>
      <c r="EL82" s="177" t="s">
        <v>307</v>
      </c>
      <c r="EM82" s="177" t="s">
        <v>307</v>
      </c>
      <c r="EN82" s="177" t="s">
        <v>307</v>
      </c>
      <c r="EO82" s="128">
        <v>4.5</v>
      </c>
      <c r="EP82" s="128" t="s">
        <v>299</v>
      </c>
      <c r="EQ82" s="128">
        <v>0.75</v>
      </c>
      <c r="ER82" s="128">
        <v>0.75</v>
      </c>
      <c r="ES82" s="177">
        <v>7.8246438797854001</v>
      </c>
      <c r="ET82" s="194" t="s">
        <v>174</v>
      </c>
      <c r="EU82" s="195">
        <v>3.53460575953565E-2</v>
      </c>
      <c r="EV82" s="195">
        <v>3.53460575953565E-2</v>
      </c>
      <c r="EW82" s="178">
        <v>819.22993511580603</v>
      </c>
      <c r="EX82" s="194">
        <v>0</v>
      </c>
      <c r="EY82" s="194" t="s">
        <v>308</v>
      </c>
      <c r="EZ82" s="178">
        <v>819.22993511580603</v>
      </c>
      <c r="FA82" s="178">
        <v>254.20714789073395</v>
      </c>
      <c r="FB82" s="178">
        <v>173.52792518833007</v>
      </c>
      <c r="FC82" s="196" t="s">
        <v>309</v>
      </c>
      <c r="FD82" s="177" t="s">
        <v>311</v>
      </c>
      <c r="FE82" s="177">
        <v>2238.25529958383</v>
      </c>
      <c r="FF82" s="177">
        <v>417.44726555439399</v>
      </c>
      <c r="FG82" s="177">
        <v>336.19490101029902</v>
      </c>
      <c r="FH82" s="177">
        <v>2044.8087842191101</v>
      </c>
      <c r="FI82" s="177">
        <v>409.47198873163302</v>
      </c>
      <c r="FJ82" s="177">
        <v>328.31320649867098</v>
      </c>
      <c r="FK82" s="177" t="s">
        <v>175</v>
      </c>
      <c r="FL82" s="177" t="s">
        <v>175</v>
      </c>
      <c r="FM82" s="177" t="s">
        <v>175</v>
      </c>
      <c r="FN82" s="177" t="s">
        <v>175</v>
      </c>
      <c r="FO82" s="177" t="s">
        <v>175</v>
      </c>
      <c r="FP82" s="177" t="s">
        <v>175</v>
      </c>
      <c r="FQ82" s="177" t="s">
        <v>319</v>
      </c>
    </row>
    <row r="83" spans="1:173" s="177" customFormat="1">
      <c r="A83" s="150" t="s">
        <v>152</v>
      </c>
      <c r="B83" s="150" t="s">
        <v>156</v>
      </c>
      <c r="C83" s="150">
        <v>2020</v>
      </c>
      <c r="D83" s="150" t="s">
        <v>194</v>
      </c>
      <c r="E83" s="178">
        <v>39933.570861816406</v>
      </c>
      <c r="F83" s="150">
        <v>1</v>
      </c>
      <c r="G83" s="150">
        <v>1</v>
      </c>
      <c r="H83" s="179">
        <v>634.69144266296701</v>
      </c>
      <c r="I83" s="179">
        <v>185.179808333138</v>
      </c>
      <c r="J83" s="179">
        <v>139.01225497861998</v>
      </c>
      <c r="K83" s="150" t="s">
        <v>157</v>
      </c>
      <c r="L83" s="199" t="s">
        <v>158</v>
      </c>
      <c r="M83" s="200" t="s">
        <v>195</v>
      </c>
      <c r="N83" s="150" t="s">
        <v>194</v>
      </c>
      <c r="O83" s="150" t="s">
        <v>197</v>
      </c>
      <c r="P83" s="150" t="s">
        <v>200</v>
      </c>
      <c r="Q83" s="150">
        <v>8</v>
      </c>
      <c r="R83" s="150">
        <v>2</v>
      </c>
      <c r="S83" s="150">
        <v>94</v>
      </c>
      <c r="T83" s="150">
        <v>106</v>
      </c>
      <c r="U83" s="150">
        <v>115.06</v>
      </c>
      <c r="V83" s="150">
        <v>136.57</v>
      </c>
      <c r="W83" s="150" t="s">
        <v>204</v>
      </c>
      <c r="X83" s="150" t="s">
        <v>208</v>
      </c>
      <c r="Y83" s="201">
        <v>-28.53295</v>
      </c>
      <c r="Z83" s="201">
        <v>2.7795670000000001</v>
      </c>
      <c r="AA83" s="201">
        <v>-38</v>
      </c>
      <c r="AB83" s="202" t="s">
        <v>162</v>
      </c>
      <c r="AC83" s="202">
        <v>-2717</v>
      </c>
      <c r="AD83" s="201">
        <v>-2000</v>
      </c>
      <c r="AE83" s="150" t="s">
        <v>213</v>
      </c>
      <c r="AF83" s="150" t="s">
        <v>160</v>
      </c>
      <c r="AG83" s="178">
        <v>39933.570861816406</v>
      </c>
      <c r="AH83" s="203" t="s">
        <v>215</v>
      </c>
      <c r="AI83" s="150">
        <v>1</v>
      </c>
      <c r="AJ83" s="150">
        <v>1</v>
      </c>
      <c r="AK83" s="150" t="s">
        <v>214</v>
      </c>
      <c r="AL83" s="150" t="s">
        <v>216</v>
      </c>
      <c r="AM83" s="204" t="s">
        <v>219</v>
      </c>
      <c r="AN83" s="150">
        <v>39.889766693115234</v>
      </c>
      <c r="AO83" s="150" t="s">
        <v>162</v>
      </c>
      <c r="AP83" s="150" t="s">
        <v>162</v>
      </c>
      <c r="AQ83" s="150" t="s">
        <v>162</v>
      </c>
      <c r="AR83" s="150" t="s">
        <v>214</v>
      </c>
      <c r="AS83" s="150" t="s">
        <v>220</v>
      </c>
      <c r="AT83" s="150" t="s">
        <v>222</v>
      </c>
      <c r="AU83" s="150" t="s">
        <v>229</v>
      </c>
      <c r="AV83" s="150" t="s">
        <v>230</v>
      </c>
      <c r="AW83" s="174">
        <v>202</v>
      </c>
      <c r="AX83" s="174">
        <v>2.4380000000000002</v>
      </c>
      <c r="AY83" s="203" t="s">
        <v>232</v>
      </c>
      <c r="AZ83" s="150" t="s">
        <v>163</v>
      </c>
      <c r="BA83" s="150" t="s">
        <v>164</v>
      </c>
      <c r="BB83" s="150" t="s">
        <v>266</v>
      </c>
      <c r="BC83" s="150">
        <v>2</v>
      </c>
      <c r="BD83" s="205">
        <v>0.31860731751218196</v>
      </c>
      <c r="BE83" s="206">
        <v>13.402425431610601</v>
      </c>
      <c r="BF83" s="150" t="s">
        <v>233</v>
      </c>
      <c r="BG83" s="150">
        <v>0.24955060747617999</v>
      </c>
      <c r="BH83" s="177">
        <v>0.95</v>
      </c>
      <c r="BI83" s="177" t="s">
        <v>281</v>
      </c>
      <c r="BJ83" s="177">
        <v>0.17</v>
      </c>
      <c r="BK83" s="177">
        <v>-0.42</v>
      </c>
      <c r="BL83" s="177" t="s">
        <v>282</v>
      </c>
      <c r="BM83" s="177">
        <v>2.85</v>
      </c>
      <c r="BN83" s="177" t="s">
        <v>285</v>
      </c>
      <c r="BO83" s="177" t="s">
        <v>284</v>
      </c>
      <c r="BP83" s="207">
        <v>14.5978210526316</v>
      </c>
      <c r="BQ83" s="177" t="s">
        <v>287</v>
      </c>
      <c r="BR83" s="190" t="s">
        <v>288</v>
      </c>
      <c r="BS83" s="177" t="s">
        <v>286</v>
      </c>
      <c r="BT83" s="177" t="s">
        <v>289</v>
      </c>
      <c r="BU83" s="177">
        <v>25</v>
      </c>
      <c r="BV83" s="177" t="s">
        <v>165</v>
      </c>
      <c r="BW83" s="177" t="s">
        <v>165</v>
      </c>
      <c r="BX83" s="187">
        <v>26.410217030301101</v>
      </c>
      <c r="BY83" s="177" t="s">
        <v>290</v>
      </c>
      <c r="BZ83" s="186">
        <v>0.59947716551405295</v>
      </c>
      <c r="CA83" s="186">
        <v>0.65344721376333903</v>
      </c>
      <c r="CB83" s="177" t="s">
        <v>291</v>
      </c>
      <c r="CC83" s="177">
        <v>2.98674474342143</v>
      </c>
      <c r="CD83" s="177" t="s">
        <v>292</v>
      </c>
      <c r="CE83" s="150">
        <v>8.9602342302642898E-2</v>
      </c>
      <c r="CF83" s="150">
        <v>8.9602342302642898E-2</v>
      </c>
      <c r="CG83" s="177" t="s">
        <v>295</v>
      </c>
      <c r="CH83" s="177" t="s">
        <v>162</v>
      </c>
      <c r="CI83" s="177" t="s">
        <v>293</v>
      </c>
      <c r="CJ83" s="177" t="s">
        <v>296</v>
      </c>
      <c r="CK83" s="177" t="s">
        <v>165</v>
      </c>
      <c r="CL83" s="177" t="s">
        <v>165</v>
      </c>
      <c r="CM83" s="177" t="s">
        <v>294</v>
      </c>
      <c r="CN83" s="177" t="s">
        <v>162</v>
      </c>
      <c r="CO83" s="177" t="s">
        <v>162</v>
      </c>
      <c r="CP83" s="177" t="s">
        <v>162</v>
      </c>
      <c r="CQ83" s="177" t="s">
        <v>162</v>
      </c>
      <c r="CR83" s="177" t="s">
        <v>162</v>
      </c>
      <c r="CS83" s="177" t="s">
        <v>162</v>
      </c>
      <c r="CT83" s="177" t="s">
        <v>162</v>
      </c>
      <c r="CU83" s="191">
        <v>35</v>
      </c>
      <c r="CV83" s="177" t="s">
        <v>161</v>
      </c>
      <c r="CW83" s="177">
        <v>1</v>
      </c>
      <c r="CX83" s="177" t="s">
        <v>297</v>
      </c>
      <c r="CY83" s="177">
        <v>17</v>
      </c>
      <c r="CZ83" s="177" t="s">
        <v>170</v>
      </c>
      <c r="DA83" s="177" t="s">
        <v>170</v>
      </c>
      <c r="DB83" s="177" t="s">
        <v>298</v>
      </c>
      <c r="DC83" s="177">
        <v>38</v>
      </c>
      <c r="DD83" s="177" t="s">
        <v>170</v>
      </c>
      <c r="DE83" s="177" t="s">
        <v>170</v>
      </c>
      <c r="DF83" s="177" t="s">
        <v>298</v>
      </c>
      <c r="DG83" s="177" t="s">
        <v>166</v>
      </c>
      <c r="DH83" s="177" t="s">
        <v>167</v>
      </c>
      <c r="DI83" s="177" t="s">
        <v>167</v>
      </c>
      <c r="DJ83" s="177" t="s">
        <v>167</v>
      </c>
      <c r="DK83" s="192">
        <v>432.56244218316402</v>
      </c>
      <c r="DL83" s="177" t="s">
        <v>168</v>
      </c>
      <c r="DM83" s="192">
        <v>12.358926919523</v>
      </c>
      <c r="DN83" s="177" t="s">
        <v>169</v>
      </c>
      <c r="DO83" s="177">
        <v>38.700000000000003</v>
      </c>
      <c r="DP83" s="177" t="s">
        <v>299</v>
      </c>
      <c r="DQ83" s="177">
        <v>0.2</v>
      </c>
      <c r="DR83" s="177" t="s">
        <v>300</v>
      </c>
      <c r="DS83" s="177" t="s">
        <v>301</v>
      </c>
      <c r="DT83" s="177" t="s">
        <v>302</v>
      </c>
      <c r="DU83" s="177">
        <v>1.0271999999999999</v>
      </c>
      <c r="DV83" s="177" t="s">
        <v>170</v>
      </c>
      <c r="DW83" s="177" t="s">
        <v>170</v>
      </c>
      <c r="DX83" s="177" t="s">
        <v>177</v>
      </c>
      <c r="DY83" s="177" t="s">
        <v>170</v>
      </c>
      <c r="DZ83" s="177" t="s">
        <v>170</v>
      </c>
      <c r="EA83" s="177" t="s">
        <v>303</v>
      </c>
      <c r="EB83" s="177" t="s">
        <v>171</v>
      </c>
      <c r="EC83" s="177" t="s">
        <v>304</v>
      </c>
      <c r="ED83" s="177" t="s">
        <v>304</v>
      </c>
      <c r="EE83" s="177" t="s">
        <v>304</v>
      </c>
      <c r="EF83" s="177" t="s">
        <v>304</v>
      </c>
      <c r="EG83" s="177" t="s">
        <v>162</v>
      </c>
      <c r="EH83" s="177" t="s">
        <v>312</v>
      </c>
      <c r="EI83" s="177" t="s">
        <v>313</v>
      </c>
      <c r="EJ83" s="177" t="s">
        <v>314</v>
      </c>
      <c r="EK83" s="177" t="s">
        <v>307</v>
      </c>
      <c r="EL83" s="177" t="s">
        <v>307</v>
      </c>
      <c r="EM83" s="177" t="s">
        <v>307</v>
      </c>
      <c r="EN83" s="177" t="s">
        <v>307</v>
      </c>
      <c r="EO83" s="177">
        <v>6.25</v>
      </c>
      <c r="EP83" s="177" t="s">
        <v>299</v>
      </c>
      <c r="EQ83" s="177">
        <v>1</v>
      </c>
      <c r="ER83" s="177">
        <v>1</v>
      </c>
      <c r="ES83" s="150">
        <v>7.8230368132795203</v>
      </c>
      <c r="ET83" s="194" t="s">
        <v>174</v>
      </c>
      <c r="EU83" s="208">
        <v>3.39983567727557E-2</v>
      </c>
      <c r="EV83" s="208">
        <v>3.39983567727557E-2</v>
      </c>
      <c r="EW83" s="178">
        <v>634.69144266296701</v>
      </c>
      <c r="EX83" s="194">
        <v>0</v>
      </c>
      <c r="EY83" s="194" t="s">
        <v>308</v>
      </c>
      <c r="EZ83" s="178">
        <v>634.69144266296701</v>
      </c>
      <c r="FA83" s="178">
        <v>185.179808333138</v>
      </c>
      <c r="FB83" s="178">
        <v>139.01225497861998</v>
      </c>
      <c r="FC83" s="196" t="s">
        <v>309</v>
      </c>
      <c r="FD83" s="177" t="s">
        <v>311</v>
      </c>
      <c r="FE83" s="177">
        <v>2037.80634245384</v>
      </c>
      <c r="FF83" s="177">
        <v>364.17239677773301</v>
      </c>
      <c r="FG83" s="177">
        <v>295.63085764204197</v>
      </c>
      <c r="FH83" s="177">
        <v>1833.3238284460199</v>
      </c>
      <c r="FI83" s="177">
        <v>353.56466448062798</v>
      </c>
      <c r="FJ83" s="177">
        <v>288.81733099305097</v>
      </c>
      <c r="FK83" s="177" t="s">
        <v>175</v>
      </c>
      <c r="FL83" s="177" t="s">
        <v>175</v>
      </c>
      <c r="FM83" s="177" t="s">
        <v>175</v>
      </c>
      <c r="FN83" s="177" t="s">
        <v>175</v>
      </c>
      <c r="FO83" s="177" t="s">
        <v>175</v>
      </c>
      <c r="FP83" s="177" t="s">
        <v>175</v>
      </c>
      <c r="FQ83" s="177" t="s">
        <v>319</v>
      </c>
    </row>
    <row r="84" spans="1:173" s="177" customFormat="1">
      <c r="A84" s="128" t="s">
        <v>152</v>
      </c>
      <c r="B84" s="177" t="s">
        <v>156</v>
      </c>
      <c r="C84" s="177">
        <v>2020</v>
      </c>
      <c r="D84" s="177" t="s">
        <v>194</v>
      </c>
      <c r="E84" s="178">
        <v>39989.673614501953</v>
      </c>
      <c r="F84" s="177">
        <v>1</v>
      </c>
      <c r="G84" s="177">
        <v>1</v>
      </c>
      <c r="H84" s="179">
        <v>632.22179541849198</v>
      </c>
      <c r="I84" s="179">
        <v>200.21182977597402</v>
      </c>
      <c r="J84" s="179">
        <v>146.24735924558098</v>
      </c>
      <c r="K84" s="177" t="s">
        <v>157</v>
      </c>
      <c r="L84" s="180" t="s">
        <v>158</v>
      </c>
      <c r="M84" s="181" t="s">
        <v>195</v>
      </c>
      <c r="N84" s="177" t="s">
        <v>194</v>
      </c>
      <c r="O84" s="177" t="s">
        <v>197</v>
      </c>
      <c r="P84" s="177" t="s">
        <v>200</v>
      </c>
      <c r="Q84" s="177">
        <v>8</v>
      </c>
      <c r="R84" s="177">
        <v>3</v>
      </c>
      <c r="S84" s="177">
        <v>100</v>
      </c>
      <c r="T84" s="177">
        <v>102</v>
      </c>
      <c r="U84" s="177">
        <v>116.52</v>
      </c>
      <c r="V84" s="177">
        <v>138.07999999999998</v>
      </c>
      <c r="W84" s="177" t="s">
        <v>204</v>
      </c>
      <c r="X84" s="177" t="s">
        <v>208</v>
      </c>
      <c r="Y84" s="182">
        <v>-28.53295</v>
      </c>
      <c r="Z84" s="182">
        <v>2.7795670000000001</v>
      </c>
      <c r="AA84" s="182">
        <v>-38</v>
      </c>
      <c r="AB84" s="183" t="s">
        <v>162</v>
      </c>
      <c r="AC84" s="183">
        <v>-2717</v>
      </c>
      <c r="AD84" s="182">
        <v>-2000</v>
      </c>
      <c r="AE84" s="177" t="s">
        <v>213</v>
      </c>
      <c r="AF84" s="177" t="s">
        <v>160</v>
      </c>
      <c r="AG84" s="178">
        <v>39989.673614501953</v>
      </c>
      <c r="AH84" s="184" t="s">
        <v>215</v>
      </c>
      <c r="AI84" s="177">
        <v>1</v>
      </c>
      <c r="AJ84" s="177">
        <v>1</v>
      </c>
      <c r="AK84" s="177" t="s">
        <v>214</v>
      </c>
      <c r="AL84" s="177" t="s">
        <v>216</v>
      </c>
      <c r="AM84" s="192" t="s">
        <v>219</v>
      </c>
      <c r="AN84" s="177">
        <v>40.012306213378906</v>
      </c>
      <c r="AO84" s="177" t="s">
        <v>162</v>
      </c>
      <c r="AP84" s="177" t="s">
        <v>162</v>
      </c>
      <c r="AQ84" s="177" t="s">
        <v>162</v>
      </c>
      <c r="AR84" s="177" t="s">
        <v>214</v>
      </c>
      <c r="AS84" s="177" t="s">
        <v>220</v>
      </c>
      <c r="AT84" s="177" t="s">
        <v>222</v>
      </c>
      <c r="AU84" s="177" t="s">
        <v>229</v>
      </c>
      <c r="AV84" s="177" t="s">
        <v>230</v>
      </c>
      <c r="AW84" s="174">
        <v>206</v>
      </c>
      <c r="AX84" s="174">
        <v>2.798</v>
      </c>
      <c r="AY84" s="184" t="s">
        <v>232</v>
      </c>
      <c r="AZ84" s="177" t="s">
        <v>163</v>
      </c>
      <c r="BA84" s="177" t="s">
        <v>164</v>
      </c>
      <c r="BB84" s="177" t="s">
        <v>267</v>
      </c>
      <c r="BC84" s="177">
        <v>2</v>
      </c>
      <c r="BD84" s="186">
        <v>0.29420083239582689</v>
      </c>
      <c r="BE84" s="187">
        <v>13.583034491087901</v>
      </c>
      <c r="BF84" s="177" t="s">
        <v>233</v>
      </c>
      <c r="BG84" s="177">
        <v>0.24729519744172901</v>
      </c>
      <c r="BH84" s="177">
        <v>0.95</v>
      </c>
      <c r="BI84" s="177" t="s">
        <v>281</v>
      </c>
      <c r="BJ84" s="177">
        <v>0.17</v>
      </c>
      <c r="BK84" s="177">
        <v>-0.42</v>
      </c>
      <c r="BL84" s="177" t="s">
        <v>282</v>
      </c>
      <c r="BM84" s="177">
        <v>2.85</v>
      </c>
      <c r="BN84" s="177" t="s">
        <v>285</v>
      </c>
      <c r="BO84" s="177" t="s">
        <v>284</v>
      </c>
      <c r="BP84" s="189">
        <v>14.7879263157895</v>
      </c>
      <c r="BQ84" s="177" t="s">
        <v>287</v>
      </c>
      <c r="BR84" s="190" t="s">
        <v>288</v>
      </c>
      <c r="BS84" s="177" t="s">
        <v>286</v>
      </c>
      <c r="BT84" s="177" t="s">
        <v>289</v>
      </c>
      <c r="BU84" s="177">
        <v>25</v>
      </c>
      <c r="BV84" s="177" t="s">
        <v>165</v>
      </c>
      <c r="BW84" s="177" t="s">
        <v>165</v>
      </c>
      <c r="BX84" s="187">
        <v>27.363487498686698</v>
      </c>
      <c r="BY84" s="177" t="s">
        <v>290</v>
      </c>
      <c r="BZ84" s="186">
        <v>0.62567430136409596</v>
      </c>
      <c r="CA84" s="186">
        <v>0.60527833028591604</v>
      </c>
      <c r="CB84" s="177" t="s">
        <v>291</v>
      </c>
      <c r="CC84" s="177">
        <v>3.1212009256370798</v>
      </c>
      <c r="CD84" s="177" t="s">
        <v>292</v>
      </c>
      <c r="CE84" s="177">
        <v>9.3636027769112395E-2</v>
      </c>
      <c r="CF84" s="177">
        <v>9.3636027769112395E-2</v>
      </c>
      <c r="CG84" s="177" t="s">
        <v>295</v>
      </c>
      <c r="CH84" s="177" t="s">
        <v>162</v>
      </c>
      <c r="CI84" s="177" t="s">
        <v>293</v>
      </c>
      <c r="CJ84" s="177" t="s">
        <v>296</v>
      </c>
      <c r="CK84" s="177" t="s">
        <v>165</v>
      </c>
      <c r="CL84" s="177" t="s">
        <v>165</v>
      </c>
      <c r="CM84" s="177" t="s">
        <v>294</v>
      </c>
      <c r="CN84" s="177" t="s">
        <v>162</v>
      </c>
      <c r="CO84" s="177" t="s">
        <v>162</v>
      </c>
      <c r="CP84" s="177" t="s">
        <v>162</v>
      </c>
      <c r="CQ84" s="177" t="s">
        <v>162</v>
      </c>
      <c r="CR84" s="177" t="s">
        <v>162</v>
      </c>
      <c r="CS84" s="177" t="s">
        <v>162</v>
      </c>
      <c r="CT84" s="177" t="s">
        <v>162</v>
      </c>
      <c r="CU84" s="191">
        <v>35</v>
      </c>
      <c r="CV84" s="177" t="s">
        <v>161</v>
      </c>
      <c r="CW84" s="177">
        <v>1</v>
      </c>
      <c r="CX84" s="177" t="s">
        <v>297</v>
      </c>
      <c r="CY84" s="177">
        <v>17</v>
      </c>
      <c r="CZ84" s="177" t="s">
        <v>170</v>
      </c>
      <c r="DA84" s="177" t="s">
        <v>170</v>
      </c>
      <c r="DB84" s="177" t="s">
        <v>298</v>
      </c>
      <c r="DC84" s="177">
        <v>38</v>
      </c>
      <c r="DD84" s="177" t="s">
        <v>170</v>
      </c>
      <c r="DE84" s="177" t="s">
        <v>170</v>
      </c>
      <c r="DF84" s="177" t="s">
        <v>298</v>
      </c>
      <c r="DG84" s="177" t="s">
        <v>166</v>
      </c>
      <c r="DH84" s="177" t="s">
        <v>167</v>
      </c>
      <c r="DI84" s="177" t="s">
        <v>167</v>
      </c>
      <c r="DJ84" s="177" t="s">
        <v>167</v>
      </c>
      <c r="DK84" s="192">
        <v>432.56244218316402</v>
      </c>
      <c r="DL84" s="177" t="s">
        <v>168</v>
      </c>
      <c r="DM84" s="192">
        <v>12.3589269195231</v>
      </c>
      <c r="DN84" s="177" t="s">
        <v>169</v>
      </c>
      <c r="DO84" s="177">
        <v>38.700000000000003</v>
      </c>
      <c r="DP84" s="177" t="s">
        <v>299</v>
      </c>
      <c r="DQ84" s="177">
        <v>0.2</v>
      </c>
      <c r="DR84" s="177" t="s">
        <v>300</v>
      </c>
      <c r="DS84" s="177" t="s">
        <v>301</v>
      </c>
      <c r="DT84" s="177" t="s">
        <v>302</v>
      </c>
      <c r="DU84" s="177">
        <v>1.0271999999999999</v>
      </c>
      <c r="DV84" s="177" t="s">
        <v>170</v>
      </c>
      <c r="DW84" s="177" t="s">
        <v>170</v>
      </c>
      <c r="DX84" s="177" t="s">
        <v>177</v>
      </c>
      <c r="DY84" s="177" t="s">
        <v>170</v>
      </c>
      <c r="DZ84" s="177" t="s">
        <v>170</v>
      </c>
      <c r="EA84" s="177" t="s">
        <v>303</v>
      </c>
      <c r="EB84" s="177" t="s">
        <v>171</v>
      </c>
      <c r="EC84" s="177" t="s">
        <v>304</v>
      </c>
      <c r="ED84" s="177" t="s">
        <v>304</v>
      </c>
      <c r="EE84" s="177" t="s">
        <v>304</v>
      </c>
      <c r="EF84" s="177" t="s">
        <v>304</v>
      </c>
      <c r="EG84" s="177" t="s">
        <v>162</v>
      </c>
      <c r="EH84" s="177" t="s">
        <v>312</v>
      </c>
      <c r="EI84" s="177" t="s">
        <v>313</v>
      </c>
      <c r="EJ84" s="177" t="s">
        <v>314</v>
      </c>
      <c r="EK84" s="177" t="s">
        <v>307</v>
      </c>
      <c r="EL84" s="177" t="s">
        <v>307</v>
      </c>
      <c r="EM84" s="177" t="s">
        <v>307</v>
      </c>
      <c r="EN84" s="177" t="s">
        <v>307</v>
      </c>
      <c r="EO84" s="177">
        <v>6.25</v>
      </c>
      <c r="EP84" s="177" t="s">
        <v>299</v>
      </c>
      <c r="EQ84" s="177">
        <v>1</v>
      </c>
      <c r="ER84" s="177">
        <v>1</v>
      </c>
      <c r="ES84" s="177">
        <v>7.8427612686363704</v>
      </c>
      <c r="ET84" s="194" t="s">
        <v>174</v>
      </c>
      <c r="EU84" s="195">
        <v>3.0869326089696902E-2</v>
      </c>
      <c r="EV84" s="195">
        <v>3.0869326089696902E-2</v>
      </c>
      <c r="EW84" s="178">
        <v>632.22179541849198</v>
      </c>
      <c r="EX84" s="194">
        <v>0</v>
      </c>
      <c r="EY84" s="194" t="s">
        <v>308</v>
      </c>
      <c r="EZ84" s="178">
        <v>632.22179541849198</v>
      </c>
      <c r="FA84" s="178">
        <v>200.21182977597402</v>
      </c>
      <c r="FB84" s="178">
        <v>146.24735924558098</v>
      </c>
      <c r="FC84" s="196" t="s">
        <v>309</v>
      </c>
      <c r="FD84" s="177" t="s">
        <v>311</v>
      </c>
      <c r="FE84" s="177">
        <v>2171.7773461325601</v>
      </c>
      <c r="FF84" s="177">
        <v>433.91402419538298</v>
      </c>
      <c r="FG84" s="177">
        <v>379.67862173306099</v>
      </c>
      <c r="FH84" s="177">
        <v>1979.37101691669</v>
      </c>
      <c r="FI84" s="177">
        <v>425.72787783121402</v>
      </c>
      <c r="FJ84" s="177">
        <v>367.19014035555301</v>
      </c>
      <c r="FK84" s="177" t="s">
        <v>175</v>
      </c>
      <c r="FL84" s="177" t="s">
        <v>175</v>
      </c>
      <c r="FM84" s="177" t="s">
        <v>175</v>
      </c>
      <c r="FN84" s="177" t="s">
        <v>175</v>
      </c>
      <c r="FO84" s="177" t="s">
        <v>175</v>
      </c>
      <c r="FP84" s="177" t="s">
        <v>175</v>
      </c>
      <c r="FQ84" s="177" t="s">
        <v>319</v>
      </c>
    </row>
    <row r="85" spans="1:173" s="177" customFormat="1">
      <c r="A85" s="128" t="s">
        <v>152</v>
      </c>
      <c r="B85" s="177" t="s">
        <v>156</v>
      </c>
      <c r="C85" s="177">
        <v>2020</v>
      </c>
      <c r="D85" s="177" t="s">
        <v>194</v>
      </c>
      <c r="E85" s="178">
        <v>40074.131011962891</v>
      </c>
      <c r="F85" s="177">
        <v>1</v>
      </c>
      <c r="G85" s="177">
        <v>1</v>
      </c>
      <c r="H85" s="179">
        <v>772.35911239849804</v>
      </c>
      <c r="I85" s="179">
        <v>266.85797177885195</v>
      </c>
      <c r="J85" s="179">
        <v>172.7169244513691</v>
      </c>
      <c r="K85" s="177" t="s">
        <v>157</v>
      </c>
      <c r="L85" s="180" t="s">
        <v>158</v>
      </c>
      <c r="M85" s="181" t="s">
        <v>195</v>
      </c>
      <c r="N85" s="177" t="s">
        <v>194</v>
      </c>
      <c r="O85" s="177" t="s">
        <v>197</v>
      </c>
      <c r="P85" s="177" t="s">
        <v>200</v>
      </c>
      <c r="Q85" s="177">
        <v>8</v>
      </c>
      <c r="R85" s="177">
        <v>5</v>
      </c>
      <c r="S85" s="177">
        <v>36</v>
      </c>
      <c r="T85" s="177">
        <v>41</v>
      </c>
      <c r="U85" s="177">
        <v>118.91</v>
      </c>
      <c r="V85" s="177">
        <v>140.45499999999998</v>
      </c>
      <c r="W85" s="177" t="s">
        <v>204</v>
      </c>
      <c r="X85" s="177" t="s">
        <v>208</v>
      </c>
      <c r="Y85" s="182">
        <v>-28.53295</v>
      </c>
      <c r="Z85" s="182">
        <v>2.7795670000000001</v>
      </c>
      <c r="AA85" s="182">
        <v>-38</v>
      </c>
      <c r="AB85" s="183" t="s">
        <v>162</v>
      </c>
      <c r="AC85" s="183">
        <v>-2717</v>
      </c>
      <c r="AD85" s="182">
        <v>-2000</v>
      </c>
      <c r="AE85" s="177" t="s">
        <v>213</v>
      </c>
      <c r="AF85" s="177" t="s">
        <v>160</v>
      </c>
      <c r="AG85" s="178">
        <v>40074.131011962891</v>
      </c>
      <c r="AH85" s="184" t="s">
        <v>215</v>
      </c>
      <c r="AI85" s="177">
        <v>1</v>
      </c>
      <c r="AJ85" s="177">
        <v>1</v>
      </c>
      <c r="AK85" s="177" t="s">
        <v>214</v>
      </c>
      <c r="AL85" s="177" t="s">
        <v>216</v>
      </c>
      <c r="AM85" s="192" t="s">
        <v>219</v>
      </c>
      <c r="AN85" s="177">
        <v>40.204547882080078</v>
      </c>
      <c r="AO85" s="177" t="s">
        <v>162</v>
      </c>
      <c r="AP85" s="177" t="s">
        <v>162</v>
      </c>
      <c r="AQ85" s="177" t="s">
        <v>162</v>
      </c>
      <c r="AR85" s="177" t="s">
        <v>214</v>
      </c>
      <c r="AS85" s="177" t="s">
        <v>220</v>
      </c>
      <c r="AT85" s="177" t="s">
        <v>222</v>
      </c>
      <c r="AU85" s="177" t="s">
        <v>229</v>
      </c>
      <c r="AV85" s="177" t="s">
        <v>230</v>
      </c>
      <c r="AW85" s="174">
        <v>218</v>
      </c>
      <c r="AX85" s="174">
        <v>3.2490000000000001</v>
      </c>
      <c r="AY85" s="184" t="s">
        <v>232</v>
      </c>
      <c r="AZ85" s="177" t="s">
        <v>163</v>
      </c>
      <c r="BA85" s="177" t="s">
        <v>164</v>
      </c>
      <c r="BB85" s="177" t="s">
        <v>274</v>
      </c>
      <c r="BC85" s="177">
        <v>2</v>
      </c>
      <c r="BD85" s="186">
        <v>0.13806949064024643</v>
      </c>
      <c r="BE85" s="187">
        <v>13.4818938664553</v>
      </c>
      <c r="BF85" s="177" t="s">
        <v>233</v>
      </c>
      <c r="BG85" s="177">
        <v>0.24031225151899299</v>
      </c>
      <c r="BH85" s="177">
        <v>0.95</v>
      </c>
      <c r="BI85" s="177" t="s">
        <v>281</v>
      </c>
      <c r="BJ85" s="177">
        <v>0.17</v>
      </c>
      <c r="BK85" s="177">
        <v>-0.42</v>
      </c>
      <c r="BL85" s="177" t="s">
        <v>282</v>
      </c>
      <c r="BM85" s="177">
        <v>2.85</v>
      </c>
      <c r="BN85" s="177" t="s">
        <v>285</v>
      </c>
      <c r="BO85" s="177" t="s">
        <v>284</v>
      </c>
      <c r="BP85" s="189">
        <v>14.681463157894701</v>
      </c>
      <c r="BQ85" s="177" t="s">
        <v>287</v>
      </c>
      <c r="BR85" s="190" t="s">
        <v>288</v>
      </c>
      <c r="BS85" s="177" t="s">
        <v>286</v>
      </c>
      <c r="BT85" s="177" t="s">
        <v>289</v>
      </c>
      <c r="BU85" s="177">
        <v>25</v>
      </c>
      <c r="BV85" s="177" t="s">
        <v>165</v>
      </c>
      <c r="BW85" s="177" t="s">
        <v>165</v>
      </c>
      <c r="BX85" s="187">
        <v>27.343046558283799</v>
      </c>
      <c r="BY85" s="177" t="s">
        <v>290</v>
      </c>
      <c r="BZ85" s="186">
        <v>0.64129222792962504</v>
      </c>
      <c r="CA85" s="186">
        <v>0.70886778353853996</v>
      </c>
      <c r="CB85" s="177" t="s">
        <v>291</v>
      </c>
      <c r="CC85" s="177">
        <v>3.1407007473400199</v>
      </c>
      <c r="CD85" s="177" t="s">
        <v>292</v>
      </c>
      <c r="CE85" s="177">
        <v>9.4221022420200598E-2</v>
      </c>
      <c r="CF85" s="177">
        <v>9.4221022420200598E-2</v>
      </c>
      <c r="CG85" s="177" t="s">
        <v>295</v>
      </c>
      <c r="CH85" s="177" t="s">
        <v>162</v>
      </c>
      <c r="CI85" s="177" t="s">
        <v>293</v>
      </c>
      <c r="CJ85" s="177" t="s">
        <v>296</v>
      </c>
      <c r="CK85" s="177" t="s">
        <v>165</v>
      </c>
      <c r="CL85" s="177" t="s">
        <v>165</v>
      </c>
      <c r="CM85" s="177" t="s">
        <v>294</v>
      </c>
      <c r="CN85" s="177" t="s">
        <v>162</v>
      </c>
      <c r="CO85" s="177" t="s">
        <v>162</v>
      </c>
      <c r="CP85" s="177" t="s">
        <v>162</v>
      </c>
      <c r="CQ85" s="177" t="s">
        <v>162</v>
      </c>
      <c r="CR85" s="177" t="s">
        <v>162</v>
      </c>
      <c r="CS85" s="177" t="s">
        <v>162</v>
      </c>
      <c r="CT85" s="177" t="s">
        <v>162</v>
      </c>
      <c r="CU85" s="191">
        <v>35</v>
      </c>
      <c r="CV85" s="177" t="s">
        <v>161</v>
      </c>
      <c r="CW85" s="177">
        <v>1</v>
      </c>
      <c r="CX85" s="177" t="s">
        <v>297</v>
      </c>
      <c r="CY85" s="177">
        <v>17</v>
      </c>
      <c r="CZ85" s="177" t="s">
        <v>170</v>
      </c>
      <c r="DA85" s="177" t="s">
        <v>170</v>
      </c>
      <c r="DB85" s="177" t="s">
        <v>298</v>
      </c>
      <c r="DC85" s="177">
        <v>38</v>
      </c>
      <c r="DD85" s="177" t="s">
        <v>170</v>
      </c>
      <c r="DE85" s="177" t="s">
        <v>170</v>
      </c>
      <c r="DF85" s="177" t="s">
        <v>298</v>
      </c>
      <c r="DG85" s="177" t="s">
        <v>166</v>
      </c>
      <c r="DH85" s="177" t="s">
        <v>167</v>
      </c>
      <c r="DI85" s="177" t="s">
        <v>167</v>
      </c>
      <c r="DJ85" s="177" t="s">
        <v>167</v>
      </c>
      <c r="DK85" s="192">
        <v>432.56244218316402</v>
      </c>
      <c r="DL85" s="177" t="s">
        <v>168</v>
      </c>
      <c r="DM85" s="192">
        <v>12.358926919523199</v>
      </c>
      <c r="DN85" s="177" t="s">
        <v>169</v>
      </c>
      <c r="DO85" s="177">
        <v>38.700000000000003</v>
      </c>
      <c r="DP85" s="177" t="s">
        <v>299</v>
      </c>
      <c r="DQ85" s="177">
        <v>0.2</v>
      </c>
      <c r="DR85" s="177" t="s">
        <v>300</v>
      </c>
      <c r="DS85" s="177" t="s">
        <v>301</v>
      </c>
      <c r="DT85" s="177" t="s">
        <v>302</v>
      </c>
      <c r="DU85" s="177">
        <v>1.0271999999999999</v>
      </c>
      <c r="DV85" s="177" t="s">
        <v>170</v>
      </c>
      <c r="DW85" s="177" t="s">
        <v>170</v>
      </c>
      <c r="DX85" s="177" t="s">
        <v>177</v>
      </c>
      <c r="DY85" s="177" t="s">
        <v>170</v>
      </c>
      <c r="DZ85" s="177" t="s">
        <v>170</v>
      </c>
      <c r="EA85" s="177" t="s">
        <v>303</v>
      </c>
      <c r="EB85" s="177" t="s">
        <v>171</v>
      </c>
      <c r="EC85" s="177" t="s">
        <v>304</v>
      </c>
      <c r="ED85" s="177" t="s">
        <v>304</v>
      </c>
      <c r="EE85" s="177" t="s">
        <v>304</v>
      </c>
      <c r="EF85" s="177" t="s">
        <v>304</v>
      </c>
      <c r="EG85" s="177" t="s">
        <v>162</v>
      </c>
      <c r="EH85" s="177" t="s">
        <v>312</v>
      </c>
      <c r="EI85" s="177" t="s">
        <v>313</v>
      </c>
      <c r="EJ85" s="177" t="s">
        <v>314</v>
      </c>
      <c r="EK85" s="177" t="s">
        <v>307</v>
      </c>
      <c r="EL85" s="177" t="s">
        <v>307</v>
      </c>
      <c r="EM85" s="177" t="s">
        <v>307</v>
      </c>
      <c r="EN85" s="177" t="s">
        <v>307</v>
      </c>
      <c r="EO85" s="177">
        <v>6.25</v>
      </c>
      <c r="EP85" s="177" t="s">
        <v>299</v>
      </c>
      <c r="EQ85" s="177">
        <v>1</v>
      </c>
      <c r="ER85" s="177">
        <v>1</v>
      </c>
      <c r="ES85" s="177">
        <v>7.8272420221268604</v>
      </c>
      <c r="ET85" s="194" t="s">
        <v>174</v>
      </c>
      <c r="EU85" s="195">
        <v>3.2422223991734E-2</v>
      </c>
      <c r="EV85" s="195">
        <v>3.2422223991734E-2</v>
      </c>
      <c r="EW85" s="178">
        <v>772.35911239849804</v>
      </c>
      <c r="EX85" s="194">
        <v>0</v>
      </c>
      <c r="EY85" s="194" t="s">
        <v>308</v>
      </c>
      <c r="EZ85" s="178">
        <v>772.35911239849804</v>
      </c>
      <c r="FA85" s="178">
        <v>266.85797177885195</v>
      </c>
      <c r="FB85" s="178">
        <v>172.7169244513691</v>
      </c>
      <c r="FC85" s="196" t="s">
        <v>309</v>
      </c>
      <c r="FD85" s="177" t="s">
        <v>311</v>
      </c>
      <c r="FE85" s="177">
        <v>2163.6651310335001</v>
      </c>
      <c r="FF85" s="177">
        <v>425.77893839236498</v>
      </c>
      <c r="FG85" s="177">
        <v>317.93697246885199</v>
      </c>
      <c r="FH85" s="177">
        <v>1961.41286446915</v>
      </c>
      <c r="FI85" s="177">
        <v>427.99830786191302</v>
      </c>
      <c r="FJ85" s="177">
        <v>311.75988906691498</v>
      </c>
      <c r="FK85" s="177" t="s">
        <v>175</v>
      </c>
      <c r="FL85" s="177" t="s">
        <v>175</v>
      </c>
      <c r="FM85" s="177" t="s">
        <v>175</v>
      </c>
      <c r="FN85" s="177" t="s">
        <v>175</v>
      </c>
      <c r="FO85" s="177" t="s">
        <v>175</v>
      </c>
      <c r="FP85" s="177" t="s">
        <v>175</v>
      </c>
      <c r="FQ85" s="177" t="s">
        <v>319</v>
      </c>
    </row>
    <row r="86" spans="1:173" s="177" customFormat="1">
      <c r="A86" s="128" t="s">
        <v>152</v>
      </c>
      <c r="B86" s="177" t="s">
        <v>156</v>
      </c>
      <c r="C86" s="177">
        <v>2020</v>
      </c>
      <c r="D86" s="177" t="s">
        <v>194</v>
      </c>
      <c r="E86" s="178">
        <v>40115.573883056641</v>
      </c>
      <c r="F86" s="177">
        <v>1</v>
      </c>
      <c r="G86" s="177">
        <v>1</v>
      </c>
      <c r="H86" s="179">
        <v>677.60490043105494</v>
      </c>
      <c r="I86" s="179">
        <v>246.96428580616907</v>
      </c>
      <c r="J86" s="179">
        <v>171.43949971451696</v>
      </c>
      <c r="K86" s="177" t="s">
        <v>157</v>
      </c>
      <c r="L86" s="180" t="s">
        <v>158</v>
      </c>
      <c r="M86" s="181" t="s">
        <v>195</v>
      </c>
      <c r="N86" s="177" t="s">
        <v>194</v>
      </c>
      <c r="O86" s="177" t="s">
        <v>197</v>
      </c>
      <c r="P86" s="177" t="s">
        <v>200</v>
      </c>
      <c r="Q86" s="177">
        <v>8</v>
      </c>
      <c r="R86" s="177">
        <v>5</v>
      </c>
      <c r="S86" s="177">
        <v>120</v>
      </c>
      <c r="T86" s="177">
        <v>121</v>
      </c>
      <c r="U86" s="177">
        <v>119.71</v>
      </c>
      <c r="V86" s="177">
        <v>141.27500000000001</v>
      </c>
      <c r="W86" s="177" t="s">
        <v>204</v>
      </c>
      <c r="X86" s="177" t="s">
        <v>208</v>
      </c>
      <c r="Y86" s="182">
        <v>-28.53295</v>
      </c>
      <c r="Z86" s="182">
        <v>2.7795670000000001</v>
      </c>
      <c r="AA86" s="182">
        <v>-38</v>
      </c>
      <c r="AB86" s="183" t="s">
        <v>162</v>
      </c>
      <c r="AC86" s="183">
        <v>-2717</v>
      </c>
      <c r="AD86" s="182">
        <v>-2000</v>
      </c>
      <c r="AE86" s="177" t="s">
        <v>213</v>
      </c>
      <c r="AF86" s="177" t="s">
        <v>160</v>
      </c>
      <c r="AG86" s="178">
        <v>40115.573883056641</v>
      </c>
      <c r="AH86" s="184" t="s">
        <v>215</v>
      </c>
      <c r="AI86" s="177">
        <v>1</v>
      </c>
      <c r="AJ86" s="177">
        <v>1</v>
      </c>
      <c r="AK86" s="177" t="s">
        <v>214</v>
      </c>
      <c r="AL86" s="177" t="s">
        <v>216</v>
      </c>
      <c r="AM86" s="192" t="s">
        <v>219</v>
      </c>
      <c r="AN86" s="177">
        <v>40.271011352539062</v>
      </c>
      <c r="AO86" s="177" t="s">
        <v>162</v>
      </c>
      <c r="AP86" s="177" t="s">
        <v>162</v>
      </c>
      <c r="AQ86" s="177" t="s">
        <v>162</v>
      </c>
      <c r="AR86" s="177" t="s">
        <v>214</v>
      </c>
      <c r="AS86" s="177" t="s">
        <v>220</v>
      </c>
      <c r="AT86" s="177" t="s">
        <v>222</v>
      </c>
      <c r="AU86" s="177" t="s">
        <v>229</v>
      </c>
      <c r="AV86" s="177" t="s">
        <v>230</v>
      </c>
      <c r="AW86" s="174">
        <v>280</v>
      </c>
      <c r="AX86" s="174">
        <v>4.2670000000000003</v>
      </c>
      <c r="AY86" s="184" t="s">
        <v>232</v>
      </c>
      <c r="AZ86" s="177" t="s">
        <v>163</v>
      </c>
      <c r="BA86" s="177" t="s">
        <v>164</v>
      </c>
      <c r="BB86" s="177" t="s">
        <v>268</v>
      </c>
      <c r="BC86" s="177">
        <v>2</v>
      </c>
      <c r="BD86" s="186">
        <v>3.4048880801680781E-2</v>
      </c>
      <c r="BE86" s="187">
        <v>13.171109563385199</v>
      </c>
      <c r="BF86" s="177" t="s">
        <v>233</v>
      </c>
      <c r="BG86" s="177">
        <v>0.233724194447264</v>
      </c>
      <c r="BH86" s="177">
        <v>0.95</v>
      </c>
      <c r="BI86" s="177" t="s">
        <v>281</v>
      </c>
      <c r="BJ86" s="177">
        <v>0.17</v>
      </c>
      <c r="BK86" s="177">
        <v>-0.42</v>
      </c>
      <c r="BL86" s="177" t="s">
        <v>282</v>
      </c>
      <c r="BM86" s="177">
        <v>2.85</v>
      </c>
      <c r="BN86" s="177" t="s">
        <v>285</v>
      </c>
      <c r="BO86" s="177" t="s">
        <v>284</v>
      </c>
      <c r="BP86" s="189">
        <v>14.3543263157895</v>
      </c>
      <c r="BQ86" s="177" t="s">
        <v>287</v>
      </c>
      <c r="BR86" s="190" t="s">
        <v>288</v>
      </c>
      <c r="BS86" s="177" t="s">
        <v>286</v>
      </c>
      <c r="BT86" s="177" t="s">
        <v>289</v>
      </c>
      <c r="BU86" s="177">
        <v>25</v>
      </c>
      <c r="BV86" s="177" t="s">
        <v>165</v>
      </c>
      <c r="BW86" s="177" t="s">
        <v>165</v>
      </c>
      <c r="BX86" s="187">
        <v>26.915963212072199</v>
      </c>
      <c r="BY86" s="177" t="s">
        <v>290</v>
      </c>
      <c r="BZ86" s="186">
        <v>0.64456078099425396</v>
      </c>
      <c r="CA86" s="186">
        <v>0.68177436445687101</v>
      </c>
      <c r="CB86" s="177" t="s">
        <v>291</v>
      </c>
      <c r="CC86" s="177">
        <v>3.1474811629363399</v>
      </c>
      <c r="CD86" s="177" t="s">
        <v>292</v>
      </c>
      <c r="CE86" s="177">
        <v>9.44244348880902E-2</v>
      </c>
      <c r="CF86" s="177">
        <v>9.44244348880902E-2</v>
      </c>
      <c r="CG86" s="177" t="s">
        <v>295</v>
      </c>
      <c r="CH86" s="177" t="s">
        <v>162</v>
      </c>
      <c r="CI86" s="177" t="s">
        <v>293</v>
      </c>
      <c r="CJ86" s="177" t="s">
        <v>296</v>
      </c>
      <c r="CK86" s="177" t="s">
        <v>165</v>
      </c>
      <c r="CL86" s="177" t="s">
        <v>165</v>
      </c>
      <c r="CM86" s="177" t="s">
        <v>294</v>
      </c>
      <c r="CN86" s="177" t="s">
        <v>162</v>
      </c>
      <c r="CO86" s="177" t="s">
        <v>162</v>
      </c>
      <c r="CP86" s="177" t="s">
        <v>162</v>
      </c>
      <c r="CQ86" s="177" t="s">
        <v>162</v>
      </c>
      <c r="CR86" s="177" t="s">
        <v>162</v>
      </c>
      <c r="CS86" s="177" t="s">
        <v>162</v>
      </c>
      <c r="CT86" s="177" t="s">
        <v>162</v>
      </c>
      <c r="CU86" s="191">
        <v>35</v>
      </c>
      <c r="CV86" s="177" t="s">
        <v>161</v>
      </c>
      <c r="CW86" s="177">
        <v>1</v>
      </c>
      <c r="CX86" s="177" t="s">
        <v>297</v>
      </c>
      <c r="CY86" s="177">
        <v>17</v>
      </c>
      <c r="CZ86" s="177" t="s">
        <v>170</v>
      </c>
      <c r="DA86" s="177" t="s">
        <v>170</v>
      </c>
      <c r="DB86" s="177" t="s">
        <v>298</v>
      </c>
      <c r="DC86" s="177">
        <v>38</v>
      </c>
      <c r="DD86" s="177" t="s">
        <v>170</v>
      </c>
      <c r="DE86" s="177" t="s">
        <v>170</v>
      </c>
      <c r="DF86" s="177" t="s">
        <v>298</v>
      </c>
      <c r="DG86" s="177" t="s">
        <v>166</v>
      </c>
      <c r="DH86" s="177" t="s">
        <v>167</v>
      </c>
      <c r="DI86" s="177" t="s">
        <v>167</v>
      </c>
      <c r="DJ86" s="177" t="s">
        <v>167</v>
      </c>
      <c r="DK86" s="192">
        <v>432.56244218316402</v>
      </c>
      <c r="DL86" s="177" t="s">
        <v>168</v>
      </c>
      <c r="DM86" s="192">
        <v>12.3589269195233</v>
      </c>
      <c r="DN86" s="177" t="s">
        <v>169</v>
      </c>
      <c r="DO86" s="177">
        <v>38.700000000000003</v>
      </c>
      <c r="DP86" s="177" t="s">
        <v>299</v>
      </c>
      <c r="DQ86" s="177">
        <v>0.2</v>
      </c>
      <c r="DR86" s="177" t="s">
        <v>300</v>
      </c>
      <c r="DS86" s="177" t="s">
        <v>301</v>
      </c>
      <c r="DT86" s="177" t="s">
        <v>302</v>
      </c>
      <c r="DU86" s="177">
        <v>1.0271999999999999</v>
      </c>
      <c r="DV86" s="177" t="s">
        <v>170</v>
      </c>
      <c r="DW86" s="177" t="s">
        <v>170</v>
      </c>
      <c r="DX86" s="177" t="s">
        <v>177</v>
      </c>
      <c r="DY86" s="177" t="s">
        <v>170</v>
      </c>
      <c r="DZ86" s="177" t="s">
        <v>170</v>
      </c>
      <c r="EA86" s="177" t="s">
        <v>303</v>
      </c>
      <c r="EB86" s="177" t="s">
        <v>171</v>
      </c>
      <c r="EC86" s="177" t="s">
        <v>304</v>
      </c>
      <c r="ED86" s="177" t="s">
        <v>304</v>
      </c>
      <c r="EE86" s="177" t="s">
        <v>304</v>
      </c>
      <c r="EF86" s="177" t="s">
        <v>304</v>
      </c>
      <c r="EG86" s="177" t="s">
        <v>162</v>
      </c>
      <c r="EH86" s="177" t="s">
        <v>312</v>
      </c>
      <c r="EI86" s="177" t="s">
        <v>313</v>
      </c>
      <c r="EJ86" s="177" t="s">
        <v>314</v>
      </c>
      <c r="EK86" s="177" t="s">
        <v>307</v>
      </c>
      <c r="EL86" s="177" t="s">
        <v>307</v>
      </c>
      <c r="EM86" s="177" t="s">
        <v>307</v>
      </c>
      <c r="EN86" s="177" t="s">
        <v>307</v>
      </c>
      <c r="EO86" s="177">
        <v>6.25</v>
      </c>
      <c r="EP86" s="177" t="s">
        <v>299</v>
      </c>
      <c r="EQ86" s="177">
        <v>1</v>
      </c>
      <c r="ER86" s="177">
        <v>1</v>
      </c>
      <c r="ES86" s="177">
        <v>7.7822531187231698</v>
      </c>
      <c r="ET86" s="194" t="s">
        <v>174</v>
      </c>
      <c r="EU86" s="195">
        <v>3.5318222461363201E-2</v>
      </c>
      <c r="EV86" s="195">
        <v>3.5318222461363201E-2</v>
      </c>
      <c r="EW86" s="178">
        <v>677.60490043105494</v>
      </c>
      <c r="EX86" s="194">
        <v>0</v>
      </c>
      <c r="EY86" s="194" t="s">
        <v>308</v>
      </c>
      <c r="EZ86" s="178">
        <v>677.60490043105494</v>
      </c>
      <c r="FA86" s="178">
        <v>246.96428580616907</v>
      </c>
      <c r="FB86" s="178">
        <v>171.43949971451696</v>
      </c>
      <c r="FC86" s="196" t="s">
        <v>309</v>
      </c>
      <c r="FD86" s="177" t="s">
        <v>311</v>
      </c>
      <c r="FE86" s="177">
        <v>2015.14648686228</v>
      </c>
      <c r="FF86" s="177">
        <v>439.99182213260798</v>
      </c>
      <c r="FG86" s="177">
        <v>362.701413028285</v>
      </c>
      <c r="FH86" s="177">
        <v>1881.79438972957</v>
      </c>
      <c r="FI86" s="177">
        <v>438.896436649196</v>
      </c>
      <c r="FJ86" s="177">
        <v>359.91797413930499</v>
      </c>
      <c r="FK86" s="177" t="s">
        <v>175</v>
      </c>
      <c r="FL86" s="177" t="s">
        <v>175</v>
      </c>
      <c r="FM86" s="177" t="s">
        <v>175</v>
      </c>
      <c r="FN86" s="177" t="s">
        <v>175</v>
      </c>
      <c r="FO86" s="177" t="s">
        <v>175</v>
      </c>
      <c r="FP86" s="177" t="s">
        <v>175</v>
      </c>
      <c r="FQ86" s="177" t="s">
        <v>319</v>
      </c>
    </row>
    <row r="87" spans="1:173">
      <c r="A87" s="128" t="s">
        <v>152</v>
      </c>
      <c r="B87" t="s">
        <v>156</v>
      </c>
      <c r="C87">
        <v>2020</v>
      </c>
      <c r="D87" t="s">
        <v>194</v>
      </c>
      <c r="E87" s="178">
        <v>40125.328063964844</v>
      </c>
      <c r="F87">
        <v>1</v>
      </c>
      <c r="G87">
        <v>1</v>
      </c>
      <c r="H87" s="132">
        <v>664.15536609493302</v>
      </c>
      <c r="I87" s="132">
        <v>199.00615905012899</v>
      </c>
      <c r="J87" s="132">
        <v>143.25838981279003</v>
      </c>
      <c r="K87" t="s">
        <v>157</v>
      </c>
      <c r="L87" s="133" t="s">
        <v>158</v>
      </c>
      <c r="M87" s="134" t="s">
        <v>195</v>
      </c>
      <c r="N87" t="s">
        <v>194</v>
      </c>
      <c r="O87" t="s">
        <v>197</v>
      </c>
      <c r="P87" t="s">
        <v>200</v>
      </c>
      <c r="Q87">
        <v>8</v>
      </c>
      <c r="R87">
        <v>5</v>
      </c>
      <c r="S87">
        <v>140</v>
      </c>
      <c r="T87">
        <v>141</v>
      </c>
      <c r="U87">
        <v>119.91</v>
      </c>
      <c r="V87">
        <v>141.47499999999999</v>
      </c>
      <c r="W87" t="s">
        <v>204</v>
      </c>
      <c r="X87" t="s">
        <v>208</v>
      </c>
      <c r="Y87" s="147">
        <v>-28.53295</v>
      </c>
      <c r="Z87" s="147">
        <v>2.7795670000000001</v>
      </c>
      <c r="AA87" s="147">
        <v>-38</v>
      </c>
      <c r="AB87" s="135" t="s">
        <v>162</v>
      </c>
      <c r="AC87" s="135">
        <v>-2717</v>
      </c>
      <c r="AD87" s="147">
        <v>-2000</v>
      </c>
      <c r="AE87" t="s">
        <v>213</v>
      </c>
      <c r="AF87" t="s">
        <v>160</v>
      </c>
      <c r="AG87" s="178">
        <v>40125.328063964844</v>
      </c>
      <c r="AH87" s="148" t="s">
        <v>215</v>
      </c>
      <c r="AI87">
        <v>1</v>
      </c>
      <c r="AJ87">
        <v>1</v>
      </c>
      <c r="AK87" t="s">
        <v>214</v>
      </c>
      <c r="AL87" t="s">
        <v>216</v>
      </c>
      <c r="AM87" s="136" t="s">
        <v>219</v>
      </c>
      <c r="AN87">
        <v>40.285324096679688</v>
      </c>
      <c r="AO87" t="s">
        <v>162</v>
      </c>
      <c r="AP87" t="s">
        <v>162</v>
      </c>
      <c r="AQ87" t="s">
        <v>162</v>
      </c>
      <c r="AR87" t="s">
        <v>214</v>
      </c>
      <c r="AS87" t="s">
        <v>220</v>
      </c>
      <c r="AT87" t="s">
        <v>222</v>
      </c>
      <c r="AU87" t="s">
        <v>229</v>
      </c>
      <c r="AV87" t="s">
        <v>230</v>
      </c>
      <c r="AW87" s="167">
        <v>227</v>
      </c>
      <c r="AX87" s="167">
        <v>2.9089999999999998</v>
      </c>
      <c r="AY87" s="148" t="s">
        <v>232</v>
      </c>
      <c r="AZ87" t="s">
        <v>163</v>
      </c>
      <c r="BA87" t="s">
        <v>164</v>
      </c>
      <c r="BB87" t="s">
        <v>269</v>
      </c>
      <c r="BC87">
        <v>2</v>
      </c>
      <c r="BD87" s="137">
        <v>0.28781391996537131</v>
      </c>
      <c r="BE87" s="145">
        <v>13.1969267002961</v>
      </c>
      <c r="BF87" t="s">
        <v>233</v>
      </c>
      <c r="BG87">
        <v>0.24535366635762301</v>
      </c>
      <c r="BH87">
        <v>0.95</v>
      </c>
      <c r="BI87" t="s">
        <v>281</v>
      </c>
      <c r="BJ87">
        <v>0.17</v>
      </c>
      <c r="BK87">
        <v>-0.42</v>
      </c>
      <c r="BL87" t="s">
        <v>282</v>
      </c>
      <c r="BM87">
        <v>2.85</v>
      </c>
      <c r="BN87" t="s">
        <v>285</v>
      </c>
      <c r="BO87" t="s">
        <v>284</v>
      </c>
      <c r="BP87" s="158">
        <v>14.3815052631579</v>
      </c>
      <c r="BQ87" t="s">
        <v>287</v>
      </c>
      <c r="BR87" s="160" t="s">
        <v>288</v>
      </c>
      <c r="BS87" t="s">
        <v>286</v>
      </c>
      <c r="BT87" t="s">
        <v>289</v>
      </c>
      <c r="BU87">
        <v>25</v>
      </c>
      <c r="BV87" t="s">
        <v>165</v>
      </c>
      <c r="BW87" t="s">
        <v>165</v>
      </c>
      <c r="BX87" s="145">
        <v>28.6347418050659</v>
      </c>
      <c r="BY87" t="s">
        <v>290</v>
      </c>
      <c r="BZ87" s="137">
        <v>0.60454995040339599</v>
      </c>
      <c r="CA87" s="137">
        <v>0.71720559368786496</v>
      </c>
      <c r="CB87" t="s">
        <v>291</v>
      </c>
      <c r="CC87">
        <v>3.4971521546523499</v>
      </c>
      <c r="CD87" t="s">
        <v>292</v>
      </c>
      <c r="CE87">
        <v>0.1049145646395705</v>
      </c>
      <c r="CF87">
        <v>0.1049145646395705</v>
      </c>
      <c r="CG87" t="s">
        <v>295</v>
      </c>
      <c r="CH87" t="s">
        <v>162</v>
      </c>
      <c r="CI87" t="s">
        <v>293</v>
      </c>
      <c r="CJ87" t="s">
        <v>296</v>
      </c>
      <c r="CK87" t="s">
        <v>165</v>
      </c>
      <c r="CL87" t="s">
        <v>165</v>
      </c>
      <c r="CM87" t="s">
        <v>294</v>
      </c>
      <c r="CN87" t="s">
        <v>162</v>
      </c>
      <c r="CO87" t="s">
        <v>162</v>
      </c>
      <c r="CP87" t="s">
        <v>162</v>
      </c>
      <c r="CQ87" t="s">
        <v>162</v>
      </c>
      <c r="CR87" t="s">
        <v>162</v>
      </c>
      <c r="CS87" t="s">
        <v>162</v>
      </c>
      <c r="CT87" t="s">
        <v>162</v>
      </c>
      <c r="CU87" s="139">
        <v>35</v>
      </c>
      <c r="CV87" t="s">
        <v>161</v>
      </c>
      <c r="CW87">
        <v>1</v>
      </c>
      <c r="CX87" t="s">
        <v>297</v>
      </c>
      <c r="CY87">
        <v>17</v>
      </c>
      <c r="CZ87" t="s">
        <v>170</v>
      </c>
      <c r="DA87" t="s">
        <v>170</v>
      </c>
      <c r="DB87" t="s">
        <v>298</v>
      </c>
      <c r="DC87">
        <v>38</v>
      </c>
      <c r="DD87" t="s">
        <v>170</v>
      </c>
      <c r="DE87" t="s">
        <v>170</v>
      </c>
      <c r="DF87" t="s">
        <v>298</v>
      </c>
      <c r="DG87" t="s">
        <v>166</v>
      </c>
      <c r="DH87" t="s">
        <v>167</v>
      </c>
      <c r="DI87" t="s">
        <v>167</v>
      </c>
      <c r="DJ87" t="s">
        <v>167</v>
      </c>
      <c r="DK87" s="136">
        <v>432.56244218316402</v>
      </c>
      <c r="DL87" t="s">
        <v>168</v>
      </c>
      <c r="DM87" s="136">
        <v>12.3589269195234</v>
      </c>
      <c r="DN87" t="s">
        <v>169</v>
      </c>
      <c r="DO87">
        <v>38.700000000000003</v>
      </c>
      <c r="DP87" t="s">
        <v>299</v>
      </c>
      <c r="DQ87">
        <v>0.2</v>
      </c>
      <c r="DR87" t="s">
        <v>300</v>
      </c>
      <c r="DS87" t="s">
        <v>301</v>
      </c>
      <c r="DT87" t="s">
        <v>302</v>
      </c>
      <c r="DU87">
        <v>1.0271999999999999</v>
      </c>
      <c r="DV87" t="s">
        <v>170</v>
      </c>
      <c r="DW87" t="s">
        <v>170</v>
      </c>
      <c r="DX87" t="s">
        <v>177</v>
      </c>
      <c r="DY87" t="s">
        <v>170</v>
      </c>
      <c r="DZ87" t="s">
        <v>170</v>
      </c>
      <c r="EA87" t="s">
        <v>303</v>
      </c>
      <c r="EB87" t="s">
        <v>171</v>
      </c>
      <c r="EC87" t="s">
        <v>304</v>
      </c>
      <c r="ED87" t="s">
        <v>304</v>
      </c>
      <c r="EE87" t="s">
        <v>304</v>
      </c>
      <c r="EF87" t="s">
        <v>304</v>
      </c>
      <c r="EG87" t="s">
        <v>162</v>
      </c>
      <c r="EH87" t="s">
        <v>312</v>
      </c>
      <c r="EI87" t="s">
        <v>313</v>
      </c>
      <c r="EJ87" t="s">
        <v>314</v>
      </c>
      <c r="EK87" t="s">
        <v>307</v>
      </c>
      <c r="EL87" t="s">
        <v>307</v>
      </c>
      <c r="EM87" t="s">
        <v>307</v>
      </c>
      <c r="EN87" t="s">
        <v>307</v>
      </c>
      <c r="EO87">
        <v>6.25</v>
      </c>
      <c r="EP87" t="s">
        <v>299</v>
      </c>
      <c r="EQ87">
        <v>1</v>
      </c>
      <c r="ER87">
        <v>1</v>
      </c>
      <c r="ES87">
        <v>7.7671106590551702</v>
      </c>
      <c r="ET87" s="138" t="s">
        <v>174</v>
      </c>
      <c r="EU87" s="161">
        <v>3.5352780746350398E-2</v>
      </c>
      <c r="EV87" s="161">
        <v>3.5352780746350398E-2</v>
      </c>
      <c r="EW87" s="142">
        <v>664.15536609493302</v>
      </c>
      <c r="EX87" s="138">
        <v>0</v>
      </c>
      <c r="EY87" s="138" t="s">
        <v>308</v>
      </c>
      <c r="EZ87" s="142">
        <v>664.15536609493302</v>
      </c>
      <c r="FA87" s="142">
        <v>199.00615905012899</v>
      </c>
      <c r="FB87" s="142">
        <v>143.25838981279003</v>
      </c>
      <c r="FC87" s="164" t="s">
        <v>309</v>
      </c>
      <c r="FD87" t="s">
        <v>311</v>
      </c>
      <c r="FE87">
        <v>2045.6592451712099</v>
      </c>
      <c r="FF87">
        <v>346.70019581984201</v>
      </c>
      <c r="FG87">
        <v>289.65330817824201</v>
      </c>
      <c r="FH87">
        <v>1842.6116791233201</v>
      </c>
      <c r="FI87">
        <v>340.03405835224902</v>
      </c>
      <c r="FJ87">
        <v>280.54794351486498</v>
      </c>
      <c r="FK87" t="s">
        <v>175</v>
      </c>
      <c r="FL87" t="s">
        <v>175</v>
      </c>
      <c r="FM87" t="s">
        <v>175</v>
      </c>
      <c r="FN87" t="s">
        <v>175</v>
      </c>
      <c r="FO87" t="s">
        <v>175</v>
      </c>
      <c r="FP87" t="s">
        <v>175</v>
      </c>
      <c r="FQ87" t="s">
        <v>319</v>
      </c>
    </row>
    <row r="88" spans="1:173">
      <c r="A88" s="128" t="s">
        <v>152</v>
      </c>
      <c r="B88" t="s">
        <v>156</v>
      </c>
      <c r="C88">
        <v>2020</v>
      </c>
      <c r="D88" t="s">
        <v>194</v>
      </c>
      <c r="E88" s="178">
        <v>40241.508483886719</v>
      </c>
      <c r="F88">
        <v>1</v>
      </c>
      <c r="G88">
        <v>1</v>
      </c>
      <c r="H88" s="132">
        <v>845.43635373779205</v>
      </c>
      <c r="I88" s="132">
        <v>255.92243002919793</v>
      </c>
      <c r="J88" s="132">
        <v>207.8108619927051</v>
      </c>
      <c r="K88" t="s">
        <v>157</v>
      </c>
      <c r="L88" s="133" t="s">
        <v>158</v>
      </c>
      <c r="M88" s="134" t="s">
        <v>195</v>
      </c>
      <c r="N88" t="s">
        <v>194</v>
      </c>
      <c r="O88" t="s">
        <v>197</v>
      </c>
      <c r="P88" t="s">
        <v>200</v>
      </c>
      <c r="Q88">
        <v>8</v>
      </c>
      <c r="R88">
        <v>6</v>
      </c>
      <c r="S88">
        <v>142</v>
      </c>
      <c r="T88">
        <v>143</v>
      </c>
      <c r="U88">
        <v>121.43</v>
      </c>
      <c r="V88">
        <v>142.995</v>
      </c>
      <c r="W88" t="s">
        <v>204</v>
      </c>
      <c r="X88" t="s">
        <v>208</v>
      </c>
      <c r="Y88" s="147">
        <v>-28.53295</v>
      </c>
      <c r="Z88" s="147">
        <v>2.7795670000000001</v>
      </c>
      <c r="AA88" s="147">
        <v>-38</v>
      </c>
      <c r="AB88" s="135" t="s">
        <v>162</v>
      </c>
      <c r="AC88" s="135">
        <v>-2717</v>
      </c>
      <c r="AD88" s="147">
        <v>-2000</v>
      </c>
      <c r="AE88" t="s">
        <v>213</v>
      </c>
      <c r="AF88" t="s">
        <v>160</v>
      </c>
      <c r="AG88" s="178">
        <v>40241.508483886719</v>
      </c>
      <c r="AH88" s="148" t="s">
        <v>215</v>
      </c>
      <c r="AI88">
        <v>1</v>
      </c>
      <c r="AJ88">
        <v>1</v>
      </c>
      <c r="AK88" t="s">
        <v>214</v>
      </c>
      <c r="AL88" t="s">
        <v>216</v>
      </c>
      <c r="AM88" s="136" t="s">
        <v>219</v>
      </c>
      <c r="AN88">
        <v>40.393211364746094</v>
      </c>
      <c r="AO88" t="s">
        <v>162</v>
      </c>
      <c r="AP88" t="s">
        <v>162</v>
      </c>
      <c r="AQ88" t="s">
        <v>162</v>
      </c>
      <c r="AR88" t="s">
        <v>214</v>
      </c>
      <c r="AS88" t="s">
        <v>220</v>
      </c>
      <c r="AT88" t="s">
        <v>222</v>
      </c>
      <c r="AU88" t="s">
        <v>229</v>
      </c>
      <c r="AV88" t="s">
        <v>230</v>
      </c>
      <c r="AW88" s="167">
        <v>251</v>
      </c>
      <c r="AX88" s="167">
        <v>3.9430000000000001</v>
      </c>
      <c r="AY88" s="148" t="s">
        <v>232</v>
      </c>
      <c r="AZ88" t="s">
        <v>163</v>
      </c>
      <c r="BA88" t="s">
        <v>164</v>
      </c>
      <c r="BB88" t="s">
        <v>275</v>
      </c>
      <c r="BC88">
        <v>2</v>
      </c>
      <c r="BD88" s="137">
        <v>0.10237634878688162</v>
      </c>
      <c r="BE88" s="145">
        <v>13.104295128468401</v>
      </c>
      <c r="BF88" t="s">
        <v>233</v>
      </c>
      <c r="BG88">
        <v>0.233759606258234</v>
      </c>
      <c r="BH88">
        <v>0.95</v>
      </c>
      <c r="BI88" t="s">
        <v>281</v>
      </c>
      <c r="BJ88">
        <v>0.17</v>
      </c>
      <c r="BK88">
        <v>-0.42</v>
      </c>
      <c r="BL88" t="s">
        <v>282</v>
      </c>
      <c r="BM88">
        <v>2.85</v>
      </c>
      <c r="BN88" t="s">
        <v>285</v>
      </c>
      <c r="BO88" t="s">
        <v>284</v>
      </c>
      <c r="BP88" s="158">
        <v>14.284000000000001</v>
      </c>
      <c r="BQ88" t="s">
        <v>287</v>
      </c>
      <c r="BR88" s="160" t="s">
        <v>288</v>
      </c>
      <c r="BS88" t="s">
        <v>286</v>
      </c>
      <c r="BT88" t="s">
        <v>289</v>
      </c>
      <c r="BU88">
        <v>25</v>
      </c>
      <c r="BV88" t="s">
        <v>165</v>
      </c>
      <c r="BW88" t="s">
        <v>165</v>
      </c>
      <c r="BX88" s="145">
        <v>25.429656083201301</v>
      </c>
      <c r="BY88" t="s">
        <v>290</v>
      </c>
      <c r="BZ88" s="137">
        <v>0.66031165392622504</v>
      </c>
      <c r="CA88" s="137">
        <v>0.70969239072113099</v>
      </c>
      <c r="CB88" t="s">
        <v>291</v>
      </c>
      <c r="CC88">
        <v>2.8790303876100598</v>
      </c>
      <c r="CD88" t="s">
        <v>292</v>
      </c>
      <c r="CE88">
        <v>8.6370911628301794E-2</v>
      </c>
      <c r="CF88">
        <v>8.6370911628301794E-2</v>
      </c>
      <c r="CG88" t="s">
        <v>295</v>
      </c>
      <c r="CH88" t="s">
        <v>162</v>
      </c>
      <c r="CI88" t="s">
        <v>293</v>
      </c>
      <c r="CJ88" t="s">
        <v>296</v>
      </c>
      <c r="CK88" t="s">
        <v>165</v>
      </c>
      <c r="CL88" t="s">
        <v>165</v>
      </c>
      <c r="CM88" t="s">
        <v>294</v>
      </c>
      <c r="CN88" t="s">
        <v>162</v>
      </c>
      <c r="CO88" t="s">
        <v>162</v>
      </c>
      <c r="CP88" t="s">
        <v>162</v>
      </c>
      <c r="CQ88" t="s">
        <v>162</v>
      </c>
      <c r="CR88" t="s">
        <v>162</v>
      </c>
      <c r="CS88" t="s">
        <v>162</v>
      </c>
      <c r="CT88" t="s">
        <v>162</v>
      </c>
      <c r="CU88" s="139">
        <v>35</v>
      </c>
      <c r="CV88" t="s">
        <v>161</v>
      </c>
      <c r="CW88">
        <v>1</v>
      </c>
      <c r="CX88" t="s">
        <v>297</v>
      </c>
      <c r="CY88">
        <v>17</v>
      </c>
      <c r="CZ88" t="s">
        <v>170</v>
      </c>
      <c r="DA88" t="s">
        <v>170</v>
      </c>
      <c r="DB88" t="s">
        <v>298</v>
      </c>
      <c r="DC88">
        <v>38</v>
      </c>
      <c r="DD88" t="s">
        <v>170</v>
      </c>
      <c r="DE88" t="s">
        <v>170</v>
      </c>
      <c r="DF88" t="s">
        <v>298</v>
      </c>
      <c r="DG88" t="s">
        <v>166</v>
      </c>
      <c r="DH88" t="s">
        <v>167</v>
      </c>
      <c r="DI88" t="s">
        <v>167</v>
      </c>
      <c r="DJ88" t="s">
        <v>167</v>
      </c>
      <c r="DK88" s="136">
        <v>432.56244218316402</v>
      </c>
      <c r="DL88" t="s">
        <v>168</v>
      </c>
      <c r="DM88" s="136">
        <v>12.358926919523499</v>
      </c>
      <c r="DN88" t="s">
        <v>169</v>
      </c>
      <c r="DO88">
        <v>38.700000000000003</v>
      </c>
      <c r="DP88" t="s">
        <v>299</v>
      </c>
      <c r="DQ88">
        <v>0.2</v>
      </c>
      <c r="DR88" t="s">
        <v>300</v>
      </c>
      <c r="DS88" t="s">
        <v>301</v>
      </c>
      <c r="DT88" t="s">
        <v>302</v>
      </c>
      <c r="DU88">
        <v>1.0271999999999999</v>
      </c>
      <c r="DV88" t="s">
        <v>170</v>
      </c>
      <c r="DW88" t="s">
        <v>170</v>
      </c>
      <c r="DX88" t="s">
        <v>177</v>
      </c>
      <c r="DY88" t="s">
        <v>170</v>
      </c>
      <c r="DZ88" t="s">
        <v>170</v>
      </c>
      <c r="EA88" t="s">
        <v>303</v>
      </c>
      <c r="EB88" t="s">
        <v>171</v>
      </c>
      <c r="EC88" t="s">
        <v>304</v>
      </c>
      <c r="ED88" t="s">
        <v>304</v>
      </c>
      <c r="EE88" t="s">
        <v>304</v>
      </c>
      <c r="EF88" t="s">
        <v>304</v>
      </c>
      <c r="EG88" t="s">
        <v>162</v>
      </c>
      <c r="EH88" t="s">
        <v>312</v>
      </c>
      <c r="EI88" t="s">
        <v>313</v>
      </c>
      <c r="EJ88" t="s">
        <v>314</v>
      </c>
      <c r="EK88" t="s">
        <v>307</v>
      </c>
      <c r="EL88" t="s">
        <v>307</v>
      </c>
      <c r="EM88" t="s">
        <v>307</v>
      </c>
      <c r="EN88" t="s">
        <v>307</v>
      </c>
      <c r="EO88">
        <v>6.25</v>
      </c>
      <c r="EP88" t="s">
        <v>299</v>
      </c>
      <c r="EQ88">
        <v>1</v>
      </c>
      <c r="ER88">
        <v>1</v>
      </c>
      <c r="ES88">
        <v>7.7865726747453801</v>
      </c>
      <c r="ET88" s="138" t="s">
        <v>174</v>
      </c>
      <c r="EU88" s="161">
        <v>3.7339968349779998E-2</v>
      </c>
      <c r="EV88" s="161">
        <v>3.7339968349779998E-2</v>
      </c>
      <c r="EW88" s="142">
        <v>845.43635373779205</v>
      </c>
      <c r="EX88" s="138">
        <v>0</v>
      </c>
      <c r="EY88" s="138" t="s">
        <v>308</v>
      </c>
      <c r="EZ88" s="142">
        <v>845.43635373779205</v>
      </c>
      <c r="FA88" s="142">
        <v>255.92243002919793</v>
      </c>
      <c r="FB88" s="142">
        <v>207.8108619927051</v>
      </c>
      <c r="FC88" s="164" t="s">
        <v>309</v>
      </c>
      <c r="FD88" t="s">
        <v>311</v>
      </c>
      <c r="FE88">
        <v>2248.6434498959502</v>
      </c>
      <c r="FF88">
        <v>401.19443092989798</v>
      </c>
      <c r="FG88">
        <v>364.42396637295298</v>
      </c>
      <c r="FH88">
        <v>2055.31998904182</v>
      </c>
      <c r="FI88">
        <v>396.07859782856201</v>
      </c>
      <c r="FJ88">
        <v>358.19312132381401</v>
      </c>
      <c r="FK88" t="s">
        <v>175</v>
      </c>
      <c r="FL88" t="s">
        <v>175</v>
      </c>
      <c r="FM88" t="s">
        <v>175</v>
      </c>
      <c r="FN88" t="s">
        <v>175</v>
      </c>
      <c r="FO88" t="s">
        <v>175</v>
      </c>
      <c r="FP88" t="s">
        <v>175</v>
      </c>
      <c r="FQ88" t="s">
        <v>319</v>
      </c>
    </row>
    <row r="89" spans="1:173">
      <c r="A89" s="128" t="s">
        <v>152</v>
      </c>
      <c r="B89" t="s">
        <v>156</v>
      </c>
      <c r="C89">
        <v>2020</v>
      </c>
      <c r="D89" t="s">
        <v>194</v>
      </c>
      <c r="E89" s="178">
        <v>40337.608337402344</v>
      </c>
      <c r="F89">
        <v>1</v>
      </c>
      <c r="G89">
        <v>1</v>
      </c>
      <c r="H89" s="132">
        <v>684.05834510796797</v>
      </c>
      <c r="I89" s="132">
        <v>197.32475519029003</v>
      </c>
      <c r="J89" s="132">
        <v>167.75483701613598</v>
      </c>
      <c r="K89" t="s">
        <v>157</v>
      </c>
      <c r="L89" s="133" t="s">
        <v>158</v>
      </c>
      <c r="M89" s="134" t="s">
        <v>195</v>
      </c>
      <c r="N89" t="s">
        <v>194</v>
      </c>
      <c r="O89" t="s">
        <v>197</v>
      </c>
      <c r="P89" t="s">
        <v>200</v>
      </c>
      <c r="Q89">
        <v>8</v>
      </c>
      <c r="R89">
        <v>7</v>
      </c>
      <c r="S89">
        <v>57</v>
      </c>
      <c r="T89">
        <v>58</v>
      </c>
      <c r="U89">
        <v>122.08</v>
      </c>
      <c r="V89">
        <v>143.64499999999998</v>
      </c>
      <c r="W89" t="s">
        <v>204</v>
      </c>
      <c r="X89" t="s">
        <v>208</v>
      </c>
      <c r="Y89" s="147">
        <v>-28.53295</v>
      </c>
      <c r="Z89" s="147">
        <v>2.7795670000000001</v>
      </c>
      <c r="AA89" s="147">
        <v>-38</v>
      </c>
      <c r="AB89" s="135" t="s">
        <v>162</v>
      </c>
      <c r="AC89" s="135">
        <v>-2717</v>
      </c>
      <c r="AD89" s="147">
        <v>-2000</v>
      </c>
      <c r="AE89" t="s">
        <v>213</v>
      </c>
      <c r="AF89" t="s">
        <v>160</v>
      </c>
      <c r="AG89" s="178">
        <v>40337.608337402344</v>
      </c>
      <c r="AH89" s="148" t="s">
        <v>215</v>
      </c>
      <c r="AI89">
        <v>1</v>
      </c>
      <c r="AJ89">
        <v>1</v>
      </c>
      <c r="AK89" t="s">
        <v>214</v>
      </c>
      <c r="AL89" t="s">
        <v>216</v>
      </c>
      <c r="AM89" s="136" t="s">
        <v>219</v>
      </c>
      <c r="AN89">
        <v>40.439437866210938</v>
      </c>
      <c r="AO89" t="s">
        <v>162</v>
      </c>
      <c r="AP89" t="s">
        <v>162</v>
      </c>
      <c r="AQ89" t="s">
        <v>162</v>
      </c>
      <c r="AR89" t="s">
        <v>214</v>
      </c>
      <c r="AS89" t="s">
        <v>220</v>
      </c>
      <c r="AT89" t="s">
        <v>222</v>
      </c>
      <c r="AU89" t="s">
        <v>229</v>
      </c>
      <c r="AV89" t="s">
        <v>230</v>
      </c>
      <c r="AW89" s="167">
        <v>244</v>
      </c>
      <c r="AX89" s="167">
        <v>3.8340000000000001</v>
      </c>
      <c r="AY89" s="148" t="s">
        <v>232</v>
      </c>
      <c r="AZ89" t="s">
        <v>163</v>
      </c>
      <c r="BA89" t="s">
        <v>164</v>
      </c>
      <c r="BB89" t="s">
        <v>270</v>
      </c>
      <c r="BC89">
        <v>2</v>
      </c>
      <c r="BD89" s="137">
        <v>0.1456040600394779</v>
      </c>
      <c r="BE89" s="145">
        <v>13.3472675749984</v>
      </c>
      <c r="BF89" t="s">
        <v>233</v>
      </c>
      <c r="BG89">
        <v>0.23554168323132299</v>
      </c>
      <c r="BH89">
        <v>0.95</v>
      </c>
      <c r="BI89" t="s">
        <v>281</v>
      </c>
      <c r="BJ89">
        <v>0.17</v>
      </c>
      <c r="BK89">
        <v>-0.42</v>
      </c>
      <c r="BL89" t="s">
        <v>282</v>
      </c>
      <c r="BM89">
        <v>2.85</v>
      </c>
      <c r="BN89" t="s">
        <v>285</v>
      </c>
      <c r="BO89" t="s">
        <v>284</v>
      </c>
      <c r="BP89" s="158">
        <v>14.5397578947368</v>
      </c>
      <c r="BQ89" t="s">
        <v>287</v>
      </c>
      <c r="BR89" s="160" t="s">
        <v>288</v>
      </c>
      <c r="BS89" t="s">
        <v>286</v>
      </c>
      <c r="BT89" t="s">
        <v>289</v>
      </c>
      <c r="BU89">
        <v>25</v>
      </c>
      <c r="BV89" t="s">
        <v>165</v>
      </c>
      <c r="BW89" t="s">
        <v>165</v>
      </c>
      <c r="BX89" s="145">
        <v>25.589366963967802</v>
      </c>
      <c r="BY89" t="s">
        <v>290</v>
      </c>
      <c r="BZ89" s="137">
        <v>0.69311456817288397</v>
      </c>
      <c r="CA89" s="137">
        <v>0.68623699370425595</v>
      </c>
      <c r="CB89" t="s">
        <v>291</v>
      </c>
      <c r="CC89">
        <v>2.8459356274786001</v>
      </c>
      <c r="CD89" t="s">
        <v>292</v>
      </c>
      <c r="CE89">
        <v>8.5378068824358E-2</v>
      </c>
      <c r="CF89">
        <v>8.5378068824358E-2</v>
      </c>
      <c r="CG89" t="s">
        <v>295</v>
      </c>
      <c r="CH89" t="s">
        <v>162</v>
      </c>
      <c r="CI89" t="s">
        <v>293</v>
      </c>
      <c r="CJ89" t="s">
        <v>296</v>
      </c>
      <c r="CK89" t="s">
        <v>165</v>
      </c>
      <c r="CL89" t="s">
        <v>165</v>
      </c>
      <c r="CM89" t="s">
        <v>294</v>
      </c>
      <c r="CN89" t="s">
        <v>162</v>
      </c>
      <c r="CO89" t="s">
        <v>162</v>
      </c>
      <c r="CP89" t="s">
        <v>162</v>
      </c>
      <c r="CQ89" t="s">
        <v>162</v>
      </c>
      <c r="CR89" t="s">
        <v>162</v>
      </c>
      <c r="CS89" t="s">
        <v>162</v>
      </c>
      <c r="CT89" t="s">
        <v>162</v>
      </c>
      <c r="CU89" s="139">
        <v>35</v>
      </c>
      <c r="CV89" t="s">
        <v>161</v>
      </c>
      <c r="CW89">
        <v>1</v>
      </c>
      <c r="CX89" t="s">
        <v>297</v>
      </c>
      <c r="CY89">
        <v>17</v>
      </c>
      <c r="CZ89" t="s">
        <v>170</v>
      </c>
      <c r="DA89" t="s">
        <v>170</v>
      </c>
      <c r="DB89" t="s">
        <v>298</v>
      </c>
      <c r="DC89">
        <v>38</v>
      </c>
      <c r="DD89" t="s">
        <v>170</v>
      </c>
      <c r="DE89" t="s">
        <v>170</v>
      </c>
      <c r="DF89" t="s">
        <v>298</v>
      </c>
      <c r="DG89" t="s">
        <v>166</v>
      </c>
      <c r="DH89" t="s">
        <v>167</v>
      </c>
      <c r="DI89" t="s">
        <v>167</v>
      </c>
      <c r="DJ89" t="s">
        <v>167</v>
      </c>
      <c r="DK89" s="136">
        <v>432.56244218316402</v>
      </c>
      <c r="DL89" t="s">
        <v>168</v>
      </c>
      <c r="DM89" s="136">
        <v>12.358926919523601</v>
      </c>
      <c r="DN89" t="s">
        <v>169</v>
      </c>
      <c r="DO89">
        <v>38.700000000000003</v>
      </c>
      <c r="DP89" t="s">
        <v>299</v>
      </c>
      <c r="DQ89">
        <v>0.2</v>
      </c>
      <c r="DR89" t="s">
        <v>300</v>
      </c>
      <c r="DS89" t="s">
        <v>301</v>
      </c>
      <c r="DT89" t="s">
        <v>302</v>
      </c>
      <c r="DU89">
        <v>1.0271999999999999</v>
      </c>
      <c r="DV89" t="s">
        <v>170</v>
      </c>
      <c r="DW89" t="s">
        <v>170</v>
      </c>
      <c r="DX89" t="s">
        <v>177</v>
      </c>
      <c r="DY89" t="s">
        <v>170</v>
      </c>
      <c r="DZ89" t="s">
        <v>170</v>
      </c>
      <c r="EA89" t="s">
        <v>303</v>
      </c>
      <c r="EB89" t="s">
        <v>171</v>
      </c>
      <c r="EC89" t="s">
        <v>304</v>
      </c>
      <c r="ED89" t="s">
        <v>304</v>
      </c>
      <c r="EE89" t="s">
        <v>304</v>
      </c>
      <c r="EF89" t="s">
        <v>304</v>
      </c>
      <c r="EG89" t="s">
        <v>162</v>
      </c>
      <c r="EH89" t="s">
        <v>312</v>
      </c>
      <c r="EI89" t="s">
        <v>313</v>
      </c>
      <c r="EJ89" t="s">
        <v>314</v>
      </c>
      <c r="EK89" t="s">
        <v>307</v>
      </c>
      <c r="EL89" t="s">
        <v>307</v>
      </c>
      <c r="EM89" t="s">
        <v>307</v>
      </c>
      <c r="EN89" t="s">
        <v>307</v>
      </c>
      <c r="EO89">
        <v>6.25</v>
      </c>
      <c r="EP89" t="s">
        <v>299</v>
      </c>
      <c r="EQ89">
        <v>1</v>
      </c>
      <c r="ER89">
        <v>1</v>
      </c>
      <c r="ES89">
        <v>7.8253180510930296</v>
      </c>
      <c r="ET89" s="138" t="s">
        <v>174</v>
      </c>
      <c r="EU89" s="161">
        <v>3.37759287966116E-2</v>
      </c>
      <c r="EV89" s="161">
        <v>3.37759287966116E-2</v>
      </c>
      <c r="EW89" s="142">
        <v>684.05834510796797</v>
      </c>
      <c r="EX89" s="138">
        <v>0</v>
      </c>
      <c r="EY89" s="138" t="s">
        <v>308</v>
      </c>
      <c r="EZ89" s="142">
        <v>684.05834510796797</v>
      </c>
      <c r="FA89" s="142">
        <v>197.32475519029003</v>
      </c>
      <c r="FB89" s="142">
        <v>167.75483701613598</v>
      </c>
      <c r="FC89" s="164" t="s">
        <v>309</v>
      </c>
      <c r="FD89" t="s">
        <v>311</v>
      </c>
      <c r="FE89">
        <v>2220.4675009676798</v>
      </c>
      <c r="FF89">
        <v>419.77707739713202</v>
      </c>
      <c r="FG89">
        <v>404.20521031621303</v>
      </c>
      <c r="FH89">
        <v>2032.6984599310799</v>
      </c>
      <c r="FI89">
        <v>407.80049230656698</v>
      </c>
      <c r="FJ89">
        <v>390.37496578127599</v>
      </c>
      <c r="FK89" t="s">
        <v>175</v>
      </c>
      <c r="FL89" t="s">
        <v>175</v>
      </c>
      <c r="FM89" t="s">
        <v>175</v>
      </c>
      <c r="FN89" t="s">
        <v>175</v>
      </c>
      <c r="FO89" t="s">
        <v>175</v>
      </c>
      <c r="FP89" t="s">
        <v>175</v>
      </c>
      <c r="FQ89" t="s">
        <v>319</v>
      </c>
    </row>
    <row r="90" spans="1:173">
      <c r="A90" s="128" t="s">
        <v>152</v>
      </c>
      <c r="B90" t="s">
        <v>156</v>
      </c>
      <c r="C90">
        <v>2020</v>
      </c>
      <c r="D90" t="s">
        <v>194</v>
      </c>
      <c r="E90" s="178">
        <v>40725.719451904297</v>
      </c>
      <c r="F90">
        <v>1</v>
      </c>
      <c r="G90">
        <v>1</v>
      </c>
      <c r="H90" s="132">
        <v>601.82009859110303</v>
      </c>
      <c r="I90" s="132">
        <v>164.65559747761199</v>
      </c>
      <c r="J90" s="132">
        <v>136.38032425877304</v>
      </c>
      <c r="K90" t="s">
        <v>157</v>
      </c>
      <c r="L90" s="133" t="s">
        <v>158</v>
      </c>
      <c r="M90" s="134" t="s">
        <v>195</v>
      </c>
      <c r="N90" t="s">
        <v>194</v>
      </c>
      <c r="O90" t="s">
        <v>197</v>
      </c>
      <c r="P90" t="s">
        <v>200</v>
      </c>
      <c r="Q90">
        <v>9</v>
      </c>
      <c r="R90">
        <v>1</v>
      </c>
      <c r="S90">
        <v>79</v>
      </c>
      <c r="T90">
        <v>91</v>
      </c>
      <c r="U90">
        <v>122.91</v>
      </c>
      <c r="V90">
        <v>146.07999999999998</v>
      </c>
      <c r="W90" t="s">
        <v>204</v>
      </c>
      <c r="X90" t="s">
        <v>208</v>
      </c>
      <c r="Y90" s="147">
        <v>-28.53295</v>
      </c>
      <c r="Z90" s="147">
        <v>2.7795670000000001</v>
      </c>
      <c r="AA90" s="147">
        <v>-38</v>
      </c>
      <c r="AB90" s="135" t="s">
        <v>162</v>
      </c>
      <c r="AC90" s="135">
        <v>-2717</v>
      </c>
      <c r="AD90" s="147">
        <v>-2000</v>
      </c>
      <c r="AE90" t="s">
        <v>213</v>
      </c>
      <c r="AF90" t="s">
        <v>160</v>
      </c>
      <c r="AG90" s="178">
        <v>40725.719451904297</v>
      </c>
      <c r="AH90" s="148" t="s">
        <v>215</v>
      </c>
      <c r="AI90">
        <v>1</v>
      </c>
      <c r="AJ90">
        <v>1</v>
      </c>
      <c r="AK90" t="s">
        <v>214</v>
      </c>
      <c r="AL90" t="s">
        <v>216</v>
      </c>
      <c r="AM90" s="136" t="s">
        <v>219</v>
      </c>
      <c r="AN90">
        <v>40.612617492675781</v>
      </c>
      <c r="AO90" t="s">
        <v>162</v>
      </c>
      <c r="AP90" t="s">
        <v>162</v>
      </c>
      <c r="AQ90" t="s">
        <v>162</v>
      </c>
      <c r="AR90" t="s">
        <v>214</v>
      </c>
      <c r="AS90" t="s">
        <v>220</v>
      </c>
      <c r="AT90" t="s">
        <v>222</v>
      </c>
      <c r="AU90" t="s">
        <v>229</v>
      </c>
      <c r="AV90" t="s">
        <v>230</v>
      </c>
      <c r="AW90" s="167">
        <v>221</v>
      </c>
      <c r="AX90" s="167">
        <v>2.4660000000000002</v>
      </c>
      <c r="AY90" s="148" t="s">
        <v>232</v>
      </c>
      <c r="AZ90" t="s">
        <v>163</v>
      </c>
      <c r="BA90" t="s">
        <v>164</v>
      </c>
      <c r="BB90" t="s">
        <v>271</v>
      </c>
      <c r="BC90">
        <v>2</v>
      </c>
      <c r="BD90" s="137">
        <v>6.8989552934528575E-2</v>
      </c>
      <c r="BE90" s="145">
        <v>13.695045156115199</v>
      </c>
      <c r="BF90" t="s">
        <v>233</v>
      </c>
      <c r="BG90">
        <v>0.247946121043088</v>
      </c>
      <c r="BH90">
        <v>0.95</v>
      </c>
      <c r="BI90" t="s">
        <v>281</v>
      </c>
      <c r="BJ90">
        <v>0.17</v>
      </c>
      <c r="BK90">
        <v>-0.42</v>
      </c>
      <c r="BL90" t="s">
        <v>282</v>
      </c>
      <c r="BM90">
        <v>2.85</v>
      </c>
      <c r="BN90" t="s">
        <v>285</v>
      </c>
      <c r="BO90" t="s">
        <v>284</v>
      </c>
      <c r="BP90" s="158">
        <v>14.905842105263201</v>
      </c>
      <c r="BQ90" t="s">
        <v>287</v>
      </c>
      <c r="BR90" s="160" t="s">
        <v>288</v>
      </c>
      <c r="BS90" t="s">
        <v>286</v>
      </c>
      <c r="BT90" t="s">
        <v>289</v>
      </c>
      <c r="BU90">
        <v>25</v>
      </c>
      <c r="BV90" t="s">
        <v>165</v>
      </c>
      <c r="BW90" t="s">
        <v>165</v>
      </c>
      <c r="BX90" s="145">
        <v>25.370628608346902</v>
      </c>
      <c r="BY90" t="s">
        <v>290</v>
      </c>
      <c r="BZ90" s="137">
        <v>0.60699744582984405</v>
      </c>
      <c r="CA90" s="137">
        <v>0.66821520210816499</v>
      </c>
      <c r="CB90" t="s">
        <v>291</v>
      </c>
      <c r="CC90">
        <v>2.7233608374904801</v>
      </c>
      <c r="CD90" t="s">
        <v>292</v>
      </c>
      <c r="CE90">
        <v>8.1700825124714396E-2</v>
      </c>
      <c r="CF90">
        <v>8.1700825124714396E-2</v>
      </c>
      <c r="CG90" t="s">
        <v>295</v>
      </c>
      <c r="CH90" t="s">
        <v>162</v>
      </c>
      <c r="CI90" t="s">
        <v>293</v>
      </c>
      <c r="CJ90" t="s">
        <v>296</v>
      </c>
      <c r="CK90" t="s">
        <v>165</v>
      </c>
      <c r="CL90" t="s">
        <v>165</v>
      </c>
      <c r="CM90" t="s">
        <v>294</v>
      </c>
      <c r="CN90" t="s">
        <v>162</v>
      </c>
      <c r="CO90" t="s">
        <v>162</v>
      </c>
      <c r="CP90" t="s">
        <v>162</v>
      </c>
      <c r="CQ90" t="s">
        <v>162</v>
      </c>
      <c r="CR90" t="s">
        <v>162</v>
      </c>
      <c r="CS90" t="s">
        <v>162</v>
      </c>
      <c r="CT90" t="s">
        <v>162</v>
      </c>
      <c r="CU90" s="139">
        <v>35</v>
      </c>
      <c r="CV90" t="s">
        <v>161</v>
      </c>
      <c r="CW90">
        <v>1</v>
      </c>
      <c r="CX90" t="s">
        <v>297</v>
      </c>
      <c r="CY90">
        <v>17</v>
      </c>
      <c r="CZ90" t="s">
        <v>170</v>
      </c>
      <c r="DA90" t="s">
        <v>170</v>
      </c>
      <c r="DB90" t="s">
        <v>298</v>
      </c>
      <c r="DC90">
        <v>38</v>
      </c>
      <c r="DD90" t="s">
        <v>170</v>
      </c>
      <c r="DE90" t="s">
        <v>170</v>
      </c>
      <c r="DF90" t="s">
        <v>298</v>
      </c>
      <c r="DG90" t="s">
        <v>166</v>
      </c>
      <c r="DH90" t="s">
        <v>167</v>
      </c>
      <c r="DI90" t="s">
        <v>167</v>
      </c>
      <c r="DJ90" t="s">
        <v>167</v>
      </c>
      <c r="DK90" s="136">
        <v>432.56244218316402</v>
      </c>
      <c r="DL90" t="s">
        <v>168</v>
      </c>
      <c r="DM90" s="136">
        <v>12.3589269195238</v>
      </c>
      <c r="DN90" t="s">
        <v>169</v>
      </c>
      <c r="DO90">
        <v>38.700000000000003</v>
      </c>
      <c r="DP90" t="s">
        <v>299</v>
      </c>
      <c r="DQ90">
        <v>0.2</v>
      </c>
      <c r="DR90" t="s">
        <v>300</v>
      </c>
      <c r="DS90" t="s">
        <v>301</v>
      </c>
      <c r="DT90" t="s">
        <v>302</v>
      </c>
      <c r="DU90">
        <v>1.0271999999999999</v>
      </c>
      <c r="DV90" t="s">
        <v>170</v>
      </c>
      <c r="DW90" t="s">
        <v>170</v>
      </c>
      <c r="DX90" t="s">
        <v>177</v>
      </c>
      <c r="DY90" t="s">
        <v>170</v>
      </c>
      <c r="DZ90" t="s">
        <v>170</v>
      </c>
      <c r="EA90" t="s">
        <v>303</v>
      </c>
      <c r="EB90" t="s">
        <v>171</v>
      </c>
      <c r="EC90" t="s">
        <v>304</v>
      </c>
      <c r="ED90" t="s">
        <v>304</v>
      </c>
      <c r="EE90" t="s">
        <v>304</v>
      </c>
      <c r="EF90" t="s">
        <v>304</v>
      </c>
      <c r="EG90" t="s">
        <v>162</v>
      </c>
      <c r="EH90" t="s">
        <v>312</v>
      </c>
      <c r="EI90" t="s">
        <v>313</v>
      </c>
      <c r="EJ90" t="s">
        <v>314</v>
      </c>
      <c r="EK90" t="s">
        <v>307</v>
      </c>
      <c r="EL90" t="s">
        <v>307</v>
      </c>
      <c r="EM90" t="s">
        <v>307</v>
      </c>
      <c r="EN90" t="s">
        <v>307</v>
      </c>
      <c r="EO90">
        <v>6.25</v>
      </c>
      <c r="EP90" t="s">
        <v>299</v>
      </c>
      <c r="EQ90">
        <v>1</v>
      </c>
      <c r="ER90">
        <v>1</v>
      </c>
      <c r="ES90">
        <v>7.8781111741229797</v>
      </c>
      <c r="ET90" s="138" t="s">
        <v>174</v>
      </c>
      <c r="EU90" s="161">
        <v>3.0441527258193199E-2</v>
      </c>
      <c r="EV90" s="161">
        <v>3.0441527258193199E-2</v>
      </c>
      <c r="EW90" s="142">
        <v>601.82009859110303</v>
      </c>
      <c r="EX90" s="138">
        <v>0</v>
      </c>
      <c r="EY90" s="138" t="s">
        <v>308</v>
      </c>
      <c r="EZ90" s="142">
        <v>601.82009859110303</v>
      </c>
      <c r="FA90" s="142">
        <v>164.65559747761199</v>
      </c>
      <c r="FB90" s="142">
        <v>136.38032425877304</v>
      </c>
      <c r="FC90" s="164" t="s">
        <v>309</v>
      </c>
      <c r="FD90" t="s">
        <v>311</v>
      </c>
      <c r="FE90">
        <v>1971.4087077924301</v>
      </c>
      <c r="FF90">
        <v>328.96830259157002</v>
      </c>
      <c r="FG90">
        <v>299.04656435183898</v>
      </c>
      <c r="FH90">
        <v>1762.8410615037999</v>
      </c>
      <c r="FI90">
        <v>317.418061283334</v>
      </c>
      <c r="FJ90">
        <v>292.55835221362702</v>
      </c>
      <c r="FK90" t="s">
        <v>175</v>
      </c>
      <c r="FL90" t="s">
        <v>175</v>
      </c>
      <c r="FM90" t="s">
        <v>175</v>
      </c>
      <c r="FN90" t="s">
        <v>175</v>
      </c>
      <c r="FO90" t="s">
        <v>175</v>
      </c>
      <c r="FP90" t="s">
        <v>175</v>
      </c>
      <c r="FQ90" t="s">
        <v>319</v>
      </c>
    </row>
    <row r="91" spans="1:173">
      <c r="A91" s="128" t="s">
        <v>152</v>
      </c>
      <c r="B91" t="s">
        <v>156</v>
      </c>
      <c r="C91">
        <v>2020</v>
      </c>
      <c r="D91" t="s">
        <v>194</v>
      </c>
      <c r="E91" s="178">
        <v>41064.14794921875</v>
      </c>
      <c r="F91">
        <v>1</v>
      </c>
      <c r="G91">
        <v>1</v>
      </c>
      <c r="H91" s="132">
        <v>571.53686521976795</v>
      </c>
      <c r="I91" s="132">
        <v>152.75511042997402</v>
      </c>
      <c r="J91" s="132">
        <v>117.75360747760396</v>
      </c>
      <c r="K91" t="s">
        <v>157</v>
      </c>
      <c r="L91" s="133" t="s">
        <v>158</v>
      </c>
      <c r="M91" s="134" t="s">
        <v>195</v>
      </c>
      <c r="N91" t="s">
        <v>194</v>
      </c>
      <c r="O91" t="s">
        <v>197</v>
      </c>
      <c r="P91" t="s">
        <v>200</v>
      </c>
      <c r="Q91">
        <v>9</v>
      </c>
      <c r="R91">
        <v>3</v>
      </c>
      <c r="S91">
        <v>0</v>
      </c>
      <c r="T91">
        <v>12</v>
      </c>
      <c r="U91">
        <v>125.12</v>
      </c>
      <c r="V91">
        <v>148.29</v>
      </c>
      <c r="W91" t="s">
        <v>204</v>
      </c>
      <c r="X91" t="s">
        <v>208</v>
      </c>
      <c r="Y91" s="147">
        <v>-28.53295</v>
      </c>
      <c r="Z91" s="147">
        <v>2.7795670000000001</v>
      </c>
      <c r="AA91" s="147">
        <v>-38</v>
      </c>
      <c r="AB91" s="135" t="s">
        <v>162</v>
      </c>
      <c r="AC91" s="135">
        <v>-2717</v>
      </c>
      <c r="AD91" s="147">
        <v>-2000</v>
      </c>
      <c r="AE91" t="s">
        <v>213</v>
      </c>
      <c r="AF91" t="s">
        <v>160</v>
      </c>
      <c r="AG91" s="178">
        <v>41064.14794921875</v>
      </c>
      <c r="AH91" s="148" t="s">
        <v>215</v>
      </c>
      <c r="AI91">
        <v>1</v>
      </c>
      <c r="AJ91">
        <v>1</v>
      </c>
      <c r="AK91" t="s">
        <v>214</v>
      </c>
      <c r="AL91" t="s">
        <v>216</v>
      </c>
      <c r="AM91" s="136" t="s">
        <v>219</v>
      </c>
      <c r="AN91">
        <v>40.847396850585938</v>
      </c>
      <c r="AO91" t="s">
        <v>162</v>
      </c>
      <c r="AP91" t="s">
        <v>162</v>
      </c>
      <c r="AQ91" t="s">
        <v>162</v>
      </c>
      <c r="AR91" t="s">
        <v>214</v>
      </c>
      <c r="AS91" t="s">
        <v>220</v>
      </c>
      <c r="AT91" t="s">
        <v>222</v>
      </c>
      <c r="AU91" t="s">
        <v>229</v>
      </c>
      <c r="AV91" t="s">
        <v>230</v>
      </c>
      <c r="AW91" s="167">
        <v>225</v>
      </c>
      <c r="AX91" s="167">
        <v>3.2509999999999999</v>
      </c>
      <c r="AY91" s="148" t="s">
        <v>232</v>
      </c>
      <c r="AZ91" t="s">
        <v>163</v>
      </c>
      <c r="BA91" t="s">
        <v>164</v>
      </c>
      <c r="BB91" t="s">
        <v>276</v>
      </c>
      <c r="BC91">
        <v>2</v>
      </c>
      <c r="BD91" s="137">
        <v>0.23947269235404534</v>
      </c>
      <c r="BE91" s="145">
        <v>13.599735772391901</v>
      </c>
      <c r="BF91" t="s">
        <v>233</v>
      </c>
      <c r="BG91">
        <v>0.237604306714638</v>
      </c>
      <c r="BH91">
        <v>0.95</v>
      </c>
      <c r="BI91" t="s">
        <v>281</v>
      </c>
      <c r="BJ91">
        <v>0.17</v>
      </c>
      <c r="BK91">
        <v>-0.42</v>
      </c>
      <c r="BL91" t="s">
        <v>282</v>
      </c>
      <c r="BM91">
        <v>2.85</v>
      </c>
      <c r="BN91" t="s">
        <v>285</v>
      </c>
      <c r="BO91" t="s">
        <v>284</v>
      </c>
      <c r="BP91" s="158">
        <v>14.8055157894737</v>
      </c>
      <c r="BQ91" t="s">
        <v>287</v>
      </c>
      <c r="BR91" s="160" t="s">
        <v>288</v>
      </c>
      <c r="BS91" t="s">
        <v>286</v>
      </c>
      <c r="BT91" t="s">
        <v>289</v>
      </c>
      <c r="BU91">
        <v>25</v>
      </c>
      <c r="BV91" t="s">
        <v>165</v>
      </c>
      <c r="BW91" t="s">
        <v>165</v>
      </c>
      <c r="BX91" s="145">
        <v>25.922816213175</v>
      </c>
      <c r="BY91" t="s">
        <v>290</v>
      </c>
      <c r="BZ91" s="137">
        <v>0.62116751413117699</v>
      </c>
      <c r="CA91" s="137">
        <v>0.6403086236012</v>
      </c>
      <c r="CB91" t="s">
        <v>291</v>
      </c>
      <c r="CC91">
        <v>2.8420855064726198</v>
      </c>
      <c r="CD91" t="s">
        <v>292</v>
      </c>
      <c r="CE91">
        <v>8.5262565194178588E-2</v>
      </c>
      <c r="CF91">
        <v>8.5262565194178588E-2</v>
      </c>
      <c r="CG91" t="s">
        <v>295</v>
      </c>
      <c r="CH91" t="s">
        <v>162</v>
      </c>
      <c r="CI91" t="s">
        <v>293</v>
      </c>
      <c r="CJ91" t="s">
        <v>296</v>
      </c>
      <c r="CK91" t="s">
        <v>165</v>
      </c>
      <c r="CL91" t="s">
        <v>165</v>
      </c>
      <c r="CM91" t="s">
        <v>294</v>
      </c>
      <c r="CN91" t="s">
        <v>162</v>
      </c>
      <c r="CO91" t="s">
        <v>162</v>
      </c>
      <c r="CP91" t="s">
        <v>162</v>
      </c>
      <c r="CQ91" t="s">
        <v>162</v>
      </c>
      <c r="CR91" t="s">
        <v>162</v>
      </c>
      <c r="CS91" t="s">
        <v>162</v>
      </c>
      <c r="CT91" t="s">
        <v>162</v>
      </c>
      <c r="CU91" s="139">
        <v>35</v>
      </c>
      <c r="CV91" t="s">
        <v>161</v>
      </c>
      <c r="CW91">
        <v>1</v>
      </c>
      <c r="CX91" t="s">
        <v>297</v>
      </c>
      <c r="CY91">
        <v>17</v>
      </c>
      <c r="CZ91" t="s">
        <v>170</v>
      </c>
      <c r="DA91" t="s">
        <v>170</v>
      </c>
      <c r="DB91" t="s">
        <v>298</v>
      </c>
      <c r="DC91">
        <v>38</v>
      </c>
      <c r="DD91" t="s">
        <v>170</v>
      </c>
      <c r="DE91" t="s">
        <v>170</v>
      </c>
      <c r="DF91" t="s">
        <v>298</v>
      </c>
      <c r="DG91" t="s">
        <v>166</v>
      </c>
      <c r="DH91" t="s">
        <v>167</v>
      </c>
      <c r="DI91" t="s">
        <v>167</v>
      </c>
      <c r="DJ91" t="s">
        <v>167</v>
      </c>
      <c r="DK91" s="136">
        <v>432.56244218316402</v>
      </c>
      <c r="DL91" t="s">
        <v>168</v>
      </c>
      <c r="DM91" s="136">
        <v>12.358926919523901</v>
      </c>
      <c r="DN91" t="s">
        <v>169</v>
      </c>
      <c r="DO91">
        <v>38.700000000000003</v>
      </c>
      <c r="DP91" t="s">
        <v>299</v>
      </c>
      <c r="DQ91">
        <v>0.2</v>
      </c>
      <c r="DR91" t="s">
        <v>300</v>
      </c>
      <c r="DS91" t="s">
        <v>301</v>
      </c>
      <c r="DT91" t="s">
        <v>302</v>
      </c>
      <c r="DU91">
        <v>1.0271999999999999</v>
      </c>
      <c r="DV91" t="s">
        <v>170</v>
      </c>
      <c r="DW91" t="s">
        <v>170</v>
      </c>
      <c r="DX91" t="s">
        <v>177</v>
      </c>
      <c r="DY91" t="s">
        <v>170</v>
      </c>
      <c r="DZ91" t="s">
        <v>170</v>
      </c>
      <c r="EA91" t="s">
        <v>303</v>
      </c>
      <c r="EB91" t="s">
        <v>171</v>
      </c>
      <c r="EC91" t="s">
        <v>304</v>
      </c>
      <c r="ED91" t="s">
        <v>304</v>
      </c>
      <c r="EE91" t="s">
        <v>304</v>
      </c>
      <c r="EF91" t="s">
        <v>304</v>
      </c>
      <c r="EG91" t="s">
        <v>162</v>
      </c>
      <c r="EH91" t="s">
        <v>312</v>
      </c>
      <c r="EI91" t="s">
        <v>313</v>
      </c>
      <c r="EJ91" t="s">
        <v>314</v>
      </c>
      <c r="EK91" t="s">
        <v>307</v>
      </c>
      <c r="EL91" t="s">
        <v>307</v>
      </c>
      <c r="EM91" t="s">
        <v>307</v>
      </c>
      <c r="EN91" t="s">
        <v>307</v>
      </c>
      <c r="EO91">
        <v>6.25</v>
      </c>
      <c r="EP91" t="s">
        <v>299</v>
      </c>
      <c r="EQ91">
        <v>1</v>
      </c>
      <c r="ER91">
        <v>1</v>
      </c>
      <c r="ES91">
        <v>7.8600529990689303</v>
      </c>
      <c r="ET91" s="138" t="s">
        <v>174</v>
      </c>
      <c r="EU91" s="161">
        <v>3.2236389793429902E-2</v>
      </c>
      <c r="EV91" s="161">
        <v>3.2236389793429902E-2</v>
      </c>
      <c r="EW91" s="142">
        <v>571.53686521976795</v>
      </c>
      <c r="EX91" s="138">
        <v>0</v>
      </c>
      <c r="EY91" s="138" t="s">
        <v>308</v>
      </c>
      <c r="EZ91" s="142">
        <v>571.53686521976795</v>
      </c>
      <c r="FA91" s="142">
        <v>152.75511042997402</v>
      </c>
      <c r="FB91" s="142">
        <v>117.75360747760396</v>
      </c>
      <c r="FC91" s="164" t="s">
        <v>309</v>
      </c>
      <c r="FD91" t="s">
        <v>311</v>
      </c>
      <c r="FE91">
        <v>1838.0328711132699</v>
      </c>
      <c r="FF91">
        <v>291.13103293530901</v>
      </c>
      <c r="FG91">
        <v>248.10615674383399</v>
      </c>
      <c r="FH91">
        <v>1619.9195750546401</v>
      </c>
      <c r="FI91">
        <v>285.802822337848</v>
      </c>
      <c r="FJ91">
        <v>235.51134402373199</v>
      </c>
      <c r="FK91" t="s">
        <v>175</v>
      </c>
      <c r="FL91" t="s">
        <v>175</v>
      </c>
      <c r="FM91" t="s">
        <v>175</v>
      </c>
      <c r="FN91" t="s">
        <v>175</v>
      </c>
      <c r="FO91" t="s">
        <v>175</v>
      </c>
      <c r="FP91" t="s">
        <v>175</v>
      </c>
      <c r="FQ91" t="s">
        <v>319</v>
      </c>
    </row>
    <row r="1048575" spans="29:29">
      <c r="AC1048575" s="135"/>
    </row>
  </sheetData>
  <hyperlinks>
    <hyperlink ref="L4" r:id="rId1" xr:uid="{49ED00E3-8197-4A42-B4FB-77DFF3315B0A}"/>
    <hyperlink ref="L5" r:id="rId2" xr:uid="{6EB865B7-4626-BE42-A4F4-CCDF7B62BDF3}"/>
    <hyperlink ref="L6" r:id="rId3" xr:uid="{5ED70ACA-696B-DC40-B534-5A760EADBEDA}"/>
    <hyperlink ref="L7" r:id="rId4" xr:uid="{3653F80B-2876-B44F-8829-7F7A4F12FFA3}"/>
    <hyperlink ref="L9" r:id="rId5" xr:uid="{AE674CE1-DABD-3C46-8D1F-0C78191E9AF6}"/>
    <hyperlink ref="L11" r:id="rId6" xr:uid="{2A9F5873-77D1-AE4F-8386-F6D5D59AA381}"/>
    <hyperlink ref="L13" r:id="rId7" xr:uid="{B4F10F45-E503-8648-BDC2-70CAB0F12F1E}"/>
    <hyperlink ref="L15" r:id="rId8" xr:uid="{8EF2D28B-6831-0D41-96DE-AA03626E62C6}"/>
    <hyperlink ref="L17" r:id="rId9" xr:uid="{FE6E677C-B82C-0344-8879-93BD412844B7}"/>
    <hyperlink ref="L19" r:id="rId10" xr:uid="{C274BDAD-BDD7-FE46-8D49-591A81A28A05}"/>
    <hyperlink ref="L21" r:id="rId11" xr:uid="{A84952D3-6A72-1649-A665-6199DB7DB48C}"/>
    <hyperlink ref="L23" r:id="rId12" xr:uid="{A4AE33CB-5604-5142-A954-81EF8AF42216}"/>
    <hyperlink ref="L25" r:id="rId13" xr:uid="{F3273F53-B4C0-BC47-8FEE-A47852F1E412}"/>
    <hyperlink ref="L27" r:id="rId14" xr:uid="{CAF14B26-57C9-BA4B-B063-98339B2B3651}"/>
    <hyperlink ref="L29" r:id="rId15" xr:uid="{4B11A7ED-9154-B04A-ADAD-BD141C02C7EA}"/>
    <hyperlink ref="L31" r:id="rId16" xr:uid="{BFD00270-D755-1242-8E2E-AD29891FE145}"/>
    <hyperlink ref="L33" r:id="rId17" xr:uid="{52ACC307-7300-8A4E-A83A-9BD4D1D90FA4}"/>
    <hyperlink ref="L35" r:id="rId18" xr:uid="{522D365C-23F2-2C40-842E-BD8AC7166A52}"/>
    <hyperlink ref="L37" r:id="rId19" xr:uid="{F63BBF08-AFE8-B647-8AC1-C4588D1DE4E4}"/>
    <hyperlink ref="L39" r:id="rId20" xr:uid="{968CAC90-42F8-8A42-BA18-E68617A1C7ED}"/>
    <hyperlink ref="L41" r:id="rId21" xr:uid="{6875B594-1240-C14A-A178-FC141FFBC5A7}"/>
    <hyperlink ref="L43" r:id="rId22" xr:uid="{DA223DF6-2325-D244-A8D3-0814173AAD13}"/>
    <hyperlink ref="L45" r:id="rId23" xr:uid="{B3F28A04-E4D7-2145-8AC7-4749CEB741F1}"/>
    <hyperlink ref="L47" r:id="rId24" xr:uid="{29E166A4-2BD1-3A41-86D0-8C39EF5BE850}"/>
    <hyperlink ref="L8" r:id="rId25" xr:uid="{05C58774-821B-CD44-AB29-29832437F85B}"/>
    <hyperlink ref="L10" r:id="rId26" xr:uid="{81D6C122-C453-5F46-A17B-B8787AA22F98}"/>
    <hyperlink ref="L12" r:id="rId27" xr:uid="{D48E41A8-4D2B-D240-925F-6F5BAC3C1825}"/>
    <hyperlink ref="L14" r:id="rId28" xr:uid="{A4EA5844-A920-9D4D-BB5F-C0E3C77CB654}"/>
    <hyperlink ref="L16" r:id="rId29" xr:uid="{98CF7DA9-2408-554E-AA37-B4965607848B}"/>
    <hyperlink ref="L18" r:id="rId30" xr:uid="{CE8F46B9-3984-F244-A085-B30F08509D59}"/>
    <hyperlink ref="L20" r:id="rId31" xr:uid="{D517DA36-F0ED-F044-ADAB-F0B3871D81B4}"/>
    <hyperlink ref="L22" r:id="rId32" xr:uid="{3E680CA7-088B-AD49-BAE6-BE8902D2EDA2}"/>
    <hyperlink ref="L24" r:id="rId33" xr:uid="{0FA90136-8C68-8B44-8F0B-9F1DCA50F26D}"/>
    <hyperlink ref="L26" r:id="rId34" xr:uid="{684A4D89-A15D-D741-8422-A7AA7B3077FB}"/>
    <hyperlink ref="L28" r:id="rId35" xr:uid="{302E7200-91C1-3048-B501-93F3799FC0B1}"/>
    <hyperlink ref="L30" r:id="rId36" xr:uid="{8299C5DA-BF0F-D343-8A65-ECC1B2BF64D0}"/>
    <hyperlink ref="L32" r:id="rId37" xr:uid="{90E6B31E-61C3-7D4A-9DA3-BC7A023F1947}"/>
    <hyperlink ref="L34" r:id="rId38" xr:uid="{9255BE89-DA17-7347-8FC0-E61E7E05CC71}"/>
    <hyperlink ref="L36" r:id="rId39" xr:uid="{324CAAD0-0605-AB49-A8C3-36807B463FAF}"/>
    <hyperlink ref="L38" r:id="rId40" xr:uid="{D5B4818A-2961-6241-B22E-47E82F00D9BE}"/>
    <hyperlink ref="L40" r:id="rId41" xr:uid="{7A44AC3C-7E5E-794D-9CB9-10F8AE947F9C}"/>
    <hyperlink ref="L42" r:id="rId42" xr:uid="{81ECD779-1D43-714C-99D5-30AC6CCC42BA}"/>
    <hyperlink ref="L44" r:id="rId43" xr:uid="{68009206-F711-1346-A1AC-3E8824AA842B}"/>
    <hyperlink ref="L46" r:id="rId44" xr:uid="{14B5779E-A3B3-9F40-821A-8D138CBE7BE9}"/>
    <hyperlink ref="L48" r:id="rId45" xr:uid="{C3D497C8-32F5-2B4C-95AF-72F96331E7A1}"/>
    <hyperlink ref="L49" r:id="rId46" xr:uid="{FA3042D3-0E11-9347-801D-50C631916EFA}"/>
    <hyperlink ref="L50" r:id="rId47" xr:uid="{D94A12E1-E246-DB48-A1EE-01977DE7E2FB}"/>
    <hyperlink ref="L51" r:id="rId48" xr:uid="{E39B2D4A-350B-7B4F-933A-CEBFA827E143}"/>
    <hyperlink ref="L53" r:id="rId49" xr:uid="{90888564-AFA6-DD44-9E0C-43BD424BEE48}"/>
    <hyperlink ref="L55" r:id="rId50" xr:uid="{F90BD86F-39F3-DD49-8140-7B080D1A8BA6}"/>
    <hyperlink ref="L57" r:id="rId51" xr:uid="{B0AE4F48-65A2-ED4D-A316-DDC4F489A91B}"/>
    <hyperlink ref="L59" r:id="rId52" xr:uid="{26A80270-8950-ED4C-BCE7-47E66902E926}"/>
    <hyperlink ref="L61" r:id="rId53" xr:uid="{E1F8B574-D883-F547-9449-F5DDD6CBC613}"/>
    <hyperlink ref="L63" r:id="rId54" xr:uid="{45EAADFF-A726-0E4C-940A-3245F7A562DC}"/>
    <hyperlink ref="L65" r:id="rId55" xr:uid="{37F7E56E-F731-B746-88F7-8B27D439C97F}"/>
    <hyperlink ref="L67" r:id="rId56" xr:uid="{B9810BFC-5F02-1F4D-9052-728E61363CDF}"/>
    <hyperlink ref="L69" r:id="rId57" xr:uid="{91F450BA-9694-BC4B-AB74-26119B0AB83E}"/>
    <hyperlink ref="L71" r:id="rId58" xr:uid="{7569D0D2-6D69-B348-8A75-7FE2D98AFA0A}"/>
    <hyperlink ref="L73" r:id="rId59" xr:uid="{AB5FA3E1-1043-E944-8544-EC8B87B452A7}"/>
    <hyperlink ref="L75" r:id="rId60" xr:uid="{26CCE301-0AE8-7744-A2C5-EFE4071E5612}"/>
    <hyperlink ref="L77" r:id="rId61" xr:uid="{B77F587D-01AE-AE4E-A1FD-AD88A1E188A1}"/>
    <hyperlink ref="L79" r:id="rId62" xr:uid="{C78DAB1B-1161-9946-92D4-6D52C4758CD0}"/>
    <hyperlink ref="L81" r:id="rId63" xr:uid="{8F981DA5-6CEF-C945-9F32-3EA9ED641A2D}"/>
    <hyperlink ref="L83" r:id="rId64" xr:uid="{3922BE91-9F25-484E-BC6A-5C64F6257A87}"/>
    <hyperlink ref="L85" r:id="rId65" xr:uid="{6FADD9FE-2165-CA46-8D92-DFCC30BABB12}"/>
    <hyperlink ref="L87" r:id="rId66" xr:uid="{39506F60-0C04-1A41-B910-A96F142F73E0}"/>
    <hyperlink ref="L89" r:id="rId67" xr:uid="{1873949D-B09B-5444-BECC-ACBC5C96C0C4}"/>
    <hyperlink ref="L91" r:id="rId68" xr:uid="{87B167DF-35C1-2142-8A21-7C64E43CAFC4}"/>
    <hyperlink ref="L52" r:id="rId69" xr:uid="{F6433878-64F5-6941-B6A3-E6524DA8A058}"/>
    <hyperlink ref="L54" r:id="rId70" xr:uid="{B0450169-ED44-044E-ADAD-C92AF7BC70B7}"/>
    <hyperlink ref="L56" r:id="rId71" xr:uid="{E9A4F198-9D5B-3C47-90DB-D6A74E8FC407}"/>
    <hyperlink ref="L58" r:id="rId72" xr:uid="{7091329C-1E81-0144-8E16-76D02F98857A}"/>
    <hyperlink ref="L60" r:id="rId73" xr:uid="{33105FEA-E521-2742-AD74-1BC3B23C29BD}"/>
    <hyperlink ref="L62" r:id="rId74" xr:uid="{C9A180CE-3D2F-254A-9168-931E3A716ADD}"/>
    <hyperlink ref="L64" r:id="rId75" xr:uid="{4B816E43-DA69-FB40-ACF8-A47C69F43D2E}"/>
    <hyperlink ref="L66" r:id="rId76" xr:uid="{F7001D6D-0B8D-7E42-A390-D602F9C7D8D9}"/>
    <hyperlink ref="L68" r:id="rId77" xr:uid="{A06EE7C0-6788-1247-A3A8-1493DCC92C75}"/>
    <hyperlink ref="L70" r:id="rId78" xr:uid="{715864BB-0B6B-8F4F-AABD-08F9BB85166A}"/>
    <hyperlink ref="L72" r:id="rId79" xr:uid="{9542D6E4-2F4B-A94D-A06B-2B778722DADF}"/>
    <hyperlink ref="L74" r:id="rId80" xr:uid="{183D3B9C-747C-4242-8393-2BC866FC6A2B}"/>
    <hyperlink ref="L76" r:id="rId81" xr:uid="{A58005AB-2447-CF46-9533-BD541AC9EB64}"/>
    <hyperlink ref="L78" r:id="rId82" xr:uid="{2EFD6280-DF65-F846-B40F-CF0E7061F970}"/>
    <hyperlink ref="L80" r:id="rId83" xr:uid="{3DA2EA65-E7A4-884C-81BB-CDEB5DF2A1FA}"/>
    <hyperlink ref="L82" r:id="rId84" xr:uid="{AC2DE151-17AF-6944-AE18-78C2AA31E3C3}"/>
    <hyperlink ref="L84" r:id="rId85" xr:uid="{5068A0C0-3FFD-854F-BB6F-600C0A9E448E}"/>
    <hyperlink ref="L86" r:id="rId86" xr:uid="{0100EA89-F444-694B-A990-6C616F963F04}"/>
    <hyperlink ref="L88" r:id="rId87" xr:uid="{49FF1070-41D8-354C-93F9-A0EA15FA8D33}"/>
    <hyperlink ref="L90" r:id="rId88" xr:uid="{198FA013-F9D3-5C49-A55E-9E1449DA8829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C016-53CC-B94F-9053-96774B32FF9F}">
  <dimension ref="A1:A3"/>
  <sheetViews>
    <sheetView workbookViewId="0">
      <selection sqref="A1:A3"/>
    </sheetView>
  </sheetViews>
  <sheetFormatPr baseColWidth="10" defaultRowHeight="16"/>
  <sheetData>
    <row r="1" spans="1:1">
      <c r="A1" t="s">
        <v>0</v>
      </c>
    </row>
    <row r="2" spans="1:1">
      <c r="A2" t="s">
        <v>187</v>
      </c>
    </row>
    <row r="3" spans="1:1">
      <c r="A3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boron isotopes</vt:lpstr>
      <vt:lpstr>Column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Michael Henehan</cp:lastModifiedBy>
  <dcterms:created xsi:type="dcterms:W3CDTF">2017-12-08T17:15:47Z</dcterms:created>
  <dcterms:modified xsi:type="dcterms:W3CDTF">2020-08-28T09:24:22Z</dcterms:modified>
</cp:coreProperties>
</file>