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9E4CEFD9-F1D0-744E-931B-158A70F55E03}" xr6:coauthVersionLast="36" xr6:coauthVersionMax="41" xr10:uidLastSave="{00000000-0000-0000-0000-000000000000}"/>
  <bookViews>
    <workbookView xWindow="1120" yWindow="1200" windowWidth="25600" windowHeight="15540" tabRatio="500" xr2:uid="{00000000-000D-0000-FFFF-FFFF00000000}"/>
  </bookViews>
  <sheets>
    <sheet name="boron isotopes" sheetId="2" r:id="rId1"/>
    <sheet name="Column specifications" sheetId="3" r:id="rId2"/>
  </sheet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BR5" i="2" l="1"/>
  <c r="BR6" i="2"/>
  <c r="BR7" i="2"/>
  <c r="BR8" i="2"/>
  <c r="BR9" i="2"/>
  <c r="BR4" i="2"/>
  <c r="I5" i="2" l="1"/>
  <c r="J5" i="2"/>
  <c r="I6" i="2"/>
  <c r="J6" i="2"/>
  <c r="I7" i="2"/>
  <c r="J7" i="2"/>
  <c r="I8" i="2"/>
  <c r="J8" i="2"/>
  <c r="I9" i="2"/>
  <c r="J9" i="2"/>
  <c r="J4" i="2"/>
  <c r="I4" i="2"/>
  <c r="H5" i="2"/>
  <c r="H6" i="2"/>
  <c r="H7" i="2"/>
  <c r="H8" i="2"/>
  <c r="H9" i="2"/>
  <c r="H4" i="2"/>
</calcChain>
</file>

<file path=xl/sharedStrings.xml><?xml version="1.0" encoding="utf-8"?>
<sst xmlns="http://schemas.openxmlformats.org/spreadsheetml/2006/main" count="1007" uniqueCount="236">
  <si>
    <r>
      <rPr>
        <vertAlign val="superscript"/>
        <sz val="10"/>
        <rFont val="Verdana"/>
        <family val="2"/>
      </rPr>
      <t>a</t>
    </r>
    <r>
      <rPr>
        <sz val="12"/>
        <color theme="1"/>
        <rFont val="Calibri"/>
        <family val="2"/>
        <scheme val="minor"/>
      </rPr>
      <t>for definitions of CSF-A, CSF-B and CCSF, please see: https://www.iodp.org/policies-and-guidelines/142-iodp-depth-scales-terminology-april-2011/file</t>
    </r>
  </si>
  <si>
    <t>REFERENCE AND CONTACT INFORMATION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</si>
  <si>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</si>
  <si>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</si>
  <si>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</si>
  <si>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</si>
  <si>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</si>
  <si>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</si>
  <si>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</si>
  <si>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</si>
  <si>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</si>
  <si>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</si>
  <si>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</si>
  <si>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</si>
  <si>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</si>
  <si>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</si>
  <si>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</si>
  <si>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</si>
  <si>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</si>
  <si>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</si>
  <si>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</si>
  <si>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</si>
  <si>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</si>
  <si>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</si>
  <si>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</si>
  <si>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</si>
  <si>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</si>
  <si>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</si>
  <si>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</si>
  <si>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</si>
  <si>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</si>
  <si>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</si>
  <si>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Name of individual entering the data</t>
  </si>
  <si>
    <t>Contact email</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</si>
  <si>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</si>
  <si>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</si>
  <si>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</si>
  <si>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</si>
  <si>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</si>
  <si>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</si>
  <si>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</si>
  <si>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</si>
  <si>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</si>
  <si>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</si>
  <si>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</si>
  <si>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</si>
  <si>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</si>
  <si>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</si>
  <si>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</si>
  <si>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</si>
  <si>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</si>
  <si>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</si>
  <si>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</si>
  <si>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</si>
  <si>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type of uncertainty (e.g., set value, normal distribution, +/- range)</t>
  </si>
  <si>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</si>
  <si>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</si>
  <si>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</si>
  <si>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</si>
  <si>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</si>
  <si>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</si>
  <si>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</si>
  <si>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</si>
  <si>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</si>
  <si>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</si>
  <si>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</si>
  <si>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</si>
  <si>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</si>
  <si>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</si>
  <si>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</si>
  <si>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</si>
  <si>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</si>
  <si>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</si>
  <si>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</si>
  <si>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</si>
  <si>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</si>
  <si>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</si>
  <si>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t>temperature (°C)</t>
  </si>
  <si>
    <t>Mg/Ca  (mmol/mol, average of replicates)</t>
  </si>
  <si>
    <t>temperature calibration equation</t>
  </si>
  <si>
    <t>reference for temperature calibration equation</t>
  </si>
  <si>
    <t>salinity correction (list reference if applied)</t>
  </si>
  <si>
    <t>dissolution correction (list reference if applied)</t>
  </si>
  <si>
    <t>pH correction (list reference if applied)</t>
  </si>
  <si>
    <t>average proxy value (please specify units)</t>
  </si>
  <si>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</si>
  <si>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</si>
  <si>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</si>
  <si>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</si>
  <si>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 xml:space="preserve">reference for [Ca] of seawater value </t>
  </si>
  <si>
    <t>reference for [Mg] of seawater value</t>
  </si>
  <si>
    <t>reference for [SO4] of seawater value</t>
  </si>
  <si>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</si>
  <si>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</si>
  <si>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</si>
  <si>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</si>
  <si>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</si>
  <si>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</si>
  <si>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</si>
  <si>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</si>
  <si>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</si>
  <si>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</si>
  <si>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</si>
  <si>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</si>
  <si>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</si>
  <si>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</si>
  <si>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</si>
  <si>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</si>
  <si>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</si>
  <si>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</si>
  <si>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</si>
  <si>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</si>
  <si>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</si>
  <si>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</si>
  <si>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</si>
  <si>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</si>
  <si>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</si>
  <si>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</si>
  <si>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</si>
  <si>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t>DIC (µmol/kg, if not used as an input parameter</t>
  </si>
  <si>
    <r>
      <rPr>
        <sz val="12"/>
        <rFont val="Symbol"/>
        <charset val="2"/>
      </rPr>
      <t>W</t>
    </r>
    <r>
      <rPr>
        <vertAlign val="subscript"/>
        <sz val="12"/>
        <rFont val="Verdana"/>
        <family val="2"/>
      </rPr>
      <t>calcite</t>
    </r>
    <r>
      <rPr>
        <sz val="12"/>
        <rFont val="Verdana"/>
        <family val="2"/>
      </rPr>
      <t>, if not used as an input parameter</t>
    </r>
  </si>
  <si>
    <r>
      <rPr>
        <sz val="12"/>
        <rFont val="Symbol"/>
        <charset val="2"/>
      </rPr>
      <t>W</t>
    </r>
    <r>
      <rPr>
        <vertAlign val="subscript"/>
        <sz val="12"/>
        <rFont val="Verdana"/>
        <family val="2"/>
      </rPr>
      <t>aragonite</t>
    </r>
    <r>
      <rPr>
        <sz val="12"/>
        <rFont val="Verdana"/>
        <family val="2"/>
      </rPr>
      <t>, if not used as an input parameter</t>
    </r>
  </si>
  <si>
    <t>Additional Notes</t>
  </si>
  <si>
    <t>Basic Info</t>
  </si>
  <si>
    <t>proxy</t>
  </si>
  <si>
    <t>first_author_last_name</t>
  </si>
  <si>
    <t>publication_year</t>
  </si>
  <si>
    <t>doi</t>
  </si>
  <si>
    <t>age_ka</t>
  </si>
  <si>
    <t>Age_uncertainty_pos_ka</t>
  </si>
  <si>
    <t>Age_uncertainty_neg_ka</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</si>
  <si>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</si>
  <si>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Mg/Ca of individual replicate measurements; separate replicates by commas</t>
  </si>
  <si>
    <t>proxy value of individual replicate measurements; separate replicates by commas</t>
  </si>
  <si>
    <t>central value (µmol/kg)</t>
  </si>
  <si>
    <t>Age (ka)</t>
  </si>
  <si>
    <r>
      <t>2</t>
    </r>
    <r>
      <rPr>
        <sz val="12"/>
        <color theme="1"/>
        <rFont val="Symbol"/>
        <charset val="2"/>
      </rPr>
      <t>s</t>
    </r>
    <r>
      <rPr>
        <sz val="12"/>
        <color theme="1"/>
        <rFont val="Calibri"/>
        <family val="2"/>
        <scheme val="minor"/>
      </rPr>
      <t xml:space="preserve"> Age uncertainty pos (ka)</t>
    </r>
  </si>
  <si>
    <r>
      <t>2</t>
    </r>
    <r>
      <rPr>
        <sz val="12"/>
        <color theme="1"/>
        <rFont val="Symbol"/>
        <charset val="2"/>
      </rPr>
      <t>s</t>
    </r>
    <r>
      <rPr>
        <sz val="12"/>
        <color theme="1"/>
        <rFont val="Calibri"/>
        <family val="2"/>
        <scheme val="minor"/>
      </rPr>
      <t xml:space="preserve"> Age uncertainty neg (ka)</t>
    </r>
  </si>
  <si>
    <r>
      <t>2</t>
    </r>
    <r>
      <rPr>
        <sz val="12"/>
        <color theme="1"/>
        <rFont val="Symbol"/>
        <charset val="2"/>
      </rPr>
      <t>s</t>
    </r>
    <r>
      <rPr>
        <sz val="12"/>
        <color theme="1"/>
        <rFont val="Calibri"/>
        <family val="2"/>
        <scheme val="minor"/>
      </rPr>
      <t xml:space="preserve"> temperature pos (°C)</t>
    </r>
  </si>
  <si>
    <r>
      <t>2</t>
    </r>
    <r>
      <rPr>
        <sz val="12"/>
        <color theme="1"/>
        <rFont val="Symbol"/>
        <charset val="2"/>
      </rPr>
      <t>s</t>
    </r>
    <r>
      <rPr>
        <sz val="12"/>
        <color theme="1"/>
        <rFont val="Calibri"/>
        <family val="2"/>
        <scheme val="minor"/>
      </rPr>
      <t xml:space="preserve"> temperature neg (°C)</t>
    </r>
  </si>
  <si>
    <r>
      <t>2</t>
    </r>
    <r>
      <rPr>
        <sz val="12"/>
        <color theme="1"/>
        <rFont val="Symbol"/>
        <charset val="2"/>
      </rPr>
      <t>s</t>
    </r>
    <r>
      <rPr>
        <sz val="12"/>
        <color theme="1"/>
        <rFont val="Calibri"/>
        <family val="2"/>
        <scheme val="minor"/>
      </rPr>
      <t xml:space="preserve"> Mg uncertainty pos (mmol/mol)</t>
    </r>
  </si>
  <si>
    <r>
      <t>2</t>
    </r>
    <r>
      <rPr>
        <sz val="12"/>
        <color theme="1"/>
        <rFont val="Symbol"/>
        <charset val="2"/>
      </rPr>
      <t>s</t>
    </r>
    <r>
      <rPr>
        <sz val="12"/>
        <color theme="1"/>
        <rFont val="Calibri"/>
        <family val="2"/>
        <scheme val="minor"/>
      </rPr>
      <t xml:space="preserve"> Mg/Ca uncertainty neg (mmol/mol)</t>
    </r>
  </si>
  <si>
    <r>
      <t>[B]</t>
    </r>
    <r>
      <rPr>
        <vertAlign val="subscript"/>
        <sz val="12"/>
        <color theme="1"/>
        <rFont val="Verdana"/>
        <family val="2"/>
      </rPr>
      <t xml:space="preserve">T </t>
    </r>
    <r>
      <rPr>
        <sz val="12"/>
        <color theme="1"/>
        <rFont val="Verdana"/>
        <family val="2"/>
      </rPr>
      <t>(µmol/kg)</t>
    </r>
  </si>
  <si>
    <r>
      <t>2</t>
    </r>
    <r>
      <rPr>
        <sz val="12"/>
        <color rgb="FF000000"/>
        <rFont val="Symbol"/>
        <charset val="2"/>
      </rPr>
      <t>s</t>
    </r>
    <r>
      <rPr>
        <sz val="12"/>
        <color rgb="FF000000"/>
        <rFont val="Verdana"/>
        <family val="2"/>
      </rPr>
      <t xml:space="preserve"> uncertainty</t>
    </r>
  </si>
  <si>
    <r>
      <t>2</t>
    </r>
    <r>
      <rPr>
        <sz val="12"/>
        <color theme="1"/>
        <rFont val="Symbol"/>
        <charset val="2"/>
      </rPr>
      <t>s</t>
    </r>
    <r>
      <rPr>
        <sz val="12"/>
        <color theme="1"/>
        <rFont val="Calibri"/>
        <family val="2"/>
        <scheme val="minor"/>
      </rPr>
      <t xml:space="preserve"> uncertainty pos</t>
    </r>
  </si>
  <si>
    <r>
      <t>2</t>
    </r>
    <r>
      <rPr>
        <sz val="12"/>
        <color theme="1"/>
        <rFont val="Symbol"/>
        <charset val="2"/>
      </rPr>
      <t>s</t>
    </r>
    <r>
      <rPr>
        <sz val="12"/>
        <color theme="1"/>
        <rFont val="Calibri"/>
        <family val="2"/>
        <scheme val="minor"/>
      </rPr>
      <t xml:space="preserve"> uncertainty neg</t>
    </r>
  </si>
  <si>
    <r>
      <t>2</t>
    </r>
    <r>
      <rPr>
        <sz val="12"/>
        <color theme="1"/>
        <rFont val="Symbol"/>
        <charset val="2"/>
      </rPr>
      <t>s</t>
    </r>
    <r>
      <rPr>
        <sz val="12"/>
        <color theme="1"/>
        <rFont val="Calibri"/>
        <family val="2"/>
        <scheme val="minor"/>
      </rPr>
      <t xml:space="preserve"> pCO2 uncertainty pos</t>
    </r>
  </si>
  <si>
    <r>
      <t>2</t>
    </r>
    <r>
      <rPr>
        <sz val="12"/>
        <color theme="1"/>
        <rFont val="Symbol"/>
        <charset val="2"/>
      </rPr>
      <t>s</t>
    </r>
    <r>
      <rPr>
        <sz val="12"/>
        <color theme="1"/>
        <rFont val="Calibri"/>
        <family val="2"/>
        <scheme val="minor"/>
      </rPr>
      <t xml:space="preserve"> pCO2 uncertainty neg</t>
    </r>
  </si>
  <si>
    <t>boron isotopes</t>
  </si>
  <si>
    <t>Badger</t>
  </si>
  <si>
    <t>10.1002/palo.20015</t>
  </si>
  <si>
    <t>E.De-La-Vega@soton.ac.uk</t>
  </si>
  <si>
    <t>Blue Clay Formation of Malta (at Ras il-Pellegrin)</t>
  </si>
  <si>
    <t xml:space="preserve">Globigerinoides trilobus </t>
  </si>
  <si>
    <t>~100</t>
  </si>
  <si>
    <t>~2mg</t>
  </si>
  <si>
    <t>Barker et al. (2003)</t>
  </si>
  <si>
    <t>ion exchange chromatography</t>
  </si>
  <si>
    <t>MC-ICPMS</t>
  </si>
  <si>
    <t>normal, stdev, external</t>
  </si>
  <si>
    <t>Foster et al., 2012</t>
  </si>
  <si>
    <t>normal</t>
  </si>
  <si>
    <t>set value</t>
  </si>
  <si>
    <t>Mg/Ca=0.32*EXP(0.09*T)</t>
  </si>
  <si>
    <t>Horita et al. (2002)</t>
  </si>
  <si>
    <t>Alkalinity</t>
  </si>
  <si>
    <t xml:space="preserve">CCD depth </t>
  </si>
  <si>
    <t>Dickson, 1990</t>
  </si>
  <si>
    <t>Dickson, 1991</t>
  </si>
  <si>
    <t>Dickson, 1992</t>
  </si>
  <si>
    <t>Dickson, 1993</t>
  </si>
  <si>
    <t>Dickson, 1994</t>
  </si>
  <si>
    <t>Dickson, 1995</t>
  </si>
  <si>
    <t>NA</t>
  </si>
  <si>
    <t>none</t>
  </si>
  <si>
    <t>none applied</t>
  </si>
  <si>
    <t>Badger, Marcus P. S., Lear, Caroline H., Pancost, Richard D.,  Foster, Gavin L., Bailey, Trevor R., Leng, Melanie J. and Abels, Hemmo A. 2013. CO2 drawdown following the middle Miocene expansion of the Antarctic Ice Sheet. Paleoceanography 28, 42-53.</t>
  </si>
  <si>
    <t>not propagated</t>
  </si>
  <si>
    <t xml:space="preserve">no uncertainty calculated </t>
  </si>
  <si>
    <t xml:space="preserve">Mourik, A. A., H. A. Abels, F. J. Hilgen, A. Di Stefano, and W. J. Zachariasse (2011), Improved astronomical age constraints for the middle Miocene climate transition based on high‐resolution stable isotope records from the central Mediterranean Maltese Islands, Paleoceanography, 26, PA1210, doi:10.1029/2010PA001981. </t>
  </si>
  <si>
    <t>combined biostratigraphic and astronomical age model</t>
  </si>
  <si>
    <t>?</t>
  </si>
  <si>
    <t>Height in section from this same Badger paper</t>
  </si>
  <si>
    <t>Meditteranean</t>
  </si>
  <si>
    <t>250-355</t>
  </si>
  <si>
    <t>no calibration uncertainty incorporated</t>
  </si>
  <si>
    <t>The calibration is for ~about the same size fraction. No further corrections made.</t>
  </si>
  <si>
    <t>Since no calibration uncertainty is included, uncertainty = analytical only</t>
  </si>
  <si>
    <t>-500-600</t>
  </si>
  <si>
    <t>terrestrial section</t>
  </si>
  <si>
    <r>
      <t>Palaeolatitude from paleolatitude.org. Palaeodepth from Bellanca et al</t>
    </r>
    <r>
      <rPr>
        <sz val="10"/>
        <color theme="1"/>
        <rFont val="AdvTT182ff89e"/>
      </rPr>
      <t xml:space="preserve">., </t>
    </r>
    <r>
      <rPr>
        <sz val="10"/>
        <color theme="1"/>
        <rFont val="AdvTT73b978ed.I"/>
      </rPr>
      <t>2002; Bonaduce and Barra, 2002</t>
    </r>
  </si>
  <si>
    <r>
      <t>Palaeolatitude from paleolatitude.org. Palaeodepth from Bellanca et al</t>
    </r>
    <r>
      <rPr>
        <sz val="10"/>
        <color theme="1"/>
        <rFont val="AdvTT182ff89e"/>
      </rPr>
      <t xml:space="preserve">., </t>
    </r>
    <r>
      <rPr>
        <sz val="10"/>
        <color theme="1"/>
        <rFont val="AdvTT73b978ed.I"/>
      </rPr>
      <t>2002; Bonaduce and Barra, 2002</t>
    </r>
    <r>
      <rPr>
        <sz val="12"/>
        <color theme="1"/>
        <rFont val="Calibri"/>
        <family val="2"/>
        <scheme val="minor"/>
      </rPr>
      <t/>
    </r>
  </si>
  <si>
    <t>set value, 2%</t>
  </si>
  <si>
    <t>Evans et al. (2012)</t>
  </si>
  <si>
    <t>Anand et al. 2003</t>
  </si>
  <si>
    <t>none assigned</t>
  </si>
  <si>
    <t>arbitrary</t>
  </si>
  <si>
    <t>no uncertainty has been applied</t>
  </si>
  <si>
    <t>modern values used</t>
  </si>
  <si>
    <t>Quadratic Addition</t>
  </si>
  <si>
    <t>None applied</t>
  </si>
  <si>
    <t>Alkalinity, Temperature, measured d11B</t>
  </si>
  <si>
    <t>Dickson 1990</t>
  </si>
  <si>
    <t>Tyrell and Zeebe 2004</t>
  </si>
  <si>
    <t>not applied</t>
  </si>
  <si>
    <t>no uncertainty applied</t>
  </si>
  <si>
    <t>Elwyn De La Vega and Michael Henehan</t>
  </si>
  <si>
    <t>Excel</t>
  </si>
  <si>
    <t>Lee et al. (2010)</t>
  </si>
  <si>
    <r>
      <t xml:space="preserve">reference for </t>
    </r>
    <r>
      <rPr>
        <sz val="12"/>
        <color rgb="FF000000"/>
        <rFont val="Symbol"/>
        <charset val="2"/>
      </rPr>
      <t>a</t>
    </r>
    <r>
      <rPr>
        <vertAlign val="subscript"/>
        <sz val="12"/>
        <color rgb="FF000000"/>
        <rFont val="Verdana"/>
        <family val="2"/>
      </rPr>
      <t>B3-B4</t>
    </r>
  </si>
  <si>
    <t>Klochko et al. (2006)</t>
  </si>
  <si>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</si>
  <si>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</si>
  <si>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</si>
  <si>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</si>
  <si>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</si>
  <si>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</si>
  <si>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</si>
  <si>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n of replicate measurements</t>
  </si>
  <si>
    <t>2se of replicates ( [ 2* (sd/sqrt(n))] )</t>
  </si>
  <si>
    <r>
      <t>2</t>
    </r>
    <r>
      <rPr>
        <sz val="12"/>
        <color rgb="FF000000"/>
        <rFont val="Symbol"/>
        <charset val="2"/>
      </rPr>
      <t>s</t>
    </r>
    <r>
      <rPr>
        <sz val="12"/>
        <color rgb="FF000000"/>
        <rFont val="Verdana"/>
        <family val="2"/>
      </rPr>
      <t xml:space="preserve"> uncertainty </t>
    </r>
  </si>
  <si>
    <t>[Ca] (mol/kg)</t>
  </si>
  <si>
    <t>[Mg] (mol/kg)</t>
  </si>
  <si>
    <t>[SO4] (mol/kg)</t>
  </si>
  <si>
    <t>pH scale reported (e.g., total scale, seawater scale)</t>
  </si>
  <si>
    <r>
      <t>2</t>
    </r>
    <r>
      <rPr>
        <sz val="12"/>
        <color theme="1"/>
        <rFont val="Symbol"/>
        <charset val="2"/>
      </rPr>
      <t>s</t>
    </r>
    <r>
      <rPr>
        <sz val="12"/>
        <color theme="1"/>
        <rFont val="Calibri"/>
        <family val="2"/>
        <scheme val="minor"/>
      </rPr>
      <t xml:space="preserve"> uncertainty pos (µmol/kg)</t>
    </r>
  </si>
  <si>
    <r>
      <t>2</t>
    </r>
    <r>
      <rPr>
        <sz val="12"/>
        <color theme="1"/>
        <rFont val="Symbol"/>
        <charset val="2"/>
      </rPr>
      <t>s</t>
    </r>
    <r>
      <rPr>
        <sz val="12"/>
        <color theme="1"/>
        <rFont val="Calibri"/>
        <family val="2"/>
        <scheme val="minor"/>
      </rPr>
      <t xml:space="preserve"> uncertainty neg (µmol/kg)</t>
    </r>
  </si>
  <si>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</si>
  <si>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</si>
  <si>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r>
      <rPr>
        <vertAlign val="superscript"/>
        <sz val="10"/>
        <rFont val="Verdana"/>
        <family val="2"/>
      </rPr>
      <t>b</t>
    </r>
    <r>
      <rPr>
        <sz val="12"/>
        <color theme="1"/>
        <rFont val="Calibri"/>
        <family val="2"/>
        <scheme val="minor"/>
      </rPr>
      <t>this spreadsheet is specifically designed for boron isotope records aimed at paleo-pCO</t>
    </r>
    <r>
      <rPr>
        <vertAlign val="subscript"/>
        <sz val="10"/>
        <rFont val="Verdana"/>
        <family val="2"/>
      </rPr>
      <t>2</t>
    </r>
    <r>
      <rPr>
        <sz val="12"/>
        <color theme="1"/>
        <rFont val="Calibri"/>
        <family val="2"/>
        <scheme val="minor"/>
      </rPr>
      <t xml:space="preserve"> reconstructions, but it is equally useful for other boron isotope records collected, e.g., in upwelling areas. Such studies should leave the atmospheric pCO</t>
    </r>
    <r>
      <rPr>
        <vertAlign val="subscript"/>
        <sz val="10"/>
        <rFont val="Verdana"/>
        <family val="2"/>
      </rPr>
      <t>2</t>
    </r>
    <r>
      <rPr>
        <sz val="12"/>
        <color theme="1"/>
        <rFont val="Calibri"/>
        <family val="2"/>
        <scheme val="minor"/>
      </rPr>
      <t xml:space="preserve"> column (EW) blank, but may want to report the air-sea disequilibrium in column EX</t>
    </r>
  </si>
  <si>
    <r>
      <rPr>
        <vertAlign val="superscript"/>
        <sz val="10"/>
        <rFont val="Verdana"/>
        <family val="2"/>
      </rPr>
      <t>c</t>
    </r>
    <r>
      <rPr>
        <sz val="12"/>
        <color theme="1"/>
        <rFont val="Calibri"/>
        <family val="2"/>
        <scheme val="minor"/>
      </rPr>
      <t>because minor alkalinity contributors like NH</t>
    </r>
    <r>
      <rPr>
        <vertAlign val="subscript"/>
        <sz val="10"/>
        <rFont val="Verdana"/>
        <family val="2"/>
      </rPr>
      <t>3</t>
    </r>
    <r>
      <rPr>
        <sz val="12"/>
        <color theme="1"/>
        <rFont val="Calibri"/>
        <family val="2"/>
        <scheme val="minor"/>
      </rPr>
      <t>, H</t>
    </r>
    <r>
      <rPr>
        <vertAlign val="subscript"/>
        <sz val="10"/>
        <rFont val="Verdana"/>
        <family val="2"/>
      </rPr>
      <t>3</t>
    </r>
    <r>
      <rPr>
        <sz val="12"/>
        <color theme="1"/>
        <rFont val="Calibri"/>
        <family val="2"/>
        <scheme val="minor"/>
      </rPr>
      <t>PO</t>
    </r>
    <r>
      <rPr>
        <vertAlign val="subscript"/>
        <sz val="10"/>
        <rFont val="Verdana"/>
        <family val="2"/>
      </rPr>
      <t>4</t>
    </r>
    <r>
      <rPr>
        <sz val="12"/>
        <color theme="1"/>
        <rFont val="Calibri"/>
        <family val="2"/>
        <scheme val="minor"/>
      </rPr>
      <t>, HPO</t>
    </r>
    <r>
      <rPr>
        <vertAlign val="subscript"/>
        <sz val="10"/>
        <rFont val="Verdana"/>
        <family val="2"/>
      </rPr>
      <t>4</t>
    </r>
    <r>
      <rPr>
        <sz val="12"/>
        <color theme="1"/>
        <rFont val="Calibri"/>
        <family val="2"/>
        <scheme val="minor"/>
      </rPr>
      <t>, PO</t>
    </r>
    <r>
      <rPr>
        <vertAlign val="subscript"/>
        <sz val="10"/>
        <rFont val="Verdana"/>
        <family val="2"/>
      </rPr>
      <t>4</t>
    </r>
    <r>
      <rPr>
        <sz val="12"/>
        <color theme="1"/>
        <rFont val="Calibri"/>
        <family val="2"/>
        <scheme val="minor"/>
      </rPr>
      <t>, HSiO</t>
    </r>
    <r>
      <rPr>
        <vertAlign val="subscript"/>
        <sz val="10"/>
        <rFont val="Verdana"/>
        <family val="2"/>
      </rPr>
      <t>3</t>
    </r>
    <r>
      <rPr>
        <sz val="12"/>
        <color theme="1"/>
        <rFont val="Calibri"/>
        <family val="2"/>
        <scheme val="minor"/>
      </rPr>
      <t>, HS</t>
    </r>
    <r>
      <rPr>
        <vertAlign val="superscript"/>
        <sz val="10"/>
        <rFont val="Verdana"/>
        <family val="2"/>
      </rPr>
      <t xml:space="preserve">- </t>
    </r>
    <r>
      <rPr>
        <sz val="12"/>
        <color theme="1"/>
        <rFont val="Calibri"/>
        <family val="2"/>
        <scheme val="minor"/>
      </rPr>
      <t>and S</t>
    </r>
    <r>
      <rPr>
        <vertAlign val="superscript"/>
        <sz val="10"/>
        <rFont val="Verdana"/>
        <family val="2"/>
      </rPr>
      <t>2-</t>
    </r>
    <r>
      <rPr>
        <sz val="12"/>
        <color theme="1"/>
        <rFont val="Calibri"/>
        <family val="2"/>
        <scheme val="minor"/>
      </rPr>
      <t xml:space="preserve"> are not included in these calculations, the alkalinity estimate reported in column EK includes only carbon and boron alkalinity, and should therefore be considered an approximation to total alkalinity</t>
    </r>
  </si>
  <si>
    <r>
      <t>2</t>
    </r>
    <r>
      <rPr>
        <sz val="12"/>
        <color theme="1"/>
        <rFont val="Symbol"/>
        <charset val="2"/>
      </rPr>
      <t>s</t>
    </r>
    <r>
      <rPr>
        <sz val="12"/>
        <color theme="1"/>
        <rFont val="Verdana"/>
        <family val="2"/>
      </rPr>
      <t xml:space="preserve"> uncertainty </t>
    </r>
    <r>
      <rPr>
        <sz val="12"/>
        <color theme="1"/>
        <rFont val="Symbol"/>
        <charset val="2"/>
      </rPr>
      <t>W</t>
    </r>
    <r>
      <rPr>
        <vertAlign val="subscript"/>
        <sz val="12"/>
        <color theme="1"/>
        <rFont val="Verdana"/>
        <family val="2"/>
      </rPr>
      <t>aragonite neg</t>
    </r>
  </si>
  <si>
    <t>notes about uncertainty estimate: e.g., included calibration slope and intercept</t>
  </si>
  <si>
    <t>CO2_ppm</t>
  </si>
  <si>
    <t>CO2_uncertainty_pos_ppm</t>
  </si>
  <si>
    <t>CO2_uncertainty_neg_ppm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</si>
</sst>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6">
    <font>
      <sz val="12"/>
      <color theme="1"/>
      <name val="Calibri"/>
      <family val="2"/>
      <scheme val="minor"/>
    </font>
    <font>
      <sz val="12"/>
      <color theme="1"/>
      <name val="Calibri"/>
      <family val="2"/>
      <scheme val="minor"/>
    </font>
    <font>
      <vertAlign val="superscript"/>
      <sz val="10"/>
      <name val="Verdana"/>
      <family val="2"/>
    </font>
    <font>
      <vertAlign val="subscript"/>
      <sz val="10"/>
      <name val="Verdana"/>
      <family val="2"/>
    </font>
    <font>
      <b/>
      <sz val="12"/>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rgb="FF000000"/>
      <name val="Symbol"/>
      <charset val="2"/>
    </font>
    <font>
      <sz val="12"/>
      <color theme="1"/>
      <name val="Symbol"/>
      <charset val="2"/>
    </font>
    <font>
      <vertAlign val="superscript"/>
      <sz val="12"/>
      <color theme="1"/>
      <name val="Verdana"/>
      <family val="2"/>
    </font>
    <font>
      <vertAlign val="subscript"/>
      <sz val="12"/>
      <color theme="1"/>
      <name val="Verdana"/>
      <family val="2"/>
    </font>
    <font>
      <vertAlign val="subscript"/>
      <sz val="12"/>
      <name val="Verdana"/>
      <family val="2"/>
    </font>
    <font>
      <sz val="11"/>
      <color rgb="FF000000"/>
      <name val="Calibri"/>
      <family val="2"/>
      <charset val="1"/>
    </font>
    <font>
      <sz val="12"/>
      <name val="Verdana"/>
      <family val="2"/>
      <charset val="2"/>
    </font>
    <font>
      <sz val="10"/>
      <color theme="1"/>
      <name val="AdvTT182ff89e"/>
    </font>
    <font>
      <sz val="10"/>
      <name val="Arial"/>
      <family val="2"/>
    </font>
    <font>
      <sz val="10"/>
      <color theme="1"/>
      <name val="AdvTT73b978ed.I"/>
    </font>
    <font>
      <b/>
      <sz val="10"/>
      <name val="Arial"/>
      <family val="2"/>
    </font>
    <font>
      <sz val="9"/>
      <color theme="1"/>
      <name val="Helvetica"/>
      <family val="2"/>
    </font>
    <font>
      <i/>
      <sz val="10"/>
      <color theme="1"/>
      <name val="AdvTT73b978ed.I"/>
    </font>
    <font>
      <vertAlign val="subscript"/>
      <sz val="12"/>
      <color rgb="FF000000"/>
      <name val="Verdan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CDFDCC"/>
        <bgColor rgb="FF000000"/>
      </patternFill>
    </fill>
    <fill>
      <patternFill patternType="solid">
        <fgColor rgb="FFA9D08D"/>
        <bgColor indexed="64"/>
      </patternFill>
    </fill>
    <fill>
      <patternFill patternType="solid">
        <fgColor rgb="FFCEFDCC"/>
        <bgColor indexed="64"/>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7" fillId="0" borderId="0"/>
    <xf numFmtId="0" fontId="1" fillId="0" borderId="0"/>
  </cellStyleXfs>
  <cellXfs count="156">
    <xf numFmtId="0" fontId="0" fillId="0" borderId="0" xfId="0"/>
    <xf numFmtId="0" fontId="0" fillId="0" borderId="0" xfId="0" applyAlignment="1">
      <alignment vertical="top"/>
    </xf>
    <xf numFmtId="0" fontId="0" fillId="0" borderId="0" xfId="0" applyAlignment="1">
      <alignment horizontal="center" vertical="center"/>
    </xf>
    <xf numFmtId="0" fontId="0" fillId="0" borderId="0" xfId="0" applyAlignment="1">
      <alignment wrapText="1"/>
    </xf>
    <xf numFmtId="0" fontId="4" fillId="0" borderId="1" xfId="0" applyFont="1" applyBorder="1"/>
    <xf numFmtId="0" fontId="0" fillId="0" borderId="2" xfId="0" applyBorder="1"/>
    <xf numFmtId="0" fontId="0" fillId="0" borderId="2" xfId="0" applyBorder="1" applyAlignment="1">
      <alignment vertical="top"/>
    </xf>
    <xf numFmtId="0" fontId="0" fillId="0" borderId="3" xfId="0" applyBorder="1"/>
    <xf numFmtId="0" fontId="5" fillId="2" borderId="1" xfId="0" applyFont="1" applyFill="1" applyBorder="1"/>
    <xf numFmtId="0" fontId="5" fillId="2" borderId="2" xfId="0" applyFont="1" applyFill="1" applyBorder="1"/>
    <xf numFmtId="0" fontId="0" fillId="2" borderId="2" xfId="0" applyFill="1" applyBorder="1"/>
    <xf numFmtId="0" fontId="0" fillId="2" borderId="3" xfId="0" applyFill="1" applyBorder="1"/>
    <xf numFmtId="0" fontId="5" fillId="3" borderId="4" xfId="0" applyFont="1" applyFill="1" applyBorder="1" applyAlignment="1">
      <alignment horizontal="left" vertical="center"/>
    </xf>
    <xf numFmtId="0" fontId="5" fillId="3" borderId="5" xfId="0" applyFont="1" applyFill="1" applyBorder="1" applyAlignment="1">
      <alignment wrapText="1"/>
    </xf>
    <xf numFmtId="0" fontId="5" fillId="3" borderId="5" xfId="0" applyFont="1" applyFill="1" applyBorder="1"/>
    <xf numFmtId="0" fontId="0" fillId="3" borderId="5" xfId="0" applyFill="1" applyBorder="1"/>
    <xf numFmtId="0" fontId="6" fillId="3" borderId="4" xfId="0" applyFont="1" applyFill="1" applyBorder="1"/>
    <xf numFmtId="0" fontId="5" fillId="4" borderId="4" xfId="0" applyFont="1" applyFill="1" applyBorder="1"/>
    <xf numFmtId="0" fontId="0" fillId="4" borderId="5" xfId="0" applyFill="1" applyBorder="1"/>
    <xf numFmtId="0" fontId="0" fillId="4" borderId="1" xfId="0" applyFill="1" applyBorder="1"/>
    <xf numFmtId="0" fontId="0" fillId="4" borderId="2" xfId="0" applyFill="1" applyBorder="1"/>
    <xf numFmtId="0" fontId="5" fillId="4" borderId="2" xfId="0" applyFont="1" applyFill="1" applyBorder="1"/>
    <xf numFmtId="0" fontId="5" fillId="4" borderId="3" xfId="0" applyFont="1" applyFill="1" applyBorder="1"/>
    <xf numFmtId="0" fontId="5" fillId="5" borderId="1" xfId="0" applyFont="1" applyFill="1" applyBorder="1"/>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7" fillId="5" borderId="5" xfId="0" applyFont="1" applyFill="1" applyBorder="1" applyAlignment="1">
      <alignment horizontal="left" vertical="center"/>
    </xf>
    <xf numFmtId="0" fontId="6" fillId="5" borderId="5" xfId="0" applyFont="1" applyFill="1" applyBorder="1" applyAlignment="1">
      <alignment horizontal="center" vertical="center" wrapText="1"/>
    </xf>
    <xf numFmtId="0" fontId="5" fillId="6" borderId="1" xfId="0" applyFont="1" applyFill="1" applyBorder="1"/>
    <xf numFmtId="0" fontId="5" fillId="7" borderId="2" xfId="0" applyFont="1" applyFill="1" applyBorder="1"/>
    <xf numFmtId="0" fontId="5" fillId="7" borderId="3" xfId="0" applyFont="1" applyFill="1" applyBorder="1"/>
    <xf numFmtId="0" fontId="5" fillId="6" borderId="2" xfId="0" applyFont="1" applyFill="1" applyBorder="1"/>
    <xf numFmtId="0" fontId="5" fillId="6" borderId="3" xfId="0" applyFont="1" applyFill="1" applyBorder="1"/>
    <xf numFmtId="0" fontId="0" fillId="6" borderId="2" xfId="0" applyFill="1" applyBorder="1"/>
    <xf numFmtId="0" fontId="0" fillId="6" borderId="4" xfId="0" applyFill="1" applyBorder="1"/>
    <xf numFmtId="0" fontId="5" fillId="7" borderId="1" xfId="0" applyFont="1" applyFill="1" applyBorder="1"/>
    <xf numFmtId="0" fontId="5" fillId="7" borderId="5" xfId="0" applyFont="1" applyFill="1" applyBorder="1"/>
    <xf numFmtId="0" fontId="5" fillId="8" borderId="2" xfId="0" applyFont="1" applyFill="1" applyBorder="1"/>
    <xf numFmtId="0" fontId="5" fillId="9" borderId="1" xfId="0" applyFont="1" applyFill="1" applyBorder="1"/>
    <xf numFmtId="0" fontId="5" fillId="9" borderId="2" xfId="0" applyFont="1" applyFill="1" applyBorder="1"/>
    <xf numFmtId="0" fontId="0" fillId="9" borderId="2" xfId="0" applyFill="1" applyBorder="1"/>
    <xf numFmtId="0" fontId="0" fillId="0" borderId="6" xfId="0" applyBorder="1"/>
    <xf numFmtId="0" fontId="4" fillId="0" borderId="7" xfId="0" applyFont="1" applyBorder="1"/>
    <xf numFmtId="0" fontId="0" fillId="0" borderId="8" xfId="0" applyBorder="1"/>
    <xf numFmtId="0" fontId="0" fillId="0" borderId="8" xfId="0" applyBorder="1" applyAlignment="1">
      <alignment vertical="top"/>
    </xf>
    <xf numFmtId="0" fontId="0" fillId="0" borderId="9" xfId="0" applyBorder="1"/>
    <xf numFmtId="0" fontId="5" fillId="2" borderId="8" xfId="0" applyFont="1" applyFill="1" applyBorder="1"/>
    <xf numFmtId="0" fontId="0" fillId="2" borderId="8" xfId="0" applyFill="1" applyBorder="1"/>
    <xf numFmtId="0" fontId="0" fillId="2" borderId="9" xfId="0" applyFill="1" applyBorder="1"/>
    <xf numFmtId="0" fontId="5" fillId="3" borderId="4" xfId="0" applyFont="1" applyFill="1" applyBorder="1" applyAlignment="1">
      <alignment horizontal="center" vertical="center"/>
    </xf>
    <xf numFmtId="0" fontId="6" fillId="4" borderId="1" xfId="0" applyFont="1" applyFill="1" applyBorder="1" applyAlignment="1">
      <alignment horizontal="left" vertical="center"/>
    </xf>
    <xf numFmtId="0" fontId="15" fillId="5" borderId="0" xfId="0" applyFont="1" applyFill="1" applyBorder="1"/>
    <xf numFmtId="0" fontId="6" fillId="5" borderId="0" xfId="0" applyFont="1" applyFill="1" applyBorder="1" applyAlignment="1">
      <alignment horizontal="center" vertical="center" wrapText="1"/>
    </xf>
    <xf numFmtId="0" fontId="7" fillId="5" borderId="7" xfId="0" applyFont="1" applyFill="1" applyBorder="1" applyAlignment="1">
      <alignment horizontal="left" vertical="center"/>
    </xf>
    <xf numFmtId="0" fontId="7" fillId="5" borderId="8" xfId="0" applyFont="1" applyFill="1" applyBorder="1" applyAlignment="1">
      <alignment horizontal="left" vertical="center"/>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5" borderId="2" xfId="0" applyFont="1" applyFill="1" applyBorder="1" applyAlignment="1">
      <alignment horizontal="left" vertical="center"/>
    </xf>
    <xf numFmtId="0" fontId="5" fillId="7" borderId="4" xfId="0" applyFont="1" applyFill="1" applyBorder="1"/>
    <xf numFmtId="0" fontId="5" fillId="7" borderId="0" xfId="0" applyFont="1" applyFill="1" applyBorder="1"/>
    <xf numFmtId="0" fontId="5" fillId="6" borderId="0" xfId="0" applyFont="1" applyFill="1" applyBorder="1"/>
    <xf numFmtId="0" fontId="0" fillId="6" borderId="0" xfId="0" applyFill="1"/>
    <xf numFmtId="0" fontId="7" fillId="7" borderId="4" xfId="0" applyFont="1" applyFill="1" applyBorder="1" applyAlignment="1">
      <alignment horizontal="left" vertical="center"/>
    </xf>
    <xf numFmtId="0" fontId="6" fillId="7" borderId="5" xfId="0" applyFont="1" applyFill="1" applyBorder="1" applyAlignment="1">
      <alignment horizontal="left" vertical="center"/>
    </xf>
    <xf numFmtId="0" fontId="6" fillId="7" borderId="12" xfId="0" applyFont="1" applyFill="1" applyBorder="1" applyAlignment="1">
      <alignment horizontal="left" vertical="center"/>
    </xf>
    <xf numFmtId="0" fontId="5" fillId="7" borderId="12" xfId="0" applyFont="1" applyFill="1" applyBorder="1"/>
    <xf numFmtId="0" fontId="15" fillId="7" borderId="4" xfId="0" applyFont="1" applyFill="1" applyBorder="1"/>
    <xf numFmtId="0" fontId="7" fillId="7" borderId="0" xfId="0" applyFont="1" applyFill="1" applyBorder="1" applyAlignment="1">
      <alignment horizontal="left" vertical="center"/>
    </xf>
    <xf numFmtId="0" fontId="6" fillId="7" borderId="0" xfId="0" applyFont="1" applyFill="1" applyBorder="1" applyAlignment="1">
      <alignment horizontal="left" vertical="center"/>
    </xf>
    <xf numFmtId="0" fontId="5" fillId="6" borderId="4" xfId="0" applyFont="1" applyFill="1" applyBorder="1"/>
    <xf numFmtId="0" fontId="5" fillId="6" borderId="10" xfId="0" applyFont="1" applyFill="1" applyBorder="1"/>
    <xf numFmtId="0" fontId="7" fillId="7" borderId="11" xfId="0" applyFont="1" applyFill="1" applyBorder="1" applyAlignment="1">
      <alignment horizontal="center" vertical="center" wrapText="1"/>
    </xf>
    <xf numFmtId="0" fontId="6" fillId="7" borderId="0" xfId="0" applyFont="1" applyFill="1" applyBorder="1" applyAlignment="1">
      <alignment horizontal="center" vertical="center" wrapText="1"/>
    </xf>
    <xf numFmtId="0" fontId="5" fillId="7" borderId="11" xfId="0" applyFont="1" applyFill="1" applyBorder="1"/>
    <xf numFmtId="0" fontId="5" fillId="8" borderId="0" xfId="0" applyFont="1" applyFill="1" applyBorder="1"/>
    <xf numFmtId="0" fontId="5" fillId="8" borderId="8" xfId="0" applyFont="1" applyFill="1" applyBorder="1"/>
    <xf numFmtId="0" fontId="5" fillId="2" borderId="7" xfId="0" applyFont="1" applyFill="1" applyBorder="1"/>
    <xf numFmtId="0" fontId="0" fillId="0" borderId="13" xfId="0" applyBorder="1"/>
    <xf numFmtId="0" fontId="20" fillId="10" borderId="14" xfId="0" applyFont="1" applyFill="1" applyBorder="1" applyAlignment="1">
      <alignment horizontal="center" vertical="center" wrapText="1"/>
    </xf>
    <xf numFmtId="0" fontId="20" fillId="10" borderId="15" xfId="0" applyFont="1" applyFill="1" applyBorder="1" applyAlignment="1">
      <alignment horizontal="center" vertical="center" wrapText="1"/>
    </xf>
    <xf numFmtId="0" fontId="20" fillId="10" borderId="1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0" fillId="0" borderId="4" xfId="0" applyBorder="1"/>
    <xf numFmtId="0" fontId="0" fillId="0" borderId="5" xfId="0" applyBorder="1"/>
    <xf numFmtId="0" fontId="0" fillId="0" borderId="12" xfId="0" applyBorder="1"/>
    <xf numFmtId="0" fontId="0" fillId="0" borderId="7" xfId="0" applyBorder="1"/>
    <xf numFmtId="0" fontId="0" fillId="0" borderId="1" xfId="0" applyBorder="1"/>
    <xf numFmtId="0" fontId="0" fillId="0" borderId="2" xfId="0" applyBorder="1" applyAlignment="1">
      <alignment wrapText="1"/>
    </xf>
    <xf numFmtId="0" fontId="0" fillId="0" borderId="2" xfId="0" quotePrefix="1" applyBorder="1" applyAlignment="1">
      <alignment wrapText="1"/>
    </xf>
    <xf numFmtId="0" fontId="28" fillId="4" borderId="1"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3" borderId="2" xfId="0" quotePrefix="1" applyFill="1" applyBorder="1" applyAlignment="1">
      <alignment horizontal="center" vertical="center" wrapText="1"/>
    </xf>
    <xf numFmtId="0" fontId="7" fillId="6" borderId="0" xfId="0" applyFont="1" applyFill="1" applyBorder="1" applyAlignment="1">
      <alignment horizontal="left" vertical="center"/>
    </xf>
    <xf numFmtId="0" fontId="0" fillId="13" borderId="3" xfId="0" quotePrefix="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0" fillId="15" borderId="2" xfId="0" quotePrefix="1" applyFill="1" applyBorder="1" applyAlignment="1">
      <alignment horizontal="center" vertical="center" wrapText="1"/>
    </xf>
    <xf numFmtId="0" fontId="0" fillId="0" borderId="0" xfId="0" applyFill="1" applyBorder="1"/>
    <xf numFmtId="2" fontId="0" fillId="0" borderId="0" xfId="0" applyNumberFormat="1"/>
    <xf numFmtId="0" fontId="0" fillId="0" borderId="0" xfId="0" applyFill="1"/>
    <xf numFmtId="0" fontId="29" fillId="0" borderId="0" xfId="0" applyFont="1"/>
    <xf numFmtId="0" fontId="30" fillId="0" borderId="0" xfId="0" applyFont="1" applyFill="1" applyBorder="1" applyAlignment="1">
      <alignment horizontal="center"/>
    </xf>
    <xf numFmtId="0" fontId="31" fillId="0" borderId="0" xfId="0" applyFont="1"/>
    <xf numFmtId="0" fontId="33" fillId="0" borderId="0" xfId="0" quotePrefix="1" applyFont="1" applyAlignment="1">
      <alignment wrapText="1"/>
    </xf>
    <xf numFmtId="164" fontId="32" fillId="0" borderId="0" xfId="0" applyNumberFormat="1" applyFont="1" applyFill="1" applyBorder="1" applyAlignment="1">
      <alignment horizontal="center"/>
    </xf>
    <xf numFmtId="2" fontId="30" fillId="0" borderId="0" xfId="0" applyNumberFormat="1" applyFont="1" applyFill="1" applyBorder="1" applyAlignment="1">
      <alignment horizontal="center"/>
    </xf>
    <xf numFmtId="0" fontId="6" fillId="4" borderId="2" xfId="0" applyFont="1" applyFill="1" applyBorder="1" applyAlignment="1">
      <alignment horizontal="left" vertical="center"/>
    </xf>
    <xf numFmtId="0" fontId="28" fillId="4" borderId="2" xfId="0" applyFont="1" applyFill="1" applyBorder="1" applyAlignment="1">
      <alignment horizontal="center" vertical="center" wrapText="1"/>
    </xf>
    <xf numFmtId="0" fontId="0" fillId="0" borderId="0" xfId="0" applyAlignment="1"/>
    <xf numFmtId="0" fontId="0" fillId="0" borderId="0" xfId="0" applyFill="1" applyAlignment="1"/>
    <xf numFmtId="0" fontId="34" fillId="0" borderId="0" xfId="0" applyFont="1"/>
    <xf numFmtId="2" fontId="30" fillId="0" borderId="0" xfId="0" applyNumberFormat="1" applyFont="1" applyFill="1"/>
    <xf numFmtId="0" fontId="29" fillId="0" borderId="0" xfId="0" quotePrefix="1" applyFont="1"/>
    <xf numFmtId="164" fontId="30" fillId="0" borderId="0" xfId="0" applyNumberFormat="1" applyFont="1" applyFill="1" applyBorder="1" applyAlignment="1">
      <alignment horizontal="center"/>
    </xf>
    <xf numFmtId="0" fontId="29" fillId="0" borderId="0" xfId="0" applyFont="1" applyFill="1"/>
    <xf numFmtId="0" fontId="6" fillId="16" borderId="8" xfId="0" quotePrefix="1" applyFont="1" applyFill="1" applyBorder="1" applyAlignment="1">
      <alignment horizontal="center" vertical="center" wrapText="1"/>
    </xf>
    <xf numFmtId="0" fontId="6" fillId="16" borderId="2"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20" fillId="16" borderId="0" xfId="0" applyFont="1" applyFill="1" applyAlignment="1">
      <alignment vertical="center"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1" fontId="0" fillId="0" borderId="0" xfId="0" applyNumberFormat="1"/>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colors>
    <mruColors>
      <color rgb="FFFFFF98"/>
      <color rgb="FFFFFF9A"/>
      <color rgb="FFC6E0B4"/>
      <color rgb="FFA9D08D"/>
      <color rgb="FFCEFD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15"/>
  <sheetViews>
    <sheetView tabSelected="1" topLeftCell="CV1" workbookViewId="0">
      <selection activeCell="CY4" sqref="CY4:DD9"/>
    </sheetView>
  </sheetViews>
  <sheetFormatPr baseColWidth="10" defaultColWidth="11" defaultRowHeight="16"/>
  <cols>
    <col min="11" max="11" width="14.1640625" customWidth="1"/>
    <col min="12" max="12" width="25.6640625" customWidth="1"/>
    <col min="13" max="13" width="16" style="1" customWidth="1"/>
    <col min="14" max="14" width="22.33203125" customWidth="1"/>
    <col min="24" max="24" width="23" customWidth="1"/>
    <col min="34" max="34" width="13.33203125" customWidth="1"/>
    <col min="35" max="36" width="14.33203125" customWidth="1"/>
    <col min="38" max="38" width="16.33203125" customWidth="1"/>
    <col min="39" max="39" width="13.5" customWidth="1"/>
    <col min="47" max="47" width="13.5" customWidth="1"/>
    <col min="48" max="48" width="13.83203125" customWidth="1"/>
    <col min="49" max="49" width="14.1640625" customWidth="1"/>
    <col min="50" max="50" width="16.6640625" customWidth="1"/>
    <col min="52" max="52" width="12.83203125" customWidth="1"/>
    <col min="54" max="54" width="16.33203125" customWidth="1"/>
    <col min="55" max="55" width="12.83203125" customWidth="1"/>
    <col min="56" max="56" width="13.33203125" customWidth="1"/>
    <col min="57" max="57" width="14.33203125" customWidth="1"/>
    <col min="58" max="58" width="14.5" customWidth="1"/>
    <col min="59" max="59" width="16.5" customWidth="1"/>
    <col min="61" max="61" width="14.5" customWidth="1"/>
    <col min="62" max="62" width="14.1640625" customWidth="1"/>
    <col min="64" max="64" width="14" customWidth="1"/>
    <col min="65" max="65" width="13.83203125" customWidth="1"/>
    <col min="66" max="66" width="13.1640625" customWidth="1"/>
    <col min="69" max="69" width="13.6640625" customWidth="1"/>
    <col min="70" max="70" width="12.83203125" customWidth="1"/>
    <col min="71" max="71" width="14.83203125" customWidth="1"/>
    <col min="72" max="72" width="13.1640625" customWidth="1"/>
    <col min="74" max="74" width="15.1640625" customWidth="1"/>
    <col min="75" max="75" width="15.83203125" customWidth="1"/>
    <col min="76" max="76" width="15.6640625" customWidth="1"/>
    <col min="77" max="77" width="16.6640625" customWidth="1"/>
    <col min="78" max="79" width="14.5" customWidth="1"/>
    <col min="81" max="81" width="15.83203125" customWidth="1"/>
    <col min="82" max="82" width="15.6640625" customWidth="1"/>
    <col min="83" max="84" width="16" customWidth="1"/>
    <col min="85" max="85" width="19" customWidth="1"/>
    <col min="86" max="86" width="14" customWidth="1"/>
    <col min="90" max="90" width="15" customWidth="1"/>
    <col min="91" max="91" width="12.6640625" customWidth="1"/>
    <col min="95" max="95" width="12.83203125" customWidth="1"/>
    <col min="102" max="102" width="13.1640625" customWidth="1"/>
    <col min="103" max="103" width="13.83203125" customWidth="1"/>
    <col min="116" max="116" width="14.5" customWidth="1"/>
    <col min="117" max="117" width="13.83203125" customWidth="1"/>
    <col min="118" max="118" width="15" customWidth="1"/>
    <col min="120" max="121" width="15.33203125" customWidth="1"/>
    <col min="123" max="123" width="14.1640625" customWidth="1"/>
    <col min="126" max="126" width="14.33203125" customWidth="1"/>
    <col min="127" max="128" width="13.83203125" customWidth="1"/>
    <col min="129" max="129" width="15.1640625" customWidth="1"/>
    <col min="130" max="130" width="14.6640625" customWidth="1"/>
    <col min="131" max="131" width="15" customWidth="1"/>
    <col min="132" max="132" width="13.33203125" customWidth="1"/>
    <col min="136" max="136" width="14.83203125" customWidth="1"/>
    <col min="137" max="137" width="14.6640625" customWidth="1"/>
    <col min="138" max="138" width="13.83203125" customWidth="1"/>
    <col min="139" max="139" width="15" customWidth="1"/>
    <col min="140" max="140" width="14.33203125" customWidth="1"/>
    <col min="142" max="142" width="15.33203125" customWidth="1"/>
    <col min="143" max="144" width="15" customWidth="1"/>
    <col min="145" max="145" width="14.83203125" customWidth="1"/>
    <col min="146" max="147" width="14.6640625" customWidth="1"/>
    <col min="148" max="148" width="15.1640625" customWidth="1"/>
    <col min="151" max="151" width="14.33203125" customWidth="1"/>
    <col min="152" max="152" width="15" customWidth="1"/>
    <col min="154" max="154" width="15.5" customWidth="1"/>
    <col min="155" max="155" width="15.1640625" customWidth="1"/>
    <col min="156" max="156" width="15.33203125" customWidth="1"/>
    <col min="157" max="158" width="13.83203125" customWidth="1"/>
    <col min="159" max="159" width="14.6640625" customWidth="1"/>
    <col min="160" max="160" width="17" customWidth="1"/>
    <col min="161" max="161" width="13.1640625" customWidth="1"/>
    <col min="162" max="163" width="14" customWidth="1"/>
    <col min="164" max="164" width="13.6640625" customWidth="1"/>
    <col min="167" max="167" width="13.1640625" customWidth="1"/>
    <col min="168" max="169" width="13.83203125" customWidth="1"/>
    <col min="170" max="170" width="16" customWidth="1"/>
    <col min="171" max="172" width="15.5" customWidth="1"/>
    <col min="173" max="173" width="20.5" customWidth="1"/>
  </cols>
  <sheetData>
    <row r="1" spans="1:191" ht="18">
      <c r="A1" s="113" t="s">
        <v>123</v>
      </c>
      <c r="B1" s="114"/>
      <c r="C1" s="114"/>
      <c r="D1" s="114"/>
      <c r="E1" s="114"/>
      <c r="F1" s="114"/>
      <c r="G1" s="114"/>
      <c r="H1" s="114"/>
      <c r="I1" s="114"/>
      <c r="J1" s="115"/>
      <c r="K1" s="4" t="s">
        <v>1</v>
      </c>
      <c r="L1" s="5"/>
      <c r="M1" s="6"/>
      <c r="N1" s="7"/>
      <c r="O1" s="8" t="s">
        <v>2</v>
      </c>
      <c r="P1" s="9"/>
      <c r="Q1" s="9"/>
      <c r="R1" s="9"/>
      <c r="S1" s="9"/>
      <c r="T1" s="9"/>
      <c r="U1" s="10"/>
      <c r="V1" s="11"/>
      <c r="W1" s="10"/>
      <c r="X1" s="9"/>
      <c r="Y1" s="9"/>
      <c r="Z1" s="9"/>
      <c r="AA1" s="9"/>
      <c r="AB1" s="9"/>
      <c r="AC1" s="9"/>
      <c r="AD1" s="9"/>
      <c r="AE1" s="9"/>
      <c r="AF1" s="9"/>
      <c r="AG1" s="12" t="s">
        <v>3</v>
      </c>
      <c r="AH1" s="13"/>
      <c r="AI1" s="14"/>
      <c r="AJ1" s="14"/>
      <c r="AK1" s="15"/>
      <c r="AL1" s="15"/>
      <c r="AM1" s="15"/>
      <c r="AN1" s="16"/>
      <c r="AO1" s="15"/>
      <c r="AP1" s="15"/>
      <c r="AQ1" s="15"/>
      <c r="AR1" s="15"/>
      <c r="AS1" s="15"/>
      <c r="AT1" s="15"/>
      <c r="AU1" s="17" t="s">
        <v>4</v>
      </c>
      <c r="AV1" s="18"/>
      <c r="AW1" s="18"/>
      <c r="AX1" s="18"/>
      <c r="AY1" s="18"/>
      <c r="AZ1" s="18"/>
      <c r="BA1" s="18"/>
      <c r="BB1" s="19"/>
      <c r="BC1" s="20"/>
      <c r="BD1" s="20"/>
      <c r="BE1" s="20"/>
      <c r="BF1" s="21"/>
      <c r="BG1" s="22"/>
      <c r="BH1" s="23" t="s">
        <v>5</v>
      </c>
      <c r="BI1" s="24"/>
      <c r="BJ1" s="24"/>
      <c r="BK1" s="24"/>
      <c r="BL1" s="24"/>
      <c r="BM1" s="24"/>
      <c r="BN1" s="24"/>
      <c r="BO1" s="25"/>
      <c r="BP1" s="26" t="s">
        <v>6</v>
      </c>
      <c r="BQ1" s="26"/>
      <c r="BR1" s="27"/>
      <c r="BS1" s="27"/>
      <c r="BT1" s="27"/>
      <c r="BU1" s="28" t="s">
        <v>7</v>
      </c>
      <c r="BV1" s="29"/>
      <c r="BW1" s="29"/>
      <c r="BX1" s="28"/>
      <c r="BY1" s="31"/>
      <c r="BZ1" s="31"/>
      <c r="CA1" s="32"/>
      <c r="CB1" s="31" t="s">
        <v>8</v>
      </c>
      <c r="CC1" s="33"/>
      <c r="CD1" s="31"/>
      <c r="CE1" s="31"/>
      <c r="CF1" s="31"/>
      <c r="CG1" s="31"/>
      <c r="CH1" s="31"/>
      <c r="CI1" s="31"/>
      <c r="CJ1" s="31"/>
      <c r="CK1" s="31"/>
      <c r="CL1" s="31"/>
      <c r="CM1" s="31"/>
      <c r="CN1" s="28" t="s">
        <v>9</v>
      </c>
      <c r="CO1" s="31"/>
      <c r="CP1" s="31"/>
      <c r="CQ1" s="31"/>
      <c r="CR1" s="31"/>
      <c r="CS1" s="31"/>
      <c r="CT1" s="32"/>
      <c r="CU1" s="29" t="s">
        <v>10</v>
      </c>
      <c r="CV1" s="29"/>
      <c r="CW1" s="29"/>
      <c r="CX1" s="29"/>
      <c r="CY1" s="29"/>
      <c r="CZ1" s="29"/>
      <c r="DA1" s="29"/>
      <c r="DB1" s="29"/>
      <c r="DC1" s="29"/>
      <c r="DD1" s="29"/>
      <c r="DE1" s="29"/>
      <c r="DF1" s="29"/>
      <c r="DG1" s="29"/>
      <c r="DH1" s="29"/>
      <c r="DI1" s="29"/>
      <c r="DJ1" s="29"/>
      <c r="DK1" s="29"/>
      <c r="DL1" s="29"/>
      <c r="DM1" s="29"/>
      <c r="DN1" s="29"/>
      <c r="DO1" s="34"/>
      <c r="DP1" s="31"/>
      <c r="DQ1" s="31"/>
      <c r="DR1" s="32"/>
      <c r="DS1" s="29"/>
      <c r="DT1" s="29"/>
      <c r="DU1" s="35" t="s">
        <v>11</v>
      </c>
      <c r="DV1" s="29"/>
      <c r="DW1" s="29"/>
      <c r="DX1" s="29"/>
      <c r="DY1" s="29"/>
      <c r="DZ1" s="30"/>
      <c r="EA1" s="35" t="s">
        <v>12</v>
      </c>
      <c r="EB1" s="29"/>
      <c r="EC1" s="29"/>
      <c r="ED1" s="29"/>
      <c r="EE1" s="29"/>
      <c r="EF1" s="36"/>
      <c r="EG1" s="65"/>
      <c r="EH1" s="37" t="s">
        <v>13</v>
      </c>
      <c r="EI1" s="37"/>
      <c r="EJ1" s="37"/>
      <c r="EK1" s="37"/>
      <c r="EL1" s="37"/>
      <c r="EM1" s="37"/>
      <c r="EN1" s="37"/>
      <c r="EO1" s="37"/>
      <c r="EP1" s="37"/>
      <c r="EQ1" s="37"/>
      <c r="ER1" s="37"/>
      <c r="ES1" s="38" t="s">
        <v>14</v>
      </c>
      <c r="ET1" s="39"/>
      <c r="EU1" s="39"/>
      <c r="EV1" s="39"/>
      <c r="EW1" s="40"/>
      <c r="EX1" s="40"/>
      <c r="EY1" s="40"/>
      <c r="EZ1" s="40"/>
      <c r="FA1" s="39"/>
      <c r="FB1" s="39"/>
      <c r="FC1" s="39"/>
      <c r="FD1" s="39"/>
      <c r="FE1" s="38"/>
      <c r="FF1" s="39"/>
      <c r="FG1" s="39"/>
      <c r="FH1" s="39"/>
      <c r="FI1" s="39"/>
      <c r="FJ1" s="39"/>
      <c r="FK1" s="9"/>
      <c r="FL1" s="9"/>
      <c r="FM1" s="9"/>
      <c r="FN1" s="9"/>
      <c r="FO1" s="9"/>
      <c r="FP1" s="9"/>
      <c r="FQ1" s="41"/>
    </row>
    <row r="2" spans="1:191" ht="20">
      <c r="A2" s="116"/>
      <c r="B2" s="43"/>
      <c r="C2" s="43"/>
      <c r="D2" s="43"/>
      <c r="E2" s="43"/>
      <c r="F2" s="43"/>
      <c r="G2" s="43"/>
      <c r="H2" s="43"/>
      <c r="I2" s="43"/>
      <c r="J2" s="45"/>
      <c r="K2" s="42"/>
      <c r="L2" s="43"/>
      <c r="M2" s="44"/>
      <c r="N2" s="45"/>
      <c r="O2" s="46"/>
      <c r="P2" s="46"/>
      <c r="Q2" s="46"/>
      <c r="R2" s="46"/>
      <c r="S2" s="46"/>
      <c r="T2" s="46"/>
      <c r="U2" s="47"/>
      <c r="V2" s="48"/>
      <c r="W2" s="47"/>
      <c r="X2" s="46"/>
      <c r="Y2" s="46"/>
      <c r="Z2" s="46"/>
      <c r="AA2" s="46"/>
      <c r="AB2" s="46"/>
      <c r="AC2" s="46"/>
      <c r="AD2" s="46"/>
      <c r="AE2" s="46"/>
      <c r="AF2" s="46"/>
      <c r="AG2" s="49"/>
      <c r="AH2" s="13"/>
      <c r="AI2" s="14"/>
      <c r="AJ2" s="14"/>
      <c r="AK2" s="15"/>
      <c r="AL2" s="15"/>
      <c r="AM2" s="15"/>
      <c r="AN2" s="16" t="s">
        <v>15</v>
      </c>
      <c r="AO2" s="15"/>
      <c r="AP2" s="15"/>
      <c r="AQ2" s="15"/>
      <c r="AR2" s="15"/>
      <c r="AS2" s="15"/>
      <c r="AT2" s="15"/>
      <c r="AU2" s="19"/>
      <c r="AV2" s="20"/>
      <c r="AW2" s="18"/>
      <c r="AX2" s="18"/>
      <c r="AY2" s="18"/>
      <c r="AZ2" s="18"/>
      <c r="BA2" s="20"/>
      <c r="BB2" s="50" t="s">
        <v>16</v>
      </c>
      <c r="BC2" s="137"/>
      <c r="BD2" s="137"/>
      <c r="BE2" s="20"/>
      <c r="BF2" s="21"/>
      <c r="BG2" s="22"/>
      <c r="BH2" s="51" t="s">
        <v>17</v>
      </c>
      <c r="BI2" s="52"/>
      <c r="BJ2" s="52"/>
      <c r="BK2" s="53" t="s">
        <v>18</v>
      </c>
      <c r="BL2" s="54"/>
      <c r="BM2" s="55"/>
      <c r="BN2" s="55"/>
      <c r="BO2" s="56"/>
      <c r="BP2" s="57"/>
      <c r="BQ2" s="57"/>
      <c r="BR2" s="24"/>
      <c r="BS2" s="24"/>
      <c r="BT2" s="24"/>
      <c r="BU2" s="58" t="s">
        <v>19</v>
      </c>
      <c r="BV2" s="59"/>
      <c r="BW2" s="59"/>
      <c r="BX2" s="28" t="s">
        <v>20</v>
      </c>
      <c r="BY2" s="31"/>
      <c r="BZ2" s="31"/>
      <c r="CA2" s="32"/>
      <c r="CB2" s="123" t="s">
        <v>21</v>
      </c>
      <c r="CC2" s="61"/>
      <c r="CD2" s="60"/>
      <c r="CE2" s="60"/>
      <c r="CF2" s="60"/>
      <c r="CG2" s="60"/>
      <c r="CH2" s="60"/>
      <c r="CI2" s="60"/>
      <c r="CJ2" s="60"/>
      <c r="CK2" s="60"/>
      <c r="CL2" s="60"/>
      <c r="CM2" s="60"/>
      <c r="CN2" s="28" t="s">
        <v>22</v>
      </c>
      <c r="CO2" s="33"/>
      <c r="CP2" s="31"/>
      <c r="CQ2" s="31"/>
      <c r="CR2" s="31"/>
      <c r="CS2" s="31"/>
      <c r="CT2" s="32"/>
      <c r="CU2" s="59" t="s">
        <v>23</v>
      </c>
      <c r="CV2" s="59"/>
      <c r="CW2" s="59"/>
      <c r="CX2" s="59"/>
      <c r="CY2" s="62" t="s">
        <v>24</v>
      </c>
      <c r="CZ2" s="63"/>
      <c r="DA2" s="63"/>
      <c r="DB2" s="64"/>
      <c r="DC2" s="62" t="s">
        <v>25</v>
      </c>
      <c r="DD2" s="36"/>
      <c r="DE2" s="36"/>
      <c r="DF2" s="65"/>
      <c r="DG2" s="66" t="s">
        <v>26</v>
      </c>
      <c r="DH2" s="36"/>
      <c r="DI2" s="36"/>
      <c r="DJ2" s="65"/>
      <c r="DK2" s="67" t="s">
        <v>27</v>
      </c>
      <c r="DL2" s="68"/>
      <c r="DM2" s="59"/>
      <c r="DN2" s="59"/>
      <c r="DO2" s="69" t="s">
        <v>28</v>
      </c>
      <c r="DP2" s="60"/>
      <c r="DQ2" s="60"/>
      <c r="DR2" s="70"/>
      <c r="DS2" s="59" t="s">
        <v>29</v>
      </c>
      <c r="DT2" s="59"/>
      <c r="DU2" s="71" t="s">
        <v>30</v>
      </c>
      <c r="DV2" s="72"/>
      <c r="DW2" s="72"/>
      <c r="DX2" s="72"/>
      <c r="DY2" s="59"/>
      <c r="DZ2" s="59"/>
      <c r="EA2" s="73"/>
      <c r="EB2" s="59"/>
      <c r="EC2" s="59"/>
      <c r="ED2" s="59"/>
      <c r="EE2" s="36"/>
      <c r="EF2" s="58" t="s">
        <v>31</v>
      </c>
      <c r="EG2" s="30"/>
      <c r="EH2" s="37"/>
      <c r="EI2" s="37"/>
      <c r="EJ2" s="37"/>
      <c r="EK2" s="74"/>
      <c r="EL2" s="74"/>
      <c r="EM2" s="74"/>
      <c r="EN2" s="74"/>
      <c r="EO2" s="75"/>
      <c r="EP2" s="75"/>
      <c r="EQ2" s="75"/>
      <c r="ER2" s="75"/>
      <c r="ES2" s="76"/>
      <c r="ET2" s="46"/>
      <c r="EU2" s="46"/>
      <c r="EV2" s="46"/>
      <c r="EW2" s="46"/>
      <c r="EX2" s="46"/>
      <c r="EY2" s="46"/>
      <c r="EZ2" s="46"/>
      <c r="FA2" s="46"/>
      <c r="FB2" s="46"/>
      <c r="FC2" s="46"/>
      <c r="FD2" s="46"/>
      <c r="FE2" s="8"/>
      <c r="FF2" s="9"/>
      <c r="FG2" s="9"/>
      <c r="FH2" s="9"/>
      <c r="FI2" s="9"/>
      <c r="FJ2" s="9"/>
      <c r="FK2" s="9"/>
      <c r="FL2" s="9"/>
      <c r="FM2" s="9"/>
      <c r="FN2" s="9"/>
      <c r="FO2" s="9"/>
      <c r="FP2" s="46"/>
      <c r="FQ2" s="77"/>
    </row>
    <row r="3" spans="1:191" ht="238">
      <c r="A3" s="117" t="s">
        <v>124</v>
      </c>
      <c r="B3" s="118" t="s">
        <v>125</v>
      </c>
      <c r="C3" s="118" t="s">
        <v>126</v>
      </c>
      <c r="D3" s="5" t="s">
        <v>127</v>
      </c>
      <c r="E3" s="5" t="s">
        <v>128</v>
      </c>
      <c r="F3" s="119" t="s">
        <v>129</v>
      </c>
      <c r="G3" s="119" t="s">
        <v>130</v>
      </c>
      <c r="H3" s="152" t="s">
        <v>233</v>
      </c>
      <c r="I3" s="153" t="s">
        <v>234</v>
      </c>
      <c r="J3" s="154" t="s">
        <v>235</v>
      </c>
      <c r="K3" s="78" t="s">
        <v>32</v>
      </c>
      <c r="L3" s="79" t="s">
        <v>33</v>
      </c>
      <c r="M3" s="79" t="s">
        <v>34</v>
      </c>
      <c r="N3" s="80" t="s">
        <v>35</v>
      </c>
      <c r="O3" s="81" t="s">
        <v>36</v>
      </c>
      <c r="P3" s="81" t="s">
        <v>37</v>
      </c>
      <c r="Q3" s="81" t="s">
        <v>38</v>
      </c>
      <c r="R3" s="81" t="s">
        <v>39</v>
      </c>
      <c r="S3" s="81" t="s">
        <v>40</v>
      </c>
      <c r="T3" s="81" t="s">
        <v>41</v>
      </c>
      <c r="U3" s="81" t="s">
        <v>42</v>
      </c>
      <c r="V3" s="82" t="s">
        <v>43</v>
      </c>
      <c r="W3" s="81" t="s">
        <v>44</v>
      </c>
      <c r="X3" s="81" t="s">
        <v>45</v>
      </c>
      <c r="Y3" s="81" t="s">
        <v>46</v>
      </c>
      <c r="Z3" s="81" t="s">
        <v>47</v>
      </c>
      <c r="AA3" s="81" t="s">
        <v>48</v>
      </c>
      <c r="AB3" s="81" t="s">
        <v>49</v>
      </c>
      <c r="AC3" s="81" t="s">
        <v>50</v>
      </c>
      <c r="AD3" s="81" t="s">
        <v>51</v>
      </c>
      <c r="AE3" s="81" t="s">
        <v>52</v>
      </c>
      <c r="AF3" s="81" t="s">
        <v>53</v>
      </c>
      <c r="AG3" s="83" t="s">
        <v>135</v>
      </c>
      <c r="AH3" s="84" t="s">
        <v>54</v>
      </c>
      <c r="AI3" s="121" t="s">
        <v>136</v>
      </c>
      <c r="AJ3" s="121" t="s">
        <v>137</v>
      </c>
      <c r="AK3" s="85" t="s">
        <v>55</v>
      </c>
      <c r="AL3" s="85" t="s">
        <v>56</v>
      </c>
      <c r="AM3" s="86" t="s">
        <v>57</v>
      </c>
      <c r="AN3" s="83" t="s">
        <v>135</v>
      </c>
      <c r="AO3" s="84" t="s">
        <v>54</v>
      </c>
      <c r="AP3" s="121" t="s">
        <v>136</v>
      </c>
      <c r="AQ3" s="121" t="s">
        <v>137</v>
      </c>
      <c r="AR3" s="85" t="s">
        <v>55</v>
      </c>
      <c r="AS3" s="85" t="s">
        <v>56</v>
      </c>
      <c r="AT3" s="85" t="s">
        <v>57</v>
      </c>
      <c r="AU3" s="87" t="s">
        <v>58</v>
      </c>
      <c r="AV3" s="88" t="s">
        <v>59</v>
      </c>
      <c r="AW3" s="88" t="s">
        <v>60</v>
      </c>
      <c r="AX3" s="88" t="s">
        <v>61</v>
      </c>
      <c r="AY3" s="88" t="s">
        <v>62</v>
      </c>
      <c r="AZ3" s="88" t="s">
        <v>63</v>
      </c>
      <c r="BA3" s="88" t="s">
        <v>64</v>
      </c>
      <c r="BB3" s="120" t="s">
        <v>131</v>
      </c>
      <c r="BC3" s="138" t="s">
        <v>218</v>
      </c>
      <c r="BD3" s="138" t="s">
        <v>219</v>
      </c>
      <c r="BE3" s="89" t="s">
        <v>65</v>
      </c>
      <c r="BF3" s="90" t="s">
        <v>66</v>
      </c>
      <c r="BG3" s="90" t="s">
        <v>67</v>
      </c>
      <c r="BH3" s="91" t="s">
        <v>68</v>
      </c>
      <c r="BI3" s="92" t="s">
        <v>69</v>
      </c>
      <c r="BJ3" s="93" t="s">
        <v>70</v>
      </c>
      <c r="BK3" s="94" t="s">
        <v>71</v>
      </c>
      <c r="BL3" s="95" t="s">
        <v>69</v>
      </c>
      <c r="BM3" s="96" t="s">
        <v>70</v>
      </c>
      <c r="BN3" s="55" t="s">
        <v>72</v>
      </c>
      <c r="BO3" s="56" t="s">
        <v>73</v>
      </c>
      <c r="BP3" s="96" t="s">
        <v>74</v>
      </c>
      <c r="BQ3" s="92" t="s">
        <v>69</v>
      </c>
      <c r="BR3" s="93" t="s">
        <v>70</v>
      </c>
      <c r="BS3" s="55" t="s">
        <v>232</v>
      </c>
      <c r="BT3" s="55" t="s">
        <v>75</v>
      </c>
      <c r="BU3" s="97" t="s">
        <v>76</v>
      </c>
      <c r="BV3" s="98" t="s">
        <v>54</v>
      </c>
      <c r="BW3" s="148" t="s">
        <v>143</v>
      </c>
      <c r="BX3" s="99" t="s">
        <v>77</v>
      </c>
      <c r="BY3" s="98" t="s">
        <v>54</v>
      </c>
      <c r="BZ3" s="122" t="s">
        <v>138</v>
      </c>
      <c r="CA3" s="124" t="s">
        <v>139</v>
      </c>
      <c r="CB3" s="100" t="s">
        <v>132</v>
      </c>
      <c r="CC3" s="99" t="s">
        <v>78</v>
      </c>
      <c r="CD3" s="98" t="s">
        <v>54</v>
      </c>
      <c r="CE3" s="122" t="s">
        <v>140</v>
      </c>
      <c r="CF3" s="124" t="s">
        <v>141</v>
      </c>
      <c r="CG3" s="100" t="s">
        <v>79</v>
      </c>
      <c r="CH3" s="100" t="s">
        <v>80</v>
      </c>
      <c r="CI3" s="100" t="s">
        <v>227</v>
      </c>
      <c r="CJ3" s="100" t="s">
        <v>228</v>
      </c>
      <c r="CK3" s="100" t="s">
        <v>81</v>
      </c>
      <c r="CL3" s="100" t="s">
        <v>82</v>
      </c>
      <c r="CM3" s="100" t="s">
        <v>83</v>
      </c>
      <c r="CN3" s="101" t="s">
        <v>133</v>
      </c>
      <c r="CO3" s="99" t="s">
        <v>84</v>
      </c>
      <c r="CP3" s="98" t="s">
        <v>54</v>
      </c>
      <c r="CQ3" s="98" t="s">
        <v>220</v>
      </c>
      <c r="CR3" s="100" t="s">
        <v>85</v>
      </c>
      <c r="CS3" s="100" t="s">
        <v>80</v>
      </c>
      <c r="CT3" s="100" t="s">
        <v>86</v>
      </c>
      <c r="CU3" s="97" t="s">
        <v>87</v>
      </c>
      <c r="CV3" s="98" t="s">
        <v>54</v>
      </c>
      <c r="CW3" s="98" t="s">
        <v>220</v>
      </c>
      <c r="CX3" s="102" t="s">
        <v>88</v>
      </c>
      <c r="CY3" s="99" t="s">
        <v>221</v>
      </c>
      <c r="CZ3" s="98" t="s">
        <v>54</v>
      </c>
      <c r="DA3" s="98" t="s">
        <v>220</v>
      </c>
      <c r="DB3" s="102" t="s">
        <v>89</v>
      </c>
      <c r="DC3" s="99" t="s">
        <v>222</v>
      </c>
      <c r="DD3" s="98" t="s">
        <v>54</v>
      </c>
      <c r="DE3" s="98" t="s">
        <v>220</v>
      </c>
      <c r="DF3" s="102" t="s">
        <v>90</v>
      </c>
      <c r="DG3" s="99" t="s">
        <v>223</v>
      </c>
      <c r="DH3" s="98" t="s">
        <v>54</v>
      </c>
      <c r="DI3" s="98" t="s">
        <v>220</v>
      </c>
      <c r="DJ3" s="102" t="s">
        <v>91</v>
      </c>
      <c r="DK3" s="99" t="s">
        <v>142</v>
      </c>
      <c r="DL3" s="98" t="s">
        <v>54</v>
      </c>
      <c r="DM3" s="98" t="s">
        <v>220</v>
      </c>
      <c r="DN3" s="103" t="s">
        <v>92</v>
      </c>
      <c r="DO3" s="97" t="s">
        <v>93</v>
      </c>
      <c r="DP3" s="98" t="s">
        <v>54</v>
      </c>
      <c r="DQ3" s="98" t="s">
        <v>220</v>
      </c>
      <c r="DR3" s="104" t="s">
        <v>94</v>
      </c>
      <c r="DS3" s="103" t="s">
        <v>95</v>
      </c>
      <c r="DT3" s="103" t="s">
        <v>96</v>
      </c>
      <c r="DU3" s="97" t="s">
        <v>97</v>
      </c>
      <c r="DV3" s="98" t="s">
        <v>54</v>
      </c>
      <c r="DW3" s="98" t="s">
        <v>220</v>
      </c>
      <c r="DX3" s="98" t="s">
        <v>209</v>
      </c>
      <c r="DY3" s="103" t="s">
        <v>98</v>
      </c>
      <c r="DZ3" s="102" t="s">
        <v>99</v>
      </c>
      <c r="EA3" s="100" t="s">
        <v>100</v>
      </c>
      <c r="EB3" s="103" t="s">
        <v>101</v>
      </c>
      <c r="EC3" s="103" t="s">
        <v>102</v>
      </c>
      <c r="ED3" s="103" t="s">
        <v>103</v>
      </c>
      <c r="EE3" s="105" t="s">
        <v>104</v>
      </c>
      <c r="EF3" s="106" t="s">
        <v>105</v>
      </c>
      <c r="EG3" s="103" t="s">
        <v>106</v>
      </c>
      <c r="EH3" s="149" t="s">
        <v>107</v>
      </c>
      <c r="EI3" s="150" t="s">
        <v>108</v>
      </c>
      <c r="EJ3" s="150" t="s">
        <v>109</v>
      </c>
      <c r="EK3" s="107" t="s">
        <v>134</v>
      </c>
      <c r="EL3" s="108" t="s">
        <v>54</v>
      </c>
      <c r="EM3" s="125" t="s">
        <v>225</v>
      </c>
      <c r="EN3" s="126" t="s">
        <v>226</v>
      </c>
      <c r="EO3" s="107" t="s">
        <v>110</v>
      </c>
      <c r="EP3" s="108" t="s">
        <v>54</v>
      </c>
      <c r="EQ3" s="125" t="s">
        <v>144</v>
      </c>
      <c r="ER3" s="126" t="s">
        <v>145</v>
      </c>
      <c r="ES3" s="109" t="s">
        <v>111</v>
      </c>
      <c r="ET3" s="81" t="s">
        <v>224</v>
      </c>
      <c r="EU3" s="127" t="s">
        <v>144</v>
      </c>
      <c r="EV3" s="127" t="s">
        <v>145</v>
      </c>
      <c r="EW3" s="81" t="s">
        <v>112</v>
      </c>
      <c r="EX3" s="81" t="s">
        <v>113</v>
      </c>
      <c r="EY3" s="81" t="s">
        <v>114</v>
      </c>
      <c r="EZ3" s="81" t="s">
        <v>115</v>
      </c>
      <c r="FA3" s="127" t="s">
        <v>146</v>
      </c>
      <c r="FB3" s="127" t="s">
        <v>147</v>
      </c>
      <c r="FC3" s="81" t="s">
        <v>116</v>
      </c>
      <c r="FD3" s="81" t="s">
        <v>117</v>
      </c>
      <c r="FE3" s="109" t="s">
        <v>118</v>
      </c>
      <c r="FF3" s="146" t="s">
        <v>211</v>
      </c>
      <c r="FG3" s="146" t="s">
        <v>212</v>
      </c>
      <c r="FH3" s="81" t="s">
        <v>119</v>
      </c>
      <c r="FI3" s="146" t="s">
        <v>213</v>
      </c>
      <c r="FJ3" s="146" t="s">
        <v>214</v>
      </c>
      <c r="FK3" s="110" t="s">
        <v>120</v>
      </c>
      <c r="FL3" s="110" t="s">
        <v>215</v>
      </c>
      <c r="FM3" s="110" t="s">
        <v>216</v>
      </c>
      <c r="FN3" s="110" t="s">
        <v>121</v>
      </c>
      <c r="FO3" s="147" t="s">
        <v>217</v>
      </c>
      <c r="FP3" s="151" t="s">
        <v>231</v>
      </c>
      <c r="FQ3" s="111" t="s">
        <v>122</v>
      </c>
      <c r="FR3" s="112"/>
      <c r="FS3" s="112"/>
      <c r="FT3" s="112"/>
      <c r="FU3" s="112"/>
      <c r="FV3" s="112"/>
      <c r="FW3" s="112"/>
      <c r="FX3" s="112"/>
      <c r="FY3" s="112"/>
      <c r="FZ3" s="112"/>
      <c r="GA3" s="112"/>
      <c r="GB3" s="112"/>
      <c r="GC3" s="112"/>
      <c r="GD3" s="112"/>
      <c r="GE3" s="112"/>
      <c r="GF3" s="112"/>
      <c r="GG3" s="112"/>
      <c r="GH3" s="112"/>
      <c r="GI3" s="112"/>
    </row>
    <row r="4" spans="1:191">
      <c r="A4" s="128" t="s">
        <v>148</v>
      </c>
      <c r="B4" t="s">
        <v>149</v>
      </c>
      <c r="C4">
        <v>2013</v>
      </c>
      <c r="D4" t="s">
        <v>150</v>
      </c>
      <c r="E4" s="129">
        <v>13798.50762</v>
      </c>
      <c r="F4" t="s">
        <v>173</v>
      </c>
      <c r="G4" t="s">
        <v>173</v>
      </c>
      <c r="H4" s="155">
        <f>EZ4</f>
        <v>310.6649136327635</v>
      </c>
      <c r="I4" s="155">
        <f>FA4</f>
        <v>57.664913632763501</v>
      </c>
      <c r="J4" s="155">
        <f>FB4</f>
        <v>58.335086367236499</v>
      </c>
      <c r="K4" t="s">
        <v>206</v>
      </c>
      <c r="L4" t="s">
        <v>151</v>
      </c>
      <c r="M4" s="139" t="s">
        <v>176</v>
      </c>
      <c r="N4" t="s">
        <v>150</v>
      </c>
      <c r="O4" s="130" t="s">
        <v>152</v>
      </c>
      <c r="P4" s="130" t="s">
        <v>173</v>
      </c>
      <c r="Q4" s="130" t="s">
        <v>173</v>
      </c>
      <c r="R4" s="130" t="s">
        <v>173</v>
      </c>
      <c r="S4" s="130" t="s">
        <v>173</v>
      </c>
      <c r="T4" s="130" t="s">
        <v>173</v>
      </c>
      <c r="U4" s="129">
        <v>13798.50762</v>
      </c>
      <c r="V4" s="130">
        <v>0</v>
      </c>
      <c r="W4" s="130" t="s">
        <v>182</v>
      </c>
      <c r="X4" s="131" t="s">
        <v>183</v>
      </c>
      <c r="Y4" s="145">
        <v>35.926000000000002</v>
      </c>
      <c r="Z4" s="145">
        <v>4.335</v>
      </c>
      <c r="AA4" s="131">
        <v>32.5</v>
      </c>
      <c r="AB4" s="131" t="s">
        <v>173</v>
      </c>
      <c r="AC4" s="131" t="s">
        <v>189</v>
      </c>
      <c r="AD4" s="143" t="s">
        <v>188</v>
      </c>
      <c r="AE4" s="133" t="s">
        <v>190</v>
      </c>
      <c r="AF4" s="131" t="s">
        <v>173</v>
      </c>
      <c r="AG4" s="132">
        <v>13798.50762</v>
      </c>
      <c r="AH4" s="140" t="s">
        <v>178</v>
      </c>
      <c r="AI4" t="s">
        <v>173</v>
      </c>
      <c r="AJ4" t="s">
        <v>173</v>
      </c>
      <c r="AK4" t="s">
        <v>173</v>
      </c>
      <c r="AL4" s="130" t="s">
        <v>180</v>
      </c>
      <c r="AM4" s="130" t="s">
        <v>179</v>
      </c>
      <c r="AN4" t="s">
        <v>173</v>
      </c>
      <c r="AO4" t="s">
        <v>173</v>
      </c>
      <c r="AP4" t="s">
        <v>173</v>
      </c>
      <c r="AQ4" t="s">
        <v>173</v>
      </c>
      <c r="AR4" t="s">
        <v>173</v>
      </c>
      <c r="AS4" t="s">
        <v>173</v>
      </c>
      <c r="AT4" t="s">
        <v>173</v>
      </c>
      <c r="AU4" s="141" t="s">
        <v>153</v>
      </c>
      <c r="AV4" t="s">
        <v>184</v>
      </c>
      <c r="AW4" t="s">
        <v>154</v>
      </c>
      <c r="AX4" t="s">
        <v>155</v>
      </c>
      <c r="AY4" s="130" t="s">
        <v>156</v>
      </c>
      <c r="AZ4" t="s">
        <v>157</v>
      </c>
      <c r="BA4" t="s">
        <v>158</v>
      </c>
      <c r="BB4" t="s">
        <v>173</v>
      </c>
      <c r="BC4">
        <v>2</v>
      </c>
      <c r="BD4" t="s">
        <v>173</v>
      </c>
      <c r="BE4">
        <v>15.83</v>
      </c>
      <c r="BF4" t="s">
        <v>159</v>
      </c>
      <c r="BG4">
        <v>0.23</v>
      </c>
      <c r="BH4">
        <v>0.88</v>
      </c>
      <c r="BI4" s="130" t="s">
        <v>177</v>
      </c>
      <c r="BJ4" s="130" t="s">
        <v>177</v>
      </c>
      <c r="BK4">
        <v>1.85</v>
      </c>
      <c r="BL4" s="130" t="s">
        <v>185</v>
      </c>
      <c r="BM4" s="130" t="s">
        <v>173</v>
      </c>
      <c r="BN4" t="s">
        <v>160</v>
      </c>
      <c r="BO4" s="130" t="s">
        <v>186</v>
      </c>
      <c r="BP4" s="142">
        <v>15.859620888294611</v>
      </c>
      <c r="BQ4" t="s">
        <v>161</v>
      </c>
      <c r="BR4" s="130">
        <f>BG4</f>
        <v>0.23</v>
      </c>
      <c r="BS4" s="130" t="s">
        <v>187</v>
      </c>
      <c r="BT4" s="130" t="s">
        <v>174</v>
      </c>
      <c r="BU4" s="130">
        <v>0</v>
      </c>
      <c r="BV4" s="130" t="s">
        <v>173</v>
      </c>
      <c r="BW4" s="130" t="s">
        <v>173</v>
      </c>
      <c r="BX4">
        <v>33.5</v>
      </c>
      <c r="BY4" t="s">
        <v>162</v>
      </c>
      <c r="BZ4" s="130">
        <v>1</v>
      </c>
      <c r="CA4" s="130">
        <v>1</v>
      </c>
      <c r="CB4" s="132">
        <v>13798.50762</v>
      </c>
      <c r="CC4" s="130">
        <v>6.56</v>
      </c>
      <c r="CD4" s="130" t="s">
        <v>192</v>
      </c>
      <c r="CE4" s="130">
        <v>0.13119999999999998</v>
      </c>
      <c r="CF4" s="130">
        <v>0.13119999999999998</v>
      </c>
      <c r="CG4" s="134" t="s">
        <v>163</v>
      </c>
      <c r="CH4" t="s">
        <v>194</v>
      </c>
      <c r="CI4" t="s">
        <v>173</v>
      </c>
      <c r="CJ4" t="s">
        <v>193</v>
      </c>
      <c r="CK4" t="s">
        <v>173</v>
      </c>
      <c r="CL4" t="s">
        <v>173</v>
      </c>
      <c r="CM4" t="s">
        <v>173</v>
      </c>
      <c r="CN4" t="s">
        <v>173</v>
      </c>
      <c r="CO4" t="s">
        <v>173</v>
      </c>
      <c r="CP4" t="s">
        <v>173</v>
      </c>
      <c r="CQ4" t="s">
        <v>173</v>
      </c>
      <c r="CR4" t="s">
        <v>173</v>
      </c>
      <c r="CS4" t="s">
        <v>173</v>
      </c>
      <c r="CT4" t="s">
        <v>173</v>
      </c>
      <c r="CU4">
        <v>35</v>
      </c>
      <c r="CV4" t="s">
        <v>195</v>
      </c>
      <c r="CW4" t="s">
        <v>195</v>
      </c>
      <c r="CX4" s="130" t="s">
        <v>196</v>
      </c>
      <c r="CY4" s="130">
        <v>1.4E-2</v>
      </c>
      <c r="CZ4" s="130" t="s">
        <v>197</v>
      </c>
      <c r="DA4" s="130" t="s">
        <v>197</v>
      </c>
      <c r="DB4" s="130" t="s">
        <v>164</v>
      </c>
      <c r="DC4">
        <v>4.8000000000000001E-2</v>
      </c>
      <c r="DD4" s="130" t="s">
        <v>197</v>
      </c>
      <c r="DE4" s="130" t="s">
        <v>197</v>
      </c>
      <c r="DF4" s="130" t="s">
        <v>164</v>
      </c>
      <c r="DG4" s="130" t="s">
        <v>198</v>
      </c>
      <c r="DH4" s="130" t="s">
        <v>197</v>
      </c>
      <c r="DI4" s="130" t="s">
        <v>197</v>
      </c>
      <c r="DJ4" s="130" t="s">
        <v>173</v>
      </c>
      <c r="DK4" s="130">
        <v>432.6</v>
      </c>
      <c r="DL4" s="130" t="s">
        <v>205</v>
      </c>
      <c r="DM4" s="130" t="s">
        <v>205</v>
      </c>
      <c r="DN4" s="130" t="s">
        <v>208</v>
      </c>
      <c r="DO4">
        <v>37.799999999999997</v>
      </c>
      <c r="DP4" t="s">
        <v>205</v>
      </c>
      <c r="DQ4" t="s">
        <v>205</v>
      </c>
      <c r="DR4" t="s">
        <v>160</v>
      </c>
      <c r="DS4" s="130" t="s">
        <v>173</v>
      </c>
      <c r="DT4" s="130" t="s">
        <v>167</v>
      </c>
      <c r="DU4">
        <v>1.0271999999999999</v>
      </c>
      <c r="DV4" t="s">
        <v>175</v>
      </c>
      <c r="DW4" t="s">
        <v>175</v>
      </c>
      <c r="DX4" t="s">
        <v>210</v>
      </c>
      <c r="DY4" t="s">
        <v>174</v>
      </c>
      <c r="DZ4" t="s">
        <v>174</v>
      </c>
      <c r="EA4" s="130" t="s">
        <v>207</v>
      </c>
      <c r="EB4" s="130" t="s">
        <v>203</v>
      </c>
      <c r="EC4" s="130" t="s">
        <v>203</v>
      </c>
      <c r="ED4" s="130" t="s">
        <v>203</v>
      </c>
      <c r="EE4" s="130" t="s">
        <v>202</v>
      </c>
      <c r="EF4" s="130" t="s">
        <v>203</v>
      </c>
      <c r="EG4" s="130" t="s">
        <v>204</v>
      </c>
      <c r="EH4" t="s">
        <v>165</v>
      </c>
      <c r="EI4" t="s">
        <v>166</v>
      </c>
      <c r="EJ4" t="s">
        <v>160</v>
      </c>
      <c r="EK4">
        <v>1293</v>
      </c>
      <c r="EL4" t="s">
        <v>162</v>
      </c>
      <c r="EM4">
        <v>200</v>
      </c>
      <c r="EN4">
        <v>200</v>
      </c>
      <c r="EO4" t="s">
        <v>173</v>
      </c>
      <c r="EP4" t="s">
        <v>173</v>
      </c>
      <c r="EQ4" t="s">
        <v>173</v>
      </c>
      <c r="ER4" t="s">
        <v>173</v>
      </c>
      <c r="ES4" s="135">
        <v>7.9172038186827134</v>
      </c>
      <c r="ET4" t="s">
        <v>173</v>
      </c>
      <c r="EU4" s="130" t="s">
        <v>173</v>
      </c>
      <c r="EV4" s="130" t="s">
        <v>173</v>
      </c>
      <c r="EW4" s="136">
        <v>310.6649136327635</v>
      </c>
      <c r="EX4" t="s">
        <v>200</v>
      </c>
      <c r="EY4" t="s">
        <v>200</v>
      </c>
      <c r="EZ4" s="136">
        <v>310.6649136327635</v>
      </c>
      <c r="FA4" s="155">
        <v>57.664913632763501</v>
      </c>
      <c r="FB4" s="155">
        <v>58.335086367236499</v>
      </c>
      <c r="FC4" s="130" t="s">
        <v>199</v>
      </c>
      <c r="FD4" s="130" t="s">
        <v>201</v>
      </c>
      <c r="FE4" t="s">
        <v>173</v>
      </c>
      <c r="FF4" t="s">
        <v>173</v>
      </c>
      <c r="FG4" t="s">
        <v>173</v>
      </c>
      <c r="FH4" t="s">
        <v>173</v>
      </c>
      <c r="FI4" t="s">
        <v>173</v>
      </c>
      <c r="FJ4" t="s">
        <v>173</v>
      </c>
      <c r="FK4" t="s">
        <v>173</v>
      </c>
      <c r="FL4" t="s">
        <v>173</v>
      </c>
      <c r="FM4" t="s">
        <v>173</v>
      </c>
      <c r="FN4" t="s">
        <v>173</v>
      </c>
      <c r="FO4" t="s">
        <v>173</v>
      </c>
      <c r="FP4" t="s">
        <v>173</v>
      </c>
      <c r="FQ4" t="s">
        <v>173</v>
      </c>
    </row>
    <row r="5" spans="1:191">
      <c r="A5" s="128" t="s">
        <v>148</v>
      </c>
      <c r="B5" t="s">
        <v>149</v>
      </c>
      <c r="C5">
        <v>2013</v>
      </c>
      <c r="D5" t="s">
        <v>150</v>
      </c>
      <c r="E5" s="129">
        <v>13785.6227</v>
      </c>
      <c r="F5" t="s">
        <v>173</v>
      </c>
      <c r="G5" t="s">
        <v>173</v>
      </c>
      <c r="H5" s="155">
        <f t="shared" ref="H5:H9" si="0">EZ5</f>
        <v>284.64508425932229</v>
      </c>
      <c r="I5" s="155">
        <f t="shared" ref="I5:I9" si="1">FA5</f>
        <v>53.645084259322289</v>
      </c>
      <c r="J5" s="155">
        <f t="shared" ref="J5:J9" si="2">FB5</f>
        <v>51.354915740677711</v>
      </c>
      <c r="K5" t="s">
        <v>206</v>
      </c>
      <c r="L5" t="s">
        <v>151</v>
      </c>
      <c r="M5" s="139" t="s">
        <v>176</v>
      </c>
      <c r="N5" t="s">
        <v>150</v>
      </c>
      <c r="O5" s="130" t="s">
        <v>152</v>
      </c>
      <c r="P5" s="130" t="s">
        <v>173</v>
      </c>
      <c r="Q5" s="130" t="s">
        <v>173</v>
      </c>
      <c r="R5" s="130" t="s">
        <v>173</v>
      </c>
      <c r="S5" s="130" t="s">
        <v>173</v>
      </c>
      <c r="T5" s="130" t="s">
        <v>173</v>
      </c>
      <c r="U5" s="129">
        <v>13785.6227</v>
      </c>
      <c r="V5" s="130">
        <v>0.7</v>
      </c>
      <c r="W5" s="130" t="s">
        <v>182</v>
      </c>
      <c r="X5" s="131" t="s">
        <v>183</v>
      </c>
      <c r="Y5" s="145">
        <v>35.926000000000002</v>
      </c>
      <c r="Z5" s="145">
        <v>4.335</v>
      </c>
      <c r="AA5" s="131">
        <v>32.5</v>
      </c>
      <c r="AB5" s="131" t="s">
        <v>173</v>
      </c>
      <c r="AC5" s="131" t="s">
        <v>189</v>
      </c>
      <c r="AD5" s="143" t="s">
        <v>188</v>
      </c>
      <c r="AE5" s="133" t="s">
        <v>190</v>
      </c>
      <c r="AF5" s="131" t="s">
        <v>173</v>
      </c>
      <c r="AG5" s="132">
        <v>13785.6227</v>
      </c>
      <c r="AH5" s="140" t="s">
        <v>178</v>
      </c>
      <c r="AI5" t="s">
        <v>173</v>
      </c>
      <c r="AJ5" t="s">
        <v>173</v>
      </c>
      <c r="AK5" t="s">
        <v>173</v>
      </c>
      <c r="AL5" s="130" t="s">
        <v>180</v>
      </c>
      <c r="AM5" s="130" t="s">
        <v>179</v>
      </c>
      <c r="AN5" t="s">
        <v>173</v>
      </c>
      <c r="AO5" t="s">
        <v>173</v>
      </c>
      <c r="AP5" t="s">
        <v>173</v>
      </c>
      <c r="AQ5" t="s">
        <v>173</v>
      </c>
      <c r="AR5" t="s">
        <v>173</v>
      </c>
      <c r="AS5" t="s">
        <v>173</v>
      </c>
      <c r="AT5" t="s">
        <v>173</v>
      </c>
      <c r="AU5" s="141" t="s">
        <v>153</v>
      </c>
      <c r="AV5" t="s">
        <v>184</v>
      </c>
      <c r="AW5" t="s">
        <v>154</v>
      </c>
      <c r="AX5" t="s">
        <v>155</v>
      </c>
      <c r="AY5" s="130" t="s">
        <v>156</v>
      </c>
      <c r="AZ5" t="s">
        <v>157</v>
      </c>
      <c r="BA5" t="s">
        <v>158</v>
      </c>
      <c r="BB5" t="s">
        <v>173</v>
      </c>
      <c r="BC5">
        <v>2</v>
      </c>
      <c r="BD5" t="s">
        <v>173</v>
      </c>
      <c r="BE5">
        <v>15.85</v>
      </c>
      <c r="BF5" t="s">
        <v>159</v>
      </c>
      <c r="BG5">
        <v>0.23</v>
      </c>
      <c r="BH5">
        <v>0.88</v>
      </c>
      <c r="BI5" s="130" t="s">
        <v>177</v>
      </c>
      <c r="BJ5" s="130" t="s">
        <v>177</v>
      </c>
      <c r="BK5">
        <v>1.85</v>
      </c>
      <c r="BL5" s="130" t="s">
        <v>185</v>
      </c>
      <c r="BM5" s="130" t="s">
        <v>173</v>
      </c>
      <c r="BN5" t="s">
        <v>160</v>
      </c>
      <c r="BO5" s="130" t="s">
        <v>186</v>
      </c>
      <c r="BP5" s="142">
        <v>15.885537244574834</v>
      </c>
      <c r="BQ5" t="s">
        <v>161</v>
      </c>
      <c r="BR5" s="130">
        <f t="shared" ref="BR5:BR9" si="3">BG5</f>
        <v>0.23</v>
      </c>
      <c r="BS5" s="130" t="s">
        <v>187</v>
      </c>
      <c r="BT5" s="130" t="s">
        <v>174</v>
      </c>
      <c r="BU5" s="130">
        <v>0</v>
      </c>
      <c r="BV5" s="130" t="s">
        <v>173</v>
      </c>
      <c r="BW5" s="130" t="s">
        <v>173</v>
      </c>
      <c r="BX5">
        <v>30.6</v>
      </c>
      <c r="BY5" t="s">
        <v>162</v>
      </c>
      <c r="BZ5" s="130">
        <v>1</v>
      </c>
      <c r="CA5" s="130">
        <v>1</v>
      </c>
      <c r="CB5" s="132">
        <v>13785.6227</v>
      </c>
      <c r="CC5" s="130">
        <v>5.03</v>
      </c>
      <c r="CD5" s="130" t="s">
        <v>192</v>
      </c>
      <c r="CE5" s="130">
        <v>0.10060000000000001</v>
      </c>
      <c r="CF5" s="130">
        <v>0.10060000000000001</v>
      </c>
      <c r="CG5" s="134" t="s">
        <v>163</v>
      </c>
      <c r="CH5" t="s">
        <v>194</v>
      </c>
      <c r="CI5" t="s">
        <v>173</v>
      </c>
      <c r="CJ5" t="s">
        <v>193</v>
      </c>
      <c r="CK5" t="s">
        <v>173</v>
      </c>
      <c r="CL5" t="s">
        <v>173</v>
      </c>
      <c r="CM5" t="s">
        <v>173</v>
      </c>
      <c r="CN5" t="s">
        <v>173</v>
      </c>
      <c r="CO5" t="s">
        <v>173</v>
      </c>
      <c r="CP5" t="s">
        <v>173</v>
      </c>
      <c r="CQ5" t="s">
        <v>173</v>
      </c>
      <c r="CR5" t="s">
        <v>173</v>
      </c>
      <c r="CS5" t="s">
        <v>173</v>
      </c>
      <c r="CT5" t="s">
        <v>173</v>
      </c>
      <c r="CU5">
        <v>35</v>
      </c>
      <c r="CV5" t="s">
        <v>195</v>
      </c>
      <c r="CW5" t="s">
        <v>195</v>
      </c>
      <c r="CX5" s="130" t="s">
        <v>196</v>
      </c>
      <c r="CY5" s="130">
        <v>1.4E-2</v>
      </c>
      <c r="CZ5" s="130" t="s">
        <v>197</v>
      </c>
      <c r="DA5" s="130" t="s">
        <v>197</v>
      </c>
      <c r="DB5" s="130" t="s">
        <v>164</v>
      </c>
      <c r="DC5">
        <v>4.8000000000000001E-2</v>
      </c>
      <c r="DD5" s="130" t="s">
        <v>197</v>
      </c>
      <c r="DE5" s="130" t="s">
        <v>197</v>
      </c>
      <c r="DF5" s="130" t="s">
        <v>164</v>
      </c>
      <c r="DG5" s="130" t="s">
        <v>198</v>
      </c>
      <c r="DH5" s="130" t="s">
        <v>197</v>
      </c>
      <c r="DI5" s="130" t="s">
        <v>197</v>
      </c>
      <c r="DJ5" s="130" t="s">
        <v>173</v>
      </c>
      <c r="DK5" s="130">
        <v>432.6</v>
      </c>
      <c r="DL5" s="130" t="s">
        <v>205</v>
      </c>
      <c r="DM5" s="130" t="s">
        <v>205</v>
      </c>
      <c r="DN5" s="130" t="s">
        <v>208</v>
      </c>
      <c r="DO5">
        <v>37.799999999999997</v>
      </c>
      <c r="DP5" t="s">
        <v>205</v>
      </c>
      <c r="DQ5" t="s">
        <v>205</v>
      </c>
      <c r="DR5" t="s">
        <v>160</v>
      </c>
      <c r="DS5" s="130" t="s">
        <v>173</v>
      </c>
      <c r="DT5" s="130" t="s">
        <v>168</v>
      </c>
      <c r="DU5">
        <v>1.0271999999999999</v>
      </c>
      <c r="DV5" t="s">
        <v>175</v>
      </c>
      <c r="DW5" t="s">
        <v>175</v>
      </c>
      <c r="DX5" t="s">
        <v>210</v>
      </c>
      <c r="DY5" t="s">
        <v>174</v>
      </c>
      <c r="DZ5" t="s">
        <v>174</v>
      </c>
      <c r="EA5" s="130" t="s">
        <v>207</v>
      </c>
      <c r="EB5" s="130" t="s">
        <v>203</v>
      </c>
      <c r="EC5" s="130" t="s">
        <v>203</v>
      </c>
      <c r="ED5" s="130" t="s">
        <v>203</v>
      </c>
      <c r="EE5" s="130" t="s">
        <v>202</v>
      </c>
      <c r="EF5" s="130" t="s">
        <v>203</v>
      </c>
      <c r="EG5" s="130" t="s">
        <v>204</v>
      </c>
      <c r="EH5" t="s">
        <v>165</v>
      </c>
      <c r="EI5" t="s">
        <v>166</v>
      </c>
      <c r="EJ5" t="s">
        <v>160</v>
      </c>
      <c r="EK5">
        <v>1293</v>
      </c>
      <c r="EL5" t="s">
        <v>162</v>
      </c>
      <c r="EM5">
        <v>200</v>
      </c>
      <c r="EN5">
        <v>200</v>
      </c>
      <c r="EO5" t="s">
        <v>173</v>
      </c>
      <c r="EP5" t="s">
        <v>173</v>
      </c>
      <c r="EQ5" t="s">
        <v>173</v>
      </c>
      <c r="ER5" t="s">
        <v>173</v>
      </c>
      <c r="ES5" s="135">
        <v>7.9504905197991125</v>
      </c>
      <c r="ET5" t="s">
        <v>173</v>
      </c>
      <c r="EU5" s="130" t="s">
        <v>173</v>
      </c>
      <c r="EV5" s="130" t="s">
        <v>173</v>
      </c>
      <c r="EW5" s="136">
        <v>284.64508425932229</v>
      </c>
      <c r="EX5" t="s">
        <v>200</v>
      </c>
      <c r="EY5" t="s">
        <v>200</v>
      </c>
      <c r="EZ5" s="136">
        <v>284.64508425932229</v>
      </c>
      <c r="FA5" s="155">
        <v>53.645084259322289</v>
      </c>
      <c r="FB5" s="155">
        <v>51.354915740677711</v>
      </c>
      <c r="FC5" s="130" t="s">
        <v>199</v>
      </c>
      <c r="FD5" s="130" t="s">
        <v>201</v>
      </c>
      <c r="FE5" t="s">
        <v>173</v>
      </c>
      <c r="FF5" t="s">
        <v>173</v>
      </c>
      <c r="FG5" t="s">
        <v>173</v>
      </c>
      <c r="FH5" t="s">
        <v>173</v>
      </c>
      <c r="FI5" t="s">
        <v>173</v>
      </c>
      <c r="FJ5" t="s">
        <v>173</v>
      </c>
      <c r="FK5" t="s">
        <v>173</v>
      </c>
      <c r="FL5" t="s">
        <v>173</v>
      </c>
      <c r="FM5" t="s">
        <v>173</v>
      </c>
      <c r="FN5" t="s">
        <v>173</v>
      </c>
      <c r="FO5" t="s">
        <v>173</v>
      </c>
      <c r="FP5" t="s">
        <v>173</v>
      </c>
      <c r="FQ5" t="s">
        <v>173</v>
      </c>
    </row>
    <row r="6" spans="1:191">
      <c r="A6" s="128" t="s">
        <v>148</v>
      </c>
      <c r="B6" t="s">
        <v>149</v>
      </c>
      <c r="C6">
        <v>2013</v>
      </c>
      <c r="D6" t="s">
        <v>150</v>
      </c>
      <c r="E6" s="129">
        <v>13772.737789999999</v>
      </c>
      <c r="F6" t="s">
        <v>173</v>
      </c>
      <c r="G6" t="s">
        <v>173</v>
      </c>
      <c r="H6" s="155">
        <f t="shared" si="0"/>
        <v>298.50006447832828</v>
      </c>
      <c r="I6" s="155">
        <f t="shared" si="1"/>
        <v>54.500064478328284</v>
      </c>
      <c r="J6" s="155">
        <f t="shared" si="2"/>
        <v>57.499935521671716</v>
      </c>
      <c r="K6" t="s">
        <v>206</v>
      </c>
      <c r="L6" t="s">
        <v>151</v>
      </c>
      <c r="M6" s="139" t="s">
        <v>176</v>
      </c>
      <c r="N6" t="s">
        <v>150</v>
      </c>
      <c r="O6" s="130" t="s">
        <v>152</v>
      </c>
      <c r="P6" s="130" t="s">
        <v>173</v>
      </c>
      <c r="Q6" s="130" t="s">
        <v>173</v>
      </c>
      <c r="R6" s="130" t="s">
        <v>173</v>
      </c>
      <c r="S6" s="130" t="s">
        <v>173</v>
      </c>
      <c r="T6" s="130" t="s">
        <v>173</v>
      </c>
      <c r="U6" s="129">
        <v>13772.737789999999</v>
      </c>
      <c r="V6" s="130" t="s">
        <v>181</v>
      </c>
      <c r="W6" s="130" t="s">
        <v>182</v>
      </c>
      <c r="X6" s="131" t="s">
        <v>183</v>
      </c>
      <c r="Y6" s="145">
        <v>35.926000000000002</v>
      </c>
      <c r="Z6" s="145">
        <v>4.335</v>
      </c>
      <c r="AA6" s="131">
        <v>32.5</v>
      </c>
      <c r="AB6" s="131" t="s">
        <v>173</v>
      </c>
      <c r="AC6" s="131" t="s">
        <v>189</v>
      </c>
      <c r="AD6" s="143" t="s">
        <v>188</v>
      </c>
      <c r="AE6" s="133" t="s">
        <v>190</v>
      </c>
      <c r="AF6" s="131" t="s">
        <v>173</v>
      </c>
      <c r="AG6" s="132">
        <v>13766</v>
      </c>
      <c r="AH6" s="140" t="s">
        <v>178</v>
      </c>
      <c r="AI6" t="s">
        <v>173</v>
      </c>
      <c r="AJ6" t="s">
        <v>173</v>
      </c>
      <c r="AK6" t="s">
        <v>173</v>
      </c>
      <c r="AL6" s="130" t="s">
        <v>180</v>
      </c>
      <c r="AM6" s="130" t="s">
        <v>179</v>
      </c>
      <c r="AN6" t="s">
        <v>173</v>
      </c>
      <c r="AO6" t="s">
        <v>173</v>
      </c>
      <c r="AP6" t="s">
        <v>173</v>
      </c>
      <c r="AQ6" t="s">
        <v>173</v>
      </c>
      <c r="AR6" t="s">
        <v>173</v>
      </c>
      <c r="AS6" t="s">
        <v>173</v>
      </c>
      <c r="AT6" t="s">
        <v>173</v>
      </c>
      <c r="AU6" s="141" t="s">
        <v>153</v>
      </c>
      <c r="AV6" t="s">
        <v>184</v>
      </c>
      <c r="AW6" t="s">
        <v>154</v>
      </c>
      <c r="AX6" t="s">
        <v>155</v>
      </c>
      <c r="AY6" s="130" t="s">
        <v>156</v>
      </c>
      <c r="AZ6" t="s">
        <v>157</v>
      </c>
      <c r="BA6" t="s">
        <v>158</v>
      </c>
      <c r="BB6" t="s">
        <v>173</v>
      </c>
      <c r="BC6">
        <v>2</v>
      </c>
      <c r="BD6" t="s">
        <v>173</v>
      </c>
      <c r="BE6">
        <v>15.75</v>
      </c>
      <c r="BF6" t="s">
        <v>159</v>
      </c>
      <c r="BG6">
        <v>0.23</v>
      </c>
      <c r="BH6">
        <v>0.88</v>
      </c>
      <c r="BI6" s="130" t="s">
        <v>177</v>
      </c>
      <c r="BJ6" s="130" t="s">
        <v>177</v>
      </c>
      <c r="BK6">
        <v>1.85</v>
      </c>
      <c r="BL6" s="130" t="s">
        <v>185</v>
      </c>
      <c r="BM6" s="130" t="s">
        <v>173</v>
      </c>
      <c r="BN6" t="s">
        <v>160</v>
      </c>
      <c r="BO6" s="130" t="s">
        <v>186</v>
      </c>
      <c r="BP6" s="142">
        <v>15.770836500469056</v>
      </c>
      <c r="BQ6" t="s">
        <v>161</v>
      </c>
      <c r="BR6" s="130">
        <f t="shared" si="3"/>
        <v>0.23</v>
      </c>
      <c r="BS6" s="130" t="s">
        <v>187</v>
      </c>
      <c r="BT6" s="130" t="s">
        <v>174</v>
      </c>
      <c r="BU6" s="130">
        <v>0</v>
      </c>
      <c r="BV6" s="130" t="s">
        <v>173</v>
      </c>
      <c r="BW6" s="130" t="s">
        <v>173</v>
      </c>
      <c r="BX6">
        <v>31.4</v>
      </c>
      <c r="BY6" t="s">
        <v>162</v>
      </c>
      <c r="BZ6" s="130">
        <v>1</v>
      </c>
      <c r="CA6" s="130">
        <v>1</v>
      </c>
      <c r="CB6" s="132">
        <v>13766</v>
      </c>
      <c r="CC6" s="130">
        <v>5.43</v>
      </c>
      <c r="CD6" s="130" t="s">
        <v>192</v>
      </c>
      <c r="CE6" s="130">
        <v>0.1086</v>
      </c>
      <c r="CF6" s="130">
        <v>0.1086</v>
      </c>
      <c r="CG6" s="134" t="s">
        <v>163</v>
      </c>
      <c r="CH6" t="s">
        <v>194</v>
      </c>
      <c r="CI6" t="s">
        <v>173</v>
      </c>
      <c r="CJ6" t="s">
        <v>193</v>
      </c>
      <c r="CK6" t="s">
        <v>173</v>
      </c>
      <c r="CL6" t="s">
        <v>173</v>
      </c>
      <c r="CM6" t="s">
        <v>173</v>
      </c>
      <c r="CN6" t="s">
        <v>173</v>
      </c>
      <c r="CO6" t="s">
        <v>173</v>
      </c>
      <c r="CP6" t="s">
        <v>173</v>
      </c>
      <c r="CQ6" t="s">
        <v>173</v>
      </c>
      <c r="CR6" t="s">
        <v>173</v>
      </c>
      <c r="CS6" t="s">
        <v>173</v>
      </c>
      <c r="CT6" t="s">
        <v>173</v>
      </c>
      <c r="CU6">
        <v>35</v>
      </c>
      <c r="CV6" t="s">
        <v>195</v>
      </c>
      <c r="CW6" t="s">
        <v>195</v>
      </c>
      <c r="CX6" s="130" t="s">
        <v>196</v>
      </c>
      <c r="CY6" s="130">
        <v>1.4E-2</v>
      </c>
      <c r="CZ6" s="130" t="s">
        <v>197</v>
      </c>
      <c r="DA6" s="130" t="s">
        <v>197</v>
      </c>
      <c r="DB6" s="130" t="s">
        <v>164</v>
      </c>
      <c r="DC6">
        <v>4.8000000000000001E-2</v>
      </c>
      <c r="DD6" s="130" t="s">
        <v>197</v>
      </c>
      <c r="DE6" s="130" t="s">
        <v>197</v>
      </c>
      <c r="DF6" s="130" t="s">
        <v>164</v>
      </c>
      <c r="DG6" s="130" t="s">
        <v>198</v>
      </c>
      <c r="DH6" s="130" t="s">
        <v>197</v>
      </c>
      <c r="DI6" s="130" t="s">
        <v>197</v>
      </c>
      <c r="DJ6" s="130" t="s">
        <v>173</v>
      </c>
      <c r="DK6" s="130">
        <v>432.6</v>
      </c>
      <c r="DL6" s="130" t="s">
        <v>205</v>
      </c>
      <c r="DM6" s="130" t="s">
        <v>205</v>
      </c>
      <c r="DN6" s="130" t="s">
        <v>208</v>
      </c>
      <c r="DO6">
        <v>37.799999999999997</v>
      </c>
      <c r="DP6" t="s">
        <v>205</v>
      </c>
      <c r="DQ6" t="s">
        <v>205</v>
      </c>
      <c r="DR6" t="s">
        <v>160</v>
      </c>
      <c r="DS6" s="130" t="s">
        <v>173</v>
      </c>
      <c r="DT6" s="130" t="s">
        <v>169</v>
      </c>
      <c r="DU6">
        <v>1.0271999999999999</v>
      </c>
      <c r="DV6" t="s">
        <v>175</v>
      </c>
      <c r="DW6" t="s">
        <v>175</v>
      </c>
      <c r="DX6" t="s">
        <v>210</v>
      </c>
      <c r="DY6" t="s">
        <v>174</v>
      </c>
      <c r="DZ6" t="s">
        <v>174</v>
      </c>
      <c r="EA6" s="130" t="s">
        <v>207</v>
      </c>
      <c r="EB6" s="130" t="s">
        <v>203</v>
      </c>
      <c r="EC6" s="130" t="s">
        <v>203</v>
      </c>
      <c r="ED6" s="130" t="s">
        <v>203</v>
      </c>
      <c r="EE6" s="130" t="s">
        <v>202</v>
      </c>
      <c r="EF6" s="130" t="s">
        <v>203</v>
      </c>
      <c r="EG6" s="130" t="s">
        <v>204</v>
      </c>
      <c r="EH6" t="s">
        <v>165</v>
      </c>
      <c r="EI6" t="s">
        <v>166</v>
      </c>
      <c r="EJ6" t="s">
        <v>160</v>
      </c>
      <c r="EK6">
        <v>1293</v>
      </c>
      <c r="EL6" t="s">
        <v>162</v>
      </c>
      <c r="EM6">
        <v>200</v>
      </c>
      <c r="EN6">
        <v>200</v>
      </c>
      <c r="EO6" t="s">
        <v>173</v>
      </c>
      <c r="EP6" t="s">
        <v>173</v>
      </c>
      <c r="EQ6" t="s">
        <v>173</v>
      </c>
      <c r="ER6" t="s">
        <v>173</v>
      </c>
      <c r="ES6" s="135">
        <v>7.9333496536337176</v>
      </c>
      <c r="ET6" t="s">
        <v>173</v>
      </c>
      <c r="EU6" s="130" t="s">
        <v>173</v>
      </c>
      <c r="EV6" s="130" t="s">
        <v>173</v>
      </c>
      <c r="EW6" s="136">
        <v>298.50006447832828</v>
      </c>
      <c r="EX6" t="s">
        <v>200</v>
      </c>
      <c r="EY6" t="s">
        <v>200</v>
      </c>
      <c r="EZ6" s="136">
        <v>298.50006447832828</v>
      </c>
      <c r="FA6" s="155">
        <v>54.500064478328284</v>
      </c>
      <c r="FB6" s="155">
        <v>57.499935521671716</v>
      </c>
      <c r="FC6" s="130" t="s">
        <v>199</v>
      </c>
      <c r="FD6" s="130" t="s">
        <v>201</v>
      </c>
      <c r="FE6" t="s">
        <v>173</v>
      </c>
      <c r="FF6" t="s">
        <v>173</v>
      </c>
      <c r="FG6" t="s">
        <v>173</v>
      </c>
      <c r="FH6" t="s">
        <v>173</v>
      </c>
      <c r="FI6" t="s">
        <v>173</v>
      </c>
      <c r="FJ6" t="s">
        <v>173</v>
      </c>
      <c r="FK6" t="s">
        <v>173</v>
      </c>
      <c r="FL6" t="s">
        <v>173</v>
      </c>
      <c r="FM6" t="s">
        <v>173</v>
      </c>
      <c r="FN6" t="s">
        <v>173</v>
      </c>
      <c r="FO6" t="s">
        <v>173</v>
      </c>
      <c r="FP6" t="s">
        <v>173</v>
      </c>
      <c r="FQ6" t="s">
        <v>173</v>
      </c>
    </row>
    <row r="7" spans="1:191">
      <c r="A7" s="128" t="s">
        <v>148</v>
      </c>
      <c r="B7" t="s">
        <v>149</v>
      </c>
      <c r="C7">
        <v>2013</v>
      </c>
      <c r="D7" t="s">
        <v>150</v>
      </c>
      <c r="E7" s="129">
        <v>13740.5255</v>
      </c>
      <c r="F7" t="s">
        <v>173</v>
      </c>
      <c r="G7" t="s">
        <v>173</v>
      </c>
      <c r="H7" s="155">
        <f t="shared" si="0"/>
        <v>233.5263595284151</v>
      </c>
      <c r="I7" s="155">
        <f t="shared" si="1"/>
        <v>46.526359528415099</v>
      </c>
      <c r="J7" s="155">
        <f t="shared" si="2"/>
        <v>39.473640471584901</v>
      </c>
      <c r="K7" t="s">
        <v>206</v>
      </c>
      <c r="L7" t="s">
        <v>151</v>
      </c>
      <c r="M7" s="139" t="s">
        <v>176</v>
      </c>
      <c r="N7" t="s">
        <v>150</v>
      </c>
      <c r="O7" s="130" t="s">
        <v>152</v>
      </c>
      <c r="P7" s="130" t="s">
        <v>173</v>
      </c>
      <c r="Q7" s="130" t="s">
        <v>173</v>
      </c>
      <c r="R7" s="130" t="s">
        <v>173</v>
      </c>
      <c r="S7" s="130" t="s">
        <v>173</v>
      </c>
      <c r="T7" s="130" t="s">
        <v>173</v>
      </c>
      <c r="U7" s="129">
        <v>13740.5255</v>
      </c>
      <c r="V7" s="130">
        <v>3.15</v>
      </c>
      <c r="W7" s="130" t="s">
        <v>182</v>
      </c>
      <c r="X7" s="131" t="s">
        <v>183</v>
      </c>
      <c r="Y7" s="145">
        <v>35.926000000000002</v>
      </c>
      <c r="Z7" s="145">
        <v>4.335</v>
      </c>
      <c r="AA7" s="131">
        <v>32.5</v>
      </c>
      <c r="AB7" s="131" t="s">
        <v>173</v>
      </c>
      <c r="AC7" s="131" t="s">
        <v>189</v>
      </c>
      <c r="AD7" s="143" t="s">
        <v>188</v>
      </c>
      <c r="AE7" s="133" t="s">
        <v>191</v>
      </c>
      <c r="AF7" s="131" t="s">
        <v>173</v>
      </c>
      <c r="AG7" s="132">
        <v>13740.5255</v>
      </c>
      <c r="AH7" s="140" t="s">
        <v>178</v>
      </c>
      <c r="AI7" t="s">
        <v>173</v>
      </c>
      <c r="AJ7" t="s">
        <v>173</v>
      </c>
      <c r="AK7" t="s">
        <v>173</v>
      </c>
      <c r="AL7" s="130" t="s">
        <v>180</v>
      </c>
      <c r="AM7" s="130" t="s">
        <v>179</v>
      </c>
      <c r="AN7" t="s">
        <v>173</v>
      </c>
      <c r="AO7" t="s">
        <v>173</v>
      </c>
      <c r="AP7" t="s">
        <v>173</v>
      </c>
      <c r="AQ7" t="s">
        <v>173</v>
      </c>
      <c r="AR7" t="s">
        <v>173</v>
      </c>
      <c r="AS7" t="s">
        <v>173</v>
      </c>
      <c r="AT7" t="s">
        <v>173</v>
      </c>
      <c r="AU7" s="141" t="s">
        <v>153</v>
      </c>
      <c r="AV7" t="s">
        <v>184</v>
      </c>
      <c r="AW7" t="s">
        <v>154</v>
      </c>
      <c r="AX7" t="s">
        <v>155</v>
      </c>
      <c r="AY7" s="130" t="s">
        <v>156</v>
      </c>
      <c r="AZ7" t="s">
        <v>157</v>
      </c>
      <c r="BA7" t="s">
        <v>158</v>
      </c>
      <c r="BB7" t="s">
        <v>173</v>
      </c>
      <c r="BC7">
        <v>2</v>
      </c>
      <c r="BD7" t="s">
        <v>173</v>
      </c>
      <c r="BE7">
        <v>16.53</v>
      </c>
      <c r="BF7" t="s">
        <v>159</v>
      </c>
      <c r="BG7">
        <v>0.23</v>
      </c>
      <c r="BH7">
        <v>0.88</v>
      </c>
      <c r="BI7" s="130" t="s">
        <v>177</v>
      </c>
      <c r="BJ7" s="130" t="s">
        <v>177</v>
      </c>
      <c r="BK7">
        <v>1.85</v>
      </c>
      <c r="BL7" s="130" t="s">
        <v>185</v>
      </c>
      <c r="BM7" s="130" t="s">
        <v>173</v>
      </c>
      <c r="BN7" t="s">
        <v>160</v>
      </c>
      <c r="BO7" s="130" t="s">
        <v>186</v>
      </c>
      <c r="BP7" s="142">
        <v>16.65558748411064</v>
      </c>
      <c r="BQ7" t="s">
        <v>161</v>
      </c>
      <c r="BR7" s="130">
        <f t="shared" si="3"/>
        <v>0.23</v>
      </c>
      <c r="BS7" s="130" t="s">
        <v>187</v>
      </c>
      <c r="BT7" s="130" t="s">
        <v>174</v>
      </c>
      <c r="BU7" s="130">
        <v>0</v>
      </c>
      <c r="BV7" s="130" t="s">
        <v>173</v>
      </c>
      <c r="BW7" s="130" t="s">
        <v>173</v>
      </c>
      <c r="BX7">
        <v>30.5</v>
      </c>
      <c r="BY7" t="s">
        <v>162</v>
      </c>
      <c r="BZ7" s="130">
        <v>1</v>
      </c>
      <c r="CA7" s="130">
        <v>1</v>
      </c>
      <c r="CB7" s="132">
        <v>13740.5255</v>
      </c>
      <c r="CC7" s="130">
        <v>5</v>
      </c>
      <c r="CD7" s="130" t="s">
        <v>192</v>
      </c>
      <c r="CE7" s="130">
        <v>0.1</v>
      </c>
      <c r="CF7" s="130">
        <v>0.1</v>
      </c>
      <c r="CG7" s="134" t="s">
        <v>163</v>
      </c>
      <c r="CH7" t="s">
        <v>194</v>
      </c>
      <c r="CI7" t="s">
        <v>173</v>
      </c>
      <c r="CJ7" t="s">
        <v>193</v>
      </c>
      <c r="CK7" t="s">
        <v>173</v>
      </c>
      <c r="CL7" t="s">
        <v>173</v>
      </c>
      <c r="CM7" t="s">
        <v>173</v>
      </c>
      <c r="CN7" t="s">
        <v>173</v>
      </c>
      <c r="CO7" t="s">
        <v>173</v>
      </c>
      <c r="CP7" t="s">
        <v>173</v>
      </c>
      <c r="CQ7" t="s">
        <v>173</v>
      </c>
      <c r="CR7" t="s">
        <v>173</v>
      </c>
      <c r="CS7" t="s">
        <v>173</v>
      </c>
      <c r="CT7" t="s">
        <v>173</v>
      </c>
      <c r="CU7">
        <v>35</v>
      </c>
      <c r="CV7" t="s">
        <v>195</v>
      </c>
      <c r="CW7" t="s">
        <v>195</v>
      </c>
      <c r="CX7" s="130" t="s">
        <v>196</v>
      </c>
      <c r="CY7" s="130">
        <v>1.4E-2</v>
      </c>
      <c r="CZ7" s="130" t="s">
        <v>197</v>
      </c>
      <c r="DA7" s="130" t="s">
        <v>197</v>
      </c>
      <c r="DB7" s="130" t="s">
        <v>164</v>
      </c>
      <c r="DC7">
        <v>4.8000000000000001E-2</v>
      </c>
      <c r="DD7" s="130" t="s">
        <v>197</v>
      </c>
      <c r="DE7" s="130" t="s">
        <v>197</v>
      </c>
      <c r="DF7" s="130" t="s">
        <v>164</v>
      </c>
      <c r="DG7" s="130" t="s">
        <v>198</v>
      </c>
      <c r="DH7" s="130" t="s">
        <v>197</v>
      </c>
      <c r="DI7" s="130" t="s">
        <v>197</v>
      </c>
      <c r="DJ7" s="130" t="s">
        <v>173</v>
      </c>
      <c r="DK7" s="130">
        <v>432.6</v>
      </c>
      <c r="DL7" s="130" t="s">
        <v>205</v>
      </c>
      <c r="DM7" s="130" t="s">
        <v>205</v>
      </c>
      <c r="DN7" s="130" t="s">
        <v>208</v>
      </c>
      <c r="DO7">
        <v>37.799999999999997</v>
      </c>
      <c r="DP7" t="s">
        <v>205</v>
      </c>
      <c r="DQ7" t="s">
        <v>205</v>
      </c>
      <c r="DR7" t="s">
        <v>160</v>
      </c>
      <c r="DS7" s="130" t="s">
        <v>173</v>
      </c>
      <c r="DT7" s="130" t="s">
        <v>170</v>
      </c>
      <c r="DU7">
        <v>1.0271999999999999</v>
      </c>
      <c r="DV7" t="s">
        <v>175</v>
      </c>
      <c r="DW7" t="s">
        <v>175</v>
      </c>
      <c r="DX7" t="s">
        <v>210</v>
      </c>
      <c r="DY7" t="s">
        <v>174</v>
      </c>
      <c r="DZ7" t="s">
        <v>174</v>
      </c>
      <c r="EA7" s="130" t="s">
        <v>207</v>
      </c>
      <c r="EB7" s="130" t="s">
        <v>203</v>
      </c>
      <c r="EC7" s="130" t="s">
        <v>203</v>
      </c>
      <c r="ED7" s="130" t="s">
        <v>203</v>
      </c>
      <c r="EE7" s="130" t="s">
        <v>202</v>
      </c>
      <c r="EF7" s="130" t="s">
        <v>203</v>
      </c>
      <c r="EG7" s="130" t="s">
        <v>204</v>
      </c>
      <c r="EH7" t="s">
        <v>165</v>
      </c>
      <c r="EI7" t="s">
        <v>166</v>
      </c>
      <c r="EJ7" t="s">
        <v>160</v>
      </c>
      <c r="EK7">
        <v>1293</v>
      </c>
      <c r="EL7" t="s">
        <v>162</v>
      </c>
      <c r="EM7">
        <v>200</v>
      </c>
      <c r="EN7">
        <v>200</v>
      </c>
      <c r="EO7" t="s">
        <v>173</v>
      </c>
      <c r="EP7" t="s">
        <v>173</v>
      </c>
      <c r="EQ7" t="s">
        <v>173</v>
      </c>
      <c r="ER7" t="s">
        <v>173</v>
      </c>
      <c r="ES7" s="135">
        <v>8.0184879917277474</v>
      </c>
      <c r="ET7" t="s">
        <v>173</v>
      </c>
      <c r="EU7" s="130" t="s">
        <v>173</v>
      </c>
      <c r="EV7" s="130" t="s">
        <v>173</v>
      </c>
      <c r="EW7" s="136">
        <v>233.5263595284151</v>
      </c>
      <c r="EX7" t="s">
        <v>200</v>
      </c>
      <c r="EY7" t="s">
        <v>200</v>
      </c>
      <c r="EZ7" s="136">
        <v>233.5263595284151</v>
      </c>
      <c r="FA7" s="155">
        <v>46.526359528415099</v>
      </c>
      <c r="FB7" s="155">
        <v>39.473640471584901</v>
      </c>
      <c r="FC7" s="130" t="s">
        <v>199</v>
      </c>
      <c r="FD7" s="130" t="s">
        <v>201</v>
      </c>
      <c r="FE7" t="s">
        <v>173</v>
      </c>
      <c r="FF7" t="s">
        <v>173</v>
      </c>
      <c r="FG7" t="s">
        <v>173</v>
      </c>
      <c r="FH7" t="s">
        <v>173</v>
      </c>
      <c r="FI7" t="s">
        <v>173</v>
      </c>
      <c r="FJ7" t="s">
        <v>173</v>
      </c>
      <c r="FK7" t="s">
        <v>173</v>
      </c>
      <c r="FL7" t="s">
        <v>173</v>
      </c>
      <c r="FM7" t="s">
        <v>173</v>
      </c>
      <c r="FN7" t="s">
        <v>173</v>
      </c>
      <c r="FO7" t="s">
        <v>173</v>
      </c>
      <c r="FP7" t="s">
        <v>173</v>
      </c>
      <c r="FQ7" t="s">
        <v>173</v>
      </c>
    </row>
    <row r="8" spans="1:191">
      <c r="A8" s="128" t="s">
        <v>148</v>
      </c>
      <c r="B8" t="s">
        <v>149</v>
      </c>
      <c r="C8">
        <v>2013</v>
      </c>
      <c r="D8" t="s">
        <v>150</v>
      </c>
      <c r="E8" s="129">
        <v>13735.67484</v>
      </c>
      <c r="F8" t="s">
        <v>173</v>
      </c>
      <c r="G8" t="s">
        <v>173</v>
      </c>
      <c r="H8" s="155">
        <f t="shared" si="0"/>
        <v>264.54570081331531</v>
      </c>
      <c r="I8" s="155">
        <f t="shared" si="1"/>
        <v>56.545700813315307</v>
      </c>
      <c r="J8" s="155">
        <f t="shared" si="2"/>
        <v>38.454299186684693</v>
      </c>
      <c r="K8" t="s">
        <v>206</v>
      </c>
      <c r="L8" t="s">
        <v>151</v>
      </c>
      <c r="M8" s="139" t="s">
        <v>176</v>
      </c>
      <c r="N8" t="s">
        <v>150</v>
      </c>
      <c r="O8" s="130" t="s">
        <v>152</v>
      </c>
      <c r="P8" s="130" t="s">
        <v>173</v>
      </c>
      <c r="Q8" s="130" t="s">
        <v>173</v>
      </c>
      <c r="R8" s="130" t="s">
        <v>173</v>
      </c>
      <c r="S8" s="130" t="s">
        <v>173</v>
      </c>
      <c r="T8" s="130" t="s">
        <v>173</v>
      </c>
      <c r="U8" s="129">
        <v>13735.67484</v>
      </c>
      <c r="V8" s="130">
        <v>3.5</v>
      </c>
      <c r="W8" s="130" t="s">
        <v>182</v>
      </c>
      <c r="X8" s="131" t="s">
        <v>183</v>
      </c>
      <c r="Y8" s="145">
        <v>35.926000000000002</v>
      </c>
      <c r="Z8" s="145">
        <v>4.335</v>
      </c>
      <c r="AA8" s="131">
        <v>32.5</v>
      </c>
      <c r="AB8" s="131" t="s">
        <v>173</v>
      </c>
      <c r="AC8" s="131" t="s">
        <v>189</v>
      </c>
      <c r="AD8" s="143" t="s">
        <v>188</v>
      </c>
      <c r="AE8" s="133" t="s">
        <v>191</v>
      </c>
      <c r="AF8" s="131" t="s">
        <v>173</v>
      </c>
      <c r="AG8" s="132">
        <v>13735.67484</v>
      </c>
      <c r="AH8" s="140" t="s">
        <v>178</v>
      </c>
      <c r="AI8" t="s">
        <v>173</v>
      </c>
      <c r="AJ8" t="s">
        <v>173</v>
      </c>
      <c r="AK8" t="s">
        <v>173</v>
      </c>
      <c r="AL8" s="130" t="s">
        <v>180</v>
      </c>
      <c r="AM8" s="130" t="s">
        <v>179</v>
      </c>
      <c r="AN8" t="s">
        <v>173</v>
      </c>
      <c r="AO8" t="s">
        <v>173</v>
      </c>
      <c r="AP8" t="s">
        <v>173</v>
      </c>
      <c r="AQ8" t="s">
        <v>173</v>
      </c>
      <c r="AR8" t="s">
        <v>173</v>
      </c>
      <c r="AS8" t="s">
        <v>173</v>
      </c>
      <c r="AT8" t="s">
        <v>173</v>
      </c>
      <c r="AU8" s="141" t="s">
        <v>153</v>
      </c>
      <c r="AV8" t="s">
        <v>184</v>
      </c>
      <c r="AW8" t="s">
        <v>154</v>
      </c>
      <c r="AX8" t="s">
        <v>155</v>
      </c>
      <c r="AY8" s="130" t="s">
        <v>156</v>
      </c>
      <c r="AZ8" t="s">
        <v>157</v>
      </c>
      <c r="BA8" t="s">
        <v>158</v>
      </c>
      <c r="BB8" t="s">
        <v>173</v>
      </c>
      <c r="BC8">
        <v>2</v>
      </c>
      <c r="BD8" t="s">
        <v>173</v>
      </c>
      <c r="BE8">
        <v>15.98</v>
      </c>
      <c r="BF8" t="s">
        <v>159</v>
      </c>
      <c r="BG8">
        <v>0.23</v>
      </c>
      <c r="BH8">
        <v>0.88</v>
      </c>
      <c r="BI8" s="130" t="s">
        <v>177</v>
      </c>
      <c r="BJ8" s="130" t="s">
        <v>177</v>
      </c>
      <c r="BK8">
        <v>1.85</v>
      </c>
      <c r="BL8" s="130" t="s">
        <v>185</v>
      </c>
      <c r="BM8" s="130" t="s">
        <v>173</v>
      </c>
      <c r="BN8" t="s">
        <v>160</v>
      </c>
      <c r="BO8" s="130" t="s">
        <v>186</v>
      </c>
      <c r="BP8" s="142">
        <v>16.027506482167354</v>
      </c>
      <c r="BQ8" t="s">
        <v>161</v>
      </c>
      <c r="BR8" s="130">
        <f t="shared" si="3"/>
        <v>0.23</v>
      </c>
      <c r="BS8" s="130" t="s">
        <v>187</v>
      </c>
      <c r="BT8" s="130" t="s">
        <v>174</v>
      </c>
      <c r="BU8" s="130">
        <v>0</v>
      </c>
      <c r="BV8" s="130" t="s">
        <v>173</v>
      </c>
      <c r="BW8" s="130" t="s">
        <v>173</v>
      </c>
      <c r="BX8">
        <v>28.4</v>
      </c>
      <c r="BY8" t="s">
        <v>162</v>
      </c>
      <c r="BZ8" s="130">
        <v>1</v>
      </c>
      <c r="CA8" s="130">
        <v>1</v>
      </c>
      <c r="CB8" s="132">
        <v>13735.67484</v>
      </c>
      <c r="CC8" s="130">
        <v>4.13</v>
      </c>
      <c r="CD8" s="130" t="s">
        <v>192</v>
      </c>
      <c r="CE8" s="130">
        <v>8.2599999999999993E-2</v>
      </c>
      <c r="CF8" s="130">
        <v>8.2599999999999993E-2</v>
      </c>
      <c r="CG8" s="134" t="s">
        <v>163</v>
      </c>
      <c r="CH8" t="s">
        <v>194</v>
      </c>
      <c r="CI8" t="s">
        <v>173</v>
      </c>
      <c r="CJ8" t="s">
        <v>193</v>
      </c>
      <c r="CK8" t="s">
        <v>173</v>
      </c>
      <c r="CL8" t="s">
        <v>173</v>
      </c>
      <c r="CM8" t="s">
        <v>173</v>
      </c>
      <c r="CN8" t="s">
        <v>173</v>
      </c>
      <c r="CO8" t="s">
        <v>173</v>
      </c>
      <c r="CP8" t="s">
        <v>173</v>
      </c>
      <c r="CQ8" t="s">
        <v>173</v>
      </c>
      <c r="CR8" t="s">
        <v>173</v>
      </c>
      <c r="CS8" t="s">
        <v>173</v>
      </c>
      <c r="CT8" t="s">
        <v>173</v>
      </c>
      <c r="CU8">
        <v>35</v>
      </c>
      <c r="CV8" t="s">
        <v>195</v>
      </c>
      <c r="CW8" t="s">
        <v>195</v>
      </c>
      <c r="CX8" s="130" t="s">
        <v>196</v>
      </c>
      <c r="CY8" s="130">
        <v>1.4E-2</v>
      </c>
      <c r="CZ8" s="130" t="s">
        <v>197</v>
      </c>
      <c r="DA8" s="130" t="s">
        <v>197</v>
      </c>
      <c r="DB8" s="130" t="s">
        <v>164</v>
      </c>
      <c r="DC8">
        <v>4.8000000000000001E-2</v>
      </c>
      <c r="DD8" s="130" t="s">
        <v>197</v>
      </c>
      <c r="DE8" s="130" t="s">
        <v>197</v>
      </c>
      <c r="DF8" s="130" t="s">
        <v>164</v>
      </c>
      <c r="DG8" s="130" t="s">
        <v>198</v>
      </c>
      <c r="DH8" s="130" t="s">
        <v>197</v>
      </c>
      <c r="DI8" s="130" t="s">
        <v>197</v>
      </c>
      <c r="DJ8" s="130" t="s">
        <v>173</v>
      </c>
      <c r="DK8" s="130">
        <v>432.6</v>
      </c>
      <c r="DL8" s="130" t="s">
        <v>205</v>
      </c>
      <c r="DM8" s="130" t="s">
        <v>205</v>
      </c>
      <c r="DN8" s="130" t="s">
        <v>208</v>
      </c>
      <c r="DO8">
        <v>37.799999999999997</v>
      </c>
      <c r="DP8" t="s">
        <v>205</v>
      </c>
      <c r="DQ8" t="s">
        <v>205</v>
      </c>
      <c r="DR8" t="s">
        <v>160</v>
      </c>
      <c r="DS8" s="130" t="s">
        <v>173</v>
      </c>
      <c r="DT8" s="130" t="s">
        <v>171</v>
      </c>
      <c r="DU8">
        <v>1.0271999999999999</v>
      </c>
      <c r="DV8" t="s">
        <v>175</v>
      </c>
      <c r="DW8" t="s">
        <v>175</v>
      </c>
      <c r="DX8" t="s">
        <v>210</v>
      </c>
      <c r="DY8" t="s">
        <v>174</v>
      </c>
      <c r="DZ8" t="s">
        <v>174</v>
      </c>
      <c r="EA8" s="130" t="s">
        <v>207</v>
      </c>
      <c r="EB8" s="130" t="s">
        <v>203</v>
      </c>
      <c r="EC8" s="130" t="s">
        <v>203</v>
      </c>
      <c r="ED8" s="130" t="s">
        <v>203</v>
      </c>
      <c r="EE8" s="130" t="s">
        <v>202</v>
      </c>
      <c r="EF8" s="130" t="s">
        <v>203</v>
      </c>
      <c r="EG8" s="130" t="s">
        <v>204</v>
      </c>
      <c r="EH8" t="s">
        <v>165</v>
      </c>
      <c r="EI8" t="s">
        <v>166</v>
      </c>
      <c r="EJ8" t="s">
        <v>160</v>
      </c>
      <c r="EK8">
        <v>1293</v>
      </c>
      <c r="EL8" t="s">
        <v>162</v>
      </c>
      <c r="EM8">
        <v>200</v>
      </c>
      <c r="EN8">
        <v>200</v>
      </c>
      <c r="EO8" t="s">
        <v>173</v>
      </c>
      <c r="EP8" t="s">
        <v>173</v>
      </c>
      <c r="EQ8" t="s">
        <v>173</v>
      </c>
      <c r="ER8" t="s">
        <v>173</v>
      </c>
      <c r="ES8" s="135">
        <v>7.9771692503461047</v>
      </c>
      <c r="ET8" t="s">
        <v>173</v>
      </c>
      <c r="EU8" s="130" t="s">
        <v>173</v>
      </c>
      <c r="EV8" s="130" t="s">
        <v>173</v>
      </c>
      <c r="EW8" s="136">
        <v>264.54570081331531</v>
      </c>
      <c r="EX8" t="s">
        <v>200</v>
      </c>
      <c r="EY8" t="s">
        <v>200</v>
      </c>
      <c r="EZ8" s="136">
        <v>264.54570081331531</v>
      </c>
      <c r="FA8" s="155">
        <v>56.545700813315307</v>
      </c>
      <c r="FB8" s="155">
        <v>38.454299186684693</v>
      </c>
      <c r="FC8" s="130" t="s">
        <v>199</v>
      </c>
      <c r="FD8" s="130" t="s">
        <v>201</v>
      </c>
      <c r="FE8" t="s">
        <v>173</v>
      </c>
      <c r="FF8" t="s">
        <v>173</v>
      </c>
      <c r="FG8" t="s">
        <v>173</v>
      </c>
      <c r="FH8" t="s">
        <v>173</v>
      </c>
      <c r="FI8" t="s">
        <v>173</v>
      </c>
      <c r="FJ8" t="s">
        <v>173</v>
      </c>
      <c r="FK8" t="s">
        <v>173</v>
      </c>
      <c r="FL8" t="s">
        <v>173</v>
      </c>
      <c r="FM8" t="s">
        <v>173</v>
      </c>
      <c r="FN8" t="s">
        <v>173</v>
      </c>
      <c r="FO8" t="s">
        <v>173</v>
      </c>
      <c r="FP8" t="s">
        <v>173</v>
      </c>
      <c r="FQ8" t="s">
        <v>173</v>
      </c>
    </row>
    <row r="9" spans="1:191">
      <c r="A9" s="128" t="s">
        <v>148</v>
      </c>
      <c r="B9" t="s">
        <v>149</v>
      </c>
      <c r="C9">
        <v>2013</v>
      </c>
      <c r="D9" t="s">
        <v>150</v>
      </c>
      <c r="E9" s="129">
        <v>13730.82418</v>
      </c>
      <c r="F9" t="s">
        <v>173</v>
      </c>
      <c r="G9" t="s">
        <v>173</v>
      </c>
      <c r="H9" s="155">
        <f t="shared" si="0"/>
        <v>256.32665703148416</v>
      </c>
      <c r="I9" s="155">
        <f t="shared" si="1"/>
        <v>52.32665703148416</v>
      </c>
      <c r="J9" s="155">
        <f t="shared" si="2"/>
        <v>41.67334296851584</v>
      </c>
      <c r="K9" t="s">
        <v>206</v>
      </c>
      <c r="L9" t="s">
        <v>151</v>
      </c>
      <c r="M9" s="139" t="s">
        <v>176</v>
      </c>
      <c r="N9" t="s">
        <v>150</v>
      </c>
      <c r="O9" s="130" t="s">
        <v>152</v>
      </c>
      <c r="P9" s="130" t="s">
        <v>173</v>
      </c>
      <c r="Q9" s="130" t="s">
        <v>173</v>
      </c>
      <c r="R9" s="130" t="s">
        <v>173</v>
      </c>
      <c r="S9" s="130" t="s">
        <v>173</v>
      </c>
      <c r="T9" s="130" t="s">
        <v>173</v>
      </c>
      <c r="U9" s="129">
        <v>13730.82418</v>
      </c>
      <c r="V9" s="130">
        <v>3.85</v>
      </c>
      <c r="W9" s="130" t="s">
        <v>182</v>
      </c>
      <c r="X9" s="131" t="s">
        <v>183</v>
      </c>
      <c r="Y9" s="145">
        <v>35.926000000000002</v>
      </c>
      <c r="Z9" s="145">
        <v>4.335</v>
      </c>
      <c r="AA9" s="131">
        <v>32.5</v>
      </c>
      <c r="AB9" s="131" t="s">
        <v>173</v>
      </c>
      <c r="AC9" s="131" t="s">
        <v>189</v>
      </c>
      <c r="AD9" s="143" t="s">
        <v>188</v>
      </c>
      <c r="AE9" s="133" t="s">
        <v>191</v>
      </c>
      <c r="AF9" s="131" t="s">
        <v>173</v>
      </c>
      <c r="AG9" s="132">
        <v>13698.231089999999</v>
      </c>
      <c r="AH9" s="140" t="s">
        <v>178</v>
      </c>
      <c r="AI9" t="s">
        <v>173</v>
      </c>
      <c r="AJ9" t="s">
        <v>173</v>
      </c>
      <c r="AK9" t="s">
        <v>173</v>
      </c>
      <c r="AL9" s="130" t="s">
        <v>180</v>
      </c>
      <c r="AM9" s="130" t="s">
        <v>179</v>
      </c>
      <c r="AN9" t="s">
        <v>173</v>
      </c>
      <c r="AO9" t="s">
        <v>173</v>
      </c>
      <c r="AP9" t="s">
        <v>173</v>
      </c>
      <c r="AQ9" t="s">
        <v>173</v>
      </c>
      <c r="AR9" t="s">
        <v>173</v>
      </c>
      <c r="AS9" t="s">
        <v>173</v>
      </c>
      <c r="AT9" t="s">
        <v>173</v>
      </c>
      <c r="AU9" s="141" t="s">
        <v>153</v>
      </c>
      <c r="AV9" t="s">
        <v>184</v>
      </c>
      <c r="AW9" t="s">
        <v>154</v>
      </c>
      <c r="AX9" t="s">
        <v>155</v>
      </c>
      <c r="AY9" s="130" t="s">
        <v>156</v>
      </c>
      <c r="AZ9" t="s">
        <v>157</v>
      </c>
      <c r="BA9" t="s">
        <v>158</v>
      </c>
      <c r="BB9" t="s">
        <v>173</v>
      </c>
      <c r="BC9">
        <v>2</v>
      </c>
      <c r="BD9" t="s">
        <v>173</v>
      </c>
      <c r="BE9">
        <v>16.170000000000002</v>
      </c>
      <c r="BF9" t="s">
        <v>159</v>
      </c>
      <c r="BG9">
        <v>0.23</v>
      </c>
      <c r="BH9">
        <v>0.88</v>
      </c>
      <c r="BI9" s="130" t="s">
        <v>177</v>
      </c>
      <c r="BJ9" s="130" t="s">
        <v>177</v>
      </c>
      <c r="BK9">
        <v>1.85</v>
      </c>
      <c r="BL9" s="130" t="s">
        <v>185</v>
      </c>
      <c r="BM9" s="130" t="s">
        <v>173</v>
      </c>
      <c r="BN9" t="s">
        <v>160</v>
      </c>
      <c r="BO9" s="130" t="s">
        <v>186</v>
      </c>
      <c r="BP9" s="142">
        <v>16.251013764518948</v>
      </c>
      <c r="BQ9" t="s">
        <v>161</v>
      </c>
      <c r="BR9" s="130">
        <f t="shared" si="3"/>
        <v>0.23</v>
      </c>
      <c r="BS9" s="130" t="s">
        <v>187</v>
      </c>
      <c r="BT9" s="130" t="s">
        <v>174</v>
      </c>
      <c r="BU9" s="130">
        <v>0</v>
      </c>
      <c r="BV9" s="130" t="s">
        <v>173</v>
      </c>
      <c r="BW9" s="130" t="s">
        <v>173</v>
      </c>
      <c r="BX9">
        <v>29.9</v>
      </c>
      <c r="BY9" t="s">
        <v>162</v>
      </c>
      <c r="BZ9" s="130">
        <v>1</v>
      </c>
      <c r="CA9" s="130">
        <v>1</v>
      </c>
      <c r="CB9" s="132">
        <v>13698.231089999999</v>
      </c>
      <c r="CC9" s="130">
        <v>4.72</v>
      </c>
      <c r="CD9" s="130" t="s">
        <v>192</v>
      </c>
      <c r="CE9" s="130">
        <v>9.4399999999999998E-2</v>
      </c>
      <c r="CF9" s="130">
        <v>9.4399999999999998E-2</v>
      </c>
      <c r="CG9" s="134" t="s">
        <v>163</v>
      </c>
      <c r="CH9" t="s">
        <v>194</v>
      </c>
      <c r="CI9" t="s">
        <v>173</v>
      </c>
      <c r="CJ9" t="s">
        <v>193</v>
      </c>
      <c r="CK9" t="s">
        <v>173</v>
      </c>
      <c r="CL9" t="s">
        <v>173</v>
      </c>
      <c r="CM9" t="s">
        <v>173</v>
      </c>
      <c r="CN9" t="s">
        <v>173</v>
      </c>
      <c r="CO9" t="s">
        <v>173</v>
      </c>
      <c r="CP9" t="s">
        <v>173</v>
      </c>
      <c r="CQ9" t="s">
        <v>173</v>
      </c>
      <c r="CR9" t="s">
        <v>173</v>
      </c>
      <c r="CS9" t="s">
        <v>173</v>
      </c>
      <c r="CT9" t="s">
        <v>173</v>
      </c>
      <c r="CU9">
        <v>35</v>
      </c>
      <c r="CV9" t="s">
        <v>195</v>
      </c>
      <c r="CW9" t="s">
        <v>195</v>
      </c>
      <c r="CX9" s="130" t="s">
        <v>196</v>
      </c>
      <c r="CY9" s="130">
        <v>1.4E-2</v>
      </c>
      <c r="CZ9" s="130" t="s">
        <v>197</v>
      </c>
      <c r="DA9" s="130" t="s">
        <v>197</v>
      </c>
      <c r="DB9" s="130" t="s">
        <v>164</v>
      </c>
      <c r="DC9">
        <v>4.8000000000000001E-2</v>
      </c>
      <c r="DD9" s="130" t="s">
        <v>197</v>
      </c>
      <c r="DE9" s="130" t="s">
        <v>197</v>
      </c>
      <c r="DF9" s="130" t="s">
        <v>164</v>
      </c>
      <c r="DG9" s="130" t="s">
        <v>198</v>
      </c>
      <c r="DH9" s="130" t="s">
        <v>197</v>
      </c>
      <c r="DI9" s="130" t="s">
        <v>197</v>
      </c>
      <c r="DJ9" s="130" t="s">
        <v>173</v>
      </c>
      <c r="DK9" s="130">
        <v>432.6</v>
      </c>
      <c r="DL9" s="130" t="s">
        <v>205</v>
      </c>
      <c r="DM9" s="130" t="s">
        <v>205</v>
      </c>
      <c r="DN9" s="130" t="s">
        <v>208</v>
      </c>
      <c r="DO9">
        <v>37.799999999999997</v>
      </c>
      <c r="DP9" t="s">
        <v>205</v>
      </c>
      <c r="DQ9" t="s">
        <v>205</v>
      </c>
      <c r="DR9" t="s">
        <v>160</v>
      </c>
      <c r="DS9" s="130" t="s">
        <v>173</v>
      </c>
      <c r="DT9" s="130" t="s">
        <v>172</v>
      </c>
      <c r="DU9">
        <v>1.0271999999999999</v>
      </c>
      <c r="DV9" t="s">
        <v>175</v>
      </c>
      <c r="DW9" t="s">
        <v>175</v>
      </c>
      <c r="DX9" t="s">
        <v>210</v>
      </c>
      <c r="DY9" t="s">
        <v>174</v>
      </c>
      <c r="DZ9" t="s">
        <v>174</v>
      </c>
      <c r="EA9" s="130" t="s">
        <v>207</v>
      </c>
      <c r="EB9" s="130" t="s">
        <v>203</v>
      </c>
      <c r="EC9" s="130" t="s">
        <v>203</v>
      </c>
      <c r="ED9" s="130" t="s">
        <v>203</v>
      </c>
      <c r="EE9" s="130" t="s">
        <v>202</v>
      </c>
      <c r="EF9" s="130" t="s">
        <v>203</v>
      </c>
      <c r="EG9" s="130" t="s">
        <v>204</v>
      </c>
      <c r="EH9" t="s">
        <v>165</v>
      </c>
      <c r="EI9" t="s">
        <v>166</v>
      </c>
      <c r="EJ9" t="s">
        <v>160</v>
      </c>
      <c r="EK9">
        <v>1293</v>
      </c>
      <c r="EL9" t="s">
        <v>162</v>
      </c>
      <c r="EM9">
        <v>200</v>
      </c>
      <c r="EN9">
        <v>200</v>
      </c>
      <c r="EO9" t="s">
        <v>173</v>
      </c>
      <c r="EP9" t="s">
        <v>173</v>
      </c>
      <c r="EQ9" t="s">
        <v>173</v>
      </c>
      <c r="ER9" t="s">
        <v>173</v>
      </c>
      <c r="ES9" s="135">
        <v>7.9870940630076701</v>
      </c>
      <c r="ET9" t="s">
        <v>173</v>
      </c>
      <c r="EU9" s="130" t="s">
        <v>173</v>
      </c>
      <c r="EV9" s="130" t="s">
        <v>173</v>
      </c>
      <c r="EW9" s="136">
        <v>256.32665703148416</v>
      </c>
      <c r="EX9" t="s">
        <v>200</v>
      </c>
      <c r="EY9" t="s">
        <v>200</v>
      </c>
      <c r="EZ9" s="136">
        <v>256.32665703148416</v>
      </c>
      <c r="FA9" s="155">
        <v>52.32665703148416</v>
      </c>
      <c r="FB9" s="155">
        <v>41.67334296851584</v>
      </c>
      <c r="FC9" s="130" t="s">
        <v>199</v>
      </c>
      <c r="FD9" s="130" t="s">
        <v>201</v>
      </c>
      <c r="FE9" t="s">
        <v>173</v>
      </c>
      <c r="FF9" t="s">
        <v>173</v>
      </c>
      <c r="FG9" t="s">
        <v>173</v>
      </c>
      <c r="FH9" t="s">
        <v>173</v>
      </c>
      <c r="FI9" t="s">
        <v>173</v>
      </c>
      <c r="FJ9" t="s">
        <v>173</v>
      </c>
      <c r="FK9" t="s">
        <v>173</v>
      </c>
      <c r="FL9" t="s">
        <v>173</v>
      </c>
      <c r="FM9" t="s">
        <v>173</v>
      </c>
      <c r="FN9" t="s">
        <v>173</v>
      </c>
      <c r="FO9" t="s">
        <v>173</v>
      </c>
      <c r="FP9" t="s">
        <v>173</v>
      </c>
      <c r="FQ9" t="s">
        <v>173</v>
      </c>
    </row>
    <row r="10" spans="1:191">
      <c r="AD10" s="143"/>
      <c r="AG10" s="2"/>
      <c r="AH10" s="3"/>
      <c r="BJ10" s="3"/>
      <c r="BX10" s="144"/>
      <c r="CF10" s="130"/>
      <c r="DL10" s="130"/>
      <c r="DM10" s="130"/>
      <c r="DN10" s="130"/>
      <c r="DT10" s="130"/>
      <c r="FE10" s="131"/>
    </row>
    <row r="11" spans="1:191">
      <c r="AG11" s="2"/>
      <c r="AH11" s="3"/>
      <c r="BJ11" s="3"/>
      <c r="BX11" s="144"/>
    </row>
    <row r="12" spans="1:191">
      <c r="AG12" s="2"/>
      <c r="AH12" s="3"/>
      <c r="BJ12" s="3"/>
      <c r="BX12" s="144"/>
    </row>
    <row r="13" spans="1:191">
      <c r="AG13" s="2"/>
      <c r="AH13" s="3"/>
      <c r="BJ13" s="3"/>
      <c r="BX13" s="144"/>
    </row>
    <row r="14" spans="1:191">
      <c r="AG14" s="2"/>
      <c r="AH14" s="3"/>
      <c r="BJ14" s="3"/>
      <c r="BX14" s="144"/>
    </row>
    <row r="15" spans="1:191">
      <c r="AG15" s="2"/>
      <c r="AH15" s="3"/>
      <c r="BJ15" s="3"/>
      <c r="BX15" s="14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58AA0-D60E-D841-91AB-C813E9BE1869}">
  <dimension ref="A1:A3"/>
  <sheetViews>
    <sheetView workbookViewId="0">
      <selection activeCell="D32" sqref="D32"/>
    </sheetView>
  </sheetViews>
  <sheetFormatPr baseColWidth="10" defaultRowHeight="16"/>
  <sheetData>
    <row r="1" spans="1:1">
      <c r="A1" t="s">
        <v>0</v>
      </c>
    </row>
    <row r="2" spans="1:1">
      <c r="A2" t="s">
        <v>229</v>
      </c>
    </row>
    <row r="3" spans="1:1">
      <c r="A3"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boron isotopes</vt:lpstr>
      <vt:lpstr>Column specifications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2017-12-08T17:15:47Z</dcterms:created>
  <dcterms:modified xsi:type="dcterms:W3CDTF">2020-07-17T13:45:54Z</dcterms:modified>
</cp:coreProperties>
</file>