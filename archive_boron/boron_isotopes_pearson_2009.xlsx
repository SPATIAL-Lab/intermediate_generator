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5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851A6184-5A07-3648-8124-44684DA2978E}" xr6:coauthVersionLast="36" xr6:coauthVersionMax="41" xr10:uidLastSave="{00000000-0000-0000-0000-000000000000}"/>
  <bookViews>
    <workbookView xWindow="1020" yWindow="460" windowWidth="24040" windowHeight="1554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4" i="2"/>
</calcChain>
</file>

<file path=xl/sharedStrings.xml><?xml version="1.0" encoding="utf-8"?>
<sst xmlns="http://schemas.openxmlformats.org/spreadsheetml/2006/main" count="1360" uniqueCount="238">
  <si>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</si>
  <si>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</si>
  <si>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</si>
  <si>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</si>
  <si>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</si>
  <si>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</si>
  <si>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</si>
  <si>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</si>
  <si>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</si>
  <si>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</si>
  <si>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</si>
  <si>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</si>
  <si>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</si>
  <si>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</si>
  <si>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</si>
  <si>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</si>
  <si>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</si>
  <si>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</si>
  <si>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</si>
  <si>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</si>
  <si>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</si>
  <si>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</si>
  <si>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</si>
  <si>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</si>
  <si>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</si>
  <si>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</si>
  <si>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</si>
  <si>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</si>
  <si>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</si>
  <si>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</si>
  <si>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</si>
  <si>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</si>
  <si>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</si>
  <si>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</si>
  <si>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</si>
  <si>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</si>
  <si>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</si>
  <si>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</si>
  <si>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</si>
  <si>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</si>
  <si>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</si>
  <si>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</si>
  <si>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</si>
  <si>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</si>
  <si>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</si>
  <si>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</si>
  <si>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</si>
  <si>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</si>
  <si>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</si>
  <si>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</si>
  <si>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</si>
  <si>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</si>
  <si>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</si>
  <si>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</si>
  <si>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</si>
  <si>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</si>
  <si>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</si>
  <si>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</si>
  <si>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</si>
  <si>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</si>
  <si>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</si>
  <si>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</si>
  <si>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</si>
  <si>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</si>
  <si>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</si>
  <si>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</si>
  <si>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</si>
  <si>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</si>
  <si>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</si>
  <si>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</si>
  <si>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</si>
  <si>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</si>
  <si>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</si>
  <si>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</si>
  <si>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</si>
  <si>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</si>
  <si>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</si>
  <si>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</si>
  <si>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</si>
  <si>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</si>
  <si>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</si>
  <si>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</si>
  <si>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</si>
  <si>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</si>
  <si>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</si>
  <si>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</si>
  <si>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</si>
  <si>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</si>
  <si>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</si>
  <si>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>[Ca] (mol/kg)</t>
  </si>
  <si>
    <t xml:space="preserve">reference for [Ca] of seawater value </t>
  </si>
  <si>
    <t>[Mg] (mol/kg)</t>
  </si>
  <si>
    <t>reference for [Mg] of seawater value</t>
  </si>
  <si>
    <t>[SO4] (mol/kg)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</si>
  <si>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</si>
  <si>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</si>
  <si>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</si>
  <si>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</si>
  <si>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</si>
  <si>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</si>
  <si>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</si>
  <si>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</si>
  <si>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</si>
  <si>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</si>
  <si>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</si>
  <si>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</si>
  <si>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</si>
  <si>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</si>
  <si>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</si>
  <si>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</si>
  <si>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</si>
  <si>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</si>
  <si>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</si>
  <si>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</si>
  <si>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</si>
  <si>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t>pH scale reported (e.g., total scale, seawater scale)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</si>
  <si>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</si>
  <si>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</si>
  <si>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</si>
  <si>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</si>
  <si>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</si>
  <si>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</si>
  <si>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</si>
  <si>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</si>
  <si>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</si>
  <si>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</si>
  <si>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</si>
  <si>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</si>
  <si>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</si>
  <si>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</si>
  <si>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</si>
  <si>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</si>
  <si>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</si>
  <si>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</si>
  <si>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</si>
  <si>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</si>
  <si>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</si>
  <si>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</si>
  <si>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</si>
  <si>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</si>
  <si>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</si>
  <si>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</si>
  <si>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t>boron isotopes</t>
  </si>
  <si>
    <t>NA</t>
  </si>
  <si>
    <t>Tanzania</t>
  </si>
  <si>
    <t>TDP17</t>
  </si>
  <si>
    <t>TDP12</t>
  </si>
  <si>
    <t>Nicholas et al. 2006</t>
  </si>
  <si>
    <t>biostrat</t>
  </si>
  <si>
    <t>Cande &amp; Kent 1995</t>
  </si>
  <si>
    <t xml:space="preserve">Pearson, P. N. et al. Extinction and environmental change across the Eocene–Oligocene boundary in Tanzania. Geology 36, 179–182 (2008). </t>
  </si>
  <si>
    <t>range ±</t>
  </si>
  <si>
    <t>212-250</t>
  </si>
  <si>
    <t>Barker et al. 2003, Rae et al. 2011</t>
  </si>
  <si>
    <t>MC-ICP-MS (Neptune)</t>
  </si>
  <si>
    <t>2sd</t>
  </si>
  <si>
    <t>Turborotalia ampliapertura offseted to mixed layer</t>
  </si>
  <si>
    <t xml:space="preserve">300-1000 </t>
  </si>
  <si>
    <t>14.7,14.73</t>
  </si>
  <si>
    <t>14.47,14.09</t>
  </si>
  <si>
    <t>13.94,13.86</t>
  </si>
  <si>
    <t>13.78,13.78</t>
  </si>
  <si>
    <t>300-1000</t>
  </si>
  <si>
    <t>14.33,14.31</t>
  </si>
  <si>
    <t>13.73,14.03</t>
  </si>
  <si>
    <t>13.83,13.69</t>
  </si>
  <si>
    <t>13.95,13.59</t>
  </si>
  <si>
    <t>14.14,13.92</t>
  </si>
  <si>
    <t>Slope uncertainty not applied</t>
  </si>
  <si>
    <t>Intercept uncertainty was not applied</t>
  </si>
  <si>
    <t>Calibration was not applied</t>
  </si>
  <si>
    <t>No calibration uncertainty introduced, so only analytical</t>
  </si>
  <si>
    <t>None applied</t>
  </si>
  <si>
    <t>set value</t>
  </si>
  <si>
    <t>not applied</t>
  </si>
  <si>
    <t>long term % reproducibility</t>
  </si>
  <si>
    <t xml:space="preserve">Mg/Ca = 0.38 (±0.02) exp 0.090 (±0.003)T </t>
  </si>
  <si>
    <t>arbitrary</t>
  </si>
  <si>
    <t>not specified; assume modern</t>
  </si>
  <si>
    <t>flat probability</t>
  </si>
  <si>
    <t>Dickson 1990</t>
  </si>
  <si>
    <t>Millero 1979</t>
  </si>
  <si>
    <t>Not applied</t>
  </si>
  <si>
    <t>total</t>
  </si>
  <si>
    <t>n of replicate measurements</t>
  </si>
  <si>
    <t>2se of replicates ( [ 2* (sd/sqrt(n))] )</t>
  </si>
  <si>
    <t>corrected to mixed layer, for both Temp and d11B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</si>
  <si>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</si>
  <si>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</si>
  <si>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</si>
  <si>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</si>
  <si>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</si>
  <si>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</si>
  <si>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</si>
  <si>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</si>
  <si>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</si>
  <si>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</si>
  <si>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</si>
  <si>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</si>
  <si>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</si>
  <si>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</si>
  <si>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</si>
  <si>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</si>
  <si>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</si>
  <si>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</si>
  <si>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</si>
  <si>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</si>
  <si>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</si>
  <si>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</si>
  <si>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</si>
  <si>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</si>
  <si>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</si>
  <si>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</si>
  <si>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</si>
  <si>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notes about uncertainty estimate: e.g., included calibration slope and intercept</t>
  </si>
  <si>
    <t>Eleni Anagnostou, Bärbel Hönisch</t>
  </si>
  <si>
    <t>eanagnostou@geomar.de, hoenisch@ldeo.columbia.edu</t>
  </si>
  <si>
    <t>10.1038/nature08447</t>
  </si>
  <si>
    <t xml:space="preserve">Pearson, P. N., G. L. Foster, and B. S. Wade (2009), Atmospheric carbon dioxide through the Eocene-Oligocene climate transition, Nature, 461(7267)
</t>
  </si>
  <si>
    <t>Pearson</t>
  </si>
  <si>
    <t>-300 to -500</t>
  </si>
  <si>
    <t>column chemistry</t>
  </si>
  <si>
    <t>Anand et al. (2003)</t>
  </si>
  <si>
    <t>Horita et al. (2002)</t>
  </si>
  <si>
    <t>assumed, also did a sensitivity study with 37 and 39‰</t>
  </si>
  <si>
    <t>[CO32-]</t>
  </si>
  <si>
    <t>box model based on varying CCD and surface ocean calcitesaturation</t>
  </si>
  <si>
    <t>Wilkinson &amp; Algeo (1989)</t>
  </si>
  <si>
    <t>Tyrrell &amp; Zeebe 2004</t>
  </si>
  <si>
    <t>Tyrrell &amp; Zeebe 2005</t>
  </si>
  <si>
    <t>Uppström (1974)</t>
  </si>
  <si>
    <t>assumed based on oligotrophic core site</t>
  </si>
  <si>
    <t>T, S, CO32-, d11B</t>
  </si>
  <si>
    <t>quadratic addition</t>
  </si>
  <si>
    <t>selected d11Bsw=38‰ and variable [CO32-] scenario of original calculations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</si>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</sst>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rgb="FFFF0000"/>
      <name val="Calibri"/>
      <family val="2"/>
      <scheme val="minor"/>
    </font>
    <font>
      <sz val="10"/>
      <color theme="1"/>
      <name val="Helvetica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0"/>
      <color rgb="FF000000"/>
      <name val="Helvetica"/>
      <family val="2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theme="1"/>
      <name val="AdvTT5843c571"/>
    </font>
    <font>
      <i/>
      <sz val="10"/>
      <color theme="1"/>
      <name val="Helvetica"/>
      <family val="2"/>
    </font>
    <font>
      <i/>
      <sz val="10"/>
      <color rgb="FF000000"/>
      <name val="Helvetica"/>
      <family val="2"/>
    </font>
    <font>
      <sz val="10"/>
      <color theme="1"/>
      <name val="MS Sans Serif"/>
    </font>
    <font>
      <sz val="11"/>
      <color theme="1"/>
      <name val="AdvTT5843c571"/>
    </font>
    <font>
      <vertAlign val="subscript"/>
      <sz val="12"/>
      <color rgb="FF000000"/>
      <name val="Verdana"/>
      <family val="2"/>
    </font>
    <font>
      <sz val="1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FFFF98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5" fillId="0" borderId="0" applyNumberForma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7" borderId="10" xfId="0" applyFont="1" applyFill="1" applyBorder="1"/>
    <xf numFmtId="0" fontId="5" fillId="6" borderId="11" xfId="0" applyFont="1" applyFill="1" applyBorder="1"/>
    <xf numFmtId="0" fontId="5" fillId="6" borderId="0" xfId="0" applyFont="1" applyFill="1" applyBorder="1"/>
    <xf numFmtId="0" fontId="7" fillId="6" borderId="11" xfId="0" applyFont="1" applyFill="1" applyBorder="1" applyAlignment="1">
      <alignment horizontal="left" vertical="center"/>
    </xf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5" fillId="8" borderId="5" xfId="0" applyFont="1" applyFill="1" applyBorder="1"/>
    <xf numFmtId="0" fontId="0" fillId="12" borderId="2" xfId="0" quotePrefix="1" applyFill="1" applyBorder="1" applyAlignment="1">
      <alignment horizontal="center" vertical="center" wrapText="1"/>
    </xf>
    <xf numFmtId="164" fontId="31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center"/>
    </xf>
    <xf numFmtId="0" fontId="33" fillId="0" borderId="0" xfId="0" applyFont="1"/>
    <xf numFmtId="164" fontId="34" fillId="0" borderId="0" xfId="0" applyNumberFormat="1" applyFont="1" applyAlignment="1">
      <alignment horizontal="center"/>
    </xf>
    <xf numFmtId="0" fontId="36" fillId="0" borderId="0" xfId="3" applyFont="1"/>
    <xf numFmtId="0" fontId="35" fillId="0" borderId="0" xfId="3"/>
    <xf numFmtId="2" fontId="0" fillId="0" borderId="0" xfId="0" applyNumberFormat="1" applyAlignment="1">
      <alignment horizontal="center"/>
    </xf>
    <xf numFmtId="0" fontId="29" fillId="0" borderId="0" xfId="0" applyFont="1"/>
    <xf numFmtId="2" fontId="30" fillId="0" borderId="0" xfId="0" applyNumberFormat="1" applyFont="1" applyAlignment="1">
      <alignment horizontal="center"/>
    </xf>
    <xf numFmtId="2" fontId="39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/>
    </xf>
    <xf numFmtId="2" fontId="0" fillId="0" borderId="0" xfId="0" applyNumberFormat="1"/>
    <xf numFmtId="2" fontId="40" fillId="0" borderId="0" xfId="0" applyNumberFormat="1" applyFont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2" fontId="30" fillId="0" borderId="0" xfId="0" applyNumberFormat="1" applyFont="1" applyFill="1" applyAlignment="1">
      <alignment horizontal="center"/>
    </xf>
    <xf numFmtId="0" fontId="0" fillId="0" borderId="0" xfId="0" applyFill="1"/>
    <xf numFmtId="0" fontId="5" fillId="8" borderId="1" xfId="0" applyFont="1" applyFill="1" applyBorder="1"/>
    <xf numFmtId="1" fontId="30" fillId="0" borderId="0" xfId="0" applyNumberFormat="1" applyFont="1" applyFill="1" applyAlignment="1">
      <alignment horizontal="center"/>
    </xf>
    <xf numFmtId="2" fontId="30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6" fillId="13" borderId="8" xfId="0" quotePrefix="1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15" borderId="3" xfId="0" quotePrefix="1" applyFill="1" applyBorder="1" applyAlignment="1">
      <alignment horizontal="center" vertical="center" wrapText="1"/>
    </xf>
    <xf numFmtId="0" fontId="0" fillId="16" borderId="2" xfId="0" quotePrefix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37" fillId="0" borderId="0" xfId="0" quotePrefix="1" applyFont="1"/>
    <xf numFmtId="2" fontId="38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center"/>
    </xf>
    <xf numFmtId="1" fontId="43" fillId="0" borderId="0" xfId="0" applyNumberFormat="1" applyFont="1" applyFill="1" applyBorder="1" applyAlignment="1">
      <alignment horizontal="center"/>
    </xf>
    <xf numFmtId="1" fontId="43" fillId="0" borderId="0" xfId="0" applyNumberFormat="1" applyFont="1" applyAlignment="1">
      <alignment horizontal="center"/>
    </xf>
    <xf numFmtId="0" fontId="41" fillId="0" borderId="0" xfId="0" applyFont="1" applyFill="1"/>
    <xf numFmtId="1" fontId="44" fillId="0" borderId="0" xfId="0" applyNumberFormat="1" applyFont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A9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anagnostou@geomar.de" TargetMode="External"/><Relationship Id="rId3" Type="http://schemas.openxmlformats.org/officeDocument/2006/relationships/hyperlink" Target="mailto:eanagnostou@geomar.de" TargetMode="External"/><Relationship Id="rId7" Type="http://schemas.openxmlformats.org/officeDocument/2006/relationships/hyperlink" Target="mailto:eanagnostou@geomar.de" TargetMode="External"/><Relationship Id="rId2" Type="http://schemas.openxmlformats.org/officeDocument/2006/relationships/hyperlink" Target="mailto:eanagnostou@geomar.de" TargetMode="External"/><Relationship Id="rId1" Type="http://schemas.openxmlformats.org/officeDocument/2006/relationships/hyperlink" Target="mailto:eanagnostou@geomar.de" TargetMode="External"/><Relationship Id="rId6" Type="http://schemas.openxmlformats.org/officeDocument/2006/relationships/hyperlink" Target="mailto:eanagnostou@geomar.de" TargetMode="External"/><Relationship Id="rId5" Type="http://schemas.openxmlformats.org/officeDocument/2006/relationships/hyperlink" Target="mailto:eanagnostou@geomar.de" TargetMode="External"/><Relationship Id="rId4" Type="http://schemas.openxmlformats.org/officeDocument/2006/relationships/hyperlink" Target="mailto:eanagnostou@geomar.de" TargetMode="External"/><Relationship Id="rId9" Type="http://schemas.openxmlformats.org/officeDocument/2006/relationships/hyperlink" Target="mailto:eanagnostou@geoma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4"/>
  <sheetViews>
    <sheetView tabSelected="1" zoomScaleNormal="100" workbookViewId="0">
      <selection activeCell="L16" sqref="L16"/>
    </sheetView>
  </sheetViews>
  <sheetFormatPr baseColWidth="10" defaultColWidth="11" defaultRowHeight="16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6" width="16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8" width="16.6640625" customWidth="1"/>
    <col min="79" max="79" width="14.5" customWidth="1"/>
    <col min="81" max="81" width="15.83203125" customWidth="1"/>
    <col min="82" max="83" width="15.6640625" customWidth="1"/>
    <col min="84" max="84" width="16" customWidth="1"/>
    <col min="85" max="85" width="15.5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15" t="s">
        <v>127</v>
      </c>
      <c r="B1" s="116"/>
      <c r="C1" s="116"/>
      <c r="D1" s="116"/>
      <c r="E1" s="116"/>
      <c r="F1" s="116"/>
      <c r="G1" s="116"/>
      <c r="H1" s="116"/>
      <c r="I1" s="116"/>
      <c r="J1" s="117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9"/>
      <c r="W1" s="8"/>
      <c r="X1" s="7"/>
      <c r="Y1" s="7"/>
      <c r="Z1" s="7"/>
      <c r="AA1" s="7"/>
      <c r="AB1" s="7"/>
      <c r="AC1" s="7"/>
      <c r="AD1" s="7"/>
      <c r="AE1" s="7"/>
      <c r="AF1" s="7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5" t="s">
        <v>4</v>
      </c>
      <c r="AV1" s="16"/>
      <c r="AW1" s="16"/>
      <c r="AX1" s="16"/>
      <c r="AY1" s="16"/>
      <c r="AZ1" s="16"/>
      <c r="BA1" s="16"/>
      <c r="BB1" s="17"/>
      <c r="BC1" s="18"/>
      <c r="BD1" s="18"/>
      <c r="BE1" s="18"/>
      <c r="BF1" s="19"/>
      <c r="BG1" s="20"/>
      <c r="BH1" s="21" t="s">
        <v>5</v>
      </c>
      <c r="BI1" s="22"/>
      <c r="BJ1" s="22"/>
      <c r="BK1" s="22"/>
      <c r="BL1" s="22"/>
      <c r="BM1" s="22"/>
      <c r="BN1" s="22"/>
      <c r="BO1" s="23"/>
      <c r="BP1" s="24" t="s">
        <v>6</v>
      </c>
      <c r="BQ1" s="24"/>
      <c r="BR1" s="25"/>
      <c r="BS1" s="25"/>
      <c r="BT1" s="25"/>
      <c r="BU1" s="26" t="s">
        <v>7</v>
      </c>
      <c r="BV1" s="27"/>
      <c r="BW1" s="28"/>
      <c r="BX1" s="26"/>
      <c r="BY1" s="29"/>
      <c r="BZ1" s="29"/>
      <c r="CA1" s="30"/>
      <c r="CB1" s="26" t="s">
        <v>8</v>
      </c>
      <c r="CC1" s="31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6" t="s">
        <v>9</v>
      </c>
      <c r="CO1" s="29"/>
      <c r="CP1" s="29"/>
      <c r="CQ1" s="29"/>
      <c r="CR1" s="29"/>
      <c r="CS1" s="29"/>
      <c r="CT1" s="30"/>
      <c r="CU1" s="27" t="s">
        <v>10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32"/>
      <c r="DP1" s="29"/>
      <c r="DQ1" s="29"/>
      <c r="DR1" s="30"/>
      <c r="DS1" s="27"/>
      <c r="DT1" s="27"/>
      <c r="DU1" s="33" t="s">
        <v>11</v>
      </c>
      <c r="DV1" s="27"/>
      <c r="DW1" s="27"/>
      <c r="DX1" s="27"/>
      <c r="DY1" s="27"/>
      <c r="DZ1" s="28"/>
      <c r="EA1" s="33" t="s">
        <v>12</v>
      </c>
      <c r="EB1" s="27"/>
      <c r="EC1" s="27"/>
      <c r="ED1" s="27"/>
      <c r="EE1" s="27"/>
      <c r="EF1" s="34"/>
      <c r="EG1" s="34"/>
      <c r="EH1" s="123" t="s">
        <v>13</v>
      </c>
      <c r="EI1" s="124"/>
      <c r="EJ1" s="124"/>
      <c r="EK1" s="35"/>
      <c r="EL1" s="35"/>
      <c r="EM1" s="35"/>
      <c r="EN1" s="35"/>
      <c r="EO1" s="35"/>
      <c r="EP1" s="35"/>
      <c r="EQ1" s="35"/>
      <c r="ER1" s="35"/>
      <c r="ES1" s="36" t="s">
        <v>14</v>
      </c>
      <c r="ET1" s="37"/>
      <c r="EU1" s="37"/>
      <c r="EV1" s="37"/>
      <c r="EW1" s="38"/>
      <c r="EX1" s="38"/>
      <c r="EY1" s="38"/>
      <c r="EZ1" s="38"/>
      <c r="FA1" s="37"/>
      <c r="FB1" s="37"/>
      <c r="FC1" s="37"/>
      <c r="FD1" s="37"/>
      <c r="FE1" s="36"/>
      <c r="FF1" s="37"/>
      <c r="FG1" s="37"/>
      <c r="FH1" s="37"/>
      <c r="FI1" s="37"/>
      <c r="FJ1" s="37"/>
      <c r="FK1" s="7"/>
      <c r="FL1" s="7"/>
      <c r="FM1" s="7"/>
      <c r="FN1" s="7"/>
      <c r="FO1" s="7"/>
      <c r="FP1" s="7"/>
      <c r="FQ1" s="39"/>
    </row>
    <row r="2" spans="1:191" ht="20">
      <c r="A2" s="118"/>
      <c r="B2" s="41"/>
      <c r="C2" s="41"/>
      <c r="D2" s="41"/>
      <c r="E2" s="41"/>
      <c r="F2" s="41"/>
      <c r="G2" s="41"/>
      <c r="H2" s="41"/>
      <c r="I2" s="41"/>
      <c r="J2" s="43"/>
      <c r="K2" s="40"/>
      <c r="L2" s="41"/>
      <c r="M2" s="42"/>
      <c r="N2" s="43"/>
      <c r="O2" s="44"/>
      <c r="P2" s="44"/>
      <c r="Q2" s="44"/>
      <c r="R2" s="44"/>
      <c r="S2" s="44"/>
      <c r="T2" s="44"/>
      <c r="U2" s="45"/>
      <c r="V2" s="46"/>
      <c r="W2" s="45"/>
      <c r="X2" s="44"/>
      <c r="Y2" s="44"/>
      <c r="Z2" s="44"/>
      <c r="AA2" s="44"/>
      <c r="AB2" s="44"/>
      <c r="AC2" s="44"/>
      <c r="AD2" s="44"/>
      <c r="AE2" s="44"/>
      <c r="AF2" s="44"/>
      <c r="AG2" s="47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7"/>
      <c r="AV2" s="18"/>
      <c r="AW2" s="16"/>
      <c r="AX2" s="16"/>
      <c r="AY2" s="16"/>
      <c r="AZ2" s="16"/>
      <c r="BA2" s="18"/>
      <c r="BB2" s="48" t="s">
        <v>16</v>
      </c>
      <c r="BC2" s="139"/>
      <c r="BD2" s="139"/>
      <c r="BE2" s="18"/>
      <c r="BF2" s="19"/>
      <c r="BG2" s="20"/>
      <c r="BH2" s="49" t="s">
        <v>17</v>
      </c>
      <c r="BI2" s="50"/>
      <c r="BJ2" s="50"/>
      <c r="BK2" s="51" t="s">
        <v>18</v>
      </c>
      <c r="BL2" s="52"/>
      <c r="BM2" s="53"/>
      <c r="BN2" s="53"/>
      <c r="BO2" s="54"/>
      <c r="BP2" s="55"/>
      <c r="BQ2" s="55"/>
      <c r="BR2" s="22"/>
      <c r="BS2" s="22"/>
      <c r="BT2" s="22"/>
      <c r="BU2" s="56" t="s">
        <v>19</v>
      </c>
      <c r="BV2" s="57"/>
      <c r="BW2" s="58"/>
      <c r="BX2" s="59" t="s">
        <v>20</v>
      </c>
      <c r="BY2" s="60"/>
      <c r="BZ2" s="60"/>
      <c r="CA2" s="60"/>
      <c r="CB2" s="61" t="s">
        <v>21</v>
      </c>
      <c r="CC2" s="62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26" t="s">
        <v>22</v>
      </c>
      <c r="CO2" s="31"/>
      <c r="CP2" s="29"/>
      <c r="CQ2" s="29"/>
      <c r="CR2" s="29"/>
      <c r="CS2" s="29"/>
      <c r="CT2" s="30"/>
      <c r="CU2" s="57" t="s">
        <v>23</v>
      </c>
      <c r="CV2" s="57"/>
      <c r="CW2" s="57"/>
      <c r="CX2" s="57"/>
      <c r="CY2" s="63" t="s">
        <v>24</v>
      </c>
      <c r="CZ2" s="64"/>
      <c r="DA2" s="64"/>
      <c r="DB2" s="65"/>
      <c r="DC2" s="63" t="s">
        <v>25</v>
      </c>
      <c r="DD2" s="34"/>
      <c r="DE2" s="34"/>
      <c r="DF2" s="66"/>
      <c r="DG2" s="67" t="s">
        <v>26</v>
      </c>
      <c r="DH2" s="34"/>
      <c r="DI2" s="34"/>
      <c r="DJ2" s="66"/>
      <c r="DK2" s="68" t="s">
        <v>27</v>
      </c>
      <c r="DL2" s="69"/>
      <c r="DM2" s="57"/>
      <c r="DN2" s="57"/>
      <c r="DO2" s="70" t="s">
        <v>28</v>
      </c>
      <c r="DP2" s="60"/>
      <c r="DQ2" s="60"/>
      <c r="DR2" s="71"/>
      <c r="DS2" s="57" t="s">
        <v>29</v>
      </c>
      <c r="DT2" s="57"/>
      <c r="DU2" s="72" t="s">
        <v>30</v>
      </c>
      <c r="DV2" s="73"/>
      <c r="DW2" s="73"/>
      <c r="DX2" s="73"/>
      <c r="DY2" s="57"/>
      <c r="DZ2" s="57"/>
      <c r="EA2" s="74"/>
      <c r="EB2" s="57"/>
      <c r="EC2" s="57"/>
      <c r="ED2" s="57"/>
      <c r="EE2" s="34"/>
      <c r="EF2" s="56" t="s">
        <v>31</v>
      </c>
      <c r="EG2" s="34"/>
      <c r="EH2" s="143"/>
      <c r="EI2" s="35"/>
      <c r="EJ2" s="35"/>
      <c r="EK2" s="75"/>
      <c r="EL2" s="75"/>
      <c r="EM2" s="75"/>
      <c r="EN2" s="75"/>
      <c r="EO2" s="76"/>
      <c r="EP2" s="76"/>
      <c r="EQ2" s="76"/>
      <c r="ER2" s="76"/>
      <c r="ES2" s="77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4"/>
      <c r="FQ2" s="78"/>
    </row>
    <row r="3" spans="1:191" ht="238">
      <c r="A3" s="119" t="s">
        <v>128</v>
      </c>
      <c r="B3" s="120" t="s">
        <v>129</v>
      </c>
      <c r="C3" s="120" t="s">
        <v>130</v>
      </c>
      <c r="D3" s="3" t="s">
        <v>131</v>
      </c>
      <c r="E3" s="3" t="s">
        <v>132</v>
      </c>
      <c r="F3" s="121" t="s">
        <v>133</v>
      </c>
      <c r="G3" s="121" t="s">
        <v>134</v>
      </c>
      <c r="H3" s="163" t="s">
        <v>235</v>
      </c>
      <c r="I3" s="164" t="s">
        <v>236</v>
      </c>
      <c r="J3" s="165" t="s">
        <v>237</v>
      </c>
      <c r="K3" s="79" t="s">
        <v>32</v>
      </c>
      <c r="L3" s="80" t="s">
        <v>33</v>
      </c>
      <c r="M3" s="80" t="s">
        <v>34</v>
      </c>
      <c r="N3" s="81" t="s">
        <v>35</v>
      </c>
      <c r="O3" s="82" t="s">
        <v>36</v>
      </c>
      <c r="P3" s="82" t="s">
        <v>37</v>
      </c>
      <c r="Q3" s="82" t="s">
        <v>38</v>
      </c>
      <c r="R3" s="82" t="s">
        <v>39</v>
      </c>
      <c r="S3" s="82" t="s">
        <v>40</v>
      </c>
      <c r="T3" s="82" t="s">
        <v>41</v>
      </c>
      <c r="U3" s="82" t="s">
        <v>42</v>
      </c>
      <c r="V3" s="83" t="s">
        <v>43</v>
      </c>
      <c r="W3" s="82" t="s">
        <v>44</v>
      </c>
      <c r="X3" s="82" t="s">
        <v>45</v>
      </c>
      <c r="Y3" s="82" t="s">
        <v>46</v>
      </c>
      <c r="Z3" s="82" t="s">
        <v>47</v>
      </c>
      <c r="AA3" s="82" t="s">
        <v>48</v>
      </c>
      <c r="AB3" s="82" t="s">
        <v>49</v>
      </c>
      <c r="AC3" s="82" t="s">
        <v>50</v>
      </c>
      <c r="AD3" s="82" t="s">
        <v>51</v>
      </c>
      <c r="AE3" s="82" t="s">
        <v>52</v>
      </c>
      <c r="AF3" s="82" t="s">
        <v>53</v>
      </c>
      <c r="AG3" s="84" t="s">
        <v>139</v>
      </c>
      <c r="AH3" s="85" t="s">
        <v>54</v>
      </c>
      <c r="AI3" s="125" t="s">
        <v>140</v>
      </c>
      <c r="AJ3" s="125" t="s">
        <v>141</v>
      </c>
      <c r="AK3" s="86" t="s">
        <v>55</v>
      </c>
      <c r="AL3" s="86" t="s">
        <v>56</v>
      </c>
      <c r="AM3" s="87" t="s">
        <v>57</v>
      </c>
      <c r="AN3" s="84" t="s">
        <v>139</v>
      </c>
      <c r="AO3" s="85" t="s">
        <v>54</v>
      </c>
      <c r="AP3" s="125" t="s">
        <v>140</v>
      </c>
      <c r="AQ3" s="125" t="s">
        <v>141</v>
      </c>
      <c r="AR3" s="86" t="s">
        <v>55</v>
      </c>
      <c r="AS3" s="86" t="s">
        <v>56</v>
      </c>
      <c r="AT3" s="86" t="s">
        <v>57</v>
      </c>
      <c r="AU3" s="88" t="s">
        <v>58</v>
      </c>
      <c r="AV3" s="89" t="s">
        <v>59</v>
      </c>
      <c r="AW3" s="89" t="s">
        <v>60</v>
      </c>
      <c r="AX3" s="89" t="s">
        <v>61</v>
      </c>
      <c r="AY3" s="89" t="s">
        <v>62</v>
      </c>
      <c r="AZ3" s="89" t="s">
        <v>63</v>
      </c>
      <c r="BA3" s="89" t="s">
        <v>64</v>
      </c>
      <c r="BB3" s="122" t="s">
        <v>135</v>
      </c>
      <c r="BC3" s="140" t="s">
        <v>184</v>
      </c>
      <c r="BD3" s="140" t="s">
        <v>185</v>
      </c>
      <c r="BE3" s="90" t="s">
        <v>65</v>
      </c>
      <c r="BF3" s="91" t="s">
        <v>66</v>
      </c>
      <c r="BG3" s="91" t="s">
        <v>67</v>
      </c>
      <c r="BH3" s="92" t="s">
        <v>68</v>
      </c>
      <c r="BI3" s="93" t="s">
        <v>69</v>
      </c>
      <c r="BJ3" s="94" t="s">
        <v>70</v>
      </c>
      <c r="BK3" s="95" t="s">
        <v>71</v>
      </c>
      <c r="BL3" s="96" t="s">
        <v>69</v>
      </c>
      <c r="BM3" s="97" t="s">
        <v>70</v>
      </c>
      <c r="BN3" s="53" t="s">
        <v>72</v>
      </c>
      <c r="BO3" s="54" t="s">
        <v>73</v>
      </c>
      <c r="BP3" s="97" t="s">
        <v>74</v>
      </c>
      <c r="BQ3" s="93" t="s">
        <v>69</v>
      </c>
      <c r="BR3" s="94" t="s">
        <v>70</v>
      </c>
      <c r="BS3" s="53" t="s">
        <v>214</v>
      </c>
      <c r="BT3" s="53" t="s">
        <v>75</v>
      </c>
      <c r="BU3" s="98" t="s">
        <v>76</v>
      </c>
      <c r="BV3" s="99" t="s">
        <v>54</v>
      </c>
      <c r="BW3" s="100" t="s">
        <v>205</v>
      </c>
      <c r="BX3" s="101" t="s">
        <v>77</v>
      </c>
      <c r="BY3" s="99" t="s">
        <v>54</v>
      </c>
      <c r="BZ3" s="149" t="s">
        <v>196</v>
      </c>
      <c r="CA3" s="150" t="s">
        <v>197</v>
      </c>
      <c r="CB3" s="102" t="s">
        <v>136</v>
      </c>
      <c r="CC3" s="101" t="s">
        <v>78</v>
      </c>
      <c r="CD3" s="99" t="s">
        <v>54</v>
      </c>
      <c r="CE3" s="149" t="s">
        <v>198</v>
      </c>
      <c r="CF3" s="150" t="s">
        <v>199</v>
      </c>
      <c r="CG3" s="102" t="s">
        <v>79</v>
      </c>
      <c r="CH3" s="102" t="s">
        <v>80</v>
      </c>
      <c r="CI3" s="102" t="s">
        <v>211</v>
      </c>
      <c r="CJ3" s="102" t="s">
        <v>212</v>
      </c>
      <c r="CK3" s="102" t="s">
        <v>81</v>
      </c>
      <c r="CL3" s="102" t="s">
        <v>82</v>
      </c>
      <c r="CM3" s="102" t="s">
        <v>83</v>
      </c>
      <c r="CN3" s="103" t="s">
        <v>137</v>
      </c>
      <c r="CO3" s="101" t="s">
        <v>84</v>
      </c>
      <c r="CP3" s="99" t="s">
        <v>54</v>
      </c>
      <c r="CQ3" s="99" t="s">
        <v>204</v>
      </c>
      <c r="CR3" s="102" t="s">
        <v>85</v>
      </c>
      <c r="CS3" s="102" t="s">
        <v>80</v>
      </c>
      <c r="CT3" s="102" t="s">
        <v>86</v>
      </c>
      <c r="CU3" s="98" t="s">
        <v>87</v>
      </c>
      <c r="CV3" s="99" t="s">
        <v>54</v>
      </c>
      <c r="CW3" s="99" t="s">
        <v>204</v>
      </c>
      <c r="CX3" s="104" t="s">
        <v>88</v>
      </c>
      <c r="CY3" s="101" t="s">
        <v>89</v>
      </c>
      <c r="CZ3" s="99" t="s">
        <v>54</v>
      </c>
      <c r="DA3" s="99" t="s">
        <v>204</v>
      </c>
      <c r="DB3" s="104" t="s">
        <v>90</v>
      </c>
      <c r="DC3" s="101" t="s">
        <v>91</v>
      </c>
      <c r="DD3" s="99" t="s">
        <v>54</v>
      </c>
      <c r="DE3" s="99" t="s">
        <v>204</v>
      </c>
      <c r="DF3" s="104" t="s">
        <v>92</v>
      </c>
      <c r="DG3" s="101" t="s">
        <v>93</v>
      </c>
      <c r="DH3" s="99" t="s">
        <v>54</v>
      </c>
      <c r="DI3" s="99" t="s">
        <v>204</v>
      </c>
      <c r="DJ3" s="104" t="s">
        <v>94</v>
      </c>
      <c r="DK3" s="101" t="s">
        <v>206</v>
      </c>
      <c r="DL3" s="99" t="s">
        <v>54</v>
      </c>
      <c r="DM3" s="99" t="s">
        <v>204</v>
      </c>
      <c r="DN3" s="105" t="s">
        <v>95</v>
      </c>
      <c r="DO3" s="98" t="s">
        <v>96</v>
      </c>
      <c r="DP3" s="99" t="s">
        <v>54</v>
      </c>
      <c r="DQ3" s="99" t="s">
        <v>204</v>
      </c>
      <c r="DR3" s="106" t="s">
        <v>97</v>
      </c>
      <c r="DS3" s="105" t="s">
        <v>98</v>
      </c>
      <c r="DT3" s="105" t="s">
        <v>99</v>
      </c>
      <c r="DU3" s="98" t="s">
        <v>100</v>
      </c>
      <c r="DV3" s="99" t="s">
        <v>54</v>
      </c>
      <c r="DW3" s="99" t="s">
        <v>204</v>
      </c>
      <c r="DX3" s="99" t="s">
        <v>194</v>
      </c>
      <c r="DY3" s="105" t="s">
        <v>101</v>
      </c>
      <c r="DZ3" s="104" t="s">
        <v>102</v>
      </c>
      <c r="EA3" s="102" t="s">
        <v>103</v>
      </c>
      <c r="EB3" s="105" t="s">
        <v>104</v>
      </c>
      <c r="EC3" s="105" t="s">
        <v>105</v>
      </c>
      <c r="ED3" s="105" t="s">
        <v>106</v>
      </c>
      <c r="EE3" s="107" t="s">
        <v>107</v>
      </c>
      <c r="EF3" s="108" t="s">
        <v>108</v>
      </c>
      <c r="EG3" s="105" t="s">
        <v>109</v>
      </c>
      <c r="EH3" s="154" t="s">
        <v>110</v>
      </c>
      <c r="EI3" s="155" t="s">
        <v>111</v>
      </c>
      <c r="EJ3" s="155" t="s">
        <v>112</v>
      </c>
      <c r="EK3" s="109" t="s">
        <v>138</v>
      </c>
      <c r="EL3" s="110" t="s">
        <v>54</v>
      </c>
      <c r="EM3" s="151" t="s">
        <v>207</v>
      </c>
      <c r="EN3" s="152" t="s">
        <v>208</v>
      </c>
      <c r="EO3" s="109" t="s">
        <v>113</v>
      </c>
      <c r="EP3" s="110" t="s">
        <v>54</v>
      </c>
      <c r="EQ3" s="151" t="s">
        <v>200</v>
      </c>
      <c r="ER3" s="152" t="s">
        <v>201</v>
      </c>
      <c r="ES3" s="111" t="s">
        <v>114</v>
      </c>
      <c r="ET3" s="82" t="s">
        <v>115</v>
      </c>
      <c r="EU3" s="153" t="s">
        <v>200</v>
      </c>
      <c r="EV3" s="153" t="s">
        <v>201</v>
      </c>
      <c r="EW3" s="82" t="s">
        <v>116</v>
      </c>
      <c r="EX3" s="82" t="s">
        <v>117</v>
      </c>
      <c r="EY3" s="82" t="s">
        <v>118</v>
      </c>
      <c r="EZ3" s="82" t="s">
        <v>119</v>
      </c>
      <c r="FA3" s="153" t="s">
        <v>202</v>
      </c>
      <c r="FB3" s="153" t="s">
        <v>203</v>
      </c>
      <c r="FC3" s="82" t="s">
        <v>120</v>
      </c>
      <c r="FD3" s="82" t="s">
        <v>121</v>
      </c>
      <c r="FE3" s="111" t="s">
        <v>122</v>
      </c>
      <c r="FF3" s="147" t="s">
        <v>190</v>
      </c>
      <c r="FG3" s="147" t="s">
        <v>191</v>
      </c>
      <c r="FH3" s="82" t="s">
        <v>123</v>
      </c>
      <c r="FI3" s="147" t="s">
        <v>192</v>
      </c>
      <c r="FJ3" s="147" t="s">
        <v>193</v>
      </c>
      <c r="FK3" s="112" t="s">
        <v>124</v>
      </c>
      <c r="FL3" s="112" t="s">
        <v>187</v>
      </c>
      <c r="FM3" s="112" t="s">
        <v>188</v>
      </c>
      <c r="FN3" s="112" t="s">
        <v>125</v>
      </c>
      <c r="FO3" s="148" t="s">
        <v>189</v>
      </c>
      <c r="FP3" s="148" t="s">
        <v>213</v>
      </c>
      <c r="FQ3" s="113" t="s">
        <v>126</v>
      </c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</row>
    <row r="4" spans="1:191">
      <c r="A4" t="s">
        <v>142</v>
      </c>
      <c r="B4" t="s">
        <v>219</v>
      </c>
      <c r="C4">
        <v>2009</v>
      </c>
      <c r="D4" t="str">
        <f>N4</f>
        <v>10.1038/nature08447</v>
      </c>
      <c r="E4" s="126">
        <v>32980</v>
      </c>
      <c r="F4" t="s">
        <v>143</v>
      </c>
      <c r="G4" t="s">
        <v>143</v>
      </c>
      <c r="H4" s="162">
        <v>623.52911283263586</v>
      </c>
      <c r="I4" s="162">
        <v>72.816934346118728</v>
      </c>
      <c r="J4" s="162">
        <v>86.388322829287858</v>
      </c>
      <c r="K4" t="s">
        <v>215</v>
      </c>
      <c r="L4" s="130" t="s">
        <v>216</v>
      </c>
      <c r="M4" s="1" t="s">
        <v>218</v>
      </c>
      <c r="N4" t="s">
        <v>217</v>
      </c>
      <c r="O4" t="s">
        <v>145</v>
      </c>
      <c r="P4" t="s">
        <v>143</v>
      </c>
      <c r="Q4">
        <v>13</v>
      </c>
      <c r="R4">
        <v>2</v>
      </c>
      <c r="S4">
        <v>0</v>
      </c>
      <c r="T4">
        <v>50</v>
      </c>
      <c r="U4" t="s">
        <v>143</v>
      </c>
      <c r="V4" s="132">
        <v>42.7</v>
      </c>
      <c r="W4" t="s">
        <v>143</v>
      </c>
      <c r="X4" t="s">
        <v>144</v>
      </c>
      <c r="Y4">
        <v>-9.1863888899999999</v>
      </c>
      <c r="Z4">
        <v>39.551111110000001</v>
      </c>
      <c r="AA4">
        <v>-19</v>
      </c>
      <c r="AB4" t="s">
        <v>143</v>
      </c>
      <c r="AC4" t="s">
        <v>143</v>
      </c>
      <c r="AD4" s="156" t="s">
        <v>220</v>
      </c>
      <c r="AE4" t="s">
        <v>147</v>
      </c>
      <c r="AF4" t="s">
        <v>143</v>
      </c>
      <c r="AG4" s="126">
        <v>32980</v>
      </c>
      <c r="AH4" t="s">
        <v>151</v>
      </c>
      <c r="AI4" t="s">
        <v>143</v>
      </c>
      <c r="AJ4" t="s">
        <v>143</v>
      </c>
      <c r="AK4" t="s">
        <v>149</v>
      </c>
      <c r="AL4" t="s">
        <v>148</v>
      </c>
      <c r="AM4" t="s">
        <v>150</v>
      </c>
      <c r="AN4" t="s">
        <v>143</v>
      </c>
      <c r="AO4" t="s">
        <v>143</v>
      </c>
      <c r="AP4" t="s">
        <v>143</v>
      </c>
      <c r="AQ4" t="s">
        <v>143</v>
      </c>
      <c r="AR4" t="s">
        <v>143</v>
      </c>
      <c r="AS4" t="s">
        <v>143</v>
      </c>
      <c r="AT4" t="s">
        <v>143</v>
      </c>
      <c r="AU4" s="157" t="s">
        <v>156</v>
      </c>
      <c r="AV4" s="134" t="s">
        <v>152</v>
      </c>
      <c r="AW4" s="134" t="s">
        <v>157</v>
      </c>
      <c r="AX4" t="s">
        <v>143</v>
      </c>
      <c r="AY4" t="s">
        <v>153</v>
      </c>
      <c r="AZ4" t="s">
        <v>221</v>
      </c>
      <c r="BA4" t="s">
        <v>154</v>
      </c>
      <c r="BB4" t="s">
        <v>158</v>
      </c>
      <c r="BC4">
        <v>2</v>
      </c>
      <c r="BD4">
        <v>3.0000000000001133E-2</v>
      </c>
      <c r="BE4" s="141">
        <v>15.758716915017333</v>
      </c>
      <c r="BF4" t="s">
        <v>155</v>
      </c>
      <c r="BG4" s="141">
        <v>0.26727070847108353</v>
      </c>
      <c r="BH4">
        <v>1</v>
      </c>
      <c r="BI4" t="s">
        <v>168</v>
      </c>
      <c r="BJ4" t="s">
        <v>168</v>
      </c>
      <c r="BK4">
        <v>0</v>
      </c>
      <c r="BL4" t="s">
        <v>169</v>
      </c>
      <c r="BM4" t="s">
        <v>169</v>
      </c>
      <c r="BN4" t="s">
        <v>170</v>
      </c>
      <c r="BO4" t="s">
        <v>143</v>
      </c>
      <c r="BP4" s="137">
        <v>15.758716915017333</v>
      </c>
      <c r="BQ4" t="s">
        <v>171</v>
      </c>
      <c r="BR4" s="137">
        <v>0.26727070847108353</v>
      </c>
      <c r="BS4" t="s">
        <v>171</v>
      </c>
      <c r="BT4" t="s">
        <v>143</v>
      </c>
      <c r="BU4" t="s">
        <v>186</v>
      </c>
      <c r="BV4" t="s">
        <v>172</v>
      </c>
      <c r="BW4" t="s">
        <v>172</v>
      </c>
      <c r="BX4" s="158">
        <v>27.925315695288841</v>
      </c>
      <c r="BY4" t="s">
        <v>173</v>
      </c>
      <c r="BZ4" s="142">
        <v>2</v>
      </c>
      <c r="CA4" s="142">
        <v>2</v>
      </c>
      <c r="CB4" t="s">
        <v>143</v>
      </c>
      <c r="CC4" s="138">
        <v>4.1329370403052499</v>
      </c>
      <c r="CD4" t="s">
        <v>175</v>
      </c>
      <c r="CE4" s="137">
        <v>8.2658740806104997E-2</v>
      </c>
      <c r="CF4" s="137">
        <v>8.2658740806104997E-2</v>
      </c>
      <c r="CG4" s="161" t="s">
        <v>176</v>
      </c>
      <c r="CH4" s="142" t="s">
        <v>222</v>
      </c>
      <c r="CI4" s="142">
        <v>4.3</v>
      </c>
      <c r="CJ4" t="s">
        <v>227</v>
      </c>
      <c r="CK4" t="s">
        <v>174</v>
      </c>
      <c r="CL4" t="s">
        <v>174</v>
      </c>
      <c r="CM4" t="s">
        <v>174</v>
      </c>
      <c r="CN4" t="s">
        <v>143</v>
      </c>
      <c r="CO4" t="s">
        <v>143</v>
      </c>
      <c r="CP4" t="s">
        <v>143</v>
      </c>
      <c r="CQ4" t="s">
        <v>143</v>
      </c>
      <c r="CR4" t="s">
        <v>143</v>
      </c>
      <c r="CS4" t="s">
        <v>143</v>
      </c>
      <c r="CT4" t="s">
        <v>143</v>
      </c>
      <c r="CU4">
        <v>35</v>
      </c>
      <c r="CV4" t="s">
        <v>173</v>
      </c>
      <c r="CW4" s="142">
        <v>2</v>
      </c>
      <c r="CX4" t="s">
        <v>177</v>
      </c>
      <c r="CY4">
        <v>1.7000000000000001E-2</v>
      </c>
      <c r="CZ4" t="s">
        <v>143</v>
      </c>
      <c r="DA4" t="s">
        <v>143</v>
      </c>
      <c r="DB4" t="s">
        <v>223</v>
      </c>
      <c r="DC4" t="s">
        <v>178</v>
      </c>
      <c r="DD4" t="s">
        <v>143</v>
      </c>
      <c r="DE4" t="s">
        <v>143</v>
      </c>
      <c r="DF4" t="s">
        <v>143</v>
      </c>
      <c r="DG4" t="s">
        <v>178</v>
      </c>
      <c r="DH4" t="s">
        <v>143</v>
      </c>
      <c r="DI4" t="s">
        <v>143</v>
      </c>
      <c r="DJ4" t="s">
        <v>143</v>
      </c>
      <c r="DK4">
        <v>416</v>
      </c>
      <c r="DL4" t="s">
        <v>143</v>
      </c>
      <c r="DM4" t="s">
        <v>143</v>
      </c>
      <c r="DN4" t="s">
        <v>230</v>
      </c>
      <c r="DO4" s="142">
        <v>38</v>
      </c>
      <c r="DP4" s="142" t="s">
        <v>179</v>
      </c>
      <c r="DQ4" s="142">
        <v>0.25</v>
      </c>
      <c r="DR4" s="142" t="s">
        <v>224</v>
      </c>
      <c r="DS4" t="s">
        <v>180</v>
      </c>
      <c r="DT4" t="s">
        <v>181</v>
      </c>
      <c r="DU4">
        <v>1.0271999999999999</v>
      </c>
      <c r="DV4" t="s">
        <v>182</v>
      </c>
      <c r="DW4" t="s">
        <v>182</v>
      </c>
      <c r="DX4" t="s">
        <v>195</v>
      </c>
      <c r="DY4" t="s">
        <v>182</v>
      </c>
      <c r="DZ4" t="s">
        <v>182</v>
      </c>
      <c r="EA4" s="142" t="s">
        <v>143</v>
      </c>
      <c r="EB4" s="142" t="s">
        <v>143</v>
      </c>
      <c r="EC4" s="142" t="s">
        <v>228</v>
      </c>
      <c r="ED4" s="142" t="s">
        <v>229</v>
      </c>
      <c r="EE4" s="142" t="s">
        <v>143</v>
      </c>
      <c r="EF4" s="142" t="s">
        <v>143</v>
      </c>
      <c r="EG4" s="142" t="s">
        <v>143</v>
      </c>
      <c r="EH4" s="142" t="s">
        <v>225</v>
      </c>
      <c r="EI4" s="142" t="s">
        <v>226</v>
      </c>
      <c r="EJ4" s="142" t="s">
        <v>143</v>
      </c>
      <c r="EK4" s="159">
        <v>119.45500015251456</v>
      </c>
      <c r="EL4" s="142" t="s">
        <v>143</v>
      </c>
      <c r="EM4" s="142" t="s">
        <v>143</v>
      </c>
      <c r="EN4" s="142" t="s">
        <v>143</v>
      </c>
      <c r="EO4" s="142">
        <v>6.5</v>
      </c>
      <c r="EP4" s="142" t="s">
        <v>143</v>
      </c>
      <c r="EQ4" s="142" t="s">
        <v>143</v>
      </c>
      <c r="ER4" s="142" t="s">
        <v>143</v>
      </c>
      <c r="ES4" s="132">
        <v>7.8369786355312483</v>
      </c>
      <c r="ET4" s="142" t="s">
        <v>183</v>
      </c>
      <c r="EU4" s="141" t="s">
        <v>143</v>
      </c>
      <c r="EV4" s="145" t="s">
        <v>143</v>
      </c>
      <c r="EW4" s="160">
        <v>623.52911283263586</v>
      </c>
      <c r="EX4" s="146">
        <v>0</v>
      </c>
      <c r="EY4" s="146" t="s">
        <v>231</v>
      </c>
      <c r="EZ4" s="162">
        <v>623.52911283263586</v>
      </c>
      <c r="FA4" s="162">
        <v>72.816934346118728</v>
      </c>
      <c r="FB4" s="162">
        <v>86.388322829287858</v>
      </c>
      <c r="FC4" t="s">
        <v>233</v>
      </c>
      <c r="FD4" s="142" t="s">
        <v>232</v>
      </c>
      <c r="FE4" s="144" t="s">
        <v>143</v>
      </c>
      <c r="FF4" s="144" t="s">
        <v>143</v>
      </c>
      <c r="FG4" s="144" t="s">
        <v>143</v>
      </c>
      <c r="FH4" s="144" t="s">
        <v>143</v>
      </c>
      <c r="FI4" s="144" t="s">
        <v>143</v>
      </c>
      <c r="FJ4" s="144" t="s">
        <v>143</v>
      </c>
      <c r="FK4" s="144" t="s">
        <v>143</v>
      </c>
      <c r="FL4" s="144" t="s">
        <v>143</v>
      </c>
      <c r="FM4" s="144" t="s">
        <v>143</v>
      </c>
      <c r="FN4" s="144" t="s">
        <v>143</v>
      </c>
      <c r="FO4" t="s">
        <v>143</v>
      </c>
      <c r="FP4" t="s">
        <v>143</v>
      </c>
      <c r="FQ4" t="s">
        <v>234</v>
      </c>
    </row>
    <row r="5" spans="1:191">
      <c r="A5" t="s">
        <v>142</v>
      </c>
      <c r="B5" t="s">
        <v>219</v>
      </c>
      <c r="C5">
        <v>2009</v>
      </c>
      <c r="D5" t="str">
        <f t="shared" ref="D5:D12" si="0">N5</f>
        <v>10.1038/nature08447</v>
      </c>
      <c r="E5" s="127">
        <v>33170</v>
      </c>
      <c r="F5" t="s">
        <v>143</v>
      </c>
      <c r="G5" t="s">
        <v>143</v>
      </c>
      <c r="H5" s="162">
        <v>786.41738123326536</v>
      </c>
      <c r="I5" s="162">
        <v>100.1577758937683</v>
      </c>
      <c r="J5" s="162">
        <v>121.16688406142111</v>
      </c>
      <c r="K5" t="s">
        <v>215</v>
      </c>
      <c r="L5" s="130" t="s">
        <v>216</v>
      </c>
      <c r="M5" s="1" t="s">
        <v>218</v>
      </c>
      <c r="N5" t="s">
        <v>217</v>
      </c>
      <c r="O5" t="s">
        <v>145</v>
      </c>
      <c r="P5" t="s">
        <v>143</v>
      </c>
      <c r="Q5">
        <v>19</v>
      </c>
      <c r="R5">
        <v>1</v>
      </c>
      <c r="S5">
        <v>0</v>
      </c>
      <c r="T5">
        <v>50</v>
      </c>
      <c r="U5" t="s">
        <v>143</v>
      </c>
      <c r="V5" s="132">
        <v>59.7</v>
      </c>
      <c r="W5" t="s">
        <v>143</v>
      </c>
      <c r="X5" t="s">
        <v>144</v>
      </c>
      <c r="Y5">
        <v>-9.1863888899999999</v>
      </c>
      <c r="Z5">
        <v>39.551111110000001</v>
      </c>
      <c r="AA5">
        <v>-19</v>
      </c>
      <c r="AB5" t="s">
        <v>143</v>
      </c>
      <c r="AC5" t="s">
        <v>143</v>
      </c>
      <c r="AD5" s="156" t="s">
        <v>220</v>
      </c>
      <c r="AE5" t="s">
        <v>147</v>
      </c>
      <c r="AF5" t="s">
        <v>143</v>
      </c>
      <c r="AG5" s="127">
        <v>33170</v>
      </c>
      <c r="AH5" t="s">
        <v>151</v>
      </c>
      <c r="AI5" t="s">
        <v>143</v>
      </c>
      <c r="AJ5" t="s">
        <v>143</v>
      </c>
      <c r="AK5" t="s">
        <v>149</v>
      </c>
      <c r="AL5" t="s">
        <v>148</v>
      </c>
      <c r="AM5" t="s">
        <v>150</v>
      </c>
      <c r="AN5" t="s">
        <v>143</v>
      </c>
      <c r="AO5" t="s">
        <v>143</v>
      </c>
      <c r="AP5" t="s">
        <v>143</v>
      </c>
      <c r="AQ5" t="s">
        <v>143</v>
      </c>
      <c r="AR5" t="s">
        <v>143</v>
      </c>
      <c r="AS5" t="s">
        <v>143</v>
      </c>
      <c r="AT5" t="s">
        <v>143</v>
      </c>
      <c r="AU5" s="157" t="s">
        <v>156</v>
      </c>
      <c r="AV5" s="134" t="s">
        <v>152</v>
      </c>
      <c r="AW5" s="134" t="s">
        <v>157</v>
      </c>
      <c r="AX5" t="s">
        <v>143</v>
      </c>
      <c r="AY5" t="s">
        <v>153</v>
      </c>
      <c r="AZ5" t="s">
        <v>221</v>
      </c>
      <c r="BA5" t="s">
        <v>154</v>
      </c>
      <c r="BB5" t="s">
        <v>159</v>
      </c>
      <c r="BC5">
        <v>2</v>
      </c>
      <c r="BD5">
        <v>0.38000000000000073</v>
      </c>
      <c r="BE5" s="141">
        <v>15.31090196348655</v>
      </c>
      <c r="BF5" t="s">
        <v>155</v>
      </c>
      <c r="BG5" s="141">
        <v>0.26793015211683424</v>
      </c>
      <c r="BH5">
        <v>1</v>
      </c>
      <c r="BI5" t="s">
        <v>168</v>
      </c>
      <c r="BJ5" t="s">
        <v>168</v>
      </c>
      <c r="BK5">
        <v>0</v>
      </c>
      <c r="BL5" t="s">
        <v>169</v>
      </c>
      <c r="BM5" t="s">
        <v>169</v>
      </c>
      <c r="BN5" t="s">
        <v>170</v>
      </c>
      <c r="BO5" t="s">
        <v>143</v>
      </c>
      <c r="BP5" s="137">
        <v>15.31090196348655</v>
      </c>
      <c r="BQ5" t="s">
        <v>171</v>
      </c>
      <c r="BR5" s="137">
        <v>0.26793015211683424</v>
      </c>
      <c r="BS5" t="s">
        <v>171</v>
      </c>
      <c r="BT5" t="s">
        <v>143</v>
      </c>
      <c r="BU5" t="s">
        <v>186</v>
      </c>
      <c r="BV5" t="s">
        <v>172</v>
      </c>
      <c r="BW5" t="s">
        <v>172</v>
      </c>
      <c r="BX5" s="158">
        <v>28.450562402423493</v>
      </c>
      <c r="BY5" t="s">
        <v>173</v>
      </c>
      <c r="BZ5" s="142">
        <v>2</v>
      </c>
      <c r="CA5" s="142">
        <v>2</v>
      </c>
      <c r="CB5" t="s">
        <v>143</v>
      </c>
      <c r="CC5" s="138">
        <v>4.1877376849825874</v>
      </c>
      <c r="CD5" t="s">
        <v>175</v>
      </c>
      <c r="CE5" s="137">
        <v>8.3754753699651754E-2</v>
      </c>
      <c r="CF5" s="137">
        <v>8.3754753699651754E-2</v>
      </c>
      <c r="CG5" s="161" t="s">
        <v>176</v>
      </c>
      <c r="CH5" s="142" t="s">
        <v>222</v>
      </c>
      <c r="CI5" s="142">
        <v>4.3</v>
      </c>
      <c r="CJ5" t="s">
        <v>227</v>
      </c>
      <c r="CK5" t="s">
        <v>174</v>
      </c>
      <c r="CL5" t="s">
        <v>174</v>
      </c>
      <c r="CM5" t="s">
        <v>174</v>
      </c>
      <c r="CN5" t="s">
        <v>143</v>
      </c>
      <c r="CO5" t="s">
        <v>143</v>
      </c>
      <c r="CP5" t="s">
        <v>143</v>
      </c>
      <c r="CQ5" t="s">
        <v>143</v>
      </c>
      <c r="CR5" t="s">
        <v>143</v>
      </c>
      <c r="CS5" t="s">
        <v>143</v>
      </c>
      <c r="CT5" t="s">
        <v>143</v>
      </c>
      <c r="CU5">
        <v>35</v>
      </c>
      <c r="CV5" t="s">
        <v>173</v>
      </c>
      <c r="CW5" s="142">
        <v>2</v>
      </c>
      <c r="CX5" t="s">
        <v>177</v>
      </c>
      <c r="CY5">
        <v>1.7000000000000001E-2</v>
      </c>
      <c r="CZ5" t="s">
        <v>143</v>
      </c>
      <c r="DA5" t="s">
        <v>143</v>
      </c>
      <c r="DB5" t="s">
        <v>223</v>
      </c>
      <c r="DC5" t="s">
        <v>178</v>
      </c>
      <c r="DD5" t="s">
        <v>143</v>
      </c>
      <c r="DE5" t="s">
        <v>143</v>
      </c>
      <c r="DF5" t="s">
        <v>143</v>
      </c>
      <c r="DG5" t="s">
        <v>178</v>
      </c>
      <c r="DH5" t="s">
        <v>143</v>
      </c>
      <c r="DI5" t="s">
        <v>143</v>
      </c>
      <c r="DJ5" t="s">
        <v>143</v>
      </c>
      <c r="DK5">
        <v>416</v>
      </c>
      <c r="DL5" t="s">
        <v>143</v>
      </c>
      <c r="DM5" t="s">
        <v>143</v>
      </c>
      <c r="DN5" t="s">
        <v>230</v>
      </c>
      <c r="DO5" s="142">
        <v>38</v>
      </c>
      <c r="DP5" s="142" t="s">
        <v>179</v>
      </c>
      <c r="DQ5" s="142">
        <v>0.25</v>
      </c>
      <c r="DR5" s="142" t="s">
        <v>224</v>
      </c>
      <c r="DS5" t="s">
        <v>180</v>
      </c>
      <c r="DT5" t="s">
        <v>181</v>
      </c>
      <c r="DU5">
        <v>1.0271999999999999</v>
      </c>
      <c r="DV5" t="s">
        <v>182</v>
      </c>
      <c r="DW5" t="s">
        <v>182</v>
      </c>
      <c r="DX5" t="s">
        <v>195</v>
      </c>
      <c r="DY5" t="s">
        <v>182</v>
      </c>
      <c r="DZ5" t="s">
        <v>182</v>
      </c>
      <c r="EA5" s="142" t="s">
        <v>143</v>
      </c>
      <c r="EB5" s="142" t="s">
        <v>143</v>
      </c>
      <c r="EC5" s="142" t="s">
        <v>228</v>
      </c>
      <c r="ED5" s="142" t="s">
        <v>229</v>
      </c>
      <c r="EE5" s="142" t="s">
        <v>143</v>
      </c>
      <c r="EF5" s="142" t="s">
        <v>143</v>
      </c>
      <c r="EG5" s="142" t="s">
        <v>143</v>
      </c>
      <c r="EH5" s="142" t="s">
        <v>225</v>
      </c>
      <c r="EI5" s="142" t="s">
        <v>226</v>
      </c>
      <c r="EJ5" s="142" t="s">
        <v>143</v>
      </c>
      <c r="EK5" s="159">
        <v>114.69203911032093</v>
      </c>
      <c r="EL5" s="142" t="s">
        <v>143</v>
      </c>
      <c r="EM5" s="142" t="s">
        <v>143</v>
      </c>
      <c r="EN5" s="142" t="s">
        <v>143</v>
      </c>
      <c r="EO5" s="142">
        <v>6.5</v>
      </c>
      <c r="EP5" s="142" t="s">
        <v>143</v>
      </c>
      <c r="EQ5" s="142" t="s">
        <v>143</v>
      </c>
      <c r="ER5" s="142" t="s">
        <v>143</v>
      </c>
      <c r="ES5" s="132">
        <v>7.7742522198260513</v>
      </c>
      <c r="ET5" s="142" t="s">
        <v>183</v>
      </c>
      <c r="EU5" s="141" t="s">
        <v>143</v>
      </c>
      <c r="EV5" s="145" t="s">
        <v>143</v>
      </c>
      <c r="EW5" s="160">
        <v>786.41738123326536</v>
      </c>
      <c r="EX5" s="146">
        <v>0</v>
      </c>
      <c r="EY5" s="146" t="s">
        <v>231</v>
      </c>
      <c r="EZ5" s="162">
        <v>786.41738123326536</v>
      </c>
      <c r="FA5" s="162">
        <v>100.1577758937683</v>
      </c>
      <c r="FB5" s="162">
        <v>121.16688406142111</v>
      </c>
      <c r="FC5" t="s">
        <v>233</v>
      </c>
      <c r="FD5" s="142" t="s">
        <v>232</v>
      </c>
      <c r="FE5" s="144" t="s">
        <v>143</v>
      </c>
      <c r="FF5" s="144" t="s">
        <v>143</v>
      </c>
      <c r="FG5" s="144" t="s">
        <v>143</v>
      </c>
      <c r="FH5" s="144" t="s">
        <v>143</v>
      </c>
      <c r="FI5" s="144" t="s">
        <v>143</v>
      </c>
      <c r="FJ5" s="144" t="s">
        <v>143</v>
      </c>
      <c r="FK5" s="144" t="s">
        <v>143</v>
      </c>
      <c r="FL5" s="144" t="s">
        <v>143</v>
      </c>
      <c r="FM5" s="144" t="s">
        <v>143</v>
      </c>
      <c r="FN5" s="144" t="s">
        <v>143</v>
      </c>
      <c r="FO5" t="s">
        <v>143</v>
      </c>
      <c r="FP5" t="s">
        <v>143</v>
      </c>
      <c r="FQ5" t="s">
        <v>234</v>
      </c>
    </row>
    <row r="6" spans="1:191">
      <c r="A6" t="s">
        <v>142</v>
      </c>
      <c r="B6" t="s">
        <v>219</v>
      </c>
      <c r="C6">
        <v>2009</v>
      </c>
      <c r="D6" t="str">
        <f t="shared" si="0"/>
        <v>10.1038/nature08447</v>
      </c>
      <c r="E6" s="126">
        <v>33330</v>
      </c>
      <c r="F6" t="s">
        <v>143</v>
      </c>
      <c r="G6" t="s">
        <v>143</v>
      </c>
      <c r="H6" s="162">
        <v>1105.2400080684433</v>
      </c>
      <c r="I6" s="162">
        <v>147.61404693701627</v>
      </c>
      <c r="J6" s="162">
        <v>180.82835584886197</v>
      </c>
      <c r="K6" t="s">
        <v>215</v>
      </c>
      <c r="L6" s="130" t="s">
        <v>216</v>
      </c>
      <c r="M6" s="1" t="s">
        <v>218</v>
      </c>
      <c r="N6" t="s">
        <v>217</v>
      </c>
      <c r="O6" t="s">
        <v>145</v>
      </c>
      <c r="P6" t="s">
        <v>143</v>
      </c>
      <c r="Q6">
        <v>26</v>
      </c>
      <c r="R6">
        <v>1</v>
      </c>
      <c r="S6">
        <v>40</v>
      </c>
      <c r="T6">
        <v>90</v>
      </c>
      <c r="U6" t="s">
        <v>143</v>
      </c>
      <c r="V6" s="132">
        <v>75.45</v>
      </c>
      <c r="W6" t="s">
        <v>143</v>
      </c>
      <c r="X6" t="s">
        <v>144</v>
      </c>
      <c r="Y6">
        <v>-9.1863888899999999</v>
      </c>
      <c r="Z6">
        <v>39.551111110000001</v>
      </c>
      <c r="AA6">
        <v>-19</v>
      </c>
      <c r="AB6" t="s">
        <v>143</v>
      </c>
      <c r="AC6" t="s">
        <v>143</v>
      </c>
      <c r="AD6" s="156" t="s">
        <v>220</v>
      </c>
      <c r="AE6" t="s">
        <v>147</v>
      </c>
      <c r="AF6" t="s">
        <v>143</v>
      </c>
      <c r="AG6" s="126">
        <v>33330</v>
      </c>
      <c r="AH6" t="s">
        <v>151</v>
      </c>
      <c r="AI6" t="s">
        <v>143</v>
      </c>
      <c r="AJ6" t="s">
        <v>143</v>
      </c>
      <c r="AK6" t="s">
        <v>149</v>
      </c>
      <c r="AL6" t="s">
        <v>148</v>
      </c>
      <c r="AM6" t="s">
        <v>150</v>
      </c>
      <c r="AN6" t="s">
        <v>143</v>
      </c>
      <c r="AO6" t="s">
        <v>143</v>
      </c>
      <c r="AP6" t="s">
        <v>143</v>
      </c>
      <c r="AQ6" t="s">
        <v>143</v>
      </c>
      <c r="AR6" t="s">
        <v>143</v>
      </c>
      <c r="AS6" t="s">
        <v>143</v>
      </c>
      <c r="AT6" t="s">
        <v>143</v>
      </c>
      <c r="AU6" s="157" t="s">
        <v>156</v>
      </c>
      <c r="AV6" s="134" t="s">
        <v>152</v>
      </c>
      <c r="AW6" s="134" t="s">
        <v>157</v>
      </c>
      <c r="AX6" t="s">
        <v>143</v>
      </c>
      <c r="AY6" t="s">
        <v>153</v>
      </c>
      <c r="AZ6" t="s">
        <v>221</v>
      </c>
      <c r="BA6" t="s">
        <v>154</v>
      </c>
      <c r="BB6" t="s">
        <v>160</v>
      </c>
      <c r="BC6">
        <v>2</v>
      </c>
      <c r="BD6">
        <v>8.0000000000000071E-2</v>
      </c>
      <c r="BE6" s="141">
        <v>14.928367132844311</v>
      </c>
      <c r="BF6" t="s">
        <v>155</v>
      </c>
      <c r="BG6" s="141">
        <v>0.26091628653420895</v>
      </c>
      <c r="BH6">
        <v>1</v>
      </c>
      <c r="BI6" t="s">
        <v>168</v>
      </c>
      <c r="BJ6" t="s">
        <v>168</v>
      </c>
      <c r="BK6">
        <v>0</v>
      </c>
      <c r="BL6" t="s">
        <v>169</v>
      </c>
      <c r="BM6" t="s">
        <v>169</v>
      </c>
      <c r="BN6" t="s">
        <v>170</v>
      </c>
      <c r="BO6" t="s">
        <v>143</v>
      </c>
      <c r="BP6" s="137">
        <v>14.928367132844311</v>
      </c>
      <c r="BQ6" t="s">
        <v>171</v>
      </c>
      <c r="BR6" s="137">
        <v>0.26091628653420895</v>
      </c>
      <c r="BS6" t="s">
        <v>171</v>
      </c>
      <c r="BT6" t="s">
        <v>143</v>
      </c>
      <c r="BU6" t="s">
        <v>186</v>
      </c>
      <c r="BV6" t="s">
        <v>172</v>
      </c>
      <c r="BW6" t="s">
        <v>172</v>
      </c>
      <c r="BX6" s="158">
        <v>29.037153247391789</v>
      </c>
      <c r="BY6" t="s">
        <v>173</v>
      </c>
      <c r="BZ6" s="142">
        <v>2</v>
      </c>
      <c r="CA6" s="142">
        <v>2</v>
      </c>
      <c r="CB6" t="s">
        <v>143</v>
      </c>
      <c r="CC6" s="138">
        <v>4.6603652712700114</v>
      </c>
      <c r="CD6" t="s">
        <v>175</v>
      </c>
      <c r="CE6" s="137">
        <v>9.3207305425400233E-2</v>
      </c>
      <c r="CF6" s="137">
        <v>9.3207305425400233E-2</v>
      </c>
      <c r="CG6" s="161" t="s">
        <v>176</v>
      </c>
      <c r="CH6" s="142" t="s">
        <v>222</v>
      </c>
      <c r="CI6" s="142">
        <v>4.3</v>
      </c>
      <c r="CJ6" t="s">
        <v>227</v>
      </c>
      <c r="CK6" t="s">
        <v>174</v>
      </c>
      <c r="CL6" t="s">
        <v>174</v>
      </c>
      <c r="CM6" t="s">
        <v>174</v>
      </c>
      <c r="CN6" t="s">
        <v>143</v>
      </c>
      <c r="CO6" t="s">
        <v>143</v>
      </c>
      <c r="CP6" t="s">
        <v>143</v>
      </c>
      <c r="CQ6" t="s">
        <v>143</v>
      </c>
      <c r="CR6" t="s">
        <v>143</v>
      </c>
      <c r="CS6" t="s">
        <v>143</v>
      </c>
      <c r="CT6" t="s">
        <v>143</v>
      </c>
      <c r="CU6">
        <v>35</v>
      </c>
      <c r="CV6" t="s">
        <v>173</v>
      </c>
      <c r="CW6" s="142">
        <v>2</v>
      </c>
      <c r="CX6" t="s">
        <v>177</v>
      </c>
      <c r="CY6">
        <v>1.7000000000000001E-2</v>
      </c>
      <c r="CZ6" t="s">
        <v>143</v>
      </c>
      <c r="DA6" t="s">
        <v>143</v>
      </c>
      <c r="DB6" t="s">
        <v>223</v>
      </c>
      <c r="DC6" t="s">
        <v>178</v>
      </c>
      <c r="DD6" t="s">
        <v>143</v>
      </c>
      <c r="DE6" t="s">
        <v>143</v>
      </c>
      <c r="DF6" t="s">
        <v>143</v>
      </c>
      <c r="DG6" t="s">
        <v>178</v>
      </c>
      <c r="DH6" t="s">
        <v>143</v>
      </c>
      <c r="DI6" t="s">
        <v>143</v>
      </c>
      <c r="DJ6" t="s">
        <v>143</v>
      </c>
      <c r="DK6">
        <v>416</v>
      </c>
      <c r="DL6" t="s">
        <v>143</v>
      </c>
      <c r="DM6" t="s">
        <v>143</v>
      </c>
      <c r="DN6" t="s">
        <v>230</v>
      </c>
      <c r="DO6" s="142">
        <v>38</v>
      </c>
      <c r="DP6" s="142" t="s">
        <v>179</v>
      </c>
      <c r="DQ6" s="142">
        <v>0.25</v>
      </c>
      <c r="DR6" s="142" t="s">
        <v>224</v>
      </c>
      <c r="DS6" t="s">
        <v>180</v>
      </c>
      <c r="DT6" t="s">
        <v>181</v>
      </c>
      <c r="DU6">
        <v>1.0271999999999999</v>
      </c>
      <c r="DV6" t="s">
        <v>182</v>
      </c>
      <c r="DW6" t="s">
        <v>182</v>
      </c>
      <c r="DX6" t="s">
        <v>195</v>
      </c>
      <c r="DY6" t="s">
        <v>182</v>
      </c>
      <c r="DZ6" t="s">
        <v>182</v>
      </c>
      <c r="EA6" s="142" t="s">
        <v>143</v>
      </c>
      <c r="EB6" s="142" t="s">
        <v>143</v>
      </c>
      <c r="EC6" s="142" t="s">
        <v>228</v>
      </c>
      <c r="ED6" s="142" t="s">
        <v>229</v>
      </c>
      <c r="EE6" s="142" t="s">
        <v>143</v>
      </c>
      <c r="EF6" s="142" t="s">
        <v>143</v>
      </c>
      <c r="EG6" s="142" t="s">
        <v>143</v>
      </c>
      <c r="EH6" s="142" t="s">
        <v>225</v>
      </c>
      <c r="EI6" s="142" t="s">
        <v>226</v>
      </c>
      <c r="EJ6" s="142" t="s">
        <v>143</v>
      </c>
      <c r="EK6" s="159">
        <v>124.61133380490946</v>
      </c>
      <c r="EL6" s="142" t="s">
        <v>143</v>
      </c>
      <c r="EM6" s="142" t="s">
        <v>143</v>
      </c>
      <c r="EN6" s="142" t="s">
        <v>143</v>
      </c>
      <c r="EO6" s="142">
        <v>6.5</v>
      </c>
      <c r="EP6" s="142" t="s">
        <v>143</v>
      </c>
      <c r="EQ6" s="142" t="s">
        <v>143</v>
      </c>
      <c r="ER6" s="142" t="s">
        <v>143</v>
      </c>
      <c r="ES6" s="132">
        <v>7.7144667348962566</v>
      </c>
      <c r="ET6" s="142" t="s">
        <v>183</v>
      </c>
      <c r="EU6" s="141" t="s">
        <v>143</v>
      </c>
      <c r="EV6" s="145" t="s">
        <v>143</v>
      </c>
      <c r="EW6" s="160">
        <v>1105.2400080684433</v>
      </c>
      <c r="EX6" s="146">
        <v>0</v>
      </c>
      <c r="EY6" s="146" t="s">
        <v>231</v>
      </c>
      <c r="EZ6" s="162">
        <v>1105.2400080684433</v>
      </c>
      <c r="FA6" s="162">
        <v>147.61404693701627</v>
      </c>
      <c r="FB6" s="162">
        <v>180.82835584886197</v>
      </c>
      <c r="FC6" t="s">
        <v>233</v>
      </c>
      <c r="FD6" s="142" t="s">
        <v>232</v>
      </c>
      <c r="FE6" s="144" t="s">
        <v>143</v>
      </c>
      <c r="FF6" s="144" t="s">
        <v>143</v>
      </c>
      <c r="FG6" s="144" t="s">
        <v>143</v>
      </c>
      <c r="FH6" s="144" t="s">
        <v>143</v>
      </c>
      <c r="FI6" s="144" t="s">
        <v>143</v>
      </c>
      <c r="FJ6" s="144" t="s">
        <v>143</v>
      </c>
      <c r="FK6" s="144" t="s">
        <v>143</v>
      </c>
      <c r="FL6" s="144" t="s">
        <v>143</v>
      </c>
      <c r="FM6" s="144" t="s">
        <v>143</v>
      </c>
      <c r="FN6" s="144" t="s">
        <v>143</v>
      </c>
      <c r="FO6" t="s">
        <v>143</v>
      </c>
      <c r="FP6" t="s">
        <v>143</v>
      </c>
      <c r="FQ6" t="s">
        <v>234</v>
      </c>
    </row>
    <row r="7" spans="1:191">
      <c r="A7" t="s">
        <v>142</v>
      </c>
      <c r="B7" t="s">
        <v>219</v>
      </c>
      <c r="C7">
        <v>2009</v>
      </c>
      <c r="D7" t="str">
        <f t="shared" si="0"/>
        <v>10.1038/nature08447</v>
      </c>
      <c r="E7" s="127">
        <v>33470</v>
      </c>
      <c r="F7" t="s">
        <v>143</v>
      </c>
      <c r="G7" t="s">
        <v>143</v>
      </c>
      <c r="H7" s="162">
        <v>1159.5747497368488</v>
      </c>
      <c r="I7" s="162">
        <v>162.14646363730265</v>
      </c>
      <c r="J7" s="162">
        <v>200.90314832842614</v>
      </c>
      <c r="K7" t="s">
        <v>215</v>
      </c>
      <c r="L7" s="130" t="s">
        <v>216</v>
      </c>
      <c r="M7" s="1" t="s">
        <v>218</v>
      </c>
      <c r="N7" t="s">
        <v>217</v>
      </c>
      <c r="O7" t="s">
        <v>146</v>
      </c>
      <c r="P7" t="s">
        <v>143</v>
      </c>
      <c r="Q7">
        <v>11</v>
      </c>
      <c r="R7">
        <v>2</v>
      </c>
      <c r="S7">
        <v>0</v>
      </c>
      <c r="T7">
        <v>50</v>
      </c>
      <c r="U7" t="s">
        <v>143</v>
      </c>
      <c r="V7" s="132">
        <v>94.25</v>
      </c>
      <c r="W7" t="s">
        <v>143</v>
      </c>
      <c r="X7" t="s">
        <v>144</v>
      </c>
      <c r="Y7">
        <v>-9.2152777799999992</v>
      </c>
      <c r="Z7">
        <v>39.548333329999998</v>
      </c>
      <c r="AA7">
        <v>-19</v>
      </c>
      <c r="AB7" t="s">
        <v>143</v>
      </c>
      <c r="AC7" t="s">
        <v>143</v>
      </c>
      <c r="AD7" s="156" t="s">
        <v>220</v>
      </c>
      <c r="AE7" t="s">
        <v>147</v>
      </c>
      <c r="AF7" t="s">
        <v>143</v>
      </c>
      <c r="AG7" s="127">
        <v>33470</v>
      </c>
      <c r="AH7" t="s">
        <v>151</v>
      </c>
      <c r="AI7" t="s">
        <v>143</v>
      </c>
      <c r="AJ7" t="s">
        <v>143</v>
      </c>
      <c r="AK7" t="s">
        <v>149</v>
      </c>
      <c r="AL7" t="s">
        <v>148</v>
      </c>
      <c r="AM7" t="s">
        <v>150</v>
      </c>
      <c r="AN7" t="s">
        <v>143</v>
      </c>
      <c r="AO7" t="s">
        <v>143</v>
      </c>
      <c r="AP7" t="s">
        <v>143</v>
      </c>
      <c r="AQ7" t="s">
        <v>143</v>
      </c>
      <c r="AR7" t="s">
        <v>143</v>
      </c>
      <c r="AS7" t="s">
        <v>143</v>
      </c>
      <c r="AT7" t="s">
        <v>143</v>
      </c>
      <c r="AU7" s="157" t="s">
        <v>156</v>
      </c>
      <c r="AV7" s="134" t="s">
        <v>152</v>
      </c>
      <c r="AW7" s="134" t="s">
        <v>157</v>
      </c>
      <c r="AX7" t="s">
        <v>143</v>
      </c>
      <c r="AY7" t="s">
        <v>153</v>
      </c>
      <c r="AZ7" t="s">
        <v>221</v>
      </c>
      <c r="BA7" t="s">
        <v>154</v>
      </c>
      <c r="BB7" t="s">
        <v>161</v>
      </c>
      <c r="BC7">
        <v>2</v>
      </c>
      <c r="BD7">
        <v>0</v>
      </c>
      <c r="BE7" s="141">
        <v>14.8078066504938</v>
      </c>
      <c r="BF7" t="s">
        <v>155</v>
      </c>
      <c r="BG7" s="134">
        <v>0.26471819330941693</v>
      </c>
      <c r="BH7">
        <v>1</v>
      </c>
      <c r="BI7" t="s">
        <v>168</v>
      </c>
      <c r="BJ7" t="s">
        <v>168</v>
      </c>
      <c r="BK7">
        <v>0</v>
      </c>
      <c r="BL7" t="s">
        <v>169</v>
      </c>
      <c r="BM7" t="s">
        <v>169</v>
      </c>
      <c r="BN7" t="s">
        <v>170</v>
      </c>
      <c r="BO7" t="s">
        <v>143</v>
      </c>
      <c r="BP7" s="137">
        <v>14.8078066504938</v>
      </c>
      <c r="BQ7" t="s">
        <v>171</v>
      </c>
      <c r="BR7" s="137">
        <v>0.26471819330941693</v>
      </c>
      <c r="BS7" t="s">
        <v>171</v>
      </c>
      <c r="BT7" t="s">
        <v>143</v>
      </c>
      <c r="BU7" t="s">
        <v>186</v>
      </c>
      <c r="BV7" t="s">
        <v>172</v>
      </c>
      <c r="BW7" t="s">
        <v>172</v>
      </c>
      <c r="BX7" s="158">
        <v>27.505852159477485</v>
      </c>
      <c r="BY7" t="s">
        <v>173</v>
      </c>
      <c r="BZ7" s="142">
        <v>2</v>
      </c>
      <c r="CA7" s="142">
        <v>2</v>
      </c>
      <c r="CB7" t="s">
        <v>143</v>
      </c>
      <c r="CC7" s="138">
        <v>4.0266311512116291</v>
      </c>
      <c r="CD7" t="s">
        <v>175</v>
      </c>
      <c r="CE7" s="137">
        <v>8.0532623024232586E-2</v>
      </c>
      <c r="CF7" s="137">
        <v>8.0532623024232586E-2</v>
      </c>
      <c r="CG7" s="161" t="s">
        <v>176</v>
      </c>
      <c r="CH7" s="142" t="s">
        <v>222</v>
      </c>
      <c r="CI7" s="142">
        <v>4.3</v>
      </c>
      <c r="CJ7" t="s">
        <v>227</v>
      </c>
      <c r="CK7" t="s">
        <v>174</v>
      </c>
      <c r="CL7" t="s">
        <v>174</v>
      </c>
      <c r="CM7" t="s">
        <v>174</v>
      </c>
      <c r="CN7" t="s">
        <v>143</v>
      </c>
      <c r="CO7" t="s">
        <v>143</v>
      </c>
      <c r="CP7" t="s">
        <v>143</v>
      </c>
      <c r="CQ7" t="s">
        <v>143</v>
      </c>
      <c r="CR7" t="s">
        <v>143</v>
      </c>
      <c r="CS7" t="s">
        <v>143</v>
      </c>
      <c r="CT7" t="s">
        <v>143</v>
      </c>
      <c r="CU7">
        <v>35</v>
      </c>
      <c r="CV7" t="s">
        <v>173</v>
      </c>
      <c r="CW7" s="142">
        <v>2</v>
      </c>
      <c r="CX7" t="s">
        <v>177</v>
      </c>
      <c r="CY7">
        <v>1.7000000000000001E-2</v>
      </c>
      <c r="CZ7" t="s">
        <v>143</v>
      </c>
      <c r="DA7" t="s">
        <v>143</v>
      </c>
      <c r="DB7" t="s">
        <v>223</v>
      </c>
      <c r="DC7" t="s">
        <v>178</v>
      </c>
      <c r="DD7" t="s">
        <v>143</v>
      </c>
      <c r="DE7" t="s">
        <v>143</v>
      </c>
      <c r="DF7" t="s">
        <v>143</v>
      </c>
      <c r="DG7" t="s">
        <v>178</v>
      </c>
      <c r="DH7" t="s">
        <v>143</v>
      </c>
      <c r="DI7" t="s">
        <v>143</v>
      </c>
      <c r="DJ7" t="s">
        <v>143</v>
      </c>
      <c r="DK7">
        <v>416</v>
      </c>
      <c r="DL7" t="s">
        <v>143</v>
      </c>
      <c r="DM7" t="s">
        <v>143</v>
      </c>
      <c r="DN7" t="s">
        <v>230</v>
      </c>
      <c r="DO7" s="142">
        <v>38</v>
      </c>
      <c r="DP7" s="142" t="s">
        <v>179</v>
      </c>
      <c r="DQ7" s="142">
        <v>0.25</v>
      </c>
      <c r="DR7" s="142" t="s">
        <v>224</v>
      </c>
      <c r="DS7" t="s">
        <v>180</v>
      </c>
      <c r="DT7" t="s">
        <v>181</v>
      </c>
      <c r="DU7">
        <v>1.0271999999999999</v>
      </c>
      <c r="DV7" t="s">
        <v>182</v>
      </c>
      <c r="DW7" t="s">
        <v>182</v>
      </c>
      <c r="DX7" t="s">
        <v>195</v>
      </c>
      <c r="DY7" t="s">
        <v>182</v>
      </c>
      <c r="DZ7" t="s">
        <v>182</v>
      </c>
      <c r="EA7" s="142" t="s">
        <v>143</v>
      </c>
      <c r="EB7" s="142" t="s">
        <v>143</v>
      </c>
      <c r="EC7" s="142" t="s">
        <v>228</v>
      </c>
      <c r="ED7" s="142" t="s">
        <v>229</v>
      </c>
      <c r="EE7" s="142" t="s">
        <v>143</v>
      </c>
      <c r="EF7" s="142" t="s">
        <v>143</v>
      </c>
      <c r="EG7" s="142" t="s">
        <v>143</v>
      </c>
      <c r="EH7" s="142" t="s">
        <v>225</v>
      </c>
      <c r="EI7" s="142" t="s">
        <v>226</v>
      </c>
      <c r="EJ7" s="142" t="s">
        <v>143</v>
      </c>
      <c r="EK7" s="159">
        <v>124.61133380490946</v>
      </c>
      <c r="EL7" s="142" t="s">
        <v>143</v>
      </c>
      <c r="EM7" s="142" t="s">
        <v>143</v>
      </c>
      <c r="EN7" s="142" t="s">
        <v>143</v>
      </c>
      <c r="EO7" s="142">
        <v>6.5</v>
      </c>
      <c r="EP7" s="142" t="s">
        <v>143</v>
      </c>
      <c r="EQ7" s="142" t="s">
        <v>143</v>
      </c>
      <c r="ER7" s="142" t="s">
        <v>143</v>
      </c>
      <c r="ES7" s="132">
        <v>7.7142264147064488</v>
      </c>
      <c r="ET7" s="142" t="s">
        <v>183</v>
      </c>
      <c r="EU7" s="141" t="s">
        <v>143</v>
      </c>
      <c r="EV7" s="145" t="s">
        <v>143</v>
      </c>
      <c r="EW7" s="160">
        <v>1159.5747497368488</v>
      </c>
      <c r="EX7" s="146">
        <v>0</v>
      </c>
      <c r="EY7" s="146" t="s">
        <v>231</v>
      </c>
      <c r="EZ7" s="162">
        <v>1159.5747497368488</v>
      </c>
      <c r="FA7" s="162">
        <v>162.14646363730265</v>
      </c>
      <c r="FB7" s="162">
        <v>200.90314832842614</v>
      </c>
      <c r="FC7" t="s">
        <v>233</v>
      </c>
      <c r="FD7" s="142" t="s">
        <v>232</v>
      </c>
      <c r="FE7" s="144" t="s">
        <v>143</v>
      </c>
      <c r="FF7" s="144" t="s">
        <v>143</v>
      </c>
      <c r="FG7" s="144" t="s">
        <v>143</v>
      </c>
      <c r="FH7" s="144" t="s">
        <v>143</v>
      </c>
      <c r="FI7" s="144" t="s">
        <v>143</v>
      </c>
      <c r="FJ7" s="144" t="s">
        <v>143</v>
      </c>
      <c r="FK7" s="144" t="s">
        <v>143</v>
      </c>
      <c r="FL7" s="144" t="s">
        <v>143</v>
      </c>
      <c r="FM7" s="144" t="s">
        <v>143</v>
      </c>
      <c r="FN7" s="144" t="s">
        <v>143</v>
      </c>
      <c r="FO7" t="s">
        <v>143</v>
      </c>
      <c r="FP7" t="s">
        <v>143</v>
      </c>
      <c r="FQ7" t="s">
        <v>234</v>
      </c>
    </row>
    <row r="8" spans="1:191">
      <c r="A8" t="s">
        <v>142</v>
      </c>
      <c r="B8" t="s">
        <v>219</v>
      </c>
      <c r="C8">
        <v>2009</v>
      </c>
      <c r="D8" t="str">
        <f t="shared" si="0"/>
        <v>10.1038/nature08447</v>
      </c>
      <c r="E8" s="127">
        <v>33590</v>
      </c>
      <c r="F8" t="s">
        <v>143</v>
      </c>
      <c r="G8" t="s">
        <v>143</v>
      </c>
      <c r="H8" s="162">
        <v>763.2929120075803</v>
      </c>
      <c r="I8" s="162">
        <v>94.341836205854634</v>
      </c>
      <c r="J8" s="162">
        <v>113.41073860749714</v>
      </c>
      <c r="K8" t="s">
        <v>215</v>
      </c>
      <c r="L8" s="130" t="s">
        <v>216</v>
      </c>
      <c r="M8" s="1" t="s">
        <v>218</v>
      </c>
      <c r="N8" t="s">
        <v>217</v>
      </c>
      <c r="O8" t="s">
        <v>145</v>
      </c>
      <c r="P8" t="s">
        <v>143</v>
      </c>
      <c r="Q8">
        <v>34</v>
      </c>
      <c r="R8">
        <v>2</v>
      </c>
      <c r="S8">
        <v>0</v>
      </c>
      <c r="T8">
        <v>50</v>
      </c>
      <c r="U8" t="s">
        <v>143</v>
      </c>
      <c r="V8" s="132">
        <v>99.15</v>
      </c>
      <c r="W8" t="s">
        <v>143</v>
      </c>
      <c r="X8" t="s">
        <v>144</v>
      </c>
      <c r="Y8">
        <v>-9.1863888899999999</v>
      </c>
      <c r="Z8">
        <v>39.551111110000001</v>
      </c>
      <c r="AA8">
        <v>-19</v>
      </c>
      <c r="AB8" t="s">
        <v>143</v>
      </c>
      <c r="AC8" t="s">
        <v>143</v>
      </c>
      <c r="AD8" s="156" t="s">
        <v>220</v>
      </c>
      <c r="AE8" t="s">
        <v>147</v>
      </c>
      <c r="AF8" t="s">
        <v>143</v>
      </c>
      <c r="AG8" s="127">
        <v>33590</v>
      </c>
      <c r="AH8" t="s">
        <v>151</v>
      </c>
      <c r="AI8" t="s">
        <v>143</v>
      </c>
      <c r="AJ8" t="s">
        <v>143</v>
      </c>
      <c r="AK8" t="s">
        <v>149</v>
      </c>
      <c r="AL8" t="s">
        <v>148</v>
      </c>
      <c r="AM8" t="s">
        <v>150</v>
      </c>
      <c r="AN8" t="s">
        <v>143</v>
      </c>
      <c r="AO8" t="s">
        <v>143</v>
      </c>
      <c r="AP8" t="s">
        <v>143</v>
      </c>
      <c r="AQ8" t="s">
        <v>143</v>
      </c>
      <c r="AR8" t="s">
        <v>143</v>
      </c>
      <c r="AS8" t="s">
        <v>143</v>
      </c>
      <c r="AT8" t="s">
        <v>143</v>
      </c>
      <c r="AU8" s="157" t="s">
        <v>156</v>
      </c>
      <c r="AV8" s="134" t="s">
        <v>152</v>
      </c>
      <c r="AW8" s="134" t="s">
        <v>162</v>
      </c>
      <c r="AX8" t="s">
        <v>143</v>
      </c>
      <c r="AY8" t="s">
        <v>153</v>
      </c>
      <c r="AZ8" t="s">
        <v>221</v>
      </c>
      <c r="BA8" t="s">
        <v>154</v>
      </c>
      <c r="BB8" t="s">
        <v>163</v>
      </c>
      <c r="BC8">
        <v>2</v>
      </c>
      <c r="BD8">
        <v>1.9999999999999574E-2</v>
      </c>
      <c r="BE8" s="134">
        <v>15.340449235763177</v>
      </c>
      <c r="BF8" t="s">
        <v>155</v>
      </c>
      <c r="BG8" s="134">
        <v>0.26286998285863372</v>
      </c>
      <c r="BH8">
        <v>1</v>
      </c>
      <c r="BI8" t="s">
        <v>168</v>
      </c>
      <c r="BJ8" t="s">
        <v>168</v>
      </c>
      <c r="BK8">
        <v>0</v>
      </c>
      <c r="BL8" t="s">
        <v>169</v>
      </c>
      <c r="BM8" t="s">
        <v>169</v>
      </c>
      <c r="BN8" t="s">
        <v>170</v>
      </c>
      <c r="BO8" t="s">
        <v>143</v>
      </c>
      <c r="BP8" s="137">
        <v>15.340449235763177</v>
      </c>
      <c r="BQ8" t="s">
        <v>171</v>
      </c>
      <c r="BR8" s="137">
        <v>0.26286998285863372</v>
      </c>
      <c r="BS8" t="s">
        <v>171</v>
      </c>
      <c r="BT8" t="s">
        <v>143</v>
      </c>
      <c r="BU8" t="s">
        <v>186</v>
      </c>
      <c r="BV8" t="s">
        <v>172</v>
      </c>
      <c r="BW8" t="s">
        <v>172</v>
      </c>
      <c r="BX8" s="158">
        <v>27.915637361690671</v>
      </c>
      <c r="BY8" t="s">
        <v>173</v>
      </c>
      <c r="BZ8" s="142">
        <v>2</v>
      </c>
      <c r="CA8" s="142">
        <v>2</v>
      </c>
      <c r="CB8" t="s">
        <v>143</v>
      </c>
      <c r="CC8" s="138">
        <v>4.2866574869922482</v>
      </c>
      <c r="CD8" t="s">
        <v>175</v>
      </c>
      <c r="CE8" s="137">
        <v>8.5733149739844972E-2</v>
      </c>
      <c r="CF8" s="137">
        <v>8.5733149739844972E-2</v>
      </c>
      <c r="CG8" s="161" t="s">
        <v>176</v>
      </c>
      <c r="CH8" s="142" t="s">
        <v>222</v>
      </c>
      <c r="CI8" s="142">
        <v>4.3</v>
      </c>
      <c r="CJ8" t="s">
        <v>227</v>
      </c>
      <c r="CK8" t="s">
        <v>174</v>
      </c>
      <c r="CL8" t="s">
        <v>174</v>
      </c>
      <c r="CM8" t="s">
        <v>174</v>
      </c>
      <c r="CN8" t="s">
        <v>143</v>
      </c>
      <c r="CO8" t="s">
        <v>143</v>
      </c>
      <c r="CP8" t="s">
        <v>143</v>
      </c>
      <c r="CQ8" t="s">
        <v>143</v>
      </c>
      <c r="CR8" t="s">
        <v>143</v>
      </c>
      <c r="CS8" t="s">
        <v>143</v>
      </c>
      <c r="CT8" t="s">
        <v>143</v>
      </c>
      <c r="CU8">
        <v>35</v>
      </c>
      <c r="CV8" t="s">
        <v>173</v>
      </c>
      <c r="CW8" s="142">
        <v>2</v>
      </c>
      <c r="CX8" t="s">
        <v>177</v>
      </c>
      <c r="CY8">
        <v>1.7000000000000001E-2</v>
      </c>
      <c r="CZ8" t="s">
        <v>143</v>
      </c>
      <c r="DA8" t="s">
        <v>143</v>
      </c>
      <c r="DB8" t="s">
        <v>223</v>
      </c>
      <c r="DC8" t="s">
        <v>178</v>
      </c>
      <c r="DD8" t="s">
        <v>143</v>
      </c>
      <c r="DE8" t="s">
        <v>143</v>
      </c>
      <c r="DF8" t="s">
        <v>143</v>
      </c>
      <c r="DG8" t="s">
        <v>178</v>
      </c>
      <c r="DH8" t="s">
        <v>143</v>
      </c>
      <c r="DI8" t="s">
        <v>143</v>
      </c>
      <c r="DJ8" t="s">
        <v>143</v>
      </c>
      <c r="DK8">
        <v>416</v>
      </c>
      <c r="DL8" t="s">
        <v>143</v>
      </c>
      <c r="DM8" t="s">
        <v>143</v>
      </c>
      <c r="DN8" t="s">
        <v>230</v>
      </c>
      <c r="DO8" s="142">
        <v>38</v>
      </c>
      <c r="DP8" s="142" t="s">
        <v>179</v>
      </c>
      <c r="DQ8" s="142">
        <v>0.25</v>
      </c>
      <c r="DR8" s="142" t="s">
        <v>224</v>
      </c>
      <c r="DS8" t="s">
        <v>180</v>
      </c>
      <c r="DT8" t="s">
        <v>181</v>
      </c>
      <c r="DU8">
        <v>1.0271999999999999</v>
      </c>
      <c r="DV8" t="s">
        <v>182</v>
      </c>
      <c r="DW8" t="s">
        <v>182</v>
      </c>
      <c r="DX8" t="s">
        <v>195</v>
      </c>
      <c r="DY8" t="s">
        <v>182</v>
      </c>
      <c r="DZ8" t="s">
        <v>182</v>
      </c>
      <c r="EA8" s="142" t="s">
        <v>143</v>
      </c>
      <c r="EB8" s="142" t="s">
        <v>143</v>
      </c>
      <c r="EC8" s="142" t="s">
        <v>228</v>
      </c>
      <c r="ED8" s="142" t="s">
        <v>229</v>
      </c>
      <c r="EE8" s="142" t="s">
        <v>143</v>
      </c>
      <c r="EF8" s="142" t="s">
        <v>143</v>
      </c>
      <c r="EG8" s="142" t="s">
        <v>143</v>
      </c>
      <c r="EH8" s="142" t="s">
        <v>225</v>
      </c>
      <c r="EI8" s="142" t="s">
        <v>226</v>
      </c>
      <c r="EJ8" s="142" t="s">
        <v>143</v>
      </c>
      <c r="EK8" s="159">
        <v>114.69203911032093</v>
      </c>
      <c r="EL8" s="142" t="s">
        <v>143</v>
      </c>
      <c r="EM8" s="142" t="s">
        <v>143</v>
      </c>
      <c r="EN8" s="142" t="s">
        <v>143</v>
      </c>
      <c r="EO8" s="142">
        <v>6.5</v>
      </c>
      <c r="EP8" s="142" t="s">
        <v>143</v>
      </c>
      <c r="EQ8" s="142" t="s">
        <v>143</v>
      </c>
      <c r="ER8" s="142" t="s">
        <v>143</v>
      </c>
      <c r="ES8" s="132">
        <v>7.7842902543499832</v>
      </c>
      <c r="ET8" s="142" t="s">
        <v>183</v>
      </c>
      <c r="EU8" s="141" t="s">
        <v>143</v>
      </c>
      <c r="EV8" s="145" t="s">
        <v>143</v>
      </c>
      <c r="EW8" s="160">
        <v>763.2929120075803</v>
      </c>
      <c r="EX8" s="146">
        <v>0</v>
      </c>
      <c r="EY8" s="146" t="s">
        <v>231</v>
      </c>
      <c r="EZ8" s="162">
        <v>763.2929120075803</v>
      </c>
      <c r="FA8" s="162">
        <v>94.341836205854634</v>
      </c>
      <c r="FB8" s="162">
        <v>113.41073860749714</v>
      </c>
      <c r="FC8" t="s">
        <v>233</v>
      </c>
      <c r="FD8" s="142" t="s">
        <v>232</v>
      </c>
      <c r="FE8" s="144" t="s">
        <v>143</v>
      </c>
      <c r="FF8" s="144" t="s">
        <v>143</v>
      </c>
      <c r="FG8" s="144" t="s">
        <v>143</v>
      </c>
      <c r="FH8" s="144" t="s">
        <v>143</v>
      </c>
      <c r="FI8" s="144" t="s">
        <v>143</v>
      </c>
      <c r="FJ8" s="144" t="s">
        <v>143</v>
      </c>
      <c r="FK8" s="144" t="s">
        <v>143</v>
      </c>
      <c r="FL8" s="144" t="s">
        <v>143</v>
      </c>
      <c r="FM8" s="144" t="s">
        <v>143</v>
      </c>
      <c r="FN8" s="144" t="s">
        <v>143</v>
      </c>
      <c r="FO8" t="s">
        <v>143</v>
      </c>
      <c r="FP8" t="s">
        <v>143</v>
      </c>
      <c r="FQ8" t="s">
        <v>234</v>
      </c>
    </row>
    <row r="9" spans="1:191">
      <c r="A9" t="s">
        <v>142</v>
      </c>
      <c r="B9" t="s">
        <v>219</v>
      </c>
      <c r="C9">
        <v>2009</v>
      </c>
      <c r="D9" t="str">
        <f t="shared" si="0"/>
        <v>10.1038/nature08447</v>
      </c>
      <c r="E9" s="126">
        <v>33960</v>
      </c>
      <c r="F9" t="s">
        <v>143</v>
      </c>
      <c r="G9" t="s">
        <v>143</v>
      </c>
      <c r="H9" s="162">
        <v>959.41344253001955</v>
      </c>
      <c r="I9" s="162">
        <v>133.96849554621349</v>
      </c>
      <c r="J9" s="162">
        <v>165.81178864504375</v>
      </c>
      <c r="K9" t="s">
        <v>215</v>
      </c>
      <c r="L9" s="130" t="s">
        <v>216</v>
      </c>
      <c r="M9" s="1" t="s">
        <v>218</v>
      </c>
      <c r="N9" t="s">
        <v>217</v>
      </c>
      <c r="O9" t="s">
        <v>146</v>
      </c>
      <c r="P9" t="s">
        <v>143</v>
      </c>
      <c r="Q9">
        <v>21</v>
      </c>
      <c r="R9">
        <v>3</v>
      </c>
      <c r="S9">
        <v>20</v>
      </c>
      <c r="T9">
        <v>50</v>
      </c>
      <c r="U9" t="s">
        <v>143</v>
      </c>
      <c r="V9" s="132">
        <v>125.4</v>
      </c>
      <c r="W9" t="s">
        <v>143</v>
      </c>
      <c r="X9" t="s">
        <v>144</v>
      </c>
      <c r="Y9">
        <v>-9.2152777799999992</v>
      </c>
      <c r="Z9">
        <v>39.548333329999998</v>
      </c>
      <c r="AA9">
        <v>-19</v>
      </c>
      <c r="AB9" t="s">
        <v>143</v>
      </c>
      <c r="AC9" t="s">
        <v>143</v>
      </c>
      <c r="AD9" s="156" t="s">
        <v>220</v>
      </c>
      <c r="AE9" t="s">
        <v>147</v>
      </c>
      <c r="AF9" t="s">
        <v>143</v>
      </c>
      <c r="AG9" s="126">
        <v>33960</v>
      </c>
      <c r="AH9" t="s">
        <v>151</v>
      </c>
      <c r="AI9" t="s">
        <v>143</v>
      </c>
      <c r="AJ9" t="s">
        <v>143</v>
      </c>
      <c r="AK9" t="s">
        <v>149</v>
      </c>
      <c r="AL9" t="s">
        <v>148</v>
      </c>
      <c r="AM9" t="s">
        <v>150</v>
      </c>
      <c r="AN9" t="s">
        <v>143</v>
      </c>
      <c r="AO9" t="s">
        <v>143</v>
      </c>
      <c r="AP9" t="s">
        <v>143</v>
      </c>
      <c r="AQ9" t="s">
        <v>143</v>
      </c>
      <c r="AR9" t="s">
        <v>143</v>
      </c>
      <c r="AS9" t="s">
        <v>143</v>
      </c>
      <c r="AT9" t="s">
        <v>143</v>
      </c>
      <c r="AU9" s="157" t="s">
        <v>156</v>
      </c>
      <c r="AV9" s="134" t="s">
        <v>152</v>
      </c>
      <c r="AW9" s="134" t="s">
        <v>162</v>
      </c>
      <c r="AX9" t="s">
        <v>143</v>
      </c>
      <c r="AY9" t="s">
        <v>153</v>
      </c>
      <c r="AZ9" t="s">
        <v>221</v>
      </c>
      <c r="BA9" t="s">
        <v>154</v>
      </c>
      <c r="BB9" t="s">
        <v>164</v>
      </c>
      <c r="BC9">
        <v>2</v>
      </c>
      <c r="BD9">
        <v>0.29999999999999893</v>
      </c>
      <c r="BE9" s="134">
        <v>14.925336183078613</v>
      </c>
      <c r="BF9" t="s">
        <v>155</v>
      </c>
      <c r="BG9" s="134">
        <v>0.27021214397028526</v>
      </c>
      <c r="BH9">
        <v>1</v>
      </c>
      <c r="BI9" t="s">
        <v>168</v>
      </c>
      <c r="BJ9" t="s">
        <v>168</v>
      </c>
      <c r="BK9">
        <v>0</v>
      </c>
      <c r="BL9" t="s">
        <v>169</v>
      </c>
      <c r="BM9" t="s">
        <v>169</v>
      </c>
      <c r="BN9" t="s">
        <v>170</v>
      </c>
      <c r="BO9" t="s">
        <v>143</v>
      </c>
      <c r="BP9" s="137">
        <v>14.925336183078613</v>
      </c>
      <c r="BQ9" t="s">
        <v>171</v>
      </c>
      <c r="BR9" s="137">
        <v>0.27021214397028526</v>
      </c>
      <c r="BS9" t="s">
        <v>171</v>
      </c>
      <c r="BT9" t="s">
        <v>143</v>
      </c>
      <c r="BU9" t="s">
        <v>186</v>
      </c>
      <c r="BV9" t="s">
        <v>172</v>
      </c>
      <c r="BW9" t="s">
        <v>172</v>
      </c>
      <c r="BX9" s="158">
        <v>29.758949804047344</v>
      </c>
      <c r="BY9" t="s">
        <v>173</v>
      </c>
      <c r="BZ9" s="142">
        <v>2</v>
      </c>
      <c r="CA9" s="142">
        <v>2</v>
      </c>
      <c r="CB9" t="s">
        <v>143</v>
      </c>
      <c r="CC9" s="138">
        <v>4.7396422174020643</v>
      </c>
      <c r="CD9" t="s">
        <v>175</v>
      </c>
      <c r="CE9" s="137">
        <v>9.4792844348041291E-2</v>
      </c>
      <c r="CF9" s="137">
        <v>9.4792844348041291E-2</v>
      </c>
      <c r="CG9" s="161" t="s">
        <v>176</v>
      </c>
      <c r="CH9" s="142" t="s">
        <v>222</v>
      </c>
      <c r="CI9" s="142">
        <v>4.3</v>
      </c>
      <c r="CJ9" t="s">
        <v>227</v>
      </c>
      <c r="CK9" t="s">
        <v>174</v>
      </c>
      <c r="CL9" t="s">
        <v>174</v>
      </c>
      <c r="CM9" t="s">
        <v>174</v>
      </c>
      <c r="CN9" t="s">
        <v>143</v>
      </c>
      <c r="CO9" t="s">
        <v>143</v>
      </c>
      <c r="CP9" t="s">
        <v>143</v>
      </c>
      <c r="CQ9" t="s">
        <v>143</v>
      </c>
      <c r="CR9" t="s">
        <v>143</v>
      </c>
      <c r="CS9" t="s">
        <v>143</v>
      </c>
      <c r="CT9" t="s">
        <v>143</v>
      </c>
      <c r="CU9">
        <v>35</v>
      </c>
      <c r="CV9" t="s">
        <v>173</v>
      </c>
      <c r="CW9" s="142">
        <v>2</v>
      </c>
      <c r="CX9" t="s">
        <v>177</v>
      </c>
      <c r="CY9">
        <v>1.7000000000000001E-2</v>
      </c>
      <c r="CZ9" t="s">
        <v>143</v>
      </c>
      <c r="DA9" t="s">
        <v>143</v>
      </c>
      <c r="DB9" t="s">
        <v>223</v>
      </c>
      <c r="DC9" t="s">
        <v>178</v>
      </c>
      <c r="DD9" t="s">
        <v>143</v>
      </c>
      <c r="DE9" t="s">
        <v>143</v>
      </c>
      <c r="DF9" t="s">
        <v>143</v>
      </c>
      <c r="DG9" t="s">
        <v>178</v>
      </c>
      <c r="DH9" t="s">
        <v>143</v>
      </c>
      <c r="DI9" t="s">
        <v>143</v>
      </c>
      <c r="DJ9" t="s">
        <v>143</v>
      </c>
      <c r="DK9">
        <v>416</v>
      </c>
      <c r="DL9" t="s">
        <v>143</v>
      </c>
      <c r="DM9" t="s">
        <v>143</v>
      </c>
      <c r="DN9" t="s">
        <v>230</v>
      </c>
      <c r="DO9" s="142">
        <v>38</v>
      </c>
      <c r="DP9" s="142" t="s">
        <v>179</v>
      </c>
      <c r="DQ9" s="142">
        <v>0.25</v>
      </c>
      <c r="DR9" s="142" t="s">
        <v>224</v>
      </c>
      <c r="DS9" t="s">
        <v>180</v>
      </c>
      <c r="DT9" t="s">
        <v>181</v>
      </c>
      <c r="DU9">
        <v>1.0271999999999999</v>
      </c>
      <c r="DV9" t="s">
        <v>182</v>
      </c>
      <c r="DW9" t="s">
        <v>182</v>
      </c>
      <c r="DX9" t="s">
        <v>195</v>
      </c>
      <c r="DY9" t="s">
        <v>182</v>
      </c>
      <c r="DZ9" t="s">
        <v>182</v>
      </c>
      <c r="EA9" s="142" t="s">
        <v>143</v>
      </c>
      <c r="EB9" s="142" t="s">
        <v>143</v>
      </c>
      <c r="EC9" s="142" t="s">
        <v>228</v>
      </c>
      <c r="ED9" s="142" t="s">
        <v>229</v>
      </c>
      <c r="EE9" s="142" t="s">
        <v>143</v>
      </c>
      <c r="EF9" s="142" t="s">
        <v>143</v>
      </c>
      <c r="EG9" s="142" t="s">
        <v>143</v>
      </c>
      <c r="EH9" s="142" t="s">
        <v>225</v>
      </c>
      <c r="EI9" s="142" t="s">
        <v>226</v>
      </c>
      <c r="EJ9" s="142" t="s">
        <v>143</v>
      </c>
      <c r="EK9" s="159">
        <v>106.24849277465665</v>
      </c>
      <c r="EL9" s="142" t="s">
        <v>143</v>
      </c>
      <c r="EM9" s="142" t="s">
        <v>143</v>
      </c>
      <c r="EN9" s="142" t="s">
        <v>143</v>
      </c>
      <c r="EO9" s="142">
        <v>6.5</v>
      </c>
      <c r="EP9" s="142" t="s">
        <v>143</v>
      </c>
      <c r="EQ9" s="142" t="s">
        <v>143</v>
      </c>
      <c r="ER9" s="142" t="s">
        <v>143</v>
      </c>
      <c r="ES9" s="132">
        <v>7.7057877300899049</v>
      </c>
      <c r="ET9" s="142" t="s">
        <v>183</v>
      </c>
      <c r="EU9" s="141" t="s">
        <v>143</v>
      </c>
      <c r="EV9" s="145" t="s">
        <v>143</v>
      </c>
      <c r="EW9" s="160">
        <v>959.41344253001955</v>
      </c>
      <c r="EX9" s="146">
        <v>0</v>
      </c>
      <c r="EY9" s="146" t="s">
        <v>231</v>
      </c>
      <c r="EZ9" s="162">
        <v>959.41344253001955</v>
      </c>
      <c r="FA9" s="162">
        <v>133.96849554621349</v>
      </c>
      <c r="FB9" s="162">
        <v>165.81178864504375</v>
      </c>
      <c r="FC9" t="s">
        <v>233</v>
      </c>
      <c r="FD9" s="142" t="s">
        <v>232</v>
      </c>
      <c r="FE9" s="144" t="s">
        <v>143</v>
      </c>
      <c r="FF9" s="144" t="s">
        <v>143</v>
      </c>
      <c r="FG9" s="144" t="s">
        <v>143</v>
      </c>
      <c r="FH9" s="144" t="s">
        <v>143</v>
      </c>
      <c r="FI9" s="144" t="s">
        <v>143</v>
      </c>
      <c r="FJ9" s="144" t="s">
        <v>143</v>
      </c>
      <c r="FK9" s="144" t="s">
        <v>143</v>
      </c>
      <c r="FL9" s="144" t="s">
        <v>143</v>
      </c>
      <c r="FM9" s="144" t="s">
        <v>143</v>
      </c>
      <c r="FN9" s="144" t="s">
        <v>143</v>
      </c>
      <c r="FO9" t="s">
        <v>143</v>
      </c>
      <c r="FP9" t="s">
        <v>143</v>
      </c>
      <c r="FQ9" t="s">
        <v>234</v>
      </c>
    </row>
    <row r="10" spans="1:191">
      <c r="A10" t="s">
        <v>142</v>
      </c>
      <c r="B10" t="s">
        <v>219</v>
      </c>
      <c r="C10">
        <v>2009</v>
      </c>
      <c r="D10" t="str">
        <f t="shared" si="0"/>
        <v>10.1038/nature08447</v>
      </c>
      <c r="E10" s="126">
        <v>34210</v>
      </c>
      <c r="F10" t="s">
        <v>143</v>
      </c>
      <c r="G10" t="s">
        <v>143</v>
      </c>
      <c r="H10" s="162">
        <v>1074.2669367869516</v>
      </c>
      <c r="I10" s="162">
        <v>155.02928962172859</v>
      </c>
      <c r="J10" s="162">
        <v>193.55930581348457</v>
      </c>
      <c r="K10" t="s">
        <v>215</v>
      </c>
      <c r="L10" s="130" t="s">
        <v>216</v>
      </c>
      <c r="M10" s="1" t="s">
        <v>218</v>
      </c>
      <c r="N10" t="s">
        <v>217</v>
      </c>
      <c r="O10" t="s">
        <v>146</v>
      </c>
      <c r="P10" t="s">
        <v>143</v>
      </c>
      <c r="Q10">
        <v>32</v>
      </c>
      <c r="R10">
        <v>1</v>
      </c>
      <c r="S10">
        <v>0</v>
      </c>
      <c r="T10">
        <v>50</v>
      </c>
      <c r="U10" t="s">
        <v>143</v>
      </c>
      <c r="V10" s="132">
        <v>154.69999999999999</v>
      </c>
      <c r="W10" t="s">
        <v>143</v>
      </c>
      <c r="X10" t="s">
        <v>144</v>
      </c>
      <c r="Y10">
        <v>-9.2152777799999992</v>
      </c>
      <c r="Z10">
        <v>39.548333329999998</v>
      </c>
      <c r="AA10">
        <v>-19</v>
      </c>
      <c r="AB10" t="s">
        <v>143</v>
      </c>
      <c r="AC10" t="s">
        <v>143</v>
      </c>
      <c r="AD10" s="156" t="s">
        <v>220</v>
      </c>
      <c r="AE10" t="s">
        <v>147</v>
      </c>
      <c r="AF10" t="s">
        <v>143</v>
      </c>
      <c r="AG10" s="126">
        <v>34210</v>
      </c>
      <c r="AH10" t="s">
        <v>151</v>
      </c>
      <c r="AI10" t="s">
        <v>143</v>
      </c>
      <c r="AJ10" t="s">
        <v>143</v>
      </c>
      <c r="AK10" t="s">
        <v>149</v>
      </c>
      <c r="AL10" t="s">
        <v>148</v>
      </c>
      <c r="AM10" t="s">
        <v>150</v>
      </c>
      <c r="AN10" t="s">
        <v>143</v>
      </c>
      <c r="AO10" t="s">
        <v>143</v>
      </c>
      <c r="AP10" t="s">
        <v>143</v>
      </c>
      <c r="AQ10" t="s">
        <v>143</v>
      </c>
      <c r="AR10" t="s">
        <v>143</v>
      </c>
      <c r="AS10" t="s">
        <v>143</v>
      </c>
      <c r="AT10" t="s">
        <v>143</v>
      </c>
      <c r="AU10" s="157" t="s">
        <v>156</v>
      </c>
      <c r="AV10" s="134" t="s">
        <v>152</v>
      </c>
      <c r="AW10" s="134" t="s">
        <v>162</v>
      </c>
      <c r="AX10" t="s">
        <v>143</v>
      </c>
      <c r="AY10" t="s">
        <v>153</v>
      </c>
      <c r="AZ10" t="s">
        <v>221</v>
      </c>
      <c r="BA10" t="s">
        <v>154</v>
      </c>
      <c r="BB10" t="s">
        <v>165</v>
      </c>
      <c r="BC10">
        <v>2</v>
      </c>
      <c r="BD10">
        <v>0.14000000000000054</v>
      </c>
      <c r="BE10" s="134">
        <v>14.812571373081299</v>
      </c>
      <c r="BF10" t="s">
        <v>155</v>
      </c>
      <c r="BG10" s="134">
        <v>0.27180134397961231</v>
      </c>
      <c r="BH10">
        <v>1</v>
      </c>
      <c r="BI10" t="s">
        <v>168</v>
      </c>
      <c r="BJ10" t="s">
        <v>168</v>
      </c>
      <c r="BK10">
        <v>0</v>
      </c>
      <c r="BL10" t="s">
        <v>169</v>
      </c>
      <c r="BM10" t="s">
        <v>169</v>
      </c>
      <c r="BN10" t="s">
        <v>170</v>
      </c>
      <c r="BO10" t="s">
        <v>143</v>
      </c>
      <c r="BP10" s="137">
        <v>14.812571373081299</v>
      </c>
      <c r="BQ10" t="s">
        <v>171</v>
      </c>
      <c r="BR10" s="137">
        <v>0.27180134397961231</v>
      </c>
      <c r="BS10" t="s">
        <v>171</v>
      </c>
      <c r="BT10" t="s">
        <v>143</v>
      </c>
      <c r="BU10" t="s">
        <v>186</v>
      </c>
      <c r="BV10" t="s">
        <v>172</v>
      </c>
      <c r="BW10" t="s">
        <v>172</v>
      </c>
      <c r="BX10" s="158">
        <v>29.717710206016267</v>
      </c>
      <c r="BY10" t="s">
        <v>173</v>
      </c>
      <c r="BZ10" s="142">
        <v>2</v>
      </c>
      <c r="CA10" s="142">
        <v>2</v>
      </c>
      <c r="CB10" t="s">
        <v>143</v>
      </c>
      <c r="CC10" s="138">
        <v>4.6966318901264659</v>
      </c>
      <c r="CD10" t="s">
        <v>175</v>
      </c>
      <c r="CE10" s="137">
        <v>9.393263780252932E-2</v>
      </c>
      <c r="CF10" s="137">
        <v>9.393263780252932E-2</v>
      </c>
      <c r="CG10" s="161" t="s">
        <v>176</v>
      </c>
      <c r="CH10" s="142" t="s">
        <v>222</v>
      </c>
      <c r="CI10" s="142">
        <v>4.3</v>
      </c>
      <c r="CJ10" t="s">
        <v>227</v>
      </c>
      <c r="CK10" t="s">
        <v>174</v>
      </c>
      <c r="CL10" t="s">
        <v>174</v>
      </c>
      <c r="CM10" t="s">
        <v>174</v>
      </c>
      <c r="CN10" t="s">
        <v>143</v>
      </c>
      <c r="CO10" t="s">
        <v>143</v>
      </c>
      <c r="CP10" t="s">
        <v>143</v>
      </c>
      <c r="CQ10" t="s">
        <v>143</v>
      </c>
      <c r="CR10" t="s">
        <v>143</v>
      </c>
      <c r="CS10" t="s">
        <v>143</v>
      </c>
      <c r="CT10" t="s">
        <v>143</v>
      </c>
      <c r="CU10">
        <v>35</v>
      </c>
      <c r="CV10" t="s">
        <v>173</v>
      </c>
      <c r="CW10" s="142">
        <v>2</v>
      </c>
      <c r="CX10" t="s">
        <v>177</v>
      </c>
      <c r="CY10">
        <v>1.7000000000000001E-2</v>
      </c>
      <c r="CZ10" t="s">
        <v>143</v>
      </c>
      <c r="DA10" t="s">
        <v>143</v>
      </c>
      <c r="DB10" t="s">
        <v>223</v>
      </c>
      <c r="DC10" t="s">
        <v>178</v>
      </c>
      <c r="DD10" t="s">
        <v>143</v>
      </c>
      <c r="DE10" t="s">
        <v>143</v>
      </c>
      <c r="DF10" t="s">
        <v>143</v>
      </c>
      <c r="DG10" t="s">
        <v>178</v>
      </c>
      <c r="DH10" t="s">
        <v>143</v>
      </c>
      <c r="DI10" t="s">
        <v>143</v>
      </c>
      <c r="DJ10" t="s">
        <v>143</v>
      </c>
      <c r="DK10">
        <v>416</v>
      </c>
      <c r="DL10" t="s">
        <v>143</v>
      </c>
      <c r="DM10" t="s">
        <v>143</v>
      </c>
      <c r="DN10" t="s">
        <v>230</v>
      </c>
      <c r="DO10" s="142">
        <v>38</v>
      </c>
      <c r="DP10" s="142" t="s">
        <v>179</v>
      </c>
      <c r="DQ10" s="142">
        <v>0.25</v>
      </c>
      <c r="DR10" s="142" t="s">
        <v>224</v>
      </c>
      <c r="DS10" t="s">
        <v>180</v>
      </c>
      <c r="DT10" t="s">
        <v>181</v>
      </c>
      <c r="DU10">
        <v>1.0271999999999999</v>
      </c>
      <c r="DV10" t="s">
        <v>182</v>
      </c>
      <c r="DW10" t="s">
        <v>182</v>
      </c>
      <c r="DX10" t="s">
        <v>195</v>
      </c>
      <c r="DY10" t="s">
        <v>182</v>
      </c>
      <c r="DZ10" t="s">
        <v>182</v>
      </c>
      <c r="EA10" s="142" t="s">
        <v>143</v>
      </c>
      <c r="EB10" s="142" t="s">
        <v>143</v>
      </c>
      <c r="EC10" s="142" t="s">
        <v>228</v>
      </c>
      <c r="ED10" s="142" t="s">
        <v>229</v>
      </c>
      <c r="EE10" s="142" t="s">
        <v>143</v>
      </c>
      <c r="EF10" s="142" t="s">
        <v>143</v>
      </c>
      <c r="EG10" s="142" t="s">
        <v>143</v>
      </c>
      <c r="EH10" s="142" t="s">
        <v>225</v>
      </c>
      <c r="EI10" s="142" t="s">
        <v>226</v>
      </c>
      <c r="EJ10" s="142" t="s">
        <v>143</v>
      </c>
      <c r="EK10" s="159">
        <v>110.29775446638561</v>
      </c>
      <c r="EL10" s="142" t="s">
        <v>143</v>
      </c>
      <c r="EM10" s="142" t="s">
        <v>143</v>
      </c>
      <c r="EN10" s="142" t="s">
        <v>143</v>
      </c>
      <c r="EO10" s="142">
        <v>6.5</v>
      </c>
      <c r="EP10" s="142" t="s">
        <v>143</v>
      </c>
      <c r="EQ10" s="142" t="s">
        <v>143</v>
      </c>
      <c r="ER10" s="142" t="s">
        <v>143</v>
      </c>
      <c r="ES10" s="132">
        <v>7.6896297740997763</v>
      </c>
      <c r="ET10" s="142" t="s">
        <v>183</v>
      </c>
      <c r="EU10" s="141" t="s">
        <v>143</v>
      </c>
      <c r="EV10" s="145" t="s">
        <v>143</v>
      </c>
      <c r="EW10" s="160">
        <v>1074.2669367869516</v>
      </c>
      <c r="EX10" s="146">
        <v>0</v>
      </c>
      <c r="EY10" s="146" t="s">
        <v>231</v>
      </c>
      <c r="EZ10" s="162">
        <v>1074.2669367869516</v>
      </c>
      <c r="FA10" s="162">
        <v>155.02928962172859</v>
      </c>
      <c r="FB10" s="162">
        <v>193.55930581348457</v>
      </c>
      <c r="FC10" t="s">
        <v>233</v>
      </c>
      <c r="FD10" s="142" t="s">
        <v>232</v>
      </c>
      <c r="FE10" s="144" t="s">
        <v>143</v>
      </c>
      <c r="FF10" s="144" t="s">
        <v>143</v>
      </c>
      <c r="FG10" s="144" t="s">
        <v>143</v>
      </c>
      <c r="FH10" s="144" t="s">
        <v>143</v>
      </c>
      <c r="FI10" s="144" t="s">
        <v>143</v>
      </c>
      <c r="FJ10" s="144" t="s">
        <v>143</v>
      </c>
      <c r="FK10" s="144" t="s">
        <v>143</v>
      </c>
      <c r="FL10" s="144" t="s">
        <v>143</v>
      </c>
      <c r="FM10" s="144" t="s">
        <v>143</v>
      </c>
      <c r="FN10" s="144" t="s">
        <v>143</v>
      </c>
      <c r="FO10" t="s">
        <v>143</v>
      </c>
      <c r="FP10" t="s">
        <v>143</v>
      </c>
      <c r="FQ10" t="s">
        <v>234</v>
      </c>
    </row>
    <row r="11" spans="1:191">
      <c r="A11" t="s">
        <v>142</v>
      </c>
      <c r="B11" t="s">
        <v>219</v>
      </c>
      <c r="C11">
        <v>2009</v>
      </c>
      <c r="D11" t="str">
        <f t="shared" si="0"/>
        <v>10.1038/nature08447</v>
      </c>
      <c r="E11" s="126">
        <v>34420</v>
      </c>
      <c r="F11" t="s">
        <v>143</v>
      </c>
      <c r="G11" t="s">
        <v>143</v>
      </c>
      <c r="H11" s="162">
        <v>1045.939410438423</v>
      </c>
      <c r="I11" s="162">
        <v>217.13181589944088</v>
      </c>
      <c r="J11" s="162">
        <v>304.01888890573719</v>
      </c>
      <c r="K11" t="s">
        <v>215</v>
      </c>
      <c r="L11" s="130" t="s">
        <v>216</v>
      </c>
      <c r="M11" s="1" t="s">
        <v>218</v>
      </c>
      <c r="N11" t="s">
        <v>217</v>
      </c>
      <c r="O11" t="s">
        <v>146</v>
      </c>
      <c r="P11" t="s">
        <v>143</v>
      </c>
      <c r="Q11">
        <v>40</v>
      </c>
      <c r="R11">
        <v>3</v>
      </c>
      <c r="S11">
        <v>0</v>
      </c>
      <c r="T11">
        <v>50</v>
      </c>
      <c r="U11" t="s">
        <v>143</v>
      </c>
      <c r="V11" s="132">
        <v>179.5</v>
      </c>
      <c r="W11" t="s">
        <v>143</v>
      </c>
      <c r="X11" t="s">
        <v>144</v>
      </c>
      <c r="Y11">
        <v>-9.2152777799999992</v>
      </c>
      <c r="Z11">
        <v>39.548333329999998</v>
      </c>
      <c r="AA11">
        <v>-19</v>
      </c>
      <c r="AB11" t="s">
        <v>143</v>
      </c>
      <c r="AC11" t="s">
        <v>143</v>
      </c>
      <c r="AD11" s="156" t="s">
        <v>220</v>
      </c>
      <c r="AE11" t="s">
        <v>147</v>
      </c>
      <c r="AF11" t="s">
        <v>143</v>
      </c>
      <c r="AG11" s="126">
        <v>34420</v>
      </c>
      <c r="AH11" t="s">
        <v>151</v>
      </c>
      <c r="AI11" t="s">
        <v>143</v>
      </c>
      <c r="AJ11" t="s">
        <v>143</v>
      </c>
      <c r="AK11" t="s">
        <v>149</v>
      </c>
      <c r="AL11" t="s">
        <v>148</v>
      </c>
      <c r="AM11" t="s">
        <v>150</v>
      </c>
      <c r="AN11" t="s">
        <v>143</v>
      </c>
      <c r="AO11" t="s">
        <v>143</v>
      </c>
      <c r="AP11" t="s">
        <v>143</v>
      </c>
      <c r="AQ11" t="s">
        <v>143</v>
      </c>
      <c r="AR11" t="s">
        <v>143</v>
      </c>
      <c r="AS11" t="s">
        <v>143</v>
      </c>
      <c r="AT11" t="s">
        <v>143</v>
      </c>
      <c r="AU11" s="157" t="s">
        <v>156</v>
      </c>
      <c r="AV11" s="134" t="s">
        <v>152</v>
      </c>
      <c r="AW11" s="134" t="s">
        <v>162</v>
      </c>
      <c r="AX11" t="s">
        <v>143</v>
      </c>
      <c r="AY11" t="s">
        <v>153</v>
      </c>
      <c r="AZ11" t="s">
        <v>221</v>
      </c>
      <c r="BA11" t="s">
        <v>154</v>
      </c>
      <c r="BB11" t="s">
        <v>166</v>
      </c>
      <c r="BC11">
        <v>2</v>
      </c>
      <c r="BD11">
        <v>0.35999999999999943</v>
      </c>
      <c r="BE11" s="134">
        <v>14.864717039831351</v>
      </c>
      <c r="BF11" t="s">
        <v>155</v>
      </c>
      <c r="BG11" s="134">
        <v>0.38405724771970828</v>
      </c>
      <c r="BH11">
        <v>1</v>
      </c>
      <c r="BI11" t="s">
        <v>168</v>
      </c>
      <c r="BJ11" t="s">
        <v>168</v>
      </c>
      <c r="BK11">
        <v>0</v>
      </c>
      <c r="BL11" t="s">
        <v>169</v>
      </c>
      <c r="BM11" t="s">
        <v>169</v>
      </c>
      <c r="BN11" t="s">
        <v>170</v>
      </c>
      <c r="BO11" t="s">
        <v>143</v>
      </c>
      <c r="BP11" s="137">
        <v>14.864717039831351</v>
      </c>
      <c r="BQ11" t="s">
        <v>171</v>
      </c>
      <c r="BR11" s="137">
        <v>0.38405724771970828</v>
      </c>
      <c r="BS11" t="s">
        <v>171</v>
      </c>
      <c r="BT11" t="s">
        <v>143</v>
      </c>
      <c r="BU11" t="s">
        <v>186</v>
      </c>
      <c r="BV11" t="s">
        <v>172</v>
      </c>
      <c r="BW11" t="s">
        <v>172</v>
      </c>
      <c r="BX11" s="158">
        <v>30.125604414986686</v>
      </c>
      <c r="BY11" t="s">
        <v>173</v>
      </c>
      <c r="BZ11" s="142">
        <v>2</v>
      </c>
      <c r="CA11" s="142">
        <v>2</v>
      </c>
      <c r="CB11" t="s">
        <v>143</v>
      </c>
      <c r="CC11" s="138">
        <v>4.8631536575199501</v>
      </c>
      <c r="CD11" t="s">
        <v>175</v>
      </c>
      <c r="CE11" s="137">
        <v>9.7263073150399004E-2</v>
      </c>
      <c r="CF11" s="137">
        <v>9.7263073150399004E-2</v>
      </c>
      <c r="CG11" s="161" t="s">
        <v>176</v>
      </c>
      <c r="CH11" s="142" t="s">
        <v>222</v>
      </c>
      <c r="CI11" s="142">
        <v>4.3</v>
      </c>
      <c r="CJ11" t="s">
        <v>227</v>
      </c>
      <c r="CK11" t="s">
        <v>174</v>
      </c>
      <c r="CL11" t="s">
        <v>174</v>
      </c>
      <c r="CM11" t="s">
        <v>174</v>
      </c>
      <c r="CN11" t="s">
        <v>143</v>
      </c>
      <c r="CO11" t="s">
        <v>143</v>
      </c>
      <c r="CP11" t="s">
        <v>143</v>
      </c>
      <c r="CQ11" t="s">
        <v>143</v>
      </c>
      <c r="CR11" t="s">
        <v>143</v>
      </c>
      <c r="CS11" t="s">
        <v>143</v>
      </c>
      <c r="CT11" t="s">
        <v>143</v>
      </c>
      <c r="CU11">
        <v>35</v>
      </c>
      <c r="CV11" t="s">
        <v>173</v>
      </c>
      <c r="CW11" s="142">
        <v>2</v>
      </c>
      <c r="CX11" t="s">
        <v>177</v>
      </c>
      <c r="CY11">
        <v>1.7000000000000001E-2</v>
      </c>
      <c r="CZ11" t="s">
        <v>143</v>
      </c>
      <c r="DA11" t="s">
        <v>143</v>
      </c>
      <c r="DB11" t="s">
        <v>223</v>
      </c>
      <c r="DC11" t="s">
        <v>178</v>
      </c>
      <c r="DD11" t="s">
        <v>143</v>
      </c>
      <c r="DE11" t="s">
        <v>143</v>
      </c>
      <c r="DF11" t="s">
        <v>143</v>
      </c>
      <c r="DG11" t="s">
        <v>178</v>
      </c>
      <c r="DH11" t="s">
        <v>143</v>
      </c>
      <c r="DI11" t="s">
        <v>143</v>
      </c>
      <c r="DJ11" t="s">
        <v>143</v>
      </c>
      <c r="DK11">
        <v>416</v>
      </c>
      <c r="DL11" t="s">
        <v>143</v>
      </c>
      <c r="DM11" t="s">
        <v>143</v>
      </c>
      <c r="DN11" t="s">
        <v>230</v>
      </c>
      <c r="DO11" s="142">
        <v>38</v>
      </c>
      <c r="DP11" s="142" t="s">
        <v>179</v>
      </c>
      <c r="DQ11" s="142">
        <v>0.25</v>
      </c>
      <c r="DR11" s="142" t="s">
        <v>224</v>
      </c>
      <c r="DS11" t="s">
        <v>180</v>
      </c>
      <c r="DT11" t="s">
        <v>181</v>
      </c>
      <c r="DU11">
        <v>1.0271999999999999</v>
      </c>
      <c r="DV11" t="s">
        <v>182</v>
      </c>
      <c r="DW11" t="s">
        <v>182</v>
      </c>
      <c r="DX11" t="s">
        <v>195</v>
      </c>
      <c r="DY11" t="s">
        <v>182</v>
      </c>
      <c r="DZ11" t="s">
        <v>182</v>
      </c>
      <c r="EA11" s="142" t="s">
        <v>143</v>
      </c>
      <c r="EB11" s="142" t="s">
        <v>143</v>
      </c>
      <c r="EC11" s="142" t="s">
        <v>228</v>
      </c>
      <c r="ED11" s="142" t="s">
        <v>229</v>
      </c>
      <c r="EE11" s="142" t="s">
        <v>143</v>
      </c>
      <c r="EF11" s="142" t="s">
        <v>143</v>
      </c>
      <c r="EG11" s="142" t="s">
        <v>143</v>
      </c>
      <c r="EH11" s="142" t="s">
        <v>225</v>
      </c>
      <c r="EI11" s="142" t="s">
        <v>226</v>
      </c>
      <c r="EJ11" s="142" t="s">
        <v>143</v>
      </c>
      <c r="EK11" s="159">
        <v>110.29775446638561</v>
      </c>
      <c r="EL11" s="142" t="s">
        <v>143</v>
      </c>
      <c r="EM11" s="142" t="s">
        <v>143</v>
      </c>
      <c r="EN11" s="142" t="s">
        <v>143</v>
      </c>
      <c r="EO11" s="142">
        <v>6.5</v>
      </c>
      <c r="EP11" s="142" t="s">
        <v>143</v>
      </c>
      <c r="EQ11" s="142" t="s">
        <v>143</v>
      </c>
      <c r="ER11" s="142" t="s">
        <v>143</v>
      </c>
      <c r="ES11" s="132">
        <v>7.6927304947384174</v>
      </c>
      <c r="ET11" s="142" t="s">
        <v>183</v>
      </c>
      <c r="EU11" s="141" t="s">
        <v>143</v>
      </c>
      <c r="EV11" s="145" t="s">
        <v>143</v>
      </c>
      <c r="EW11" s="160">
        <v>1045.939410438423</v>
      </c>
      <c r="EX11" s="146">
        <v>0</v>
      </c>
      <c r="EY11" s="146" t="s">
        <v>231</v>
      </c>
      <c r="EZ11" s="162">
        <v>1045.939410438423</v>
      </c>
      <c r="FA11" s="162">
        <v>217.13181589944088</v>
      </c>
      <c r="FB11" s="162">
        <v>304.01888890573719</v>
      </c>
      <c r="FC11" t="s">
        <v>233</v>
      </c>
      <c r="FD11" s="142" t="s">
        <v>232</v>
      </c>
      <c r="FE11" s="144" t="s">
        <v>143</v>
      </c>
      <c r="FF11" s="144" t="s">
        <v>143</v>
      </c>
      <c r="FG11" s="144" t="s">
        <v>143</v>
      </c>
      <c r="FH11" s="144" t="s">
        <v>143</v>
      </c>
      <c r="FI11" s="144" t="s">
        <v>143</v>
      </c>
      <c r="FJ11" s="144" t="s">
        <v>143</v>
      </c>
      <c r="FK11" s="144" t="s">
        <v>143</v>
      </c>
      <c r="FL11" s="144" t="s">
        <v>143</v>
      </c>
      <c r="FM11" s="144" t="s">
        <v>143</v>
      </c>
      <c r="FN11" s="144" t="s">
        <v>143</v>
      </c>
      <c r="FO11" t="s">
        <v>143</v>
      </c>
      <c r="FP11" t="s">
        <v>143</v>
      </c>
      <c r="FQ11" t="s">
        <v>234</v>
      </c>
    </row>
    <row r="12" spans="1:191">
      <c r="A12" t="s">
        <v>142</v>
      </c>
      <c r="B12" t="s">
        <v>219</v>
      </c>
      <c r="C12">
        <v>2009</v>
      </c>
      <c r="D12" t="str">
        <f t="shared" si="0"/>
        <v>10.1038/nature08447</v>
      </c>
      <c r="E12" s="126">
        <v>34630</v>
      </c>
      <c r="F12" t="s">
        <v>143</v>
      </c>
      <c r="G12" t="s">
        <v>143</v>
      </c>
      <c r="H12" s="162">
        <v>876.07761773392656</v>
      </c>
      <c r="I12" s="162">
        <v>186.64830784127571</v>
      </c>
      <c r="J12" s="162">
        <v>263.42504171711346</v>
      </c>
      <c r="K12" t="s">
        <v>215</v>
      </c>
      <c r="L12" s="130" t="s">
        <v>216</v>
      </c>
      <c r="M12" s="1" t="s">
        <v>218</v>
      </c>
      <c r="N12" t="s">
        <v>217</v>
      </c>
      <c r="O12" t="s">
        <v>146</v>
      </c>
      <c r="P12" t="s">
        <v>143</v>
      </c>
      <c r="Q12">
        <v>47</v>
      </c>
      <c r="R12">
        <v>3</v>
      </c>
      <c r="S12">
        <v>0</v>
      </c>
      <c r="T12">
        <v>50</v>
      </c>
      <c r="U12" t="s">
        <v>143</v>
      </c>
      <c r="V12" s="132">
        <v>204.7</v>
      </c>
      <c r="W12" t="s">
        <v>143</v>
      </c>
      <c r="X12" t="s">
        <v>144</v>
      </c>
      <c r="Y12">
        <v>-9.2152777799999992</v>
      </c>
      <c r="Z12">
        <v>39.548333329999998</v>
      </c>
      <c r="AA12">
        <v>-19</v>
      </c>
      <c r="AB12" t="s">
        <v>143</v>
      </c>
      <c r="AC12" t="s">
        <v>143</v>
      </c>
      <c r="AD12" s="156" t="s">
        <v>220</v>
      </c>
      <c r="AE12" t="s">
        <v>147</v>
      </c>
      <c r="AF12" t="s">
        <v>143</v>
      </c>
      <c r="AG12" s="126">
        <v>34630</v>
      </c>
      <c r="AH12" t="s">
        <v>151</v>
      </c>
      <c r="AI12" t="s">
        <v>143</v>
      </c>
      <c r="AJ12" t="s">
        <v>143</v>
      </c>
      <c r="AK12" t="s">
        <v>149</v>
      </c>
      <c r="AL12" t="s">
        <v>148</v>
      </c>
      <c r="AM12" t="s">
        <v>150</v>
      </c>
      <c r="AN12" t="s">
        <v>143</v>
      </c>
      <c r="AO12" t="s">
        <v>143</v>
      </c>
      <c r="AP12" t="s">
        <v>143</v>
      </c>
      <c r="AQ12" t="s">
        <v>143</v>
      </c>
      <c r="AR12" t="s">
        <v>143</v>
      </c>
      <c r="AS12" t="s">
        <v>143</v>
      </c>
      <c r="AT12" t="s">
        <v>143</v>
      </c>
      <c r="AU12" s="157" t="s">
        <v>156</v>
      </c>
      <c r="AV12" s="134" t="s">
        <v>152</v>
      </c>
      <c r="AW12" s="134" t="s">
        <v>162</v>
      </c>
      <c r="AX12" t="s">
        <v>143</v>
      </c>
      <c r="AY12" t="s">
        <v>153</v>
      </c>
      <c r="AZ12" t="s">
        <v>221</v>
      </c>
      <c r="BA12" t="s">
        <v>154</v>
      </c>
      <c r="BB12" t="s">
        <v>167</v>
      </c>
      <c r="BC12">
        <v>2</v>
      </c>
      <c r="BD12">
        <v>0.22000000000000061</v>
      </c>
      <c r="BE12" s="134">
        <v>15.101862568699548</v>
      </c>
      <c r="BF12" t="s">
        <v>155</v>
      </c>
      <c r="BG12" s="134">
        <v>0.41485655550830691</v>
      </c>
      <c r="BH12">
        <v>1</v>
      </c>
      <c r="BI12" t="s">
        <v>168</v>
      </c>
      <c r="BJ12" t="s">
        <v>168</v>
      </c>
      <c r="BK12">
        <v>0</v>
      </c>
      <c r="BL12" t="s">
        <v>169</v>
      </c>
      <c r="BM12" t="s">
        <v>169</v>
      </c>
      <c r="BN12" t="s">
        <v>170</v>
      </c>
      <c r="BO12" t="s">
        <v>143</v>
      </c>
      <c r="BP12" s="137">
        <v>15.101862568699548</v>
      </c>
      <c r="BQ12" t="s">
        <v>171</v>
      </c>
      <c r="BR12" s="137">
        <v>0.41485655550830691</v>
      </c>
      <c r="BS12" t="s">
        <v>171</v>
      </c>
      <c r="BT12" t="s">
        <v>143</v>
      </c>
      <c r="BU12" t="s">
        <v>186</v>
      </c>
      <c r="BV12" t="s">
        <v>172</v>
      </c>
      <c r="BW12" t="s">
        <v>172</v>
      </c>
      <c r="BX12" s="158">
        <v>29.184532048114061</v>
      </c>
      <c r="BY12" t="s">
        <v>173</v>
      </c>
      <c r="BZ12" s="142">
        <v>2</v>
      </c>
      <c r="CA12" s="142">
        <v>2</v>
      </c>
      <c r="CB12" t="s">
        <v>143</v>
      </c>
      <c r="CC12" s="138">
        <v>4.5158479550980921</v>
      </c>
      <c r="CD12" t="s">
        <v>175</v>
      </c>
      <c r="CE12" s="137">
        <v>9.0316959101961844E-2</v>
      </c>
      <c r="CF12" s="137">
        <v>9.0316959101961844E-2</v>
      </c>
      <c r="CG12" s="161" t="s">
        <v>176</v>
      </c>
      <c r="CH12" s="142" t="s">
        <v>222</v>
      </c>
      <c r="CI12" s="142">
        <v>4.3</v>
      </c>
      <c r="CJ12" t="s">
        <v>227</v>
      </c>
      <c r="CK12" t="s">
        <v>174</v>
      </c>
      <c r="CL12" t="s">
        <v>174</v>
      </c>
      <c r="CM12" t="s">
        <v>174</v>
      </c>
      <c r="CN12" t="s">
        <v>143</v>
      </c>
      <c r="CO12" t="s">
        <v>143</v>
      </c>
      <c r="CP12" t="s">
        <v>143</v>
      </c>
      <c r="CQ12" t="s">
        <v>143</v>
      </c>
      <c r="CR12" t="s">
        <v>143</v>
      </c>
      <c r="CS12" t="s">
        <v>143</v>
      </c>
      <c r="CT12" t="s">
        <v>143</v>
      </c>
      <c r="CU12">
        <v>35</v>
      </c>
      <c r="CV12" t="s">
        <v>173</v>
      </c>
      <c r="CW12" s="142">
        <v>2</v>
      </c>
      <c r="CX12" t="s">
        <v>177</v>
      </c>
      <c r="CY12">
        <v>1.7000000000000001E-2</v>
      </c>
      <c r="CZ12" t="s">
        <v>143</v>
      </c>
      <c r="DA12" t="s">
        <v>143</v>
      </c>
      <c r="DB12" t="s">
        <v>223</v>
      </c>
      <c r="DC12" t="s">
        <v>178</v>
      </c>
      <c r="DD12" t="s">
        <v>143</v>
      </c>
      <c r="DE12" t="s">
        <v>143</v>
      </c>
      <c r="DF12" t="s">
        <v>143</v>
      </c>
      <c r="DG12" t="s">
        <v>178</v>
      </c>
      <c r="DH12" t="s">
        <v>143</v>
      </c>
      <c r="DI12" t="s">
        <v>143</v>
      </c>
      <c r="DJ12" t="s">
        <v>143</v>
      </c>
      <c r="DK12">
        <v>416</v>
      </c>
      <c r="DL12" t="s">
        <v>143</v>
      </c>
      <c r="DM12" t="s">
        <v>143</v>
      </c>
      <c r="DN12" t="s">
        <v>230</v>
      </c>
      <c r="DO12" s="142">
        <v>38</v>
      </c>
      <c r="DP12" s="142" t="s">
        <v>179</v>
      </c>
      <c r="DQ12" s="142">
        <v>0.25</v>
      </c>
      <c r="DR12" s="142" t="s">
        <v>224</v>
      </c>
      <c r="DS12" t="s">
        <v>180</v>
      </c>
      <c r="DT12" t="s">
        <v>181</v>
      </c>
      <c r="DU12">
        <v>1.0271999999999999</v>
      </c>
      <c r="DV12" t="s">
        <v>182</v>
      </c>
      <c r="DW12" t="s">
        <v>182</v>
      </c>
      <c r="DX12" t="s">
        <v>195</v>
      </c>
      <c r="DY12" t="s">
        <v>182</v>
      </c>
      <c r="DZ12" t="s">
        <v>182</v>
      </c>
      <c r="EA12" s="142" t="s">
        <v>143</v>
      </c>
      <c r="EB12" s="142" t="s">
        <v>143</v>
      </c>
      <c r="EC12" s="142" t="s">
        <v>228</v>
      </c>
      <c r="ED12" s="142" t="s">
        <v>229</v>
      </c>
      <c r="EE12" s="142" t="s">
        <v>143</v>
      </c>
      <c r="EF12" s="142" t="s">
        <v>143</v>
      </c>
      <c r="EG12" s="142" t="s">
        <v>143</v>
      </c>
      <c r="EH12" s="142" t="s">
        <v>225</v>
      </c>
      <c r="EI12" s="142" t="s">
        <v>226</v>
      </c>
      <c r="EJ12" s="142" t="s">
        <v>143</v>
      </c>
      <c r="EK12" s="159">
        <v>110.29775446638561</v>
      </c>
      <c r="EL12" s="142" t="s">
        <v>143</v>
      </c>
      <c r="EM12" s="142" t="s">
        <v>143</v>
      </c>
      <c r="EN12" s="142" t="s">
        <v>143</v>
      </c>
      <c r="EO12" s="142">
        <v>6.5</v>
      </c>
      <c r="EP12" s="142" t="s">
        <v>143</v>
      </c>
      <c r="EQ12" s="142" t="s">
        <v>143</v>
      </c>
      <c r="ER12" s="142" t="s">
        <v>143</v>
      </c>
      <c r="ES12" s="132">
        <v>7.7374502639483964</v>
      </c>
      <c r="ET12" s="142" t="s">
        <v>183</v>
      </c>
      <c r="EU12" s="141" t="s">
        <v>143</v>
      </c>
      <c r="EV12" s="145" t="s">
        <v>143</v>
      </c>
      <c r="EW12" s="160">
        <v>876.07761773392656</v>
      </c>
      <c r="EX12" s="146">
        <v>0</v>
      </c>
      <c r="EY12" s="146" t="s">
        <v>231</v>
      </c>
      <c r="EZ12" s="162">
        <v>876.07761773392656</v>
      </c>
      <c r="FA12" s="162">
        <v>186.64830784127571</v>
      </c>
      <c r="FB12" s="162">
        <v>263.42504171711346</v>
      </c>
      <c r="FC12" t="s">
        <v>233</v>
      </c>
      <c r="FD12" s="142" t="s">
        <v>232</v>
      </c>
      <c r="FE12" s="144" t="s">
        <v>143</v>
      </c>
      <c r="FF12" s="144" t="s">
        <v>143</v>
      </c>
      <c r="FG12" s="144" t="s">
        <v>143</v>
      </c>
      <c r="FH12" s="144" t="s">
        <v>143</v>
      </c>
      <c r="FI12" s="144" t="s">
        <v>143</v>
      </c>
      <c r="FJ12" s="144" t="s">
        <v>143</v>
      </c>
      <c r="FK12" s="144" t="s">
        <v>143</v>
      </c>
      <c r="FL12" s="144" t="s">
        <v>143</v>
      </c>
      <c r="FM12" s="144" t="s">
        <v>143</v>
      </c>
      <c r="FN12" s="144" t="s">
        <v>143</v>
      </c>
      <c r="FO12" t="s">
        <v>143</v>
      </c>
      <c r="FP12" t="s">
        <v>143</v>
      </c>
      <c r="FQ12" t="s">
        <v>234</v>
      </c>
    </row>
    <row r="13" spans="1:191">
      <c r="D13" s="128"/>
      <c r="E13" s="129"/>
      <c r="L13" s="131"/>
      <c r="N13" s="128"/>
      <c r="AA13" s="133"/>
      <c r="AG13" s="129"/>
      <c r="AU13" s="135"/>
      <c r="AV13" s="136"/>
      <c r="BE13" s="136"/>
      <c r="BG13" s="136"/>
      <c r="BP13" s="137"/>
      <c r="BR13" s="137"/>
    </row>
    <row r="14" spans="1:191">
      <c r="D14" s="128"/>
      <c r="E14" s="129"/>
      <c r="L14" s="131"/>
      <c r="N14" s="128"/>
      <c r="AG14" s="129"/>
      <c r="AU14" s="135"/>
      <c r="AV14" s="136"/>
      <c r="BE14" s="136"/>
      <c r="BG14" s="136"/>
      <c r="BP14" s="137"/>
      <c r="BR14" s="137"/>
    </row>
    <row r="15" spans="1:191">
      <c r="D15" s="128"/>
      <c r="E15" s="129"/>
      <c r="L15" s="131"/>
      <c r="N15" s="128"/>
      <c r="AG15" s="129"/>
      <c r="AU15" s="135"/>
      <c r="AV15" s="136"/>
      <c r="BE15" s="136"/>
      <c r="BG15" s="136"/>
      <c r="BP15" s="137"/>
      <c r="BR15" s="137"/>
    </row>
    <row r="16" spans="1:191">
      <c r="D16" s="128"/>
      <c r="E16" s="129"/>
      <c r="L16" s="131"/>
      <c r="N16" s="128"/>
      <c r="AG16" s="129"/>
      <c r="AU16" s="135"/>
      <c r="AV16" s="136"/>
      <c r="BE16" s="136"/>
      <c r="BG16" s="136"/>
      <c r="BP16" s="137"/>
      <c r="BR16" s="137"/>
    </row>
    <row r="17" spans="4:70">
      <c r="D17" s="128"/>
      <c r="E17" s="129"/>
      <c r="L17" s="131"/>
      <c r="N17" s="128"/>
      <c r="AG17" s="129"/>
      <c r="AU17" s="135"/>
      <c r="AV17" s="136"/>
      <c r="BE17" s="136"/>
      <c r="BG17" s="136"/>
      <c r="BP17" s="137"/>
      <c r="BR17" s="137"/>
    </row>
    <row r="18" spans="4:70">
      <c r="D18" s="128"/>
      <c r="E18" s="129"/>
      <c r="L18" s="131"/>
      <c r="N18" s="128"/>
      <c r="AG18" s="129"/>
      <c r="AU18" s="135"/>
      <c r="AV18" s="136"/>
      <c r="BE18" s="136"/>
      <c r="BG18" s="136"/>
      <c r="BP18" s="137"/>
      <c r="BR18" s="137"/>
    </row>
    <row r="19" spans="4:70">
      <c r="D19" s="128"/>
      <c r="E19" s="129"/>
      <c r="L19" s="131"/>
      <c r="N19" s="128"/>
      <c r="AG19" s="129"/>
      <c r="AU19" s="135"/>
      <c r="AV19" s="136"/>
      <c r="BE19" s="136"/>
      <c r="BG19" s="136"/>
      <c r="BP19" s="137"/>
      <c r="BR19" s="137"/>
    </row>
    <row r="20" spans="4:70">
      <c r="D20" s="128"/>
      <c r="E20" s="129"/>
      <c r="L20" s="131"/>
      <c r="N20" s="128"/>
      <c r="AG20" s="129"/>
      <c r="AU20" s="135"/>
      <c r="AV20" s="136"/>
      <c r="BE20" s="136"/>
      <c r="BG20" s="136"/>
      <c r="BP20" s="137"/>
      <c r="BR20" s="137"/>
    </row>
    <row r="21" spans="4:70">
      <c r="D21" s="128"/>
      <c r="E21" s="129"/>
      <c r="L21" s="131"/>
      <c r="N21" s="128"/>
      <c r="AG21" s="129"/>
      <c r="AU21" s="135"/>
      <c r="AV21" s="136"/>
      <c r="BE21" s="136"/>
      <c r="BG21" s="136"/>
      <c r="BP21" s="137"/>
      <c r="BR21" s="137"/>
    </row>
    <row r="22" spans="4:70">
      <c r="D22" s="128"/>
      <c r="E22" s="129"/>
      <c r="L22" s="131"/>
      <c r="N22" s="128"/>
      <c r="AG22" s="129"/>
      <c r="AU22" s="135"/>
      <c r="AV22" s="136"/>
      <c r="BE22" s="136"/>
      <c r="BG22" s="136"/>
      <c r="BP22" s="137"/>
      <c r="BR22" s="137"/>
    </row>
    <row r="23" spans="4:70">
      <c r="D23" s="128"/>
      <c r="E23" s="129"/>
      <c r="L23" s="131"/>
      <c r="N23" s="128"/>
      <c r="AG23" s="129"/>
      <c r="AU23" s="135"/>
      <c r="AV23" s="136"/>
      <c r="BE23" s="136"/>
      <c r="BG23" s="136"/>
      <c r="BP23" s="137"/>
      <c r="BR23" s="137"/>
    </row>
    <row r="24" spans="4:70">
      <c r="D24" s="128"/>
      <c r="E24" s="129"/>
      <c r="L24" s="131"/>
      <c r="N24" s="128"/>
      <c r="AG24" s="129"/>
      <c r="AU24" s="135"/>
      <c r="AV24" s="136"/>
      <c r="BE24" s="136"/>
      <c r="BG24" s="136"/>
      <c r="BP24" s="137"/>
      <c r="BR24" s="137"/>
    </row>
  </sheetData>
  <hyperlinks>
    <hyperlink ref="L4" r:id="rId1" display="eanagnostou@geomar.de" xr:uid="{3E29C225-6F9A-D645-B28A-C739385C6DED}"/>
    <hyperlink ref="L5" r:id="rId2" display="eanagnostou@geomar.de" xr:uid="{7B55C057-D337-6244-AB92-0569D007C242}"/>
    <hyperlink ref="L6" r:id="rId3" display="eanagnostou@geomar.de" xr:uid="{0FDFF0C4-4433-7F4E-A6E9-7C5061325A6D}"/>
    <hyperlink ref="L7" r:id="rId4" display="eanagnostou@geomar.de" xr:uid="{0670DE42-EEC4-D24A-8299-885F2EB74924}"/>
    <hyperlink ref="L8" r:id="rId5" display="eanagnostou@geomar.de" xr:uid="{75A581FD-6B7E-A347-A6E9-E96E669437F6}"/>
    <hyperlink ref="L9" r:id="rId6" display="eanagnostou@geomar.de" xr:uid="{FE641A1E-57CD-BB4A-9A22-685AAF89BF63}"/>
    <hyperlink ref="L10" r:id="rId7" display="eanagnostou@geomar.de" xr:uid="{1BDCA6C2-A385-1B4A-AD37-2C928471265F}"/>
    <hyperlink ref="L11" r:id="rId8" display="eanagnostou@geomar.de" xr:uid="{F25ED1E8-0540-554B-8D80-86B322D4BD6E}"/>
    <hyperlink ref="L12" r:id="rId9" display="eanagnostou@geomar.de" xr:uid="{FC0D35E7-CD84-274D-9273-9E4E2D968B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4F8E-2311-3345-83B2-8F64EB87F706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209</v>
      </c>
    </row>
    <row r="3" spans="1:1">
      <c r="A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2020-07-01T19:56:01Z</dcterms:modified>
</cp:coreProperties>
</file>