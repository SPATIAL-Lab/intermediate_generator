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DAB4EDBA-D82A-8445-9FDF-80737607F3B0}" xr6:coauthVersionLast="36" xr6:coauthVersionMax="45" xr10:uidLastSave="{00000000-0000-0000-0000-000000000000}"/>
  <bookViews>
    <workbookView xWindow="0" yWindow="640" windowWidth="28800" windowHeight="16240" activeTab="1" xr2:uid="{00000000-000D-0000-FFFF-FFFF00000000}"/>
  </bookViews>
  <sheets>
    <sheet name="Data" sheetId="5" r:id="rId1"/>
    <sheet name="Columns" sheetId="6" r:id="rId2"/>
  </sheets>
  <calcPr calcId="181029"/>
</workbook>
</file>

<file path=xl/calcChain.xml><?xml version="1.0" encoding="utf-8"?>
<calcChain xmlns="http://schemas.openxmlformats.org/spreadsheetml/2006/main">
  <c r="AX9" i="5" l="1"/>
  <c r="D16" i="5"/>
  <c r="D15" i="5"/>
  <c r="D14" i="5"/>
  <c r="D13" i="5"/>
  <c r="D12" i="5"/>
  <c r="D11" i="5"/>
  <c r="D10" i="5"/>
  <c r="D9" i="5"/>
  <c r="D8" i="5"/>
  <c r="D7" i="5"/>
  <c r="D6" i="5"/>
  <c r="D5" i="5"/>
  <c r="D4" i="5"/>
  <c r="J16" i="5"/>
  <c r="I16" i="5"/>
  <c r="H16" i="5"/>
  <c r="G16" i="5"/>
  <c r="F16" i="5"/>
  <c r="E16" i="5"/>
  <c r="J15" i="5"/>
  <c r="I15" i="5"/>
  <c r="H15" i="5"/>
  <c r="G15" i="5"/>
  <c r="F15" i="5"/>
  <c r="E15" i="5"/>
  <c r="J14" i="5"/>
  <c r="I14" i="5"/>
  <c r="H14" i="5"/>
  <c r="G14" i="5"/>
  <c r="F14" i="5"/>
  <c r="E14" i="5"/>
  <c r="J13" i="5"/>
  <c r="I13" i="5"/>
  <c r="H13" i="5"/>
  <c r="G13" i="5"/>
  <c r="F13" i="5"/>
  <c r="E13" i="5"/>
  <c r="J12" i="5"/>
  <c r="I12" i="5"/>
  <c r="H12" i="5"/>
  <c r="G12" i="5"/>
  <c r="F12" i="5"/>
  <c r="E12" i="5"/>
  <c r="J11" i="5"/>
  <c r="I11" i="5"/>
  <c r="H11" i="5"/>
  <c r="G11" i="5"/>
  <c r="F11" i="5"/>
  <c r="E11" i="5"/>
  <c r="J10" i="5"/>
  <c r="I10" i="5"/>
  <c r="H10" i="5"/>
  <c r="G10" i="5"/>
  <c r="F10" i="5"/>
  <c r="E10" i="5"/>
  <c r="J9" i="5"/>
  <c r="I9" i="5"/>
  <c r="H9" i="5"/>
  <c r="G9" i="5"/>
  <c r="F9" i="5"/>
  <c r="E9" i="5"/>
  <c r="J8" i="5"/>
  <c r="I8" i="5"/>
  <c r="H8" i="5"/>
  <c r="G8" i="5"/>
  <c r="F8" i="5"/>
  <c r="E8" i="5"/>
  <c r="J7" i="5"/>
  <c r="I7" i="5"/>
  <c r="H7" i="5"/>
  <c r="G7" i="5"/>
  <c r="F7" i="5"/>
  <c r="E7" i="5"/>
  <c r="J6" i="5"/>
  <c r="I6" i="5"/>
  <c r="H6" i="5"/>
  <c r="G6" i="5"/>
  <c r="F6" i="5"/>
  <c r="E6" i="5"/>
  <c r="J5" i="5"/>
  <c r="I5" i="5"/>
  <c r="H5" i="5"/>
  <c r="G5" i="5"/>
  <c r="F5" i="5"/>
  <c r="E5" i="5"/>
  <c r="J4" i="5"/>
  <c r="I4" i="5"/>
  <c r="H4" i="5"/>
  <c r="G4" i="5"/>
  <c r="F4" i="5"/>
  <c r="E4" i="5"/>
</calcChain>
</file>

<file path=xl/sharedStrings.xml><?xml version="1.0" encoding="utf-8"?>
<sst xmlns="http://schemas.openxmlformats.org/spreadsheetml/2006/main" count="2492" uniqueCount="284">
  <si>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</si>
  <si>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</si>
  <si>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</si>
  <si>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</si>
  <si>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</si>
  <si>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</si>
  <si>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</si>
  <si>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</si>
  <si>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</si>
  <si>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</si>
  <si>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</si>
  <si>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</si>
  <si>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</si>
  <si>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</si>
  <si>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</si>
  <si>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</si>
  <si>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</si>
  <si>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</si>
  <si>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</si>
  <si>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</si>
  <si>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</si>
  <si>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</si>
  <si>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</si>
  <si>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</si>
  <si>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</si>
  <si>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</si>
  <si>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</si>
  <si>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</si>
  <si>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</si>
  <si>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</si>
  <si>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</si>
  <si>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</si>
  <si>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</si>
  <si>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</si>
  <si>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</si>
  <si>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</si>
  <si>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</si>
  <si>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</si>
  <si>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</si>
  <si>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</si>
  <si>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</si>
  <si>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</si>
  <si>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</si>
  <si>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</si>
  <si>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</si>
  <si>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</si>
  <si>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</si>
  <si>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</si>
  <si>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</si>
  <si>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</si>
  <si>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</si>
  <si>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</si>
  <si>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</si>
  <si>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</si>
  <si>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</si>
  <si>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</si>
  <si>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</si>
  <si>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</si>
  <si>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</si>
  <si>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</si>
  <si>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</si>
  <si>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</si>
  <si>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</si>
  <si>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</si>
  <si>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</si>
  <si>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</si>
  <si>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</si>
  <si>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</si>
  <si>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</si>
  <si>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</si>
  <si>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</si>
  <si>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</si>
  <si>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</si>
  <si>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</si>
  <si>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</si>
  <si>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</si>
  <si>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</si>
  <si>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</si>
  <si>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</si>
  <si>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</si>
  <si>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</si>
  <si>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</si>
  <si>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</si>
  <si>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</si>
  <si>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</si>
  <si>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</si>
  <si>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</si>
  <si>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</si>
  <si>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</si>
  <si>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</si>
  <si>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</si>
  <si>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</si>
  <si>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</si>
  <si>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</si>
  <si>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</si>
  <si>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</si>
  <si>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</si>
  <si>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</si>
  <si>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</si>
  <si>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</si>
  <si>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</si>
  <si>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</si>
  <si>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</si>
  <si>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</si>
  <si>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</si>
  <si>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</si>
  <si>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</si>
  <si>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</si>
  <si>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</si>
  <si>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</si>
  <si>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</si>
  <si>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</si>
  <si>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</si>
  <si>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</si>
  <si>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</si>
  <si>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</si>
  <si>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</si>
  <si>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</si>
  <si>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</si>
  <si>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</si>
  <si>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</si>
  <si>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</si>
  <si>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</si>
  <si>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</si>
  <si>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</si>
  <si>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</si>
  <si>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</si>
  <si>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</si>
  <si>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</si>
  <si>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</si>
  <si>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</si>
  <si>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</si>
  <si>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</si>
  <si>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</si>
  <si>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</si>
  <si>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</si>
  <si>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</si>
  <si>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</si>
  <si>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</si>
  <si>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</si>
  <si>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</si>
  <si>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</si>
  <si>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</si>
  <si>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</si>
  <si>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</si>
  <si>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</si>
  <si>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</si>
  <si>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</si>
  <si>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</si>
  <si>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</si>
  <si>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</si>
  <si>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</si>
  <si>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</si>
  <si>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</si>
  <si>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</si>
  <si>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</si>
  <si>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</si>
  <si>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</si>
  <si>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</si>
  <si>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</si>
  <si>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</si>
  <si>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</si>
  <si>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</si>
  <si>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</si>
  <si>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</si>
  <si>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</si>
  <si>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</si>
  <si>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</si>
  <si>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</si>
  <si>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</si>
  <si>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</si>
  <si>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</si>
  <si>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</si>
  <si>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</si>
  <si>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</si>
  <si>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</si>
  <si>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Mk37_2</t>
  </si>
  <si>
    <t>A</t>
  </si>
  <si>
    <t>organic_d13C_measured_uncertainty_n</t>
  </si>
  <si>
    <t>include_TF</t>
  </si>
  <si>
    <t>include_explanation</t>
  </si>
  <si>
    <t>sphelps@ldeo.columbia.edu</t>
  </si>
  <si>
    <t>NA</t>
  </si>
  <si>
    <t>phosphate_umol_kg_uncertainty_pos</t>
  </si>
  <si>
    <t>phosphate_umol_kg_uncertainty_neg</t>
  </si>
  <si>
    <t>uniform</t>
  </si>
  <si>
    <t>include_parent_unique_id</t>
  </si>
  <si>
    <t>include_child_unique_id</t>
  </si>
  <si>
    <t>T</t>
  </si>
  <si>
    <t>Bolton</t>
  </si>
  <si>
    <t>10.1038/ncomms10284</t>
  </si>
  <si>
    <t>H</t>
  </si>
  <si>
    <t>W</t>
  </si>
  <si>
    <t>mbsf</t>
  </si>
  <si>
    <t>1std</t>
  </si>
  <si>
    <t>T. sacculifer</t>
  </si>
  <si>
    <t>300-400</t>
  </si>
  <si>
    <t>d13C_bio = d13C_alk + 4.2</t>
  </si>
  <si>
    <t>Supplement states Ep calculations are based on Seki et al., 2010. Assume biomass offset is 4.2‰, because that's what Seki et al., 2010 use.</t>
  </si>
  <si>
    <t>X</t>
  </si>
  <si>
    <t>order</t>
  </si>
  <si>
    <t>variable_name</t>
  </si>
  <si>
    <t>notes</t>
  </si>
  <si>
    <t>compilation_notes</t>
  </si>
  <si>
    <t>Bolton, Clara T., et al. "Decrease in coccolithophore calcification and CO 2 since the middle Miocene." Nature communications 7.1 (2016): 1-13.</t>
  </si>
  <si>
    <t>See Bolton and Stoll (2013) for age model information.</t>
  </si>
  <si>
    <t>Romanek et al (1992) E_calcite--&gt;CO2g; Mook et al. (1974) E_CO2g-CO2aq</t>
  </si>
  <si>
    <t>Ep = Ef - b/CO2</t>
  </si>
  <si>
    <t>pCO2 = CO2 / K0</t>
  </si>
  <si>
    <t>Took the average of the "ep SST maximum" and "ep SST minimum" in Supplementary Data 2.</t>
  </si>
  <si>
    <t>Growth rates are estimated from Sr/Ca, but value used is not reported.</t>
  </si>
  <si>
    <t>Estimated from measurements at ODP 925 and Site NGHP-01-01A. Actual values used not reported in table or figue.</t>
  </si>
  <si>
    <t>Sam Phelps</t>
  </si>
  <si>
    <t>Haug et al. (1998); Bickert et al. (2004); Kameo and Bralower (2000)</t>
  </si>
  <si>
    <t>Foram source: J. Groeneveld/Silke Steph unpublished. See Bolton et al. (2016) Supplementary Data 2. DIC vital effect from Spero et al., 2003.</t>
  </si>
  <si>
    <t>Foram source: Torstern Birckert unpublished. See Bolton et al. (2016) Supplementary Data 2. DIC vital effect from Spero et al., 2003.</t>
  </si>
  <si>
    <t>Foram source: This study. See Bolton et al. (2016) Supplementary Data 2. DIC vital effect from Spero et al., 2003.</t>
  </si>
  <si>
    <t>Foram source: estimated from benthic-planktic gradient of 1.4‰ (see Supplementary Material). DIC vital effect from Spero et al., 2003.</t>
  </si>
  <si>
    <t>Estimated from benthic foraminifera d13C and a constant planktic-benthic d13C offset of 1.4‰</t>
  </si>
  <si>
    <t>assumed based on projection of Plio/Pleistocene temperatures at ODP 999 from Seki et al. (2010) and trend at ODP Site 1010 and 1241 in Miocene (LaRiviere et al., 2012; Seki et al., 2012). See Bolton and Stoll (2013; Nature) Figure S5 for details. Value here is the "max SST" from that figure, which is much more reasonable than the "min" temperature.</t>
  </si>
  <si>
    <t>Use a reference value of 150 and then scale it for changes in cell size. See supplementary material.</t>
  </si>
  <si>
    <t>Average of reported max and min; uncertainty is taken as max - mean and mean - min. The b-value is variable depending on cell size. The data are shown in Figure 7.</t>
  </si>
  <si>
    <t>CO2aq and pCO2 and their uncertainties represent the averages of the maximum and minimum values based on maximum and minimum b values, as well as max and min Ep values.</t>
  </si>
  <si>
    <t>Foram source: Subsequent sample. See Bolton et al. (2016) Supplementary Data 2. DIC vital effect from Spero et al., 2003. Uncertainty  and foraminifera d13C are based on sample algae_Bolton_2016_7</t>
  </si>
  <si>
    <t>epsilon_f value used to calculate CO2aq from epsilon_p and b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</si>
  <si>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</si>
  <si>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</si>
  <si>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</si>
  <si>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</si>
  <si>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</si>
  <si>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</si>
  <si>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</si>
  <si>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</si>
  <si>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typically Ep = Ef - b/CO2 for conventional alkenone method</t>
  </si>
  <si>
    <t>typically pCO2 = CO2 / K0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</si>
  <si>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</si>
  <si>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</si>
  <si>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</si>
  <si>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</si>
  <si>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</si>
  <si>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</si>
  <si>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</si>
  <si>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</si>
  <si>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</si>
  <si>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</si>
  <si>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</si>
  <si>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</si>
  <si>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</si>
  <si>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</si>
  <si>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Used as foraminifera d13C value for preceding sample because no foraminifera were found in sample algae_Bolton_2016_6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</si>
  <si>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</si>
  <si>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</si>
  <si>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</si>
  <si>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</si>
  <si>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</si>
  <si>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</si>
  <si>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</si>
  <si>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</si>
  <si>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</si>
  <si>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</si>
  <si>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</si>
  <si>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</si>
  <si>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</si>
  <si>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</si>
  <si>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</si>
  <si>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</si>
  <si>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</si>
  <si>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</si>
  <si>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</si>
  <si>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</si>
  <si>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phytoplankton_Bolton_2016_1</t>
  </si>
  <si>
    <t>phytoplankton_Bolton_2016_2</t>
  </si>
  <si>
    <t>phytoplankton_Bolton_2016_3</t>
  </si>
  <si>
    <t>phytoplankton_Bolton_2016_4</t>
  </si>
  <si>
    <t>phytoplankton_Bolton_2016_5</t>
  </si>
  <si>
    <t>phytoplankton_Bolton_2016_6</t>
  </si>
  <si>
    <t>phytoplankton_Bolton_2016_7</t>
  </si>
  <si>
    <t>phytoplankton_Bolton_2016_8</t>
  </si>
  <si>
    <t>phytoplankton_Bolton_2016_9</t>
  </si>
  <si>
    <t>phytoplankton_Bolton_2016_10</t>
  </si>
  <si>
    <t>phytoplankton_Bolton_2016_11</t>
  </si>
  <si>
    <t>phytoplankton_Bolton_2016_12</t>
  </si>
  <si>
    <t>phytoplankton_Bolton_2016_13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</si>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</sst>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0" applyFont="1"/>
    <xf numFmtId="0" fontId="1" fillId="0" borderId="0" xfId="1"/>
    <xf numFmtId="49" fontId="1" fillId="0" borderId="0" xfId="1" applyNumberFormat="1" applyFont="1" applyFill="1" applyBorder="1" applyAlignment="1" applyProtection="1"/>
    <xf numFmtId="0" fontId="2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9" fontId="1" fillId="0" borderId="0" xfId="0" applyNumberFormat="1" applyFont="1"/>
    <xf numFmtId="2" fontId="1" fillId="0" borderId="0" xfId="1" applyNumberFormat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3" fillId="0" borderId="4" xfId="0" applyFont="1" applyBorder="1"/>
    <xf numFmtId="0" fontId="5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49" fontId="1" fillId="0" borderId="0" xfId="0" applyNumberFormat="1" applyFont="1" applyAlignment="1">
      <alignment wrapText="1"/>
    </xf>
    <xf numFmtId="0" fontId="6" fillId="2" borderId="5" xfId="0" applyFont="1" applyFill="1" applyBorder="1" applyAlignment="1">
      <alignment horizontal="center" wrapText="1"/>
    </xf>
    <xf numFmtId="0" fontId="7" fillId="0" borderId="6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wrapText="1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16"/>
  <sheetViews>
    <sheetView topLeftCell="FL1" zoomScaleNormal="100" workbookViewId="0">
      <selection activeCell="FV4" sqref="FV4:FV16"/>
    </sheetView>
  </sheetViews>
  <sheetFormatPr baseColWidth="10" defaultColWidth="8.83203125" defaultRowHeight="13" x14ac:dyDescent="0.15"/>
  <cols>
    <col min="1" max="1" width="13.6640625" style="2" customWidth="1"/>
    <col min="2" max="2" width="30.6640625" style="2" customWidth="1"/>
    <col min="3" max="3" width="24.6640625" style="2" customWidth="1"/>
    <col min="4" max="4" width="35.6640625" style="2" customWidth="1"/>
    <col min="5" max="5" width="14.6640625" style="2" customWidth="1"/>
    <col min="6" max="7" width="30.6640625" style="2" customWidth="1"/>
    <col min="8" max="8" width="17.6640625" style="2" customWidth="1"/>
    <col min="9" max="10" width="33.6640625" style="2" customWidth="1"/>
    <col min="11" max="11" width="32.6640625" style="2" customWidth="1"/>
    <col min="12" max="12" width="41.6640625" style="2" customWidth="1"/>
    <col min="13" max="13" width="62.6640625" style="2" customWidth="1"/>
    <col min="14" max="14" width="35.6640625" style="2" customWidth="1"/>
    <col min="15" max="19" width="4.6640625" style="2" customWidth="1"/>
    <col min="20" max="20" width="7.6640625" style="2" customWidth="1"/>
    <col min="21" max="21" width="20.6640625" style="2" customWidth="1"/>
    <col min="22" max="22" width="23.6640625" style="2" customWidth="1"/>
    <col min="23" max="23" width="26.6640625" style="2" customWidth="1"/>
    <col min="24" max="24" width="11.6640625" style="2" customWidth="1"/>
    <col min="25" max="25" width="14.6640625" style="2" customWidth="1"/>
    <col min="26" max="28" width="11.6640625" style="2" customWidth="1"/>
    <col min="29" max="30" width="22.6640625" style="2" customWidth="1"/>
    <col min="31" max="31" width="28.6640625" style="2" customWidth="1"/>
    <col min="32" max="32" width="19.6640625" style="2" customWidth="1"/>
    <col min="33" max="33" width="15.6640625" style="2" customWidth="1"/>
    <col min="34" max="34" width="13.6640625" style="2" customWidth="1"/>
    <col min="35" max="35" width="14.6640625" style="2" customWidth="1"/>
    <col min="36" max="36" width="10.6640625" style="2" customWidth="1"/>
    <col min="37" max="37" width="18.6640625" style="2" customWidth="1"/>
    <col min="38" max="38" width="19.6640625" style="2" customWidth="1"/>
    <col min="39" max="39" width="15.6640625" style="2" customWidth="1"/>
    <col min="40" max="40" width="28.6640625" style="2" customWidth="1"/>
    <col min="41" max="41" width="22.6640625" style="2" customWidth="1"/>
    <col min="42" max="42" width="9.6640625" style="2" customWidth="1"/>
    <col min="43" max="43" width="22.6640625" style="2" customWidth="1"/>
    <col min="44" max="44" width="21.6640625" style="2" customWidth="1"/>
    <col min="45" max="45" width="31.6640625" style="2" customWidth="1"/>
    <col min="46" max="46" width="28.6640625" style="2" customWidth="1"/>
    <col min="47" max="47" width="26.6640625" style="2" customWidth="1"/>
    <col min="48" max="48" width="31.6640625" style="2" customWidth="1"/>
    <col min="49" max="49" width="38.6640625" style="2" customWidth="1"/>
    <col min="50" max="50" width="17.6640625" style="2" customWidth="1"/>
    <col min="51" max="51" width="29.6640625" style="2" customWidth="1"/>
    <col min="52" max="52" width="27.6640625" style="2" customWidth="1"/>
    <col min="53" max="53" width="24.6640625" style="2" customWidth="1"/>
    <col min="54" max="54" width="17.6640625" style="2" customWidth="1"/>
    <col min="55" max="55" width="29.6640625" style="2" customWidth="1"/>
    <col min="56" max="56" width="27.6640625" style="2" customWidth="1"/>
    <col min="57" max="57" width="24.6640625" style="2" customWidth="1"/>
    <col min="58" max="58" width="16.6640625" style="2" customWidth="1"/>
    <col min="59" max="59" width="28.6640625" style="2" customWidth="1"/>
    <col min="60" max="60" width="25.6640625" style="2" customWidth="1"/>
    <col min="61" max="61" width="15.6640625" style="2" customWidth="1"/>
    <col min="62" max="62" width="27.6640625" style="2" customWidth="1"/>
    <col min="63" max="63" width="25.6640625" style="2" customWidth="1"/>
    <col min="64" max="64" width="16.6640625" style="2" customWidth="1"/>
    <col min="65" max="65" width="28.6640625" style="2" customWidth="1"/>
    <col min="66" max="66" width="26.6640625" style="2" customWidth="1"/>
    <col min="67" max="69" width="17.6640625" style="2" customWidth="1"/>
    <col min="70" max="70" width="26.6640625" style="2" customWidth="1"/>
    <col min="71" max="72" width="28.6640625" style="2" customWidth="1"/>
    <col min="73" max="73" width="26.6640625" style="2" customWidth="1"/>
    <col min="74" max="74" width="40.6640625" style="2" customWidth="1"/>
    <col min="75" max="75" width="35.6640625" style="2" customWidth="1"/>
    <col min="76" max="76" width="38.6640625" style="2" customWidth="1"/>
    <col min="77" max="77" width="42.6640625" style="2" customWidth="1"/>
    <col min="78" max="78" width="46.6640625" style="2" customWidth="1"/>
    <col min="79" max="79" width="44.6640625" style="2" customWidth="1"/>
    <col min="80" max="80" width="27.6640625" style="2" customWidth="1"/>
    <col min="81" max="81" width="39.6640625" style="2" customWidth="1"/>
    <col min="82" max="82" width="37.6640625" style="2" customWidth="1"/>
    <col min="83" max="83" width="27.6640625" style="2" customWidth="1"/>
    <col min="84" max="84" width="38.6640625" style="2" customWidth="1"/>
    <col min="85" max="85" width="12.6640625" style="2" customWidth="1"/>
    <col min="86" max="86" width="31.6640625" style="2" customWidth="1"/>
    <col min="87" max="87" width="29.6640625" style="2" customWidth="1"/>
    <col min="88" max="88" width="15.6640625" style="2" customWidth="1"/>
    <col min="89" max="90" width="17.6640625" style="2" customWidth="1"/>
    <col min="91" max="91" width="29.6640625" style="2" customWidth="1"/>
    <col min="92" max="92" width="25.6640625" style="2" customWidth="1"/>
    <col min="93" max="93" width="19.6640625" style="2" customWidth="1"/>
    <col min="94" max="94" width="15.6640625" style="2" customWidth="1"/>
    <col min="95" max="95" width="17.6640625" style="2" customWidth="1"/>
    <col min="96" max="96" width="8.6640625" style="2" customWidth="1"/>
    <col min="97" max="98" width="24.6640625" style="2" customWidth="1"/>
    <col min="99" max="99" width="25.6640625" style="2" customWidth="1"/>
    <col min="100" max="100" width="15.6640625" style="2" customWidth="1"/>
    <col min="101" max="101" width="14.6640625" style="2" customWidth="1"/>
    <col min="102" max="102" width="26.6640625" style="2" customWidth="1"/>
    <col min="103" max="103" width="13.6640625" style="2" customWidth="1"/>
    <col min="104" max="105" width="29.6640625" style="2" customWidth="1"/>
    <col min="106" max="106" width="30.6640625" style="2" customWidth="1"/>
    <col min="107" max="107" width="84.6640625" style="2" customWidth="1"/>
    <col min="108" max="108" width="14.6640625" style="2" customWidth="1"/>
    <col min="109" max="109" width="24.6640625" style="2" customWidth="1"/>
    <col min="110" max="111" width="40.6640625" style="2" customWidth="1"/>
    <col min="112" max="112" width="41.6640625" style="2" customWidth="1"/>
    <col min="113" max="113" width="14.6640625" style="2" customWidth="1"/>
    <col min="114" max="115" width="30.6640625" style="2" customWidth="1"/>
    <col min="116" max="116" width="31.6640625" style="2" customWidth="1"/>
    <col min="117" max="117" width="33.6640625" style="2" customWidth="1"/>
    <col min="118" max="118" width="22.6640625" style="2" customWidth="1"/>
    <col min="119" max="121" width="33.6640625" style="2" customWidth="1"/>
    <col min="122" max="122" width="40.6640625" style="2" customWidth="1"/>
    <col min="123" max="123" width="29.6640625" style="2" customWidth="1"/>
    <col min="124" max="125" width="45.6640625" style="2" customWidth="1"/>
    <col min="126" max="126" width="46.6640625" style="2" customWidth="1"/>
    <col min="127" max="127" width="10.6640625" style="2" customWidth="1"/>
    <col min="128" max="128" width="16.6640625" style="2" customWidth="1"/>
    <col min="129" max="130" width="32.6640625" style="2" customWidth="1"/>
    <col min="131" max="131" width="30.6640625" style="2" customWidth="1"/>
    <col min="132" max="132" width="18.6640625" style="2" customWidth="1"/>
    <col min="133" max="133" width="22.6640625" style="2" customWidth="1"/>
    <col min="134" max="134" width="13.6640625" style="2" customWidth="1"/>
    <col min="135" max="136" width="29.6640625" style="2" customWidth="1"/>
    <col min="137" max="137" width="30.6640625" style="2" customWidth="1"/>
    <col min="138" max="138" width="13.6640625" style="2" customWidth="1"/>
    <col min="139" max="140" width="29.6640625" style="2" customWidth="1"/>
    <col min="141" max="141" width="30.6640625" style="2" customWidth="1"/>
    <col min="142" max="142" width="14.6640625" style="2" customWidth="1"/>
    <col min="143" max="144" width="30.6640625" style="2" customWidth="1"/>
    <col min="145" max="145" width="31.6640625" style="2" customWidth="1"/>
    <col min="146" max="146" width="18.6640625" style="2" customWidth="1"/>
    <col min="147" max="147" width="29.6640625" style="2" customWidth="1"/>
    <col min="148" max="148" width="7.6640625" style="2" customWidth="1"/>
    <col min="149" max="150" width="20.6640625" style="2" customWidth="1"/>
    <col min="151" max="151" width="21.6640625" style="2" customWidth="1"/>
    <col min="152" max="152" width="25.6640625" style="2" customWidth="1"/>
    <col min="153" max="153" width="16.6640625" style="2" customWidth="1"/>
    <col min="154" max="157" width="25.6640625" style="2" customWidth="1"/>
    <col min="158" max="158" width="27.6640625" style="2" customWidth="1"/>
    <col min="159" max="159" width="16.6640625" style="2" customWidth="1"/>
    <col min="160" max="161" width="32.6640625" style="2" customWidth="1"/>
    <col min="162" max="162" width="22.6640625" style="2" customWidth="1"/>
    <col min="163" max="163" width="21.6640625" style="2" customWidth="1"/>
    <col min="164" max="164" width="11.6640625" style="2" customWidth="1"/>
    <col min="165" max="166" width="25.6640625" style="2" customWidth="1"/>
    <col min="167" max="167" width="21.6640625" style="2" customWidth="1"/>
    <col min="168" max="168" width="20.6640625" style="2" customWidth="1"/>
    <col min="169" max="169" width="22.6640625" style="2" customWidth="1"/>
    <col min="170" max="170" width="10.6640625" style="2" customWidth="1"/>
    <col min="171" max="172" width="17.6640625" style="2" customWidth="1"/>
    <col min="173" max="173" width="12.6640625" style="2" customWidth="1"/>
    <col min="174" max="174" width="17.6640625" style="2" customWidth="1"/>
    <col min="175" max="175" width="12.6640625" style="2" customWidth="1"/>
    <col min="176" max="181" width="10.83203125" style="2" customWidth="1"/>
    <col min="188" max="16384" width="8.83203125" style="2"/>
  </cols>
  <sheetData>
    <row r="1" spans="1:181" ht="16" x14ac:dyDescent="0.2">
      <c r="A1" s="17" t="s">
        <v>244</v>
      </c>
      <c r="B1"/>
      <c r="C1"/>
      <c r="D1"/>
      <c r="E1"/>
      <c r="F1"/>
      <c r="G1"/>
      <c r="H1"/>
      <c r="I1"/>
      <c r="J1"/>
      <c r="K1" s="18" t="s">
        <v>245</v>
      </c>
    </row>
    <row r="3" spans="1:181" ht="75" x14ac:dyDescent="0.15">
      <c r="A3" s="10" t="s">
        <v>0</v>
      </c>
      <c r="B3" s="11" t="s">
        <v>1</v>
      </c>
      <c r="C3" s="11" t="s">
        <v>2</v>
      </c>
      <c r="D3" s="12" t="s">
        <v>3</v>
      </c>
      <c r="E3" s="12" t="s">
        <v>239</v>
      </c>
      <c r="F3" s="13" t="s">
        <v>240</v>
      </c>
      <c r="G3" s="13" t="s">
        <v>241</v>
      </c>
      <c r="H3" s="14" t="s">
        <v>242</v>
      </c>
      <c r="I3" s="15" t="s">
        <v>243</v>
      </c>
      <c r="J3" s="16" t="s">
        <v>255</v>
      </c>
      <c r="K3" s="22" t="s">
        <v>26</v>
      </c>
      <c r="L3" s="22" t="s">
        <v>27</v>
      </c>
      <c r="M3" s="23" t="s">
        <v>256</v>
      </c>
      <c r="N3" s="22" t="s">
        <v>261</v>
      </c>
      <c r="O3" s="22" t="s">
        <v>28</v>
      </c>
      <c r="P3" s="22" t="s">
        <v>29</v>
      </c>
      <c r="Q3" s="22" t="s">
        <v>30</v>
      </c>
      <c r="R3" s="22" t="s">
        <v>31</v>
      </c>
      <c r="S3" s="22" t="s">
        <v>32</v>
      </c>
      <c r="T3" s="22" t="s">
        <v>33</v>
      </c>
      <c r="U3" s="22" t="s">
        <v>226</v>
      </c>
      <c r="V3" s="22" t="s">
        <v>248</v>
      </c>
      <c r="W3" s="22" t="s">
        <v>34</v>
      </c>
      <c r="X3" s="22" t="s">
        <v>35</v>
      </c>
      <c r="Y3" s="22" t="s">
        <v>36</v>
      </c>
      <c r="Z3" s="22" t="s">
        <v>37</v>
      </c>
      <c r="AA3" s="22" t="s">
        <v>38</v>
      </c>
      <c r="AB3" s="22" t="s">
        <v>39</v>
      </c>
      <c r="AC3" s="22" t="s">
        <v>21</v>
      </c>
      <c r="AD3" s="22" t="s">
        <v>22</v>
      </c>
      <c r="AE3" s="22" t="s">
        <v>40</v>
      </c>
      <c r="AF3" s="22" t="s">
        <v>41</v>
      </c>
      <c r="AG3" s="22" t="s">
        <v>42</v>
      </c>
      <c r="AH3" s="24" t="s">
        <v>257</v>
      </c>
      <c r="AI3" s="24" t="s">
        <v>258</v>
      </c>
      <c r="AJ3" s="25" t="s">
        <v>43</v>
      </c>
      <c r="AK3" s="24" t="s">
        <v>259</v>
      </c>
      <c r="AL3" s="24" t="s">
        <v>260</v>
      </c>
      <c r="AM3" s="8" t="s">
        <v>44</v>
      </c>
      <c r="AN3" s="8" t="s">
        <v>45</v>
      </c>
      <c r="AO3" s="8" t="s">
        <v>46</v>
      </c>
      <c r="AP3" s="8" t="s">
        <v>9</v>
      </c>
      <c r="AQ3" s="8" t="s">
        <v>47</v>
      </c>
      <c r="AR3" s="8" t="s">
        <v>48</v>
      </c>
      <c r="AS3" s="8" t="s">
        <v>49</v>
      </c>
      <c r="AT3" s="8" t="s">
        <v>50</v>
      </c>
      <c r="AU3" s="8" t="s">
        <v>51</v>
      </c>
      <c r="AV3" s="8" t="s">
        <v>52</v>
      </c>
      <c r="AW3" s="8" t="s">
        <v>53</v>
      </c>
      <c r="AX3" s="8" t="s">
        <v>54</v>
      </c>
      <c r="AY3" s="8" t="s">
        <v>55</v>
      </c>
      <c r="AZ3" s="8" t="s">
        <v>56</v>
      </c>
      <c r="BA3" s="8" t="s">
        <v>57</v>
      </c>
      <c r="BB3" s="8" t="s">
        <v>58</v>
      </c>
      <c r="BC3" s="8" t="s">
        <v>59</v>
      </c>
      <c r="BD3" s="8" t="s">
        <v>60</v>
      </c>
      <c r="BE3" s="8" t="s">
        <v>61</v>
      </c>
      <c r="BF3" s="8" t="s">
        <v>62</v>
      </c>
      <c r="BG3" s="8" t="s">
        <v>63</v>
      </c>
      <c r="BH3" s="8" t="s">
        <v>64</v>
      </c>
      <c r="BI3" s="8" t="s">
        <v>65</v>
      </c>
      <c r="BJ3" s="8" t="s">
        <v>66</v>
      </c>
      <c r="BK3" s="8" t="s">
        <v>67</v>
      </c>
      <c r="BL3" s="8" t="s">
        <v>68</v>
      </c>
      <c r="BM3" s="8" t="s">
        <v>69</v>
      </c>
      <c r="BN3" s="8" t="s">
        <v>70</v>
      </c>
      <c r="BO3" s="8" t="s">
        <v>71</v>
      </c>
      <c r="BP3" s="8" t="s">
        <v>246</v>
      </c>
      <c r="BQ3" s="8" t="s">
        <v>247</v>
      </c>
      <c r="BR3" s="8" t="s">
        <v>72</v>
      </c>
      <c r="BS3" s="8" t="s">
        <v>73</v>
      </c>
      <c r="BT3" s="8" t="s">
        <v>74</v>
      </c>
      <c r="BU3" s="8" t="s">
        <v>75</v>
      </c>
      <c r="BV3" s="8" t="s">
        <v>76</v>
      </c>
      <c r="BW3" s="8" t="s">
        <v>178</v>
      </c>
      <c r="BX3" s="8" t="s">
        <v>77</v>
      </c>
      <c r="BY3" s="8" t="s">
        <v>78</v>
      </c>
      <c r="BZ3" s="8" t="s">
        <v>79</v>
      </c>
      <c r="CA3" s="8" t="s">
        <v>80</v>
      </c>
      <c r="CB3" s="8" t="s">
        <v>81</v>
      </c>
      <c r="CC3" s="8" t="s">
        <v>82</v>
      </c>
      <c r="CD3" s="8" t="s">
        <v>83</v>
      </c>
      <c r="CE3" s="8" t="s">
        <v>84</v>
      </c>
      <c r="CF3" s="8" t="s">
        <v>85</v>
      </c>
      <c r="CG3" s="8" t="s">
        <v>86</v>
      </c>
      <c r="CH3" s="8" t="s">
        <v>87</v>
      </c>
      <c r="CI3" s="8" t="s">
        <v>88</v>
      </c>
      <c r="CJ3" s="8" t="s">
        <v>89</v>
      </c>
      <c r="CK3" s="8" t="s">
        <v>90</v>
      </c>
      <c r="CL3" s="8" t="s">
        <v>183</v>
      </c>
      <c r="CM3" s="8" t="s">
        <v>184</v>
      </c>
      <c r="CN3" s="8" t="s">
        <v>91</v>
      </c>
      <c r="CO3" s="8" t="s">
        <v>92</v>
      </c>
      <c r="CP3" s="8" t="s">
        <v>93</v>
      </c>
      <c r="CQ3" s="8" t="s">
        <v>94</v>
      </c>
      <c r="CR3" s="8" t="s">
        <v>95</v>
      </c>
      <c r="CS3" s="8" t="s">
        <v>96</v>
      </c>
      <c r="CT3" s="8" t="s">
        <v>97</v>
      </c>
      <c r="CU3" s="8" t="s">
        <v>98</v>
      </c>
      <c r="CV3" s="8" t="s">
        <v>99</v>
      </c>
      <c r="CW3" s="8" t="s">
        <v>100</v>
      </c>
      <c r="CX3" s="8" t="s">
        <v>101</v>
      </c>
      <c r="CY3" s="8" t="s">
        <v>102</v>
      </c>
      <c r="CZ3" s="8" t="s">
        <v>103</v>
      </c>
      <c r="DA3" s="8" t="s">
        <v>104</v>
      </c>
      <c r="DB3" s="8" t="s">
        <v>105</v>
      </c>
      <c r="DC3" s="8" t="s">
        <v>106</v>
      </c>
      <c r="DD3" s="8" t="s">
        <v>107</v>
      </c>
      <c r="DE3" s="8" t="s">
        <v>108</v>
      </c>
      <c r="DF3" s="8" t="s">
        <v>109</v>
      </c>
      <c r="DG3" s="8" t="s">
        <v>110</v>
      </c>
      <c r="DH3" s="8" t="s">
        <v>111</v>
      </c>
      <c r="DI3" s="8" t="s">
        <v>112</v>
      </c>
      <c r="DJ3" s="8" t="s">
        <v>113</v>
      </c>
      <c r="DK3" s="8" t="s">
        <v>114</v>
      </c>
      <c r="DL3" s="8" t="s">
        <v>115</v>
      </c>
      <c r="DM3" s="8" t="s">
        <v>116</v>
      </c>
      <c r="DN3" s="8" t="s">
        <v>14</v>
      </c>
      <c r="DO3" s="8" t="s">
        <v>117</v>
      </c>
      <c r="DP3" s="8" t="s">
        <v>118</v>
      </c>
      <c r="DQ3" s="8" t="s">
        <v>119</v>
      </c>
      <c r="DR3" s="8" t="s">
        <v>120</v>
      </c>
      <c r="DS3" s="8" t="s">
        <v>121</v>
      </c>
      <c r="DT3" s="8" t="s">
        <v>122</v>
      </c>
      <c r="DU3" s="8" t="s">
        <v>123</v>
      </c>
      <c r="DV3" s="8" t="s">
        <v>124</v>
      </c>
      <c r="DW3" s="8" t="s">
        <v>125</v>
      </c>
      <c r="DX3" s="8" t="s">
        <v>126</v>
      </c>
      <c r="DY3" s="8" t="s">
        <v>127</v>
      </c>
      <c r="DZ3" s="8" t="s">
        <v>128</v>
      </c>
      <c r="EA3" s="8" t="s">
        <v>129</v>
      </c>
      <c r="EB3" s="8" t="s">
        <v>130</v>
      </c>
      <c r="EC3" s="8" t="s">
        <v>131</v>
      </c>
      <c r="ED3" s="8" t="s">
        <v>132</v>
      </c>
      <c r="EE3" s="8" t="s">
        <v>133</v>
      </c>
      <c r="EF3" s="8" t="s">
        <v>134</v>
      </c>
      <c r="EG3" s="8" t="s">
        <v>135</v>
      </c>
      <c r="EH3" s="8" t="s">
        <v>136</v>
      </c>
      <c r="EI3" s="8" t="s">
        <v>137</v>
      </c>
      <c r="EJ3" s="8" t="s">
        <v>138</v>
      </c>
      <c r="EK3" s="8" t="s">
        <v>139</v>
      </c>
      <c r="EL3" s="8" t="s">
        <v>140</v>
      </c>
      <c r="EM3" s="8" t="s">
        <v>141</v>
      </c>
      <c r="EN3" s="8" t="s">
        <v>142</v>
      </c>
      <c r="EO3" s="8" t="s">
        <v>143</v>
      </c>
      <c r="EP3" s="8" t="s">
        <v>144</v>
      </c>
      <c r="EQ3" s="8" t="s">
        <v>145</v>
      </c>
      <c r="ER3" s="8" t="s">
        <v>16</v>
      </c>
      <c r="ES3" s="8" t="s">
        <v>146</v>
      </c>
      <c r="ET3" s="8" t="s">
        <v>147</v>
      </c>
      <c r="EU3" s="8" t="s">
        <v>148</v>
      </c>
      <c r="EV3" s="8" t="s">
        <v>149</v>
      </c>
      <c r="EW3" s="8" t="s">
        <v>150</v>
      </c>
      <c r="EX3" s="8" t="s">
        <v>250</v>
      </c>
      <c r="EY3" s="8" t="s">
        <v>251</v>
      </c>
      <c r="EZ3" s="8" t="s">
        <v>252</v>
      </c>
      <c r="FA3" s="8" t="s">
        <v>253</v>
      </c>
      <c r="FB3" s="8" t="s">
        <v>151</v>
      </c>
      <c r="FC3" s="8" t="s">
        <v>152</v>
      </c>
      <c r="FD3" s="8" t="s">
        <v>153</v>
      </c>
      <c r="FE3" s="8" t="s">
        <v>154</v>
      </c>
      <c r="FF3" s="8" t="s">
        <v>155</v>
      </c>
      <c r="FG3" s="8" t="s">
        <v>156</v>
      </c>
      <c r="FH3" s="8" t="s">
        <v>23</v>
      </c>
      <c r="FI3" s="8" t="s">
        <v>24</v>
      </c>
      <c r="FJ3" s="8" t="s">
        <v>25</v>
      </c>
      <c r="FK3" s="8" t="s">
        <v>157</v>
      </c>
      <c r="FL3" s="8" t="s">
        <v>158</v>
      </c>
      <c r="FM3" s="8" t="s">
        <v>159</v>
      </c>
      <c r="FN3" s="8" t="s">
        <v>20</v>
      </c>
      <c r="FO3" s="8" t="s">
        <v>160</v>
      </c>
      <c r="FP3" s="8" t="s">
        <v>161</v>
      </c>
      <c r="FQ3" s="8" t="s">
        <v>162</v>
      </c>
      <c r="FR3" s="8" t="s">
        <v>163</v>
      </c>
      <c r="FS3" s="8" t="s">
        <v>164</v>
      </c>
      <c r="FT3" s="1" t="s">
        <v>179</v>
      </c>
      <c r="FU3" s="1" t="s">
        <v>180</v>
      </c>
      <c r="FV3" s="8" t="s">
        <v>269</v>
      </c>
      <c r="FW3" s="1" t="s">
        <v>186</v>
      </c>
      <c r="FX3" s="1" t="s">
        <v>187</v>
      </c>
      <c r="FY3" s="1" t="s">
        <v>203</v>
      </c>
    </row>
    <row r="4" spans="1:181" ht="14" x14ac:dyDescent="0.2">
      <c r="A4" s="2" t="s">
        <v>254</v>
      </c>
      <c r="B4" s="2" t="s">
        <v>189</v>
      </c>
      <c r="C4" s="2">
        <v>2016</v>
      </c>
      <c r="D4" s="3" t="str">
        <f>N4</f>
        <v>10.1038/ncomms10284</v>
      </c>
      <c r="E4" s="2">
        <f>AB4</f>
        <v>4008.8701171874995</v>
      </c>
      <c r="F4" s="2" t="str">
        <f>AC4</f>
        <v>NA</v>
      </c>
      <c r="G4" s="2" t="str">
        <f>AD4</f>
        <v>NA</v>
      </c>
      <c r="H4" s="2">
        <f>FH4</f>
        <v>300.81723499113554</v>
      </c>
      <c r="I4" s="2">
        <f>FI4</f>
        <v>50.176059048792098</v>
      </c>
      <c r="J4" s="2">
        <f>FJ4</f>
        <v>50.176059048792098</v>
      </c>
      <c r="K4" s="3" t="s">
        <v>212</v>
      </c>
      <c r="L4" s="2" t="s">
        <v>181</v>
      </c>
      <c r="M4" s="3" t="s">
        <v>204</v>
      </c>
      <c r="N4" s="3" t="s">
        <v>190</v>
      </c>
      <c r="O4" s="4">
        <v>999</v>
      </c>
      <c r="P4" s="4" t="s">
        <v>177</v>
      </c>
      <c r="Q4" s="4">
        <v>14</v>
      </c>
      <c r="R4" s="4" t="s">
        <v>191</v>
      </c>
      <c r="S4" s="4" t="s">
        <v>192</v>
      </c>
      <c r="T4" s="4">
        <v>3</v>
      </c>
      <c r="U4" s="4">
        <v>120</v>
      </c>
      <c r="V4" s="4">
        <v>122</v>
      </c>
      <c r="W4" s="2" t="s">
        <v>182</v>
      </c>
      <c r="X4" s="2" t="s">
        <v>182</v>
      </c>
      <c r="Y4" s="2" t="s">
        <v>182</v>
      </c>
      <c r="Z4" s="4">
        <v>125.85499999999999</v>
      </c>
      <c r="AA4" s="2" t="s">
        <v>193</v>
      </c>
      <c r="AB4" s="2">
        <v>4008.8701171874995</v>
      </c>
      <c r="AC4" s="2" t="s">
        <v>182</v>
      </c>
      <c r="AD4" s="2" t="s">
        <v>182</v>
      </c>
      <c r="AE4" s="2" t="s">
        <v>182</v>
      </c>
      <c r="AF4" s="2" t="s">
        <v>213</v>
      </c>
      <c r="AG4" s="2" t="s">
        <v>205</v>
      </c>
      <c r="AH4" s="2">
        <v>12.743983333333333</v>
      </c>
      <c r="AI4" s="2">
        <v>-78.739333333333335</v>
      </c>
      <c r="AJ4" s="2">
        <v>-2827.9</v>
      </c>
      <c r="AK4" s="2" t="s">
        <v>182</v>
      </c>
      <c r="AL4" s="2" t="s">
        <v>182</v>
      </c>
      <c r="AM4" s="2" t="s">
        <v>182</v>
      </c>
      <c r="AN4" s="2" t="s">
        <v>182</v>
      </c>
      <c r="AO4" s="2" t="s">
        <v>182</v>
      </c>
      <c r="AP4" s="2" t="s">
        <v>182</v>
      </c>
      <c r="AQ4" s="2" t="s">
        <v>182</v>
      </c>
      <c r="AR4" s="2" t="s">
        <v>182</v>
      </c>
      <c r="AS4" s="2" t="s">
        <v>182</v>
      </c>
      <c r="AT4" s="2" t="s">
        <v>182</v>
      </c>
      <c r="AU4" s="2" t="s">
        <v>182</v>
      </c>
      <c r="AV4" s="2" t="s">
        <v>182</v>
      </c>
      <c r="AW4" s="2" t="s">
        <v>182</v>
      </c>
      <c r="AX4" s="5">
        <v>2.0022683143615723</v>
      </c>
      <c r="AY4" s="2">
        <v>0.05</v>
      </c>
      <c r="AZ4" s="2" t="s">
        <v>194</v>
      </c>
      <c r="BA4" s="2" t="s">
        <v>182</v>
      </c>
      <c r="BB4" s="2" t="s">
        <v>182</v>
      </c>
      <c r="BC4" s="2" t="s">
        <v>182</v>
      </c>
      <c r="BD4" s="2" t="s">
        <v>182</v>
      </c>
      <c r="BE4" s="2" t="s">
        <v>182</v>
      </c>
      <c r="BF4" s="3" t="s">
        <v>195</v>
      </c>
      <c r="BG4" s="3" t="s">
        <v>196</v>
      </c>
      <c r="BH4" s="2">
        <v>0.12</v>
      </c>
      <c r="BI4" s="2" t="s">
        <v>182</v>
      </c>
      <c r="BJ4" s="2" t="s">
        <v>182</v>
      </c>
      <c r="BK4" s="2" t="s">
        <v>182</v>
      </c>
      <c r="BL4" s="2" t="s">
        <v>182</v>
      </c>
      <c r="BM4" s="2" t="s">
        <v>182</v>
      </c>
      <c r="BN4" s="2" t="s">
        <v>182</v>
      </c>
      <c r="BO4" s="2" t="s">
        <v>182</v>
      </c>
      <c r="BP4" s="2" t="s">
        <v>182</v>
      </c>
      <c r="BQ4" s="2" t="s">
        <v>182</v>
      </c>
      <c r="BR4" t="s">
        <v>206</v>
      </c>
      <c r="BS4" s="2" t="s">
        <v>214</v>
      </c>
      <c r="BT4" s="6">
        <v>-24.285</v>
      </c>
      <c r="BU4" s="3" t="s">
        <v>176</v>
      </c>
      <c r="BV4" s="2">
        <v>0.7</v>
      </c>
      <c r="BW4" s="2" t="s">
        <v>182</v>
      </c>
      <c r="BX4" s="2" t="s">
        <v>182</v>
      </c>
      <c r="BY4" s="2">
        <v>4.2</v>
      </c>
      <c r="BZ4" s="2" t="s">
        <v>182</v>
      </c>
      <c r="CA4" s="2" t="s">
        <v>182</v>
      </c>
      <c r="CB4" s="2" t="s">
        <v>182</v>
      </c>
      <c r="CC4" s="2" t="s">
        <v>182</v>
      </c>
      <c r="CD4" s="2" t="s">
        <v>182</v>
      </c>
      <c r="CE4" s="3" t="s">
        <v>197</v>
      </c>
      <c r="CF4" s="2" t="s">
        <v>198</v>
      </c>
      <c r="CG4" s="2" t="s">
        <v>182</v>
      </c>
      <c r="CH4" s="2" t="s">
        <v>182</v>
      </c>
      <c r="CI4" s="2" t="s">
        <v>182</v>
      </c>
      <c r="CJ4" s="3" t="s">
        <v>182</v>
      </c>
      <c r="CK4" s="2" t="s">
        <v>182</v>
      </c>
      <c r="CL4" s="2" t="s">
        <v>182</v>
      </c>
      <c r="CM4" s="2" t="s">
        <v>182</v>
      </c>
      <c r="CN4" s="2" t="s">
        <v>182</v>
      </c>
      <c r="CO4" s="2" t="s">
        <v>182</v>
      </c>
      <c r="CP4" s="2" t="s">
        <v>182</v>
      </c>
      <c r="CQ4" s="2" t="s">
        <v>182</v>
      </c>
      <c r="CR4" s="2">
        <v>29.8</v>
      </c>
      <c r="CS4" s="2" t="s">
        <v>182</v>
      </c>
      <c r="CT4" s="2" t="s">
        <v>182</v>
      </c>
      <c r="CU4" s="2" t="s">
        <v>182</v>
      </c>
      <c r="CV4" s="2" t="s">
        <v>219</v>
      </c>
      <c r="CW4" s="2" t="s">
        <v>182</v>
      </c>
      <c r="CX4" s="2" t="s">
        <v>182</v>
      </c>
      <c r="CY4" s="2" t="s">
        <v>182</v>
      </c>
      <c r="CZ4" s="2" t="s">
        <v>182</v>
      </c>
      <c r="DA4" s="2" t="s">
        <v>182</v>
      </c>
      <c r="DB4" s="2" t="s">
        <v>182</v>
      </c>
      <c r="DC4" s="2" t="s">
        <v>182</v>
      </c>
      <c r="DD4" s="2" t="s">
        <v>182</v>
      </c>
      <c r="DE4" s="2" t="s">
        <v>182</v>
      </c>
      <c r="DF4" s="2" t="s">
        <v>182</v>
      </c>
      <c r="DG4" s="2" t="s">
        <v>182</v>
      </c>
      <c r="DH4" s="2" t="s">
        <v>182</v>
      </c>
      <c r="DI4" s="2" t="s">
        <v>182</v>
      </c>
      <c r="DJ4" s="2" t="s">
        <v>182</v>
      </c>
      <c r="DK4" s="2" t="s">
        <v>182</v>
      </c>
      <c r="DL4" s="2" t="s">
        <v>182</v>
      </c>
      <c r="DM4" s="2" t="s">
        <v>182</v>
      </c>
      <c r="DN4" s="6">
        <v>657.24383572236343</v>
      </c>
      <c r="DO4" s="2" t="s">
        <v>182</v>
      </c>
      <c r="DP4" s="2" t="s">
        <v>182</v>
      </c>
      <c r="DQ4" s="6">
        <v>657.24383572236343</v>
      </c>
      <c r="DR4" s="2" t="s">
        <v>182</v>
      </c>
      <c r="DS4" s="2" t="s">
        <v>182</v>
      </c>
      <c r="DT4" s="2" t="s">
        <v>182</v>
      </c>
      <c r="DU4" s="2" t="s">
        <v>182</v>
      </c>
      <c r="DV4" s="2" t="s">
        <v>182</v>
      </c>
      <c r="DW4" s="2" t="s">
        <v>211</v>
      </c>
      <c r="DX4" s="9">
        <v>3.5249999999999999</v>
      </c>
      <c r="DY4" s="2" t="s">
        <v>182</v>
      </c>
      <c r="DZ4" s="2" t="s">
        <v>182</v>
      </c>
      <c r="EA4" s="2" t="s">
        <v>182</v>
      </c>
      <c r="EB4" s="2" t="s">
        <v>182</v>
      </c>
      <c r="EC4" s="2" t="s">
        <v>182</v>
      </c>
      <c r="ED4" s="2">
        <v>91.260285480795062</v>
      </c>
      <c r="EE4" s="2" t="s">
        <v>182</v>
      </c>
      <c r="EF4" s="2" t="s">
        <v>182</v>
      </c>
      <c r="EG4" s="2" t="s">
        <v>182</v>
      </c>
      <c r="EH4" s="2" t="s">
        <v>182</v>
      </c>
      <c r="EI4" s="2" t="s">
        <v>182</v>
      </c>
      <c r="EJ4" s="2" t="s">
        <v>182</v>
      </c>
      <c r="EK4" s="2" t="s">
        <v>182</v>
      </c>
      <c r="EL4" s="2" t="s">
        <v>182</v>
      </c>
      <c r="EM4" s="2" t="s">
        <v>182</v>
      </c>
      <c r="EN4" s="2" t="s">
        <v>182</v>
      </c>
      <c r="EO4" s="2" t="s">
        <v>182</v>
      </c>
      <c r="EP4" s="2" t="s">
        <v>182</v>
      </c>
      <c r="EQ4" s="2" t="s">
        <v>210</v>
      </c>
      <c r="ER4" s="2" t="s">
        <v>182</v>
      </c>
      <c r="ES4" s="2" t="s">
        <v>182</v>
      </c>
      <c r="ET4" s="2" t="s">
        <v>182</v>
      </c>
      <c r="EU4" s="2" t="s">
        <v>182</v>
      </c>
      <c r="EV4" s="3" t="s">
        <v>220</v>
      </c>
      <c r="EW4" s="2">
        <v>25</v>
      </c>
      <c r="EX4" s="2">
        <v>12.63700225330866</v>
      </c>
      <c r="EY4" s="2" t="s">
        <v>182</v>
      </c>
      <c r="EZ4" s="2" t="s">
        <v>182</v>
      </c>
      <c r="FA4" s="2" t="s">
        <v>182</v>
      </c>
      <c r="FB4" s="2" t="s">
        <v>209</v>
      </c>
      <c r="FC4" s="2">
        <v>7.5577241810742812</v>
      </c>
      <c r="FD4" s="2">
        <v>1.2544667487611001</v>
      </c>
      <c r="FE4" s="2">
        <v>1.2544667487610992</v>
      </c>
      <c r="FF4" s="2" t="s">
        <v>185</v>
      </c>
      <c r="FG4" s="2" t="s">
        <v>207</v>
      </c>
      <c r="FH4" s="2">
        <v>300.81723499113554</v>
      </c>
      <c r="FI4" s="2">
        <v>50.176059048792098</v>
      </c>
      <c r="FJ4" s="2">
        <v>50.176059048792098</v>
      </c>
      <c r="FK4" s="2" t="s">
        <v>185</v>
      </c>
      <c r="FL4" s="2" t="s">
        <v>208</v>
      </c>
      <c r="FM4" s="2" t="s">
        <v>221</v>
      </c>
      <c r="FN4" s="2" t="s">
        <v>182</v>
      </c>
      <c r="FO4" s="2" t="s">
        <v>182</v>
      </c>
      <c r="FP4" s="2" t="s">
        <v>182</v>
      </c>
      <c r="FQ4" s="2" t="s">
        <v>182</v>
      </c>
      <c r="FR4" s="2" t="s">
        <v>182</v>
      </c>
      <c r="FS4" s="2" t="s">
        <v>182</v>
      </c>
      <c r="FT4" s="2" t="s">
        <v>188</v>
      </c>
      <c r="FU4" s="2" t="s">
        <v>182</v>
      </c>
      <c r="FV4" s="26" t="s">
        <v>270</v>
      </c>
      <c r="FW4" s="2" t="s">
        <v>182</v>
      </c>
      <c r="FX4" s="2" t="s">
        <v>182</v>
      </c>
      <c r="FY4" s="2" t="s">
        <v>222</v>
      </c>
    </row>
    <row r="5" spans="1:181" ht="14" x14ac:dyDescent="0.2">
      <c r="A5" s="2" t="s">
        <v>254</v>
      </c>
      <c r="B5" s="2" t="s">
        <v>189</v>
      </c>
      <c r="C5" s="2">
        <v>2016</v>
      </c>
      <c r="D5" s="3" t="str">
        <f t="shared" ref="D5:D16" si="0">N5</f>
        <v>10.1038/ncomms10284</v>
      </c>
      <c r="E5" s="2">
        <f t="shared" ref="E5:E16" si="1">AB5</f>
        <v>5002.5537109375</v>
      </c>
      <c r="F5" s="2" t="str">
        <f t="shared" ref="F5:F16" si="2">AC5</f>
        <v>NA</v>
      </c>
      <c r="G5" s="2" t="str">
        <f t="shared" ref="G5:G16" si="3">AD5</f>
        <v>NA</v>
      </c>
      <c r="H5" s="2">
        <f t="shared" ref="H5:H16" si="4">FH5</f>
        <v>297.85480672620895</v>
      </c>
      <c r="I5" s="2">
        <f t="shared" ref="I5:I16" si="5">FI5</f>
        <v>32.237639417918047</v>
      </c>
      <c r="J5" s="2">
        <f t="shared" ref="J5:J16" si="6">FJ5</f>
        <v>32.237639417918047</v>
      </c>
      <c r="K5" s="3" t="s">
        <v>212</v>
      </c>
      <c r="L5" s="2" t="s">
        <v>181</v>
      </c>
      <c r="M5" s="3" t="s">
        <v>204</v>
      </c>
      <c r="N5" s="3" t="s">
        <v>190</v>
      </c>
      <c r="O5" s="4">
        <v>999</v>
      </c>
      <c r="P5" s="4" t="s">
        <v>177</v>
      </c>
      <c r="Q5" s="4">
        <v>17</v>
      </c>
      <c r="R5" s="4" t="s">
        <v>191</v>
      </c>
      <c r="S5" s="4" t="s">
        <v>192</v>
      </c>
      <c r="T5" s="4">
        <v>2</v>
      </c>
      <c r="U5" s="4">
        <v>140</v>
      </c>
      <c r="V5" s="4">
        <v>142</v>
      </c>
      <c r="W5" s="2" t="s">
        <v>182</v>
      </c>
      <c r="X5" s="2" t="s">
        <v>182</v>
      </c>
      <c r="Y5" s="2" t="s">
        <v>182</v>
      </c>
      <c r="Z5" s="4">
        <v>153.05500000000001</v>
      </c>
      <c r="AA5" s="2" t="s">
        <v>193</v>
      </c>
      <c r="AB5" s="2">
        <v>5002.5537109375</v>
      </c>
      <c r="AC5" s="2" t="s">
        <v>182</v>
      </c>
      <c r="AD5" s="2" t="s">
        <v>182</v>
      </c>
      <c r="AE5" s="2" t="s">
        <v>182</v>
      </c>
      <c r="AF5" s="2" t="s">
        <v>213</v>
      </c>
      <c r="AG5" s="2" t="s">
        <v>205</v>
      </c>
      <c r="AH5" s="2">
        <v>12.743983333333333</v>
      </c>
      <c r="AI5" s="2">
        <v>-78.739333333333335</v>
      </c>
      <c r="AJ5" s="2">
        <v>-2827.9</v>
      </c>
      <c r="AK5" s="2" t="s">
        <v>182</v>
      </c>
      <c r="AL5" s="2" t="s">
        <v>182</v>
      </c>
      <c r="AM5" s="2" t="s">
        <v>182</v>
      </c>
      <c r="AN5" s="2" t="s">
        <v>182</v>
      </c>
      <c r="AO5" s="2" t="s">
        <v>182</v>
      </c>
      <c r="AP5" s="2" t="s">
        <v>182</v>
      </c>
      <c r="AQ5" s="2" t="s">
        <v>182</v>
      </c>
      <c r="AR5" s="2" t="s">
        <v>182</v>
      </c>
      <c r="AS5" s="2" t="s">
        <v>182</v>
      </c>
      <c r="AT5" s="2" t="s">
        <v>182</v>
      </c>
      <c r="AU5" s="2" t="s">
        <v>182</v>
      </c>
      <c r="AV5" s="2" t="s">
        <v>182</v>
      </c>
      <c r="AW5" s="2" t="s">
        <v>182</v>
      </c>
      <c r="AX5" s="5">
        <v>2.0054652690887451</v>
      </c>
      <c r="AY5" s="2">
        <v>0.05</v>
      </c>
      <c r="AZ5" s="2" t="s">
        <v>194</v>
      </c>
      <c r="BA5" s="2" t="s">
        <v>182</v>
      </c>
      <c r="BB5" s="2" t="s">
        <v>182</v>
      </c>
      <c r="BC5" s="2" t="s">
        <v>182</v>
      </c>
      <c r="BD5" s="2" t="s">
        <v>182</v>
      </c>
      <c r="BE5" s="2" t="s">
        <v>182</v>
      </c>
      <c r="BF5" s="3" t="s">
        <v>195</v>
      </c>
      <c r="BG5" s="3" t="s">
        <v>196</v>
      </c>
      <c r="BH5" s="2">
        <v>0.12</v>
      </c>
      <c r="BI5" s="2" t="s">
        <v>182</v>
      </c>
      <c r="BJ5" s="2" t="s">
        <v>182</v>
      </c>
      <c r="BK5" s="2" t="s">
        <v>182</v>
      </c>
      <c r="BL5" s="2" t="s">
        <v>182</v>
      </c>
      <c r="BM5" s="2" t="s">
        <v>182</v>
      </c>
      <c r="BN5" s="2" t="s">
        <v>182</v>
      </c>
      <c r="BO5" s="2" t="s">
        <v>182</v>
      </c>
      <c r="BP5" s="2" t="s">
        <v>182</v>
      </c>
      <c r="BQ5" s="2" t="s">
        <v>182</v>
      </c>
      <c r="BR5" t="s">
        <v>206</v>
      </c>
      <c r="BS5" s="2" t="s">
        <v>214</v>
      </c>
      <c r="BT5" s="6">
        <v>-24.031500000000001</v>
      </c>
      <c r="BU5" s="3" t="s">
        <v>176</v>
      </c>
      <c r="BV5" s="2">
        <v>0.7</v>
      </c>
      <c r="BW5" s="2" t="s">
        <v>182</v>
      </c>
      <c r="BX5" s="2" t="s">
        <v>182</v>
      </c>
      <c r="BY5" s="2">
        <v>4.2</v>
      </c>
      <c r="BZ5" s="2" t="s">
        <v>182</v>
      </c>
      <c r="CA5" s="2" t="s">
        <v>182</v>
      </c>
      <c r="CB5" s="2" t="s">
        <v>182</v>
      </c>
      <c r="CC5" s="2" t="s">
        <v>182</v>
      </c>
      <c r="CD5" s="2" t="s">
        <v>182</v>
      </c>
      <c r="CE5" s="3" t="s">
        <v>197</v>
      </c>
      <c r="CF5" s="2" t="s">
        <v>198</v>
      </c>
      <c r="CG5" s="2" t="s">
        <v>182</v>
      </c>
      <c r="CH5" s="2" t="s">
        <v>182</v>
      </c>
      <c r="CI5" s="2" t="s">
        <v>182</v>
      </c>
      <c r="CJ5" s="3" t="s">
        <v>182</v>
      </c>
      <c r="CK5" s="2" t="s">
        <v>182</v>
      </c>
      <c r="CL5" s="2" t="s">
        <v>182</v>
      </c>
      <c r="CM5" s="2" t="s">
        <v>182</v>
      </c>
      <c r="CN5" s="2" t="s">
        <v>182</v>
      </c>
      <c r="CO5" s="2" t="s">
        <v>182</v>
      </c>
      <c r="CP5" s="2" t="s">
        <v>182</v>
      </c>
      <c r="CQ5" s="2" t="s">
        <v>182</v>
      </c>
      <c r="CR5" s="2">
        <v>29.4</v>
      </c>
      <c r="CS5" s="2" t="s">
        <v>182</v>
      </c>
      <c r="CT5" s="2" t="s">
        <v>182</v>
      </c>
      <c r="CU5" s="2" t="s">
        <v>182</v>
      </c>
      <c r="CV5" s="2" t="s">
        <v>219</v>
      </c>
      <c r="CW5" s="2" t="s">
        <v>182</v>
      </c>
      <c r="CX5" s="2" t="s">
        <v>182</v>
      </c>
      <c r="CY5" s="2" t="s">
        <v>182</v>
      </c>
      <c r="CZ5" s="2" t="s">
        <v>182</v>
      </c>
      <c r="DA5" s="2" t="s">
        <v>182</v>
      </c>
      <c r="DB5" s="2" t="s">
        <v>182</v>
      </c>
      <c r="DC5" s="2" t="s">
        <v>182</v>
      </c>
      <c r="DD5" s="2" t="s">
        <v>182</v>
      </c>
      <c r="DE5" s="2" t="s">
        <v>182</v>
      </c>
      <c r="DF5" s="2" t="s">
        <v>182</v>
      </c>
      <c r="DG5" s="2" t="s">
        <v>182</v>
      </c>
      <c r="DH5" s="2" t="s">
        <v>182</v>
      </c>
      <c r="DI5" s="2" t="s">
        <v>182</v>
      </c>
      <c r="DJ5" s="2" t="s">
        <v>182</v>
      </c>
      <c r="DK5" s="2" t="s">
        <v>182</v>
      </c>
      <c r="DL5" s="2" t="s">
        <v>182</v>
      </c>
      <c r="DM5" s="2" t="s">
        <v>182</v>
      </c>
      <c r="DN5" s="6">
        <v>1092.79557391974</v>
      </c>
      <c r="DO5" s="2" t="s">
        <v>182</v>
      </c>
      <c r="DP5" s="2" t="s">
        <v>182</v>
      </c>
      <c r="DQ5" s="6">
        <v>1092.79557391974</v>
      </c>
      <c r="DR5" s="2" t="s">
        <v>182</v>
      </c>
      <c r="DS5" s="2" t="s">
        <v>182</v>
      </c>
      <c r="DT5" s="2" t="s">
        <v>182</v>
      </c>
      <c r="DU5" s="2" t="s">
        <v>182</v>
      </c>
      <c r="DV5" s="2" t="s">
        <v>182</v>
      </c>
      <c r="DW5" s="2" t="s">
        <v>211</v>
      </c>
      <c r="DX5" s="9">
        <v>4.625</v>
      </c>
      <c r="DY5" s="2" t="s">
        <v>182</v>
      </c>
      <c r="DZ5" s="2" t="s">
        <v>182</v>
      </c>
      <c r="EA5" s="2" t="s">
        <v>182</v>
      </c>
      <c r="EB5" s="2" t="s">
        <v>182</v>
      </c>
      <c r="EC5" s="2" t="s">
        <v>182</v>
      </c>
      <c r="ED5" s="2">
        <v>85.856056865375166</v>
      </c>
      <c r="EE5" s="2" t="s">
        <v>182</v>
      </c>
      <c r="EF5" s="2" t="s">
        <v>182</v>
      </c>
      <c r="EG5" s="2" t="s">
        <v>182</v>
      </c>
      <c r="EH5" s="2" t="s">
        <v>182</v>
      </c>
      <c r="EI5" s="2" t="s">
        <v>182</v>
      </c>
      <c r="EJ5" s="2" t="s">
        <v>182</v>
      </c>
      <c r="EK5" s="2" t="s">
        <v>182</v>
      </c>
      <c r="EL5" s="2" t="s">
        <v>182</v>
      </c>
      <c r="EM5" s="2" t="s">
        <v>182</v>
      </c>
      <c r="EN5" s="2" t="s">
        <v>182</v>
      </c>
      <c r="EO5" s="2" t="s">
        <v>182</v>
      </c>
      <c r="EP5" s="2" t="s">
        <v>182</v>
      </c>
      <c r="EQ5" s="2" t="s">
        <v>210</v>
      </c>
      <c r="ER5" s="2" t="s">
        <v>182</v>
      </c>
      <c r="ES5" s="2" t="s">
        <v>182</v>
      </c>
      <c r="ET5" s="2" t="s">
        <v>182</v>
      </c>
      <c r="EU5" s="2" t="s">
        <v>182</v>
      </c>
      <c r="EV5" s="3" t="s">
        <v>220</v>
      </c>
      <c r="EW5" s="2">
        <v>25</v>
      </c>
      <c r="EX5" s="2">
        <v>12.494673280900814</v>
      </c>
      <c r="EY5" s="2" t="s">
        <v>182</v>
      </c>
      <c r="EZ5" s="2" t="s">
        <v>182</v>
      </c>
      <c r="FA5" s="2" t="s">
        <v>182</v>
      </c>
      <c r="FB5" s="2" t="s">
        <v>209</v>
      </c>
      <c r="FC5" s="2">
        <v>6.9100626560166916</v>
      </c>
      <c r="FD5" s="2">
        <v>0.64701027166276592</v>
      </c>
      <c r="FE5" s="2">
        <v>0.64701027166276504</v>
      </c>
      <c r="FF5" s="2" t="s">
        <v>185</v>
      </c>
      <c r="FG5" s="2" t="s">
        <v>207</v>
      </c>
      <c r="FH5" s="2">
        <v>297.85480672620895</v>
      </c>
      <c r="FI5" s="2">
        <v>32.237639417918047</v>
      </c>
      <c r="FJ5" s="2">
        <v>32.237639417918047</v>
      </c>
      <c r="FK5" s="2" t="s">
        <v>185</v>
      </c>
      <c r="FL5" s="2" t="s">
        <v>208</v>
      </c>
      <c r="FM5" s="2" t="s">
        <v>221</v>
      </c>
      <c r="FN5" s="2" t="s">
        <v>182</v>
      </c>
      <c r="FO5" s="2" t="s">
        <v>182</v>
      </c>
      <c r="FP5" s="2" t="s">
        <v>182</v>
      </c>
      <c r="FQ5" s="2" t="s">
        <v>182</v>
      </c>
      <c r="FR5" s="2" t="s">
        <v>182</v>
      </c>
      <c r="FS5" s="2" t="s">
        <v>182</v>
      </c>
      <c r="FT5" s="2" t="s">
        <v>188</v>
      </c>
      <c r="FU5" s="2" t="s">
        <v>182</v>
      </c>
      <c r="FV5" s="26" t="s">
        <v>271</v>
      </c>
      <c r="FW5" s="2" t="s">
        <v>182</v>
      </c>
      <c r="FX5" s="2" t="s">
        <v>182</v>
      </c>
      <c r="FY5" s="2" t="s">
        <v>222</v>
      </c>
    </row>
    <row r="6" spans="1:181" ht="14" x14ac:dyDescent="0.2">
      <c r="A6" s="2" t="s">
        <v>254</v>
      </c>
      <c r="B6" s="2" t="s">
        <v>189</v>
      </c>
      <c r="C6" s="2">
        <v>2016</v>
      </c>
      <c r="D6" s="3" t="str">
        <f t="shared" si="0"/>
        <v>10.1038/ncomms10284</v>
      </c>
      <c r="E6" s="2">
        <f t="shared" si="1"/>
        <v>6003.481388092041</v>
      </c>
      <c r="F6" s="2" t="str">
        <f t="shared" si="2"/>
        <v>NA</v>
      </c>
      <c r="G6" s="2" t="str">
        <f t="shared" si="3"/>
        <v>NA</v>
      </c>
      <c r="H6" s="2">
        <f t="shared" si="4"/>
        <v>299.80415423431293</v>
      </c>
      <c r="I6" s="2">
        <f t="shared" si="5"/>
        <v>32.364301550697917</v>
      </c>
      <c r="J6" s="2">
        <f t="shared" si="6"/>
        <v>32.364301550697917</v>
      </c>
      <c r="K6" s="3" t="s">
        <v>212</v>
      </c>
      <c r="L6" s="2" t="s">
        <v>181</v>
      </c>
      <c r="M6" s="3" t="s">
        <v>204</v>
      </c>
      <c r="N6" s="3" t="s">
        <v>190</v>
      </c>
      <c r="O6" s="4">
        <v>999</v>
      </c>
      <c r="P6" s="4" t="s">
        <v>177</v>
      </c>
      <c r="Q6" s="4">
        <v>20</v>
      </c>
      <c r="R6" s="4" t="s">
        <v>191</v>
      </c>
      <c r="S6" s="4" t="s">
        <v>192</v>
      </c>
      <c r="T6" s="4">
        <v>2</v>
      </c>
      <c r="U6" s="4">
        <v>80</v>
      </c>
      <c r="V6" s="4">
        <v>82</v>
      </c>
      <c r="W6" s="2" t="s">
        <v>182</v>
      </c>
      <c r="X6" s="2" t="s">
        <v>182</v>
      </c>
      <c r="Y6" s="2" t="s">
        <v>182</v>
      </c>
      <c r="Z6" s="4">
        <v>180.95499999999998</v>
      </c>
      <c r="AA6" s="2" t="s">
        <v>193</v>
      </c>
      <c r="AB6" s="2">
        <v>6003.481388092041</v>
      </c>
      <c r="AC6" s="2" t="s">
        <v>182</v>
      </c>
      <c r="AD6" s="2" t="s">
        <v>182</v>
      </c>
      <c r="AE6" s="2" t="s">
        <v>182</v>
      </c>
      <c r="AF6" s="2" t="s">
        <v>213</v>
      </c>
      <c r="AG6" s="2" t="s">
        <v>205</v>
      </c>
      <c r="AH6" s="2">
        <v>12.743983333333333</v>
      </c>
      <c r="AI6" s="2">
        <v>-78.739333333333335</v>
      </c>
      <c r="AJ6" s="2">
        <v>-2827.9</v>
      </c>
      <c r="AK6" s="2" t="s">
        <v>182</v>
      </c>
      <c r="AL6" s="2" t="s">
        <v>182</v>
      </c>
      <c r="AM6" s="2" t="s">
        <v>182</v>
      </c>
      <c r="AN6" s="2" t="s">
        <v>182</v>
      </c>
      <c r="AO6" s="2" t="s">
        <v>182</v>
      </c>
      <c r="AP6" s="2" t="s">
        <v>182</v>
      </c>
      <c r="AQ6" s="2" t="s">
        <v>182</v>
      </c>
      <c r="AR6" s="2" t="s">
        <v>182</v>
      </c>
      <c r="AS6" s="2" t="s">
        <v>182</v>
      </c>
      <c r="AT6" s="2" t="s">
        <v>182</v>
      </c>
      <c r="AU6" s="2" t="s">
        <v>182</v>
      </c>
      <c r="AV6" s="2" t="s">
        <v>182</v>
      </c>
      <c r="AW6" s="2" t="s">
        <v>182</v>
      </c>
      <c r="AX6" s="5">
        <v>1.4130029678344727</v>
      </c>
      <c r="AY6" s="2">
        <v>0.05</v>
      </c>
      <c r="AZ6" s="2" t="s">
        <v>194</v>
      </c>
      <c r="BA6" s="2" t="s">
        <v>182</v>
      </c>
      <c r="BB6" s="2" t="s">
        <v>182</v>
      </c>
      <c r="BC6" s="2" t="s">
        <v>182</v>
      </c>
      <c r="BD6" s="2" t="s">
        <v>182</v>
      </c>
      <c r="BE6" s="2" t="s">
        <v>182</v>
      </c>
      <c r="BF6" s="3" t="s">
        <v>195</v>
      </c>
      <c r="BG6" s="3" t="s">
        <v>196</v>
      </c>
      <c r="BH6" s="2">
        <v>0.12</v>
      </c>
      <c r="BI6" s="2" t="s">
        <v>182</v>
      </c>
      <c r="BJ6" s="2" t="s">
        <v>182</v>
      </c>
      <c r="BK6" s="2" t="s">
        <v>182</v>
      </c>
      <c r="BL6" s="2" t="s">
        <v>182</v>
      </c>
      <c r="BM6" s="2" t="s">
        <v>182</v>
      </c>
      <c r="BN6" s="2" t="s">
        <v>182</v>
      </c>
      <c r="BO6" s="2" t="s">
        <v>182</v>
      </c>
      <c r="BP6" s="2" t="s">
        <v>182</v>
      </c>
      <c r="BQ6" s="2" t="s">
        <v>182</v>
      </c>
      <c r="BR6" t="s">
        <v>206</v>
      </c>
      <c r="BS6" s="2" t="s">
        <v>215</v>
      </c>
      <c r="BT6" s="6">
        <v>-25.16033333333333</v>
      </c>
      <c r="BU6" s="3" t="s">
        <v>176</v>
      </c>
      <c r="BV6" s="2">
        <v>0.7</v>
      </c>
      <c r="BW6" s="2" t="s">
        <v>182</v>
      </c>
      <c r="BX6" s="2" t="s">
        <v>182</v>
      </c>
      <c r="BY6" s="2">
        <v>4.2</v>
      </c>
      <c r="BZ6" s="2" t="s">
        <v>182</v>
      </c>
      <c r="CA6" s="2" t="s">
        <v>182</v>
      </c>
      <c r="CB6" s="2" t="s">
        <v>182</v>
      </c>
      <c r="CC6" s="2" t="s">
        <v>182</v>
      </c>
      <c r="CD6" s="2" t="s">
        <v>182</v>
      </c>
      <c r="CE6" s="3" t="s">
        <v>197</v>
      </c>
      <c r="CF6" s="2" t="s">
        <v>198</v>
      </c>
      <c r="CG6" s="2" t="s">
        <v>182</v>
      </c>
      <c r="CH6" s="2" t="s">
        <v>182</v>
      </c>
      <c r="CI6" s="2" t="s">
        <v>182</v>
      </c>
      <c r="CJ6" s="3" t="s">
        <v>182</v>
      </c>
      <c r="CK6" s="2" t="s">
        <v>182</v>
      </c>
      <c r="CL6" s="2" t="s">
        <v>182</v>
      </c>
      <c r="CM6" s="2" t="s">
        <v>182</v>
      </c>
      <c r="CN6" s="2" t="s">
        <v>182</v>
      </c>
      <c r="CO6" s="2" t="s">
        <v>182</v>
      </c>
      <c r="CP6" s="2" t="s">
        <v>182</v>
      </c>
      <c r="CQ6" s="2" t="s">
        <v>182</v>
      </c>
      <c r="CR6" s="2">
        <v>30.24951171875</v>
      </c>
      <c r="CS6" s="2" t="s">
        <v>182</v>
      </c>
      <c r="CT6" s="2" t="s">
        <v>182</v>
      </c>
      <c r="CU6" s="2" t="s">
        <v>182</v>
      </c>
      <c r="CV6" s="2" t="s">
        <v>219</v>
      </c>
      <c r="CW6" s="2" t="s">
        <v>182</v>
      </c>
      <c r="CX6" s="2" t="s">
        <v>182</v>
      </c>
      <c r="CY6" s="2" t="s">
        <v>182</v>
      </c>
      <c r="CZ6" s="2" t="s">
        <v>182</v>
      </c>
      <c r="DA6" s="2" t="s">
        <v>182</v>
      </c>
      <c r="DB6" s="2" t="s">
        <v>182</v>
      </c>
      <c r="DC6" s="2" t="s">
        <v>182</v>
      </c>
      <c r="DD6" s="2" t="s">
        <v>182</v>
      </c>
      <c r="DE6" s="2" t="s">
        <v>182</v>
      </c>
      <c r="DF6" s="2" t="s">
        <v>182</v>
      </c>
      <c r="DG6" s="2" t="s">
        <v>182</v>
      </c>
      <c r="DH6" s="2" t="s">
        <v>182</v>
      </c>
      <c r="DI6" s="2" t="s">
        <v>182</v>
      </c>
      <c r="DJ6" s="2" t="s">
        <v>182</v>
      </c>
      <c r="DK6" s="2" t="s">
        <v>182</v>
      </c>
      <c r="DL6" s="2" t="s">
        <v>182</v>
      </c>
      <c r="DM6" s="2" t="s">
        <v>182</v>
      </c>
      <c r="DN6" s="6">
        <v>301.47843913473776</v>
      </c>
      <c r="DO6" s="2" t="s">
        <v>182</v>
      </c>
      <c r="DP6" s="2" t="s">
        <v>182</v>
      </c>
      <c r="DQ6" s="6">
        <v>301.47843913473776</v>
      </c>
      <c r="DR6" s="2" t="s">
        <v>182</v>
      </c>
      <c r="DS6" s="2" t="s">
        <v>182</v>
      </c>
      <c r="DT6" s="2" t="s">
        <v>182</v>
      </c>
      <c r="DU6" s="2" t="s">
        <v>182</v>
      </c>
      <c r="DV6" s="2" t="s">
        <v>182</v>
      </c>
      <c r="DW6" s="2" t="s">
        <v>211</v>
      </c>
      <c r="DX6" s="9">
        <v>4.45</v>
      </c>
      <c r="DY6" s="2" t="s">
        <v>182</v>
      </c>
      <c r="DZ6" s="2" t="s">
        <v>182</v>
      </c>
      <c r="EA6" s="2" t="s">
        <v>182</v>
      </c>
      <c r="EB6" s="2" t="s">
        <v>182</v>
      </c>
      <c r="EC6" s="2" t="s">
        <v>182</v>
      </c>
      <c r="ED6" s="2">
        <v>91.746801161548461</v>
      </c>
      <c r="EE6" s="2" t="s">
        <v>182</v>
      </c>
      <c r="EF6" s="2" t="s">
        <v>182</v>
      </c>
      <c r="EG6" s="2" t="s">
        <v>182</v>
      </c>
      <c r="EH6" s="2" t="s">
        <v>182</v>
      </c>
      <c r="EI6" s="2" t="s">
        <v>182</v>
      </c>
      <c r="EJ6" s="2" t="s">
        <v>182</v>
      </c>
      <c r="EK6" s="2" t="s">
        <v>182</v>
      </c>
      <c r="EL6" s="2" t="s">
        <v>182</v>
      </c>
      <c r="EM6" s="2" t="s">
        <v>182</v>
      </c>
      <c r="EN6" s="2" t="s">
        <v>182</v>
      </c>
      <c r="EO6" s="2" t="s">
        <v>182</v>
      </c>
      <c r="EP6" s="2" t="s">
        <v>182</v>
      </c>
      <c r="EQ6" s="2" t="s">
        <v>210</v>
      </c>
      <c r="ER6" s="2" t="s">
        <v>182</v>
      </c>
      <c r="ES6" s="2" t="s">
        <v>182</v>
      </c>
      <c r="ET6" s="2" t="s">
        <v>182</v>
      </c>
      <c r="EU6" s="2" t="s">
        <v>182</v>
      </c>
      <c r="EV6" s="3" t="s">
        <v>220</v>
      </c>
      <c r="EW6" s="2">
        <v>25</v>
      </c>
      <c r="EX6" s="2">
        <v>13.011390027618862</v>
      </c>
      <c r="EY6" s="2" t="s">
        <v>182</v>
      </c>
      <c r="EZ6" s="2" t="s">
        <v>182</v>
      </c>
      <c r="FA6" s="2" t="s">
        <v>182</v>
      </c>
      <c r="FB6" s="2" t="s">
        <v>209</v>
      </c>
      <c r="FC6" s="2">
        <v>7.7166071368658589</v>
      </c>
      <c r="FD6" s="2">
        <v>0.7817441015575195</v>
      </c>
      <c r="FE6" s="2">
        <v>0.7817441015575195</v>
      </c>
      <c r="FF6" s="2" t="s">
        <v>185</v>
      </c>
      <c r="FG6" s="2" t="s">
        <v>207</v>
      </c>
      <c r="FH6" s="2">
        <v>299.80415423431293</v>
      </c>
      <c r="FI6" s="2">
        <v>32.364301550697917</v>
      </c>
      <c r="FJ6" s="2">
        <v>32.364301550697917</v>
      </c>
      <c r="FK6" s="2" t="s">
        <v>185</v>
      </c>
      <c r="FL6" s="2" t="s">
        <v>208</v>
      </c>
      <c r="FM6" s="2" t="s">
        <v>221</v>
      </c>
      <c r="FN6" s="2" t="s">
        <v>182</v>
      </c>
      <c r="FO6" s="2" t="s">
        <v>182</v>
      </c>
      <c r="FP6" s="2" t="s">
        <v>182</v>
      </c>
      <c r="FQ6" s="2" t="s">
        <v>182</v>
      </c>
      <c r="FR6" s="2" t="s">
        <v>182</v>
      </c>
      <c r="FS6" s="2" t="s">
        <v>182</v>
      </c>
      <c r="FT6" s="2" t="s">
        <v>188</v>
      </c>
      <c r="FU6" s="2" t="s">
        <v>182</v>
      </c>
      <c r="FV6" s="26" t="s">
        <v>272</v>
      </c>
      <c r="FW6" s="2" t="s">
        <v>182</v>
      </c>
      <c r="FX6" s="2" t="s">
        <v>182</v>
      </c>
      <c r="FY6" s="2" t="s">
        <v>222</v>
      </c>
    </row>
    <row r="7" spans="1:181" ht="14" x14ac:dyDescent="0.2">
      <c r="A7" s="2" t="s">
        <v>254</v>
      </c>
      <c r="B7" s="2" t="s">
        <v>189</v>
      </c>
      <c r="C7" s="2">
        <v>2016</v>
      </c>
      <c r="D7" s="3" t="str">
        <f t="shared" si="0"/>
        <v>10.1038/ncomms10284</v>
      </c>
      <c r="E7" s="2">
        <f t="shared" si="1"/>
        <v>7001.284122467041</v>
      </c>
      <c r="F7" s="2" t="str">
        <f t="shared" si="2"/>
        <v>NA</v>
      </c>
      <c r="G7" s="2" t="str">
        <f t="shared" si="3"/>
        <v>NA</v>
      </c>
      <c r="H7" s="2">
        <f t="shared" si="4"/>
        <v>335.71382063743539</v>
      </c>
      <c r="I7" s="2">
        <f t="shared" si="5"/>
        <v>19.288197101723767</v>
      </c>
      <c r="J7" s="2">
        <f t="shared" si="6"/>
        <v>19.288197101723767</v>
      </c>
      <c r="K7" s="3" t="s">
        <v>212</v>
      </c>
      <c r="L7" s="2" t="s">
        <v>181</v>
      </c>
      <c r="M7" s="3" t="s">
        <v>204</v>
      </c>
      <c r="N7" s="3" t="s">
        <v>190</v>
      </c>
      <c r="O7" s="4">
        <v>999</v>
      </c>
      <c r="P7" s="4" t="s">
        <v>177</v>
      </c>
      <c r="Q7" s="4">
        <v>23</v>
      </c>
      <c r="R7" s="4" t="s">
        <v>199</v>
      </c>
      <c r="S7" s="4" t="s">
        <v>192</v>
      </c>
      <c r="T7" s="4">
        <v>4</v>
      </c>
      <c r="U7" s="4">
        <v>80</v>
      </c>
      <c r="V7" s="4">
        <v>82</v>
      </c>
      <c r="W7" s="2" t="s">
        <v>182</v>
      </c>
      <c r="X7" s="2" t="s">
        <v>182</v>
      </c>
      <c r="Y7" s="2" t="s">
        <v>182</v>
      </c>
      <c r="Z7" s="4">
        <v>205.95499999999998</v>
      </c>
      <c r="AA7" s="2" t="s">
        <v>193</v>
      </c>
      <c r="AB7" s="2">
        <v>7001.284122467041</v>
      </c>
      <c r="AC7" s="2" t="s">
        <v>182</v>
      </c>
      <c r="AD7" s="2" t="s">
        <v>182</v>
      </c>
      <c r="AE7" s="2" t="s">
        <v>182</v>
      </c>
      <c r="AF7" s="2" t="s">
        <v>213</v>
      </c>
      <c r="AG7" s="2" t="s">
        <v>205</v>
      </c>
      <c r="AH7" s="2">
        <v>12.743983333333333</v>
      </c>
      <c r="AI7" s="2">
        <v>-78.739333333333335</v>
      </c>
      <c r="AJ7" s="2">
        <v>-2827.9</v>
      </c>
      <c r="AK7" s="2" t="s">
        <v>182</v>
      </c>
      <c r="AL7" s="2" t="s">
        <v>182</v>
      </c>
      <c r="AM7" s="2" t="s">
        <v>182</v>
      </c>
      <c r="AN7" s="2" t="s">
        <v>182</v>
      </c>
      <c r="AO7" s="2" t="s">
        <v>182</v>
      </c>
      <c r="AP7" s="2" t="s">
        <v>182</v>
      </c>
      <c r="AQ7" s="2" t="s">
        <v>182</v>
      </c>
      <c r="AR7" s="2" t="s">
        <v>182</v>
      </c>
      <c r="AS7" s="2" t="s">
        <v>182</v>
      </c>
      <c r="AT7" s="2" t="s">
        <v>182</v>
      </c>
      <c r="AU7" s="2" t="s">
        <v>182</v>
      </c>
      <c r="AV7" s="2" t="s">
        <v>182</v>
      </c>
      <c r="AW7" s="2" t="s">
        <v>182</v>
      </c>
      <c r="AX7" s="5">
        <v>2.2999999999999998</v>
      </c>
      <c r="AY7" s="2">
        <v>0.05</v>
      </c>
      <c r="AZ7" s="2" t="s">
        <v>194</v>
      </c>
      <c r="BA7" s="2" t="s">
        <v>182</v>
      </c>
      <c r="BB7" s="2" t="s">
        <v>182</v>
      </c>
      <c r="BC7" s="2" t="s">
        <v>182</v>
      </c>
      <c r="BD7" s="2" t="s">
        <v>182</v>
      </c>
      <c r="BE7" s="2" t="s">
        <v>182</v>
      </c>
      <c r="BF7" s="3" t="s">
        <v>195</v>
      </c>
      <c r="BG7" s="3" t="s">
        <v>196</v>
      </c>
      <c r="BH7" s="2">
        <v>0.12</v>
      </c>
      <c r="BI7" s="2" t="s">
        <v>182</v>
      </c>
      <c r="BJ7" s="2" t="s">
        <v>182</v>
      </c>
      <c r="BK7" s="2" t="s">
        <v>182</v>
      </c>
      <c r="BL7" s="2" t="s">
        <v>182</v>
      </c>
      <c r="BM7" s="2" t="s">
        <v>182</v>
      </c>
      <c r="BN7" s="2" t="s">
        <v>182</v>
      </c>
      <c r="BO7" s="2" t="s">
        <v>182</v>
      </c>
      <c r="BP7" s="2" t="s">
        <v>182</v>
      </c>
      <c r="BQ7" s="2" t="s">
        <v>182</v>
      </c>
      <c r="BR7" t="s">
        <v>206</v>
      </c>
      <c r="BS7" s="2" t="s">
        <v>215</v>
      </c>
      <c r="BT7" s="6">
        <v>-24.880333333333329</v>
      </c>
      <c r="BU7" s="3" t="s">
        <v>176</v>
      </c>
      <c r="BV7" s="2">
        <v>0.7</v>
      </c>
      <c r="BW7" s="2" t="s">
        <v>182</v>
      </c>
      <c r="BX7" s="2" t="s">
        <v>182</v>
      </c>
      <c r="BY7" s="2">
        <v>4.2</v>
      </c>
      <c r="BZ7" s="2" t="s">
        <v>182</v>
      </c>
      <c r="CA7" s="2" t="s">
        <v>182</v>
      </c>
      <c r="CB7" s="2" t="s">
        <v>182</v>
      </c>
      <c r="CC7" s="2" t="s">
        <v>182</v>
      </c>
      <c r="CD7" s="2" t="s">
        <v>182</v>
      </c>
      <c r="CE7" s="3" t="s">
        <v>197</v>
      </c>
      <c r="CF7" s="2" t="s">
        <v>198</v>
      </c>
      <c r="CG7" s="2" t="s">
        <v>182</v>
      </c>
      <c r="CH7" s="2" t="s">
        <v>182</v>
      </c>
      <c r="CI7" s="2" t="s">
        <v>182</v>
      </c>
      <c r="CJ7" s="3" t="s">
        <v>182</v>
      </c>
      <c r="CK7" s="2" t="s">
        <v>182</v>
      </c>
      <c r="CL7" s="2" t="s">
        <v>182</v>
      </c>
      <c r="CM7" s="2" t="s">
        <v>182</v>
      </c>
      <c r="CN7" s="2" t="s">
        <v>182</v>
      </c>
      <c r="CO7" s="2" t="s">
        <v>182</v>
      </c>
      <c r="CP7" s="2" t="s">
        <v>182</v>
      </c>
      <c r="CQ7" s="2" t="s">
        <v>182</v>
      </c>
      <c r="CR7" s="2">
        <v>30.8</v>
      </c>
      <c r="CS7" s="2" t="s">
        <v>182</v>
      </c>
      <c r="CT7" s="2" t="s">
        <v>182</v>
      </c>
      <c r="CU7" s="2" t="s">
        <v>182</v>
      </c>
      <c r="CV7" s="2" t="s">
        <v>219</v>
      </c>
      <c r="CW7" s="2" t="s">
        <v>182</v>
      </c>
      <c r="CX7" s="2" t="s">
        <v>182</v>
      </c>
      <c r="CY7" s="2" t="s">
        <v>182</v>
      </c>
      <c r="CZ7" s="2" t="s">
        <v>182</v>
      </c>
      <c r="DA7" s="2" t="s">
        <v>182</v>
      </c>
      <c r="DB7" s="2" t="s">
        <v>182</v>
      </c>
      <c r="DC7" s="2" t="s">
        <v>182</v>
      </c>
      <c r="DD7" s="2" t="s">
        <v>182</v>
      </c>
      <c r="DE7" s="2" t="s">
        <v>182</v>
      </c>
      <c r="DF7" s="2" t="s">
        <v>182</v>
      </c>
      <c r="DG7" s="2" t="s">
        <v>182</v>
      </c>
      <c r="DH7" s="2" t="s">
        <v>182</v>
      </c>
      <c r="DI7" s="2" t="s">
        <v>182</v>
      </c>
      <c r="DJ7" s="2" t="s">
        <v>182</v>
      </c>
      <c r="DK7" s="2" t="s">
        <v>182</v>
      </c>
      <c r="DL7" s="2" t="s">
        <v>182</v>
      </c>
      <c r="DM7" s="2" t="s">
        <v>182</v>
      </c>
      <c r="DN7" s="6">
        <v>251.11185563085365</v>
      </c>
      <c r="DO7" s="2" t="s">
        <v>182</v>
      </c>
      <c r="DP7" s="2" t="s">
        <v>182</v>
      </c>
      <c r="DQ7" s="6">
        <v>251.11185563085365</v>
      </c>
      <c r="DR7" s="2" t="s">
        <v>182</v>
      </c>
      <c r="DS7" s="2" t="s">
        <v>182</v>
      </c>
      <c r="DT7" s="2" t="s">
        <v>182</v>
      </c>
      <c r="DU7" s="2" t="s">
        <v>182</v>
      </c>
      <c r="DV7" s="2" t="s">
        <v>182</v>
      </c>
      <c r="DW7" s="2" t="s">
        <v>211</v>
      </c>
      <c r="DX7" s="9">
        <v>2.7250000000000001</v>
      </c>
      <c r="DY7" s="2" t="s">
        <v>182</v>
      </c>
      <c r="DZ7" s="2" t="s">
        <v>182</v>
      </c>
      <c r="EA7" s="2" t="s">
        <v>182</v>
      </c>
      <c r="EB7" s="2" t="s">
        <v>182</v>
      </c>
      <c r="EC7" s="2" t="s">
        <v>182</v>
      </c>
      <c r="ED7" s="2">
        <v>96.88343033115838</v>
      </c>
      <c r="EE7" s="2" t="s">
        <v>182</v>
      </c>
      <c r="EF7" s="2" t="s">
        <v>182</v>
      </c>
      <c r="EG7" s="2" t="s">
        <v>182</v>
      </c>
      <c r="EH7" s="2" t="s">
        <v>182</v>
      </c>
      <c r="EI7" s="2" t="s">
        <v>182</v>
      </c>
      <c r="EJ7" s="2" t="s">
        <v>182</v>
      </c>
      <c r="EK7" s="2" t="s">
        <v>182</v>
      </c>
      <c r="EL7" s="2" t="s">
        <v>182</v>
      </c>
      <c r="EM7" s="2" t="s">
        <v>182</v>
      </c>
      <c r="EN7" s="2" t="s">
        <v>182</v>
      </c>
      <c r="EO7" s="2" t="s">
        <v>182</v>
      </c>
      <c r="EP7" s="2" t="s">
        <v>182</v>
      </c>
      <c r="EQ7" s="2" t="s">
        <v>210</v>
      </c>
      <c r="ER7" s="2" t="s">
        <v>182</v>
      </c>
      <c r="ES7" s="2" t="s">
        <v>182</v>
      </c>
      <c r="ET7" s="2" t="s">
        <v>182</v>
      </c>
      <c r="EU7" s="2" t="s">
        <v>182</v>
      </c>
      <c r="EV7" s="3" t="s">
        <v>220</v>
      </c>
      <c r="EW7" s="2">
        <v>25</v>
      </c>
      <c r="EX7" s="2">
        <v>13.712363668350381</v>
      </c>
      <c r="EY7" s="2" t="s">
        <v>182</v>
      </c>
      <c r="EZ7" s="2" t="s">
        <v>182</v>
      </c>
      <c r="FA7" s="2" t="s">
        <v>182</v>
      </c>
      <c r="FB7" s="2" t="s">
        <v>209</v>
      </c>
      <c r="FC7" s="2">
        <v>8.6005937619154977</v>
      </c>
      <c r="FD7" s="2">
        <v>0.42528912607346037</v>
      </c>
      <c r="FE7" s="2">
        <v>0.42528912607345859</v>
      </c>
      <c r="FF7" s="2" t="s">
        <v>185</v>
      </c>
      <c r="FG7" s="2" t="s">
        <v>207</v>
      </c>
      <c r="FH7" s="2">
        <v>335.71382063743539</v>
      </c>
      <c r="FI7" s="2">
        <v>19.288197101723767</v>
      </c>
      <c r="FJ7" s="2">
        <v>19.288197101723767</v>
      </c>
      <c r="FK7" s="2" t="s">
        <v>185</v>
      </c>
      <c r="FL7" s="2" t="s">
        <v>208</v>
      </c>
      <c r="FM7" s="2" t="s">
        <v>221</v>
      </c>
      <c r="FN7" s="2" t="s">
        <v>182</v>
      </c>
      <c r="FO7" s="2" t="s">
        <v>182</v>
      </c>
      <c r="FP7" s="2" t="s">
        <v>182</v>
      </c>
      <c r="FQ7" s="2" t="s">
        <v>182</v>
      </c>
      <c r="FR7" s="2" t="s">
        <v>182</v>
      </c>
      <c r="FS7" s="2" t="s">
        <v>182</v>
      </c>
      <c r="FT7" s="2" t="s">
        <v>188</v>
      </c>
      <c r="FU7" s="2" t="s">
        <v>182</v>
      </c>
      <c r="FV7" s="26" t="s">
        <v>273</v>
      </c>
      <c r="FW7" s="2" t="s">
        <v>182</v>
      </c>
      <c r="FX7" s="2" t="s">
        <v>182</v>
      </c>
      <c r="FY7" s="2" t="s">
        <v>222</v>
      </c>
    </row>
    <row r="8" spans="1:181" ht="14" x14ac:dyDescent="0.2">
      <c r="A8" s="2" t="s">
        <v>254</v>
      </c>
      <c r="B8" s="2" t="s">
        <v>189</v>
      </c>
      <c r="C8" s="2">
        <v>2016</v>
      </c>
      <c r="D8" s="3" t="str">
        <f t="shared" si="0"/>
        <v>10.1038/ncomms10284</v>
      </c>
      <c r="E8" s="2">
        <f t="shared" si="1"/>
        <v>8000.3566741943359</v>
      </c>
      <c r="F8" s="2" t="str">
        <f t="shared" si="2"/>
        <v>NA</v>
      </c>
      <c r="G8" s="2" t="str">
        <f t="shared" si="3"/>
        <v>NA</v>
      </c>
      <c r="H8" s="2">
        <f t="shared" si="4"/>
        <v>331.06434718260164</v>
      </c>
      <c r="I8" s="2">
        <f t="shared" si="5"/>
        <v>37.918565028840987</v>
      </c>
      <c r="J8" s="2">
        <f t="shared" si="6"/>
        <v>37.918565028840987</v>
      </c>
      <c r="K8" s="3" t="s">
        <v>212</v>
      </c>
      <c r="L8" s="2" t="s">
        <v>181</v>
      </c>
      <c r="M8" s="3" t="s">
        <v>204</v>
      </c>
      <c r="N8" s="3" t="s">
        <v>190</v>
      </c>
      <c r="O8" s="4">
        <v>999</v>
      </c>
      <c r="P8" s="4" t="s">
        <v>177</v>
      </c>
      <c r="Q8" s="4">
        <v>25</v>
      </c>
      <c r="R8" s="4" t="s">
        <v>199</v>
      </c>
      <c r="S8" s="4" t="s">
        <v>192</v>
      </c>
      <c r="T8" s="4">
        <v>4</v>
      </c>
      <c r="U8" s="4">
        <v>80</v>
      </c>
      <c r="V8" s="4">
        <v>82</v>
      </c>
      <c r="W8" s="2" t="s">
        <v>182</v>
      </c>
      <c r="X8" s="2" t="s">
        <v>182</v>
      </c>
      <c r="Y8" s="2" t="s">
        <v>182</v>
      </c>
      <c r="Z8" s="4">
        <v>225.255</v>
      </c>
      <c r="AA8" s="2" t="s">
        <v>193</v>
      </c>
      <c r="AB8" s="2">
        <v>8000.3566741943359</v>
      </c>
      <c r="AC8" s="2" t="s">
        <v>182</v>
      </c>
      <c r="AD8" s="2" t="s">
        <v>182</v>
      </c>
      <c r="AE8" s="2" t="s">
        <v>182</v>
      </c>
      <c r="AF8" s="2" t="s">
        <v>213</v>
      </c>
      <c r="AG8" s="2" t="s">
        <v>205</v>
      </c>
      <c r="AH8" s="2">
        <v>12.743983333333333</v>
      </c>
      <c r="AI8" s="2">
        <v>-78.739333333333335</v>
      </c>
      <c r="AJ8" s="2">
        <v>-2827.9</v>
      </c>
      <c r="AK8" s="2" t="s">
        <v>182</v>
      </c>
      <c r="AL8" s="2" t="s">
        <v>182</v>
      </c>
      <c r="AM8" s="2" t="s">
        <v>182</v>
      </c>
      <c r="AN8" s="2" t="s">
        <v>182</v>
      </c>
      <c r="AO8" s="2" t="s">
        <v>182</v>
      </c>
      <c r="AP8" s="2" t="s">
        <v>182</v>
      </c>
      <c r="AQ8" s="2" t="s">
        <v>182</v>
      </c>
      <c r="AR8" s="2" t="s">
        <v>182</v>
      </c>
      <c r="AS8" s="2" t="s">
        <v>182</v>
      </c>
      <c r="AT8" s="2" t="s">
        <v>182</v>
      </c>
      <c r="AU8" s="2" t="s">
        <v>182</v>
      </c>
      <c r="AV8" s="2" t="s">
        <v>182</v>
      </c>
      <c r="AW8" s="2" t="s">
        <v>182</v>
      </c>
      <c r="AX8" s="5">
        <v>2.1320018768310547</v>
      </c>
      <c r="AY8" s="2">
        <v>0.05</v>
      </c>
      <c r="AZ8" s="2" t="s">
        <v>194</v>
      </c>
      <c r="BA8" s="2" t="s">
        <v>182</v>
      </c>
      <c r="BB8" s="2" t="s">
        <v>182</v>
      </c>
      <c r="BC8" s="2" t="s">
        <v>182</v>
      </c>
      <c r="BD8" s="2" t="s">
        <v>182</v>
      </c>
      <c r="BE8" s="2" t="s">
        <v>182</v>
      </c>
      <c r="BF8" s="3" t="s">
        <v>195</v>
      </c>
      <c r="BG8" s="3" t="s">
        <v>196</v>
      </c>
      <c r="BH8" s="2">
        <v>0.12</v>
      </c>
      <c r="BI8" s="2" t="s">
        <v>182</v>
      </c>
      <c r="BJ8" s="2" t="s">
        <v>182</v>
      </c>
      <c r="BK8" s="2" t="s">
        <v>182</v>
      </c>
      <c r="BL8" s="2" t="s">
        <v>182</v>
      </c>
      <c r="BM8" s="2" t="s">
        <v>182</v>
      </c>
      <c r="BN8" s="2" t="s">
        <v>182</v>
      </c>
      <c r="BO8" s="2" t="s">
        <v>182</v>
      </c>
      <c r="BP8" s="2" t="s">
        <v>182</v>
      </c>
      <c r="BQ8" s="2" t="s">
        <v>182</v>
      </c>
      <c r="BR8" t="s">
        <v>206</v>
      </c>
      <c r="BS8" s="2" t="s">
        <v>215</v>
      </c>
      <c r="BT8" s="6">
        <v>-22.383333333333329</v>
      </c>
      <c r="BU8" s="3" t="s">
        <v>176</v>
      </c>
      <c r="BV8" s="2">
        <v>0.7</v>
      </c>
      <c r="BW8" s="2" t="s">
        <v>182</v>
      </c>
      <c r="BX8" s="2" t="s">
        <v>182</v>
      </c>
      <c r="BY8" s="2">
        <v>4.2</v>
      </c>
      <c r="BZ8" s="2" t="s">
        <v>182</v>
      </c>
      <c r="CA8" s="2" t="s">
        <v>182</v>
      </c>
      <c r="CB8" s="2" t="s">
        <v>182</v>
      </c>
      <c r="CC8" s="2" t="s">
        <v>182</v>
      </c>
      <c r="CD8" s="2" t="s">
        <v>182</v>
      </c>
      <c r="CE8" s="3" t="s">
        <v>197</v>
      </c>
      <c r="CF8" s="2" t="s">
        <v>198</v>
      </c>
      <c r="CG8" s="2" t="s">
        <v>182</v>
      </c>
      <c r="CH8" s="2" t="s">
        <v>182</v>
      </c>
      <c r="CI8" s="2" t="s">
        <v>182</v>
      </c>
      <c r="CJ8" s="3" t="s">
        <v>182</v>
      </c>
      <c r="CK8" s="2" t="s">
        <v>182</v>
      </c>
      <c r="CL8" s="2" t="s">
        <v>182</v>
      </c>
      <c r="CM8" s="2" t="s">
        <v>182</v>
      </c>
      <c r="CN8" s="2" t="s">
        <v>182</v>
      </c>
      <c r="CO8" s="2" t="s">
        <v>182</v>
      </c>
      <c r="CP8" s="2" t="s">
        <v>182</v>
      </c>
      <c r="CQ8" s="2" t="s">
        <v>182</v>
      </c>
      <c r="CR8" s="2">
        <v>31.3</v>
      </c>
      <c r="CS8" s="2" t="s">
        <v>182</v>
      </c>
      <c r="CT8" s="2" t="s">
        <v>182</v>
      </c>
      <c r="CU8" s="2" t="s">
        <v>182</v>
      </c>
      <c r="CV8" s="2" t="s">
        <v>219</v>
      </c>
      <c r="CW8" s="2" t="s">
        <v>182</v>
      </c>
      <c r="CX8" s="2" t="s">
        <v>182</v>
      </c>
      <c r="CY8" s="2" t="s">
        <v>182</v>
      </c>
      <c r="CZ8" s="2" t="s">
        <v>182</v>
      </c>
      <c r="DA8" s="2" t="s">
        <v>182</v>
      </c>
      <c r="DB8" s="2" t="s">
        <v>182</v>
      </c>
      <c r="DC8" s="2" t="s">
        <v>182</v>
      </c>
      <c r="DD8" s="2" t="s">
        <v>182</v>
      </c>
      <c r="DE8" s="2" t="s">
        <v>182</v>
      </c>
      <c r="DF8" s="2" t="s">
        <v>182</v>
      </c>
      <c r="DG8" s="2" t="s">
        <v>182</v>
      </c>
      <c r="DH8" s="2" t="s">
        <v>182</v>
      </c>
      <c r="DI8" s="2" t="s">
        <v>182</v>
      </c>
      <c r="DJ8" s="2" t="s">
        <v>182</v>
      </c>
      <c r="DK8" s="2" t="s">
        <v>182</v>
      </c>
      <c r="DL8" s="2" t="s">
        <v>182</v>
      </c>
      <c r="DM8" s="2" t="s">
        <v>182</v>
      </c>
      <c r="DN8" s="6">
        <v>1799.3209933373716</v>
      </c>
      <c r="DO8" s="2" t="s">
        <v>182</v>
      </c>
      <c r="DP8" s="2" t="s">
        <v>182</v>
      </c>
      <c r="DQ8" s="6">
        <v>1799.3209933373716</v>
      </c>
      <c r="DR8" s="2" t="s">
        <v>182</v>
      </c>
      <c r="DS8" s="2" t="s">
        <v>182</v>
      </c>
      <c r="DT8" s="2" t="s">
        <v>182</v>
      </c>
      <c r="DU8" s="2" t="s">
        <v>182</v>
      </c>
      <c r="DV8" s="2" t="s">
        <v>182</v>
      </c>
      <c r="DW8" s="2" t="s">
        <v>211</v>
      </c>
      <c r="DX8" s="9">
        <v>3.875</v>
      </c>
      <c r="DY8" s="2" t="s">
        <v>182</v>
      </c>
      <c r="DZ8" s="2" t="s">
        <v>182</v>
      </c>
      <c r="EA8" s="2" t="s">
        <v>182</v>
      </c>
      <c r="EB8" s="2" t="s">
        <v>182</v>
      </c>
      <c r="EC8" s="2" t="s">
        <v>182</v>
      </c>
      <c r="ED8" s="2">
        <v>104.51183367854335</v>
      </c>
      <c r="EE8" s="2" t="s">
        <v>182</v>
      </c>
      <c r="EF8" s="2" t="s">
        <v>182</v>
      </c>
      <c r="EG8" s="2" t="s">
        <v>182</v>
      </c>
      <c r="EH8" s="2" t="s">
        <v>182</v>
      </c>
      <c r="EI8" s="2" t="s">
        <v>182</v>
      </c>
      <c r="EJ8" s="2" t="s">
        <v>182</v>
      </c>
      <c r="EK8" s="2" t="s">
        <v>182</v>
      </c>
      <c r="EL8" s="2" t="s">
        <v>182</v>
      </c>
      <c r="EM8" s="2" t="s">
        <v>182</v>
      </c>
      <c r="EN8" s="2" t="s">
        <v>182</v>
      </c>
      <c r="EO8" s="2" t="s">
        <v>182</v>
      </c>
      <c r="EP8" s="2" t="s">
        <v>182</v>
      </c>
      <c r="EQ8" s="2" t="s">
        <v>210</v>
      </c>
      <c r="ER8" s="2" t="s">
        <v>182</v>
      </c>
      <c r="ES8" s="2" t="s">
        <v>182</v>
      </c>
      <c r="ET8" s="2" t="s">
        <v>182</v>
      </c>
      <c r="EU8" s="2" t="s">
        <v>182</v>
      </c>
      <c r="EV8" s="3" t="s">
        <v>220</v>
      </c>
      <c r="EW8" s="2">
        <v>25</v>
      </c>
      <c r="EX8" s="2">
        <v>11.045064619764844</v>
      </c>
      <c r="EY8" s="2" t="s">
        <v>182</v>
      </c>
      <c r="EZ8" s="2" t="s">
        <v>182</v>
      </c>
      <c r="FA8" s="2" t="s">
        <v>182</v>
      </c>
      <c r="FB8" s="2" t="s">
        <v>209</v>
      </c>
      <c r="FC8" s="2">
        <v>7.5446577699127264</v>
      </c>
      <c r="FD8" s="2">
        <v>0.78237457950227274</v>
      </c>
      <c r="FE8" s="2">
        <v>0.78237457950227363</v>
      </c>
      <c r="FF8" s="2" t="s">
        <v>185</v>
      </c>
      <c r="FG8" s="2" t="s">
        <v>207</v>
      </c>
      <c r="FH8" s="2">
        <v>331.06434718260164</v>
      </c>
      <c r="FI8" s="2">
        <v>37.918565028840987</v>
      </c>
      <c r="FJ8" s="2">
        <v>37.918565028840987</v>
      </c>
      <c r="FK8" s="2" t="s">
        <v>185</v>
      </c>
      <c r="FL8" s="2" t="s">
        <v>208</v>
      </c>
      <c r="FM8" s="2" t="s">
        <v>221</v>
      </c>
      <c r="FN8" s="2" t="s">
        <v>182</v>
      </c>
      <c r="FO8" s="2" t="s">
        <v>182</v>
      </c>
      <c r="FP8" s="2" t="s">
        <v>182</v>
      </c>
      <c r="FQ8" s="2" t="s">
        <v>182</v>
      </c>
      <c r="FR8" s="2" t="s">
        <v>182</v>
      </c>
      <c r="FS8" s="2" t="s">
        <v>182</v>
      </c>
      <c r="FT8" s="2" t="s">
        <v>188</v>
      </c>
      <c r="FU8" s="2" t="s">
        <v>182</v>
      </c>
      <c r="FV8" s="26" t="s">
        <v>274</v>
      </c>
      <c r="FW8" s="2" t="s">
        <v>182</v>
      </c>
      <c r="FX8" s="2" t="s">
        <v>182</v>
      </c>
      <c r="FY8" s="2" t="s">
        <v>222</v>
      </c>
    </row>
    <row r="9" spans="1:181" ht="14" x14ac:dyDescent="0.2">
      <c r="A9" s="2" t="s">
        <v>254</v>
      </c>
      <c r="B9" s="2" t="s">
        <v>189</v>
      </c>
      <c r="C9" s="2">
        <v>2016</v>
      </c>
      <c r="D9" s="3" t="str">
        <f t="shared" si="0"/>
        <v>10.1038/ncomms10284</v>
      </c>
      <c r="E9" s="2">
        <f t="shared" si="1"/>
        <v>9308.135986328125</v>
      </c>
      <c r="F9" s="2" t="str">
        <f t="shared" si="2"/>
        <v>NA</v>
      </c>
      <c r="G9" s="2" t="str">
        <f t="shared" si="3"/>
        <v>NA</v>
      </c>
      <c r="H9" s="2">
        <f t="shared" si="4"/>
        <v>485.90101364066754</v>
      </c>
      <c r="I9" s="2">
        <f t="shared" si="5"/>
        <v>74.322832781738214</v>
      </c>
      <c r="J9" s="2">
        <f t="shared" si="6"/>
        <v>74.322832781738214</v>
      </c>
      <c r="K9" s="3" t="s">
        <v>212</v>
      </c>
      <c r="L9" s="2" t="s">
        <v>181</v>
      </c>
      <c r="M9" s="3" t="s">
        <v>204</v>
      </c>
      <c r="N9" s="3" t="s">
        <v>190</v>
      </c>
      <c r="O9" s="4">
        <v>999</v>
      </c>
      <c r="P9" s="4" t="s">
        <v>177</v>
      </c>
      <c r="Q9" s="4">
        <v>28</v>
      </c>
      <c r="R9" s="4" t="s">
        <v>199</v>
      </c>
      <c r="S9" s="4" t="s">
        <v>192</v>
      </c>
      <c r="T9" s="4">
        <v>1</v>
      </c>
      <c r="U9" s="4">
        <v>15</v>
      </c>
      <c r="V9" s="4">
        <v>17</v>
      </c>
      <c r="W9" s="2" t="s">
        <v>182</v>
      </c>
      <c r="X9" s="2" t="s">
        <v>182</v>
      </c>
      <c r="Y9" s="2" t="s">
        <v>182</v>
      </c>
      <c r="Z9" s="4">
        <v>248.815</v>
      </c>
      <c r="AA9" s="2" t="s">
        <v>193</v>
      </c>
      <c r="AB9" s="2">
        <v>9308.135986328125</v>
      </c>
      <c r="AC9" s="2" t="s">
        <v>182</v>
      </c>
      <c r="AD9" s="2" t="s">
        <v>182</v>
      </c>
      <c r="AE9" s="2" t="s">
        <v>182</v>
      </c>
      <c r="AF9" s="2" t="s">
        <v>213</v>
      </c>
      <c r="AG9" s="2" t="s">
        <v>205</v>
      </c>
      <c r="AH9" s="2">
        <v>12.743983333333333</v>
      </c>
      <c r="AI9" s="2">
        <v>-78.739333333333335</v>
      </c>
      <c r="AJ9" s="2">
        <v>-2827.9</v>
      </c>
      <c r="AK9" s="2" t="s">
        <v>182</v>
      </c>
      <c r="AL9" s="2" t="s">
        <v>182</v>
      </c>
      <c r="AM9" s="2" t="s">
        <v>182</v>
      </c>
      <c r="AN9" s="2" t="s">
        <v>182</v>
      </c>
      <c r="AO9" s="2" t="s">
        <v>182</v>
      </c>
      <c r="AP9" s="2" t="s">
        <v>182</v>
      </c>
      <c r="AQ9" s="2" t="s">
        <v>182</v>
      </c>
      <c r="AR9" s="2" t="s">
        <v>182</v>
      </c>
      <c r="AS9" s="2" t="s">
        <v>182</v>
      </c>
      <c r="AT9" s="2" t="s">
        <v>182</v>
      </c>
      <c r="AU9" s="2" t="s">
        <v>182</v>
      </c>
      <c r="AV9" s="2" t="s">
        <v>182</v>
      </c>
      <c r="AW9" s="2" t="s">
        <v>182</v>
      </c>
      <c r="AX9" s="5">
        <f>AX10</f>
        <v>2.6461999999999999</v>
      </c>
      <c r="AY9" s="2" t="s">
        <v>182</v>
      </c>
      <c r="AZ9" s="2" t="s">
        <v>182</v>
      </c>
      <c r="BA9" s="2" t="s">
        <v>182</v>
      </c>
      <c r="BB9" s="2" t="s">
        <v>182</v>
      </c>
      <c r="BC9" s="2" t="s">
        <v>182</v>
      </c>
      <c r="BD9" s="2" t="s">
        <v>182</v>
      </c>
      <c r="BE9" s="2" t="s">
        <v>182</v>
      </c>
      <c r="BF9" s="3" t="s">
        <v>195</v>
      </c>
      <c r="BG9" s="3" t="s">
        <v>196</v>
      </c>
      <c r="BH9" s="2">
        <v>0.12</v>
      </c>
      <c r="BI9" s="2" t="s">
        <v>182</v>
      </c>
      <c r="BJ9" s="2" t="s">
        <v>182</v>
      </c>
      <c r="BK9" s="2" t="s">
        <v>182</v>
      </c>
      <c r="BL9" s="2" t="s">
        <v>182</v>
      </c>
      <c r="BM9" s="2" t="s">
        <v>182</v>
      </c>
      <c r="BN9" s="2" t="s">
        <v>182</v>
      </c>
      <c r="BO9" s="2" t="s">
        <v>182</v>
      </c>
      <c r="BP9" s="2" t="s">
        <v>182</v>
      </c>
      <c r="BQ9" s="2" t="s">
        <v>182</v>
      </c>
      <c r="BR9" t="s">
        <v>206</v>
      </c>
      <c r="BS9" s="2" t="s">
        <v>223</v>
      </c>
      <c r="BT9" s="6">
        <v>-23.556000000000001</v>
      </c>
      <c r="BU9" s="3" t="s">
        <v>176</v>
      </c>
      <c r="BV9" s="2">
        <v>0.7</v>
      </c>
      <c r="BW9" s="2" t="s">
        <v>182</v>
      </c>
      <c r="BX9" s="2" t="s">
        <v>182</v>
      </c>
      <c r="BY9" s="2">
        <v>4.2</v>
      </c>
      <c r="BZ9" s="2" t="s">
        <v>182</v>
      </c>
      <c r="CA9" s="2" t="s">
        <v>182</v>
      </c>
      <c r="CB9" s="2" t="s">
        <v>182</v>
      </c>
      <c r="CC9" s="2" t="s">
        <v>182</v>
      </c>
      <c r="CD9" s="2" t="s">
        <v>182</v>
      </c>
      <c r="CE9" s="3" t="s">
        <v>197</v>
      </c>
      <c r="CF9" s="2" t="s">
        <v>198</v>
      </c>
      <c r="CG9" s="2" t="s">
        <v>182</v>
      </c>
      <c r="CH9" s="2" t="s">
        <v>182</v>
      </c>
      <c r="CI9" s="2" t="s">
        <v>182</v>
      </c>
      <c r="CJ9" s="3" t="s">
        <v>182</v>
      </c>
      <c r="CK9" s="2" t="s">
        <v>182</v>
      </c>
      <c r="CL9" s="2" t="s">
        <v>182</v>
      </c>
      <c r="CM9" s="2" t="s">
        <v>182</v>
      </c>
      <c r="CN9" s="2" t="s">
        <v>182</v>
      </c>
      <c r="CO9" s="2" t="s">
        <v>182</v>
      </c>
      <c r="CP9" s="2" t="s">
        <v>182</v>
      </c>
      <c r="CQ9" s="2" t="s">
        <v>182</v>
      </c>
      <c r="CR9" s="2">
        <v>31.5</v>
      </c>
      <c r="CS9" s="2" t="s">
        <v>182</v>
      </c>
      <c r="CT9" s="2" t="s">
        <v>182</v>
      </c>
      <c r="CU9" s="2" t="s">
        <v>182</v>
      </c>
      <c r="CV9" s="2" t="s">
        <v>219</v>
      </c>
      <c r="CW9" s="2" t="s">
        <v>182</v>
      </c>
      <c r="CX9" s="2" t="s">
        <v>182</v>
      </c>
      <c r="CY9" s="2" t="s">
        <v>182</v>
      </c>
      <c r="CZ9" s="2" t="s">
        <v>182</v>
      </c>
      <c r="DA9" s="2" t="s">
        <v>182</v>
      </c>
      <c r="DB9" s="2" t="s">
        <v>182</v>
      </c>
      <c r="DC9" s="2" t="s">
        <v>182</v>
      </c>
      <c r="DD9" s="2" t="s">
        <v>182</v>
      </c>
      <c r="DE9" s="2" t="s">
        <v>182</v>
      </c>
      <c r="DF9" s="2" t="s">
        <v>182</v>
      </c>
      <c r="DG9" s="2" t="s">
        <v>182</v>
      </c>
      <c r="DH9" s="2" t="s">
        <v>182</v>
      </c>
      <c r="DI9" s="2" t="s">
        <v>182</v>
      </c>
      <c r="DJ9" s="2" t="s">
        <v>182</v>
      </c>
      <c r="DK9" s="2" t="s">
        <v>182</v>
      </c>
      <c r="DL9" s="2" t="s">
        <v>182</v>
      </c>
      <c r="DM9" s="2" t="s">
        <v>182</v>
      </c>
      <c r="DN9" s="6">
        <v>73.940290936217835</v>
      </c>
      <c r="DO9" s="2" t="s">
        <v>182</v>
      </c>
      <c r="DP9" s="2" t="s">
        <v>182</v>
      </c>
      <c r="DQ9" s="6">
        <v>73.940290936217835</v>
      </c>
      <c r="DR9" s="2" t="s">
        <v>182</v>
      </c>
      <c r="DS9" s="2" t="s">
        <v>182</v>
      </c>
      <c r="DT9" s="2" t="s">
        <v>182</v>
      </c>
      <c r="DU9" s="2" t="s">
        <v>182</v>
      </c>
      <c r="DV9" s="2" t="s">
        <v>182</v>
      </c>
      <c r="DW9" s="2" t="s">
        <v>211</v>
      </c>
      <c r="DX9" s="9">
        <v>2.06</v>
      </c>
      <c r="DY9" s="2" t="s">
        <v>182</v>
      </c>
      <c r="DZ9" s="2" t="s">
        <v>182</v>
      </c>
      <c r="EA9" s="2" t="s">
        <v>182</v>
      </c>
      <c r="EB9" s="2" t="s">
        <v>182</v>
      </c>
      <c r="EC9" s="2" t="s">
        <v>182</v>
      </c>
      <c r="ED9" s="2" t="s">
        <v>182</v>
      </c>
      <c r="EE9" s="2" t="s">
        <v>182</v>
      </c>
      <c r="EF9" s="2" t="s">
        <v>182</v>
      </c>
      <c r="EG9" s="2" t="s">
        <v>182</v>
      </c>
      <c r="EH9" s="2" t="s">
        <v>182</v>
      </c>
      <c r="EI9" s="2" t="s">
        <v>182</v>
      </c>
      <c r="EJ9" s="2" t="s">
        <v>182</v>
      </c>
      <c r="EK9" s="2" t="s">
        <v>182</v>
      </c>
      <c r="EL9" s="2" t="s">
        <v>182</v>
      </c>
      <c r="EM9" s="2" t="s">
        <v>182</v>
      </c>
      <c r="EN9" s="2" t="s">
        <v>182</v>
      </c>
      <c r="EO9" s="2" t="s">
        <v>182</v>
      </c>
      <c r="EP9" s="2" t="s">
        <v>182</v>
      </c>
      <c r="EQ9" s="2" t="s">
        <v>210</v>
      </c>
      <c r="ER9" s="2" t="s">
        <v>182</v>
      </c>
      <c r="ES9" s="2" t="s">
        <v>182</v>
      </c>
      <c r="ET9" s="2" t="s">
        <v>182</v>
      </c>
      <c r="EU9" s="2" t="s">
        <v>182</v>
      </c>
      <c r="EV9" s="3" t="s">
        <v>220</v>
      </c>
      <c r="EW9" s="2">
        <v>25</v>
      </c>
      <c r="EX9" s="2">
        <v>12.834323547088132</v>
      </c>
      <c r="EY9" s="2" t="s">
        <v>182</v>
      </c>
      <c r="EZ9" s="2" t="s">
        <v>182</v>
      </c>
      <c r="FA9" s="2" t="s">
        <v>182</v>
      </c>
      <c r="FB9" s="2" t="s">
        <v>209</v>
      </c>
      <c r="FC9" s="2">
        <v>12.506503464681199</v>
      </c>
      <c r="FD9" s="2">
        <v>1.7254061459571801</v>
      </c>
      <c r="FE9" s="2">
        <v>1.7254061459571783</v>
      </c>
      <c r="FF9" s="2" t="s">
        <v>185</v>
      </c>
      <c r="FG9" s="2" t="s">
        <v>207</v>
      </c>
      <c r="FH9" s="2">
        <v>485.90101364066754</v>
      </c>
      <c r="FI9" s="2">
        <v>74.322832781738214</v>
      </c>
      <c r="FJ9" s="2">
        <v>74.322832781738214</v>
      </c>
      <c r="FK9" s="2" t="s">
        <v>185</v>
      </c>
      <c r="FL9" s="2" t="s">
        <v>208</v>
      </c>
      <c r="FM9" s="2" t="s">
        <v>221</v>
      </c>
      <c r="FN9" s="2" t="s">
        <v>182</v>
      </c>
      <c r="FO9" s="2" t="s">
        <v>182</v>
      </c>
      <c r="FP9" s="2" t="s">
        <v>182</v>
      </c>
      <c r="FQ9" s="2" t="s">
        <v>182</v>
      </c>
      <c r="FR9" s="2" t="s">
        <v>182</v>
      </c>
      <c r="FS9" s="2" t="s">
        <v>182</v>
      </c>
      <c r="FT9" s="2" t="s">
        <v>188</v>
      </c>
      <c r="FU9" s="2" t="s">
        <v>182</v>
      </c>
      <c r="FV9" s="26" t="s">
        <v>275</v>
      </c>
      <c r="FW9" s="2" t="s">
        <v>182</v>
      </c>
      <c r="FX9" s="2" t="s">
        <v>182</v>
      </c>
      <c r="FY9" s="2" t="s">
        <v>222</v>
      </c>
    </row>
    <row r="10" spans="1:181" ht="14" x14ac:dyDescent="0.2">
      <c r="A10" s="2" t="s">
        <v>254</v>
      </c>
      <c r="B10" s="2" t="s">
        <v>189</v>
      </c>
      <c r="C10" s="2">
        <v>2016</v>
      </c>
      <c r="D10" s="3" t="str">
        <f t="shared" si="0"/>
        <v>10.1038/ncomms10284</v>
      </c>
      <c r="E10" s="2">
        <f t="shared" si="1"/>
        <v>9318.3622360229001</v>
      </c>
      <c r="F10" s="2" t="str">
        <f t="shared" si="2"/>
        <v>NA</v>
      </c>
      <c r="G10" s="2" t="str">
        <f t="shared" si="3"/>
        <v>NA</v>
      </c>
      <c r="H10" s="2" t="str">
        <f t="shared" si="4"/>
        <v>NA</v>
      </c>
      <c r="I10" s="2" t="str">
        <f t="shared" si="5"/>
        <v>NA</v>
      </c>
      <c r="J10" s="2" t="str">
        <f t="shared" si="6"/>
        <v>NA</v>
      </c>
      <c r="K10" s="3" t="s">
        <v>212</v>
      </c>
      <c r="L10" s="2" t="s">
        <v>181</v>
      </c>
      <c r="M10" s="3" t="s">
        <v>204</v>
      </c>
      <c r="N10" s="3" t="s">
        <v>190</v>
      </c>
      <c r="O10" s="7">
        <v>999</v>
      </c>
      <c r="P10" s="7" t="s">
        <v>177</v>
      </c>
      <c r="Q10" s="7">
        <v>28</v>
      </c>
      <c r="R10" s="7" t="s">
        <v>199</v>
      </c>
      <c r="S10" s="7" t="s">
        <v>192</v>
      </c>
      <c r="T10" s="7">
        <v>1</v>
      </c>
      <c r="U10" s="7">
        <v>25</v>
      </c>
      <c r="V10" s="7">
        <v>26</v>
      </c>
      <c r="W10" s="2" t="s">
        <v>182</v>
      </c>
      <c r="X10" s="2" t="s">
        <v>182</v>
      </c>
      <c r="Y10" s="2" t="s">
        <v>182</v>
      </c>
      <c r="Z10" s="7">
        <v>248.965</v>
      </c>
      <c r="AA10" s="2" t="s">
        <v>193</v>
      </c>
      <c r="AB10" s="2">
        <v>9318.3622360229001</v>
      </c>
      <c r="AC10" s="2" t="s">
        <v>182</v>
      </c>
      <c r="AD10" s="2" t="s">
        <v>182</v>
      </c>
      <c r="AE10" s="2" t="s">
        <v>182</v>
      </c>
      <c r="AF10" s="2" t="s">
        <v>213</v>
      </c>
      <c r="AG10" s="2" t="s">
        <v>205</v>
      </c>
      <c r="AH10" s="2">
        <v>12.743983333333333</v>
      </c>
      <c r="AI10" s="2">
        <v>-78.739333333333335</v>
      </c>
      <c r="AJ10" s="2">
        <v>-2827.9</v>
      </c>
      <c r="AK10" s="2" t="s">
        <v>182</v>
      </c>
      <c r="AL10" s="2" t="s">
        <v>182</v>
      </c>
      <c r="AM10" s="2" t="s">
        <v>182</v>
      </c>
      <c r="AN10" s="2" t="s">
        <v>182</v>
      </c>
      <c r="AO10" s="2" t="s">
        <v>182</v>
      </c>
      <c r="AP10" s="2" t="s">
        <v>182</v>
      </c>
      <c r="AQ10" s="2" t="s">
        <v>182</v>
      </c>
      <c r="AR10" s="2" t="s">
        <v>182</v>
      </c>
      <c r="AS10" s="2" t="s">
        <v>182</v>
      </c>
      <c r="AT10" s="2" t="s">
        <v>182</v>
      </c>
      <c r="AU10" s="2" t="s">
        <v>182</v>
      </c>
      <c r="AV10" s="2" t="s">
        <v>182</v>
      </c>
      <c r="AW10" s="2" t="s">
        <v>182</v>
      </c>
      <c r="AX10" s="5">
        <v>2.6461999999999999</v>
      </c>
      <c r="AY10" s="2">
        <v>0.05</v>
      </c>
      <c r="AZ10" s="2" t="s">
        <v>194</v>
      </c>
      <c r="BA10" s="2" t="s">
        <v>182</v>
      </c>
      <c r="BB10" s="2" t="s">
        <v>182</v>
      </c>
      <c r="BC10" s="2" t="s">
        <v>182</v>
      </c>
      <c r="BD10" s="2" t="s">
        <v>182</v>
      </c>
      <c r="BE10" s="2" t="s">
        <v>182</v>
      </c>
      <c r="BF10" s="3" t="s">
        <v>195</v>
      </c>
      <c r="BG10" s="3" t="s">
        <v>196</v>
      </c>
      <c r="BH10" s="2">
        <v>0.12</v>
      </c>
      <c r="BI10" s="2" t="s">
        <v>182</v>
      </c>
      <c r="BJ10" s="2" t="s">
        <v>182</v>
      </c>
      <c r="BK10" s="2" t="s">
        <v>182</v>
      </c>
      <c r="BL10" s="2" t="s">
        <v>182</v>
      </c>
      <c r="BM10" s="2" t="s">
        <v>182</v>
      </c>
      <c r="BN10" s="2" t="s">
        <v>182</v>
      </c>
      <c r="BO10" s="2" t="s">
        <v>182</v>
      </c>
      <c r="BP10" s="2" t="s">
        <v>182</v>
      </c>
      <c r="BQ10" s="2" t="s">
        <v>182</v>
      </c>
      <c r="BR10" t="s">
        <v>206</v>
      </c>
      <c r="BS10" s="2" t="s">
        <v>216</v>
      </c>
      <c r="BT10" s="7" t="s">
        <v>182</v>
      </c>
      <c r="BU10" s="3" t="s">
        <v>182</v>
      </c>
      <c r="BV10" s="2" t="s">
        <v>182</v>
      </c>
      <c r="BW10" s="2" t="s">
        <v>182</v>
      </c>
      <c r="BX10" s="2" t="s">
        <v>182</v>
      </c>
      <c r="BY10" s="2">
        <v>4.2</v>
      </c>
      <c r="BZ10" s="2" t="s">
        <v>182</v>
      </c>
      <c r="CA10" s="2" t="s">
        <v>182</v>
      </c>
      <c r="CB10" s="2" t="s">
        <v>182</v>
      </c>
      <c r="CC10" s="2" t="s">
        <v>182</v>
      </c>
      <c r="CD10" s="2" t="s">
        <v>182</v>
      </c>
      <c r="CE10" s="3" t="s">
        <v>197</v>
      </c>
      <c r="CF10" s="2" t="s">
        <v>198</v>
      </c>
      <c r="CG10" s="2" t="s">
        <v>182</v>
      </c>
      <c r="CH10" s="2" t="s">
        <v>182</v>
      </c>
      <c r="CI10" s="2" t="s">
        <v>182</v>
      </c>
      <c r="CJ10" s="3" t="s">
        <v>182</v>
      </c>
      <c r="CK10" s="2" t="s">
        <v>182</v>
      </c>
      <c r="CL10" s="2" t="s">
        <v>182</v>
      </c>
      <c r="CM10" s="2" t="s">
        <v>182</v>
      </c>
      <c r="CN10" s="2" t="s">
        <v>182</v>
      </c>
      <c r="CO10" s="2" t="s">
        <v>182</v>
      </c>
      <c r="CP10" s="2" t="s">
        <v>182</v>
      </c>
      <c r="CQ10" s="2" t="s">
        <v>182</v>
      </c>
      <c r="CR10" s="2" t="s">
        <v>182</v>
      </c>
      <c r="CS10" s="2" t="s">
        <v>182</v>
      </c>
      <c r="CT10" s="2" t="s">
        <v>182</v>
      </c>
      <c r="CU10" s="2" t="s">
        <v>182</v>
      </c>
      <c r="CV10" s="2" t="s">
        <v>219</v>
      </c>
      <c r="CW10" s="2" t="s">
        <v>182</v>
      </c>
      <c r="CX10" s="2" t="s">
        <v>182</v>
      </c>
      <c r="CY10" s="2" t="s">
        <v>182</v>
      </c>
      <c r="CZ10" s="2" t="s">
        <v>182</v>
      </c>
      <c r="DA10" s="2" t="s">
        <v>182</v>
      </c>
      <c r="DB10" s="2" t="s">
        <v>182</v>
      </c>
      <c r="DC10" s="2" t="s">
        <v>182</v>
      </c>
      <c r="DD10" s="2" t="s">
        <v>182</v>
      </c>
      <c r="DE10" s="2" t="s">
        <v>182</v>
      </c>
      <c r="DF10" s="2" t="s">
        <v>182</v>
      </c>
      <c r="DG10" s="2" t="s">
        <v>182</v>
      </c>
      <c r="DH10" s="2" t="s">
        <v>182</v>
      </c>
      <c r="DI10" s="2" t="s">
        <v>182</v>
      </c>
      <c r="DJ10" s="2" t="s">
        <v>182</v>
      </c>
      <c r="DK10" s="2" t="s">
        <v>182</v>
      </c>
      <c r="DL10" s="2" t="s">
        <v>182</v>
      </c>
      <c r="DM10" s="2" t="s">
        <v>182</v>
      </c>
      <c r="DN10" s="6" t="s">
        <v>182</v>
      </c>
      <c r="DO10" s="2" t="s">
        <v>182</v>
      </c>
      <c r="DP10" s="2" t="s">
        <v>182</v>
      </c>
      <c r="DQ10" s="6" t="s">
        <v>182</v>
      </c>
      <c r="DR10" s="2" t="s">
        <v>182</v>
      </c>
      <c r="DS10" s="2" t="s">
        <v>182</v>
      </c>
      <c r="DT10" s="2" t="s">
        <v>182</v>
      </c>
      <c r="DU10" s="2" t="s">
        <v>182</v>
      </c>
      <c r="DV10" s="2" t="s">
        <v>182</v>
      </c>
      <c r="DW10" s="2" t="s">
        <v>182</v>
      </c>
      <c r="DX10" s="9" t="s">
        <v>182</v>
      </c>
      <c r="DY10" s="2" t="s">
        <v>182</v>
      </c>
      <c r="DZ10" s="2" t="s">
        <v>182</v>
      </c>
      <c r="EA10" s="2" t="s">
        <v>182</v>
      </c>
      <c r="EB10" s="2" t="s">
        <v>182</v>
      </c>
      <c r="EC10" s="2" t="s">
        <v>182</v>
      </c>
      <c r="ED10" s="2">
        <v>150.32408221696016</v>
      </c>
      <c r="EE10" s="2" t="s">
        <v>182</v>
      </c>
      <c r="EF10" s="2" t="s">
        <v>182</v>
      </c>
      <c r="EG10" s="2" t="s">
        <v>182</v>
      </c>
      <c r="EH10" s="2" t="s">
        <v>182</v>
      </c>
      <c r="EI10" s="2" t="s">
        <v>182</v>
      </c>
      <c r="EJ10" s="2" t="s">
        <v>182</v>
      </c>
      <c r="EK10" s="2" t="s">
        <v>182</v>
      </c>
      <c r="EL10" s="2" t="s">
        <v>182</v>
      </c>
      <c r="EM10" s="2" t="s">
        <v>182</v>
      </c>
      <c r="EN10" s="2" t="s">
        <v>182</v>
      </c>
      <c r="EO10" s="2" t="s">
        <v>182</v>
      </c>
      <c r="EP10" s="2" t="s">
        <v>182</v>
      </c>
      <c r="EQ10" s="2" t="s">
        <v>210</v>
      </c>
      <c r="ER10" s="2" t="s">
        <v>182</v>
      </c>
      <c r="ES10" s="2" t="s">
        <v>182</v>
      </c>
      <c r="ET10" s="2" t="s">
        <v>182</v>
      </c>
      <c r="EU10" s="2" t="s">
        <v>182</v>
      </c>
      <c r="EV10" s="3" t="s">
        <v>182</v>
      </c>
      <c r="EW10" s="2" t="s">
        <v>182</v>
      </c>
      <c r="EX10" s="2" t="s">
        <v>182</v>
      </c>
      <c r="EY10" s="2" t="s">
        <v>182</v>
      </c>
      <c r="EZ10" s="2" t="s">
        <v>182</v>
      </c>
      <c r="FA10" s="2" t="s">
        <v>182</v>
      </c>
      <c r="FB10" s="2" t="s">
        <v>209</v>
      </c>
      <c r="FC10" s="2" t="s">
        <v>182</v>
      </c>
      <c r="FD10" s="2" t="s">
        <v>182</v>
      </c>
      <c r="FE10" s="2" t="s">
        <v>182</v>
      </c>
      <c r="FF10" s="2" t="s">
        <v>182</v>
      </c>
      <c r="FG10" s="2" t="s">
        <v>182</v>
      </c>
      <c r="FH10" s="2" t="s">
        <v>182</v>
      </c>
      <c r="FI10" s="2" t="s">
        <v>182</v>
      </c>
      <c r="FJ10" s="2" t="s">
        <v>182</v>
      </c>
      <c r="FK10" s="2" t="s">
        <v>182</v>
      </c>
      <c r="FL10" s="2" t="s">
        <v>182</v>
      </c>
      <c r="FM10" s="2" t="s">
        <v>182</v>
      </c>
      <c r="FN10" s="2" t="s">
        <v>182</v>
      </c>
      <c r="FO10" s="2" t="s">
        <v>182</v>
      </c>
      <c r="FP10" s="2" t="s">
        <v>182</v>
      </c>
      <c r="FQ10" s="2" t="s">
        <v>182</v>
      </c>
      <c r="FR10" s="2" t="s">
        <v>182</v>
      </c>
      <c r="FS10" s="2" t="s">
        <v>182</v>
      </c>
      <c r="FT10" s="2" t="s">
        <v>188</v>
      </c>
      <c r="FU10" s="2" t="s">
        <v>182</v>
      </c>
      <c r="FV10" s="26" t="s">
        <v>276</v>
      </c>
      <c r="FW10" s="2" t="s">
        <v>182</v>
      </c>
      <c r="FX10" s="2" t="s">
        <v>182</v>
      </c>
      <c r="FY10" s="2" t="s">
        <v>249</v>
      </c>
    </row>
    <row r="11" spans="1:181" ht="14" x14ac:dyDescent="0.2">
      <c r="A11" s="2" t="s">
        <v>254</v>
      </c>
      <c r="B11" s="2" t="s">
        <v>189</v>
      </c>
      <c r="C11" s="2">
        <v>2016</v>
      </c>
      <c r="D11" s="3" t="str">
        <f t="shared" si="0"/>
        <v>10.1038/ncomms10284</v>
      </c>
      <c r="E11" s="2">
        <f t="shared" si="1"/>
        <v>10330.111503601074</v>
      </c>
      <c r="F11" s="2" t="str">
        <f t="shared" si="2"/>
        <v>NA</v>
      </c>
      <c r="G11" s="2" t="str">
        <f t="shared" si="3"/>
        <v>NA</v>
      </c>
      <c r="H11" s="2">
        <f t="shared" si="4"/>
        <v>504.03529807832797</v>
      </c>
      <c r="I11" s="2">
        <f t="shared" si="5"/>
        <v>30.110661408787735</v>
      </c>
      <c r="J11" s="2">
        <f t="shared" si="6"/>
        <v>30.110661408787735</v>
      </c>
      <c r="K11" s="3" t="s">
        <v>212</v>
      </c>
      <c r="L11" s="2" t="s">
        <v>181</v>
      </c>
      <c r="M11" s="3" t="s">
        <v>204</v>
      </c>
      <c r="N11" s="3" t="s">
        <v>190</v>
      </c>
      <c r="O11" s="4">
        <v>999</v>
      </c>
      <c r="P11" s="4" t="s">
        <v>177</v>
      </c>
      <c r="Q11" s="4">
        <v>29</v>
      </c>
      <c r="R11" s="4" t="s">
        <v>199</v>
      </c>
      <c r="S11" s="4" t="s">
        <v>192</v>
      </c>
      <c r="T11" s="4">
        <v>6</v>
      </c>
      <c r="U11" s="4">
        <v>2</v>
      </c>
      <c r="V11" s="4">
        <v>4</v>
      </c>
      <c r="W11" s="2" t="s">
        <v>182</v>
      </c>
      <c r="X11" s="2" t="s">
        <v>182</v>
      </c>
      <c r="Y11" s="2" t="s">
        <v>182</v>
      </c>
      <c r="Z11" s="4">
        <v>266.00500000000005</v>
      </c>
      <c r="AA11" s="2" t="s">
        <v>193</v>
      </c>
      <c r="AB11" s="2">
        <v>10330.111503601074</v>
      </c>
      <c r="AC11" s="2" t="s">
        <v>182</v>
      </c>
      <c r="AD11" s="2" t="s">
        <v>182</v>
      </c>
      <c r="AE11" s="2" t="s">
        <v>182</v>
      </c>
      <c r="AF11" s="2" t="s">
        <v>213</v>
      </c>
      <c r="AG11" s="2" t="s">
        <v>205</v>
      </c>
      <c r="AH11" s="2">
        <v>12.743983333333333</v>
      </c>
      <c r="AI11" s="2">
        <v>-78.739333333333335</v>
      </c>
      <c r="AJ11" s="2">
        <v>-2827.9</v>
      </c>
      <c r="AK11" s="2" t="s">
        <v>182</v>
      </c>
      <c r="AL11" s="2" t="s">
        <v>182</v>
      </c>
      <c r="AM11" s="2" t="s">
        <v>182</v>
      </c>
      <c r="AN11" s="2" t="s">
        <v>182</v>
      </c>
      <c r="AO11" s="2" t="s">
        <v>182</v>
      </c>
      <c r="AP11" s="2" t="s">
        <v>182</v>
      </c>
      <c r="AQ11" s="2" t="s">
        <v>182</v>
      </c>
      <c r="AR11" s="2" t="s">
        <v>182</v>
      </c>
      <c r="AS11" s="2" t="s">
        <v>182</v>
      </c>
      <c r="AT11" s="2" t="s">
        <v>182</v>
      </c>
      <c r="AU11" s="2" t="s">
        <v>182</v>
      </c>
      <c r="AV11" s="2" t="s">
        <v>182</v>
      </c>
      <c r="AW11" s="2" t="s">
        <v>182</v>
      </c>
      <c r="AX11" s="5">
        <v>2.6593999999999998</v>
      </c>
      <c r="AY11" s="2">
        <v>0.05</v>
      </c>
      <c r="AZ11" s="2" t="s">
        <v>194</v>
      </c>
      <c r="BA11" s="2" t="s">
        <v>182</v>
      </c>
      <c r="BB11" s="2" t="s">
        <v>182</v>
      </c>
      <c r="BC11" s="2" t="s">
        <v>182</v>
      </c>
      <c r="BD11" s="2" t="s">
        <v>182</v>
      </c>
      <c r="BE11" s="2" t="s">
        <v>182</v>
      </c>
      <c r="BF11" s="3" t="s">
        <v>195</v>
      </c>
      <c r="BG11" s="3" t="s">
        <v>196</v>
      </c>
      <c r="BH11" s="2">
        <v>0.12</v>
      </c>
      <c r="BI11" s="2" t="s">
        <v>182</v>
      </c>
      <c r="BJ11" s="2" t="s">
        <v>182</v>
      </c>
      <c r="BK11" s="2" t="s">
        <v>182</v>
      </c>
      <c r="BL11" s="2" t="s">
        <v>182</v>
      </c>
      <c r="BM11" s="2" t="s">
        <v>182</v>
      </c>
      <c r="BN11" s="2" t="s">
        <v>182</v>
      </c>
      <c r="BO11" s="2" t="s">
        <v>182</v>
      </c>
      <c r="BP11" s="2" t="s">
        <v>182</v>
      </c>
      <c r="BQ11" s="2" t="s">
        <v>182</v>
      </c>
      <c r="BR11" t="s">
        <v>206</v>
      </c>
      <c r="BS11" s="2" t="s">
        <v>216</v>
      </c>
      <c r="BT11" s="6">
        <v>-22.259333333333334</v>
      </c>
      <c r="BU11" s="3" t="s">
        <v>176</v>
      </c>
      <c r="BV11" s="2">
        <v>0.7</v>
      </c>
      <c r="BW11" s="2" t="s">
        <v>182</v>
      </c>
      <c r="BX11" s="2" t="s">
        <v>182</v>
      </c>
      <c r="BY11" s="2">
        <v>4.2</v>
      </c>
      <c r="BZ11" s="2" t="s">
        <v>182</v>
      </c>
      <c r="CA11" s="2" t="s">
        <v>182</v>
      </c>
      <c r="CB11" s="2" t="s">
        <v>182</v>
      </c>
      <c r="CC11" s="2" t="s">
        <v>182</v>
      </c>
      <c r="CD11" s="2" t="s">
        <v>182</v>
      </c>
      <c r="CE11" s="3" t="s">
        <v>197</v>
      </c>
      <c r="CF11" s="2" t="s">
        <v>198</v>
      </c>
      <c r="CG11" s="2" t="s">
        <v>182</v>
      </c>
      <c r="CH11" s="2" t="s">
        <v>182</v>
      </c>
      <c r="CI11" s="2" t="s">
        <v>182</v>
      </c>
      <c r="CJ11" s="3" t="s">
        <v>182</v>
      </c>
      <c r="CK11" s="2" t="s">
        <v>182</v>
      </c>
      <c r="CL11" s="2" t="s">
        <v>182</v>
      </c>
      <c r="CM11" s="2" t="s">
        <v>182</v>
      </c>
      <c r="CN11" s="2" t="s">
        <v>182</v>
      </c>
      <c r="CO11" s="2" t="s">
        <v>182</v>
      </c>
      <c r="CP11" s="2" t="s">
        <v>182</v>
      </c>
      <c r="CQ11" s="2" t="s">
        <v>182</v>
      </c>
      <c r="CR11" s="2">
        <v>31.8</v>
      </c>
      <c r="CS11" s="2" t="s">
        <v>182</v>
      </c>
      <c r="CT11" s="2" t="s">
        <v>182</v>
      </c>
      <c r="CU11" s="2" t="s">
        <v>182</v>
      </c>
      <c r="CV11" s="2" t="s">
        <v>219</v>
      </c>
      <c r="CW11" s="2" t="s">
        <v>182</v>
      </c>
      <c r="CX11" s="2" t="s">
        <v>182</v>
      </c>
      <c r="CY11" s="2" t="s">
        <v>182</v>
      </c>
      <c r="CZ11" s="2" t="s">
        <v>182</v>
      </c>
      <c r="DA11" s="2" t="s">
        <v>182</v>
      </c>
      <c r="DB11" s="2" t="s">
        <v>182</v>
      </c>
      <c r="DC11" s="2" t="s">
        <v>182</v>
      </c>
      <c r="DD11" s="2" t="s">
        <v>182</v>
      </c>
      <c r="DE11" s="2" t="s">
        <v>182</v>
      </c>
      <c r="DF11" s="2" t="s">
        <v>182</v>
      </c>
      <c r="DG11" s="2" t="s">
        <v>182</v>
      </c>
      <c r="DH11" s="2" t="s">
        <v>182</v>
      </c>
      <c r="DI11" s="2" t="s">
        <v>182</v>
      </c>
      <c r="DJ11" s="2" t="s">
        <v>182</v>
      </c>
      <c r="DK11" s="2" t="s">
        <v>182</v>
      </c>
      <c r="DL11" s="2" t="s">
        <v>182</v>
      </c>
      <c r="DM11" s="2" t="s">
        <v>182</v>
      </c>
      <c r="DN11" s="6">
        <v>660.56602925477137</v>
      </c>
      <c r="DO11" s="2" t="s">
        <v>182</v>
      </c>
      <c r="DP11" s="2" t="s">
        <v>182</v>
      </c>
      <c r="DQ11" s="6">
        <v>660.56602925477137</v>
      </c>
      <c r="DR11" s="2" t="s">
        <v>182</v>
      </c>
      <c r="DS11" s="2" t="s">
        <v>182</v>
      </c>
      <c r="DT11" s="2" t="s">
        <v>182</v>
      </c>
      <c r="DU11" s="2" t="s">
        <v>182</v>
      </c>
      <c r="DV11" s="2" t="s">
        <v>182</v>
      </c>
      <c r="DW11" s="2" t="s">
        <v>211</v>
      </c>
      <c r="DX11" s="9">
        <v>3.8250000000000002</v>
      </c>
      <c r="DY11" s="2" t="s">
        <v>182</v>
      </c>
      <c r="DZ11" s="2" t="s">
        <v>182</v>
      </c>
      <c r="EA11" s="2" t="s">
        <v>182</v>
      </c>
      <c r="EB11" s="2" t="s">
        <v>182</v>
      </c>
      <c r="EC11" s="2" t="s">
        <v>182</v>
      </c>
      <c r="ED11" s="2">
        <v>160.5076827641133</v>
      </c>
      <c r="EE11" s="2" t="s">
        <v>182</v>
      </c>
      <c r="EF11" s="2" t="s">
        <v>182</v>
      </c>
      <c r="EG11" s="2" t="s">
        <v>182</v>
      </c>
      <c r="EH11" s="2" t="s">
        <v>182</v>
      </c>
      <c r="EI11" s="2" t="s">
        <v>182</v>
      </c>
      <c r="EJ11" s="2" t="s">
        <v>182</v>
      </c>
      <c r="EK11" s="2" t="s">
        <v>182</v>
      </c>
      <c r="EL11" s="2" t="s">
        <v>182</v>
      </c>
      <c r="EM11" s="2" t="s">
        <v>182</v>
      </c>
      <c r="EN11" s="2" t="s">
        <v>182</v>
      </c>
      <c r="EO11" s="2" t="s">
        <v>182</v>
      </c>
      <c r="EP11" s="2" t="s">
        <v>182</v>
      </c>
      <c r="EQ11" s="2" t="s">
        <v>210</v>
      </c>
      <c r="ER11" s="2" t="s">
        <v>182</v>
      </c>
      <c r="ES11" s="2" t="s">
        <v>182</v>
      </c>
      <c r="ET11" s="2" t="s">
        <v>182</v>
      </c>
      <c r="EU11" s="2" t="s">
        <v>182</v>
      </c>
      <c r="EV11" s="3" t="s">
        <v>220</v>
      </c>
      <c r="EW11" s="2">
        <v>25</v>
      </c>
      <c r="EX11" s="2">
        <v>11.560980455469494</v>
      </c>
      <c r="EY11" s="2" t="s">
        <v>182</v>
      </c>
      <c r="EZ11" s="2" t="s">
        <v>182</v>
      </c>
      <c r="FA11" s="2" t="s">
        <v>182</v>
      </c>
      <c r="FB11" s="2" t="s">
        <v>209</v>
      </c>
      <c r="FC11" s="2">
        <v>11.966343782755487</v>
      </c>
      <c r="FD11" s="2">
        <v>0.68055798238292198</v>
      </c>
      <c r="FE11" s="2">
        <v>0.6805579823829202</v>
      </c>
      <c r="FF11" s="2" t="s">
        <v>185</v>
      </c>
      <c r="FG11" s="2" t="s">
        <v>207</v>
      </c>
      <c r="FH11" s="2">
        <v>504.03529807832797</v>
      </c>
      <c r="FI11" s="2">
        <v>30.110661408787735</v>
      </c>
      <c r="FJ11" s="2">
        <v>30.110661408787735</v>
      </c>
      <c r="FK11" s="2" t="s">
        <v>185</v>
      </c>
      <c r="FL11" s="2" t="s">
        <v>208</v>
      </c>
      <c r="FM11" s="2" t="s">
        <v>221</v>
      </c>
      <c r="FN11" s="2" t="s">
        <v>182</v>
      </c>
      <c r="FO11" s="2" t="s">
        <v>182</v>
      </c>
      <c r="FP11" s="2" t="s">
        <v>182</v>
      </c>
      <c r="FQ11" s="2" t="s">
        <v>182</v>
      </c>
      <c r="FR11" s="2" t="s">
        <v>182</v>
      </c>
      <c r="FS11" s="2" t="s">
        <v>182</v>
      </c>
      <c r="FT11" s="2" t="s">
        <v>188</v>
      </c>
      <c r="FU11" s="2" t="s">
        <v>182</v>
      </c>
      <c r="FV11" s="26" t="s">
        <v>277</v>
      </c>
      <c r="FW11" s="2" t="s">
        <v>182</v>
      </c>
      <c r="FX11" s="2" t="s">
        <v>182</v>
      </c>
      <c r="FY11" s="2" t="s">
        <v>222</v>
      </c>
    </row>
    <row r="12" spans="1:181" ht="14" x14ac:dyDescent="0.2">
      <c r="A12" s="2" t="s">
        <v>254</v>
      </c>
      <c r="B12" s="2" t="s">
        <v>189</v>
      </c>
      <c r="C12" s="2">
        <v>2016</v>
      </c>
      <c r="D12" s="3" t="str">
        <f t="shared" si="0"/>
        <v>10.1038/ncomms10284</v>
      </c>
      <c r="E12" s="2">
        <f t="shared" si="1"/>
        <v>11200.47664642334</v>
      </c>
      <c r="F12" s="2" t="str">
        <f t="shared" si="2"/>
        <v>NA</v>
      </c>
      <c r="G12" s="2" t="str">
        <f t="shared" si="3"/>
        <v>NA</v>
      </c>
      <c r="H12" s="2">
        <f t="shared" si="4"/>
        <v>410.48877845059633</v>
      </c>
      <c r="I12" s="2">
        <f t="shared" si="5"/>
        <v>70.196629093238073</v>
      </c>
      <c r="J12" s="2">
        <f t="shared" si="6"/>
        <v>70.196629093238073</v>
      </c>
      <c r="K12" s="3" t="s">
        <v>212</v>
      </c>
      <c r="L12" s="2" t="s">
        <v>181</v>
      </c>
      <c r="M12" s="3" t="s">
        <v>204</v>
      </c>
      <c r="N12" s="3" t="s">
        <v>190</v>
      </c>
      <c r="O12" s="4">
        <v>999</v>
      </c>
      <c r="P12" s="4" t="s">
        <v>177</v>
      </c>
      <c r="Q12" s="4">
        <v>31</v>
      </c>
      <c r="R12" s="4" t="s">
        <v>199</v>
      </c>
      <c r="S12" s="4" t="s">
        <v>192</v>
      </c>
      <c r="T12" s="4">
        <v>4</v>
      </c>
      <c r="U12" s="4">
        <v>60</v>
      </c>
      <c r="V12" s="4">
        <v>62</v>
      </c>
      <c r="W12" s="2" t="s">
        <v>182</v>
      </c>
      <c r="X12" s="2" t="s">
        <v>182</v>
      </c>
      <c r="Y12" s="2" t="s">
        <v>182</v>
      </c>
      <c r="Z12" s="4">
        <v>282.78500000000003</v>
      </c>
      <c r="AA12" s="2" t="s">
        <v>193</v>
      </c>
      <c r="AB12" s="2">
        <v>11200.47664642334</v>
      </c>
      <c r="AC12" s="2" t="s">
        <v>182</v>
      </c>
      <c r="AD12" s="2" t="s">
        <v>182</v>
      </c>
      <c r="AE12" s="2" t="s">
        <v>182</v>
      </c>
      <c r="AF12" s="2" t="s">
        <v>213</v>
      </c>
      <c r="AG12" s="2" t="s">
        <v>205</v>
      </c>
      <c r="AH12" s="2">
        <v>12.743983333333333</v>
      </c>
      <c r="AI12" s="2">
        <v>-78.739333333333335</v>
      </c>
      <c r="AJ12" s="2">
        <v>-2827.9</v>
      </c>
      <c r="AK12" s="2" t="s">
        <v>182</v>
      </c>
      <c r="AL12" s="2" t="s">
        <v>182</v>
      </c>
      <c r="AM12" s="2" t="s">
        <v>182</v>
      </c>
      <c r="AN12" s="2" t="s">
        <v>182</v>
      </c>
      <c r="AO12" s="2" t="s">
        <v>182</v>
      </c>
      <c r="AP12" s="2" t="s">
        <v>182</v>
      </c>
      <c r="AQ12" s="2" t="s">
        <v>182</v>
      </c>
      <c r="AR12" s="2" t="s">
        <v>182</v>
      </c>
      <c r="AS12" s="2" t="s">
        <v>182</v>
      </c>
      <c r="AT12" s="2" t="s">
        <v>182</v>
      </c>
      <c r="AU12" s="2" t="s">
        <v>182</v>
      </c>
      <c r="AV12" s="2" t="s">
        <v>182</v>
      </c>
      <c r="AW12" s="2" t="s">
        <v>182</v>
      </c>
      <c r="AX12" s="5">
        <v>2.4994289596323611</v>
      </c>
      <c r="AY12" s="2" t="s">
        <v>182</v>
      </c>
      <c r="AZ12" s="2" t="s">
        <v>182</v>
      </c>
      <c r="BA12" s="2" t="s">
        <v>182</v>
      </c>
      <c r="BB12" s="2" t="s">
        <v>182</v>
      </c>
      <c r="BC12" s="2" t="s">
        <v>182</v>
      </c>
      <c r="BD12" s="2" t="s">
        <v>182</v>
      </c>
      <c r="BE12" s="2" t="s">
        <v>182</v>
      </c>
      <c r="BF12" s="3" t="s">
        <v>218</v>
      </c>
      <c r="BG12" s="3" t="s">
        <v>182</v>
      </c>
      <c r="BH12" s="2">
        <v>0.12</v>
      </c>
      <c r="BI12" s="2" t="s">
        <v>182</v>
      </c>
      <c r="BJ12" s="2" t="s">
        <v>182</v>
      </c>
      <c r="BK12" s="2" t="s">
        <v>182</v>
      </c>
      <c r="BL12" s="2" t="s">
        <v>182</v>
      </c>
      <c r="BM12" s="2" t="s">
        <v>182</v>
      </c>
      <c r="BN12" s="2" t="s">
        <v>182</v>
      </c>
      <c r="BO12" s="2" t="s">
        <v>182</v>
      </c>
      <c r="BP12" s="2" t="s">
        <v>182</v>
      </c>
      <c r="BQ12" s="2" t="s">
        <v>182</v>
      </c>
      <c r="BR12" t="s">
        <v>206</v>
      </c>
      <c r="BS12" s="2" t="s">
        <v>217</v>
      </c>
      <c r="BT12" s="6">
        <v>-22.805333333333333</v>
      </c>
      <c r="BU12" s="3" t="s">
        <v>176</v>
      </c>
      <c r="BV12" s="2">
        <v>0.7</v>
      </c>
      <c r="BW12" s="2" t="s">
        <v>182</v>
      </c>
      <c r="BX12" s="2" t="s">
        <v>182</v>
      </c>
      <c r="BY12" s="2">
        <v>4.2</v>
      </c>
      <c r="BZ12" s="2" t="s">
        <v>182</v>
      </c>
      <c r="CA12" s="2" t="s">
        <v>182</v>
      </c>
      <c r="CB12" s="2" t="s">
        <v>182</v>
      </c>
      <c r="CC12" s="2" t="s">
        <v>182</v>
      </c>
      <c r="CD12" s="2" t="s">
        <v>182</v>
      </c>
      <c r="CE12" s="3" t="s">
        <v>197</v>
      </c>
      <c r="CF12" s="2" t="s">
        <v>198</v>
      </c>
      <c r="CG12" s="2" t="s">
        <v>182</v>
      </c>
      <c r="CH12" s="2" t="s">
        <v>182</v>
      </c>
      <c r="CI12" s="2" t="s">
        <v>182</v>
      </c>
      <c r="CJ12" s="3" t="s">
        <v>182</v>
      </c>
      <c r="CK12" s="2" t="s">
        <v>182</v>
      </c>
      <c r="CL12" s="2" t="s">
        <v>182</v>
      </c>
      <c r="CM12" s="2" t="s">
        <v>182</v>
      </c>
      <c r="CN12" s="2" t="s">
        <v>182</v>
      </c>
      <c r="CO12" s="2" t="s">
        <v>182</v>
      </c>
      <c r="CP12" s="2" t="s">
        <v>182</v>
      </c>
      <c r="CQ12" s="2" t="s">
        <v>182</v>
      </c>
      <c r="CR12" s="2">
        <v>32.1</v>
      </c>
      <c r="CS12" s="2" t="s">
        <v>182</v>
      </c>
      <c r="CT12" s="2" t="s">
        <v>182</v>
      </c>
      <c r="CU12" s="2" t="s">
        <v>182</v>
      </c>
      <c r="CV12" s="2" t="s">
        <v>219</v>
      </c>
      <c r="CW12" s="2" t="s">
        <v>182</v>
      </c>
      <c r="CX12" s="2" t="s">
        <v>182</v>
      </c>
      <c r="CY12" s="2" t="s">
        <v>182</v>
      </c>
      <c r="CZ12" s="2" t="s">
        <v>182</v>
      </c>
      <c r="DA12" s="2" t="s">
        <v>182</v>
      </c>
      <c r="DB12" s="2" t="s">
        <v>182</v>
      </c>
      <c r="DC12" s="2" t="s">
        <v>182</v>
      </c>
      <c r="DD12" s="2" t="s">
        <v>182</v>
      </c>
      <c r="DE12" s="2" t="s">
        <v>182</v>
      </c>
      <c r="DF12" s="2" t="s">
        <v>182</v>
      </c>
      <c r="DG12" s="2" t="s">
        <v>182</v>
      </c>
      <c r="DH12" s="2" t="s">
        <v>182</v>
      </c>
      <c r="DI12" s="2" t="s">
        <v>182</v>
      </c>
      <c r="DJ12" s="2" t="s">
        <v>182</v>
      </c>
      <c r="DK12" s="2" t="s">
        <v>182</v>
      </c>
      <c r="DL12" s="2" t="s">
        <v>182</v>
      </c>
      <c r="DM12" s="2" t="s">
        <v>182</v>
      </c>
      <c r="DN12" s="6">
        <v>348.11695670788521</v>
      </c>
      <c r="DO12" s="2" t="s">
        <v>182</v>
      </c>
      <c r="DP12" s="2" t="s">
        <v>182</v>
      </c>
      <c r="DQ12" s="6">
        <v>348.11695670788521</v>
      </c>
      <c r="DR12" s="2" t="s">
        <v>182</v>
      </c>
      <c r="DS12" s="2" t="s">
        <v>182</v>
      </c>
      <c r="DT12" s="2" t="s">
        <v>182</v>
      </c>
      <c r="DU12" s="2" t="s">
        <v>182</v>
      </c>
      <c r="DV12" s="2" t="s">
        <v>182</v>
      </c>
      <c r="DW12" s="2" t="s">
        <v>211</v>
      </c>
      <c r="DX12" s="9">
        <v>3.95</v>
      </c>
      <c r="DY12" s="2" t="s">
        <v>182</v>
      </c>
      <c r="DZ12" s="2" t="s">
        <v>182</v>
      </c>
      <c r="EA12" s="2" t="s">
        <v>182</v>
      </c>
      <c r="EB12" s="2" t="s">
        <v>182</v>
      </c>
      <c r="EC12" s="2" t="s">
        <v>182</v>
      </c>
      <c r="ED12" s="2">
        <v>126.91482909686914</v>
      </c>
      <c r="EE12" s="2" t="s">
        <v>182</v>
      </c>
      <c r="EF12" s="2" t="s">
        <v>182</v>
      </c>
      <c r="EG12" s="2" t="s">
        <v>182</v>
      </c>
      <c r="EH12" s="2" t="s">
        <v>182</v>
      </c>
      <c r="EI12" s="2" t="s">
        <v>182</v>
      </c>
      <c r="EJ12" s="2" t="s">
        <v>182</v>
      </c>
      <c r="EK12" s="2" t="s">
        <v>182</v>
      </c>
      <c r="EL12" s="2" t="s">
        <v>182</v>
      </c>
      <c r="EM12" s="2" t="s">
        <v>182</v>
      </c>
      <c r="EN12" s="2" t="s">
        <v>182</v>
      </c>
      <c r="EO12" s="2" t="s">
        <v>182</v>
      </c>
      <c r="EP12" s="2" t="s">
        <v>182</v>
      </c>
      <c r="EQ12" s="2" t="s">
        <v>210</v>
      </c>
      <c r="ER12" s="2" t="s">
        <v>182</v>
      </c>
      <c r="ES12" s="2" t="s">
        <v>182</v>
      </c>
      <c r="ET12" s="2" t="s">
        <v>182</v>
      </c>
      <c r="EU12" s="2" t="s">
        <v>182</v>
      </c>
      <c r="EV12" s="3" t="s">
        <v>220</v>
      </c>
      <c r="EW12" s="2">
        <v>25</v>
      </c>
      <c r="EX12" s="2">
        <v>11.697324981050251</v>
      </c>
      <c r="EY12" s="2" t="s">
        <v>182</v>
      </c>
      <c r="EZ12" s="2" t="s">
        <v>182</v>
      </c>
      <c r="FA12" s="2" t="s">
        <v>182</v>
      </c>
      <c r="FB12" s="2" t="s">
        <v>209</v>
      </c>
      <c r="FC12" s="2">
        <v>9.6232077001995933</v>
      </c>
      <c r="FD12" s="2">
        <v>1.6286857304409494</v>
      </c>
      <c r="FE12" s="2">
        <v>1.6286857304409494</v>
      </c>
      <c r="FF12" s="2" t="s">
        <v>185</v>
      </c>
      <c r="FG12" s="2" t="s">
        <v>207</v>
      </c>
      <c r="FH12" s="2">
        <v>410.48877845059633</v>
      </c>
      <c r="FI12" s="2">
        <v>70.196629093238073</v>
      </c>
      <c r="FJ12" s="2">
        <v>70.196629093238073</v>
      </c>
      <c r="FK12" s="2" t="s">
        <v>185</v>
      </c>
      <c r="FL12" s="2" t="s">
        <v>208</v>
      </c>
      <c r="FM12" s="2" t="s">
        <v>221</v>
      </c>
      <c r="FN12" s="2" t="s">
        <v>182</v>
      </c>
      <c r="FO12" s="2" t="s">
        <v>182</v>
      </c>
      <c r="FP12" s="2" t="s">
        <v>182</v>
      </c>
      <c r="FQ12" s="2" t="s">
        <v>182</v>
      </c>
      <c r="FR12" s="2" t="s">
        <v>182</v>
      </c>
      <c r="FS12" s="2" t="s">
        <v>182</v>
      </c>
      <c r="FT12" s="2" t="s">
        <v>188</v>
      </c>
      <c r="FU12" s="2" t="s">
        <v>182</v>
      </c>
      <c r="FV12" s="26" t="s">
        <v>278</v>
      </c>
      <c r="FW12" s="2" t="s">
        <v>182</v>
      </c>
      <c r="FX12" s="2" t="s">
        <v>182</v>
      </c>
      <c r="FY12" s="2" t="s">
        <v>222</v>
      </c>
    </row>
    <row r="13" spans="1:181" ht="14" x14ac:dyDescent="0.2">
      <c r="A13" s="2" t="s">
        <v>254</v>
      </c>
      <c r="B13" s="2" t="s">
        <v>189</v>
      </c>
      <c r="C13" s="2">
        <v>2016</v>
      </c>
      <c r="D13" s="3" t="str">
        <f t="shared" si="0"/>
        <v>10.1038/ncomms10284</v>
      </c>
      <c r="E13" s="2">
        <f t="shared" si="1"/>
        <v>12463.480949401855</v>
      </c>
      <c r="F13" s="2" t="str">
        <f t="shared" si="2"/>
        <v>NA</v>
      </c>
      <c r="G13" s="2" t="str">
        <f t="shared" si="3"/>
        <v>NA</v>
      </c>
      <c r="H13" s="2">
        <f t="shared" si="4"/>
        <v>468.53094245228834</v>
      </c>
      <c r="I13" s="2">
        <f t="shared" si="5"/>
        <v>38.121826786421309</v>
      </c>
      <c r="J13" s="2">
        <f t="shared" si="6"/>
        <v>38.121826786421309</v>
      </c>
      <c r="K13" s="3" t="s">
        <v>212</v>
      </c>
      <c r="L13" s="2" t="s">
        <v>181</v>
      </c>
      <c r="M13" s="3" t="s">
        <v>204</v>
      </c>
      <c r="N13" s="3" t="s">
        <v>190</v>
      </c>
      <c r="O13" s="4">
        <v>999</v>
      </c>
      <c r="P13" s="4" t="s">
        <v>177</v>
      </c>
      <c r="Q13" s="4">
        <v>34</v>
      </c>
      <c r="R13" s="4" t="s">
        <v>199</v>
      </c>
      <c r="S13" s="4" t="s">
        <v>192</v>
      </c>
      <c r="T13" s="4">
        <v>2</v>
      </c>
      <c r="U13" s="4">
        <v>142</v>
      </c>
      <c r="V13" s="4">
        <v>144</v>
      </c>
      <c r="W13" s="2" t="s">
        <v>182</v>
      </c>
      <c r="X13" s="2" t="s">
        <v>182</v>
      </c>
      <c r="Y13" s="2" t="s">
        <v>182</v>
      </c>
      <c r="Z13" s="4">
        <v>309.30500000000001</v>
      </c>
      <c r="AA13" s="2" t="s">
        <v>193</v>
      </c>
      <c r="AB13" s="2">
        <v>12463.480949401855</v>
      </c>
      <c r="AC13" s="2" t="s">
        <v>182</v>
      </c>
      <c r="AD13" s="2" t="s">
        <v>182</v>
      </c>
      <c r="AE13" s="2" t="s">
        <v>182</v>
      </c>
      <c r="AF13" s="2" t="s">
        <v>213</v>
      </c>
      <c r="AG13" s="2" t="s">
        <v>205</v>
      </c>
      <c r="AH13" s="2">
        <v>12.743983333333333</v>
      </c>
      <c r="AI13" s="2">
        <v>-78.739333333333335</v>
      </c>
      <c r="AJ13" s="2">
        <v>-2827.9</v>
      </c>
      <c r="AK13" s="2" t="s">
        <v>182</v>
      </c>
      <c r="AL13" s="2" t="s">
        <v>182</v>
      </c>
      <c r="AM13" s="2" t="s">
        <v>182</v>
      </c>
      <c r="AN13" s="2" t="s">
        <v>182</v>
      </c>
      <c r="AO13" s="2" t="s">
        <v>182</v>
      </c>
      <c r="AP13" s="2" t="s">
        <v>182</v>
      </c>
      <c r="AQ13" s="2" t="s">
        <v>182</v>
      </c>
      <c r="AR13" s="2" t="s">
        <v>182</v>
      </c>
      <c r="AS13" s="2" t="s">
        <v>182</v>
      </c>
      <c r="AT13" s="2" t="s">
        <v>182</v>
      </c>
      <c r="AU13" s="2" t="s">
        <v>182</v>
      </c>
      <c r="AV13" s="2" t="s">
        <v>182</v>
      </c>
      <c r="AW13" s="2" t="s">
        <v>182</v>
      </c>
      <c r="AX13" s="5">
        <v>1.9561999999999999</v>
      </c>
      <c r="AY13" s="2">
        <v>0.05</v>
      </c>
      <c r="AZ13" s="2" t="s">
        <v>194</v>
      </c>
      <c r="BA13" s="2" t="s">
        <v>182</v>
      </c>
      <c r="BB13" s="2" t="s">
        <v>182</v>
      </c>
      <c r="BC13" s="2" t="s">
        <v>182</v>
      </c>
      <c r="BD13" s="2" t="s">
        <v>182</v>
      </c>
      <c r="BE13" s="2" t="s">
        <v>182</v>
      </c>
      <c r="BF13" s="3" t="s">
        <v>195</v>
      </c>
      <c r="BG13" s="3" t="s">
        <v>196</v>
      </c>
      <c r="BH13" s="2">
        <v>0.12</v>
      </c>
      <c r="BI13" s="2" t="s">
        <v>182</v>
      </c>
      <c r="BJ13" s="2" t="s">
        <v>182</v>
      </c>
      <c r="BK13" s="2" t="s">
        <v>182</v>
      </c>
      <c r="BL13" s="2" t="s">
        <v>182</v>
      </c>
      <c r="BM13" s="2" t="s">
        <v>182</v>
      </c>
      <c r="BN13" s="2" t="s">
        <v>182</v>
      </c>
      <c r="BO13" s="2" t="s">
        <v>182</v>
      </c>
      <c r="BP13" s="2" t="s">
        <v>182</v>
      </c>
      <c r="BQ13" s="2" t="s">
        <v>182</v>
      </c>
      <c r="BR13" t="s">
        <v>206</v>
      </c>
      <c r="BS13" s="2" t="s">
        <v>216</v>
      </c>
      <c r="BT13" s="6">
        <v>-23.861333333333334</v>
      </c>
      <c r="BU13" s="3" t="s">
        <v>176</v>
      </c>
      <c r="BV13" s="2">
        <v>0.7</v>
      </c>
      <c r="BW13" s="2" t="s">
        <v>182</v>
      </c>
      <c r="BX13" s="2" t="s">
        <v>182</v>
      </c>
      <c r="BY13" s="2">
        <v>4.2</v>
      </c>
      <c r="BZ13" s="2" t="s">
        <v>182</v>
      </c>
      <c r="CA13" s="2" t="s">
        <v>182</v>
      </c>
      <c r="CB13" s="2" t="s">
        <v>182</v>
      </c>
      <c r="CC13" s="2" t="s">
        <v>182</v>
      </c>
      <c r="CD13" s="2" t="s">
        <v>182</v>
      </c>
      <c r="CE13" s="3" t="s">
        <v>197</v>
      </c>
      <c r="CF13" s="2" t="s">
        <v>198</v>
      </c>
      <c r="CG13" s="2" t="s">
        <v>182</v>
      </c>
      <c r="CH13" s="2" t="s">
        <v>182</v>
      </c>
      <c r="CI13" s="2" t="s">
        <v>182</v>
      </c>
      <c r="CJ13" s="3" t="s">
        <v>182</v>
      </c>
      <c r="CK13" s="2" t="s">
        <v>182</v>
      </c>
      <c r="CL13" s="2" t="s">
        <v>182</v>
      </c>
      <c r="CM13" s="2" t="s">
        <v>182</v>
      </c>
      <c r="CN13" s="2" t="s">
        <v>182</v>
      </c>
      <c r="CO13" s="2" t="s">
        <v>182</v>
      </c>
      <c r="CP13" s="2" t="s">
        <v>182</v>
      </c>
      <c r="CQ13" s="2" t="s">
        <v>182</v>
      </c>
      <c r="CR13" s="2">
        <v>32.299999999999997</v>
      </c>
      <c r="CS13" s="2" t="s">
        <v>182</v>
      </c>
      <c r="CT13" s="2" t="s">
        <v>182</v>
      </c>
      <c r="CU13" s="2" t="s">
        <v>182</v>
      </c>
      <c r="CV13" s="2" t="s">
        <v>219</v>
      </c>
      <c r="CW13" s="2" t="s">
        <v>182</v>
      </c>
      <c r="CX13" s="2" t="s">
        <v>182</v>
      </c>
      <c r="CY13" s="2" t="s">
        <v>182</v>
      </c>
      <c r="CZ13" s="2" t="s">
        <v>182</v>
      </c>
      <c r="DA13" s="2" t="s">
        <v>182</v>
      </c>
      <c r="DB13" s="2" t="s">
        <v>182</v>
      </c>
      <c r="DC13" s="2" t="s">
        <v>182</v>
      </c>
      <c r="DD13" s="2" t="s">
        <v>182</v>
      </c>
      <c r="DE13" s="2" t="s">
        <v>182</v>
      </c>
      <c r="DF13" s="2" t="s">
        <v>182</v>
      </c>
      <c r="DG13" s="2" t="s">
        <v>182</v>
      </c>
      <c r="DH13" s="2" t="s">
        <v>182</v>
      </c>
      <c r="DI13" s="2" t="s">
        <v>182</v>
      </c>
      <c r="DJ13" s="2" t="s">
        <v>182</v>
      </c>
      <c r="DK13" s="2" t="s">
        <v>182</v>
      </c>
      <c r="DL13" s="2" t="s">
        <v>182</v>
      </c>
      <c r="DM13" s="2" t="s">
        <v>182</v>
      </c>
      <c r="DN13" s="6">
        <v>1112.8713087065501</v>
      </c>
      <c r="DO13" s="2" t="s">
        <v>182</v>
      </c>
      <c r="DP13" s="2" t="s">
        <v>182</v>
      </c>
      <c r="DQ13" s="6">
        <v>1112.8713087065501</v>
      </c>
      <c r="DR13" s="2" t="s">
        <v>182</v>
      </c>
      <c r="DS13" s="2" t="s">
        <v>182</v>
      </c>
      <c r="DT13" s="2" t="s">
        <v>182</v>
      </c>
      <c r="DU13" s="2" t="s">
        <v>182</v>
      </c>
      <c r="DV13" s="2" t="s">
        <v>182</v>
      </c>
      <c r="DW13" s="2" t="s">
        <v>211</v>
      </c>
      <c r="DX13" s="9">
        <v>3.8750000000000004</v>
      </c>
      <c r="DY13" s="2" t="s">
        <v>182</v>
      </c>
      <c r="DZ13" s="2" t="s">
        <v>182</v>
      </c>
      <c r="EA13" s="2" t="s">
        <v>182</v>
      </c>
      <c r="EB13" s="2" t="s">
        <v>182</v>
      </c>
      <c r="EC13" s="2" t="s">
        <v>182</v>
      </c>
      <c r="ED13" s="2">
        <v>126.17757056421357</v>
      </c>
      <c r="EE13" s="2" t="s">
        <v>182</v>
      </c>
      <c r="EF13" s="2" t="s">
        <v>182</v>
      </c>
      <c r="EG13" s="2" t="s">
        <v>182</v>
      </c>
      <c r="EH13" s="2" t="s">
        <v>182</v>
      </c>
      <c r="EI13" s="2" t="s">
        <v>182</v>
      </c>
      <c r="EJ13" s="2" t="s">
        <v>182</v>
      </c>
      <c r="EK13" s="2" t="s">
        <v>182</v>
      </c>
      <c r="EL13" s="2" t="s">
        <v>182</v>
      </c>
      <c r="EM13" s="2" t="s">
        <v>182</v>
      </c>
      <c r="EN13" s="2" t="s">
        <v>182</v>
      </c>
      <c r="EO13" s="2" t="s">
        <v>182</v>
      </c>
      <c r="EP13" s="2" t="s">
        <v>182</v>
      </c>
      <c r="EQ13" s="2" t="s">
        <v>210</v>
      </c>
      <c r="ER13" s="2" t="s">
        <v>182</v>
      </c>
      <c r="ES13" s="2" t="s">
        <v>182</v>
      </c>
      <c r="ET13" s="2" t="s">
        <v>182</v>
      </c>
      <c r="EU13" s="2" t="s">
        <v>182</v>
      </c>
      <c r="EV13" s="3" t="s">
        <v>220</v>
      </c>
      <c r="EW13" s="2">
        <v>25</v>
      </c>
      <c r="EX13" s="2">
        <v>12.574247264549809</v>
      </c>
      <c r="EY13" s="2" t="s">
        <v>182</v>
      </c>
      <c r="EZ13" s="2" t="s">
        <v>182</v>
      </c>
      <c r="FA13" s="2" t="s">
        <v>182</v>
      </c>
      <c r="FB13" s="2" t="s">
        <v>209</v>
      </c>
      <c r="FC13" s="2">
        <v>10.177576060570919</v>
      </c>
      <c r="FD13" s="2">
        <v>0.67348262485096733</v>
      </c>
      <c r="FE13" s="2">
        <v>0.67348262485096733</v>
      </c>
      <c r="FF13" s="2" t="s">
        <v>185</v>
      </c>
      <c r="FG13" s="2" t="s">
        <v>207</v>
      </c>
      <c r="FH13" s="2">
        <v>468.53094245228834</v>
      </c>
      <c r="FI13" s="2">
        <v>38.121826786421309</v>
      </c>
      <c r="FJ13" s="2">
        <v>38.121826786421309</v>
      </c>
      <c r="FK13" s="2" t="s">
        <v>185</v>
      </c>
      <c r="FL13" s="2" t="s">
        <v>208</v>
      </c>
      <c r="FM13" s="2" t="s">
        <v>221</v>
      </c>
      <c r="FN13" s="2" t="s">
        <v>182</v>
      </c>
      <c r="FO13" s="2" t="s">
        <v>182</v>
      </c>
      <c r="FP13" s="2" t="s">
        <v>182</v>
      </c>
      <c r="FQ13" s="2" t="s">
        <v>182</v>
      </c>
      <c r="FR13" s="2" t="s">
        <v>182</v>
      </c>
      <c r="FS13" s="2" t="s">
        <v>182</v>
      </c>
      <c r="FT13" s="2" t="s">
        <v>188</v>
      </c>
      <c r="FU13" s="2" t="s">
        <v>182</v>
      </c>
      <c r="FV13" s="26" t="s">
        <v>279</v>
      </c>
      <c r="FW13" s="2" t="s">
        <v>182</v>
      </c>
      <c r="FX13" s="2" t="s">
        <v>182</v>
      </c>
      <c r="FY13" s="2" t="s">
        <v>222</v>
      </c>
    </row>
    <row r="14" spans="1:181" ht="14" x14ac:dyDescent="0.2">
      <c r="A14" s="2" t="s">
        <v>254</v>
      </c>
      <c r="B14" s="2" t="s">
        <v>189</v>
      </c>
      <c r="C14" s="2">
        <v>2016</v>
      </c>
      <c r="D14" s="3" t="str">
        <f t="shared" si="0"/>
        <v>10.1038/ncomms10284</v>
      </c>
      <c r="E14" s="2">
        <f t="shared" si="1"/>
        <v>13100.699424743652</v>
      </c>
      <c r="F14" s="2" t="str">
        <f t="shared" si="2"/>
        <v>NA</v>
      </c>
      <c r="G14" s="2" t="str">
        <f t="shared" si="3"/>
        <v>NA</v>
      </c>
      <c r="H14" s="2">
        <f t="shared" si="4"/>
        <v>407.43132586165791</v>
      </c>
      <c r="I14" s="2">
        <f t="shared" si="5"/>
        <v>32.622983514685586</v>
      </c>
      <c r="J14" s="2">
        <f t="shared" si="6"/>
        <v>32.622983514685586</v>
      </c>
      <c r="K14" s="3" t="s">
        <v>212</v>
      </c>
      <c r="L14" s="2" t="s">
        <v>181</v>
      </c>
      <c r="M14" s="3" t="s">
        <v>204</v>
      </c>
      <c r="N14" s="3" t="s">
        <v>190</v>
      </c>
      <c r="O14" s="4">
        <v>999</v>
      </c>
      <c r="P14" s="4" t="s">
        <v>177</v>
      </c>
      <c r="Q14" s="4">
        <v>35</v>
      </c>
      <c r="R14" s="4" t="s">
        <v>199</v>
      </c>
      <c r="S14" s="4" t="s">
        <v>192</v>
      </c>
      <c r="T14" s="4">
        <v>5</v>
      </c>
      <c r="U14" s="4">
        <v>60</v>
      </c>
      <c r="V14" s="4">
        <v>62</v>
      </c>
      <c r="W14" s="2" t="s">
        <v>182</v>
      </c>
      <c r="X14" s="2" t="s">
        <v>182</v>
      </c>
      <c r="Y14" s="2" t="s">
        <v>182</v>
      </c>
      <c r="Z14" s="4">
        <v>322.685</v>
      </c>
      <c r="AA14" s="2" t="s">
        <v>193</v>
      </c>
      <c r="AB14" s="2">
        <v>13100.699424743652</v>
      </c>
      <c r="AC14" s="2" t="s">
        <v>182</v>
      </c>
      <c r="AD14" s="2" t="s">
        <v>182</v>
      </c>
      <c r="AE14" s="2" t="s">
        <v>182</v>
      </c>
      <c r="AF14" s="2" t="s">
        <v>213</v>
      </c>
      <c r="AG14" s="2" t="s">
        <v>205</v>
      </c>
      <c r="AH14" s="2">
        <v>12.743983333333333</v>
      </c>
      <c r="AI14" s="2">
        <v>-78.739333333333335</v>
      </c>
      <c r="AJ14" s="2">
        <v>-2827.9</v>
      </c>
      <c r="AK14" s="2" t="s">
        <v>182</v>
      </c>
      <c r="AL14" s="2" t="s">
        <v>182</v>
      </c>
      <c r="AM14" s="2" t="s">
        <v>182</v>
      </c>
      <c r="AN14" s="2" t="s">
        <v>182</v>
      </c>
      <c r="AO14" s="2" t="s">
        <v>182</v>
      </c>
      <c r="AP14" s="2" t="s">
        <v>182</v>
      </c>
      <c r="AQ14" s="2" t="s">
        <v>182</v>
      </c>
      <c r="AR14" s="2" t="s">
        <v>182</v>
      </c>
      <c r="AS14" s="2" t="s">
        <v>182</v>
      </c>
      <c r="AT14" s="2" t="s">
        <v>182</v>
      </c>
      <c r="AU14" s="2" t="s">
        <v>182</v>
      </c>
      <c r="AV14" s="2" t="s">
        <v>182</v>
      </c>
      <c r="AW14" s="2" t="s">
        <v>182</v>
      </c>
      <c r="AX14" s="5">
        <v>2.3375057418589233</v>
      </c>
      <c r="AY14" s="2" t="s">
        <v>182</v>
      </c>
      <c r="AZ14" s="2" t="s">
        <v>182</v>
      </c>
      <c r="BA14" s="2" t="s">
        <v>182</v>
      </c>
      <c r="BB14" s="2" t="s">
        <v>182</v>
      </c>
      <c r="BC14" s="2" t="s">
        <v>182</v>
      </c>
      <c r="BD14" s="2" t="s">
        <v>182</v>
      </c>
      <c r="BE14" s="2" t="s">
        <v>182</v>
      </c>
      <c r="BF14" s="3" t="s">
        <v>218</v>
      </c>
      <c r="BG14" s="3" t="s">
        <v>182</v>
      </c>
      <c r="BH14" s="2">
        <v>0.12</v>
      </c>
      <c r="BI14" s="2" t="s">
        <v>182</v>
      </c>
      <c r="BJ14" s="2" t="s">
        <v>182</v>
      </c>
      <c r="BK14" s="2" t="s">
        <v>182</v>
      </c>
      <c r="BL14" s="2" t="s">
        <v>182</v>
      </c>
      <c r="BM14" s="2" t="s">
        <v>182</v>
      </c>
      <c r="BN14" s="2" t="s">
        <v>182</v>
      </c>
      <c r="BO14" s="2" t="s">
        <v>182</v>
      </c>
      <c r="BP14" s="2" t="s">
        <v>182</v>
      </c>
      <c r="BQ14" s="2" t="s">
        <v>182</v>
      </c>
      <c r="BR14" t="s">
        <v>206</v>
      </c>
      <c r="BS14" s="2" t="s">
        <v>217</v>
      </c>
      <c r="BT14" s="6">
        <v>-23.040333333333336</v>
      </c>
      <c r="BU14" s="3" t="s">
        <v>176</v>
      </c>
      <c r="BV14" s="2">
        <v>0.7</v>
      </c>
      <c r="BW14" s="2" t="s">
        <v>182</v>
      </c>
      <c r="BX14" s="2" t="s">
        <v>182</v>
      </c>
      <c r="BY14" s="2">
        <v>4.2</v>
      </c>
      <c r="BZ14" s="2" t="s">
        <v>182</v>
      </c>
      <c r="CA14" s="2" t="s">
        <v>182</v>
      </c>
      <c r="CB14" s="2" t="s">
        <v>182</v>
      </c>
      <c r="CC14" s="2" t="s">
        <v>182</v>
      </c>
      <c r="CD14" s="2" t="s">
        <v>182</v>
      </c>
      <c r="CE14" s="3" t="s">
        <v>197</v>
      </c>
      <c r="CF14" s="2" t="s">
        <v>198</v>
      </c>
      <c r="CG14" s="2" t="s">
        <v>182</v>
      </c>
      <c r="CH14" s="2" t="s">
        <v>182</v>
      </c>
      <c r="CI14" s="2" t="s">
        <v>182</v>
      </c>
      <c r="CJ14" s="3" t="s">
        <v>182</v>
      </c>
      <c r="CK14" s="2" t="s">
        <v>182</v>
      </c>
      <c r="CL14" s="2" t="s">
        <v>182</v>
      </c>
      <c r="CM14" s="2" t="s">
        <v>182</v>
      </c>
      <c r="CN14" s="2" t="s">
        <v>182</v>
      </c>
      <c r="CO14" s="2" t="s">
        <v>182</v>
      </c>
      <c r="CP14" s="2" t="s">
        <v>182</v>
      </c>
      <c r="CQ14" s="2" t="s">
        <v>182</v>
      </c>
      <c r="CR14" s="2">
        <v>32.299999999999997</v>
      </c>
      <c r="CS14" s="2" t="s">
        <v>182</v>
      </c>
      <c r="CT14" s="2" t="s">
        <v>182</v>
      </c>
      <c r="CU14" s="2" t="s">
        <v>182</v>
      </c>
      <c r="CV14" s="2" t="s">
        <v>219</v>
      </c>
      <c r="CW14" s="2" t="s">
        <v>182</v>
      </c>
      <c r="CX14" s="2" t="s">
        <v>182</v>
      </c>
      <c r="CY14" s="2" t="s">
        <v>182</v>
      </c>
      <c r="CZ14" s="2" t="s">
        <v>182</v>
      </c>
      <c r="DA14" s="2" t="s">
        <v>182</v>
      </c>
      <c r="DB14" s="2" t="s">
        <v>182</v>
      </c>
      <c r="DC14" s="2" t="s">
        <v>182</v>
      </c>
      <c r="DD14" s="2" t="s">
        <v>182</v>
      </c>
      <c r="DE14" s="2" t="s">
        <v>182</v>
      </c>
      <c r="DF14" s="2" t="s">
        <v>182</v>
      </c>
      <c r="DG14" s="2" t="s">
        <v>182</v>
      </c>
      <c r="DH14" s="2" t="s">
        <v>182</v>
      </c>
      <c r="DI14" s="2" t="s">
        <v>182</v>
      </c>
      <c r="DJ14" s="2" t="s">
        <v>182</v>
      </c>
      <c r="DK14" s="2" t="s">
        <v>182</v>
      </c>
      <c r="DL14" s="2" t="s">
        <v>182</v>
      </c>
      <c r="DM14" s="2" t="s">
        <v>182</v>
      </c>
      <c r="DN14" s="6">
        <v>341.19020529663902</v>
      </c>
      <c r="DO14" s="2" t="s">
        <v>182</v>
      </c>
      <c r="DP14" s="2" t="s">
        <v>182</v>
      </c>
      <c r="DQ14" s="6">
        <v>341.19020529663902</v>
      </c>
      <c r="DR14" s="2" t="s">
        <v>182</v>
      </c>
      <c r="DS14" s="2" t="s">
        <v>182</v>
      </c>
      <c r="DT14" s="2" t="s">
        <v>182</v>
      </c>
      <c r="DU14" s="2" t="s">
        <v>182</v>
      </c>
      <c r="DV14" s="2" t="s">
        <v>182</v>
      </c>
      <c r="DW14" s="2" t="s">
        <v>211</v>
      </c>
      <c r="DX14" s="9">
        <v>3.5600000000000005</v>
      </c>
      <c r="DY14" s="2" t="s">
        <v>182</v>
      </c>
      <c r="DZ14" s="2" t="s">
        <v>182</v>
      </c>
      <c r="EA14" s="2" t="s">
        <v>182</v>
      </c>
      <c r="EB14" s="2" t="s">
        <v>182</v>
      </c>
      <c r="EC14" s="2" t="s">
        <v>182</v>
      </c>
      <c r="ED14" s="2">
        <v>130.06116892336723</v>
      </c>
      <c r="EE14" s="2" t="s">
        <v>182</v>
      </c>
      <c r="EF14" s="2" t="s">
        <v>182</v>
      </c>
      <c r="EG14" s="2" t="s">
        <v>182</v>
      </c>
      <c r="EH14" s="2" t="s">
        <v>182</v>
      </c>
      <c r="EI14" s="2" t="s">
        <v>182</v>
      </c>
      <c r="EJ14" s="2" t="s">
        <v>182</v>
      </c>
      <c r="EK14" s="2" t="s">
        <v>182</v>
      </c>
      <c r="EL14" s="2" t="s">
        <v>182</v>
      </c>
      <c r="EM14" s="2" t="s">
        <v>182</v>
      </c>
      <c r="EN14" s="2" t="s">
        <v>182</v>
      </c>
      <c r="EO14" s="2" t="s">
        <v>182</v>
      </c>
      <c r="EP14" s="2" t="s">
        <v>182</v>
      </c>
      <c r="EQ14" s="2" t="s">
        <v>210</v>
      </c>
      <c r="ER14" s="2" t="s">
        <v>182</v>
      </c>
      <c r="ES14" s="2" t="s">
        <v>182</v>
      </c>
      <c r="ET14" s="2" t="s">
        <v>182</v>
      </c>
      <c r="EU14" s="2" t="s">
        <v>182</v>
      </c>
      <c r="EV14" s="3" t="s">
        <v>220</v>
      </c>
      <c r="EW14" s="2">
        <v>25</v>
      </c>
      <c r="EX14" s="2">
        <v>12.13014089240616</v>
      </c>
      <c r="EY14" s="2" t="s">
        <v>182</v>
      </c>
      <c r="EZ14" s="2" t="s">
        <v>182</v>
      </c>
      <c r="FA14" s="2" t="s">
        <v>182</v>
      </c>
      <c r="FB14" s="2" t="s">
        <v>209</v>
      </c>
      <c r="FC14" s="2">
        <v>10.127800015963032</v>
      </c>
      <c r="FD14" s="2">
        <v>0.70984504657763914</v>
      </c>
      <c r="FE14" s="2">
        <v>0.70984504657763914</v>
      </c>
      <c r="FF14" s="2" t="s">
        <v>185</v>
      </c>
      <c r="FG14" s="2" t="s">
        <v>207</v>
      </c>
      <c r="FH14" s="2">
        <v>407.43132586165791</v>
      </c>
      <c r="FI14" s="2">
        <v>32.622983514685586</v>
      </c>
      <c r="FJ14" s="2">
        <v>32.622983514685586</v>
      </c>
      <c r="FK14" s="2" t="s">
        <v>185</v>
      </c>
      <c r="FL14" s="2" t="s">
        <v>208</v>
      </c>
      <c r="FM14" s="2" t="s">
        <v>221</v>
      </c>
      <c r="FN14" s="2" t="s">
        <v>182</v>
      </c>
      <c r="FO14" s="2" t="s">
        <v>182</v>
      </c>
      <c r="FP14" s="2" t="s">
        <v>182</v>
      </c>
      <c r="FQ14" s="2" t="s">
        <v>182</v>
      </c>
      <c r="FR14" s="2" t="s">
        <v>182</v>
      </c>
      <c r="FS14" s="2" t="s">
        <v>182</v>
      </c>
      <c r="FT14" s="2" t="s">
        <v>188</v>
      </c>
      <c r="FU14" s="2" t="s">
        <v>182</v>
      </c>
      <c r="FV14" s="26" t="s">
        <v>280</v>
      </c>
      <c r="FW14" s="2" t="s">
        <v>182</v>
      </c>
      <c r="FX14" s="2" t="s">
        <v>182</v>
      </c>
      <c r="FY14" s="2" t="s">
        <v>222</v>
      </c>
    </row>
    <row r="15" spans="1:181" ht="14" x14ac:dyDescent="0.2">
      <c r="A15" s="2" t="s">
        <v>254</v>
      </c>
      <c r="B15" s="2" t="s">
        <v>189</v>
      </c>
      <c r="C15" s="2">
        <v>2016</v>
      </c>
      <c r="D15" s="3" t="str">
        <f t="shared" si="0"/>
        <v>10.1038/ncomms10284</v>
      </c>
      <c r="E15" s="2">
        <f t="shared" si="1"/>
        <v>14358.444213867188</v>
      </c>
      <c r="F15" s="2" t="str">
        <f t="shared" si="2"/>
        <v>NA</v>
      </c>
      <c r="G15" s="2" t="str">
        <f t="shared" si="3"/>
        <v>NA</v>
      </c>
      <c r="H15" s="2">
        <f t="shared" si="4"/>
        <v>382.91899878854554</v>
      </c>
      <c r="I15" s="2">
        <f t="shared" si="5"/>
        <v>61.113163482799905</v>
      </c>
      <c r="J15" s="2">
        <f t="shared" si="6"/>
        <v>61.113163482799905</v>
      </c>
      <c r="K15" s="3" t="s">
        <v>212</v>
      </c>
      <c r="L15" s="2" t="s">
        <v>181</v>
      </c>
      <c r="M15" s="3" t="s">
        <v>204</v>
      </c>
      <c r="N15" s="3" t="s">
        <v>190</v>
      </c>
      <c r="O15" s="4">
        <v>999</v>
      </c>
      <c r="P15" s="4" t="s">
        <v>177</v>
      </c>
      <c r="Q15" s="4">
        <v>38</v>
      </c>
      <c r="R15" s="4" t="s">
        <v>199</v>
      </c>
      <c r="S15" s="4" t="s">
        <v>192</v>
      </c>
      <c r="T15" s="4">
        <v>5</v>
      </c>
      <c r="U15" s="4">
        <v>52</v>
      </c>
      <c r="V15" s="4">
        <v>54</v>
      </c>
      <c r="W15" s="2" t="s">
        <v>182</v>
      </c>
      <c r="X15" s="2" t="s">
        <v>182</v>
      </c>
      <c r="Y15" s="2" t="s">
        <v>182</v>
      </c>
      <c r="Z15" s="4">
        <v>351.40500000000003</v>
      </c>
      <c r="AA15" s="2" t="s">
        <v>193</v>
      </c>
      <c r="AB15" s="2">
        <v>14358.444213867188</v>
      </c>
      <c r="AC15" s="2" t="s">
        <v>182</v>
      </c>
      <c r="AD15" s="2" t="s">
        <v>182</v>
      </c>
      <c r="AE15" s="2" t="s">
        <v>182</v>
      </c>
      <c r="AF15" s="2" t="s">
        <v>213</v>
      </c>
      <c r="AG15" s="2" t="s">
        <v>205</v>
      </c>
      <c r="AH15" s="2">
        <v>12.743983333333333</v>
      </c>
      <c r="AI15" s="2">
        <v>-78.739333333333335</v>
      </c>
      <c r="AJ15" s="2">
        <v>-2827.9</v>
      </c>
      <c r="AK15" s="2" t="s">
        <v>182</v>
      </c>
      <c r="AL15" s="2" t="s">
        <v>182</v>
      </c>
      <c r="AM15" s="2" t="s">
        <v>182</v>
      </c>
      <c r="AN15" s="2" t="s">
        <v>182</v>
      </c>
      <c r="AO15" s="2" t="s">
        <v>182</v>
      </c>
      <c r="AP15" s="2" t="s">
        <v>182</v>
      </c>
      <c r="AQ15" s="2" t="s">
        <v>182</v>
      </c>
      <c r="AR15" s="2" t="s">
        <v>182</v>
      </c>
      <c r="AS15" s="2" t="s">
        <v>182</v>
      </c>
      <c r="AT15" s="2" t="s">
        <v>182</v>
      </c>
      <c r="AU15" s="2" t="s">
        <v>182</v>
      </c>
      <c r="AV15" s="2" t="s">
        <v>182</v>
      </c>
      <c r="AW15" s="2" t="s">
        <v>182</v>
      </c>
      <c r="AX15" s="5">
        <v>2.6242281635050331</v>
      </c>
      <c r="AY15" s="2" t="s">
        <v>182</v>
      </c>
      <c r="AZ15" s="2" t="s">
        <v>182</v>
      </c>
      <c r="BA15" s="2" t="s">
        <v>182</v>
      </c>
      <c r="BB15" s="2" t="s">
        <v>182</v>
      </c>
      <c r="BC15" s="2" t="s">
        <v>182</v>
      </c>
      <c r="BD15" s="2" t="s">
        <v>182</v>
      </c>
      <c r="BE15" s="2" t="s">
        <v>182</v>
      </c>
      <c r="BF15" s="3" t="s">
        <v>218</v>
      </c>
      <c r="BG15" s="3" t="s">
        <v>182</v>
      </c>
      <c r="BH15" s="2">
        <v>0.12</v>
      </c>
      <c r="BI15" s="2" t="s">
        <v>182</v>
      </c>
      <c r="BJ15" s="2" t="s">
        <v>182</v>
      </c>
      <c r="BK15" s="2" t="s">
        <v>182</v>
      </c>
      <c r="BL15" s="2" t="s">
        <v>182</v>
      </c>
      <c r="BM15" s="2" t="s">
        <v>182</v>
      </c>
      <c r="BN15" s="2" t="s">
        <v>182</v>
      </c>
      <c r="BO15" s="2" t="s">
        <v>182</v>
      </c>
      <c r="BP15" s="2" t="s">
        <v>182</v>
      </c>
      <c r="BQ15" s="2" t="s">
        <v>182</v>
      </c>
      <c r="BR15" t="s">
        <v>206</v>
      </c>
      <c r="BS15" s="2" t="s">
        <v>217</v>
      </c>
      <c r="BT15" s="6">
        <v>-24.48566666666667</v>
      </c>
      <c r="BU15" s="3" t="s">
        <v>176</v>
      </c>
      <c r="BV15" s="2">
        <v>0.7</v>
      </c>
      <c r="BW15" s="2" t="s">
        <v>182</v>
      </c>
      <c r="BX15" s="2" t="s">
        <v>182</v>
      </c>
      <c r="BY15" s="2">
        <v>4.2</v>
      </c>
      <c r="BZ15" s="2" t="s">
        <v>182</v>
      </c>
      <c r="CA15" s="2" t="s">
        <v>182</v>
      </c>
      <c r="CB15" s="2" t="s">
        <v>182</v>
      </c>
      <c r="CC15" s="2" t="s">
        <v>182</v>
      </c>
      <c r="CD15" s="2" t="s">
        <v>182</v>
      </c>
      <c r="CE15" s="3" t="s">
        <v>197</v>
      </c>
      <c r="CF15" s="2" t="s">
        <v>198</v>
      </c>
      <c r="CG15" s="2" t="s">
        <v>182</v>
      </c>
      <c r="CH15" s="2" t="s">
        <v>182</v>
      </c>
      <c r="CI15" s="2" t="s">
        <v>182</v>
      </c>
      <c r="CJ15" s="3" t="s">
        <v>182</v>
      </c>
      <c r="CK15" s="2" t="s">
        <v>182</v>
      </c>
      <c r="CL15" s="2" t="s">
        <v>182</v>
      </c>
      <c r="CM15" s="2" t="s">
        <v>182</v>
      </c>
      <c r="CN15" s="2" t="s">
        <v>182</v>
      </c>
      <c r="CO15" s="2" t="s">
        <v>182</v>
      </c>
      <c r="CP15" s="2" t="s">
        <v>182</v>
      </c>
      <c r="CQ15" s="2" t="s">
        <v>182</v>
      </c>
      <c r="CR15" s="2">
        <v>32.5</v>
      </c>
      <c r="CS15" s="2" t="s">
        <v>182</v>
      </c>
      <c r="CT15" s="2" t="s">
        <v>182</v>
      </c>
      <c r="CU15" s="2" t="s">
        <v>182</v>
      </c>
      <c r="CV15" s="2" t="s">
        <v>219</v>
      </c>
      <c r="CW15" s="2" t="s">
        <v>182</v>
      </c>
      <c r="CX15" s="2" t="s">
        <v>182</v>
      </c>
      <c r="CY15" s="2" t="s">
        <v>182</v>
      </c>
      <c r="CZ15" s="2" t="s">
        <v>182</v>
      </c>
      <c r="DA15" s="2" t="s">
        <v>182</v>
      </c>
      <c r="DB15" s="2" t="s">
        <v>182</v>
      </c>
      <c r="DC15" s="2" t="s">
        <v>182</v>
      </c>
      <c r="DD15" s="2" t="s">
        <v>182</v>
      </c>
      <c r="DE15" s="2" t="s">
        <v>182</v>
      </c>
      <c r="DF15" s="2" t="s">
        <v>182</v>
      </c>
      <c r="DG15" s="2" t="s">
        <v>182</v>
      </c>
      <c r="DH15" s="2" t="s">
        <v>182</v>
      </c>
      <c r="DI15" s="2" t="s">
        <v>182</v>
      </c>
      <c r="DJ15" s="2" t="s">
        <v>182</v>
      </c>
      <c r="DK15" s="2" t="s">
        <v>182</v>
      </c>
      <c r="DL15" s="2" t="s">
        <v>182</v>
      </c>
      <c r="DM15" s="2" t="s">
        <v>182</v>
      </c>
      <c r="DN15" s="6">
        <v>12.456358202365488</v>
      </c>
      <c r="DO15" s="2" t="s">
        <v>182</v>
      </c>
      <c r="DP15" s="2" t="s">
        <v>182</v>
      </c>
      <c r="DQ15" s="6">
        <v>12.456358202365488</v>
      </c>
      <c r="DR15" s="2" t="s">
        <v>182</v>
      </c>
      <c r="DS15" s="2" t="s">
        <v>182</v>
      </c>
      <c r="DT15" s="2" t="s">
        <v>182</v>
      </c>
      <c r="DU15" s="2" t="s">
        <v>182</v>
      </c>
      <c r="DV15" s="2" t="s">
        <v>182</v>
      </c>
      <c r="DW15" s="2" t="s">
        <v>211</v>
      </c>
      <c r="DX15" s="9">
        <v>2.0750000000000002</v>
      </c>
      <c r="DY15" s="2" t="s">
        <v>182</v>
      </c>
      <c r="DZ15" s="2" t="s">
        <v>182</v>
      </c>
      <c r="EA15" s="2" t="s">
        <v>182</v>
      </c>
      <c r="EB15" s="2" t="s">
        <v>182</v>
      </c>
      <c r="EC15" s="2" t="s">
        <v>182</v>
      </c>
      <c r="ED15" s="2">
        <v>111.61516729539116</v>
      </c>
      <c r="EE15" s="2" t="s">
        <v>182</v>
      </c>
      <c r="EF15" s="2" t="s">
        <v>182</v>
      </c>
      <c r="EG15" s="2" t="s">
        <v>182</v>
      </c>
      <c r="EH15" s="2" t="s">
        <v>182</v>
      </c>
      <c r="EI15" s="2" t="s">
        <v>182</v>
      </c>
      <c r="EJ15" s="2" t="s">
        <v>182</v>
      </c>
      <c r="EK15" s="2" t="s">
        <v>182</v>
      </c>
      <c r="EL15" s="2" t="s">
        <v>182</v>
      </c>
      <c r="EM15" s="2" t="s">
        <v>182</v>
      </c>
      <c r="EN15" s="2" t="s">
        <v>182</v>
      </c>
      <c r="EO15" s="2" t="s">
        <v>182</v>
      </c>
      <c r="EP15" s="2" t="s">
        <v>182</v>
      </c>
      <c r="EQ15" s="2" t="s">
        <v>210</v>
      </c>
      <c r="ER15" s="2" t="s">
        <v>182</v>
      </c>
      <c r="ES15" s="2" t="s">
        <v>182</v>
      </c>
      <c r="ET15" s="2" t="s">
        <v>182</v>
      </c>
      <c r="EU15" s="2" t="s">
        <v>182</v>
      </c>
      <c r="EV15" s="3" t="s">
        <v>220</v>
      </c>
      <c r="EW15" s="2">
        <v>25</v>
      </c>
      <c r="EX15" s="2">
        <v>13.978334427661942</v>
      </c>
      <c r="EY15" s="2" t="s">
        <v>182</v>
      </c>
      <c r="EZ15" s="2" t="s">
        <v>182</v>
      </c>
      <c r="FA15" s="2" t="s">
        <v>182</v>
      </c>
      <c r="FB15" s="2" t="s">
        <v>209</v>
      </c>
      <c r="FC15" s="2">
        <v>10.223118398746781</v>
      </c>
      <c r="FD15" s="2">
        <v>1.3094289485503428</v>
      </c>
      <c r="FE15" s="2">
        <v>1.309428948550341</v>
      </c>
      <c r="FF15" s="2" t="s">
        <v>185</v>
      </c>
      <c r="FG15" s="2" t="s">
        <v>207</v>
      </c>
      <c r="FH15" s="2">
        <v>382.91899878854554</v>
      </c>
      <c r="FI15" s="2">
        <v>61.113163482799905</v>
      </c>
      <c r="FJ15" s="2">
        <v>61.113163482799905</v>
      </c>
      <c r="FK15" s="2" t="s">
        <v>185</v>
      </c>
      <c r="FL15" s="2" t="s">
        <v>208</v>
      </c>
      <c r="FM15" s="2" t="s">
        <v>221</v>
      </c>
      <c r="FN15" s="2" t="s">
        <v>182</v>
      </c>
      <c r="FO15" s="2" t="s">
        <v>182</v>
      </c>
      <c r="FP15" s="2" t="s">
        <v>182</v>
      </c>
      <c r="FQ15" s="2" t="s">
        <v>182</v>
      </c>
      <c r="FR15" s="2" t="s">
        <v>182</v>
      </c>
      <c r="FS15" s="2" t="s">
        <v>182</v>
      </c>
      <c r="FT15" s="2" t="s">
        <v>188</v>
      </c>
      <c r="FU15" s="2" t="s">
        <v>182</v>
      </c>
      <c r="FV15" s="26" t="s">
        <v>281</v>
      </c>
      <c r="FW15" s="2" t="s">
        <v>182</v>
      </c>
      <c r="FX15" s="2" t="s">
        <v>182</v>
      </c>
      <c r="FY15" s="2" t="s">
        <v>222</v>
      </c>
    </row>
    <row r="16" spans="1:181" ht="14" x14ac:dyDescent="0.2">
      <c r="A16" s="2" t="s">
        <v>254</v>
      </c>
      <c r="B16" s="2" t="s">
        <v>189</v>
      </c>
      <c r="C16" s="2">
        <v>2016</v>
      </c>
      <c r="D16" s="3" t="str">
        <f t="shared" si="0"/>
        <v>10.1038/ncomms10284</v>
      </c>
      <c r="E16" s="2">
        <f t="shared" si="1"/>
        <v>15756.155014038086</v>
      </c>
      <c r="F16" s="2" t="str">
        <f t="shared" si="2"/>
        <v>NA</v>
      </c>
      <c r="G16" s="2" t="str">
        <f t="shared" si="3"/>
        <v>NA</v>
      </c>
      <c r="H16" s="2">
        <f t="shared" si="4"/>
        <v>461.69170317803287</v>
      </c>
      <c r="I16" s="2">
        <f t="shared" si="5"/>
        <v>56.168964144972279</v>
      </c>
      <c r="J16" s="2">
        <f t="shared" si="6"/>
        <v>56.168964144972279</v>
      </c>
      <c r="K16" s="3" t="s">
        <v>212</v>
      </c>
      <c r="L16" s="2" t="s">
        <v>181</v>
      </c>
      <c r="M16" s="3" t="s">
        <v>204</v>
      </c>
      <c r="N16" s="3" t="s">
        <v>190</v>
      </c>
      <c r="O16" s="4">
        <v>999</v>
      </c>
      <c r="P16" s="4" t="s">
        <v>177</v>
      </c>
      <c r="Q16" s="4">
        <v>40</v>
      </c>
      <c r="R16" s="4" t="s">
        <v>199</v>
      </c>
      <c r="S16" s="4" t="s">
        <v>192</v>
      </c>
      <c r="T16" s="4">
        <v>4</v>
      </c>
      <c r="U16" s="4">
        <v>66</v>
      </c>
      <c r="V16" s="4">
        <v>68</v>
      </c>
      <c r="W16" s="2" t="s">
        <v>182</v>
      </c>
      <c r="X16" s="2" t="s">
        <v>182</v>
      </c>
      <c r="Y16" s="2" t="s">
        <v>182</v>
      </c>
      <c r="Z16" s="4">
        <v>369.21500000000003</v>
      </c>
      <c r="AA16" s="2" t="s">
        <v>193</v>
      </c>
      <c r="AB16" s="2">
        <v>15756.155014038086</v>
      </c>
      <c r="AC16" s="2" t="s">
        <v>182</v>
      </c>
      <c r="AD16" s="2" t="s">
        <v>182</v>
      </c>
      <c r="AE16" s="2" t="s">
        <v>182</v>
      </c>
      <c r="AF16" s="2" t="s">
        <v>213</v>
      </c>
      <c r="AG16" s="2" t="s">
        <v>205</v>
      </c>
      <c r="AH16" s="2">
        <v>12.743983333333333</v>
      </c>
      <c r="AI16" s="2">
        <v>-78.739333333333335</v>
      </c>
      <c r="AJ16" s="2">
        <v>-2827.9</v>
      </c>
      <c r="AK16" s="2" t="s">
        <v>182</v>
      </c>
      <c r="AL16" s="2" t="s">
        <v>182</v>
      </c>
      <c r="AM16" s="2" t="s">
        <v>182</v>
      </c>
      <c r="AN16" s="2" t="s">
        <v>182</v>
      </c>
      <c r="AO16" s="2" t="s">
        <v>182</v>
      </c>
      <c r="AP16" s="2" t="s">
        <v>182</v>
      </c>
      <c r="AQ16" s="2" t="s">
        <v>182</v>
      </c>
      <c r="AR16" s="2" t="s">
        <v>182</v>
      </c>
      <c r="AS16" s="2" t="s">
        <v>182</v>
      </c>
      <c r="AT16" s="2" t="s">
        <v>182</v>
      </c>
      <c r="AU16" s="2" t="s">
        <v>182</v>
      </c>
      <c r="AV16" s="2" t="s">
        <v>182</v>
      </c>
      <c r="AW16" s="2" t="s">
        <v>182</v>
      </c>
      <c r="AX16" s="5">
        <v>2.9161377389673735</v>
      </c>
      <c r="AY16" s="2" t="s">
        <v>182</v>
      </c>
      <c r="AZ16" s="2" t="s">
        <v>182</v>
      </c>
      <c r="BA16" s="2" t="s">
        <v>182</v>
      </c>
      <c r="BB16" s="2" t="s">
        <v>182</v>
      </c>
      <c r="BC16" s="2" t="s">
        <v>182</v>
      </c>
      <c r="BD16" s="2" t="s">
        <v>182</v>
      </c>
      <c r="BE16" s="2" t="s">
        <v>182</v>
      </c>
      <c r="BF16" s="3" t="s">
        <v>218</v>
      </c>
      <c r="BG16" s="3" t="s">
        <v>182</v>
      </c>
      <c r="BH16" s="2">
        <v>0.12</v>
      </c>
      <c r="BI16" s="2" t="s">
        <v>182</v>
      </c>
      <c r="BJ16" s="2" t="s">
        <v>182</v>
      </c>
      <c r="BK16" s="2" t="s">
        <v>182</v>
      </c>
      <c r="BL16" s="2" t="s">
        <v>182</v>
      </c>
      <c r="BM16" s="2" t="s">
        <v>182</v>
      </c>
      <c r="BN16" s="2" t="s">
        <v>182</v>
      </c>
      <c r="BO16" s="2" t="s">
        <v>182</v>
      </c>
      <c r="BP16" s="2" t="s">
        <v>182</v>
      </c>
      <c r="BQ16" s="2" t="s">
        <v>182</v>
      </c>
      <c r="BR16" t="s">
        <v>206</v>
      </c>
      <c r="BS16" s="2" t="s">
        <v>217</v>
      </c>
      <c r="BT16" s="6">
        <v>-25.179333333333332</v>
      </c>
      <c r="BU16" s="3" t="s">
        <v>176</v>
      </c>
      <c r="BV16" s="2">
        <v>0.7</v>
      </c>
      <c r="BW16" s="2" t="s">
        <v>182</v>
      </c>
      <c r="BX16" s="2" t="s">
        <v>182</v>
      </c>
      <c r="BY16" s="2">
        <v>4.2</v>
      </c>
      <c r="BZ16" s="2" t="s">
        <v>182</v>
      </c>
      <c r="CA16" s="2" t="s">
        <v>182</v>
      </c>
      <c r="CB16" s="2" t="s">
        <v>182</v>
      </c>
      <c r="CC16" s="2" t="s">
        <v>182</v>
      </c>
      <c r="CD16" s="2" t="s">
        <v>182</v>
      </c>
      <c r="CE16" s="3" t="s">
        <v>197</v>
      </c>
      <c r="CF16" s="2" t="s">
        <v>198</v>
      </c>
      <c r="CG16" s="2" t="s">
        <v>182</v>
      </c>
      <c r="CH16" s="2" t="s">
        <v>182</v>
      </c>
      <c r="CI16" s="2" t="s">
        <v>182</v>
      </c>
      <c r="CJ16" s="3" t="s">
        <v>182</v>
      </c>
      <c r="CK16" s="2" t="s">
        <v>182</v>
      </c>
      <c r="CL16" s="2" t="s">
        <v>182</v>
      </c>
      <c r="CM16" s="2" t="s">
        <v>182</v>
      </c>
      <c r="CN16" s="2" t="s">
        <v>182</v>
      </c>
      <c r="CO16" s="2" t="s">
        <v>182</v>
      </c>
      <c r="CP16" s="2" t="s">
        <v>182</v>
      </c>
      <c r="CQ16" s="2" t="s">
        <v>182</v>
      </c>
      <c r="CR16" s="2">
        <v>32.700000000000003</v>
      </c>
      <c r="CS16" s="2" t="s">
        <v>182</v>
      </c>
      <c r="CT16" s="2" t="s">
        <v>182</v>
      </c>
      <c r="CU16" s="2" t="s">
        <v>182</v>
      </c>
      <c r="CV16" s="2" t="s">
        <v>219</v>
      </c>
      <c r="CW16" s="2" t="s">
        <v>182</v>
      </c>
      <c r="CX16" s="2" t="s">
        <v>182</v>
      </c>
      <c r="CY16" s="2" t="s">
        <v>182</v>
      </c>
      <c r="CZ16" s="2" t="s">
        <v>182</v>
      </c>
      <c r="DA16" s="2" t="s">
        <v>182</v>
      </c>
      <c r="DB16" s="2" t="s">
        <v>182</v>
      </c>
      <c r="DC16" s="2" t="s">
        <v>182</v>
      </c>
      <c r="DD16" s="2" t="s">
        <v>182</v>
      </c>
      <c r="DE16" s="2" t="s">
        <v>182</v>
      </c>
      <c r="DF16" s="2" t="s">
        <v>182</v>
      </c>
      <c r="DG16" s="2" t="s">
        <v>182</v>
      </c>
      <c r="DH16" s="2" t="s">
        <v>182</v>
      </c>
      <c r="DI16" s="2" t="s">
        <v>182</v>
      </c>
      <c r="DJ16" s="2" t="s">
        <v>182</v>
      </c>
      <c r="DK16" s="2" t="s">
        <v>182</v>
      </c>
      <c r="DL16" s="2" t="s">
        <v>182</v>
      </c>
      <c r="DM16" s="2" t="s">
        <v>182</v>
      </c>
      <c r="DN16" s="6">
        <v>463.75160702806949</v>
      </c>
      <c r="DO16" s="2" t="s">
        <v>182</v>
      </c>
      <c r="DP16" s="2" t="s">
        <v>182</v>
      </c>
      <c r="DQ16" s="6">
        <v>463.75160702806949</v>
      </c>
      <c r="DR16" s="2" t="s">
        <v>182</v>
      </c>
      <c r="DS16" s="2" t="s">
        <v>182</v>
      </c>
      <c r="DT16" s="2" t="s">
        <v>182</v>
      </c>
      <c r="DU16" s="2" t="s">
        <v>182</v>
      </c>
      <c r="DV16" s="2" t="s">
        <v>182</v>
      </c>
      <c r="DW16" s="2" t="s">
        <v>211</v>
      </c>
      <c r="DX16" s="9">
        <v>2.9750000000000001</v>
      </c>
      <c r="DY16" s="2" t="s">
        <v>182</v>
      </c>
      <c r="DZ16" s="2" t="s">
        <v>182</v>
      </c>
      <c r="EA16" s="2" t="s">
        <v>182</v>
      </c>
      <c r="EB16" s="2" t="s">
        <v>182</v>
      </c>
      <c r="EC16" s="2" t="s">
        <v>182</v>
      </c>
      <c r="ED16" s="2">
        <v>111.61516729539116</v>
      </c>
      <c r="EE16" s="2" t="s">
        <v>182</v>
      </c>
      <c r="EF16" s="2" t="s">
        <v>182</v>
      </c>
      <c r="EG16" s="2" t="s">
        <v>182</v>
      </c>
      <c r="EH16" s="2" t="s">
        <v>182</v>
      </c>
      <c r="EI16" s="2" t="s">
        <v>182</v>
      </c>
      <c r="EJ16" s="2" t="s">
        <v>182</v>
      </c>
      <c r="EK16" s="2" t="s">
        <v>182</v>
      </c>
      <c r="EL16" s="2" t="s">
        <v>182</v>
      </c>
      <c r="EM16" s="2" t="s">
        <v>182</v>
      </c>
      <c r="EN16" s="2" t="s">
        <v>182</v>
      </c>
      <c r="EO16" s="2" t="s">
        <v>182</v>
      </c>
      <c r="EP16" s="2" t="s">
        <v>182</v>
      </c>
      <c r="EQ16" s="2" t="s">
        <v>210</v>
      </c>
      <c r="ER16" s="2" t="s">
        <v>182</v>
      </c>
      <c r="ES16" s="2" t="s">
        <v>182</v>
      </c>
      <c r="ET16" s="2" t="s">
        <v>182</v>
      </c>
      <c r="EU16" s="2" t="s">
        <v>182</v>
      </c>
      <c r="EV16" s="3" t="s">
        <v>220</v>
      </c>
      <c r="EW16" s="2">
        <v>25</v>
      </c>
      <c r="EX16" s="2">
        <v>15.063748611710004</v>
      </c>
      <c r="EY16" s="2" t="s">
        <v>182</v>
      </c>
      <c r="EZ16" s="2" t="s">
        <v>182</v>
      </c>
      <c r="FA16" s="2" t="s">
        <v>182</v>
      </c>
      <c r="FB16" s="2" t="s">
        <v>209</v>
      </c>
      <c r="FC16" s="2">
        <v>11.306430968020813</v>
      </c>
      <c r="FD16" s="2">
        <v>1.2745297744851403</v>
      </c>
      <c r="FE16" s="2">
        <v>1.2745297744851403</v>
      </c>
      <c r="FF16" s="2" t="s">
        <v>185</v>
      </c>
      <c r="FG16" s="2" t="s">
        <v>207</v>
      </c>
      <c r="FH16" s="2">
        <v>461.69170317803287</v>
      </c>
      <c r="FI16" s="2">
        <v>56.168964144972279</v>
      </c>
      <c r="FJ16" s="2">
        <v>56.168964144972279</v>
      </c>
      <c r="FK16" s="2" t="s">
        <v>185</v>
      </c>
      <c r="FL16" s="2" t="s">
        <v>208</v>
      </c>
      <c r="FM16" s="2" t="s">
        <v>221</v>
      </c>
      <c r="FN16" s="2" t="s">
        <v>182</v>
      </c>
      <c r="FO16" s="2" t="s">
        <v>182</v>
      </c>
      <c r="FP16" s="2" t="s">
        <v>182</v>
      </c>
      <c r="FQ16" s="2" t="s">
        <v>182</v>
      </c>
      <c r="FR16" s="2" t="s">
        <v>182</v>
      </c>
      <c r="FS16" s="2" t="s">
        <v>182</v>
      </c>
      <c r="FT16" s="2" t="s">
        <v>188</v>
      </c>
      <c r="FU16" s="2" t="s">
        <v>182</v>
      </c>
      <c r="FV16" s="26" t="s">
        <v>282</v>
      </c>
      <c r="FW16" s="2" t="s">
        <v>182</v>
      </c>
      <c r="FX16" s="2" t="s">
        <v>182</v>
      </c>
      <c r="FY16" s="2" t="s">
        <v>222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1"/>
  <sheetViews>
    <sheetView tabSelected="1" workbookViewId="0">
      <selection activeCell="C11" sqref="A1:D182"/>
    </sheetView>
  </sheetViews>
  <sheetFormatPr baseColWidth="10" defaultRowHeight="13" x14ac:dyDescent="0.15"/>
  <cols>
    <col min="3" max="3" width="45.6640625" bestFit="1" customWidth="1"/>
    <col min="4" max="4" width="108.33203125" bestFit="1" customWidth="1"/>
  </cols>
  <sheetData>
    <row r="1" spans="1:4" x14ac:dyDescent="0.15">
      <c r="A1" s="8" t="s">
        <v>33</v>
      </c>
      <c r="B1" s="8" t="s">
        <v>200</v>
      </c>
      <c r="C1" s="8" t="s">
        <v>201</v>
      </c>
      <c r="D1" s="8" t="s">
        <v>165</v>
      </c>
    </row>
    <row r="2" spans="1:4" x14ac:dyDescent="0.15">
      <c r="A2" s="8" t="s">
        <v>4</v>
      </c>
      <c r="B2" s="1">
        <v>1</v>
      </c>
      <c r="C2" s="19" t="s">
        <v>0</v>
      </c>
      <c r="D2" s="8" t="s">
        <v>166</v>
      </c>
    </row>
    <row r="3" spans="1:4" ht="14" x14ac:dyDescent="0.15">
      <c r="A3" s="8" t="s">
        <v>4</v>
      </c>
      <c r="B3" s="1">
        <v>2</v>
      </c>
      <c r="C3" s="20" t="s">
        <v>1</v>
      </c>
      <c r="D3" s="8" t="s">
        <v>166</v>
      </c>
    </row>
    <row r="4" spans="1:4" ht="14" x14ac:dyDescent="0.15">
      <c r="A4" s="8" t="s">
        <v>4</v>
      </c>
      <c r="B4" s="1">
        <v>3</v>
      </c>
      <c r="C4" s="20" t="s">
        <v>2</v>
      </c>
      <c r="D4" s="8" t="s">
        <v>166</v>
      </c>
    </row>
    <row r="5" spans="1:4" x14ac:dyDescent="0.15">
      <c r="A5" s="8" t="s">
        <v>4</v>
      </c>
      <c r="B5" s="1">
        <v>4</v>
      </c>
      <c r="C5" s="19" t="s">
        <v>3</v>
      </c>
      <c r="D5" s="8" t="s">
        <v>166</v>
      </c>
    </row>
    <row r="6" spans="1:4" x14ac:dyDescent="0.15">
      <c r="A6" s="8" t="s">
        <v>4</v>
      </c>
      <c r="B6" s="1">
        <v>5</v>
      </c>
      <c r="C6" s="19" t="s">
        <v>239</v>
      </c>
      <c r="D6" s="8" t="s">
        <v>166</v>
      </c>
    </row>
    <row r="7" spans="1:4" ht="14" x14ac:dyDescent="0.15">
      <c r="A7" s="8" t="s">
        <v>4</v>
      </c>
      <c r="B7" s="1">
        <v>6</v>
      </c>
      <c r="C7" s="21" t="s">
        <v>240</v>
      </c>
      <c r="D7" s="8" t="s">
        <v>166</v>
      </c>
    </row>
    <row r="8" spans="1:4" ht="14" x14ac:dyDescent="0.15">
      <c r="A8" s="8" t="s">
        <v>4</v>
      </c>
      <c r="B8" s="1">
        <v>7</v>
      </c>
      <c r="C8" s="21" t="s">
        <v>241</v>
      </c>
      <c r="D8" s="8" t="s">
        <v>166</v>
      </c>
    </row>
    <row r="9" spans="1:4" ht="14" x14ac:dyDescent="0.15">
      <c r="A9" s="8" t="s">
        <v>4</v>
      </c>
      <c r="B9" s="1">
        <v>8</v>
      </c>
      <c r="C9" s="20" t="s">
        <v>242</v>
      </c>
      <c r="D9" s="8" t="s">
        <v>166</v>
      </c>
    </row>
    <row r="10" spans="1:4" ht="14" x14ac:dyDescent="0.15">
      <c r="A10" s="8" t="s">
        <v>4</v>
      </c>
      <c r="B10" s="1">
        <v>9</v>
      </c>
      <c r="C10" s="21" t="s">
        <v>243</v>
      </c>
      <c r="D10" s="8" t="s">
        <v>166</v>
      </c>
    </row>
    <row r="11" spans="1:4" ht="14" x14ac:dyDescent="0.15">
      <c r="A11" s="8" t="s">
        <v>4</v>
      </c>
      <c r="B11" s="1">
        <v>10</v>
      </c>
      <c r="C11" s="21" t="s">
        <v>255</v>
      </c>
      <c r="D11" s="8" t="s">
        <v>166</v>
      </c>
    </row>
    <row r="12" spans="1:4" x14ac:dyDescent="0.15">
      <c r="A12" s="8" t="s">
        <v>5</v>
      </c>
      <c r="B12" s="1">
        <v>11</v>
      </c>
      <c r="C12" s="8" t="s">
        <v>26</v>
      </c>
      <c r="D12" s="1"/>
    </row>
    <row r="13" spans="1:4" x14ac:dyDescent="0.15">
      <c r="A13" s="8" t="s">
        <v>5</v>
      </c>
      <c r="B13" s="1">
        <v>12</v>
      </c>
      <c r="C13" s="8" t="s">
        <v>27</v>
      </c>
      <c r="D13" s="1"/>
    </row>
    <row r="14" spans="1:4" x14ac:dyDescent="0.15">
      <c r="A14" s="8" t="s">
        <v>5</v>
      </c>
      <c r="B14" s="1">
        <v>13</v>
      </c>
      <c r="C14" s="8" t="s">
        <v>262</v>
      </c>
      <c r="D14" s="8" t="s">
        <v>225</v>
      </c>
    </row>
    <row r="15" spans="1:4" x14ac:dyDescent="0.15">
      <c r="A15" s="8" t="s">
        <v>5</v>
      </c>
      <c r="B15" s="1">
        <v>14</v>
      </c>
      <c r="C15" s="8" t="s">
        <v>261</v>
      </c>
      <c r="D15" s="8" t="s">
        <v>167</v>
      </c>
    </row>
    <row r="16" spans="1:4" x14ac:dyDescent="0.15">
      <c r="A16" s="8" t="s">
        <v>6</v>
      </c>
      <c r="B16" s="1">
        <v>15</v>
      </c>
      <c r="C16" s="8" t="s">
        <v>28</v>
      </c>
      <c r="D16" s="8" t="s">
        <v>168</v>
      </c>
    </row>
    <row r="17" spans="1:4" x14ac:dyDescent="0.15">
      <c r="A17" s="8" t="s">
        <v>6</v>
      </c>
      <c r="B17" s="1">
        <v>16</v>
      </c>
      <c r="C17" s="8" t="s">
        <v>29</v>
      </c>
      <c r="D17" s="1"/>
    </row>
    <row r="18" spans="1:4" x14ac:dyDescent="0.15">
      <c r="A18" s="8" t="s">
        <v>6</v>
      </c>
      <c r="B18" s="1">
        <v>17</v>
      </c>
      <c r="C18" s="8" t="s">
        <v>30</v>
      </c>
      <c r="D18" s="1"/>
    </row>
    <row r="19" spans="1:4" x14ac:dyDescent="0.15">
      <c r="A19" s="8" t="s">
        <v>6</v>
      </c>
      <c r="B19" s="1">
        <v>18</v>
      </c>
      <c r="C19" s="8" t="s">
        <v>31</v>
      </c>
      <c r="D19" s="1"/>
    </row>
    <row r="20" spans="1:4" x14ac:dyDescent="0.15">
      <c r="A20" s="8" t="s">
        <v>6</v>
      </c>
      <c r="B20" s="1">
        <v>19</v>
      </c>
      <c r="C20" s="8" t="s">
        <v>32</v>
      </c>
      <c r="D20" s="8" t="s">
        <v>169</v>
      </c>
    </row>
    <row r="21" spans="1:4" x14ac:dyDescent="0.15">
      <c r="A21" s="8" t="s">
        <v>6</v>
      </c>
      <c r="B21" s="1">
        <v>20</v>
      </c>
      <c r="C21" s="8" t="s">
        <v>33</v>
      </c>
      <c r="D21" s="1"/>
    </row>
    <row r="22" spans="1:4" x14ac:dyDescent="0.15">
      <c r="A22" s="8" t="s">
        <v>6</v>
      </c>
      <c r="B22" s="1">
        <v>21</v>
      </c>
      <c r="C22" s="8" t="s">
        <v>226</v>
      </c>
      <c r="D22" s="1"/>
    </row>
    <row r="23" spans="1:4" x14ac:dyDescent="0.15">
      <c r="A23" s="8" t="s">
        <v>6</v>
      </c>
      <c r="B23" s="1">
        <v>22</v>
      </c>
      <c r="C23" s="8" t="s">
        <v>248</v>
      </c>
      <c r="D23" s="1"/>
    </row>
    <row r="24" spans="1:4" x14ac:dyDescent="0.15">
      <c r="A24" s="8" t="s">
        <v>6</v>
      </c>
      <c r="B24" s="1">
        <v>23</v>
      </c>
      <c r="C24" s="8" t="s">
        <v>34</v>
      </c>
      <c r="D24" s="1"/>
    </row>
    <row r="25" spans="1:4" x14ac:dyDescent="0.15">
      <c r="A25" s="8" t="s">
        <v>6</v>
      </c>
      <c r="B25" s="1">
        <v>24</v>
      </c>
      <c r="C25" s="8" t="s">
        <v>35</v>
      </c>
      <c r="D25" s="1"/>
    </row>
    <row r="26" spans="1:4" x14ac:dyDescent="0.15">
      <c r="A26" s="8" t="s">
        <v>6</v>
      </c>
      <c r="B26" s="1">
        <v>25</v>
      </c>
      <c r="C26" s="8" t="s">
        <v>36</v>
      </c>
      <c r="D26" s="1"/>
    </row>
    <row r="27" spans="1:4" x14ac:dyDescent="0.15">
      <c r="A27" s="8" t="s">
        <v>6</v>
      </c>
      <c r="B27" s="1">
        <v>26</v>
      </c>
      <c r="C27" s="8" t="s">
        <v>37</v>
      </c>
      <c r="D27" s="1"/>
    </row>
    <row r="28" spans="1:4" x14ac:dyDescent="0.15">
      <c r="A28" s="8" t="s">
        <v>6</v>
      </c>
      <c r="B28" s="1">
        <v>27</v>
      </c>
      <c r="C28" s="8" t="s">
        <v>38</v>
      </c>
      <c r="D28" s="8" t="s">
        <v>170</v>
      </c>
    </row>
    <row r="29" spans="1:4" x14ac:dyDescent="0.15">
      <c r="A29" s="8" t="s">
        <v>7</v>
      </c>
      <c r="B29" s="1">
        <v>28</v>
      </c>
      <c r="C29" s="8" t="s">
        <v>39</v>
      </c>
      <c r="D29" s="1"/>
    </row>
    <row r="30" spans="1:4" x14ac:dyDescent="0.15">
      <c r="A30" s="8" t="s">
        <v>7</v>
      </c>
      <c r="B30" s="1">
        <v>29</v>
      </c>
      <c r="C30" s="8" t="s">
        <v>21</v>
      </c>
      <c r="D30" s="1"/>
    </row>
    <row r="31" spans="1:4" x14ac:dyDescent="0.15">
      <c r="A31" s="8" t="s">
        <v>7</v>
      </c>
      <c r="B31" s="1">
        <v>30</v>
      </c>
      <c r="C31" s="8" t="s">
        <v>22</v>
      </c>
      <c r="D31" s="1"/>
    </row>
    <row r="32" spans="1:4" x14ac:dyDescent="0.15">
      <c r="A32" s="8" t="s">
        <v>7</v>
      </c>
      <c r="B32" s="1">
        <v>31</v>
      </c>
      <c r="C32" s="8" t="s">
        <v>40</v>
      </c>
      <c r="D32" s="8" t="s">
        <v>171</v>
      </c>
    </row>
    <row r="33" spans="1:4" x14ac:dyDescent="0.15">
      <c r="A33" s="8" t="s">
        <v>7</v>
      </c>
      <c r="B33" s="1">
        <v>32</v>
      </c>
      <c r="C33" s="8" t="s">
        <v>41</v>
      </c>
      <c r="D33" s="1"/>
    </row>
    <row r="34" spans="1:4" x14ac:dyDescent="0.15">
      <c r="A34" s="8" t="s">
        <v>7</v>
      </c>
      <c r="B34" s="1">
        <v>33</v>
      </c>
      <c r="C34" s="8" t="s">
        <v>42</v>
      </c>
      <c r="D34" s="1" t="s">
        <v>227</v>
      </c>
    </row>
    <row r="35" spans="1:4" x14ac:dyDescent="0.15">
      <c r="A35" s="8" t="s">
        <v>8</v>
      </c>
      <c r="B35" s="1">
        <v>34</v>
      </c>
      <c r="C35" s="8" t="s">
        <v>263</v>
      </c>
      <c r="D35" s="8" t="s">
        <v>264</v>
      </c>
    </row>
    <row r="36" spans="1:4" x14ac:dyDescent="0.15">
      <c r="A36" s="8" t="s">
        <v>8</v>
      </c>
      <c r="B36" s="1">
        <v>35</v>
      </c>
      <c r="C36" s="8" t="s">
        <v>265</v>
      </c>
      <c r="D36" s="8" t="s">
        <v>266</v>
      </c>
    </row>
    <row r="37" spans="1:4" x14ac:dyDescent="0.15">
      <c r="A37" s="8" t="s">
        <v>8</v>
      </c>
      <c r="B37" s="1">
        <v>36</v>
      </c>
      <c r="C37" s="8" t="s">
        <v>43</v>
      </c>
      <c r="D37" s="8" t="s">
        <v>172</v>
      </c>
    </row>
    <row r="38" spans="1:4" x14ac:dyDescent="0.15">
      <c r="A38" s="8" t="s">
        <v>8</v>
      </c>
      <c r="B38" s="1">
        <v>37</v>
      </c>
      <c r="C38" s="8" t="s">
        <v>267</v>
      </c>
      <c r="D38" s="1"/>
    </row>
    <row r="39" spans="1:4" x14ac:dyDescent="0.15">
      <c r="A39" s="8" t="s">
        <v>8</v>
      </c>
      <c r="B39" s="1">
        <v>38</v>
      </c>
      <c r="C39" s="8" t="s">
        <v>268</v>
      </c>
      <c r="D39" s="1"/>
    </row>
    <row r="40" spans="1:4" x14ac:dyDescent="0.15">
      <c r="A40" s="8" t="s">
        <v>8</v>
      </c>
      <c r="B40" s="1">
        <v>39</v>
      </c>
      <c r="C40" s="8" t="s">
        <v>44</v>
      </c>
      <c r="D40" s="8" t="s">
        <v>172</v>
      </c>
    </row>
    <row r="41" spans="1:4" x14ac:dyDescent="0.15">
      <c r="A41" s="8" t="s">
        <v>8</v>
      </c>
      <c r="B41" s="1">
        <v>40</v>
      </c>
      <c r="C41" s="8" t="s">
        <v>45</v>
      </c>
      <c r="D41" s="1"/>
    </row>
    <row r="42" spans="1:4" x14ac:dyDescent="0.15">
      <c r="A42" s="8" t="s">
        <v>8</v>
      </c>
      <c r="B42" s="1">
        <v>41</v>
      </c>
      <c r="C42" s="8" t="s">
        <v>46</v>
      </c>
      <c r="D42" s="1" t="s">
        <v>228</v>
      </c>
    </row>
    <row r="43" spans="1:4" x14ac:dyDescent="0.15">
      <c r="A43" s="8" t="s">
        <v>9</v>
      </c>
      <c r="B43" s="1">
        <v>42</v>
      </c>
      <c r="C43" s="8" t="s">
        <v>9</v>
      </c>
      <c r="D43" s="1"/>
    </row>
    <row r="44" spans="1:4" x14ac:dyDescent="0.15">
      <c r="A44" s="8" t="s">
        <v>9</v>
      </c>
      <c r="B44" s="1">
        <v>43</v>
      </c>
      <c r="C44" s="8" t="s">
        <v>47</v>
      </c>
      <c r="D44" s="1"/>
    </row>
    <row r="45" spans="1:4" x14ac:dyDescent="0.15">
      <c r="A45" s="8" t="s">
        <v>9</v>
      </c>
      <c r="B45" s="1">
        <v>44</v>
      </c>
      <c r="C45" s="8" t="s">
        <v>48</v>
      </c>
      <c r="D45" s="1"/>
    </row>
    <row r="46" spans="1:4" x14ac:dyDescent="0.15">
      <c r="A46" s="8" t="s">
        <v>9</v>
      </c>
      <c r="B46" s="1">
        <v>45</v>
      </c>
      <c r="C46" s="8" t="s">
        <v>49</v>
      </c>
      <c r="D46" s="1"/>
    </row>
    <row r="47" spans="1:4" x14ac:dyDescent="0.15">
      <c r="A47" s="8" t="s">
        <v>9</v>
      </c>
      <c r="B47" s="1">
        <v>46</v>
      </c>
      <c r="C47" s="8" t="s">
        <v>50</v>
      </c>
      <c r="D47" s="1"/>
    </row>
    <row r="48" spans="1:4" x14ac:dyDescent="0.15">
      <c r="A48" s="8" t="s">
        <v>9</v>
      </c>
      <c r="B48" s="1">
        <v>47</v>
      </c>
      <c r="C48" s="8" t="s">
        <v>51</v>
      </c>
      <c r="D48" s="1"/>
    </row>
    <row r="49" spans="1:4" x14ac:dyDescent="0.15">
      <c r="A49" s="8" t="s">
        <v>9</v>
      </c>
      <c r="B49" s="1">
        <v>48</v>
      </c>
      <c r="C49" s="8" t="s">
        <v>52</v>
      </c>
      <c r="D49" s="1"/>
    </row>
    <row r="50" spans="1:4" x14ac:dyDescent="0.15">
      <c r="A50" s="8" t="s">
        <v>9</v>
      </c>
      <c r="B50" s="1">
        <v>49</v>
      </c>
      <c r="C50" s="8" t="s">
        <v>53</v>
      </c>
      <c r="D50" s="1"/>
    </row>
    <row r="51" spans="1:4" x14ac:dyDescent="0.15">
      <c r="A51" s="8" t="s">
        <v>10</v>
      </c>
      <c r="B51" s="1">
        <v>50</v>
      </c>
      <c r="C51" s="8" t="s">
        <v>54</v>
      </c>
      <c r="D51" s="1"/>
    </row>
    <row r="52" spans="1:4" x14ac:dyDescent="0.15">
      <c r="A52" s="8" t="s">
        <v>10</v>
      </c>
      <c r="B52" s="1">
        <v>51</v>
      </c>
      <c r="C52" s="8" t="s">
        <v>55</v>
      </c>
      <c r="D52" s="1"/>
    </row>
    <row r="53" spans="1:4" x14ac:dyDescent="0.15">
      <c r="A53" s="8" t="s">
        <v>10</v>
      </c>
      <c r="B53" s="1">
        <v>52</v>
      </c>
      <c r="C53" s="8" t="s">
        <v>56</v>
      </c>
      <c r="D53" s="8" t="s">
        <v>171</v>
      </c>
    </row>
    <row r="54" spans="1:4" x14ac:dyDescent="0.15">
      <c r="A54" s="8" t="s">
        <v>10</v>
      </c>
      <c r="B54" s="1">
        <v>53</v>
      </c>
      <c r="C54" s="8" t="s">
        <v>57</v>
      </c>
      <c r="D54" s="8" t="s">
        <v>173</v>
      </c>
    </row>
    <row r="55" spans="1:4" x14ac:dyDescent="0.15">
      <c r="A55" s="8" t="s">
        <v>10</v>
      </c>
      <c r="B55" s="1">
        <v>54</v>
      </c>
      <c r="C55" s="8" t="s">
        <v>58</v>
      </c>
      <c r="D55" s="1"/>
    </row>
    <row r="56" spans="1:4" x14ac:dyDescent="0.15">
      <c r="A56" s="8" t="s">
        <v>10</v>
      </c>
      <c r="B56" s="1">
        <v>55</v>
      </c>
      <c r="C56" s="8" t="s">
        <v>59</v>
      </c>
      <c r="D56" s="1"/>
    </row>
    <row r="57" spans="1:4" x14ac:dyDescent="0.15">
      <c r="A57" s="8" t="s">
        <v>10</v>
      </c>
      <c r="B57" s="1">
        <v>56</v>
      </c>
      <c r="C57" s="8" t="s">
        <v>60</v>
      </c>
      <c r="D57" s="8" t="s">
        <v>171</v>
      </c>
    </row>
    <row r="58" spans="1:4" x14ac:dyDescent="0.15">
      <c r="A58" s="8" t="s">
        <v>10</v>
      </c>
      <c r="B58" s="1">
        <v>57</v>
      </c>
      <c r="C58" s="8" t="s">
        <v>61</v>
      </c>
      <c r="D58" s="8" t="s">
        <v>173</v>
      </c>
    </row>
    <row r="59" spans="1:4" x14ac:dyDescent="0.15">
      <c r="A59" s="8" t="s">
        <v>10</v>
      </c>
      <c r="B59" s="1">
        <v>58</v>
      </c>
      <c r="C59" s="8" t="s">
        <v>62</v>
      </c>
      <c r="D59" s="8" t="s">
        <v>174</v>
      </c>
    </row>
    <row r="60" spans="1:4" x14ac:dyDescent="0.15">
      <c r="A60" s="8" t="s">
        <v>10</v>
      </c>
      <c r="B60" s="1">
        <v>59</v>
      </c>
      <c r="C60" s="8" t="s">
        <v>63</v>
      </c>
      <c r="D60" s="8" t="s">
        <v>175</v>
      </c>
    </row>
    <row r="61" spans="1:4" x14ac:dyDescent="0.15">
      <c r="A61" s="8" t="s">
        <v>10</v>
      </c>
      <c r="B61" s="1">
        <v>60</v>
      </c>
      <c r="C61" s="8" t="s">
        <v>64</v>
      </c>
      <c r="D61" s="1"/>
    </row>
    <row r="62" spans="1:4" x14ac:dyDescent="0.15">
      <c r="A62" s="8" t="s">
        <v>10</v>
      </c>
      <c r="B62" s="1">
        <v>61</v>
      </c>
      <c r="C62" s="8" t="s">
        <v>65</v>
      </c>
      <c r="D62" s="1"/>
    </row>
    <row r="63" spans="1:4" x14ac:dyDescent="0.15">
      <c r="A63" s="8" t="s">
        <v>10</v>
      </c>
      <c r="B63" s="1">
        <v>62</v>
      </c>
      <c r="C63" s="8" t="s">
        <v>66</v>
      </c>
      <c r="D63" s="1"/>
    </row>
    <row r="64" spans="1:4" x14ac:dyDescent="0.15">
      <c r="A64" s="8" t="s">
        <v>10</v>
      </c>
      <c r="B64" s="1">
        <v>63</v>
      </c>
      <c r="C64" s="8" t="s">
        <v>67</v>
      </c>
      <c r="D64" s="8" t="s">
        <v>171</v>
      </c>
    </row>
    <row r="65" spans="1:4" x14ac:dyDescent="0.15">
      <c r="A65" s="8" t="s">
        <v>10</v>
      </c>
      <c r="B65" s="1">
        <v>64</v>
      </c>
      <c r="C65" s="8" t="s">
        <v>68</v>
      </c>
      <c r="D65" s="1"/>
    </row>
    <row r="66" spans="1:4" x14ac:dyDescent="0.15">
      <c r="A66" s="8" t="s">
        <v>10</v>
      </c>
      <c r="B66" s="1">
        <v>65</v>
      </c>
      <c r="C66" s="8" t="s">
        <v>69</v>
      </c>
      <c r="D66" s="1"/>
    </row>
    <row r="67" spans="1:4" x14ac:dyDescent="0.15">
      <c r="A67" s="8" t="s">
        <v>10</v>
      </c>
      <c r="B67" s="1">
        <v>66</v>
      </c>
      <c r="C67" s="8" t="s">
        <v>70</v>
      </c>
      <c r="D67" s="1"/>
    </row>
    <row r="68" spans="1:4" x14ac:dyDescent="0.15">
      <c r="A68" s="8" t="s">
        <v>10</v>
      </c>
      <c r="B68" s="1">
        <v>67</v>
      </c>
      <c r="C68" s="8" t="s">
        <v>71</v>
      </c>
      <c r="D68" s="1"/>
    </row>
    <row r="69" spans="1:4" x14ac:dyDescent="0.15">
      <c r="A69" s="8" t="s">
        <v>10</v>
      </c>
      <c r="B69" s="1">
        <v>68</v>
      </c>
      <c r="C69" s="8" t="s">
        <v>246</v>
      </c>
      <c r="D69" s="1"/>
    </row>
    <row r="70" spans="1:4" x14ac:dyDescent="0.15">
      <c r="A70" s="8" t="s">
        <v>10</v>
      </c>
      <c r="B70" s="1">
        <v>69</v>
      </c>
      <c r="C70" s="8" t="s">
        <v>247</v>
      </c>
      <c r="D70" s="1"/>
    </row>
    <row r="71" spans="1:4" x14ac:dyDescent="0.15">
      <c r="A71" s="8" t="s">
        <v>10</v>
      </c>
      <c r="B71" s="1">
        <v>70</v>
      </c>
      <c r="C71" s="8" t="s">
        <v>72</v>
      </c>
      <c r="D71" s="1"/>
    </row>
    <row r="72" spans="1:4" x14ac:dyDescent="0.15">
      <c r="A72" s="8" t="s">
        <v>10</v>
      </c>
      <c r="B72" s="1">
        <v>71</v>
      </c>
      <c r="C72" s="8" t="s">
        <v>73</v>
      </c>
      <c r="D72" s="1"/>
    </row>
    <row r="73" spans="1:4" x14ac:dyDescent="0.15">
      <c r="A73" s="8" t="s">
        <v>11</v>
      </c>
      <c r="B73" s="1">
        <v>72</v>
      </c>
      <c r="C73" s="8" t="s">
        <v>74</v>
      </c>
      <c r="D73" s="1"/>
    </row>
    <row r="74" spans="1:4" x14ac:dyDescent="0.15">
      <c r="A74" s="8" t="s">
        <v>11</v>
      </c>
      <c r="B74" s="1">
        <v>73</v>
      </c>
      <c r="C74" s="8" t="s">
        <v>75</v>
      </c>
      <c r="D74" s="1" t="s">
        <v>229</v>
      </c>
    </row>
    <row r="75" spans="1:4" x14ac:dyDescent="0.15">
      <c r="A75" s="8" t="s">
        <v>11</v>
      </c>
      <c r="B75" s="1">
        <v>74</v>
      </c>
      <c r="C75" s="8" t="s">
        <v>76</v>
      </c>
      <c r="D75" s="1"/>
    </row>
    <row r="76" spans="1:4" x14ac:dyDescent="0.15">
      <c r="A76" s="8" t="s">
        <v>11</v>
      </c>
      <c r="B76" s="1">
        <v>75</v>
      </c>
      <c r="C76" s="8" t="s">
        <v>178</v>
      </c>
      <c r="D76" s="1"/>
    </row>
    <row r="77" spans="1:4" x14ac:dyDescent="0.15">
      <c r="A77" s="8" t="s">
        <v>11</v>
      </c>
      <c r="B77" s="1">
        <v>76</v>
      </c>
      <c r="C77" s="8" t="s">
        <v>77</v>
      </c>
      <c r="D77" s="8" t="s">
        <v>171</v>
      </c>
    </row>
    <row r="78" spans="1:4" x14ac:dyDescent="0.15">
      <c r="A78" s="8" t="s">
        <v>11</v>
      </c>
      <c r="B78" s="1">
        <v>77</v>
      </c>
      <c r="C78" s="8" t="s">
        <v>78</v>
      </c>
      <c r="D78" s="1"/>
    </row>
    <row r="79" spans="1:4" x14ac:dyDescent="0.15">
      <c r="A79" s="8" t="s">
        <v>11</v>
      </c>
      <c r="B79" s="1">
        <v>78</v>
      </c>
      <c r="C79" s="8" t="s">
        <v>79</v>
      </c>
      <c r="D79" s="1"/>
    </row>
    <row r="80" spans="1:4" x14ac:dyDescent="0.15">
      <c r="A80" s="8" t="s">
        <v>11</v>
      </c>
      <c r="B80" s="1">
        <v>79</v>
      </c>
      <c r="C80" s="8" t="s">
        <v>80</v>
      </c>
      <c r="D80" s="8" t="s">
        <v>171</v>
      </c>
    </row>
    <row r="81" spans="1:4" x14ac:dyDescent="0.15">
      <c r="A81" s="8" t="s">
        <v>11</v>
      </c>
      <c r="B81" s="1">
        <v>80</v>
      </c>
      <c r="C81" s="8" t="s">
        <v>81</v>
      </c>
      <c r="D81" s="1"/>
    </row>
    <row r="82" spans="1:4" x14ac:dyDescent="0.15">
      <c r="A82" s="8" t="s">
        <v>11</v>
      </c>
      <c r="B82" s="1">
        <v>81</v>
      </c>
      <c r="C82" s="8" t="s">
        <v>82</v>
      </c>
      <c r="D82" s="1"/>
    </row>
    <row r="83" spans="1:4" x14ac:dyDescent="0.15">
      <c r="A83" s="8" t="s">
        <v>11</v>
      </c>
      <c r="B83" s="1">
        <v>82</v>
      </c>
      <c r="C83" s="8" t="s">
        <v>83</v>
      </c>
      <c r="D83" s="8" t="s">
        <v>171</v>
      </c>
    </row>
    <row r="84" spans="1:4" x14ac:dyDescent="0.15">
      <c r="A84" s="8" t="s">
        <v>11</v>
      </c>
      <c r="B84" s="1">
        <v>83</v>
      </c>
      <c r="C84" s="8" t="s">
        <v>84</v>
      </c>
      <c r="D84" s="1"/>
    </row>
    <row r="85" spans="1:4" x14ac:dyDescent="0.15">
      <c r="A85" s="8" t="s">
        <v>11</v>
      </c>
      <c r="B85" s="1">
        <v>84</v>
      </c>
      <c r="C85" s="8" t="s">
        <v>85</v>
      </c>
      <c r="D85" s="1"/>
    </row>
    <row r="86" spans="1:4" x14ac:dyDescent="0.15">
      <c r="A86" s="8" t="s">
        <v>12</v>
      </c>
      <c r="B86" s="1">
        <v>85</v>
      </c>
      <c r="C86" s="8" t="s">
        <v>86</v>
      </c>
      <c r="D86" s="1"/>
    </row>
    <row r="87" spans="1:4" x14ac:dyDescent="0.15">
      <c r="A87" s="8" t="s">
        <v>12</v>
      </c>
      <c r="B87" s="1">
        <v>86</v>
      </c>
      <c r="C87" s="8" t="s">
        <v>87</v>
      </c>
      <c r="D87" s="1"/>
    </row>
    <row r="88" spans="1:4" x14ac:dyDescent="0.15">
      <c r="A88" s="8" t="s">
        <v>12</v>
      </c>
      <c r="B88" s="1">
        <v>87</v>
      </c>
      <c r="C88" s="8" t="s">
        <v>88</v>
      </c>
      <c r="D88" s="1"/>
    </row>
    <row r="89" spans="1:4" x14ac:dyDescent="0.15">
      <c r="A89" s="8" t="s">
        <v>12</v>
      </c>
      <c r="B89" s="1">
        <v>88</v>
      </c>
      <c r="C89" s="8" t="s">
        <v>89</v>
      </c>
      <c r="D89" s="1"/>
    </row>
    <row r="90" spans="1:4" x14ac:dyDescent="0.15">
      <c r="A90" s="8" t="s">
        <v>12</v>
      </c>
      <c r="B90" s="1">
        <v>89</v>
      </c>
      <c r="C90" s="8" t="s">
        <v>90</v>
      </c>
      <c r="D90" s="1"/>
    </row>
    <row r="91" spans="1:4" x14ac:dyDescent="0.15">
      <c r="A91" s="8" t="s">
        <v>12</v>
      </c>
      <c r="B91" s="1">
        <v>90</v>
      </c>
      <c r="C91" s="8" t="s">
        <v>183</v>
      </c>
      <c r="D91" s="1"/>
    </row>
    <row r="92" spans="1:4" x14ac:dyDescent="0.15">
      <c r="A92" s="8" t="s">
        <v>12</v>
      </c>
      <c r="B92" s="1">
        <v>91</v>
      </c>
      <c r="C92" s="8" t="s">
        <v>184</v>
      </c>
      <c r="D92" s="1"/>
    </row>
    <row r="93" spans="1:4" x14ac:dyDescent="0.15">
      <c r="A93" s="8" t="s">
        <v>12</v>
      </c>
      <c r="B93" s="1">
        <v>92</v>
      </c>
      <c r="C93" s="8" t="s">
        <v>91</v>
      </c>
      <c r="D93" s="8" t="s">
        <v>171</v>
      </c>
    </row>
    <row r="94" spans="1:4" x14ac:dyDescent="0.15">
      <c r="A94" s="8" t="s">
        <v>12</v>
      </c>
      <c r="B94" s="1">
        <v>93</v>
      </c>
      <c r="C94" s="8" t="s">
        <v>92</v>
      </c>
      <c r="D94" s="1"/>
    </row>
    <row r="95" spans="1:4" x14ac:dyDescent="0.15">
      <c r="A95" s="8" t="s">
        <v>12</v>
      </c>
      <c r="B95" s="1">
        <v>94</v>
      </c>
      <c r="C95" s="8" t="s">
        <v>93</v>
      </c>
      <c r="D95" s="8"/>
    </row>
    <row r="96" spans="1:4" x14ac:dyDescent="0.15">
      <c r="A96" s="8" t="s">
        <v>12</v>
      </c>
      <c r="B96" s="1">
        <v>95</v>
      </c>
      <c r="C96" s="8" t="s">
        <v>94</v>
      </c>
      <c r="D96" s="1"/>
    </row>
    <row r="97" spans="1:4" x14ac:dyDescent="0.15">
      <c r="A97" s="8" t="s">
        <v>13</v>
      </c>
      <c r="B97" s="1">
        <v>96</v>
      </c>
      <c r="C97" s="8" t="s">
        <v>95</v>
      </c>
      <c r="D97" s="8" t="s">
        <v>230</v>
      </c>
    </row>
    <row r="98" spans="1:4" x14ac:dyDescent="0.15">
      <c r="A98" s="8" t="s">
        <v>13</v>
      </c>
      <c r="B98" s="1">
        <v>97</v>
      </c>
      <c r="C98" s="8" t="s">
        <v>96</v>
      </c>
      <c r="D98" s="1"/>
    </row>
    <row r="99" spans="1:4" x14ac:dyDescent="0.15">
      <c r="A99" s="8" t="s">
        <v>13</v>
      </c>
      <c r="B99" s="1">
        <v>98</v>
      </c>
      <c r="C99" s="8" t="s">
        <v>97</v>
      </c>
      <c r="D99" s="1"/>
    </row>
    <row r="100" spans="1:4" x14ac:dyDescent="0.15">
      <c r="A100" s="8" t="s">
        <v>13</v>
      </c>
      <c r="B100" s="1">
        <v>99</v>
      </c>
      <c r="C100" s="8" t="s">
        <v>98</v>
      </c>
      <c r="D100" s="8" t="s">
        <v>171</v>
      </c>
    </row>
    <row r="101" spans="1:4" x14ac:dyDescent="0.15">
      <c r="A101" s="8" t="s">
        <v>13</v>
      </c>
      <c r="B101" s="1">
        <v>100</v>
      </c>
      <c r="C101" s="8" t="s">
        <v>99</v>
      </c>
      <c r="D101" s="1"/>
    </row>
    <row r="102" spans="1:4" x14ac:dyDescent="0.15">
      <c r="A102" s="8" t="s">
        <v>13</v>
      </c>
      <c r="B102" s="1">
        <v>101</v>
      </c>
      <c r="C102" s="8" t="s">
        <v>100</v>
      </c>
      <c r="D102" s="8"/>
    </row>
    <row r="103" spans="1:4" x14ac:dyDescent="0.15">
      <c r="A103" s="8" t="s">
        <v>13</v>
      </c>
      <c r="B103" s="1">
        <v>102</v>
      </c>
      <c r="C103" s="8" t="s">
        <v>101</v>
      </c>
      <c r="D103" s="8"/>
    </row>
    <row r="104" spans="1:4" x14ac:dyDescent="0.15">
      <c r="A104" s="8" t="s">
        <v>13</v>
      </c>
      <c r="B104" s="1">
        <v>103</v>
      </c>
      <c r="C104" s="8" t="s">
        <v>102</v>
      </c>
      <c r="D104" s="1"/>
    </row>
    <row r="105" spans="1:4" x14ac:dyDescent="0.15">
      <c r="A105" s="8" t="s">
        <v>13</v>
      </c>
      <c r="B105" s="1">
        <v>104</v>
      </c>
      <c r="C105" s="8" t="s">
        <v>103</v>
      </c>
      <c r="D105" s="1"/>
    </row>
    <row r="106" spans="1:4" x14ac:dyDescent="0.15">
      <c r="A106" s="8" t="s">
        <v>13</v>
      </c>
      <c r="B106" s="1">
        <v>105</v>
      </c>
      <c r="C106" s="8" t="s">
        <v>104</v>
      </c>
      <c r="D106" s="1"/>
    </row>
    <row r="107" spans="1:4" x14ac:dyDescent="0.15">
      <c r="A107" s="8" t="s">
        <v>13</v>
      </c>
      <c r="B107" s="1">
        <v>106</v>
      </c>
      <c r="C107" s="8" t="s">
        <v>105</v>
      </c>
      <c r="D107" s="1"/>
    </row>
    <row r="108" spans="1:4" x14ac:dyDescent="0.15">
      <c r="A108" s="8" t="s">
        <v>13</v>
      </c>
      <c r="B108" s="1">
        <v>107</v>
      </c>
      <c r="C108" s="8" t="s">
        <v>106</v>
      </c>
      <c r="D108" s="1"/>
    </row>
    <row r="109" spans="1:4" x14ac:dyDescent="0.15">
      <c r="A109" s="8" t="s">
        <v>13</v>
      </c>
      <c r="B109" s="1">
        <v>108</v>
      </c>
      <c r="C109" s="8" t="s">
        <v>107</v>
      </c>
      <c r="D109" s="1" t="s">
        <v>231</v>
      </c>
    </row>
    <row r="110" spans="1:4" x14ac:dyDescent="0.15">
      <c r="A110" s="8" t="s">
        <v>13</v>
      </c>
      <c r="B110" s="1">
        <v>109</v>
      </c>
      <c r="C110" s="8" t="s">
        <v>108</v>
      </c>
      <c r="D110" s="1"/>
    </row>
    <row r="111" spans="1:4" x14ac:dyDescent="0.15">
      <c r="A111" s="8" t="s">
        <v>13</v>
      </c>
      <c r="B111" s="1">
        <v>110</v>
      </c>
      <c r="C111" s="8" t="s">
        <v>109</v>
      </c>
      <c r="D111" s="1"/>
    </row>
    <row r="112" spans="1:4" x14ac:dyDescent="0.15">
      <c r="A112" s="8" t="s">
        <v>13</v>
      </c>
      <c r="B112" s="1">
        <v>111</v>
      </c>
      <c r="C112" s="8" t="s">
        <v>110</v>
      </c>
      <c r="D112" s="1"/>
    </row>
    <row r="113" spans="1:4" x14ac:dyDescent="0.15">
      <c r="A113" s="8" t="s">
        <v>13</v>
      </c>
      <c r="B113" s="1">
        <v>112</v>
      </c>
      <c r="C113" s="8" t="s">
        <v>111</v>
      </c>
      <c r="D113" s="8" t="s">
        <v>171</v>
      </c>
    </row>
    <row r="114" spans="1:4" x14ac:dyDescent="0.15">
      <c r="A114" s="8" t="s">
        <v>13</v>
      </c>
      <c r="B114" s="1">
        <v>113</v>
      </c>
      <c r="C114" s="8" t="s">
        <v>112</v>
      </c>
      <c r="D114" s="1"/>
    </row>
    <row r="115" spans="1:4" x14ac:dyDescent="0.15">
      <c r="A115" s="8" t="s">
        <v>13</v>
      </c>
      <c r="B115" s="1">
        <v>114</v>
      </c>
      <c r="C115" s="8" t="s">
        <v>113</v>
      </c>
      <c r="D115" s="1"/>
    </row>
    <row r="116" spans="1:4" x14ac:dyDescent="0.15">
      <c r="A116" s="8" t="s">
        <v>13</v>
      </c>
      <c r="B116" s="1">
        <v>115</v>
      </c>
      <c r="C116" s="8" t="s">
        <v>114</v>
      </c>
      <c r="D116" s="1"/>
    </row>
    <row r="117" spans="1:4" x14ac:dyDescent="0.15">
      <c r="A117" s="8" t="s">
        <v>13</v>
      </c>
      <c r="B117" s="1">
        <v>116</v>
      </c>
      <c r="C117" s="8" t="s">
        <v>115</v>
      </c>
      <c r="D117" s="8" t="s">
        <v>171</v>
      </c>
    </row>
    <row r="118" spans="1:4" x14ac:dyDescent="0.15">
      <c r="A118" s="8" t="s">
        <v>13</v>
      </c>
      <c r="B118" s="1">
        <v>117</v>
      </c>
      <c r="C118" s="8" t="s">
        <v>116</v>
      </c>
      <c r="D118" s="1"/>
    </row>
    <row r="119" spans="1:4" x14ac:dyDescent="0.15">
      <c r="A119" s="8" t="s">
        <v>14</v>
      </c>
      <c r="B119" s="1">
        <v>118</v>
      </c>
      <c r="C119" s="8" t="s">
        <v>14</v>
      </c>
      <c r="D119" s="1"/>
    </row>
    <row r="120" spans="1:4" x14ac:dyDescent="0.15">
      <c r="A120" s="8" t="s">
        <v>14</v>
      </c>
      <c r="B120" s="1">
        <v>119</v>
      </c>
      <c r="C120" s="8" t="s">
        <v>117</v>
      </c>
      <c r="D120" s="1"/>
    </row>
    <row r="121" spans="1:4" x14ac:dyDescent="0.15">
      <c r="A121" s="8" t="s">
        <v>14</v>
      </c>
      <c r="B121" s="1">
        <v>120</v>
      </c>
      <c r="C121" s="8" t="s">
        <v>118</v>
      </c>
      <c r="D121" s="1"/>
    </row>
    <row r="122" spans="1:4" x14ac:dyDescent="0.15">
      <c r="A122" s="8" t="s">
        <v>14</v>
      </c>
      <c r="B122" s="1">
        <v>121</v>
      </c>
      <c r="C122" s="8" t="s">
        <v>119</v>
      </c>
      <c r="D122" s="1"/>
    </row>
    <row r="123" spans="1:4" x14ac:dyDescent="0.15">
      <c r="A123" s="8" t="s">
        <v>14</v>
      </c>
      <c r="B123" s="1">
        <v>122</v>
      </c>
      <c r="C123" s="8" t="s">
        <v>120</v>
      </c>
      <c r="D123" s="1" t="s">
        <v>232</v>
      </c>
    </row>
    <row r="124" spans="1:4" x14ac:dyDescent="0.15">
      <c r="A124" s="8" t="s">
        <v>15</v>
      </c>
      <c r="B124" s="1">
        <v>123</v>
      </c>
      <c r="C124" s="8" t="s">
        <v>121</v>
      </c>
      <c r="D124" s="1"/>
    </row>
    <row r="125" spans="1:4" x14ac:dyDescent="0.15">
      <c r="A125" s="8" t="s">
        <v>15</v>
      </c>
      <c r="B125" s="1">
        <v>124</v>
      </c>
      <c r="C125" s="8" t="s">
        <v>122</v>
      </c>
      <c r="D125" s="1"/>
    </row>
    <row r="126" spans="1:4" x14ac:dyDescent="0.15">
      <c r="A126" s="8" t="s">
        <v>15</v>
      </c>
      <c r="B126" s="1">
        <v>125</v>
      </c>
      <c r="C126" s="8" t="s">
        <v>123</v>
      </c>
      <c r="D126" s="1"/>
    </row>
    <row r="127" spans="1:4" x14ac:dyDescent="0.15">
      <c r="A127" s="8" t="s">
        <v>15</v>
      </c>
      <c r="B127" s="1">
        <v>126</v>
      </c>
      <c r="C127" s="8" t="s">
        <v>124</v>
      </c>
      <c r="D127" s="1"/>
    </row>
    <row r="128" spans="1:4" x14ac:dyDescent="0.15">
      <c r="A128" s="8" t="s">
        <v>15</v>
      </c>
      <c r="B128" s="1">
        <v>127</v>
      </c>
      <c r="C128" s="8" t="s">
        <v>125</v>
      </c>
      <c r="D128" s="1"/>
    </row>
    <row r="129" spans="1:4" x14ac:dyDescent="0.15">
      <c r="A129" s="8" t="s">
        <v>15</v>
      </c>
      <c r="B129" s="1">
        <v>128</v>
      </c>
      <c r="C129" s="8" t="s">
        <v>126</v>
      </c>
      <c r="D129" s="1"/>
    </row>
    <row r="130" spans="1:4" x14ac:dyDescent="0.15">
      <c r="A130" s="8" t="s">
        <v>15</v>
      </c>
      <c r="B130" s="1">
        <v>129</v>
      </c>
      <c r="C130" s="8" t="s">
        <v>127</v>
      </c>
      <c r="D130" s="1"/>
    </row>
    <row r="131" spans="1:4" x14ac:dyDescent="0.15">
      <c r="A131" s="8" t="s">
        <v>15</v>
      </c>
      <c r="B131" s="1">
        <v>130</v>
      </c>
      <c r="C131" s="8" t="s">
        <v>128</v>
      </c>
      <c r="D131" s="1"/>
    </row>
    <row r="132" spans="1:4" x14ac:dyDescent="0.15">
      <c r="A132" s="8" t="s">
        <v>15</v>
      </c>
      <c r="B132" s="1">
        <v>131</v>
      </c>
      <c r="C132" s="8" t="s">
        <v>129</v>
      </c>
      <c r="D132" s="1"/>
    </row>
    <row r="133" spans="1:4" x14ac:dyDescent="0.15">
      <c r="A133" s="8" t="s">
        <v>15</v>
      </c>
      <c r="B133" s="1">
        <v>132</v>
      </c>
      <c r="C133" s="8" t="s">
        <v>130</v>
      </c>
      <c r="D133" s="8"/>
    </row>
    <row r="134" spans="1:4" x14ac:dyDescent="0.15">
      <c r="A134" s="8" t="s">
        <v>15</v>
      </c>
      <c r="B134" s="1">
        <v>133</v>
      </c>
      <c r="C134" s="8" t="s">
        <v>131</v>
      </c>
      <c r="D134" s="1"/>
    </row>
    <row r="135" spans="1:4" x14ac:dyDescent="0.15">
      <c r="A135" s="8" t="s">
        <v>16</v>
      </c>
      <c r="B135" s="1">
        <v>134</v>
      </c>
      <c r="C135" s="8" t="s">
        <v>132</v>
      </c>
      <c r="D135" s="1"/>
    </row>
    <row r="136" spans="1:4" x14ac:dyDescent="0.15">
      <c r="A136" s="8" t="s">
        <v>16</v>
      </c>
      <c r="B136" s="1">
        <v>135</v>
      </c>
      <c r="C136" s="8" t="s">
        <v>133</v>
      </c>
      <c r="D136" s="1"/>
    </row>
    <row r="137" spans="1:4" x14ac:dyDescent="0.15">
      <c r="A137" s="8" t="s">
        <v>16</v>
      </c>
      <c r="B137" s="1">
        <v>136</v>
      </c>
      <c r="C137" s="8" t="s">
        <v>134</v>
      </c>
      <c r="D137" s="1"/>
    </row>
    <row r="138" spans="1:4" x14ac:dyDescent="0.15">
      <c r="A138" s="8" t="s">
        <v>16</v>
      </c>
      <c r="B138" s="1">
        <v>137</v>
      </c>
      <c r="C138" s="8" t="s">
        <v>135</v>
      </c>
      <c r="D138" s="1"/>
    </row>
    <row r="139" spans="1:4" x14ac:dyDescent="0.15">
      <c r="A139" s="8" t="s">
        <v>16</v>
      </c>
      <c r="B139" s="1">
        <v>138</v>
      </c>
      <c r="C139" s="8" t="s">
        <v>136</v>
      </c>
      <c r="D139" s="1"/>
    </row>
    <row r="140" spans="1:4" x14ac:dyDescent="0.15">
      <c r="A140" s="8" t="s">
        <v>16</v>
      </c>
      <c r="B140" s="1">
        <v>139</v>
      </c>
      <c r="C140" s="8" t="s">
        <v>137</v>
      </c>
      <c r="D140" s="1"/>
    </row>
    <row r="141" spans="1:4" x14ac:dyDescent="0.15">
      <c r="A141" s="8" t="s">
        <v>16</v>
      </c>
      <c r="B141" s="1">
        <v>140</v>
      </c>
      <c r="C141" s="8" t="s">
        <v>138</v>
      </c>
      <c r="D141" s="1"/>
    </row>
    <row r="142" spans="1:4" x14ac:dyDescent="0.15">
      <c r="A142" s="8" t="s">
        <v>16</v>
      </c>
      <c r="B142" s="1">
        <v>141</v>
      </c>
      <c r="C142" s="8" t="s">
        <v>139</v>
      </c>
      <c r="D142" s="1"/>
    </row>
    <row r="143" spans="1:4" x14ac:dyDescent="0.15">
      <c r="A143" s="8" t="s">
        <v>17</v>
      </c>
      <c r="B143" s="1">
        <v>142</v>
      </c>
      <c r="C143" s="8" t="s">
        <v>140</v>
      </c>
      <c r="D143" s="1"/>
    </row>
    <row r="144" spans="1:4" x14ac:dyDescent="0.15">
      <c r="A144" s="8" t="s">
        <v>17</v>
      </c>
      <c r="B144" s="1">
        <v>143</v>
      </c>
      <c r="C144" s="8" t="s">
        <v>141</v>
      </c>
      <c r="D144" s="1"/>
    </row>
    <row r="145" spans="1:4" x14ac:dyDescent="0.15">
      <c r="A145" s="8" t="s">
        <v>17</v>
      </c>
      <c r="B145" s="1">
        <v>144</v>
      </c>
      <c r="C145" s="8" t="s">
        <v>142</v>
      </c>
      <c r="D145" s="1"/>
    </row>
    <row r="146" spans="1:4" x14ac:dyDescent="0.15">
      <c r="A146" s="8" t="s">
        <v>17</v>
      </c>
      <c r="B146" s="1">
        <v>145</v>
      </c>
      <c r="C146" s="8" t="s">
        <v>143</v>
      </c>
      <c r="D146" s="1"/>
    </row>
    <row r="147" spans="1:4" x14ac:dyDescent="0.15">
      <c r="A147" s="8" t="s">
        <v>17</v>
      </c>
      <c r="B147" s="1">
        <v>146</v>
      </c>
      <c r="C147" s="8" t="s">
        <v>144</v>
      </c>
      <c r="D147" s="1"/>
    </row>
    <row r="148" spans="1:4" x14ac:dyDescent="0.15">
      <c r="A148" s="8" t="s">
        <v>17</v>
      </c>
      <c r="B148" s="1">
        <v>147</v>
      </c>
      <c r="C148" s="8" t="s">
        <v>145</v>
      </c>
      <c r="D148" s="1"/>
    </row>
    <row r="149" spans="1:4" x14ac:dyDescent="0.15">
      <c r="A149" s="8" t="s">
        <v>16</v>
      </c>
      <c r="B149" s="1">
        <v>148</v>
      </c>
      <c r="C149" s="8" t="s">
        <v>16</v>
      </c>
      <c r="D149" s="1"/>
    </row>
    <row r="150" spans="1:4" x14ac:dyDescent="0.15">
      <c r="A150" s="8" t="s">
        <v>16</v>
      </c>
      <c r="B150" s="1">
        <v>149</v>
      </c>
      <c r="C150" s="8" t="s">
        <v>146</v>
      </c>
      <c r="D150" s="1"/>
    </row>
    <row r="151" spans="1:4" x14ac:dyDescent="0.15">
      <c r="A151" s="8" t="s">
        <v>16</v>
      </c>
      <c r="B151" s="1">
        <v>150</v>
      </c>
      <c r="C151" s="8" t="s">
        <v>147</v>
      </c>
      <c r="D151" s="1"/>
    </row>
    <row r="152" spans="1:4" x14ac:dyDescent="0.15">
      <c r="A152" s="8" t="s">
        <v>16</v>
      </c>
      <c r="B152" s="1">
        <v>151</v>
      </c>
      <c r="C152" s="8" t="s">
        <v>148</v>
      </c>
      <c r="D152" s="8" t="s">
        <v>171</v>
      </c>
    </row>
    <row r="153" spans="1:4" x14ac:dyDescent="0.15">
      <c r="A153" s="8" t="s">
        <v>16</v>
      </c>
      <c r="B153" s="1">
        <v>152</v>
      </c>
      <c r="C153" s="8" t="s">
        <v>149</v>
      </c>
      <c r="D153" s="1"/>
    </row>
    <row r="154" spans="1:4" x14ac:dyDescent="0.15">
      <c r="A154" s="8" t="s">
        <v>18</v>
      </c>
      <c r="B154" s="1">
        <v>153</v>
      </c>
      <c r="C154" s="8" t="s">
        <v>150</v>
      </c>
      <c r="D154" s="8" t="s">
        <v>224</v>
      </c>
    </row>
    <row r="155" spans="1:4" x14ac:dyDescent="0.15">
      <c r="A155" s="8" t="s">
        <v>18</v>
      </c>
      <c r="B155" s="1">
        <v>154</v>
      </c>
      <c r="C155" s="8" t="s">
        <v>250</v>
      </c>
      <c r="D155" s="1"/>
    </row>
    <row r="156" spans="1:4" x14ac:dyDescent="0.15">
      <c r="A156" s="8" t="s">
        <v>18</v>
      </c>
      <c r="B156" s="1">
        <v>155</v>
      </c>
      <c r="C156" s="8" t="s">
        <v>251</v>
      </c>
      <c r="D156" s="1"/>
    </row>
    <row r="157" spans="1:4" x14ac:dyDescent="0.15">
      <c r="A157" s="8" t="s">
        <v>18</v>
      </c>
      <c r="B157" s="1">
        <v>156</v>
      </c>
      <c r="C157" s="8" t="s">
        <v>252</v>
      </c>
      <c r="D157" s="1"/>
    </row>
    <row r="158" spans="1:4" x14ac:dyDescent="0.15">
      <c r="A158" s="8" t="s">
        <v>18</v>
      </c>
      <c r="B158" s="1">
        <v>157</v>
      </c>
      <c r="C158" s="8" t="s">
        <v>253</v>
      </c>
      <c r="D158" s="1"/>
    </row>
    <row r="159" spans="1:4" x14ac:dyDescent="0.15">
      <c r="A159" s="8" t="s">
        <v>18</v>
      </c>
      <c r="B159" s="1">
        <v>158</v>
      </c>
      <c r="C159" s="8" t="s">
        <v>151</v>
      </c>
      <c r="D159" s="1"/>
    </row>
    <row r="160" spans="1:4" x14ac:dyDescent="0.15">
      <c r="A160" s="8" t="s">
        <v>19</v>
      </c>
      <c r="B160" s="1">
        <v>159</v>
      </c>
      <c r="C160" s="8" t="s">
        <v>152</v>
      </c>
      <c r="D160" s="1"/>
    </row>
    <row r="161" spans="1:4" x14ac:dyDescent="0.15">
      <c r="A161" s="8" t="s">
        <v>19</v>
      </c>
      <c r="B161" s="1">
        <v>160</v>
      </c>
      <c r="C161" s="8" t="s">
        <v>153</v>
      </c>
      <c r="D161" s="1"/>
    </row>
    <row r="162" spans="1:4" x14ac:dyDescent="0.15">
      <c r="A162" s="8" t="s">
        <v>19</v>
      </c>
      <c r="B162" s="1">
        <v>161</v>
      </c>
      <c r="C162" s="8" t="s">
        <v>154</v>
      </c>
      <c r="D162" s="1"/>
    </row>
    <row r="163" spans="1:4" x14ac:dyDescent="0.15">
      <c r="A163" s="8" t="s">
        <v>19</v>
      </c>
      <c r="B163" s="1">
        <v>162</v>
      </c>
      <c r="C163" s="8" t="s">
        <v>155</v>
      </c>
      <c r="D163" s="8" t="s">
        <v>171</v>
      </c>
    </row>
    <row r="164" spans="1:4" x14ac:dyDescent="0.15">
      <c r="A164" s="8" t="s">
        <v>19</v>
      </c>
      <c r="B164" s="1">
        <v>163</v>
      </c>
      <c r="C164" s="8" t="s">
        <v>156</v>
      </c>
      <c r="D164" s="1" t="s">
        <v>233</v>
      </c>
    </row>
    <row r="165" spans="1:4" x14ac:dyDescent="0.15">
      <c r="A165" s="8" t="s">
        <v>19</v>
      </c>
      <c r="B165" s="1">
        <v>164</v>
      </c>
      <c r="C165" s="8" t="s">
        <v>23</v>
      </c>
      <c r="D165" s="1"/>
    </row>
    <row r="166" spans="1:4" x14ac:dyDescent="0.15">
      <c r="A166" s="8" t="s">
        <v>19</v>
      </c>
      <c r="B166" s="1">
        <v>165</v>
      </c>
      <c r="C166" s="8" t="s">
        <v>24</v>
      </c>
      <c r="D166" s="1"/>
    </row>
    <row r="167" spans="1:4" x14ac:dyDescent="0.15">
      <c r="A167" s="8" t="s">
        <v>19</v>
      </c>
      <c r="B167" s="1">
        <v>166</v>
      </c>
      <c r="C167" s="8" t="s">
        <v>25</v>
      </c>
      <c r="D167" s="1"/>
    </row>
    <row r="168" spans="1:4" x14ac:dyDescent="0.15">
      <c r="A168" s="8" t="s">
        <v>19</v>
      </c>
      <c r="B168" s="1">
        <v>167</v>
      </c>
      <c r="C168" s="8" t="s">
        <v>157</v>
      </c>
      <c r="D168" s="8" t="s">
        <v>171</v>
      </c>
    </row>
    <row r="169" spans="1:4" x14ac:dyDescent="0.15">
      <c r="A169" s="8" t="s">
        <v>19</v>
      </c>
      <c r="B169" s="1">
        <v>168</v>
      </c>
      <c r="C169" s="8" t="s">
        <v>158</v>
      </c>
      <c r="D169" s="1" t="s">
        <v>234</v>
      </c>
    </row>
    <row r="170" spans="1:4" x14ac:dyDescent="0.15">
      <c r="A170" s="8" t="s">
        <v>19</v>
      </c>
      <c r="B170" s="1">
        <v>169</v>
      </c>
      <c r="C170" s="8" t="s">
        <v>159</v>
      </c>
      <c r="D170" s="1"/>
    </row>
    <row r="171" spans="1:4" x14ac:dyDescent="0.15">
      <c r="A171" s="8" t="s">
        <v>20</v>
      </c>
      <c r="B171" s="1">
        <v>170</v>
      </c>
      <c r="C171" s="8" t="s">
        <v>20</v>
      </c>
      <c r="D171" s="1"/>
    </row>
    <row r="172" spans="1:4" x14ac:dyDescent="0.15">
      <c r="A172" s="8" t="s">
        <v>20</v>
      </c>
      <c r="B172" s="1">
        <v>171</v>
      </c>
      <c r="C172" s="8" t="s">
        <v>160</v>
      </c>
      <c r="D172" s="1"/>
    </row>
    <row r="173" spans="1:4" x14ac:dyDescent="0.15">
      <c r="A173" s="8" t="s">
        <v>20</v>
      </c>
      <c r="B173" s="1">
        <v>172</v>
      </c>
      <c r="C173" s="8" t="s">
        <v>161</v>
      </c>
      <c r="D173" s="1"/>
    </row>
    <row r="174" spans="1:4" x14ac:dyDescent="0.15">
      <c r="A174" s="8" t="s">
        <v>20</v>
      </c>
      <c r="B174" s="1">
        <v>173</v>
      </c>
      <c r="C174" s="8" t="s">
        <v>162</v>
      </c>
      <c r="D174" s="1"/>
    </row>
    <row r="175" spans="1:4" x14ac:dyDescent="0.15">
      <c r="A175" s="8" t="s">
        <v>20</v>
      </c>
      <c r="B175" s="1">
        <v>174</v>
      </c>
      <c r="C175" s="8" t="s">
        <v>163</v>
      </c>
      <c r="D175" s="1"/>
    </row>
    <row r="176" spans="1:4" x14ac:dyDescent="0.15">
      <c r="A176" s="8" t="s">
        <v>20</v>
      </c>
      <c r="B176" s="1">
        <v>175</v>
      </c>
      <c r="C176" s="8" t="s">
        <v>164</v>
      </c>
      <c r="D176" s="1"/>
    </row>
    <row r="177" spans="1:4" x14ac:dyDescent="0.15">
      <c r="A177" s="8" t="s">
        <v>202</v>
      </c>
      <c r="B177" s="1">
        <v>176</v>
      </c>
      <c r="C177" s="1" t="s">
        <v>179</v>
      </c>
      <c r="D177" s="1" t="s">
        <v>235</v>
      </c>
    </row>
    <row r="178" spans="1:4" x14ac:dyDescent="0.15">
      <c r="A178" s="8" t="s">
        <v>202</v>
      </c>
      <c r="B178" s="1">
        <v>177</v>
      </c>
      <c r="C178" s="1" t="s">
        <v>180</v>
      </c>
      <c r="D178" s="1" t="s">
        <v>236</v>
      </c>
    </row>
    <row r="179" spans="1:4" x14ac:dyDescent="0.15">
      <c r="A179" s="8" t="s">
        <v>202</v>
      </c>
      <c r="B179" s="1">
        <v>178</v>
      </c>
      <c r="C179" s="8" t="s">
        <v>269</v>
      </c>
      <c r="D179" s="8" t="s">
        <v>283</v>
      </c>
    </row>
    <row r="180" spans="1:4" x14ac:dyDescent="0.15">
      <c r="A180" s="8" t="s">
        <v>202</v>
      </c>
      <c r="B180" s="1">
        <v>179</v>
      </c>
      <c r="C180" s="1" t="s">
        <v>186</v>
      </c>
      <c r="D180" s="1" t="s">
        <v>237</v>
      </c>
    </row>
    <row r="181" spans="1:4" x14ac:dyDescent="0.15">
      <c r="A181" s="8" t="s">
        <v>202</v>
      </c>
      <c r="B181" s="1">
        <v>180</v>
      </c>
      <c r="C181" s="1" t="s">
        <v>187</v>
      </c>
      <c r="D181" s="1" t="s">
        <v>238</v>
      </c>
    </row>
    <row r="182" spans="1:4" x14ac:dyDescent="0.15">
      <c r="A182" s="8" t="s">
        <v>202</v>
      </c>
      <c r="B182" s="1">
        <v>181</v>
      </c>
      <c r="C182" s="1" t="s">
        <v>203</v>
      </c>
      <c r="D182" s="1"/>
    </row>
    <row r="183" spans="1:4" x14ac:dyDescent="0.15">
      <c r="A183" s="8"/>
      <c r="B183" s="2"/>
      <c r="C183" s="1"/>
      <c r="D183" s="1"/>
    </row>
    <row r="184" spans="1:4" x14ac:dyDescent="0.15">
      <c r="A184" s="8"/>
      <c r="B184" s="2"/>
      <c r="C184" s="1"/>
      <c r="D184" s="1"/>
    </row>
    <row r="185" spans="1:4" x14ac:dyDescent="0.15">
      <c r="A185" s="8"/>
      <c r="B185" s="2"/>
      <c r="C185" s="1"/>
      <c r="D185" s="1"/>
    </row>
    <row r="186" spans="1:4" x14ac:dyDescent="0.15">
      <c r="A186" s="8"/>
      <c r="B186" s="2"/>
      <c r="C186" s="1"/>
      <c r="D186" s="1"/>
    </row>
    <row r="187" spans="1:4" x14ac:dyDescent="0.15">
      <c r="A187" s="8"/>
      <c r="B187" s="2"/>
      <c r="C187" s="1"/>
      <c r="D187" s="1"/>
    </row>
    <row r="188" spans="1:4" x14ac:dyDescent="0.15">
      <c r="A188" s="8"/>
      <c r="B188" s="2"/>
      <c r="C188" s="1"/>
      <c r="D188" s="1"/>
    </row>
    <row r="189" spans="1:4" x14ac:dyDescent="0.15">
      <c r="A189" s="8"/>
      <c r="B189" s="2"/>
      <c r="C189" s="1"/>
      <c r="D189" s="1"/>
    </row>
    <row r="190" spans="1:4" x14ac:dyDescent="0.15">
      <c r="A190" s="8"/>
      <c r="B190" s="2"/>
      <c r="C190" s="1"/>
      <c r="D190" s="1"/>
    </row>
    <row r="191" spans="1:4" x14ac:dyDescent="0.15">
      <c r="A191" s="8"/>
      <c r="B191" s="2"/>
      <c r="C191" s="1"/>
      <c r="D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2019-04-17T15:42:50Z</dcterms:created>
  <dcterms:modified xsi:type="dcterms:W3CDTF">2020-07-08T22:30:24Z</dcterms:modified>
</cp:coreProperties>
</file>