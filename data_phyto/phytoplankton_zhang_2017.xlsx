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B095F1F6-685E-224F-A717-BBCF1212E971}" xr6:coauthVersionLast="36" xr6:coauthVersionMax="45" xr10:uidLastSave="{00000000-0000-0000-0000-000000000000}"/>
  <bookViews>
    <workbookView xWindow="0" yWindow="460" windowWidth="28800" windowHeight="16240" activeTab="1" xr2:uid="{00000000-000D-0000-FFFF-FFFF00000000}"/>
  </bookViews>
  <sheets>
    <sheet name="Data" sheetId="5" r:id="rId1"/>
    <sheet name="Columns" sheetId="4" r:id="rId2"/>
  </sheets>
  <calcPr calcId="181029"/>
</workbook>
</file>

<file path=xl/calcChain.xml><?xml version="1.0" encoding="utf-8"?>
<calcChain xmlns="http://schemas.openxmlformats.org/spreadsheetml/2006/main">
  <c r="FI105" i="5" l="1"/>
  <c r="FJ105" i="5" s="1"/>
  <c r="J105" i="5" s="1"/>
  <c r="FI104" i="5"/>
  <c r="I104" i="5" s="1"/>
  <c r="FJ104" i="5"/>
  <c r="J104" i="5" s="1"/>
  <c r="FI103" i="5"/>
  <c r="FJ103" i="5"/>
  <c r="J103" i="5"/>
  <c r="FI102" i="5"/>
  <c r="FJ102" i="5" s="1"/>
  <c r="J102" i="5" s="1"/>
  <c r="FI101" i="5"/>
  <c r="FJ101" i="5" s="1"/>
  <c r="J101" i="5" s="1"/>
  <c r="FI100" i="5"/>
  <c r="FJ100" i="5"/>
  <c r="J100" i="5" s="1"/>
  <c r="FI99" i="5"/>
  <c r="FJ99" i="5" s="1"/>
  <c r="J99" i="5" s="1"/>
  <c r="FI98" i="5"/>
  <c r="FJ98" i="5"/>
  <c r="FI97" i="5"/>
  <c r="FJ97" i="5" s="1"/>
  <c r="J97" i="5" s="1"/>
  <c r="FI96" i="5"/>
  <c r="I96" i="5" s="1"/>
  <c r="FJ96" i="5"/>
  <c r="J96" i="5" s="1"/>
  <c r="FI95" i="5"/>
  <c r="FJ95" i="5" s="1"/>
  <c r="J95" i="5" s="1"/>
  <c r="FI94" i="5"/>
  <c r="FJ94" i="5" s="1"/>
  <c r="J94" i="5" s="1"/>
  <c r="FI93" i="5"/>
  <c r="FJ93" i="5"/>
  <c r="J93" i="5" s="1"/>
  <c r="FI92" i="5"/>
  <c r="FJ92" i="5" s="1"/>
  <c r="J92" i="5" s="1"/>
  <c r="FI91" i="5"/>
  <c r="FJ91" i="5"/>
  <c r="J91" i="5"/>
  <c r="FI90" i="5"/>
  <c r="FJ90" i="5" s="1"/>
  <c r="J90" i="5" s="1"/>
  <c r="FI89" i="5"/>
  <c r="I89" i="5" s="1"/>
  <c r="FJ89" i="5"/>
  <c r="J89" i="5" s="1"/>
  <c r="FI88" i="5"/>
  <c r="FJ88" i="5" s="1"/>
  <c r="J88" i="5" s="1"/>
  <c r="FI87" i="5"/>
  <c r="I87" i="5"/>
  <c r="FI86" i="5"/>
  <c r="FJ86" i="5" s="1"/>
  <c r="J86" i="5" s="1"/>
  <c r="FI85" i="5"/>
  <c r="FJ85" i="5"/>
  <c r="J85" i="5" s="1"/>
  <c r="FI84" i="5"/>
  <c r="FJ84" i="5" s="1"/>
  <c r="J84" i="5" s="1"/>
  <c r="FI83" i="5"/>
  <c r="FJ83" i="5" s="1"/>
  <c r="J83" i="5" s="1"/>
  <c r="I83" i="5"/>
  <c r="FI82" i="5"/>
  <c r="FJ82" i="5" s="1"/>
  <c r="J82" i="5" s="1"/>
  <c r="FI81" i="5"/>
  <c r="I81" i="5" s="1"/>
  <c r="FJ81" i="5"/>
  <c r="J81" i="5" s="1"/>
  <c r="FI80" i="5"/>
  <c r="FJ80" i="5" s="1"/>
  <c r="J80" i="5" s="1"/>
  <c r="FI79" i="5"/>
  <c r="I79" i="5"/>
  <c r="FI78" i="5"/>
  <c r="FJ78" i="5" s="1"/>
  <c r="J78" i="5" s="1"/>
  <c r="FI77" i="5"/>
  <c r="I77" i="5" s="1"/>
  <c r="FJ77" i="5"/>
  <c r="J77" i="5" s="1"/>
  <c r="FI76" i="5"/>
  <c r="FJ76" i="5"/>
  <c r="FI75" i="5"/>
  <c r="I75" i="5" s="1"/>
  <c r="FI74" i="5"/>
  <c r="FJ74" i="5"/>
  <c r="FI73" i="5"/>
  <c r="FJ73" i="5" s="1"/>
  <c r="J73" i="5" s="1"/>
  <c r="FI72" i="5"/>
  <c r="FJ72" i="5"/>
  <c r="J72" i="5" s="1"/>
  <c r="FI71" i="5"/>
  <c r="I71" i="5" s="1"/>
  <c r="FI70" i="5"/>
  <c r="FJ70" i="5"/>
  <c r="J70" i="5" s="1"/>
  <c r="FI69" i="5"/>
  <c r="FJ69" i="5" s="1"/>
  <c r="J69" i="5" s="1"/>
  <c r="FI68" i="5"/>
  <c r="FJ68" i="5"/>
  <c r="FI67" i="5"/>
  <c r="I67" i="5" s="1"/>
  <c r="FI66" i="5"/>
  <c r="FJ66" i="5"/>
  <c r="FI65" i="5"/>
  <c r="FJ65" i="5" s="1"/>
  <c r="J65" i="5" s="1"/>
  <c r="FI64" i="5"/>
  <c r="FJ64" i="5"/>
  <c r="J64" i="5" s="1"/>
  <c r="FI63" i="5"/>
  <c r="I63" i="5" s="1"/>
  <c r="FI62" i="5"/>
  <c r="FJ62" i="5"/>
  <c r="J62" i="5" s="1"/>
  <c r="FI61" i="5"/>
  <c r="FJ61" i="5" s="1"/>
  <c r="J61" i="5" s="1"/>
  <c r="FI60" i="5"/>
  <c r="FJ60" i="5"/>
  <c r="FI59" i="5"/>
  <c r="I59" i="5" s="1"/>
  <c r="FI58" i="5"/>
  <c r="FJ58" i="5"/>
  <c r="FI57" i="5"/>
  <c r="FJ57" i="5" s="1"/>
  <c r="J57" i="5" s="1"/>
  <c r="FI56" i="5"/>
  <c r="FJ56" i="5"/>
  <c r="J56" i="5" s="1"/>
  <c r="FI55" i="5"/>
  <c r="I55" i="5" s="1"/>
  <c r="FI54" i="5"/>
  <c r="FJ54" i="5"/>
  <c r="J54" i="5" s="1"/>
  <c r="FI53" i="5"/>
  <c r="FJ53" i="5" s="1"/>
  <c r="J53" i="5" s="1"/>
  <c r="FI52" i="5"/>
  <c r="FJ52" i="5"/>
  <c r="FI51" i="5"/>
  <c r="I51" i="5" s="1"/>
  <c r="FI50" i="5"/>
  <c r="FJ50" i="5"/>
  <c r="J50" i="5"/>
  <c r="FI49" i="5"/>
  <c r="FJ49" i="5" s="1"/>
  <c r="J49" i="5" s="1"/>
  <c r="FI48" i="5"/>
  <c r="I48" i="5" s="1"/>
  <c r="FJ48" i="5"/>
  <c r="J48" i="5" s="1"/>
  <c r="FI47" i="5"/>
  <c r="I47" i="5" s="1"/>
  <c r="FI46" i="5"/>
  <c r="I46" i="5" s="1"/>
  <c r="FJ46" i="5"/>
  <c r="J46" i="5" s="1"/>
  <c r="FI45" i="5"/>
  <c r="FJ45" i="5"/>
  <c r="FI44" i="5"/>
  <c r="FJ44" i="5" s="1"/>
  <c r="J44" i="5" s="1"/>
  <c r="FI43" i="5"/>
  <c r="I43" i="5"/>
  <c r="FI42" i="5"/>
  <c r="FJ42" i="5" s="1"/>
  <c r="J42" i="5" s="1"/>
  <c r="FI41" i="5"/>
  <c r="I41" i="5" s="1"/>
  <c r="FJ41" i="5"/>
  <c r="J41" i="5" s="1"/>
  <c r="FI40" i="5"/>
  <c r="FJ40" i="5" s="1"/>
  <c r="J40" i="5" s="1"/>
  <c r="FI39" i="5"/>
  <c r="I39" i="5"/>
  <c r="FI38" i="5"/>
  <c r="FJ38" i="5" s="1"/>
  <c r="J38" i="5" s="1"/>
  <c r="FI37" i="5"/>
  <c r="FJ37" i="5" s="1"/>
  <c r="J37" i="5" s="1"/>
  <c r="FI36" i="5"/>
  <c r="FJ36" i="5"/>
  <c r="FI35" i="5"/>
  <c r="I35" i="5" s="1"/>
  <c r="FI34" i="5"/>
  <c r="FJ34" i="5"/>
  <c r="J34" i="5"/>
  <c r="FI33" i="5"/>
  <c r="FJ33" i="5" s="1"/>
  <c r="J33" i="5" s="1"/>
  <c r="FI32" i="5"/>
  <c r="I32" i="5" s="1"/>
  <c r="FJ32" i="5"/>
  <c r="J32" i="5" s="1"/>
  <c r="FI31" i="5"/>
  <c r="I31" i="5" s="1"/>
  <c r="FI30" i="5"/>
  <c r="I30" i="5" s="1"/>
  <c r="FJ30" i="5"/>
  <c r="J30" i="5" s="1"/>
  <c r="FI29" i="5"/>
  <c r="FJ29" i="5"/>
  <c r="FI28" i="5"/>
  <c r="FJ28" i="5" s="1"/>
  <c r="J28" i="5" s="1"/>
  <c r="FI27" i="5"/>
  <c r="I27" i="5"/>
  <c r="FI26" i="5"/>
  <c r="FJ26" i="5" s="1"/>
  <c r="J26" i="5" s="1"/>
  <c r="FI25" i="5"/>
  <c r="I25" i="5" s="1"/>
  <c r="FJ25" i="5"/>
  <c r="J25" i="5" s="1"/>
  <c r="FI24" i="5"/>
  <c r="FJ24" i="5" s="1"/>
  <c r="J24" i="5" s="1"/>
  <c r="FI23" i="5"/>
  <c r="I23" i="5"/>
  <c r="FI22" i="5"/>
  <c r="FJ22" i="5" s="1"/>
  <c r="J22" i="5" s="1"/>
  <c r="FI21" i="5"/>
  <c r="FJ21" i="5" s="1"/>
  <c r="J21" i="5" s="1"/>
  <c r="FI20" i="5"/>
  <c r="FJ20" i="5"/>
  <c r="FI19" i="5"/>
  <c r="I19" i="5" s="1"/>
  <c r="FI18" i="5"/>
  <c r="FJ18" i="5"/>
  <c r="J18" i="5"/>
  <c r="FI17" i="5"/>
  <c r="FJ17" i="5" s="1"/>
  <c r="J17" i="5" s="1"/>
  <c r="FI16" i="5"/>
  <c r="I16" i="5" s="1"/>
  <c r="FJ16" i="5"/>
  <c r="J16" i="5" s="1"/>
  <c r="FI15" i="5"/>
  <c r="I15" i="5" s="1"/>
  <c r="FI14" i="5"/>
  <c r="I14" i="5" s="1"/>
  <c r="FJ14" i="5"/>
  <c r="J14" i="5" s="1"/>
  <c r="FI13" i="5"/>
  <c r="FJ13" i="5"/>
  <c r="FI12" i="5"/>
  <c r="FJ12" i="5" s="1"/>
  <c r="J12" i="5" s="1"/>
  <c r="FI11" i="5"/>
  <c r="I11" i="5"/>
  <c r="FI10" i="5"/>
  <c r="FJ10" i="5" s="1"/>
  <c r="J10" i="5" s="1"/>
  <c r="FI9" i="5"/>
  <c r="I9" i="5" s="1"/>
  <c r="FJ9" i="5"/>
  <c r="J9" i="5" s="1"/>
  <c r="FI8" i="5"/>
  <c r="FJ8" i="5" s="1"/>
  <c r="J8" i="5" s="1"/>
  <c r="FI7" i="5"/>
  <c r="I7" i="5" s="1"/>
  <c r="FI6" i="5"/>
  <c r="FJ6" i="5"/>
  <c r="J6" i="5"/>
  <c r="FI5" i="5"/>
  <c r="FJ5" i="5" s="1"/>
  <c r="J5" i="5" s="1"/>
  <c r="FI4" i="5"/>
  <c r="FJ4" i="5"/>
  <c r="J4" i="5" s="1"/>
  <c r="D5" i="5"/>
  <c r="E5" i="5"/>
  <c r="F5" i="5"/>
  <c r="G5" i="5"/>
  <c r="H5" i="5"/>
  <c r="I5" i="5"/>
  <c r="D6" i="5"/>
  <c r="E6" i="5"/>
  <c r="F6" i="5"/>
  <c r="G6" i="5"/>
  <c r="H6" i="5"/>
  <c r="I6" i="5"/>
  <c r="D7" i="5"/>
  <c r="E7" i="5"/>
  <c r="F7" i="5"/>
  <c r="G7" i="5"/>
  <c r="H7" i="5"/>
  <c r="D8" i="5"/>
  <c r="E8" i="5"/>
  <c r="F8" i="5"/>
  <c r="G8" i="5"/>
  <c r="H8" i="5"/>
  <c r="I8" i="5"/>
  <c r="D9" i="5"/>
  <c r="E9" i="5"/>
  <c r="F9" i="5"/>
  <c r="G9" i="5"/>
  <c r="H9" i="5"/>
  <c r="D10" i="5"/>
  <c r="E10" i="5"/>
  <c r="F10" i="5"/>
  <c r="G10" i="5"/>
  <c r="H10" i="5"/>
  <c r="D11" i="5"/>
  <c r="E11" i="5"/>
  <c r="F11" i="5"/>
  <c r="G11" i="5"/>
  <c r="H11" i="5"/>
  <c r="D12" i="5"/>
  <c r="E12" i="5"/>
  <c r="F12" i="5"/>
  <c r="G12" i="5"/>
  <c r="H12" i="5"/>
  <c r="I12" i="5"/>
  <c r="D13" i="5"/>
  <c r="E13" i="5"/>
  <c r="F13" i="5"/>
  <c r="G13" i="5"/>
  <c r="H13" i="5"/>
  <c r="I13" i="5"/>
  <c r="J13" i="5"/>
  <c r="D14" i="5"/>
  <c r="E14" i="5"/>
  <c r="F14" i="5"/>
  <c r="G14" i="5"/>
  <c r="H14" i="5"/>
  <c r="D15" i="5"/>
  <c r="E15" i="5"/>
  <c r="F15" i="5"/>
  <c r="G15" i="5"/>
  <c r="H15" i="5"/>
  <c r="D16" i="5"/>
  <c r="E16" i="5"/>
  <c r="F16" i="5"/>
  <c r="G16" i="5"/>
  <c r="H16" i="5"/>
  <c r="D17" i="5"/>
  <c r="E17" i="5"/>
  <c r="F17" i="5"/>
  <c r="G17" i="5"/>
  <c r="H17" i="5"/>
  <c r="I17" i="5"/>
  <c r="D18" i="5"/>
  <c r="E18" i="5"/>
  <c r="F18" i="5"/>
  <c r="G18" i="5"/>
  <c r="H18" i="5"/>
  <c r="I18" i="5"/>
  <c r="D19" i="5"/>
  <c r="E19" i="5"/>
  <c r="F19" i="5"/>
  <c r="G19" i="5"/>
  <c r="H19" i="5"/>
  <c r="D20" i="5"/>
  <c r="E20" i="5"/>
  <c r="F20" i="5"/>
  <c r="G20" i="5"/>
  <c r="H20" i="5"/>
  <c r="I20" i="5"/>
  <c r="J20" i="5"/>
  <c r="D21" i="5"/>
  <c r="E21" i="5"/>
  <c r="F21" i="5"/>
  <c r="G21" i="5"/>
  <c r="H21" i="5"/>
  <c r="D22" i="5"/>
  <c r="E22" i="5"/>
  <c r="F22" i="5"/>
  <c r="G22" i="5"/>
  <c r="H22" i="5"/>
  <c r="I22" i="5"/>
  <c r="D23" i="5"/>
  <c r="E23" i="5"/>
  <c r="F23" i="5"/>
  <c r="G23" i="5"/>
  <c r="H23" i="5"/>
  <c r="D24" i="5"/>
  <c r="E24" i="5"/>
  <c r="F24" i="5"/>
  <c r="G24" i="5"/>
  <c r="H24" i="5"/>
  <c r="I24" i="5"/>
  <c r="D25" i="5"/>
  <c r="E25" i="5"/>
  <c r="F25" i="5"/>
  <c r="G25" i="5"/>
  <c r="H25" i="5"/>
  <c r="D26" i="5"/>
  <c r="E26" i="5"/>
  <c r="F26" i="5"/>
  <c r="G26" i="5"/>
  <c r="H26" i="5"/>
  <c r="D27" i="5"/>
  <c r="E27" i="5"/>
  <c r="F27" i="5"/>
  <c r="G27" i="5"/>
  <c r="H27" i="5"/>
  <c r="D28" i="5"/>
  <c r="E28" i="5"/>
  <c r="F28" i="5"/>
  <c r="G28" i="5"/>
  <c r="H28" i="5"/>
  <c r="I28" i="5"/>
  <c r="D29" i="5"/>
  <c r="E29" i="5"/>
  <c r="F29" i="5"/>
  <c r="G29" i="5"/>
  <c r="H29" i="5"/>
  <c r="I29" i="5"/>
  <c r="J29" i="5"/>
  <c r="D30" i="5"/>
  <c r="E30" i="5"/>
  <c r="F30" i="5"/>
  <c r="G30" i="5"/>
  <c r="H30" i="5"/>
  <c r="D31" i="5"/>
  <c r="E31" i="5"/>
  <c r="F31" i="5"/>
  <c r="G31" i="5"/>
  <c r="H31" i="5"/>
  <c r="D32" i="5"/>
  <c r="E32" i="5"/>
  <c r="F32" i="5"/>
  <c r="G32" i="5"/>
  <c r="H32" i="5"/>
  <c r="D33" i="5"/>
  <c r="E33" i="5"/>
  <c r="F33" i="5"/>
  <c r="G33" i="5"/>
  <c r="H33" i="5"/>
  <c r="I33" i="5"/>
  <c r="D34" i="5"/>
  <c r="E34" i="5"/>
  <c r="F34" i="5"/>
  <c r="G34" i="5"/>
  <c r="H34" i="5"/>
  <c r="I34" i="5"/>
  <c r="D35" i="5"/>
  <c r="E35" i="5"/>
  <c r="F35" i="5"/>
  <c r="G35" i="5"/>
  <c r="H35" i="5"/>
  <c r="D36" i="5"/>
  <c r="E36" i="5"/>
  <c r="F36" i="5"/>
  <c r="G36" i="5"/>
  <c r="H36" i="5"/>
  <c r="I36" i="5"/>
  <c r="J36" i="5"/>
  <c r="D37" i="5"/>
  <c r="E37" i="5"/>
  <c r="F37" i="5"/>
  <c r="G37" i="5"/>
  <c r="H37" i="5"/>
  <c r="D38" i="5"/>
  <c r="E38" i="5"/>
  <c r="F38" i="5"/>
  <c r="G38" i="5"/>
  <c r="H38" i="5"/>
  <c r="I38" i="5"/>
  <c r="D39" i="5"/>
  <c r="E39" i="5"/>
  <c r="F39" i="5"/>
  <c r="G39" i="5"/>
  <c r="H39" i="5"/>
  <c r="D40" i="5"/>
  <c r="E40" i="5"/>
  <c r="F40" i="5"/>
  <c r="G40" i="5"/>
  <c r="H40" i="5"/>
  <c r="I40" i="5"/>
  <c r="D41" i="5"/>
  <c r="E41" i="5"/>
  <c r="F41" i="5"/>
  <c r="G41" i="5"/>
  <c r="H41" i="5"/>
  <c r="D42" i="5"/>
  <c r="E42" i="5"/>
  <c r="F42" i="5"/>
  <c r="G42" i="5"/>
  <c r="H42" i="5"/>
  <c r="D43" i="5"/>
  <c r="E43" i="5"/>
  <c r="F43" i="5"/>
  <c r="G43" i="5"/>
  <c r="H43" i="5"/>
  <c r="D44" i="5"/>
  <c r="E44" i="5"/>
  <c r="F44" i="5"/>
  <c r="G44" i="5"/>
  <c r="H44" i="5"/>
  <c r="I44" i="5"/>
  <c r="D45" i="5"/>
  <c r="E45" i="5"/>
  <c r="F45" i="5"/>
  <c r="G45" i="5"/>
  <c r="H45" i="5"/>
  <c r="I45" i="5"/>
  <c r="J45" i="5"/>
  <c r="D46" i="5"/>
  <c r="E46" i="5"/>
  <c r="F46" i="5"/>
  <c r="G46" i="5"/>
  <c r="H46" i="5"/>
  <c r="D47" i="5"/>
  <c r="E47" i="5"/>
  <c r="F47" i="5"/>
  <c r="G47" i="5"/>
  <c r="H47" i="5"/>
  <c r="D48" i="5"/>
  <c r="E48" i="5"/>
  <c r="F48" i="5"/>
  <c r="G48" i="5"/>
  <c r="H48" i="5"/>
  <c r="D49" i="5"/>
  <c r="E49" i="5"/>
  <c r="F49" i="5"/>
  <c r="G49" i="5"/>
  <c r="H49" i="5"/>
  <c r="I49" i="5"/>
  <c r="D50" i="5"/>
  <c r="E50" i="5"/>
  <c r="F50" i="5"/>
  <c r="G50" i="5"/>
  <c r="H50" i="5"/>
  <c r="I50" i="5"/>
  <c r="D51" i="5"/>
  <c r="E51" i="5"/>
  <c r="F51" i="5"/>
  <c r="G51" i="5"/>
  <c r="H51" i="5"/>
  <c r="D52" i="5"/>
  <c r="E52" i="5"/>
  <c r="F52" i="5"/>
  <c r="G52" i="5"/>
  <c r="H52" i="5"/>
  <c r="I52" i="5"/>
  <c r="J52" i="5"/>
  <c r="D53" i="5"/>
  <c r="E53" i="5"/>
  <c r="F53" i="5"/>
  <c r="G53" i="5"/>
  <c r="H53" i="5"/>
  <c r="D54" i="5"/>
  <c r="E54" i="5"/>
  <c r="F54" i="5"/>
  <c r="G54" i="5"/>
  <c r="H54" i="5"/>
  <c r="I54" i="5"/>
  <c r="D55" i="5"/>
  <c r="E55" i="5"/>
  <c r="F55" i="5"/>
  <c r="G55" i="5"/>
  <c r="H55" i="5"/>
  <c r="D56" i="5"/>
  <c r="E56" i="5"/>
  <c r="F56" i="5"/>
  <c r="G56" i="5"/>
  <c r="H56" i="5"/>
  <c r="I56" i="5"/>
  <c r="D57" i="5"/>
  <c r="E57" i="5"/>
  <c r="F57" i="5"/>
  <c r="G57" i="5"/>
  <c r="H57" i="5"/>
  <c r="D58" i="5"/>
  <c r="E58" i="5"/>
  <c r="F58" i="5"/>
  <c r="G58" i="5"/>
  <c r="H58" i="5"/>
  <c r="I58" i="5"/>
  <c r="J58" i="5"/>
  <c r="D59" i="5"/>
  <c r="E59" i="5"/>
  <c r="F59" i="5"/>
  <c r="G59" i="5"/>
  <c r="H59" i="5"/>
  <c r="D60" i="5"/>
  <c r="E60" i="5"/>
  <c r="F60" i="5"/>
  <c r="G60" i="5"/>
  <c r="H60" i="5"/>
  <c r="I60" i="5"/>
  <c r="J60" i="5"/>
  <c r="D61" i="5"/>
  <c r="E61" i="5"/>
  <c r="F61" i="5"/>
  <c r="G61" i="5"/>
  <c r="H61" i="5"/>
  <c r="D62" i="5"/>
  <c r="E62" i="5"/>
  <c r="F62" i="5"/>
  <c r="G62" i="5"/>
  <c r="H62" i="5"/>
  <c r="I62" i="5"/>
  <c r="D63" i="5"/>
  <c r="E63" i="5"/>
  <c r="F63" i="5"/>
  <c r="G63" i="5"/>
  <c r="H63" i="5"/>
  <c r="D64" i="5"/>
  <c r="E64" i="5"/>
  <c r="F64" i="5"/>
  <c r="G64" i="5"/>
  <c r="H64" i="5"/>
  <c r="I64" i="5"/>
  <c r="D65" i="5"/>
  <c r="E65" i="5"/>
  <c r="F65" i="5"/>
  <c r="G65" i="5"/>
  <c r="H65" i="5"/>
  <c r="D66" i="5"/>
  <c r="E66" i="5"/>
  <c r="F66" i="5"/>
  <c r="G66" i="5"/>
  <c r="H66" i="5"/>
  <c r="I66" i="5"/>
  <c r="J66" i="5"/>
  <c r="D67" i="5"/>
  <c r="E67" i="5"/>
  <c r="F67" i="5"/>
  <c r="G67" i="5"/>
  <c r="H67" i="5"/>
  <c r="D68" i="5"/>
  <c r="E68" i="5"/>
  <c r="F68" i="5"/>
  <c r="G68" i="5"/>
  <c r="H68" i="5"/>
  <c r="I68" i="5"/>
  <c r="J68" i="5"/>
  <c r="D69" i="5"/>
  <c r="E69" i="5"/>
  <c r="F69" i="5"/>
  <c r="G69" i="5"/>
  <c r="H69" i="5"/>
  <c r="D70" i="5"/>
  <c r="E70" i="5"/>
  <c r="F70" i="5"/>
  <c r="G70" i="5"/>
  <c r="H70" i="5"/>
  <c r="I70" i="5"/>
  <c r="D71" i="5"/>
  <c r="E71" i="5"/>
  <c r="F71" i="5"/>
  <c r="G71" i="5"/>
  <c r="H71" i="5"/>
  <c r="D72" i="5"/>
  <c r="E72" i="5"/>
  <c r="F72" i="5"/>
  <c r="G72" i="5"/>
  <c r="H72" i="5"/>
  <c r="I72" i="5"/>
  <c r="D73" i="5"/>
  <c r="E73" i="5"/>
  <c r="F73" i="5"/>
  <c r="G73" i="5"/>
  <c r="H73" i="5"/>
  <c r="D74" i="5"/>
  <c r="E74" i="5"/>
  <c r="F74" i="5"/>
  <c r="G74" i="5"/>
  <c r="H74" i="5"/>
  <c r="I74" i="5"/>
  <c r="J74" i="5"/>
  <c r="D75" i="5"/>
  <c r="E75" i="5"/>
  <c r="F75" i="5"/>
  <c r="G75" i="5"/>
  <c r="H75" i="5"/>
  <c r="D76" i="5"/>
  <c r="E76" i="5"/>
  <c r="F76" i="5"/>
  <c r="G76" i="5"/>
  <c r="H76" i="5"/>
  <c r="I76" i="5"/>
  <c r="J76" i="5"/>
  <c r="D77" i="5"/>
  <c r="E77" i="5"/>
  <c r="F77" i="5"/>
  <c r="G77" i="5"/>
  <c r="H77" i="5"/>
  <c r="D78" i="5"/>
  <c r="E78" i="5"/>
  <c r="F78" i="5"/>
  <c r="G78" i="5"/>
  <c r="H78" i="5"/>
  <c r="I78" i="5"/>
  <c r="D79" i="5"/>
  <c r="E79" i="5"/>
  <c r="F79" i="5"/>
  <c r="G79" i="5"/>
  <c r="H79" i="5"/>
  <c r="D80" i="5"/>
  <c r="E80" i="5"/>
  <c r="F80" i="5"/>
  <c r="G80" i="5"/>
  <c r="H80" i="5"/>
  <c r="I80" i="5"/>
  <c r="D81" i="5"/>
  <c r="E81" i="5"/>
  <c r="F81" i="5"/>
  <c r="G81" i="5"/>
  <c r="H81" i="5"/>
  <c r="D82" i="5"/>
  <c r="E82" i="5"/>
  <c r="F82" i="5"/>
  <c r="G82" i="5"/>
  <c r="H82" i="5"/>
  <c r="I82" i="5"/>
  <c r="D83" i="5"/>
  <c r="E83" i="5"/>
  <c r="F83" i="5"/>
  <c r="G83" i="5"/>
  <c r="H83" i="5"/>
  <c r="D84" i="5"/>
  <c r="E84" i="5"/>
  <c r="F84" i="5"/>
  <c r="G84" i="5"/>
  <c r="H84" i="5"/>
  <c r="I84" i="5"/>
  <c r="D85" i="5"/>
  <c r="E85" i="5"/>
  <c r="F85" i="5"/>
  <c r="G85" i="5"/>
  <c r="H85" i="5"/>
  <c r="I85" i="5"/>
  <c r="D86" i="5"/>
  <c r="E86" i="5"/>
  <c r="F86" i="5"/>
  <c r="G86" i="5"/>
  <c r="H86" i="5"/>
  <c r="I86" i="5"/>
  <c r="D87" i="5"/>
  <c r="E87" i="5"/>
  <c r="F87" i="5"/>
  <c r="G87" i="5"/>
  <c r="H87" i="5"/>
  <c r="D88" i="5"/>
  <c r="E88" i="5"/>
  <c r="F88" i="5"/>
  <c r="G88" i="5"/>
  <c r="H88" i="5"/>
  <c r="I88" i="5"/>
  <c r="D89" i="5"/>
  <c r="E89" i="5"/>
  <c r="F89" i="5"/>
  <c r="G89" i="5"/>
  <c r="H89" i="5"/>
  <c r="D90" i="5"/>
  <c r="E90" i="5"/>
  <c r="F90" i="5"/>
  <c r="G90" i="5"/>
  <c r="H90" i="5"/>
  <c r="I90" i="5"/>
  <c r="D91" i="5"/>
  <c r="E91" i="5"/>
  <c r="F91" i="5"/>
  <c r="G91" i="5"/>
  <c r="H91" i="5"/>
  <c r="I91" i="5"/>
  <c r="D92" i="5"/>
  <c r="E92" i="5"/>
  <c r="F92" i="5"/>
  <c r="G92" i="5"/>
  <c r="H92" i="5"/>
  <c r="D93" i="5"/>
  <c r="E93" i="5"/>
  <c r="F93" i="5"/>
  <c r="G93" i="5"/>
  <c r="H93" i="5"/>
  <c r="I93" i="5"/>
  <c r="D94" i="5"/>
  <c r="E94" i="5"/>
  <c r="F94" i="5"/>
  <c r="G94" i="5"/>
  <c r="H94" i="5"/>
  <c r="I94" i="5"/>
  <c r="D95" i="5"/>
  <c r="E95" i="5"/>
  <c r="F95" i="5"/>
  <c r="G95" i="5"/>
  <c r="H95" i="5"/>
  <c r="I95" i="5"/>
  <c r="D96" i="5"/>
  <c r="E96" i="5"/>
  <c r="F96" i="5"/>
  <c r="G96" i="5"/>
  <c r="H96" i="5"/>
  <c r="D97" i="5"/>
  <c r="E97" i="5"/>
  <c r="F97" i="5"/>
  <c r="G97" i="5"/>
  <c r="H97" i="5"/>
  <c r="I97" i="5"/>
  <c r="D98" i="5"/>
  <c r="E98" i="5"/>
  <c r="F98" i="5"/>
  <c r="G98" i="5"/>
  <c r="H98" i="5"/>
  <c r="I98" i="5"/>
  <c r="J98" i="5"/>
  <c r="D99" i="5"/>
  <c r="E99" i="5"/>
  <c r="F99" i="5"/>
  <c r="G99" i="5"/>
  <c r="H99" i="5"/>
  <c r="D100" i="5"/>
  <c r="E100" i="5"/>
  <c r="F100" i="5"/>
  <c r="G100" i="5"/>
  <c r="H100" i="5"/>
  <c r="I100" i="5"/>
  <c r="D101" i="5"/>
  <c r="E101" i="5"/>
  <c r="F101" i="5"/>
  <c r="G101" i="5"/>
  <c r="H101" i="5"/>
  <c r="D102" i="5"/>
  <c r="E102" i="5"/>
  <c r="F102" i="5"/>
  <c r="G102" i="5"/>
  <c r="H102" i="5"/>
  <c r="I102" i="5"/>
  <c r="D103" i="5"/>
  <c r="E103" i="5"/>
  <c r="F103" i="5"/>
  <c r="G103" i="5"/>
  <c r="H103" i="5"/>
  <c r="I103" i="5"/>
  <c r="D104" i="5"/>
  <c r="E104" i="5"/>
  <c r="F104" i="5"/>
  <c r="G104" i="5"/>
  <c r="H104" i="5"/>
  <c r="D105" i="5"/>
  <c r="E105" i="5"/>
  <c r="F105" i="5"/>
  <c r="G105" i="5"/>
  <c r="H105" i="5"/>
  <c r="I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D112" i="5"/>
  <c r="E112" i="5"/>
  <c r="F112" i="5"/>
  <c r="G112" i="5"/>
  <c r="H112" i="5"/>
  <c r="I112" i="5"/>
  <c r="J112" i="5"/>
  <c r="D113" i="5"/>
  <c r="E113" i="5"/>
  <c r="F113" i="5"/>
  <c r="G113" i="5"/>
  <c r="H113" i="5"/>
  <c r="I113" i="5"/>
  <c r="J113" i="5"/>
  <c r="D114" i="5"/>
  <c r="E114" i="5"/>
  <c r="F114" i="5"/>
  <c r="G114" i="5"/>
  <c r="H114" i="5"/>
  <c r="I114" i="5"/>
  <c r="J114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D120" i="5"/>
  <c r="E120" i="5"/>
  <c r="F120" i="5"/>
  <c r="G120" i="5"/>
  <c r="H120" i="5"/>
  <c r="I120" i="5"/>
  <c r="J120" i="5"/>
  <c r="I4" i="5"/>
  <c r="H4" i="5"/>
  <c r="G4" i="5"/>
  <c r="F4" i="5"/>
  <c r="E4" i="5"/>
  <c r="D4" i="5"/>
  <c r="CR105" i="5"/>
  <c r="CR104" i="5"/>
  <c r="CR103" i="5"/>
  <c r="CR102" i="5"/>
  <c r="CR101" i="5"/>
  <c r="CR100" i="5"/>
  <c r="CR99" i="5"/>
  <c r="CR98" i="5"/>
  <c r="CR97" i="5"/>
  <c r="CR96" i="5"/>
  <c r="CR95" i="5"/>
  <c r="CR94" i="5"/>
  <c r="CR93" i="5"/>
  <c r="CR92" i="5"/>
  <c r="CR91" i="5"/>
  <c r="CR90" i="5"/>
  <c r="CR89" i="5"/>
  <c r="CR88" i="5"/>
  <c r="CR87" i="5"/>
  <c r="CR86" i="5"/>
  <c r="CR85" i="5"/>
  <c r="CR84" i="5"/>
  <c r="CR83" i="5"/>
  <c r="CR82" i="5"/>
  <c r="CR81" i="5"/>
  <c r="CR80" i="5"/>
  <c r="CR79" i="5"/>
  <c r="CR78" i="5"/>
  <c r="CR77" i="5"/>
  <c r="CR76" i="5"/>
  <c r="CR75" i="5"/>
  <c r="CR74" i="5"/>
  <c r="CR73" i="5"/>
  <c r="CR72" i="5"/>
  <c r="CR71" i="5"/>
  <c r="CR70" i="5"/>
  <c r="CR69" i="5"/>
  <c r="CR68" i="5"/>
  <c r="CR67" i="5"/>
  <c r="CR66" i="5"/>
  <c r="CR65" i="5"/>
  <c r="CR64" i="5"/>
  <c r="CR63" i="5"/>
  <c r="CR62" i="5"/>
  <c r="CR61" i="5"/>
  <c r="CR60" i="5"/>
  <c r="CR59" i="5"/>
  <c r="CR58" i="5"/>
  <c r="CR57" i="5"/>
  <c r="CR56" i="5"/>
  <c r="CR55" i="5"/>
  <c r="CR54" i="5"/>
  <c r="CR53" i="5"/>
  <c r="CR52" i="5"/>
  <c r="CR51" i="5"/>
  <c r="CR50" i="5"/>
  <c r="CR49" i="5"/>
  <c r="CR48" i="5"/>
  <c r="CR47" i="5"/>
  <c r="CR46" i="5"/>
  <c r="CR45" i="5"/>
  <c r="CR44" i="5"/>
  <c r="CR43" i="5"/>
  <c r="CR42" i="5"/>
  <c r="CR41" i="5"/>
  <c r="CR40" i="5"/>
  <c r="CR39" i="5"/>
  <c r="CR38" i="5"/>
  <c r="CR37" i="5"/>
  <c r="CR36" i="5"/>
  <c r="CR35" i="5"/>
  <c r="CR34" i="5"/>
  <c r="CR33" i="5"/>
  <c r="CR32" i="5"/>
  <c r="CR31" i="5"/>
  <c r="CR30" i="5"/>
  <c r="CR29" i="5"/>
  <c r="CR28" i="5"/>
  <c r="CR27" i="5"/>
  <c r="CR26" i="5"/>
  <c r="CR25" i="5"/>
  <c r="CR24" i="5"/>
  <c r="CR23" i="5"/>
  <c r="CR22" i="5"/>
  <c r="CR21" i="5"/>
  <c r="CR20" i="5"/>
  <c r="CR19" i="5"/>
  <c r="CR18" i="5"/>
  <c r="CR17" i="5"/>
  <c r="CR16" i="5"/>
  <c r="CR15" i="5"/>
  <c r="CR14" i="5"/>
  <c r="CR13" i="5"/>
  <c r="CR12" i="5"/>
  <c r="CR11" i="5"/>
  <c r="CR10" i="5"/>
  <c r="CR9" i="5"/>
  <c r="CR8" i="5"/>
  <c r="CR7" i="5"/>
  <c r="CR6" i="5"/>
  <c r="CR5" i="5"/>
  <c r="CR4" i="5"/>
  <c r="FJ7" i="5"/>
  <c r="J7" i="5" s="1"/>
  <c r="FJ11" i="5"/>
  <c r="J11" i="5"/>
  <c r="FJ15" i="5"/>
  <c r="J15" i="5" s="1"/>
  <c r="FJ23" i="5"/>
  <c r="J23" i="5" s="1"/>
  <c r="FJ27" i="5"/>
  <c r="J27" i="5"/>
  <c r="FJ31" i="5"/>
  <c r="J31" i="5" s="1"/>
  <c r="FJ39" i="5"/>
  <c r="J39" i="5" s="1"/>
  <c r="FJ43" i="5"/>
  <c r="J43" i="5"/>
  <c r="FJ47" i="5"/>
  <c r="J47" i="5" s="1"/>
  <c r="FJ55" i="5"/>
  <c r="J55" i="5" s="1"/>
  <c r="FJ63" i="5"/>
  <c r="J63" i="5" s="1"/>
  <c r="FJ71" i="5"/>
  <c r="J71" i="5" s="1"/>
  <c r="FJ79" i="5"/>
  <c r="J79" i="5" s="1"/>
  <c r="FJ87" i="5"/>
  <c r="J87" i="5" s="1"/>
  <c r="I101" i="5" l="1"/>
  <c r="I65" i="5"/>
  <c r="I57" i="5"/>
  <c r="FJ75" i="5"/>
  <c r="J75" i="5" s="1"/>
  <c r="FJ67" i="5"/>
  <c r="J67" i="5" s="1"/>
  <c r="FJ59" i="5"/>
  <c r="J59" i="5" s="1"/>
  <c r="FJ51" i="5"/>
  <c r="J51" i="5" s="1"/>
  <c r="FJ35" i="5"/>
  <c r="J35" i="5" s="1"/>
  <c r="FJ19" i="5"/>
  <c r="J19" i="5" s="1"/>
  <c r="I99" i="5"/>
  <c r="I92" i="5"/>
  <c r="I73" i="5"/>
  <c r="I69" i="5"/>
  <c r="I61" i="5"/>
  <c r="I53" i="5"/>
  <c r="I42" i="5"/>
  <c r="I37" i="5"/>
  <c r="I26" i="5"/>
  <c r="I21" i="5"/>
  <c r="I10" i="5"/>
</calcChain>
</file>

<file path=xl/sharedStrings.xml><?xml version="1.0" encoding="utf-8"?>
<sst xmlns="http://schemas.openxmlformats.org/spreadsheetml/2006/main" count="17330" uniqueCount="442">
  <si>
    <t>proxy</t>
  </si>
  <si>
    <t>first_author_last_name</t>
  </si>
  <si>
    <t>publication_year</t>
  </si>
  <si>
    <t>doi</t>
  </si>
  <si>
    <t>summary</t>
  </si>
  <si>
    <t>info</t>
  </si>
  <si>
    <t>sample</t>
  </si>
  <si>
    <t>age</t>
  </si>
  <si>
    <t>location</t>
  </si>
  <si>
    <t>lithology</t>
  </si>
  <si>
    <t>isotopes_DIC</t>
  </si>
  <si>
    <t>isotopes_biomass</t>
  </si>
  <si>
    <t>seawater_chemistry</t>
  </si>
  <si>
    <t>temperature</t>
  </si>
  <si>
    <t>alkenone_concentration</t>
  </si>
  <si>
    <t>cell_size</t>
  </si>
  <si>
    <t>bfac</t>
  </si>
  <si>
    <t>growth_rate</t>
  </si>
  <si>
    <t>epsilon_p</t>
  </si>
  <si>
    <t>pCO2</t>
  </si>
  <si>
    <t>extra_data</t>
  </si>
  <si>
    <t>age_uncertainty_pos_ka</t>
  </si>
  <si>
    <t>age_uncertainty_neg_ka</t>
  </si>
  <si>
    <t>pCO2_uatm</t>
  </si>
  <si>
    <t>pCO2_uncertainty_pos_uatm</t>
  </si>
  <si>
    <t>pCO2_uncertainty_neg_uatm</t>
  </si>
  <si>
    <t>name_of_individual_entering_data</t>
  </si>
  <si>
    <t>contact_email_of_individual_entering_data</t>
  </si>
  <si>
    <t>site</t>
  </si>
  <si>
    <t>hole</t>
  </si>
  <si>
    <t>core</t>
  </si>
  <si>
    <t>tool</t>
  </si>
  <si>
    <t>half</t>
  </si>
  <si>
    <t>section</t>
  </si>
  <si>
    <t>full_sample_name_in_source</t>
  </si>
  <si>
    <t>depth_top_m</t>
  </si>
  <si>
    <t>depth_bottom_m</t>
  </si>
  <si>
    <t>depth_mid_m</t>
  </si>
  <si>
    <t>depth_scale</t>
  </si>
  <si>
    <t>age_ka_bp</t>
  </si>
  <si>
    <t>age_uncertainty_distribution</t>
  </si>
  <si>
    <t>age_model_reference</t>
  </si>
  <si>
    <t>age_model_notes</t>
  </si>
  <si>
    <t>site_depth</t>
  </si>
  <si>
    <t>site_paleodepth</t>
  </si>
  <si>
    <t>site_paleolocation_reference</t>
  </si>
  <si>
    <t>site_flags_explanation</t>
  </si>
  <si>
    <t>sediment_CaCO3_percent</t>
  </si>
  <si>
    <t>sediment_opal_percent</t>
  </si>
  <si>
    <t>sediment_organic_carbon_percent</t>
  </si>
  <si>
    <t>sediment_composition_methods</t>
  </si>
  <si>
    <t>sediment_composition_notes</t>
  </si>
  <si>
    <t>sediment_composition_references</t>
  </si>
  <si>
    <t>sediment_composition_flags_explanation</t>
  </si>
  <si>
    <t>CaCO3_d13C_permil</t>
  </si>
  <si>
    <t>CaCO3_d13C_uncertainty_permil</t>
  </si>
  <si>
    <t>CaCO3_d13C_uncertainty_type</t>
  </si>
  <si>
    <t>CaCO3_d13C_uncertainty_n</t>
  </si>
  <si>
    <t>CaCO3_d18O_permil</t>
  </si>
  <si>
    <t>CaCO3_d18O_uncertainty_permil</t>
  </si>
  <si>
    <t>CaCO3_d18O_uncertainty_type</t>
  </si>
  <si>
    <t>CaCO3_d18O_uncertainty_n</t>
  </si>
  <si>
    <t>CaCO3_taxon_name</t>
  </si>
  <si>
    <t>CaCO3_size_fraction_range_um</t>
  </si>
  <si>
    <t>CaCO3_vital_effect_permil</t>
  </si>
  <si>
    <t>DIC_d13C_permil</t>
  </si>
  <si>
    <t>DIC_d13C_uncertainty_permil</t>
  </si>
  <si>
    <t>DIC_d13C_uncertainty_type</t>
  </si>
  <si>
    <t>CO2g_d13C_permil</t>
  </si>
  <si>
    <t>CO2g_d13C_uncertainty_permil</t>
  </si>
  <si>
    <t>CO2g_d13C_uncertainty_type</t>
  </si>
  <si>
    <t>CO2aq_d13C_permil</t>
  </si>
  <si>
    <t>CO2aq_d13C_equation_method</t>
  </si>
  <si>
    <t>CO2aq_d13C_flags_explanation</t>
  </si>
  <si>
    <t>organic_d13C_measured_permil</t>
  </si>
  <si>
    <t>organic_d13C_material_name</t>
  </si>
  <si>
    <t>organic_d13C_measured_uncertainty_permil</t>
  </si>
  <si>
    <t>organic_d13C_measured_uncertainty_type</t>
  </si>
  <si>
    <t>organic_d13C_biomass_offset_epsilon_permil</t>
  </si>
  <si>
    <t>organic_d13C_biomass_offset_uncertainty_permil</t>
  </si>
  <si>
    <t>organic_d13C_biomass_offset_uncertainty_type</t>
  </si>
  <si>
    <t>organic_d13C_biomass_permil</t>
  </si>
  <si>
    <t>organic_d13C_biomass_uncertainty_permil</t>
  </si>
  <si>
    <t>organic_d13C_biomass_uncertainty_type</t>
  </si>
  <si>
    <t>organic_d13C_organic_method</t>
  </si>
  <si>
    <t>organic_d13C_organic_flags_explanation</t>
  </si>
  <si>
    <t>salinity_psu</t>
  </si>
  <si>
    <t>salinity_psu_uncertainty_permil</t>
  </si>
  <si>
    <t>salinity_psu_uncertainty_type</t>
  </si>
  <si>
    <t>salinity_method</t>
  </si>
  <si>
    <t>phosphate_umol_kg</t>
  </si>
  <si>
    <t>phosphate_unertainty_type</t>
  </si>
  <si>
    <t>phosphate_reference</t>
  </si>
  <si>
    <t>nitrate_umol_kg</t>
  </si>
  <si>
    <t>nitrate_reference</t>
  </si>
  <si>
    <t>SST_degC</t>
  </si>
  <si>
    <t>SST_degC_uncertainty_pos</t>
  </si>
  <si>
    <t>SST_degC_uncertainty_neg</t>
  </si>
  <si>
    <t>SST_degC_uncertainty_type</t>
  </si>
  <si>
    <t>SST_degC_source</t>
  </si>
  <si>
    <t>SST_uk37_prime</t>
  </si>
  <si>
    <t>SST_uk37_prime_uncertainty</t>
  </si>
  <si>
    <t>SST_uk37_degC</t>
  </si>
  <si>
    <t>SST_uk37_degC_uncertainty_pos</t>
  </si>
  <si>
    <t>SST_uk37_degC_uncertainty_neg</t>
  </si>
  <si>
    <t>SST_uk37_degC_uncertainty_type</t>
  </si>
  <si>
    <t>SST_uk37_calibration</t>
  </si>
  <si>
    <t>SST_other_name</t>
  </si>
  <si>
    <t>SST_other_measured_value</t>
  </si>
  <si>
    <t>SST_other_measured_value_uncertainty_pos</t>
  </si>
  <si>
    <t>SST_other_measured_value_uncertainty_neg</t>
  </si>
  <si>
    <t>SST_other_measured_value_uncertainty_type</t>
  </si>
  <si>
    <t>SST_other_degC</t>
  </si>
  <si>
    <t>SST_other_degC_uncertainty_pos</t>
  </si>
  <si>
    <t>SST_other_degC_uncertainty_neg</t>
  </si>
  <si>
    <t>SST_other_degC_uncertainty_type</t>
  </si>
  <si>
    <t>SST_other_calibration_information</t>
  </si>
  <si>
    <t>alkenone_concentration_MK374_conc</t>
  </si>
  <si>
    <t>alkenone_concentration_MK373_conc</t>
  </si>
  <si>
    <t>alkenone_concentration_MK372_conc</t>
  </si>
  <si>
    <t>alkenone_concentration_flags_explanation</t>
  </si>
  <si>
    <t>VSA_volume_surface_area_ratio</t>
  </si>
  <si>
    <t>VSA_volume_surface_area_ratio_uncertainty_pos</t>
  </si>
  <si>
    <t>VSA_volume_surface_area_ratio_uncertainty_neg</t>
  </si>
  <si>
    <t>VSA_volume_surface_area_ratio_uncertainty_type</t>
  </si>
  <si>
    <t>VSA_method</t>
  </si>
  <si>
    <t>VSA_lith_size_um</t>
  </si>
  <si>
    <t>VSA_lith_size_uncertainty_pos_um</t>
  </si>
  <si>
    <t>VSA_lith_size_uncertainty_neg_um</t>
  </si>
  <si>
    <t>VSA_lith_size_uncertainty_type</t>
  </si>
  <si>
    <t>VSA_cell_radius_um</t>
  </si>
  <si>
    <t>VSA_cell_radius_method</t>
  </si>
  <si>
    <t>bfac_prime_VS</t>
  </si>
  <si>
    <t>bfac_prime_VS_uncertainty_pos</t>
  </si>
  <si>
    <t>bfac_prime_VS_uncertainty_neg</t>
  </si>
  <si>
    <t>bfac_prime_VS_uncertainty_type</t>
  </si>
  <si>
    <t>bfac_prime_mu</t>
  </si>
  <si>
    <t>bfac_prime_mu_uncertainty_pos</t>
  </si>
  <si>
    <t>bfac_prime_mu_uncertainty_neg</t>
  </si>
  <si>
    <t>bfac_prime_mu_uncertainty_type</t>
  </si>
  <si>
    <t>growth_rate_mu</t>
  </si>
  <si>
    <t>growth_rate_mu_uncertainty_pos</t>
  </si>
  <si>
    <t>growth_rate_mu_uncertainty_neg</t>
  </si>
  <si>
    <t>growth_rate_mu_uncertainty_type</t>
  </si>
  <si>
    <t>growth_rate_method</t>
  </si>
  <si>
    <t>growth_rate_flags_explanation</t>
  </si>
  <si>
    <t>bfac_uncertainty_pos</t>
  </si>
  <si>
    <t>bfac_uncertainty_neg</t>
  </si>
  <si>
    <t>bfac_uncertainty_type</t>
  </si>
  <si>
    <t>bfac_equation_method</t>
  </si>
  <si>
    <t>epsilon_f_permil</t>
  </si>
  <si>
    <t>epsilon_p_flags_explanation</t>
  </si>
  <si>
    <t>CO2aq_umol_liter</t>
  </si>
  <si>
    <t>CO2aq_uncertainty_pos_umol_liter</t>
  </si>
  <si>
    <t>CO2aq_uncertainty_neg_umol_liter</t>
  </si>
  <si>
    <t>CO2aq_uncertainty_type</t>
  </si>
  <si>
    <t>CO2aq_equation_method</t>
  </si>
  <si>
    <t>pCO2_uncertainty_type</t>
  </si>
  <si>
    <t>pCO2_equation_method</t>
  </si>
  <si>
    <t>pCO2_flags_explanation</t>
  </si>
  <si>
    <t>mixed_layer_depth</t>
  </si>
  <si>
    <t>photoperiod_hours</t>
  </si>
  <si>
    <t>TCO2_umol_kg</t>
  </si>
  <si>
    <t>alkalinity_ueq_kg</t>
  </si>
  <si>
    <t>silicate_ion</t>
  </si>
  <si>
    <t>description</t>
  </si>
  <si>
    <t>copy from data table</t>
  </si>
  <si>
    <t>doi as e.g. "10.1002/palo.20015"</t>
  </si>
  <si>
    <t>ODP-type information.  For other sediment cores, try to fit into these categories and put sample name into full_sample_name_in_source</t>
  </si>
  <si>
    <t>W or A for work or archive</t>
  </si>
  <si>
    <t>for ODP, mbsf, mcd, etc.</t>
  </si>
  <si>
    <t>1sem, 2sem, 1std, 2std, uniform, etc.  sem and std are gaussian</t>
  </si>
  <si>
    <t>water depth in meters</t>
  </si>
  <si>
    <t>number of measurements going into uncertainty</t>
  </si>
  <si>
    <t>taxon name or "bulk"</t>
  </si>
  <si>
    <t>e.g. 350-400, &lt;63 etc.</t>
  </si>
  <si>
    <t>Reghellin et al., 2015</t>
  </si>
  <si>
    <t>Takayama, 1993; Chaisson and Leckie, 1993; Nathan and Leckie (2004)</t>
  </si>
  <si>
    <t>Biostrat and magnetostrat; no orbital tuning</t>
  </si>
  <si>
    <t>Biostratigraphy; no orbital tuning</t>
  </si>
  <si>
    <t>No sample information reported.</t>
  </si>
  <si>
    <t>G. sacculifer</t>
  </si>
  <si>
    <t>&gt;250</t>
  </si>
  <si>
    <t>The data table also reports "d13Ccarb," but with no explanation of what that is. It is about 0.1‰ diferent from the foram.</t>
  </si>
  <si>
    <t>Mk37_2</t>
  </si>
  <si>
    <t>not stated, assumed</t>
  </si>
  <si>
    <t>not reported</t>
  </si>
  <si>
    <t>b = 151.14*[PO4] + 44.04 - Regional calibration for E. Pacific</t>
  </si>
  <si>
    <t>b = 118.52*[PO4]+84.07</t>
  </si>
  <si>
    <t>B</t>
  </si>
  <si>
    <t>Conte et al., 2006 (assume using sediment AnnO model)</t>
  </si>
  <si>
    <t>organic_d13C_measured_uncertainty_n</t>
  </si>
  <si>
    <t>10.1016/j.epsl.2017.03.016</t>
  </si>
  <si>
    <t>Zhang</t>
  </si>
  <si>
    <t>Zhang, Y. G., Pagani, M., Henderiks, J., &amp; Ren, H. (2017). A long history of equatorial deep-water upwelling in the Pacific Ocean. Earth and Planetary Science Letters, 467, 1-9.</t>
  </si>
  <si>
    <t>include_TF</t>
  </si>
  <si>
    <t>include_explanation</t>
  </si>
  <si>
    <t>include_parent_unique_id</t>
  </si>
  <si>
    <t>include_child_unique_id</t>
  </si>
  <si>
    <t>T</t>
  </si>
  <si>
    <t>F</t>
  </si>
  <si>
    <t>NA</t>
  </si>
  <si>
    <t>1sem</t>
  </si>
  <si>
    <t>1std</t>
  </si>
  <si>
    <t>uniform</t>
  </si>
  <si>
    <t>TEX86</t>
  </si>
  <si>
    <t>Kim 2010 TEX86 calibration</t>
  </si>
  <si>
    <t>mcd</t>
  </si>
  <si>
    <t>H</t>
  </si>
  <si>
    <t>W</t>
  </si>
  <si>
    <t>X</t>
  </si>
  <si>
    <t>averaged Uk37 and TEX86 temperatures</t>
  </si>
  <si>
    <t>Site 850 is in the EEP upwelling region and is far from CO2 equilibrium with the atmosphere</t>
  </si>
  <si>
    <t>phosphate_umol_kg_uncertainty_pos</t>
  </si>
  <si>
    <t>phosphate_umol_kg_uncertainty_neg</t>
  </si>
  <si>
    <t>compilation_notes</t>
  </si>
  <si>
    <t>pCO2 = CO2 / K0</t>
  </si>
  <si>
    <t>Ep = Ef - b/CO2</t>
  </si>
  <si>
    <t>order</t>
  </si>
  <si>
    <t>variable_name</t>
  </si>
  <si>
    <t>preferably MLA</t>
  </si>
  <si>
    <t>interval_depth_top_cm</t>
  </si>
  <si>
    <t>describe timescale used, what the age model is based on.</t>
  </si>
  <si>
    <t>if site is an upwelling location, note here</t>
  </si>
  <si>
    <t>e.g. Mk37_2</t>
  </si>
  <si>
    <t>copy the temperature data used for the calculation here</t>
  </si>
  <si>
    <t>e.g. TEX86, MgCa</t>
  </si>
  <si>
    <t>put units here; e.g. "ng/g dry wt"</t>
  </si>
  <si>
    <t>epsilon_f value used to calculate CO2aq from epsilon_p and b</t>
  </si>
  <si>
    <t>typically Ep = Ef - b/CO2 for conventional alkenone method</t>
  </si>
  <si>
    <t>typically pCO2 = CO2 / K0</t>
  </si>
  <si>
    <t>notes</t>
  </si>
  <si>
    <t>T or F for whether to include this sample</t>
  </si>
  <si>
    <t>explanation for exclusion</t>
  </si>
  <si>
    <t>unique sample ID for the "parent" of this sample, in the event this study includes recalculated or republished data</t>
  </si>
  <si>
    <t>unique sample ID for the "child" of this sample, in the event subsequent studies recalculate or republish data</t>
  </si>
  <si>
    <t>Upwelling; no sample information reported.</t>
  </si>
  <si>
    <t>Coccolith size only</t>
  </si>
  <si>
    <t>age_ka</t>
  </si>
  <si>
    <t>Age_uncertainty_pos_ka</t>
  </si>
  <si>
    <t>Age_uncertainty_neg_ka</t>
  </si>
  <si>
    <t>CO2_ppm</t>
  </si>
  <si>
    <t>CO2_uncertainty_pos_ppm</t>
  </si>
  <si>
    <t>Basic Info</t>
  </si>
  <si>
    <t>REFERENCE AND CONTACT INFORMATION</t>
  </si>
  <si>
    <t>CO2aq_d13C_uncertainty_permil</t>
  </si>
  <si>
    <t>CO2aq_d13C_uncertainty_type</t>
  </si>
  <si>
    <t>7.5% 1std error applied to CO2 estimates</t>
  </si>
  <si>
    <t>alkenone d13C, alkenone Uk37, foraminifera d13C and d18O are from Pagani et al., 2010; 7.5% 1std error applied to CO2 estimates</t>
  </si>
  <si>
    <t>calculated using modern b method (Figure 3C in manuscript). 1std error is 7.5% of the mean pCO2 value</t>
  </si>
  <si>
    <t>Ep values provided by Yige Zhang, April 7, 2020</t>
  </si>
  <si>
    <t>Yige Zhang; Pratigya Polissar; Sam Phelps</t>
  </si>
  <si>
    <t>yige.zhang@tamu.edu; polissar@ucsc.edu; sphelps@ldeo.columbia.edu</t>
  </si>
  <si>
    <t>interval_depth_bot_cm</t>
  </si>
  <si>
    <t>epsilon_p_permil</t>
  </si>
  <si>
    <t>epsilon_p_uncertainty_pos_permil</t>
  </si>
  <si>
    <t>epsilon_p_uncertainty_neg_permil</t>
  </si>
  <si>
    <t>epsilon_p_uncertainty_type</t>
  </si>
  <si>
    <t>phytoplankton</t>
  </si>
  <si>
    <t>CO2_uncertainty_neg_ppm</t>
  </si>
  <si>
    <t>Reference of the data product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</si>
  <si>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</si>
  <si>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</si>
  <si>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</si>
  <si>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</si>
  <si>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doi link to reference</t>
  </si>
  <si>
    <t>reference of the data product</t>
  </si>
  <si>
    <t>site_latitude</t>
  </si>
  <si>
    <t>decimal degrees (south negative)</t>
  </si>
  <si>
    <t>site_longitude</t>
  </si>
  <si>
    <t>decimal degrees (west negative)</t>
  </si>
  <si>
    <t>site_paleolatitude</t>
  </si>
  <si>
    <t>site_paleolongitude</t>
  </si>
  <si>
    <t>unique_id</t>
  </si>
  <si>
    <t>phytoplankton_Zhang_2017_1</t>
  </si>
  <si>
    <t>phytoplankton_Zhang_2017_2</t>
  </si>
  <si>
    <t>phytoplankton_Zhang_2017_3</t>
  </si>
  <si>
    <t>phytoplankton_Zhang_2017_4</t>
  </si>
  <si>
    <t>phytoplankton_Zhang_2017_5</t>
  </si>
  <si>
    <t>phytoplankton_Zhang_2017_6</t>
  </si>
  <si>
    <t>phytoplankton_Zhang_2017_7</t>
  </si>
  <si>
    <t>phytoplankton_Zhang_2017_8</t>
  </si>
  <si>
    <t>phytoplankton_Zhang_2017_9</t>
  </si>
  <si>
    <t>phytoplankton_Zhang_2017_10</t>
  </si>
  <si>
    <t>phytoplankton_Zhang_2017_11</t>
  </si>
  <si>
    <t>phytoplankton_Zhang_2017_12</t>
  </si>
  <si>
    <t>phytoplankton_Zhang_2017_13</t>
  </si>
  <si>
    <t>phytoplankton_Zhang_2017_14</t>
  </si>
  <si>
    <t>phytoplankton_Zhang_2017_15</t>
  </si>
  <si>
    <t>phytoplankton_Zhang_2017_16</t>
  </si>
  <si>
    <t>phytoplankton_Zhang_2017_17</t>
  </si>
  <si>
    <t>phytoplankton_Zhang_2017_18</t>
  </si>
  <si>
    <t>phytoplankton_Zhang_2017_19</t>
  </si>
  <si>
    <t>phytoplankton_Zhang_2017_20</t>
  </si>
  <si>
    <t>phytoplankton_Zhang_2017_21</t>
  </si>
  <si>
    <t>phytoplankton_Zhang_2017_22</t>
  </si>
  <si>
    <t>phytoplankton_Zhang_2017_23</t>
  </si>
  <si>
    <t>phytoplankton_Zhang_2017_24</t>
  </si>
  <si>
    <t>phytoplankton_Zhang_2017_25</t>
  </si>
  <si>
    <t>phytoplankton_Zhang_2017_26</t>
  </si>
  <si>
    <t>phytoplankton_Zhang_2017_27</t>
  </si>
  <si>
    <t>phytoplankton_Zhang_2017_28</t>
  </si>
  <si>
    <t>phytoplankton_Zhang_2017_29</t>
  </si>
  <si>
    <t>phytoplankton_Zhang_2017_30</t>
  </si>
  <si>
    <t>phytoplankton_Zhang_2017_31</t>
  </si>
  <si>
    <t>phytoplankton_Zhang_2017_32</t>
  </si>
  <si>
    <t>phytoplankton_Zhang_2017_33</t>
  </si>
  <si>
    <t>phytoplankton_Zhang_2017_34</t>
  </si>
  <si>
    <t>phytoplankton_Zhang_2017_35</t>
  </si>
  <si>
    <t>phytoplankton_Zhang_2017_36</t>
  </si>
  <si>
    <t>phytoplankton_Zhang_2017_37</t>
  </si>
  <si>
    <t>phytoplankton_Zhang_2017_38</t>
  </si>
  <si>
    <t>phytoplankton_Zhang_2017_39</t>
  </si>
  <si>
    <t>phytoplankton_Zhang_2017_40</t>
  </si>
  <si>
    <t>phytoplankton_Zhang_2017_41</t>
  </si>
  <si>
    <t>phytoplankton_Zhang_2017_42</t>
  </si>
  <si>
    <t>phytoplankton_Zhang_2017_43</t>
  </si>
  <si>
    <t>phytoplankton_Zhang_2017_44</t>
  </si>
  <si>
    <t>phytoplankton_Zhang_2017_45</t>
  </si>
  <si>
    <t>phytoplankton_Zhang_2017_46</t>
  </si>
  <si>
    <t>phytoplankton_Zhang_2017_47</t>
  </si>
  <si>
    <t>phytoplankton_Zhang_2017_48</t>
  </si>
  <si>
    <t>phytoplankton_Zhang_2017_49</t>
  </si>
  <si>
    <t>phytoplankton_Zhang_2017_50</t>
  </si>
  <si>
    <t>phytoplankton_Zhang_2017_51</t>
  </si>
  <si>
    <t>phytoplankton_Zhang_2017_52</t>
  </si>
  <si>
    <t>phytoplankton_Zhang_2017_53</t>
  </si>
  <si>
    <t>phytoplankton_Zhang_2017_54</t>
  </si>
  <si>
    <t>phytoplankton_Zhang_2017_55</t>
  </si>
  <si>
    <t>phytoplankton_Zhang_2017_56</t>
  </si>
  <si>
    <t>phytoplankton_Zhang_2017_57</t>
  </si>
  <si>
    <t>phytoplankton_Zhang_2017_58</t>
  </si>
  <si>
    <t>phytoplankton_Zhang_2017_59</t>
  </si>
  <si>
    <t>phytoplankton_Zhang_2017_60</t>
  </si>
  <si>
    <t>phytoplankton_Zhang_2017_61</t>
  </si>
  <si>
    <t>phytoplankton_Zhang_2017_62</t>
  </si>
  <si>
    <t>phytoplankton_Zhang_2017_63</t>
  </si>
  <si>
    <t>phytoplankton_Zhang_2017_64</t>
  </si>
  <si>
    <t>phytoplankton_Zhang_2017_65</t>
  </si>
  <si>
    <t>phytoplankton_Zhang_2017_66</t>
  </si>
  <si>
    <t>phytoplankton_Zhang_2017_67</t>
  </si>
  <si>
    <t>phytoplankton_Zhang_2017_68</t>
  </si>
  <si>
    <t>phytoplankton_Zhang_2017_69</t>
  </si>
  <si>
    <t>phytoplankton_Zhang_2017_70</t>
  </si>
  <si>
    <t>phytoplankton_Zhang_2017_71</t>
  </si>
  <si>
    <t>phytoplankton_Zhang_2017_72</t>
  </si>
  <si>
    <t>phytoplankton_Zhang_2017_73</t>
  </si>
  <si>
    <t>phytoplankton_Zhang_2017_74</t>
  </si>
  <si>
    <t>phytoplankton_Zhang_2017_75</t>
  </si>
  <si>
    <t>phytoplankton_Zhang_2017_76</t>
  </si>
  <si>
    <t>phytoplankton_Zhang_2017_77</t>
  </si>
  <si>
    <t>phytoplankton_Zhang_2017_78</t>
  </si>
  <si>
    <t>phytoplankton_Zhang_2017_79</t>
  </si>
  <si>
    <t>phytoplankton_Zhang_2017_80</t>
  </si>
  <si>
    <t>phytoplankton_Zhang_2017_81</t>
  </si>
  <si>
    <t>phytoplankton_Zhang_2017_82</t>
  </si>
  <si>
    <t>phytoplankton_Zhang_2017_83</t>
  </si>
  <si>
    <t>phytoplankton_Zhang_2017_84</t>
  </si>
  <si>
    <t>phytoplankton_Zhang_2017_85</t>
  </si>
  <si>
    <t>phytoplankton_Zhang_2017_86</t>
  </si>
  <si>
    <t>phytoplankton_Zhang_2017_87</t>
  </si>
  <si>
    <t>phytoplankton_Zhang_2017_88</t>
  </si>
  <si>
    <t>phytoplankton_Zhang_2017_89</t>
  </si>
  <si>
    <t>phytoplankton_Zhang_2017_90</t>
  </si>
  <si>
    <t>phytoplankton_Zhang_2017_91</t>
  </si>
  <si>
    <t>phytoplankton_Zhang_2017_92</t>
  </si>
  <si>
    <t>phytoplankton_Zhang_2017_93</t>
  </si>
  <si>
    <t>phytoplankton_Zhang_2017_94</t>
  </si>
  <si>
    <t>phytoplankton_Zhang_2017_95</t>
  </si>
  <si>
    <t>phytoplankton_Zhang_2017_96</t>
  </si>
  <si>
    <t>phytoplankton_Zhang_2017_97</t>
  </si>
  <si>
    <t>phytoplankton_Zhang_2017_98</t>
  </si>
  <si>
    <t>phytoplankton_Zhang_2017_99</t>
  </si>
  <si>
    <t>phytoplankton_Zhang_2017_100</t>
  </si>
  <si>
    <t>phytoplankton_Zhang_2017_101</t>
  </si>
  <si>
    <t>phytoplankton_Zhang_2017_102</t>
  </si>
  <si>
    <t>phytoplankton_Zhang_2017_103</t>
  </si>
  <si>
    <t>phytoplankton_Zhang_2017_104</t>
  </si>
  <si>
    <t>phytoplankton_Zhang_2017_105</t>
  </si>
  <si>
    <t>phytoplankton_Zhang_2017_106</t>
  </si>
  <si>
    <t>phytoplankton_Zhang_2017_107</t>
  </si>
  <si>
    <t>phytoplankton_Zhang_2017_108</t>
  </si>
  <si>
    <t>phytoplankton_Zhang_2017_109</t>
  </si>
  <si>
    <t>phytoplankton_Zhang_2017_110</t>
  </si>
  <si>
    <t>phytoplankton_Zhang_2017_111</t>
  </si>
  <si>
    <t>phytoplankton_Zhang_2017_112</t>
  </si>
  <si>
    <t>phytoplankton_Zhang_2017_113</t>
  </si>
  <si>
    <t>phytoplankton_Zhang_2017_114</t>
  </si>
  <si>
    <t>phytoplankton_Zhang_2017_115</t>
  </si>
  <si>
    <t>phytoplankton_Zhang_2017_116</t>
  </si>
  <si>
    <t>phytoplankton_Zhang_2017_117</t>
  </si>
  <si>
    <t>phytoplankton_Pagani_2010_1</t>
  </si>
  <si>
    <t>phytoplankton_Pagani_2010_2</t>
  </si>
  <si>
    <t>phytoplankton_Pagani_2010_3</t>
  </si>
  <si>
    <t>phytoplankton_Pagani_2010_4</t>
  </si>
  <si>
    <t>phytoplankton_Pagani_2010_5</t>
  </si>
  <si>
    <t>phytoplankton_Pagani_2010_6</t>
  </si>
  <si>
    <t>phytoplankton_Pagani_2010_7</t>
  </si>
  <si>
    <t>phytoplankton_Pagani_2010_8</t>
  </si>
  <si>
    <t>phytoplankton_Pagani_2010_9</t>
  </si>
  <si>
    <t>phytoplankton_Pagani_2010_10</t>
  </si>
  <si>
    <t>phytoplankton_Pagani_2010_11</t>
  </si>
  <si>
    <t>phytoplankton_Pagani_2010_12</t>
  </si>
  <si>
    <t>phytoplankton_Pagani_2010_13</t>
  </si>
  <si>
    <t>phytoplankton_Pagani_2010_14</t>
  </si>
  <si>
    <t>phytoplankton_Pagani_2010_15</t>
  </si>
  <si>
    <t>phytoplankton_Pagani_2010_16</t>
  </si>
  <si>
    <t>phytoplankton_Pagani_2010_17</t>
  </si>
  <si>
    <t>phytoplankton_Pagani_2010_18</t>
  </si>
  <si>
    <t>phytoplankton_Pagani_2010_19</t>
  </si>
  <si>
    <t>phytoplankton_Pagani_2010_20</t>
  </si>
  <si>
    <t>phytoplankton_Pagani_2010_21</t>
  </si>
  <si>
    <t>phytoplankton_Pagani_2010_22</t>
  </si>
  <si>
    <t>phytoplankton_Pagani_2010_23</t>
  </si>
  <si>
    <t>phytoplankton_Pagani_2010_24</t>
  </si>
  <si>
    <t>phytoplankton_Pagani_2010_25</t>
  </si>
  <si>
    <t>phytoplankton_Pagani_2010_26</t>
  </si>
  <si>
    <t>phytoplankton_Pagani_2010_27</t>
  </si>
  <si>
    <t>phytoplankton_Pagani_2010_28</t>
  </si>
  <si>
    <t>phytoplankton_Pagani_2010_29</t>
  </si>
  <si>
    <t>phytoplankton_Pagani_2010_30</t>
  </si>
  <si>
    <t>phytoplankton_Pagani_2010_31</t>
  </si>
  <si>
    <t>phytoplankton_Pagani_2010_32</t>
  </si>
  <si>
    <t>phytoplankton_Pagani_2010_33</t>
  </si>
  <si>
    <t>phytoplankton_Pagani_2010_34</t>
  </si>
  <si>
    <t>phytoplankton_Pagani_2010_35</t>
  </si>
  <si>
    <t>phytoplankton_Pagani_2010_36</t>
  </si>
  <si>
    <t>phytoplankton_Pagani_2010_37</t>
  </si>
  <si>
    <t>phytoplankton_Pagani_2010_38</t>
  </si>
  <si>
    <t>phytoplankton_Pagani_2010_39</t>
  </si>
  <si>
    <t>phytoplankton_Pagani_2010_40</t>
  </si>
  <si>
    <t>phytoplankton_Pagani_2010_41</t>
  </si>
  <si>
    <t>phytoplankton_Pagani_2010_42</t>
  </si>
  <si>
    <t>phytoplankton_Pagani_2010_43</t>
  </si>
  <si>
    <t>phytoplankton_Pagani_2010_44</t>
  </si>
  <si>
    <t>phytoplankton_Pagani_2010_45</t>
  </si>
  <si>
    <t>phytoplankton_Pagani_2010_46</t>
  </si>
  <si>
    <t>phytoplankton_Pagani_2010_47</t>
  </si>
  <si>
    <t>phytoplankton_Pagani_2010_48</t>
  </si>
  <si>
    <t>phytoplankton_Pagani_2010_49</t>
  </si>
  <si>
    <t>phytoplankton_Pagani_2010_50</t>
  </si>
  <si>
    <t>&lt;proxy&gt;_&lt;first_author_last_name&gt;_&lt;publication_year&gt;_&lt;row&gt;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</si>
</sst>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4" tint="-0.249977111117893"/>
      <name val="Arial"/>
      <family val="2"/>
    </font>
    <font>
      <b/>
      <sz val="12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  <xf numFmtId="0" fontId="1" fillId="0" borderId="0" xfId="0" applyFont="1"/>
    <xf numFmtId="0" fontId="3" fillId="0" borderId="0" xfId="0" applyFont="1"/>
    <xf numFmtId="49" fontId="3" fillId="0" borderId="0" xfId="0" applyNumberFormat="1" applyFont="1" applyFill="1" applyBorder="1" applyAlignment="1" applyProtection="1"/>
    <xf numFmtId="0" fontId="3" fillId="2" borderId="0" xfId="0" applyFont="1" applyFill="1"/>
    <xf numFmtId="49" fontId="3" fillId="2" borderId="0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3" fillId="2" borderId="0" xfId="0" applyNumberFormat="1" applyFont="1" applyFill="1"/>
    <xf numFmtId="0" fontId="3" fillId="0" borderId="0" xfId="0" applyNumberFormat="1" applyFont="1"/>
    <xf numFmtId="0" fontId="0" fillId="0" borderId="0" xfId="0" applyNumberFormat="1"/>
    <xf numFmtId="0" fontId="0" fillId="2" borderId="0" xfId="0" applyFill="1"/>
    <xf numFmtId="0" fontId="1" fillId="2" borderId="0" xfId="0" applyFont="1" applyFill="1"/>
    <xf numFmtId="49" fontId="0" fillId="2" borderId="0" xfId="0" applyNumberFormat="1" applyFont="1" applyFill="1" applyBorder="1" applyAlignment="1" applyProtection="1"/>
    <xf numFmtId="49" fontId="1" fillId="2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0" fontId="0" fillId="2" borderId="0" xfId="0" applyNumberFormat="1" applyFill="1"/>
    <xf numFmtId="0" fontId="1" fillId="2" borderId="0" xfId="0" applyNumberFormat="1" applyFont="1" applyFill="1" applyBorder="1" applyAlignment="1" applyProtection="1"/>
    <xf numFmtId="0" fontId="1" fillId="2" borderId="0" xfId="0" applyNumberFormat="1" applyFont="1" applyFill="1"/>
    <xf numFmtId="49" fontId="0" fillId="0" borderId="0" xfId="0" applyNumberFormat="1"/>
    <xf numFmtId="49" fontId="1" fillId="0" borderId="0" xfId="0" applyNumberFormat="1" applyFont="1"/>
    <xf numFmtId="0" fontId="1" fillId="0" borderId="0" xfId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2" xfId="0" quotePrefix="1" applyBorder="1" applyAlignment="1">
      <alignment wrapText="1"/>
    </xf>
    <xf numFmtId="0" fontId="0" fillId="0" borderId="2" xfId="0" applyBorder="1" applyAlignment="1">
      <alignment horizontal="center" wrapText="1"/>
    </xf>
    <xf numFmtId="0" fontId="2" fillId="0" borderId="4" xfId="0" applyFont="1" applyBorder="1"/>
    <xf numFmtId="0" fontId="4" fillId="0" borderId="0" xfId="0" applyFon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Fill="1"/>
    <xf numFmtId="49" fontId="0" fillId="0" borderId="0" xfId="0" applyNumberFormat="1" applyFill="1"/>
    <xf numFmtId="0" fontId="3" fillId="0" borderId="0" xfId="0" applyFont="1" applyFill="1"/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  <xf numFmtId="49" fontId="1" fillId="0" borderId="0" xfId="0" applyNumberFormat="1" applyFont="1" applyAlignment="1">
      <alignment wrapText="1"/>
    </xf>
    <xf numFmtId="0" fontId="5" fillId="3" borderId="5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vertical="center" wrapText="1"/>
    </xf>
    <xf numFmtId="49" fontId="6" fillId="0" borderId="0" xfId="0" applyNumberFormat="1" applyFont="1" applyAlignment="1">
      <alignment wrapText="1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176</xdr:col>
      <xdr:colOff>3596260</xdr:colOff>
      <xdr:row>63</xdr:row>
      <xdr:rowOff>61460</xdr:rowOff>
    </xdr:from>
    <xdr:to>
      <xdr:col>176</xdr:col>
      <xdr:colOff>3599500</xdr:colOff>
      <xdr:row>63</xdr:row>
      <xdr:rowOff>64700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BED0B5-0E84-B344-B220-C921A00EF763}"/>
                </a:ext>
              </a:extLst>
            </xdr14:cNvPr>
            <xdr14:cNvContentPartPr/>
          </xdr14:nvContentPartPr>
          <xdr14:nvPr macro=""/>
          <xdr14:xfrm>
            <a:off x="355932360" y="10132560"/>
            <a:ext cx="3240" cy="32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BED0B5-0E84-B344-B220-C921A00EF76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55923360" y="10123560"/>
              <a:ext cx="20880" cy="20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0-04-01T19:21:55.6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9 24575,'4'-5'0,"0"2"0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Y120"/>
  <sheetViews>
    <sheetView topLeftCell="FU1" workbookViewId="0">
      <pane ySplit="3" topLeftCell="A90" activePane="bottomLeft" state="frozen"/>
      <selection activeCell="EE1" sqref="EE1"/>
      <selection pane="bottomLeft" activeCell="FW48" sqref="FW48:FW113"/>
    </sheetView>
  </sheetViews>
  <sheetFormatPr baseColWidth="10" defaultColWidth="8.83203125" defaultRowHeight="13" x14ac:dyDescent="0.15"/>
  <cols>
    <col min="1" max="1" width="13.1640625" bestFit="1" customWidth="1"/>
    <col min="2" max="2" width="30.6640625" customWidth="1"/>
    <col min="3" max="3" width="24.6640625" customWidth="1"/>
    <col min="4" max="4" width="44.6640625" customWidth="1"/>
    <col min="5" max="5" width="14.6640625" customWidth="1"/>
    <col min="6" max="7" width="30.6640625" customWidth="1"/>
    <col min="8" max="8" width="17.6640625" customWidth="1"/>
    <col min="9" max="10" width="33.6640625" style="35" customWidth="1"/>
    <col min="11" max="11" width="32.6640625" customWidth="1"/>
    <col min="12" max="12" width="41.6640625" customWidth="1"/>
    <col min="13" max="13" width="38.1640625" customWidth="1"/>
    <col min="14" max="14" width="26" customWidth="1"/>
    <col min="15" max="19" width="4.6640625" customWidth="1"/>
    <col min="20" max="20" width="7.6640625" customWidth="1"/>
    <col min="21" max="21" width="20.6640625" customWidth="1"/>
    <col min="22" max="22" width="23.6640625" customWidth="1"/>
    <col min="23" max="23" width="26.6640625" customWidth="1"/>
    <col min="24" max="24" width="11.6640625" customWidth="1"/>
    <col min="25" max="25" width="14.6640625" customWidth="1"/>
    <col min="26" max="27" width="11.6640625" customWidth="1"/>
    <col min="28" max="28" width="9.6640625" customWidth="1"/>
    <col min="29" max="30" width="22.6640625" customWidth="1"/>
    <col min="31" max="31" width="28.6640625" customWidth="1"/>
    <col min="32" max="32" width="39.83203125" customWidth="1"/>
    <col min="33" max="33" width="44.6640625" customWidth="1"/>
    <col min="34" max="34" width="13.6640625" style="13" customWidth="1"/>
    <col min="35" max="35" width="14.6640625" style="13" customWidth="1"/>
    <col min="36" max="36" width="10.6640625" customWidth="1"/>
    <col min="37" max="37" width="18.6640625" customWidth="1"/>
    <col min="38" max="38" width="19.6640625" customWidth="1"/>
    <col min="39" max="39" width="15.6640625" customWidth="1"/>
    <col min="40" max="40" width="28.6640625" customWidth="1"/>
    <col min="41" max="41" width="31.6640625" customWidth="1"/>
    <col min="42" max="42" width="9.6640625" customWidth="1"/>
    <col min="43" max="43" width="22.6640625" customWidth="1"/>
    <col min="44" max="44" width="21.6640625" customWidth="1"/>
    <col min="45" max="45" width="31.6640625" customWidth="1"/>
    <col min="46" max="46" width="28.6640625" customWidth="1"/>
    <col min="47" max="47" width="26.6640625" customWidth="1"/>
    <col min="48" max="48" width="31.6640625" customWidth="1"/>
    <col min="49" max="49" width="38.6640625" customWidth="1"/>
    <col min="50" max="50" width="17.6640625" customWidth="1"/>
    <col min="51" max="51" width="29.6640625" customWidth="1"/>
    <col min="52" max="52" width="27.6640625" customWidth="1"/>
    <col min="53" max="53" width="24.6640625" customWidth="1"/>
    <col min="54" max="54" width="17.6640625" customWidth="1"/>
    <col min="55" max="55" width="29.6640625" customWidth="1"/>
    <col min="56" max="56" width="27.6640625" customWidth="1"/>
    <col min="57" max="57" width="24.6640625" customWidth="1"/>
    <col min="58" max="58" width="16.6640625" customWidth="1"/>
    <col min="59" max="59" width="28.6640625" customWidth="1"/>
    <col min="60" max="60" width="25.6640625" customWidth="1"/>
    <col min="61" max="61" width="15.6640625" customWidth="1"/>
    <col min="62" max="62" width="27.6640625" customWidth="1"/>
    <col min="63" max="63" width="25.6640625" customWidth="1"/>
    <col min="64" max="64" width="16.6640625" customWidth="1"/>
    <col min="65" max="65" width="28.6640625" customWidth="1"/>
    <col min="66" max="66" width="26.6640625" customWidth="1"/>
    <col min="67" max="69" width="17.6640625" customWidth="1"/>
    <col min="70" max="70" width="26.6640625" customWidth="1"/>
    <col min="71" max="71" width="51.33203125" customWidth="1"/>
    <col min="72" max="72" width="28.6640625" customWidth="1"/>
    <col min="73" max="73" width="26.6640625" customWidth="1"/>
    <col min="74" max="74" width="40.6640625" customWidth="1"/>
    <col min="75" max="75" width="35.6640625" customWidth="1"/>
    <col min="76" max="76" width="38.6640625" customWidth="1"/>
    <col min="77" max="77" width="42.6640625" customWidth="1"/>
    <col min="78" max="78" width="46.6640625" customWidth="1"/>
    <col min="79" max="79" width="44.6640625" customWidth="1"/>
    <col min="80" max="80" width="27.6640625" customWidth="1"/>
    <col min="81" max="81" width="39.6640625" customWidth="1"/>
    <col min="82" max="82" width="37.6640625" customWidth="1"/>
    <col min="83" max="83" width="27.6640625" customWidth="1"/>
    <col min="84" max="84" width="38.6640625" customWidth="1"/>
    <col min="85" max="85" width="12.6640625" customWidth="1"/>
    <col min="86" max="86" width="31.6640625" customWidth="1"/>
    <col min="87" max="87" width="29.6640625" customWidth="1"/>
    <col min="88" max="88" width="19.6640625" customWidth="1"/>
    <col min="89" max="89" width="17.6640625" customWidth="1"/>
    <col min="90" max="91" width="29.6640625" customWidth="1"/>
    <col min="92" max="92" width="25.6640625" customWidth="1"/>
    <col min="93" max="93" width="19.6640625" customWidth="1"/>
    <col min="94" max="94" width="15.6640625" customWidth="1"/>
    <col min="95" max="95" width="17.6640625" customWidth="1"/>
    <col min="96" max="96" width="8.6640625" customWidth="1"/>
    <col min="97" max="98" width="24.6640625" customWidth="1"/>
    <col min="99" max="99" width="25.6640625" customWidth="1"/>
    <col min="100" max="100" width="15.6640625" customWidth="1"/>
    <col min="101" max="101" width="14.6640625" customWidth="1"/>
    <col min="102" max="102" width="26.6640625" customWidth="1"/>
    <col min="103" max="103" width="13.6640625" customWidth="1"/>
    <col min="104" max="105" width="29.6640625" customWidth="1"/>
    <col min="106" max="106" width="30.6640625" customWidth="1"/>
    <col min="107" max="107" width="53.6640625" customWidth="1"/>
    <col min="108" max="108" width="14.6640625" customWidth="1"/>
    <col min="109" max="109" width="24.6640625" customWidth="1"/>
    <col min="110" max="111" width="40.6640625" customWidth="1"/>
    <col min="112" max="112" width="41.6640625" customWidth="1"/>
    <col min="113" max="113" width="14.6640625" customWidth="1"/>
    <col min="114" max="115" width="30.6640625" customWidth="1"/>
    <col min="116" max="116" width="31.6640625" customWidth="1"/>
    <col min="117" max="117" width="33.6640625" customWidth="1"/>
    <col min="118" max="118" width="22.6640625" customWidth="1"/>
    <col min="119" max="121" width="33.6640625" customWidth="1"/>
    <col min="122" max="122" width="40.6640625" customWidth="1"/>
    <col min="123" max="123" width="29.6640625" customWidth="1"/>
    <col min="124" max="125" width="45.6640625" customWidth="1"/>
    <col min="126" max="126" width="46.6640625" customWidth="1"/>
    <col min="127" max="127" width="10.6640625" customWidth="1"/>
    <col min="128" max="128" width="15.1640625" bestFit="1" customWidth="1"/>
    <col min="129" max="138" width="17.5" customWidth="1"/>
    <col min="139" max="140" width="29.6640625" customWidth="1"/>
    <col min="141" max="141" width="30.6640625" customWidth="1"/>
    <col min="142" max="142" width="14.6640625" customWidth="1"/>
    <col min="143" max="144" width="30.6640625" customWidth="1"/>
    <col min="145" max="145" width="31.6640625" customWidth="1"/>
    <col min="146" max="146" width="18.6640625" customWidth="1"/>
    <col min="147" max="147" width="29.6640625" customWidth="1"/>
    <col min="148" max="148" width="8.6640625" customWidth="1"/>
    <col min="149" max="150" width="20.6640625" customWidth="1"/>
    <col min="151" max="151" width="21.6640625" customWidth="1"/>
    <col min="152" max="152" width="62.6640625" customWidth="1"/>
    <col min="153" max="153" width="16.6640625" customWidth="1"/>
    <col min="154" max="157" width="25.6640625" customWidth="1"/>
    <col min="158" max="158" width="28.6640625" customWidth="1"/>
    <col min="159" max="159" width="16.6640625" customWidth="1"/>
    <col min="160" max="161" width="32.6640625" customWidth="1"/>
    <col min="162" max="162" width="22.6640625" customWidth="1"/>
    <col min="163" max="163" width="21.6640625" customWidth="1"/>
    <col min="164" max="164" width="11.6640625" customWidth="1"/>
    <col min="165" max="166" width="25.6640625" customWidth="1"/>
    <col min="167" max="167" width="21.6640625" customWidth="1"/>
    <col min="168" max="168" width="20.6640625" customWidth="1"/>
    <col min="169" max="169" width="22.6640625" customWidth="1"/>
    <col min="170" max="170" width="10.6640625" customWidth="1"/>
    <col min="171" max="172" width="17.6640625" customWidth="1"/>
    <col min="173" max="173" width="12.6640625" customWidth="1"/>
    <col min="174" max="174" width="17.6640625" customWidth="1"/>
    <col min="175" max="175" width="12.6640625" customWidth="1"/>
    <col min="176" max="176" width="9.6640625" bestFit="1" customWidth="1"/>
    <col min="177" max="177" width="73.5" bestFit="1" customWidth="1"/>
    <col min="178" max="178" width="73.5" customWidth="1"/>
    <col min="179" max="179" width="21.6640625" bestFit="1" customWidth="1"/>
    <col min="180" max="180" width="20" bestFit="1" customWidth="1"/>
    <col min="181" max="181" width="28.83203125" customWidth="1"/>
  </cols>
  <sheetData>
    <row r="1" spans="1:181" ht="16" x14ac:dyDescent="0.2">
      <c r="D1" s="30" t="s">
        <v>243</v>
      </c>
      <c r="K1" s="31" t="s">
        <v>244</v>
      </c>
    </row>
    <row r="3" spans="1:181" ht="75" x14ac:dyDescent="0.15">
      <c r="A3" s="25" t="s">
        <v>0</v>
      </c>
      <c r="B3" s="26" t="s">
        <v>1</v>
      </c>
      <c r="C3" s="26" t="s">
        <v>2</v>
      </c>
      <c r="D3" s="27" t="s">
        <v>3</v>
      </c>
      <c r="E3" s="27" t="s">
        <v>238</v>
      </c>
      <c r="F3" s="28" t="s">
        <v>239</v>
      </c>
      <c r="G3" s="28" t="s">
        <v>240</v>
      </c>
      <c r="H3" s="29" t="s">
        <v>241</v>
      </c>
      <c r="I3" s="38" t="s">
        <v>242</v>
      </c>
      <c r="J3" s="39" t="s">
        <v>259</v>
      </c>
      <c r="K3" s="40" t="s">
        <v>26</v>
      </c>
      <c r="L3" s="40" t="s">
        <v>27</v>
      </c>
      <c r="M3" s="41" t="s">
        <v>260</v>
      </c>
      <c r="N3" s="40" t="s">
        <v>265</v>
      </c>
      <c r="O3" s="40" t="s">
        <v>28</v>
      </c>
      <c r="P3" s="40" t="s">
        <v>29</v>
      </c>
      <c r="Q3" s="40" t="s">
        <v>30</v>
      </c>
      <c r="R3" s="40" t="s">
        <v>31</v>
      </c>
      <c r="S3" s="40" t="s">
        <v>32</v>
      </c>
      <c r="T3" s="40" t="s">
        <v>33</v>
      </c>
      <c r="U3" s="40" t="s">
        <v>221</v>
      </c>
      <c r="V3" s="40" t="s">
        <v>253</v>
      </c>
      <c r="W3" s="40" t="s">
        <v>34</v>
      </c>
      <c r="X3" s="40" t="s">
        <v>35</v>
      </c>
      <c r="Y3" s="40" t="s">
        <v>36</v>
      </c>
      <c r="Z3" s="40" t="s">
        <v>37</v>
      </c>
      <c r="AA3" s="40" t="s">
        <v>38</v>
      </c>
      <c r="AB3" s="40" t="s">
        <v>39</v>
      </c>
      <c r="AC3" s="40" t="s">
        <v>21</v>
      </c>
      <c r="AD3" s="40" t="s">
        <v>22</v>
      </c>
      <c r="AE3" s="40" t="s">
        <v>40</v>
      </c>
      <c r="AF3" s="40" t="s">
        <v>41</v>
      </c>
      <c r="AG3" s="40" t="s">
        <v>42</v>
      </c>
      <c r="AH3" s="42" t="s">
        <v>261</v>
      </c>
      <c r="AI3" s="42" t="s">
        <v>262</v>
      </c>
      <c r="AJ3" s="43" t="s">
        <v>43</v>
      </c>
      <c r="AK3" s="42" t="s">
        <v>263</v>
      </c>
      <c r="AL3" s="42" t="s">
        <v>264</v>
      </c>
      <c r="AM3" s="23" t="s">
        <v>44</v>
      </c>
      <c r="AN3" s="23" t="s">
        <v>45</v>
      </c>
      <c r="AO3" s="23" t="s">
        <v>46</v>
      </c>
      <c r="AP3" s="23" t="s">
        <v>9</v>
      </c>
      <c r="AQ3" s="23" t="s">
        <v>47</v>
      </c>
      <c r="AR3" s="23" t="s">
        <v>48</v>
      </c>
      <c r="AS3" s="23" t="s">
        <v>49</v>
      </c>
      <c r="AT3" s="23" t="s">
        <v>50</v>
      </c>
      <c r="AU3" s="23" t="s">
        <v>51</v>
      </c>
      <c r="AV3" s="23" t="s">
        <v>52</v>
      </c>
      <c r="AW3" s="23" t="s">
        <v>53</v>
      </c>
      <c r="AX3" s="23" t="s">
        <v>54</v>
      </c>
      <c r="AY3" s="23" t="s">
        <v>55</v>
      </c>
      <c r="AZ3" s="23" t="s">
        <v>56</v>
      </c>
      <c r="BA3" s="23" t="s">
        <v>57</v>
      </c>
      <c r="BB3" s="23" t="s">
        <v>58</v>
      </c>
      <c r="BC3" s="23" t="s">
        <v>59</v>
      </c>
      <c r="BD3" s="23" t="s">
        <v>60</v>
      </c>
      <c r="BE3" s="23" t="s">
        <v>61</v>
      </c>
      <c r="BF3" s="23" t="s">
        <v>62</v>
      </c>
      <c r="BG3" s="23" t="s">
        <v>63</v>
      </c>
      <c r="BH3" s="23" t="s">
        <v>64</v>
      </c>
      <c r="BI3" s="23" t="s">
        <v>65</v>
      </c>
      <c r="BJ3" s="23" t="s">
        <v>66</v>
      </c>
      <c r="BK3" s="23" t="s">
        <v>67</v>
      </c>
      <c r="BL3" s="23" t="s">
        <v>68</v>
      </c>
      <c r="BM3" s="23" t="s">
        <v>69</v>
      </c>
      <c r="BN3" s="23" t="s">
        <v>70</v>
      </c>
      <c r="BO3" s="23" t="s">
        <v>71</v>
      </c>
      <c r="BP3" s="23" t="s">
        <v>245</v>
      </c>
      <c r="BQ3" s="23" t="s">
        <v>246</v>
      </c>
      <c r="BR3" s="23" t="s">
        <v>72</v>
      </c>
      <c r="BS3" s="23" t="s">
        <v>73</v>
      </c>
      <c r="BT3" s="23" t="s">
        <v>74</v>
      </c>
      <c r="BU3" s="23" t="s">
        <v>75</v>
      </c>
      <c r="BV3" s="23" t="s">
        <v>76</v>
      </c>
      <c r="BW3" s="23" t="s">
        <v>191</v>
      </c>
      <c r="BX3" s="23" t="s">
        <v>77</v>
      </c>
      <c r="BY3" s="23" t="s">
        <v>78</v>
      </c>
      <c r="BZ3" s="23" t="s">
        <v>79</v>
      </c>
      <c r="CA3" s="23" t="s">
        <v>80</v>
      </c>
      <c r="CB3" s="23" t="s">
        <v>81</v>
      </c>
      <c r="CC3" s="23" t="s">
        <v>82</v>
      </c>
      <c r="CD3" s="23" t="s">
        <v>83</v>
      </c>
      <c r="CE3" s="23" t="s">
        <v>84</v>
      </c>
      <c r="CF3" s="23" t="s">
        <v>85</v>
      </c>
      <c r="CG3" s="23" t="s">
        <v>86</v>
      </c>
      <c r="CH3" s="23" t="s">
        <v>87</v>
      </c>
      <c r="CI3" s="23" t="s">
        <v>88</v>
      </c>
      <c r="CJ3" s="23" t="s">
        <v>89</v>
      </c>
      <c r="CK3" s="23" t="s">
        <v>90</v>
      </c>
      <c r="CL3" s="23" t="s">
        <v>213</v>
      </c>
      <c r="CM3" s="23" t="s">
        <v>214</v>
      </c>
      <c r="CN3" s="23" t="s">
        <v>91</v>
      </c>
      <c r="CO3" s="23" t="s">
        <v>92</v>
      </c>
      <c r="CP3" s="23" t="s">
        <v>93</v>
      </c>
      <c r="CQ3" s="23" t="s">
        <v>94</v>
      </c>
      <c r="CR3" s="23" t="s">
        <v>95</v>
      </c>
      <c r="CS3" s="23" t="s">
        <v>96</v>
      </c>
      <c r="CT3" s="23" t="s">
        <v>97</v>
      </c>
      <c r="CU3" s="23" t="s">
        <v>98</v>
      </c>
      <c r="CV3" s="23" t="s">
        <v>99</v>
      </c>
      <c r="CW3" s="23" t="s">
        <v>100</v>
      </c>
      <c r="CX3" s="23" t="s">
        <v>101</v>
      </c>
      <c r="CY3" s="23" t="s">
        <v>102</v>
      </c>
      <c r="CZ3" s="23" t="s">
        <v>103</v>
      </c>
      <c r="DA3" s="23" t="s">
        <v>104</v>
      </c>
      <c r="DB3" s="23" t="s">
        <v>105</v>
      </c>
      <c r="DC3" s="23" t="s">
        <v>106</v>
      </c>
      <c r="DD3" s="23" t="s">
        <v>107</v>
      </c>
      <c r="DE3" s="23" t="s">
        <v>108</v>
      </c>
      <c r="DF3" s="23" t="s">
        <v>109</v>
      </c>
      <c r="DG3" s="23" t="s">
        <v>110</v>
      </c>
      <c r="DH3" s="23" t="s">
        <v>111</v>
      </c>
      <c r="DI3" s="23" t="s">
        <v>112</v>
      </c>
      <c r="DJ3" s="23" t="s">
        <v>113</v>
      </c>
      <c r="DK3" s="23" t="s">
        <v>114</v>
      </c>
      <c r="DL3" s="23" t="s">
        <v>115</v>
      </c>
      <c r="DM3" s="23" t="s">
        <v>116</v>
      </c>
      <c r="DN3" s="23" t="s">
        <v>14</v>
      </c>
      <c r="DO3" s="23" t="s">
        <v>117</v>
      </c>
      <c r="DP3" s="23" t="s">
        <v>118</v>
      </c>
      <c r="DQ3" s="23" t="s">
        <v>119</v>
      </c>
      <c r="DR3" s="23" t="s">
        <v>120</v>
      </c>
      <c r="DS3" s="23" t="s">
        <v>121</v>
      </c>
      <c r="DT3" s="23" t="s">
        <v>122</v>
      </c>
      <c r="DU3" s="23" t="s">
        <v>123</v>
      </c>
      <c r="DV3" s="23" t="s">
        <v>124</v>
      </c>
      <c r="DW3" s="23" t="s">
        <v>125</v>
      </c>
      <c r="DX3" s="23" t="s">
        <v>126</v>
      </c>
      <c r="DY3" s="23" t="s">
        <v>127</v>
      </c>
      <c r="DZ3" s="23" t="s">
        <v>128</v>
      </c>
      <c r="EA3" s="23" t="s">
        <v>129</v>
      </c>
      <c r="EB3" s="23" t="s">
        <v>130</v>
      </c>
      <c r="EC3" s="23" t="s">
        <v>131</v>
      </c>
      <c r="ED3" s="23" t="s">
        <v>132</v>
      </c>
      <c r="EE3" s="23" t="s">
        <v>133</v>
      </c>
      <c r="EF3" s="23" t="s">
        <v>134</v>
      </c>
      <c r="EG3" s="23" t="s">
        <v>135</v>
      </c>
      <c r="EH3" s="23" t="s">
        <v>136</v>
      </c>
      <c r="EI3" s="23" t="s">
        <v>137</v>
      </c>
      <c r="EJ3" s="23" t="s">
        <v>138</v>
      </c>
      <c r="EK3" s="23" t="s">
        <v>139</v>
      </c>
      <c r="EL3" s="23" t="s">
        <v>140</v>
      </c>
      <c r="EM3" s="23" t="s">
        <v>141</v>
      </c>
      <c r="EN3" s="23" t="s">
        <v>142</v>
      </c>
      <c r="EO3" s="23" t="s">
        <v>143</v>
      </c>
      <c r="EP3" s="23" t="s">
        <v>144</v>
      </c>
      <c r="EQ3" s="23" t="s">
        <v>145</v>
      </c>
      <c r="ER3" s="23" t="s">
        <v>16</v>
      </c>
      <c r="ES3" s="23" t="s">
        <v>146</v>
      </c>
      <c r="ET3" s="23" t="s">
        <v>147</v>
      </c>
      <c r="EU3" s="23" t="s">
        <v>148</v>
      </c>
      <c r="EV3" s="23" t="s">
        <v>149</v>
      </c>
      <c r="EW3" s="23" t="s">
        <v>150</v>
      </c>
      <c r="EX3" s="23" t="s">
        <v>254</v>
      </c>
      <c r="EY3" s="23" t="s">
        <v>255</v>
      </c>
      <c r="EZ3" s="23" t="s">
        <v>256</v>
      </c>
      <c r="FA3" s="23" t="s">
        <v>257</v>
      </c>
      <c r="FB3" s="23" t="s">
        <v>151</v>
      </c>
      <c r="FC3" s="23" t="s">
        <v>152</v>
      </c>
      <c r="FD3" s="23" t="s">
        <v>153</v>
      </c>
      <c r="FE3" s="23" t="s">
        <v>154</v>
      </c>
      <c r="FF3" s="23" t="s">
        <v>155</v>
      </c>
      <c r="FG3" s="23" t="s">
        <v>156</v>
      </c>
      <c r="FH3" s="23" t="s">
        <v>23</v>
      </c>
      <c r="FI3" s="23" t="s">
        <v>24</v>
      </c>
      <c r="FJ3" s="23" t="s">
        <v>25</v>
      </c>
      <c r="FK3" s="23" t="s">
        <v>157</v>
      </c>
      <c r="FL3" s="23" t="s">
        <v>158</v>
      </c>
      <c r="FM3" s="23" t="s">
        <v>159</v>
      </c>
      <c r="FN3" s="23" t="s">
        <v>20</v>
      </c>
      <c r="FO3" s="23" t="s">
        <v>160</v>
      </c>
      <c r="FP3" s="23" t="s">
        <v>161</v>
      </c>
      <c r="FQ3" s="23" t="s">
        <v>162</v>
      </c>
      <c r="FR3" s="23" t="s">
        <v>163</v>
      </c>
      <c r="FS3" s="23" t="s">
        <v>164</v>
      </c>
      <c r="FT3" s="3" t="s">
        <v>195</v>
      </c>
      <c r="FU3" s="3" t="s">
        <v>196</v>
      </c>
      <c r="FV3" s="23" t="s">
        <v>273</v>
      </c>
      <c r="FW3" s="3" t="s">
        <v>197</v>
      </c>
      <c r="FX3" s="3" t="s">
        <v>198</v>
      </c>
      <c r="FY3" s="3" t="s">
        <v>215</v>
      </c>
    </row>
    <row r="4" spans="1:181" s="6" customFormat="1" x14ac:dyDescent="0.15">
      <c r="A4" s="3" t="s">
        <v>258</v>
      </c>
      <c r="B4" s="3" t="s">
        <v>193</v>
      </c>
      <c r="C4">
        <v>2017</v>
      </c>
      <c r="D4" s="22" t="str">
        <f>N4</f>
        <v>10.1016/j.epsl.2017.03.016</v>
      </c>
      <c r="E4" s="22">
        <f>AB4</f>
        <v>0</v>
      </c>
      <c r="F4" s="22" t="str">
        <f>AC4</f>
        <v>NA</v>
      </c>
      <c r="G4" s="22" t="str">
        <f>AD4</f>
        <v>NA</v>
      </c>
      <c r="H4" s="22">
        <f>FH4</f>
        <v>396.62247035520403</v>
      </c>
      <c r="I4" s="36">
        <f>FI4</f>
        <v>29.746685276640299</v>
      </c>
      <c r="J4" s="36">
        <f>FJ4</f>
        <v>29.746685276640299</v>
      </c>
      <c r="K4" s="7" t="s">
        <v>251</v>
      </c>
      <c r="L4" s="7" t="s">
        <v>252</v>
      </c>
      <c r="M4" s="7" t="s">
        <v>194</v>
      </c>
      <c r="N4" s="7" t="s">
        <v>192</v>
      </c>
      <c r="O4" s="6">
        <v>850</v>
      </c>
      <c r="P4" s="7" t="s">
        <v>189</v>
      </c>
      <c r="Q4" s="6">
        <v>1</v>
      </c>
      <c r="R4" s="6" t="s">
        <v>208</v>
      </c>
      <c r="S4" s="6" t="s">
        <v>209</v>
      </c>
      <c r="T4" s="6">
        <v>1</v>
      </c>
      <c r="U4" s="6" t="s">
        <v>201</v>
      </c>
      <c r="V4" s="6" t="s">
        <v>201</v>
      </c>
      <c r="W4" s="6" t="s">
        <v>201</v>
      </c>
      <c r="X4" s="6" t="s">
        <v>201</v>
      </c>
      <c r="Y4" s="6" t="s">
        <v>201</v>
      </c>
      <c r="Z4" s="8">
        <v>2.5000000000000001E-2</v>
      </c>
      <c r="AA4" s="6" t="s">
        <v>207</v>
      </c>
      <c r="AB4" s="6">
        <v>0</v>
      </c>
      <c r="AC4" s="6" t="s">
        <v>201</v>
      </c>
      <c r="AD4" s="6" t="s">
        <v>201</v>
      </c>
      <c r="AE4" s="6" t="s">
        <v>201</v>
      </c>
      <c r="AF4" s="7" t="s">
        <v>176</v>
      </c>
      <c r="AG4" s="7" t="s">
        <v>178</v>
      </c>
      <c r="AH4" s="11">
        <v>1.2971666666666666</v>
      </c>
      <c r="AI4" s="8">
        <v>-110.5215</v>
      </c>
      <c r="AJ4" s="6">
        <v>-4197</v>
      </c>
      <c r="AK4" s="6" t="s">
        <v>201</v>
      </c>
      <c r="AL4" s="6" t="s">
        <v>201</v>
      </c>
      <c r="AM4" s="6" t="s">
        <v>201</v>
      </c>
      <c r="AN4" s="6" t="s">
        <v>201</v>
      </c>
      <c r="AO4" s="7" t="s">
        <v>236</v>
      </c>
      <c r="AP4" s="6" t="s">
        <v>201</v>
      </c>
      <c r="AQ4" s="6" t="s">
        <v>201</v>
      </c>
      <c r="AR4" s="6" t="s">
        <v>201</v>
      </c>
      <c r="AS4" s="6" t="s">
        <v>201</v>
      </c>
      <c r="AT4" s="6" t="s">
        <v>201</v>
      </c>
      <c r="AU4" s="6" t="s">
        <v>201</v>
      </c>
      <c r="AV4" s="6" t="s">
        <v>201</v>
      </c>
      <c r="AW4" s="6" t="s">
        <v>201</v>
      </c>
      <c r="AX4" s="6">
        <v>1.6922916924385769</v>
      </c>
      <c r="AY4" s="6">
        <v>0.13</v>
      </c>
      <c r="AZ4" s="6" t="s">
        <v>203</v>
      </c>
      <c r="BA4" s="6" t="s">
        <v>201</v>
      </c>
      <c r="BB4" s="6">
        <v>-1.0386701266273408</v>
      </c>
      <c r="BC4" s="6">
        <v>0.24</v>
      </c>
      <c r="BD4" s="6" t="s">
        <v>203</v>
      </c>
      <c r="BE4" s="6" t="s">
        <v>201</v>
      </c>
      <c r="BF4" s="7" t="s">
        <v>181</v>
      </c>
      <c r="BG4" s="7" t="s">
        <v>182</v>
      </c>
      <c r="BH4" s="6">
        <v>0</v>
      </c>
      <c r="BI4" s="6" t="s">
        <v>201</v>
      </c>
      <c r="BJ4" s="6" t="s">
        <v>201</v>
      </c>
      <c r="BK4" s="6" t="s">
        <v>201</v>
      </c>
      <c r="BL4" s="6" t="s">
        <v>201</v>
      </c>
      <c r="BM4" s="6" t="s">
        <v>201</v>
      </c>
      <c r="BN4" s="6" t="s">
        <v>201</v>
      </c>
      <c r="BO4" s="6" t="s">
        <v>201</v>
      </c>
      <c r="BP4" s="6" t="s">
        <v>201</v>
      </c>
      <c r="BQ4" s="6" t="s">
        <v>201</v>
      </c>
      <c r="BR4" s="6" t="s">
        <v>201</v>
      </c>
      <c r="BS4" s="7" t="s">
        <v>183</v>
      </c>
      <c r="BT4" s="6">
        <v>-22.069409807355502</v>
      </c>
      <c r="BU4" s="7" t="s">
        <v>184</v>
      </c>
      <c r="BV4" s="6">
        <v>0.31</v>
      </c>
      <c r="BW4" s="6" t="s">
        <v>201</v>
      </c>
      <c r="BX4" s="6" t="s">
        <v>202</v>
      </c>
      <c r="BY4" s="6">
        <v>4.2</v>
      </c>
      <c r="BZ4" s="6" t="s">
        <v>201</v>
      </c>
      <c r="CA4" s="6" t="s">
        <v>201</v>
      </c>
      <c r="CB4" s="6">
        <v>-17.96210132854651</v>
      </c>
      <c r="CC4" s="6" t="s">
        <v>201</v>
      </c>
      <c r="CD4" s="6" t="s">
        <v>201</v>
      </c>
      <c r="CE4" s="6" t="s">
        <v>201</v>
      </c>
      <c r="CF4" s="6" t="s">
        <v>201</v>
      </c>
      <c r="CG4" s="6">
        <v>35</v>
      </c>
      <c r="CH4" s="6">
        <v>1</v>
      </c>
      <c r="CI4" s="6" t="s">
        <v>204</v>
      </c>
      <c r="CJ4" s="7" t="s">
        <v>185</v>
      </c>
      <c r="CK4" s="6">
        <v>0.82</v>
      </c>
      <c r="CL4" s="6">
        <v>0.1</v>
      </c>
      <c r="CM4" s="6">
        <v>0.1</v>
      </c>
      <c r="CN4" s="6" t="s">
        <v>204</v>
      </c>
      <c r="CO4" s="7" t="s">
        <v>186</v>
      </c>
      <c r="CP4" s="6" t="s">
        <v>201</v>
      </c>
      <c r="CQ4" s="6" t="s">
        <v>201</v>
      </c>
      <c r="CR4" s="6">
        <f t="shared" ref="CR4:CR35" si="0">AVERAGE(CY4,DI4)</f>
        <v>25.228743209705762</v>
      </c>
      <c r="CS4" s="6" t="s">
        <v>201</v>
      </c>
      <c r="CT4" s="6" t="s">
        <v>201</v>
      </c>
      <c r="CU4" s="6" t="s">
        <v>201</v>
      </c>
      <c r="CV4" s="6" t="s">
        <v>211</v>
      </c>
      <c r="CW4" s="6">
        <v>0.91257153798034951</v>
      </c>
      <c r="CX4" s="6" t="s">
        <v>201</v>
      </c>
      <c r="CY4" s="6">
        <v>25.929987268700923</v>
      </c>
      <c r="CZ4" s="6" t="s">
        <v>201</v>
      </c>
      <c r="DA4" s="6" t="s">
        <v>201</v>
      </c>
      <c r="DB4" s="6" t="s">
        <v>201</v>
      </c>
      <c r="DC4" s="7" t="s">
        <v>190</v>
      </c>
      <c r="DD4" s="6" t="s">
        <v>205</v>
      </c>
      <c r="DE4" s="6" t="s">
        <v>201</v>
      </c>
      <c r="DF4" s="6" t="s">
        <v>201</v>
      </c>
      <c r="DG4" s="6" t="s">
        <v>201</v>
      </c>
      <c r="DH4" s="6" t="s">
        <v>201</v>
      </c>
      <c r="DI4" s="6">
        <v>24.527499150710604</v>
      </c>
      <c r="DJ4" s="6" t="s">
        <v>201</v>
      </c>
      <c r="DK4" s="6" t="s">
        <v>201</v>
      </c>
      <c r="DL4" s="6" t="s">
        <v>201</v>
      </c>
      <c r="DM4" s="6" t="s">
        <v>206</v>
      </c>
      <c r="DN4" s="6" t="s">
        <v>201</v>
      </c>
      <c r="DO4" s="6" t="s">
        <v>201</v>
      </c>
      <c r="DP4" s="6" t="s">
        <v>201</v>
      </c>
      <c r="DQ4" s="6" t="s">
        <v>201</v>
      </c>
      <c r="DR4" s="6" t="s">
        <v>201</v>
      </c>
      <c r="DS4" s="6" t="s">
        <v>201</v>
      </c>
      <c r="DT4" s="6" t="s">
        <v>201</v>
      </c>
      <c r="DU4" s="6" t="s">
        <v>201</v>
      </c>
      <c r="DV4" s="6" t="s">
        <v>201</v>
      </c>
      <c r="DW4" s="6" t="s">
        <v>201</v>
      </c>
      <c r="DX4" s="6">
        <v>2.7018348623853208</v>
      </c>
      <c r="DY4" s="6" t="s">
        <v>201</v>
      </c>
      <c r="DZ4" s="6" t="s">
        <v>201</v>
      </c>
      <c r="EA4" s="6" t="s">
        <v>201</v>
      </c>
      <c r="EB4" s="6" t="s">
        <v>201</v>
      </c>
      <c r="EC4" s="6" t="s">
        <v>201</v>
      </c>
      <c r="ED4" s="6" t="s">
        <v>201</v>
      </c>
      <c r="EE4" s="6" t="s">
        <v>201</v>
      </c>
      <c r="EF4" s="6" t="s">
        <v>201</v>
      </c>
      <c r="EG4" s="6" t="s">
        <v>201</v>
      </c>
      <c r="EH4" s="6" t="s">
        <v>201</v>
      </c>
      <c r="EI4" s="6" t="s">
        <v>201</v>
      </c>
      <c r="EJ4" s="6" t="s">
        <v>201</v>
      </c>
      <c r="EK4" s="6" t="s">
        <v>201</v>
      </c>
      <c r="EL4" s="6" t="s">
        <v>201</v>
      </c>
      <c r="EM4" s="6" t="s">
        <v>201</v>
      </c>
      <c r="EN4" s="6" t="s">
        <v>201</v>
      </c>
      <c r="EO4" s="6" t="s">
        <v>201</v>
      </c>
      <c r="EP4" s="6" t="s">
        <v>201</v>
      </c>
      <c r="EQ4" s="6" t="s">
        <v>201</v>
      </c>
      <c r="ER4" s="6">
        <v>167.97479999999999</v>
      </c>
      <c r="ES4" s="6" t="s">
        <v>201</v>
      </c>
      <c r="ET4" s="6" t="s">
        <v>201</v>
      </c>
      <c r="EU4" s="6" t="s">
        <v>201</v>
      </c>
      <c r="EV4" s="7" t="s">
        <v>187</v>
      </c>
      <c r="EW4" s="6">
        <v>25</v>
      </c>
      <c r="EX4" s="6">
        <v>9.8710723564607861</v>
      </c>
      <c r="EY4" s="6">
        <v>8.7188175029284665E-2</v>
      </c>
      <c r="EZ4" s="6">
        <v>8.7188175029284665E-2</v>
      </c>
      <c r="FA4" s="6" t="s">
        <v>201</v>
      </c>
      <c r="FB4" s="7" t="s">
        <v>250</v>
      </c>
      <c r="FC4" s="6" t="s">
        <v>201</v>
      </c>
      <c r="FD4" s="6" t="s">
        <v>201</v>
      </c>
      <c r="FE4" s="6" t="s">
        <v>201</v>
      </c>
      <c r="FF4" s="6" t="s">
        <v>201</v>
      </c>
      <c r="FG4" s="6" t="s">
        <v>217</v>
      </c>
      <c r="FH4" s="6">
        <v>396.62247035520403</v>
      </c>
      <c r="FI4" s="6">
        <f>FH4*0.075</f>
        <v>29.746685276640299</v>
      </c>
      <c r="FJ4" s="6">
        <f>FI4</f>
        <v>29.746685276640299</v>
      </c>
      <c r="FK4" s="6" t="s">
        <v>203</v>
      </c>
      <c r="FL4" s="6" t="s">
        <v>216</v>
      </c>
      <c r="FM4" s="6" t="s">
        <v>249</v>
      </c>
      <c r="FN4" s="6" t="s">
        <v>201</v>
      </c>
      <c r="FO4" s="6" t="s">
        <v>201</v>
      </c>
      <c r="FP4" s="6" t="s">
        <v>201</v>
      </c>
      <c r="FQ4" s="6" t="s">
        <v>201</v>
      </c>
      <c r="FR4" s="6" t="s">
        <v>201</v>
      </c>
      <c r="FS4" s="6" t="s">
        <v>201</v>
      </c>
      <c r="FT4" s="6" t="s">
        <v>200</v>
      </c>
      <c r="FU4" s="6" t="s">
        <v>212</v>
      </c>
      <c r="FV4" s="44" t="s">
        <v>274</v>
      </c>
      <c r="FW4" s="6" t="s">
        <v>201</v>
      </c>
      <c r="FX4" s="6" t="s">
        <v>201</v>
      </c>
      <c r="FY4" s="6" t="s">
        <v>247</v>
      </c>
    </row>
    <row r="5" spans="1:181" s="4" customFormat="1" x14ac:dyDescent="0.15">
      <c r="A5" s="3" t="s">
        <v>258</v>
      </c>
      <c r="B5" s="3" t="s">
        <v>193</v>
      </c>
      <c r="C5">
        <v>2017</v>
      </c>
      <c r="D5" s="22" t="str">
        <f t="shared" ref="D5:D68" si="1">N5</f>
        <v>10.1016/j.epsl.2017.03.016</v>
      </c>
      <c r="E5" s="22">
        <f t="shared" ref="E5:E68" si="2">AB5</f>
        <v>0</v>
      </c>
      <c r="F5" s="22" t="str">
        <f t="shared" ref="F5:F68" si="3">AC5</f>
        <v>NA</v>
      </c>
      <c r="G5" s="22" t="str">
        <f t="shared" ref="G5:G68" si="4">AD5</f>
        <v>NA</v>
      </c>
      <c r="H5" s="22">
        <f t="shared" ref="H5:H68" si="5">FH5</f>
        <v>471.55796448031674</v>
      </c>
      <c r="I5" s="36">
        <f t="shared" ref="I5:I68" si="6">FI5</f>
        <v>35.366847336023753</v>
      </c>
      <c r="J5" s="36">
        <f t="shared" ref="J5:J68" si="7">FJ5</f>
        <v>35.366847336023753</v>
      </c>
      <c r="K5" s="5" t="s">
        <v>251</v>
      </c>
      <c r="L5" s="5" t="s">
        <v>252</v>
      </c>
      <c r="M5" s="5" t="s">
        <v>194</v>
      </c>
      <c r="N5" s="5" t="s">
        <v>192</v>
      </c>
      <c r="O5" s="4">
        <v>850</v>
      </c>
      <c r="P5" s="5" t="s">
        <v>189</v>
      </c>
      <c r="Q5" s="4" t="s">
        <v>201</v>
      </c>
      <c r="R5" s="4" t="s">
        <v>201</v>
      </c>
      <c r="S5" s="4" t="s">
        <v>201</v>
      </c>
      <c r="T5" s="4" t="s">
        <v>201</v>
      </c>
      <c r="U5" s="4" t="s">
        <v>201</v>
      </c>
      <c r="V5" s="4" t="s">
        <v>201</v>
      </c>
      <c r="W5" s="4" t="s">
        <v>201</v>
      </c>
      <c r="X5" s="4" t="s">
        <v>201</v>
      </c>
      <c r="Y5" s="4" t="s">
        <v>201</v>
      </c>
      <c r="Z5" s="9">
        <v>0.125</v>
      </c>
      <c r="AA5" s="4" t="s">
        <v>207</v>
      </c>
      <c r="AB5" s="4">
        <v>0</v>
      </c>
      <c r="AC5" s="4" t="s">
        <v>201</v>
      </c>
      <c r="AD5" s="4" t="s">
        <v>201</v>
      </c>
      <c r="AE5" s="4" t="s">
        <v>201</v>
      </c>
      <c r="AF5" s="5" t="s">
        <v>176</v>
      </c>
      <c r="AG5" s="5" t="s">
        <v>178</v>
      </c>
      <c r="AH5" s="12">
        <v>1.2971666666666666</v>
      </c>
      <c r="AI5" s="9">
        <v>-110.5215</v>
      </c>
      <c r="AJ5" s="37">
        <v>-4197</v>
      </c>
      <c r="AK5" s="4" t="s">
        <v>201</v>
      </c>
      <c r="AL5" s="4" t="s">
        <v>201</v>
      </c>
      <c r="AM5" s="4" t="s">
        <v>201</v>
      </c>
      <c r="AN5" s="4" t="s">
        <v>201</v>
      </c>
      <c r="AO5" s="5" t="s">
        <v>236</v>
      </c>
      <c r="AP5" s="4" t="s">
        <v>201</v>
      </c>
      <c r="AQ5" s="4" t="s">
        <v>201</v>
      </c>
      <c r="AR5" s="4" t="s">
        <v>201</v>
      </c>
      <c r="AS5" s="4" t="s">
        <v>201</v>
      </c>
      <c r="AT5" s="4" t="s">
        <v>201</v>
      </c>
      <c r="AU5" s="4" t="s">
        <v>201</v>
      </c>
      <c r="AV5" s="4" t="s">
        <v>201</v>
      </c>
      <c r="AW5" s="4" t="s">
        <v>201</v>
      </c>
      <c r="AX5" s="4">
        <v>1.8121959873086095</v>
      </c>
      <c r="AY5" s="4">
        <v>0.13</v>
      </c>
      <c r="AZ5" s="4" t="s">
        <v>203</v>
      </c>
      <c r="BA5" s="4" t="s">
        <v>201</v>
      </c>
      <c r="BB5" s="4">
        <v>-1.1159425758412371</v>
      </c>
      <c r="BC5" s="4">
        <v>0.24</v>
      </c>
      <c r="BD5" s="4" t="s">
        <v>203</v>
      </c>
      <c r="BE5" s="4" t="s">
        <v>201</v>
      </c>
      <c r="BF5" s="5" t="s">
        <v>181</v>
      </c>
      <c r="BG5" s="5" t="s">
        <v>182</v>
      </c>
      <c r="BH5" s="4">
        <v>0</v>
      </c>
      <c r="BI5" s="4" t="s">
        <v>201</v>
      </c>
      <c r="BJ5" s="4" t="s">
        <v>201</v>
      </c>
      <c r="BK5" s="4" t="s">
        <v>201</v>
      </c>
      <c r="BL5" s="4" t="s">
        <v>201</v>
      </c>
      <c r="BM5" s="4" t="s">
        <v>201</v>
      </c>
      <c r="BN5" s="4" t="s">
        <v>201</v>
      </c>
      <c r="BO5" s="4" t="s">
        <v>201</v>
      </c>
      <c r="BP5" s="4" t="s">
        <v>201</v>
      </c>
      <c r="BQ5" s="4" t="s">
        <v>201</v>
      </c>
      <c r="BR5" s="4" t="s">
        <v>201</v>
      </c>
      <c r="BS5" s="5" t="s">
        <v>183</v>
      </c>
      <c r="BT5" s="4">
        <v>-25.684685265911074</v>
      </c>
      <c r="BU5" s="5" t="s">
        <v>184</v>
      </c>
      <c r="BV5" s="4">
        <v>0.31</v>
      </c>
      <c r="BW5" s="4" t="s">
        <v>201</v>
      </c>
      <c r="BX5" s="4" t="s">
        <v>202</v>
      </c>
      <c r="BY5" s="4">
        <v>4.2</v>
      </c>
      <c r="BZ5" s="4" t="s">
        <v>201</v>
      </c>
      <c r="CA5" s="4" t="s">
        <v>201</v>
      </c>
      <c r="CB5" s="4">
        <v>-21.592560944027923</v>
      </c>
      <c r="CC5" s="4" t="s">
        <v>201</v>
      </c>
      <c r="CD5" s="4" t="s">
        <v>201</v>
      </c>
      <c r="CE5" s="4" t="s">
        <v>201</v>
      </c>
      <c r="CF5" s="4" t="s">
        <v>201</v>
      </c>
      <c r="CG5" s="4">
        <v>35</v>
      </c>
      <c r="CH5" s="4">
        <v>1</v>
      </c>
      <c r="CI5" s="4" t="s">
        <v>204</v>
      </c>
      <c r="CJ5" s="5" t="s">
        <v>185</v>
      </c>
      <c r="CK5" s="4">
        <v>0.82</v>
      </c>
      <c r="CL5" s="4">
        <v>0.1</v>
      </c>
      <c r="CM5" s="4">
        <v>0.1</v>
      </c>
      <c r="CN5" s="4" t="s">
        <v>204</v>
      </c>
      <c r="CO5" s="5" t="s">
        <v>186</v>
      </c>
      <c r="CP5" s="4" t="s">
        <v>201</v>
      </c>
      <c r="CQ5" s="4" t="s">
        <v>201</v>
      </c>
      <c r="CR5" s="4">
        <f t="shared" si="0"/>
        <v>21.925700268342567</v>
      </c>
      <c r="CS5" s="4" t="s">
        <v>201</v>
      </c>
      <c r="CT5" s="4" t="s">
        <v>201</v>
      </c>
      <c r="CU5" s="4" t="s">
        <v>201</v>
      </c>
      <c r="CV5" s="4" t="s">
        <v>211</v>
      </c>
      <c r="CW5" s="4">
        <v>0.69614727693972167</v>
      </c>
      <c r="CX5" s="4" t="s">
        <v>201</v>
      </c>
      <c r="CY5" s="4">
        <v>19.464096045851125</v>
      </c>
      <c r="CZ5" s="4" t="s">
        <v>201</v>
      </c>
      <c r="DA5" s="4" t="s">
        <v>201</v>
      </c>
      <c r="DB5" s="4" t="s">
        <v>201</v>
      </c>
      <c r="DC5" s="5" t="s">
        <v>190</v>
      </c>
      <c r="DD5" s="4" t="s">
        <v>205</v>
      </c>
      <c r="DE5" s="4" t="s">
        <v>201</v>
      </c>
      <c r="DF5" s="4" t="s">
        <v>201</v>
      </c>
      <c r="DG5" s="4" t="s">
        <v>201</v>
      </c>
      <c r="DH5" s="4" t="s">
        <v>201</v>
      </c>
      <c r="DI5" s="4">
        <v>24.387304490834008</v>
      </c>
      <c r="DJ5" s="4" t="s">
        <v>201</v>
      </c>
      <c r="DK5" s="4" t="s">
        <v>201</v>
      </c>
      <c r="DL5" s="4" t="s">
        <v>201</v>
      </c>
      <c r="DM5" s="4" t="s">
        <v>206</v>
      </c>
      <c r="DN5" s="4" t="s">
        <v>201</v>
      </c>
      <c r="DO5" s="4" t="s">
        <v>201</v>
      </c>
      <c r="DP5" s="4" t="s">
        <v>201</v>
      </c>
      <c r="DQ5" s="4" t="s">
        <v>201</v>
      </c>
      <c r="DR5" s="4" t="s">
        <v>201</v>
      </c>
      <c r="DS5" s="4" t="s">
        <v>201</v>
      </c>
      <c r="DT5" s="4" t="s">
        <v>201</v>
      </c>
      <c r="DU5" s="4" t="s">
        <v>201</v>
      </c>
      <c r="DV5" s="4" t="s">
        <v>201</v>
      </c>
      <c r="DW5" s="4" t="s">
        <v>201</v>
      </c>
      <c r="DX5" s="4" t="s">
        <v>201</v>
      </c>
      <c r="DY5" s="4" t="s">
        <v>201</v>
      </c>
      <c r="DZ5" s="4" t="s">
        <v>201</v>
      </c>
      <c r="EA5" s="4" t="s">
        <v>201</v>
      </c>
      <c r="EB5" s="4" t="s">
        <v>201</v>
      </c>
      <c r="EC5" s="4" t="s">
        <v>201</v>
      </c>
      <c r="ED5" s="4" t="s">
        <v>201</v>
      </c>
      <c r="EE5" s="4" t="s">
        <v>201</v>
      </c>
      <c r="EF5" s="4" t="s">
        <v>201</v>
      </c>
      <c r="EG5" s="4" t="s">
        <v>201</v>
      </c>
      <c r="EH5" s="4" t="s">
        <v>201</v>
      </c>
      <c r="EI5" s="4" t="s">
        <v>201</v>
      </c>
      <c r="EJ5" s="4" t="s">
        <v>201</v>
      </c>
      <c r="EK5" s="4" t="s">
        <v>201</v>
      </c>
      <c r="EL5" s="4" t="s">
        <v>201</v>
      </c>
      <c r="EM5" s="4" t="s">
        <v>201</v>
      </c>
      <c r="EN5" s="4" t="s">
        <v>201</v>
      </c>
      <c r="EO5" s="4" t="s">
        <v>201</v>
      </c>
      <c r="EP5" s="4" t="s">
        <v>201</v>
      </c>
      <c r="EQ5" s="4" t="s">
        <v>201</v>
      </c>
      <c r="ER5" s="4">
        <v>167.97479999999999</v>
      </c>
      <c r="ES5" s="4" t="s">
        <v>201</v>
      </c>
      <c r="ET5" s="4" t="s">
        <v>201</v>
      </c>
      <c r="EU5" s="4" t="s">
        <v>201</v>
      </c>
      <c r="EV5" s="5" t="s">
        <v>187</v>
      </c>
      <c r="EW5" s="4">
        <v>25</v>
      </c>
      <c r="EX5" s="4">
        <v>13.559627228778126</v>
      </c>
      <c r="EY5" s="4">
        <v>0.3072315258048075</v>
      </c>
      <c r="EZ5" s="4">
        <v>0.3072315258048075</v>
      </c>
      <c r="FA5" s="4" t="s">
        <v>201</v>
      </c>
      <c r="FB5" s="5" t="s">
        <v>250</v>
      </c>
      <c r="FC5" s="4" t="s">
        <v>201</v>
      </c>
      <c r="FD5" s="4" t="s">
        <v>201</v>
      </c>
      <c r="FE5" s="4" t="s">
        <v>201</v>
      </c>
      <c r="FF5" s="4" t="s">
        <v>201</v>
      </c>
      <c r="FG5" s="4" t="s">
        <v>217</v>
      </c>
      <c r="FH5" s="4">
        <v>471.55796448031674</v>
      </c>
      <c r="FI5" s="4">
        <f t="shared" ref="FI5:FI68" si="8">FH5*0.075</f>
        <v>35.366847336023753</v>
      </c>
      <c r="FJ5" s="4">
        <f t="shared" ref="FJ5:FJ68" si="9">FI5</f>
        <v>35.366847336023753</v>
      </c>
      <c r="FK5" s="4" t="s">
        <v>203</v>
      </c>
      <c r="FL5" s="4" t="s">
        <v>216</v>
      </c>
      <c r="FM5" s="4" t="s">
        <v>249</v>
      </c>
      <c r="FN5" s="4" t="s">
        <v>201</v>
      </c>
      <c r="FO5" s="4" t="s">
        <v>201</v>
      </c>
      <c r="FP5" s="4" t="s">
        <v>201</v>
      </c>
      <c r="FQ5" s="4" t="s">
        <v>201</v>
      </c>
      <c r="FR5" s="4" t="s">
        <v>201</v>
      </c>
      <c r="FS5" s="4" t="s">
        <v>201</v>
      </c>
      <c r="FT5" s="4" t="s">
        <v>200</v>
      </c>
      <c r="FU5" s="4" t="s">
        <v>212</v>
      </c>
      <c r="FV5" s="45" t="s">
        <v>275</v>
      </c>
      <c r="FW5" s="4" t="s">
        <v>201</v>
      </c>
      <c r="FX5" s="4" t="s">
        <v>201</v>
      </c>
      <c r="FY5" s="4" t="s">
        <v>247</v>
      </c>
    </row>
    <row r="6" spans="1:181" s="4" customFormat="1" x14ac:dyDescent="0.15">
      <c r="A6" s="3" t="s">
        <v>258</v>
      </c>
      <c r="B6" s="3" t="s">
        <v>193</v>
      </c>
      <c r="C6">
        <v>2017</v>
      </c>
      <c r="D6" s="22" t="str">
        <f t="shared" si="1"/>
        <v>10.1016/j.epsl.2017.03.016</v>
      </c>
      <c r="E6" s="22">
        <f t="shared" si="2"/>
        <v>120.43</v>
      </c>
      <c r="F6" s="22" t="str">
        <f t="shared" si="3"/>
        <v>NA</v>
      </c>
      <c r="G6" s="22" t="str">
        <f t="shared" si="4"/>
        <v>NA</v>
      </c>
      <c r="H6" s="22">
        <f t="shared" si="5"/>
        <v>406.40735033747575</v>
      </c>
      <c r="I6" s="36">
        <f t="shared" si="6"/>
        <v>30.480551275310681</v>
      </c>
      <c r="J6" s="36">
        <f t="shared" si="7"/>
        <v>30.480551275310681</v>
      </c>
      <c r="K6" s="5" t="s">
        <v>251</v>
      </c>
      <c r="L6" s="5" t="s">
        <v>252</v>
      </c>
      <c r="M6" s="5" t="s">
        <v>194</v>
      </c>
      <c r="N6" s="5" t="s">
        <v>192</v>
      </c>
      <c r="O6" s="4">
        <v>850</v>
      </c>
      <c r="P6" s="5" t="s">
        <v>189</v>
      </c>
      <c r="Q6" s="4" t="s">
        <v>201</v>
      </c>
      <c r="R6" s="4" t="s">
        <v>201</v>
      </c>
      <c r="S6" s="4" t="s">
        <v>201</v>
      </c>
      <c r="T6" s="4" t="s">
        <v>201</v>
      </c>
      <c r="U6" s="4" t="s">
        <v>201</v>
      </c>
      <c r="V6" s="4" t="s">
        <v>201</v>
      </c>
      <c r="W6" s="4" t="s">
        <v>201</v>
      </c>
      <c r="X6" s="4" t="s">
        <v>201</v>
      </c>
      <c r="Y6" s="4" t="s">
        <v>201</v>
      </c>
      <c r="Z6" s="9">
        <v>3.0750000000000002</v>
      </c>
      <c r="AA6" s="4" t="s">
        <v>207</v>
      </c>
      <c r="AB6" s="4">
        <v>120.43</v>
      </c>
      <c r="AC6" s="4" t="s">
        <v>201</v>
      </c>
      <c r="AD6" s="4" t="s">
        <v>201</v>
      </c>
      <c r="AE6" s="4" t="s">
        <v>201</v>
      </c>
      <c r="AF6" s="5" t="s">
        <v>176</v>
      </c>
      <c r="AG6" s="5" t="s">
        <v>178</v>
      </c>
      <c r="AH6" s="12">
        <v>1.2971666666666666</v>
      </c>
      <c r="AI6" s="9">
        <v>-110.5215</v>
      </c>
      <c r="AJ6" s="37">
        <v>-4197</v>
      </c>
      <c r="AK6" s="4" t="s">
        <v>201</v>
      </c>
      <c r="AL6" s="4" t="s">
        <v>201</v>
      </c>
      <c r="AM6" s="4" t="s">
        <v>201</v>
      </c>
      <c r="AN6" s="4" t="s">
        <v>201</v>
      </c>
      <c r="AO6" s="5" t="s">
        <v>236</v>
      </c>
      <c r="AP6" s="4" t="s">
        <v>201</v>
      </c>
      <c r="AQ6" s="4" t="s">
        <v>201</v>
      </c>
      <c r="AR6" s="4" t="s">
        <v>201</v>
      </c>
      <c r="AS6" s="4" t="s">
        <v>201</v>
      </c>
      <c r="AT6" s="4" t="s">
        <v>201</v>
      </c>
      <c r="AU6" s="4" t="s">
        <v>201</v>
      </c>
      <c r="AV6" s="4" t="s">
        <v>201</v>
      </c>
      <c r="AW6" s="4" t="s">
        <v>201</v>
      </c>
      <c r="AX6" s="4">
        <v>1.7141917695398214</v>
      </c>
      <c r="AY6" s="4">
        <v>0.13</v>
      </c>
      <c r="AZ6" s="4" t="s">
        <v>203</v>
      </c>
      <c r="BA6" s="4" t="s">
        <v>201</v>
      </c>
      <c r="BB6" s="4">
        <v>0.95159420139122353</v>
      </c>
      <c r="BC6" s="4">
        <v>0.24</v>
      </c>
      <c r="BD6" s="4" t="s">
        <v>203</v>
      </c>
      <c r="BE6" s="4" t="s">
        <v>201</v>
      </c>
      <c r="BF6" s="5" t="s">
        <v>181</v>
      </c>
      <c r="BG6" s="5" t="s">
        <v>182</v>
      </c>
      <c r="BH6" s="4">
        <v>0</v>
      </c>
      <c r="BI6" s="4" t="s">
        <v>201</v>
      </c>
      <c r="BJ6" s="4" t="s">
        <v>201</v>
      </c>
      <c r="BK6" s="4" t="s">
        <v>201</v>
      </c>
      <c r="BL6" s="4" t="s">
        <v>201</v>
      </c>
      <c r="BM6" s="4" t="s">
        <v>201</v>
      </c>
      <c r="BN6" s="4" t="s">
        <v>201</v>
      </c>
      <c r="BO6" s="4" t="s">
        <v>201</v>
      </c>
      <c r="BP6" s="4" t="s">
        <v>201</v>
      </c>
      <c r="BQ6" s="4" t="s">
        <v>201</v>
      </c>
      <c r="BR6" s="4" t="s">
        <v>201</v>
      </c>
      <c r="BS6" s="5" t="s">
        <v>183</v>
      </c>
      <c r="BT6" s="4">
        <v>-23.561781299125364</v>
      </c>
      <c r="BU6" s="5" t="s">
        <v>184</v>
      </c>
      <c r="BV6" s="4">
        <v>0.31</v>
      </c>
      <c r="BW6" s="4" t="s">
        <v>201</v>
      </c>
      <c r="BX6" s="4" t="s">
        <v>202</v>
      </c>
      <c r="BY6" s="4">
        <v>4.2</v>
      </c>
      <c r="BZ6" s="4" t="s">
        <v>201</v>
      </c>
      <c r="CA6" s="4" t="s">
        <v>201</v>
      </c>
      <c r="CB6" s="4">
        <v>-19.460740780581773</v>
      </c>
      <c r="CC6" s="4" t="s">
        <v>201</v>
      </c>
      <c r="CD6" s="4" t="s">
        <v>201</v>
      </c>
      <c r="CE6" s="4" t="s">
        <v>201</v>
      </c>
      <c r="CF6" s="4" t="s">
        <v>201</v>
      </c>
      <c r="CG6" s="4">
        <v>35</v>
      </c>
      <c r="CH6" s="4">
        <v>1</v>
      </c>
      <c r="CI6" s="4" t="s">
        <v>204</v>
      </c>
      <c r="CJ6" s="5" t="s">
        <v>185</v>
      </c>
      <c r="CK6" s="4">
        <v>0.82</v>
      </c>
      <c r="CL6" s="4">
        <v>0.1</v>
      </c>
      <c r="CM6" s="4">
        <v>0.1</v>
      </c>
      <c r="CN6" s="4" t="s">
        <v>204</v>
      </c>
      <c r="CO6" s="5" t="s">
        <v>186</v>
      </c>
      <c r="CP6" s="4" t="s">
        <v>201</v>
      </c>
      <c r="CQ6" s="4" t="s">
        <v>201</v>
      </c>
      <c r="CR6" s="4">
        <f t="shared" si="0"/>
        <v>22.800505000000001</v>
      </c>
      <c r="CS6" s="4" t="s">
        <v>201</v>
      </c>
      <c r="CT6" s="4" t="s">
        <v>201</v>
      </c>
      <c r="CU6" s="4" t="s">
        <v>201</v>
      </c>
      <c r="CV6" s="4" t="s">
        <v>211</v>
      </c>
      <c r="CW6" s="4">
        <v>0.8364643861293346</v>
      </c>
      <c r="CX6" s="4" t="s">
        <v>201</v>
      </c>
      <c r="CY6" s="4">
        <v>23.656210000000002</v>
      </c>
      <c r="CZ6" s="4" t="s">
        <v>201</v>
      </c>
      <c r="DA6" s="4" t="s">
        <v>201</v>
      </c>
      <c r="DB6" s="4" t="s">
        <v>201</v>
      </c>
      <c r="DC6" s="5" t="s">
        <v>190</v>
      </c>
      <c r="DD6" s="4" t="s">
        <v>205</v>
      </c>
      <c r="DE6" s="4" t="s">
        <v>201</v>
      </c>
      <c r="DF6" s="4" t="s">
        <v>201</v>
      </c>
      <c r="DG6" s="4" t="s">
        <v>201</v>
      </c>
      <c r="DH6" s="4" t="s">
        <v>201</v>
      </c>
      <c r="DI6" s="4">
        <v>21.944800000000001</v>
      </c>
      <c r="DJ6" s="4" t="s">
        <v>201</v>
      </c>
      <c r="DK6" s="4" t="s">
        <v>201</v>
      </c>
      <c r="DL6" s="4" t="s">
        <v>201</v>
      </c>
      <c r="DM6" s="4" t="s">
        <v>206</v>
      </c>
      <c r="DN6" s="4" t="s">
        <v>201</v>
      </c>
      <c r="DO6" s="4" t="s">
        <v>201</v>
      </c>
      <c r="DP6" s="4" t="s">
        <v>201</v>
      </c>
      <c r="DQ6" s="4" t="s">
        <v>201</v>
      </c>
      <c r="DR6" s="4" t="s">
        <v>201</v>
      </c>
      <c r="DS6" s="4" t="s">
        <v>201</v>
      </c>
      <c r="DT6" s="4" t="s">
        <v>201</v>
      </c>
      <c r="DU6" s="4" t="s">
        <v>201</v>
      </c>
      <c r="DV6" s="4" t="s">
        <v>201</v>
      </c>
      <c r="DW6" s="4" t="s">
        <v>201</v>
      </c>
      <c r="DX6" s="4" t="s">
        <v>201</v>
      </c>
      <c r="DY6" s="4" t="s">
        <v>201</v>
      </c>
      <c r="DZ6" s="4" t="s">
        <v>201</v>
      </c>
      <c r="EA6" s="4" t="s">
        <v>201</v>
      </c>
      <c r="EB6" s="4" t="s">
        <v>201</v>
      </c>
      <c r="EC6" s="4" t="s">
        <v>201</v>
      </c>
      <c r="ED6" s="4" t="s">
        <v>201</v>
      </c>
      <c r="EE6" s="4" t="s">
        <v>201</v>
      </c>
      <c r="EF6" s="4" t="s">
        <v>201</v>
      </c>
      <c r="EG6" s="4" t="s">
        <v>201</v>
      </c>
      <c r="EH6" s="4" t="s">
        <v>201</v>
      </c>
      <c r="EI6" s="4" t="s">
        <v>201</v>
      </c>
      <c r="EJ6" s="4" t="s">
        <v>201</v>
      </c>
      <c r="EK6" s="4" t="s">
        <v>201</v>
      </c>
      <c r="EL6" s="4" t="s">
        <v>201</v>
      </c>
      <c r="EM6" s="4" t="s">
        <v>201</v>
      </c>
      <c r="EN6" s="4" t="s">
        <v>201</v>
      </c>
      <c r="EO6" s="4" t="s">
        <v>201</v>
      </c>
      <c r="EP6" s="4" t="s">
        <v>201</v>
      </c>
      <c r="EQ6" s="4" t="s">
        <v>201</v>
      </c>
      <c r="ER6" s="4">
        <v>167.97479999999999</v>
      </c>
      <c r="ES6" s="4" t="s">
        <v>201</v>
      </c>
      <c r="ET6" s="4" t="s">
        <v>201</v>
      </c>
      <c r="EU6" s="4" t="s">
        <v>201</v>
      </c>
      <c r="EV6" s="5" t="s">
        <v>187</v>
      </c>
      <c r="EW6" s="4">
        <v>25</v>
      </c>
      <c r="EX6" s="4">
        <v>11.1557980595407</v>
      </c>
      <c r="EY6" s="4">
        <v>0.10655648268520501</v>
      </c>
      <c r="EZ6" s="4">
        <v>0.10655648268520501</v>
      </c>
      <c r="FA6" s="4" t="s">
        <v>201</v>
      </c>
      <c r="FB6" s="5" t="s">
        <v>250</v>
      </c>
      <c r="FC6" s="4" t="s">
        <v>201</v>
      </c>
      <c r="FD6" s="4" t="s">
        <v>201</v>
      </c>
      <c r="FE6" s="4" t="s">
        <v>201</v>
      </c>
      <c r="FF6" s="4" t="s">
        <v>201</v>
      </c>
      <c r="FG6" s="4" t="s">
        <v>217</v>
      </c>
      <c r="FH6" s="4">
        <v>406.40735033747575</v>
      </c>
      <c r="FI6" s="4">
        <f t="shared" si="8"/>
        <v>30.480551275310681</v>
      </c>
      <c r="FJ6" s="4">
        <f t="shared" si="9"/>
        <v>30.480551275310681</v>
      </c>
      <c r="FK6" s="4" t="s">
        <v>203</v>
      </c>
      <c r="FL6" s="4" t="s">
        <v>216</v>
      </c>
      <c r="FM6" s="4" t="s">
        <v>249</v>
      </c>
      <c r="FN6" s="4" t="s">
        <v>201</v>
      </c>
      <c r="FO6" s="4" t="s">
        <v>201</v>
      </c>
      <c r="FP6" s="4" t="s">
        <v>201</v>
      </c>
      <c r="FQ6" s="4" t="s">
        <v>201</v>
      </c>
      <c r="FR6" s="4" t="s">
        <v>201</v>
      </c>
      <c r="FS6" s="4" t="s">
        <v>201</v>
      </c>
      <c r="FT6" s="4" t="s">
        <v>200</v>
      </c>
      <c r="FU6" s="4" t="s">
        <v>212</v>
      </c>
      <c r="FV6" s="45" t="s">
        <v>276</v>
      </c>
      <c r="FW6" s="4" t="s">
        <v>201</v>
      </c>
      <c r="FX6" s="4" t="s">
        <v>201</v>
      </c>
      <c r="FY6" s="4" t="s">
        <v>247</v>
      </c>
    </row>
    <row r="7" spans="1:181" s="4" customFormat="1" x14ac:dyDescent="0.15">
      <c r="A7" s="3" t="s">
        <v>258</v>
      </c>
      <c r="B7" s="3" t="s">
        <v>193</v>
      </c>
      <c r="C7">
        <v>2017</v>
      </c>
      <c r="D7" s="22" t="str">
        <f t="shared" si="1"/>
        <v>10.1016/j.epsl.2017.03.016</v>
      </c>
      <c r="E7" s="22">
        <f t="shared" si="2"/>
        <v>272.8</v>
      </c>
      <c r="F7" s="22" t="str">
        <f t="shared" si="3"/>
        <v>NA</v>
      </c>
      <c r="G7" s="22" t="str">
        <f t="shared" si="4"/>
        <v>NA</v>
      </c>
      <c r="H7" s="22">
        <f t="shared" si="5"/>
        <v>434.6631729468956</v>
      </c>
      <c r="I7" s="36">
        <f t="shared" si="6"/>
        <v>32.59973797101717</v>
      </c>
      <c r="J7" s="36">
        <f t="shared" si="7"/>
        <v>32.59973797101717</v>
      </c>
      <c r="K7" s="5" t="s">
        <v>251</v>
      </c>
      <c r="L7" s="5" t="s">
        <v>252</v>
      </c>
      <c r="M7" s="5" t="s">
        <v>194</v>
      </c>
      <c r="N7" s="5" t="s">
        <v>192</v>
      </c>
      <c r="O7" s="4">
        <v>850</v>
      </c>
      <c r="P7" s="5" t="s">
        <v>189</v>
      </c>
      <c r="Q7" s="4" t="s">
        <v>201</v>
      </c>
      <c r="R7" s="4" t="s">
        <v>201</v>
      </c>
      <c r="S7" s="4" t="s">
        <v>201</v>
      </c>
      <c r="T7" s="4" t="s">
        <v>201</v>
      </c>
      <c r="U7" s="4" t="s">
        <v>201</v>
      </c>
      <c r="V7" s="4" t="s">
        <v>201</v>
      </c>
      <c r="W7" s="4" t="s">
        <v>201</v>
      </c>
      <c r="X7" s="4" t="s">
        <v>201</v>
      </c>
      <c r="Y7" s="4" t="s">
        <v>201</v>
      </c>
      <c r="Z7" s="9">
        <v>6.0750000000000002</v>
      </c>
      <c r="AA7" s="4" t="s">
        <v>207</v>
      </c>
      <c r="AB7" s="4">
        <v>272.8</v>
      </c>
      <c r="AC7" s="4" t="s">
        <v>201</v>
      </c>
      <c r="AD7" s="4" t="s">
        <v>201</v>
      </c>
      <c r="AE7" s="4" t="s">
        <v>201</v>
      </c>
      <c r="AF7" s="5" t="s">
        <v>176</v>
      </c>
      <c r="AG7" s="5" t="s">
        <v>178</v>
      </c>
      <c r="AH7" s="12">
        <v>1.2971666666666666</v>
      </c>
      <c r="AI7" s="9">
        <v>-110.5215</v>
      </c>
      <c r="AJ7" s="37">
        <v>-4197</v>
      </c>
      <c r="AK7" s="4" t="s">
        <v>201</v>
      </c>
      <c r="AL7" s="4" t="s">
        <v>201</v>
      </c>
      <c r="AM7" s="4" t="s">
        <v>201</v>
      </c>
      <c r="AN7" s="4" t="s">
        <v>201</v>
      </c>
      <c r="AO7" s="5" t="s">
        <v>236</v>
      </c>
      <c r="AP7" s="4" t="s">
        <v>201</v>
      </c>
      <c r="AQ7" s="4" t="s">
        <v>201</v>
      </c>
      <c r="AR7" s="4" t="s">
        <v>201</v>
      </c>
      <c r="AS7" s="4" t="s">
        <v>201</v>
      </c>
      <c r="AT7" s="4" t="s">
        <v>201</v>
      </c>
      <c r="AU7" s="4" t="s">
        <v>201</v>
      </c>
      <c r="AV7" s="4" t="s">
        <v>201</v>
      </c>
      <c r="AW7" s="4" t="s">
        <v>201</v>
      </c>
      <c r="AX7" s="4">
        <v>1.7438834093016067</v>
      </c>
      <c r="AY7" s="4">
        <v>0.13</v>
      </c>
      <c r="AZ7" s="4" t="s">
        <v>203</v>
      </c>
      <c r="BA7" s="4" t="s">
        <v>201</v>
      </c>
      <c r="BB7" s="4">
        <v>-0.73412576796080842</v>
      </c>
      <c r="BC7" s="4">
        <v>0.24</v>
      </c>
      <c r="BD7" s="4" t="s">
        <v>203</v>
      </c>
      <c r="BE7" s="4" t="s">
        <v>201</v>
      </c>
      <c r="BF7" s="5" t="s">
        <v>181</v>
      </c>
      <c r="BG7" s="5" t="s">
        <v>182</v>
      </c>
      <c r="BH7" s="4">
        <v>0</v>
      </c>
      <c r="BI7" s="4" t="s">
        <v>201</v>
      </c>
      <c r="BJ7" s="4" t="s">
        <v>201</v>
      </c>
      <c r="BK7" s="4" t="s">
        <v>201</v>
      </c>
      <c r="BL7" s="4" t="s">
        <v>201</v>
      </c>
      <c r="BM7" s="4" t="s">
        <v>201</v>
      </c>
      <c r="BN7" s="4" t="s">
        <v>201</v>
      </c>
      <c r="BO7" s="4" t="s">
        <v>201</v>
      </c>
      <c r="BP7" s="4" t="s">
        <v>201</v>
      </c>
      <c r="BQ7" s="4" t="s">
        <v>201</v>
      </c>
      <c r="BR7" s="4" t="s">
        <v>201</v>
      </c>
      <c r="BS7" s="5" t="s">
        <v>183</v>
      </c>
      <c r="BT7" s="4">
        <v>-24.867714219581067</v>
      </c>
      <c r="BU7" s="5" t="s">
        <v>184</v>
      </c>
      <c r="BV7" s="4">
        <v>0.31</v>
      </c>
      <c r="BW7" s="4" t="s">
        <v>201</v>
      </c>
      <c r="BX7" s="4" t="s">
        <v>202</v>
      </c>
      <c r="BY7" s="4">
        <v>4.2</v>
      </c>
      <c r="BZ7" s="4" t="s">
        <v>201</v>
      </c>
      <c r="CA7" s="4" t="s">
        <v>201</v>
      </c>
      <c r="CB7" s="4">
        <v>-20.772158619303354</v>
      </c>
      <c r="CC7" s="4" t="s">
        <v>201</v>
      </c>
      <c r="CD7" s="4" t="s">
        <v>201</v>
      </c>
      <c r="CE7" s="4" t="s">
        <v>201</v>
      </c>
      <c r="CF7" s="4" t="s">
        <v>201</v>
      </c>
      <c r="CG7" s="4">
        <v>35</v>
      </c>
      <c r="CH7" s="4">
        <v>1</v>
      </c>
      <c r="CI7" s="4" t="s">
        <v>204</v>
      </c>
      <c r="CJ7" s="5" t="s">
        <v>185</v>
      </c>
      <c r="CK7" s="4">
        <v>0.82</v>
      </c>
      <c r="CL7" s="4">
        <v>0.1</v>
      </c>
      <c r="CM7" s="4">
        <v>0.1</v>
      </c>
      <c r="CN7" s="4" t="s">
        <v>204</v>
      </c>
      <c r="CO7" s="5" t="s">
        <v>186</v>
      </c>
      <c r="CP7" s="4" t="s">
        <v>201</v>
      </c>
      <c r="CQ7" s="4" t="s">
        <v>201</v>
      </c>
      <c r="CR7" s="4">
        <f t="shared" si="0"/>
        <v>21.77078371538969</v>
      </c>
      <c r="CS7" s="4" t="s">
        <v>201</v>
      </c>
      <c r="CT7" s="4" t="s">
        <v>201</v>
      </c>
      <c r="CU7" s="4" t="s">
        <v>201</v>
      </c>
      <c r="CV7" s="4" t="s">
        <v>211</v>
      </c>
      <c r="CW7" s="4">
        <v>0.78833365502862307</v>
      </c>
      <c r="CX7" s="4" t="s">
        <v>201</v>
      </c>
      <c r="CY7" s="4">
        <v>22.218256277635145</v>
      </c>
      <c r="CZ7" s="4" t="s">
        <v>201</v>
      </c>
      <c r="DA7" s="4" t="s">
        <v>201</v>
      </c>
      <c r="DB7" s="4" t="s">
        <v>201</v>
      </c>
      <c r="DC7" s="5" t="s">
        <v>190</v>
      </c>
      <c r="DD7" s="4" t="s">
        <v>205</v>
      </c>
      <c r="DE7" s="4" t="s">
        <v>201</v>
      </c>
      <c r="DF7" s="4" t="s">
        <v>201</v>
      </c>
      <c r="DG7" s="4" t="s">
        <v>201</v>
      </c>
      <c r="DH7" s="4" t="s">
        <v>201</v>
      </c>
      <c r="DI7" s="4">
        <v>21.323311153144235</v>
      </c>
      <c r="DJ7" s="4" t="s">
        <v>201</v>
      </c>
      <c r="DK7" s="4" t="s">
        <v>201</v>
      </c>
      <c r="DL7" s="4" t="s">
        <v>201</v>
      </c>
      <c r="DM7" s="4" t="s">
        <v>206</v>
      </c>
      <c r="DN7" s="4" t="s">
        <v>201</v>
      </c>
      <c r="DO7" s="4" t="s">
        <v>201</v>
      </c>
      <c r="DP7" s="4" t="s">
        <v>201</v>
      </c>
      <c r="DQ7" s="4" t="s">
        <v>201</v>
      </c>
      <c r="DR7" s="4" t="s">
        <v>201</v>
      </c>
      <c r="DS7" s="4" t="s">
        <v>201</v>
      </c>
      <c r="DT7" s="4" t="s">
        <v>201</v>
      </c>
      <c r="DU7" s="4" t="s">
        <v>201</v>
      </c>
      <c r="DV7" s="4" t="s">
        <v>201</v>
      </c>
      <c r="DW7" s="4" t="s">
        <v>201</v>
      </c>
      <c r="DX7" s="4" t="s">
        <v>201</v>
      </c>
      <c r="DY7" s="4" t="s">
        <v>201</v>
      </c>
      <c r="DZ7" s="4" t="s">
        <v>201</v>
      </c>
      <c r="EA7" s="4" t="s">
        <v>201</v>
      </c>
      <c r="EB7" s="4" t="s">
        <v>201</v>
      </c>
      <c r="EC7" s="4" t="s">
        <v>201</v>
      </c>
      <c r="ED7" s="4" t="s">
        <v>201</v>
      </c>
      <c r="EE7" s="4" t="s">
        <v>201</v>
      </c>
      <c r="EF7" s="4" t="s">
        <v>201</v>
      </c>
      <c r="EG7" s="4" t="s">
        <v>201</v>
      </c>
      <c r="EH7" s="4" t="s">
        <v>201</v>
      </c>
      <c r="EI7" s="4" t="s">
        <v>201</v>
      </c>
      <c r="EJ7" s="4" t="s">
        <v>201</v>
      </c>
      <c r="EK7" s="4" t="s">
        <v>201</v>
      </c>
      <c r="EL7" s="4" t="s">
        <v>201</v>
      </c>
      <c r="EM7" s="4" t="s">
        <v>201</v>
      </c>
      <c r="EN7" s="4" t="s">
        <v>201</v>
      </c>
      <c r="EO7" s="4" t="s">
        <v>201</v>
      </c>
      <c r="EP7" s="4" t="s">
        <v>201</v>
      </c>
      <c r="EQ7" s="4" t="s">
        <v>201</v>
      </c>
      <c r="ER7" s="4">
        <v>167.97479999999999</v>
      </c>
      <c r="ES7" s="4" t="s">
        <v>201</v>
      </c>
      <c r="ET7" s="4" t="s">
        <v>201</v>
      </c>
      <c r="EU7" s="4" t="s">
        <v>201</v>
      </c>
      <c r="EV7" s="5" t="s">
        <v>187</v>
      </c>
      <c r="EW7" s="4">
        <v>25</v>
      </c>
      <c r="EX7" s="4">
        <v>12.363786348969619</v>
      </c>
      <c r="EY7" s="4">
        <v>5.5797785174283021E-2</v>
      </c>
      <c r="EZ7" s="4">
        <v>5.5797785174283021E-2</v>
      </c>
      <c r="FA7" s="4" t="s">
        <v>201</v>
      </c>
      <c r="FB7" s="5" t="s">
        <v>250</v>
      </c>
      <c r="FC7" s="4" t="s">
        <v>201</v>
      </c>
      <c r="FD7" s="4" t="s">
        <v>201</v>
      </c>
      <c r="FE7" s="4" t="s">
        <v>201</v>
      </c>
      <c r="FF7" s="4" t="s">
        <v>201</v>
      </c>
      <c r="FG7" s="4" t="s">
        <v>217</v>
      </c>
      <c r="FH7" s="4">
        <v>434.6631729468956</v>
      </c>
      <c r="FI7" s="4">
        <f t="shared" si="8"/>
        <v>32.59973797101717</v>
      </c>
      <c r="FJ7" s="4">
        <f t="shared" si="9"/>
        <v>32.59973797101717</v>
      </c>
      <c r="FK7" s="4" t="s">
        <v>203</v>
      </c>
      <c r="FL7" s="4" t="s">
        <v>216</v>
      </c>
      <c r="FM7" s="4" t="s">
        <v>249</v>
      </c>
      <c r="FN7" s="4" t="s">
        <v>201</v>
      </c>
      <c r="FO7" s="4" t="s">
        <v>201</v>
      </c>
      <c r="FP7" s="4" t="s">
        <v>201</v>
      </c>
      <c r="FQ7" s="4" t="s">
        <v>201</v>
      </c>
      <c r="FR7" s="4" t="s">
        <v>201</v>
      </c>
      <c r="FS7" s="4" t="s">
        <v>201</v>
      </c>
      <c r="FT7" s="4" t="s">
        <v>200</v>
      </c>
      <c r="FU7" s="4" t="s">
        <v>212</v>
      </c>
      <c r="FV7" s="45" t="s">
        <v>277</v>
      </c>
      <c r="FW7" s="4" t="s">
        <v>201</v>
      </c>
      <c r="FX7" s="4" t="s">
        <v>201</v>
      </c>
      <c r="FY7" s="4" t="s">
        <v>247</v>
      </c>
    </row>
    <row r="8" spans="1:181" s="4" customFormat="1" x14ac:dyDescent="0.15">
      <c r="A8" s="3" t="s">
        <v>258</v>
      </c>
      <c r="B8" s="3" t="s">
        <v>193</v>
      </c>
      <c r="C8">
        <v>2017</v>
      </c>
      <c r="D8" s="22" t="str">
        <f t="shared" si="1"/>
        <v>10.1016/j.epsl.2017.03.016</v>
      </c>
      <c r="E8" s="22">
        <f t="shared" si="2"/>
        <v>577.54999999999995</v>
      </c>
      <c r="F8" s="22" t="str">
        <f t="shared" si="3"/>
        <v>NA</v>
      </c>
      <c r="G8" s="22" t="str">
        <f t="shared" si="4"/>
        <v>NA</v>
      </c>
      <c r="H8" s="22">
        <f t="shared" si="5"/>
        <v>471.67330393587253</v>
      </c>
      <c r="I8" s="36">
        <f t="shared" si="6"/>
        <v>35.375497795190441</v>
      </c>
      <c r="J8" s="36">
        <f t="shared" si="7"/>
        <v>35.375497795190441</v>
      </c>
      <c r="K8" s="5" t="s">
        <v>251</v>
      </c>
      <c r="L8" s="5" t="s">
        <v>252</v>
      </c>
      <c r="M8" s="5" t="s">
        <v>194</v>
      </c>
      <c r="N8" s="5" t="s">
        <v>192</v>
      </c>
      <c r="O8" s="4">
        <v>850</v>
      </c>
      <c r="P8" s="5" t="s">
        <v>189</v>
      </c>
      <c r="Q8" s="4" t="s">
        <v>201</v>
      </c>
      <c r="R8" s="4" t="s">
        <v>201</v>
      </c>
      <c r="S8" s="4" t="s">
        <v>201</v>
      </c>
      <c r="T8" s="4" t="s">
        <v>201</v>
      </c>
      <c r="U8" s="4" t="s">
        <v>201</v>
      </c>
      <c r="V8" s="4" t="s">
        <v>201</v>
      </c>
      <c r="W8" s="4" t="s">
        <v>201</v>
      </c>
      <c r="X8" s="4" t="s">
        <v>201</v>
      </c>
      <c r="Y8" s="4" t="s">
        <v>201</v>
      </c>
      <c r="Z8" s="9">
        <v>12.074999999999999</v>
      </c>
      <c r="AA8" s="4" t="s">
        <v>207</v>
      </c>
      <c r="AB8" s="4">
        <v>577.54999999999995</v>
      </c>
      <c r="AC8" s="4" t="s">
        <v>201</v>
      </c>
      <c r="AD8" s="4" t="s">
        <v>201</v>
      </c>
      <c r="AE8" s="4" t="s">
        <v>201</v>
      </c>
      <c r="AF8" s="5" t="s">
        <v>176</v>
      </c>
      <c r="AG8" s="5" t="s">
        <v>178</v>
      </c>
      <c r="AH8" s="12">
        <v>1.2971666666666666</v>
      </c>
      <c r="AI8" s="9">
        <v>-110.5215</v>
      </c>
      <c r="AJ8" s="37">
        <v>-4197</v>
      </c>
      <c r="AK8" s="4" t="s">
        <v>201</v>
      </c>
      <c r="AL8" s="4" t="s">
        <v>201</v>
      </c>
      <c r="AM8" s="4" t="s">
        <v>201</v>
      </c>
      <c r="AN8" s="4" t="s">
        <v>201</v>
      </c>
      <c r="AO8" s="5" t="s">
        <v>236</v>
      </c>
      <c r="AP8" s="4" t="s">
        <v>201</v>
      </c>
      <c r="AQ8" s="4" t="s">
        <v>201</v>
      </c>
      <c r="AR8" s="4" t="s">
        <v>201</v>
      </c>
      <c r="AS8" s="4" t="s">
        <v>201</v>
      </c>
      <c r="AT8" s="4" t="s">
        <v>201</v>
      </c>
      <c r="AU8" s="4" t="s">
        <v>201</v>
      </c>
      <c r="AV8" s="4" t="s">
        <v>201</v>
      </c>
      <c r="AW8" s="4" t="s">
        <v>201</v>
      </c>
      <c r="AX8" s="4">
        <v>1.9358264227068729</v>
      </c>
      <c r="AY8" s="4">
        <v>0.13</v>
      </c>
      <c r="AZ8" s="4" t="s">
        <v>203</v>
      </c>
      <c r="BA8" s="4" t="s">
        <v>201</v>
      </c>
      <c r="BB8" s="4">
        <v>0.3806397600138185</v>
      </c>
      <c r="BC8" s="4">
        <v>0.24</v>
      </c>
      <c r="BD8" s="4" t="s">
        <v>203</v>
      </c>
      <c r="BE8" s="4" t="s">
        <v>201</v>
      </c>
      <c r="BF8" s="5" t="s">
        <v>181</v>
      </c>
      <c r="BG8" s="5" t="s">
        <v>182</v>
      </c>
      <c r="BH8" s="4">
        <v>0</v>
      </c>
      <c r="BI8" s="4" t="s">
        <v>201</v>
      </c>
      <c r="BJ8" s="4" t="s">
        <v>201</v>
      </c>
      <c r="BK8" s="4" t="s">
        <v>201</v>
      </c>
      <c r="BL8" s="4" t="s">
        <v>201</v>
      </c>
      <c r="BM8" s="4" t="s">
        <v>201</v>
      </c>
      <c r="BN8" s="4" t="s">
        <v>201</v>
      </c>
      <c r="BO8" s="4" t="s">
        <v>201</v>
      </c>
      <c r="BP8" s="4" t="s">
        <v>201</v>
      </c>
      <c r="BQ8" s="4" t="s">
        <v>201</v>
      </c>
      <c r="BR8" s="4" t="s">
        <v>201</v>
      </c>
      <c r="BS8" s="5" t="s">
        <v>183</v>
      </c>
      <c r="BT8" s="4">
        <v>-25.178476424080134</v>
      </c>
      <c r="BU8" s="5" t="s">
        <v>184</v>
      </c>
      <c r="BV8" s="4">
        <v>0.31</v>
      </c>
      <c r="BW8" s="4" t="s">
        <v>201</v>
      </c>
      <c r="BX8" s="4" t="s">
        <v>202</v>
      </c>
      <c r="BY8" s="4">
        <v>4.2</v>
      </c>
      <c r="BZ8" s="4" t="s">
        <v>201</v>
      </c>
      <c r="CA8" s="4" t="s">
        <v>201</v>
      </c>
      <c r="CB8" s="4">
        <v>-21.084226025061298</v>
      </c>
      <c r="CC8" s="4" t="s">
        <v>201</v>
      </c>
      <c r="CD8" s="4" t="s">
        <v>201</v>
      </c>
      <c r="CE8" s="4" t="s">
        <v>201</v>
      </c>
      <c r="CF8" s="4" t="s">
        <v>201</v>
      </c>
      <c r="CG8" s="4">
        <v>35</v>
      </c>
      <c r="CH8" s="4">
        <v>1</v>
      </c>
      <c r="CI8" s="4" t="s">
        <v>204</v>
      </c>
      <c r="CJ8" s="5" t="s">
        <v>185</v>
      </c>
      <c r="CK8" s="4">
        <v>0.82</v>
      </c>
      <c r="CL8" s="4">
        <v>0.1</v>
      </c>
      <c r="CM8" s="4">
        <v>0.1</v>
      </c>
      <c r="CN8" s="4" t="s">
        <v>204</v>
      </c>
      <c r="CO8" s="5" t="s">
        <v>186</v>
      </c>
      <c r="CP8" s="4" t="s">
        <v>201</v>
      </c>
      <c r="CQ8" s="4" t="s">
        <v>201</v>
      </c>
      <c r="CR8" s="4">
        <f t="shared" si="0"/>
        <v>22.814880000000002</v>
      </c>
      <c r="CS8" s="4" t="s">
        <v>201</v>
      </c>
      <c r="CT8" s="4" t="s">
        <v>201</v>
      </c>
      <c r="CU8" s="4" t="s">
        <v>201</v>
      </c>
      <c r="CV8" s="4" t="s">
        <v>211</v>
      </c>
      <c r="CW8" s="4">
        <v>0.83209030660061578</v>
      </c>
      <c r="CX8" s="4" t="s">
        <v>201</v>
      </c>
      <c r="CY8" s="4">
        <v>23.52553</v>
      </c>
      <c r="CZ8" s="4" t="s">
        <v>201</v>
      </c>
      <c r="DA8" s="4" t="s">
        <v>201</v>
      </c>
      <c r="DB8" s="4" t="s">
        <v>201</v>
      </c>
      <c r="DC8" s="5" t="s">
        <v>190</v>
      </c>
      <c r="DD8" s="4" t="s">
        <v>205</v>
      </c>
      <c r="DE8" s="4" t="s">
        <v>201</v>
      </c>
      <c r="DF8" s="4" t="s">
        <v>201</v>
      </c>
      <c r="DG8" s="4" t="s">
        <v>201</v>
      </c>
      <c r="DH8" s="4" t="s">
        <v>201</v>
      </c>
      <c r="DI8" s="4">
        <v>22.104230000000001</v>
      </c>
      <c r="DJ8" s="4" t="s">
        <v>201</v>
      </c>
      <c r="DK8" s="4" t="s">
        <v>201</v>
      </c>
      <c r="DL8" s="4" t="s">
        <v>201</v>
      </c>
      <c r="DM8" s="4" t="s">
        <v>206</v>
      </c>
      <c r="DN8" s="4" t="s">
        <v>201</v>
      </c>
      <c r="DO8" s="4" t="s">
        <v>201</v>
      </c>
      <c r="DP8" s="4" t="s">
        <v>201</v>
      </c>
      <c r="DQ8" s="4" t="s">
        <v>201</v>
      </c>
      <c r="DR8" s="4" t="s">
        <v>201</v>
      </c>
      <c r="DS8" s="4" t="s">
        <v>201</v>
      </c>
      <c r="DT8" s="4" t="s">
        <v>201</v>
      </c>
      <c r="DU8" s="4" t="s">
        <v>201</v>
      </c>
      <c r="DV8" s="4" t="s">
        <v>201</v>
      </c>
      <c r="DW8" s="4" t="s">
        <v>201</v>
      </c>
      <c r="DX8" s="4" t="s">
        <v>201</v>
      </c>
      <c r="DY8" s="4" t="s">
        <v>201</v>
      </c>
      <c r="DZ8" s="4" t="s">
        <v>201</v>
      </c>
      <c r="EA8" s="4" t="s">
        <v>201</v>
      </c>
      <c r="EB8" s="4" t="s">
        <v>201</v>
      </c>
      <c r="EC8" s="4" t="s">
        <v>201</v>
      </c>
      <c r="ED8" s="4" t="s">
        <v>201</v>
      </c>
      <c r="EE8" s="4" t="s">
        <v>201</v>
      </c>
      <c r="EF8" s="4" t="s">
        <v>201</v>
      </c>
      <c r="EG8" s="4" t="s">
        <v>201</v>
      </c>
      <c r="EH8" s="4" t="s">
        <v>201</v>
      </c>
      <c r="EI8" s="4" t="s">
        <v>201</v>
      </c>
      <c r="EJ8" s="4" t="s">
        <v>201</v>
      </c>
      <c r="EK8" s="4" t="s">
        <v>201</v>
      </c>
      <c r="EL8" s="4" t="s">
        <v>201</v>
      </c>
      <c r="EM8" s="4" t="s">
        <v>201</v>
      </c>
      <c r="EN8" s="4" t="s">
        <v>201</v>
      </c>
      <c r="EO8" s="4" t="s">
        <v>201</v>
      </c>
      <c r="EP8" s="4" t="s">
        <v>201</v>
      </c>
      <c r="EQ8" s="4" t="s">
        <v>201</v>
      </c>
      <c r="ER8" s="4">
        <v>167.97479999999999</v>
      </c>
      <c r="ES8" s="4" t="s">
        <v>201</v>
      </c>
      <c r="ET8" s="4" t="s">
        <v>201</v>
      </c>
      <c r="EU8" s="4" t="s">
        <v>201</v>
      </c>
      <c r="EV8" s="5" t="s">
        <v>187</v>
      </c>
      <c r="EW8" s="4">
        <v>25</v>
      </c>
      <c r="EX8" s="4">
        <v>13.063739770970528</v>
      </c>
      <c r="EY8" s="4">
        <v>8.8661965234937412E-2</v>
      </c>
      <c r="EZ8" s="4">
        <v>8.8661965234937412E-2</v>
      </c>
      <c r="FA8" s="4" t="s">
        <v>201</v>
      </c>
      <c r="FB8" s="5" t="s">
        <v>250</v>
      </c>
      <c r="FC8" s="4" t="s">
        <v>201</v>
      </c>
      <c r="FD8" s="4" t="s">
        <v>201</v>
      </c>
      <c r="FE8" s="4" t="s">
        <v>201</v>
      </c>
      <c r="FF8" s="4" t="s">
        <v>201</v>
      </c>
      <c r="FG8" s="4" t="s">
        <v>217</v>
      </c>
      <c r="FH8" s="4">
        <v>471.67330393587253</v>
      </c>
      <c r="FI8" s="4">
        <f t="shared" si="8"/>
        <v>35.375497795190441</v>
      </c>
      <c r="FJ8" s="4">
        <f t="shared" si="9"/>
        <v>35.375497795190441</v>
      </c>
      <c r="FK8" s="4" t="s">
        <v>203</v>
      </c>
      <c r="FL8" s="4" t="s">
        <v>216</v>
      </c>
      <c r="FM8" s="4" t="s">
        <v>249</v>
      </c>
      <c r="FN8" s="4" t="s">
        <v>201</v>
      </c>
      <c r="FO8" s="4" t="s">
        <v>201</v>
      </c>
      <c r="FP8" s="4" t="s">
        <v>201</v>
      </c>
      <c r="FQ8" s="4" t="s">
        <v>201</v>
      </c>
      <c r="FR8" s="4" t="s">
        <v>201</v>
      </c>
      <c r="FS8" s="4" t="s">
        <v>201</v>
      </c>
      <c r="FT8" s="4" t="s">
        <v>200</v>
      </c>
      <c r="FU8" s="4" t="s">
        <v>212</v>
      </c>
      <c r="FV8" s="45" t="s">
        <v>278</v>
      </c>
      <c r="FW8" s="4" t="s">
        <v>201</v>
      </c>
      <c r="FX8" s="4" t="s">
        <v>201</v>
      </c>
      <c r="FY8" s="4" t="s">
        <v>247</v>
      </c>
    </row>
    <row r="9" spans="1:181" s="4" customFormat="1" x14ac:dyDescent="0.15">
      <c r="A9" s="3" t="s">
        <v>258</v>
      </c>
      <c r="B9" s="3" t="s">
        <v>193</v>
      </c>
      <c r="C9">
        <v>2017</v>
      </c>
      <c r="D9" s="22" t="str">
        <f t="shared" si="1"/>
        <v>10.1016/j.epsl.2017.03.016</v>
      </c>
      <c r="E9" s="22">
        <f t="shared" si="2"/>
        <v>724.84</v>
      </c>
      <c r="F9" s="22" t="str">
        <f t="shared" si="3"/>
        <v>NA</v>
      </c>
      <c r="G9" s="22" t="str">
        <f t="shared" si="4"/>
        <v>NA</v>
      </c>
      <c r="H9" s="22">
        <f t="shared" si="5"/>
        <v>434.77869835152143</v>
      </c>
      <c r="I9" s="36">
        <f t="shared" si="6"/>
        <v>32.608402376364104</v>
      </c>
      <c r="J9" s="36">
        <f t="shared" si="7"/>
        <v>32.608402376364104</v>
      </c>
      <c r="K9" s="5" t="s">
        <v>251</v>
      </c>
      <c r="L9" s="5" t="s">
        <v>252</v>
      </c>
      <c r="M9" s="5" t="s">
        <v>194</v>
      </c>
      <c r="N9" s="5" t="s">
        <v>192</v>
      </c>
      <c r="O9" s="4">
        <v>850</v>
      </c>
      <c r="P9" s="5" t="s">
        <v>189</v>
      </c>
      <c r="Q9" s="4" t="s">
        <v>201</v>
      </c>
      <c r="R9" s="4" t="s">
        <v>201</v>
      </c>
      <c r="S9" s="4" t="s">
        <v>201</v>
      </c>
      <c r="T9" s="4" t="s">
        <v>201</v>
      </c>
      <c r="U9" s="4" t="s">
        <v>201</v>
      </c>
      <c r="V9" s="4" t="s">
        <v>201</v>
      </c>
      <c r="W9" s="4" t="s">
        <v>201</v>
      </c>
      <c r="X9" s="4" t="s">
        <v>201</v>
      </c>
      <c r="Y9" s="4" t="s">
        <v>201</v>
      </c>
      <c r="Z9" s="9">
        <v>14.975</v>
      </c>
      <c r="AA9" s="4" t="s">
        <v>207</v>
      </c>
      <c r="AB9" s="4">
        <v>724.84</v>
      </c>
      <c r="AC9" s="4" t="s">
        <v>201</v>
      </c>
      <c r="AD9" s="4" t="s">
        <v>201</v>
      </c>
      <c r="AE9" s="4" t="s">
        <v>201</v>
      </c>
      <c r="AF9" s="5" t="s">
        <v>176</v>
      </c>
      <c r="AG9" s="5" t="s">
        <v>178</v>
      </c>
      <c r="AH9" s="12">
        <v>1.2971666666666666</v>
      </c>
      <c r="AI9" s="9">
        <v>-110.5215</v>
      </c>
      <c r="AJ9" s="37">
        <v>-4197</v>
      </c>
      <c r="AK9" s="4" t="s">
        <v>201</v>
      </c>
      <c r="AL9" s="4" t="s">
        <v>201</v>
      </c>
      <c r="AM9" s="4" t="s">
        <v>201</v>
      </c>
      <c r="AN9" s="4" t="s">
        <v>201</v>
      </c>
      <c r="AO9" s="5" t="s">
        <v>236</v>
      </c>
      <c r="AP9" s="4" t="s">
        <v>201</v>
      </c>
      <c r="AQ9" s="4" t="s">
        <v>201</v>
      </c>
      <c r="AR9" s="4" t="s">
        <v>201</v>
      </c>
      <c r="AS9" s="4" t="s">
        <v>201</v>
      </c>
      <c r="AT9" s="4" t="s">
        <v>201</v>
      </c>
      <c r="AU9" s="4" t="s">
        <v>201</v>
      </c>
      <c r="AV9" s="4" t="s">
        <v>201</v>
      </c>
      <c r="AW9" s="4" t="s">
        <v>201</v>
      </c>
      <c r="AX9" s="4">
        <v>1.8330723568272524</v>
      </c>
      <c r="AY9" s="4">
        <v>0.13</v>
      </c>
      <c r="AZ9" s="4" t="s">
        <v>203</v>
      </c>
      <c r="BA9" s="4" t="s">
        <v>201</v>
      </c>
      <c r="BB9" s="4">
        <v>0.54772280255937267</v>
      </c>
      <c r="BC9" s="4">
        <v>0.24</v>
      </c>
      <c r="BD9" s="4" t="s">
        <v>203</v>
      </c>
      <c r="BE9" s="4" t="s">
        <v>201</v>
      </c>
      <c r="BF9" s="5" t="s">
        <v>181</v>
      </c>
      <c r="BG9" s="5" t="s">
        <v>182</v>
      </c>
      <c r="BH9" s="4">
        <v>0</v>
      </c>
      <c r="BI9" s="4" t="s">
        <v>201</v>
      </c>
      <c r="BJ9" s="4" t="s">
        <v>201</v>
      </c>
      <c r="BK9" s="4" t="s">
        <v>201</v>
      </c>
      <c r="BL9" s="4" t="s">
        <v>201</v>
      </c>
      <c r="BM9" s="4" t="s">
        <v>201</v>
      </c>
      <c r="BN9" s="4" t="s">
        <v>201</v>
      </c>
      <c r="BO9" s="4" t="s">
        <v>201</v>
      </c>
      <c r="BP9" s="4" t="s">
        <v>201</v>
      </c>
      <c r="BQ9" s="4" t="s">
        <v>201</v>
      </c>
      <c r="BR9" s="4" t="s">
        <v>201</v>
      </c>
      <c r="BS9" s="5" t="s">
        <v>183</v>
      </c>
      <c r="BT9" s="4">
        <v>-24.520489035024305</v>
      </c>
      <c r="BU9" s="5" t="s">
        <v>184</v>
      </c>
      <c r="BV9" s="4">
        <v>0.31</v>
      </c>
      <c r="BW9" s="4" t="s">
        <v>201</v>
      </c>
      <c r="BX9" s="4" t="s">
        <v>202</v>
      </c>
      <c r="BY9" s="4">
        <v>4.2</v>
      </c>
      <c r="BZ9" s="4" t="s">
        <v>201</v>
      </c>
      <c r="CA9" s="4" t="s">
        <v>201</v>
      </c>
      <c r="CB9" s="4">
        <v>-20.423475088971372</v>
      </c>
      <c r="CC9" s="4" t="s">
        <v>201</v>
      </c>
      <c r="CD9" s="4" t="s">
        <v>201</v>
      </c>
      <c r="CE9" s="4" t="s">
        <v>201</v>
      </c>
      <c r="CF9" s="4" t="s">
        <v>201</v>
      </c>
      <c r="CG9" s="4">
        <v>35</v>
      </c>
      <c r="CH9" s="4">
        <v>1</v>
      </c>
      <c r="CI9" s="4" t="s">
        <v>204</v>
      </c>
      <c r="CJ9" s="5" t="s">
        <v>185</v>
      </c>
      <c r="CK9" s="4">
        <v>0.82</v>
      </c>
      <c r="CL9" s="4">
        <v>0.1</v>
      </c>
      <c r="CM9" s="4">
        <v>0.1</v>
      </c>
      <c r="CN9" s="4" t="s">
        <v>204</v>
      </c>
      <c r="CO9" s="5" t="s">
        <v>186</v>
      </c>
      <c r="CP9" s="4" t="s">
        <v>201</v>
      </c>
      <c r="CQ9" s="4" t="s">
        <v>201</v>
      </c>
      <c r="CR9" s="4">
        <f t="shared" si="0"/>
        <v>22.338355</v>
      </c>
      <c r="CS9" s="4" t="s">
        <v>201</v>
      </c>
      <c r="CT9" s="4" t="s">
        <v>201</v>
      </c>
      <c r="CU9" s="4" t="s">
        <v>201</v>
      </c>
      <c r="CV9" s="4" t="s">
        <v>211</v>
      </c>
      <c r="CW9" s="4">
        <v>0.83255321997590026</v>
      </c>
      <c r="CX9" s="4" t="s">
        <v>201</v>
      </c>
      <c r="CY9" s="4">
        <v>23.539359999999999</v>
      </c>
      <c r="CZ9" s="4" t="s">
        <v>201</v>
      </c>
      <c r="DA9" s="4" t="s">
        <v>201</v>
      </c>
      <c r="DB9" s="4" t="s">
        <v>201</v>
      </c>
      <c r="DC9" s="5" t="s">
        <v>190</v>
      </c>
      <c r="DD9" s="4" t="s">
        <v>205</v>
      </c>
      <c r="DE9" s="4" t="s">
        <v>201</v>
      </c>
      <c r="DF9" s="4" t="s">
        <v>201</v>
      </c>
      <c r="DG9" s="4" t="s">
        <v>201</v>
      </c>
      <c r="DH9" s="4" t="s">
        <v>201</v>
      </c>
      <c r="DI9" s="4">
        <v>21.137350000000001</v>
      </c>
      <c r="DJ9" s="4" t="s">
        <v>201</v>
      </c>
      <c r="DK9" s="4" t="s">
        <v>201</v>
      </c>
      <c r="DL9" s="4" t="s">
        <v>201</v>
      </c>
      <c r="DM9" s="4" t="s">
        <v>206</v>
      </c>
      <c r="DN9" s="4" t="s">
        <v>201</v>
      </c>
      <c r="DO9" s="4" t="s">
        <v>201</v>
      </c>
      <c r="DP9" s="4" t="s">
        <v>201</v>
      </c>
      <c r="DQ9" s="4" t="s">
        <v>201</v>
      </c>
      <c r="DR9" s="4" t="s">
        <v>201</v>
      </c>
      <c r="DS9" s="4" t="s">
        <v>201</v>
      </c>
      <c r="DT9" s="4" t="s">
        <v>201</v>
      </c>
      <c r="DU9" s="4" t="s">
        <v>201</v>
      </c>
      <c r="DV9" s="4" t="s">
        <v>201</v>
      </c>
      <c r="DW9" s="4" t="s">
        <v>201</v>
      </c>
      <c r="DX9" s="4" t="s">
        <v>201</v>
      </c>
      <c r="DY9" s="4" t="s">
        <v>201</v>
      </c>
      <c r="DZ9" s="4" t="s">
        <v>201</v>
      </c>
      <c r="EA9" s="4" t="s">
        <v>201</v>
      </c>
      <c r="EB9" s="4" t="s">
        <v>201</v>
      </c>
      <c r="EC9" s="4" t="s">
        <v>201</v>
      </c>
      <c r="ED9" s="4" t="s">
        <v>201</v>
      </c>
      <c r="EE9" s="4" t="s">
        <v>201</v>
      </c>
      <c r="EF9" s="4" t="s">
        <v>201</v>
      </c>
      <c r="EG9" s="4" t="s">
        <v>201</v>
      </c>
      <c r="EH9" s="4" t="s">
        <v>201</v>
      </c>
      <c r="EI9" s="4" t="s">
        <v>201</v>
      </c>
      <c r="EJ9" s="4" t="s">
        <v>201</v>
      </c>
      <c r="EK9" s="4" t="s">
        <v>201</v>
      </c>
      <c r="EL9" s="4" t="s">
        <v>201</v>
      </c>
      <c r="EM9" s="4" t="s">
        <v>201</v>
      </c>
      <c r="EN9" s="4" t="s">
        <v>201</v>
      </c>
      <c r="EO9" s="4" t="s">
        <v>201</v>
      </c>
      <c r="EP9" s="4" t="s">
        <v>201</v>
      </c>
      <c r="EQ9" s="4" t="s">
        <v>201</v>
      </c>
      <c r="ER9" s="4">
        <v>167.97479999999999</v>
      </c>
      <c r="ES9" s="4" t="s">
        <v>201</v>
      </c>
      <c r="ET9" s="4" t="s">
        <v>201</v>
      </c>
      <c r="EU9" s="4" t="s">
        <v>201</v>
      </c>
      <c r="EV9" s="5" t="s">
        <v>187</v>
      </c>
      <c r="EW9" s="4">
        <v>25</v>
      </c>
      <c r="EX9" s="4">
        <v>12.267554839139772</v>
      </c>
      <c r="EY9" s="4">
        <v>0.14972129085522035</v>
      </c>
      <c r="EZ9" s="4">
        <v>0.14972129085522035</v>
      </c>
      <c r="FA9" s="4" t="s">
        <v>201</v>
      </c>
      <c r="FB9" s="5" t="s">
        <v>250</v>
      </c>
      <c r="FC9" s="4" t="s">
        <v>201</v>
      </c>
      <c r="FD9" s="4" t="s">
        <v>201</v>
      </c>
      <c r="FE9" s="4" t="s">
        <v>201</v>
      </c>
      <c r="FF9" s="4" t="s">
        <v>201</v>
      </c>
      <c r="FG9" s="4" t="s">
        <v>217</v>
      </c>
      <c r="FH9" s="4">
        <v>434.77869835152143</v>
      </c>
      <c r="FI9" s="4">
        <f t="shared" si="8"/>
        <v>32.608402376364104</v>
      </c>
      <c r="FJ9" s="4">
        <f t="shared" si="9"/>
        <v>32.608402376364104</v>
      </c>
      <c r="FK9" s="4" t="s">
        <v>203</v>
      </c>
      <c r="FL9" s="4" t="s">
        <v>216</v>
      </c>
      <c r="FM9" s="4" t="s">
        <v>249</v>
      </c>
      <c r="FN9" s="4" t="s">
        <v>201</v>
      </c>
      <c r="FO9" s="4" t="s">
        <v>201</v>
      </c>
      <c r="FP9" s="4" t="s">
        <v>201</v>
      </c>
      <c r="FQ9" s="4" t="s">
        <v>201</v>
      </c>
      <c r="FR9" s="4" t="s">
        <v>201</v>
      </c>
      <c r="FS9" s="4" t="s">
        <v>201</v>
      </c>
      <c r="FT9" s="4" t="s">
        <v>200</v>
      </c>
      <c r="FU9" s="4" t="s">
        <v>212</v>
      </c>
      <c r="FV9" s="45" t="s">
        <v>279</v>
      </c>
      <c r="FW9" s="4" t="s">
        <v>201</v>
      </c>
      <c r="FX9" s="4" t="s">
        <v>201</v>
      </c>
      <c r="FY9" s="4" t="s">
        <v>247</v>
      </c>
    </row>
    <row r="10" spans="1:181" s="4" customFormat="1" x14ac:dyDescent="0.15">
      <c r="A10" s="3" t="s">
        <v>258</v>
      </c>
      <c r="B10" s="3" t="s">
        <v>193</v>
      </c>
      <c r="C10">
        <v>2017</v>
      </c>
      <c r="D10" s="22" t="str">
        <f t="shared" si="1"/>
        <v>10.1016/j.epsl.2017.03.016</v>
      </c>
      <c r="E10" s="22">
        <f t="shared" si="2"/>
        <v>877.22</v>
      </c>
      <c r="F10" s="22" t="str">
        <f t="shared" si="3"/>
        <v>NA</v>
      </c>
      <c r="G10" s="22" t="str">
        <f t="shared" si="4"/>
        <v>NA</v>
      </c>
      <c r="H10" s="22">
        <f t="shared" si="5"/>
        <v>396.91596045595537</v>
      </c>
      <c r="I10" s="36">
        <f t="shared" si="6"/>
        <v>29.768697034196652</v>
      </c>
      <c r="J10" s="36">
        <f t="shared" si="7"/>
        <v>29.768697034196652</v>
      </c>
      <c r="K10" s="5" t="s">
        <v>251</v>
      </c>
      <c r="L10" s="5" t="s">
        <v>252</v>
      </c>
      <c r="M10" s="5" t="s">
        <v>194</v>
      </c>
      <c r="N10" s="5" t="s">
        <v>192</v>
      </c>
      <c r="O10" s="4">
        <v>850</v>
      </c>
      <c r="P10" s="5" t="s">
        <v>189</v>
      </c>
      <c r="Q10" s="4" t="s">
        <v>201</v>
      </c>
      <c r="R10" s="4" t="s">
        <v>201</v>
      </c>
      <c r="S10" s="4" t="s">
        <v>201</v>
      </c>
      <c r="T10" s="4" t="s">
        <v>201</v>
      </c>
      <c r="U10" s="4" t="s">
        <v>201</v>
      </c>
      <c r="V10" s="4" t="s">
        <v>201</v>
      </c>
      <c r="W10" s="4" t="s">
        <v>201</v>
      </c>
      <c r="X10" s="4" t="s">
        <v>201</v>
      </c>
      <c r="Y10" s="4" t="s">
        <v>201</v>
      </c>
      <c r="Z10" s="9">
        <v>17.975000000000001</v>
      </c>
      <c r="AA10" s="4" t="s">
        <v>207</v>
      </c>
      <c r="AB10" s="4">
        <v>877.22</v>
      </c>
      <c r="AC10" s="4" t="s">
        <v>201</v>
      </c>
      <c r="AD10" s="4" t="s">
        <v>201</v>
      </c>
      <c r="AE10" s="4" t="s">
        <v>201</v>
      </c>
      <c r="AF10" s="5" t="s">
        <v>176</v>
      </c>
      <c r="AG10" s="5" t="s">
        <v>178</v>
      </c>
      <c r="AH10" s="12">
        <v>1.2971666666666666</v>
      </c>
      <c r="AI10" s="9">
        <v>-110.5215</v>
      </c>
      <c r="AJ10" s="37">
        <v>-4197</v>
      </c>
      <c r="AK10" s="4" t="s">
        <v>201</v>
      </c>
      <c r="AL10" s="4" t="s">
        <v>201</v>
      </c>
      <c r="AM10" s="4" t="s">
        <v>201</v>
      </c>
      <c r="AN10" s="4" t="s">
        <v>201</v>
      </c>
      <c r="AO10" s="5" t="s">
        <v>236</v>
      </c>
      <c r="AP10" s="4" t="s">
        <v>201</v>
      </c>
      <c r="AQ10" s="4" t="s">
        <v>201</v>
      </c>
      <c r="AR10" s="4" t="s">
        <v>201</v>
      </c>
      <c r="AS10" s="4" t="s">
        <v>201</v>
      </c>
      <c r="AT10" s="4" t="s">
        <v>201</v>
      </c>
      <c r="AU10" s="4" t="s">
        <v>201</v>
      </c>
      <c r="AV10" s="4" t="s">
        <v>201</v>
      </c>
      <c r="AW10" s="4" t="s">
        <v>201</v>
      </c>
      <c r="AX10" s="4">
        <v>1.5586011001725824</v>
      </c>
      <c r="AY10" s="4">
        <v>0.13</v>
      </c>
      <c r="AZ10" s="4" t="s">
        <v>203</v>
      </c>
      <c r="BA10" s="4" t="s">
        <v>201</v>
      </c>
      <c r="BB10" s="4">
        <v>0.66623042631003104</v>
      </c>
      <c r="BC10" s="4">
        <v>0.24</v>
      </c>
      <c r="BD10" s="4" t="s">
        <v>203</v>
      </c>
      <c r="BE10" s="4" t="s">
        <v>201</v>
      </c>
      <c r="BF10" s="5" t="s">
        <v>181</v>
      </c>
      <c r="BG10" s="5" t="s">
        <v>182</v>
      </c>
      <c r="BH10" s="4">
        <v>0</v>
      </c>
      <c r="BI10" s="4" t="s">
        <v>201</v>
      </c>
      <c r="BJ10" s="4" t="s">
        <v>201</v>
      </c>
      <c r="BK10" s="4" t="s">
        <v>201</v>
      </c>
      <c r="BL10" s="4" t="s">
        <v>201</v>
      </c>
      <c r="BM10" s="4" t="s">
        <v>201</v>
      </c>
      <c r="BN10" s="4" t="s">
        <v>201</v>
      </c>
      <c r="BO10" s="4" t="s">
        <v>201</v>
      </c>
      <c r="BP10" s="4" t="s">
        <v>201</v>
      </c>
      <c r="BQ10" s="4" t="s">
        <v>201</v>
      </c>
      <c r="BR10" s="4" t="s">
        <v>201</v>
      </c>
      <c r="BS10" s="5" t="s">
        <v>183</v>
      </c>
      <c r="BT10" s="4">
        <v>-24.101444336882864</v>
      </c>
      <c r="BU10" s="5" t="s">
        <v>184</v>
      </c>
      <c r="BV10" s="4">
        <v>0.31</v>
      </c>
      <c r="BW10" s="4" t="s">
        <v>201</v>
      </c>
      <c r="BX10" s="4" t="s">
        <v>202</v>
      </c>
      <c r="BY10" s="4">
        <v>4.2</v>
      </c>
      <c r="BZ10" s="4" t="s">
        <v>201</v>
      </c>
      <c r="CA10" s="4" t="s">
        <v>201</v>
      </c>
      <c r="CB10" s="4">
        <v>-20.002670403097795</v>
      </c>
      <c r="CC10" s="4" t="s">
        <v>201</v>
      </c>
      <c r="CD10" s="4" t="s">
        <v>201</v>
      </c>
      <c r="CE10" s="4" t="s">
        <v>201</v>
      </c>
      <c r="CF10" s="4" t="s">
        <v>201</v>
      </c>
      <c r="CG10" s="4">
        <v>35</v>
      </c>
      <c r="CH10" s="4">
        <v>1</v>
      </c>
      <c r="CI10" s="4" t="s">
        <v>204</v>
      </c>
      <c r="CJ10" s="5" t="s">
        <v>185</v>
      </c>
      <c r="CK10" s="4">
        <v>0.82</v>
      </c>
      <c r="CL10" s="4">
        <v>0.1</v>
      </c>
      <c r="CM10" s="4">
        <v>0.1</v>
      </c>
      <c r="CN10" s="4" t="s">
        <v>204</v>
      </c>
      <c r="CO10" s="5" t="s">
        <v>186</v>
      </c>
      <c r="CP10" s="4" t="s">
        <v>201</v>
      </c>
      <c r="CQ10" s="4" t="s">
        <v>201</v>
      </c>
      <c r="CR10" s="4">
        <f t="shared" si="0"/>
        <v>21.356490000000001</v>
      </c>
      <c r="CS10" s="4" t="s">
        <v>201</v>
      </c>
      <c r="CT10" s="4" t="s">
        <v>201</v>
      </c>
      <c r="CU10" s="4" t="s">
        <v>201</v>
      </c>
      <c r="CV10" s="4" t="s">
        <v>211</v>
      </c>
      <c r="CW10" s="4">
        <v>0.78432822332306873</v>
      </c>
      <c r="CX10" s="4" t="s">
        <v>201</v>
      </c>
      <c r="CY10" s="4">
        <v>22.098590000000002</v>
      </c>
      <c r="CZ10" s="4" t="s">
        <v>201</v>
      </c>
      <c r="DA10" s="4" t="s">
        <v>201</v>
      </c>
      <c r="DB10" s="4" t="s">
        <v>201</v>
      </c>
      <c r="DC10" s="5" t="s">
        <v>190</v>
      </c>
      <c r="DD10" s="4" t="s">
        <v>205</v>
      </c>
      <c r="DE10" s="4" t="s">
        <v>201</v>
      </c>
      <c r="DF10" s="4" t="s">
        <v>201</v>
      </c>
      <c r="DG10" s="4" t="s">
        <v>201</v>
      </c>
      <c r="DH10" s="4" t="s">
        <v>201</v>
      </c>
      <c r="DI10" s="4">
        <v>20.61439</v>
      </c>
      <c r="DJ10" s="4" t="s">
        <v>201</v>
      </c>
      <c r="DK10" s="4" t="s">
        <v>201</v>
      </c>
      <c r="DL10" s="4" t="s">
        <v>201</v>
      </c>
      <c r="DM10" s="4" t="s">
        <v>206</v>
      </c>
      <c r="DN10" s="4" t="s">
        <v>201</v>
      </c>
      <c r="DO10" s="4" t="s">
        <v>201</v>
      </c>
      <c r="DP10" s="4" t="s">
        <v>201</v>
      </c>
      <c r="DQ10" s="4" t="s">
        <v>201</v>
      </c>
      <c r="DR10" s="4" t="s">
        <v>201</v>
      </c>
      <c r="DS10" s="4" t="s">
        <v>201</v>
      </c>
      <c r="DT10" s="4" t="s">
        <v>201</v>
      </c>
      <c r="DU10" s="4" t="s">
        <v>201</v>
      </c>
      <c r="DV10" s="4" t="s">
        <v>201</v>
      </c>
      <c r="DW10" s="4" t="s">
        <v>201</v>
      </c>
      <c r="DX10" s="4" t="s">
        <v>201</v>
      </c>
      <c r="DY10" s="4" t="s">
        <v>201</v>
      </c>
      <c r="DZ10" s="4" t="s">
        <v>201</v>
      </c>
      <c r="EA10" s="4" t="s">
        <v>201</v>
      </c>
      <c r="EB10" s="4" t="s">
        <v>201</v>
      </c>
      <c r="EC10" s="4" t="s">
        <v>201</v>
      </c>
      <c r="ED10" s="4" t="s">
        <v>201</v>
      </c>
      <c r="EE10" s="4" t="s">
        <v>201</v>
      </c>
      <c r="EF10" s="4" t="s">
        <v>201</v>
      </c>
      <c r="EG10" s="4" t="s">
        <v>201</v>
      </c>
      <c r="EH10" s="4" t="s">
        <v>201</v>
      </c>
      <c r="EI10" s="4" t="s">
        <v>201</v>
      </c>
      <c r="EJ10" s="4" t="s">
        <v>201</v>
      </c>
      <c r="EK10" s="4" t="s">
        <v>201</v>
      </c>
      <c r="EL10" s="4" t="s">
        <v>201</v>
      </c>
      <c r="EM10" s="4" t="s">
        <v>201</v>
      </c>
      <c r="EN10" s="4" t="s">
        <v>201</v>
      </c>
      <c r="EO10" s="4" t="s">
        <v>201</v>
      </c>
      <c r="EP10" s="4" t="s">
        <v>201</v>
      </c>
      <c r="EQ10" s="4" t="s">
        <v>201</v>
      </c>
      <c r="ER10" s="4">
        <v>167.97479999999999</v>
      </c>
      <c r="ES10" s="4" t="s">
        <v>201</v>
      </c>
      <c r="ET10" s="4" t="s">
        <v>201</v>
      </c>
      <c r="EU10" s="4" t="s">
        <v>201</v>
      </c>
      <c r="EV10" s="5" t="s">
        <v>187</v>
      </c>
      <c r="EW10" s="4">
        <v>25</v>
      </c>
      <c r="EX10" s="4">
        <v>11.34751055875749</v>
      </c>
      <c r="EY10" s="4">
        <v>9.2444942357827742E-2</v>
      </c>
      <c r="EZ10" s="4">
        <v>9.2444942357827742E-2</v>
      </c>
      <c r="FA10" s="4" t="s">
        <v>201</v>
      </c>
      <c r="FB10" s="5" t="s">
        <v>250</v>
      </c>
      <c r="FC10" s="4" t="s">
        <v>201</v>
      </c>
      <c r="FD10" s="4" t="s">
        <v>201</v>
      </c>
      <c r="FE10" s="4" t="s">
        <v>201</v>
      </c>
      <c r="FF10" s="4" t="s">
        <v>201</v>
      </c>
      <c r="FG10" s="4" t="s">
        <v>217</v>
      </c>
      <c r="FH10" s="4">
        <v>396.91596045595537</v>
      </c>
      <c r="FI10" s="4">
        <f t="shared" si="8"/>
        <v>29.768697034196652</v>
      </c>
      <c r="FJ10" s="4">
        <f t="shared" si="9"/>
        <v>29.768697034196652</v>
      </c>
      <c r="FK10" s="4" t="s">
        <v>203</v>
      </c>
      <c r="FL10" s="4" t="s">
        <v>216</v>
      </c>
      <c r="FM10" s="4" t="s">
        <v>249</v>
      </c>
      <c r="FN10" s="4" t="s">
        <v>201</v>
      </c>
      <c r="FO10" s="4" t="s">
        <v>201</v>
      </c>
      <c r="FP10" s="4" t="s">
        <v>201</v>
      </c>
      <c r="FQ10" s="4" t="s">
        <v>201</v>
      </c>
      <c r="FR10" s="4" t="s">
        <v>201</v>
      </c>
      <c r="FS10" s="4" t="s">
        <v>201</v>
      </c>
      <c r="FT10" s="4" t="s">
        <v>200</v>
      </c>
      <c r="FU10" s="4" t="s">
        <v>212</v>
      </c>
      <c r="FV10" s="45" t="s">
        <v>280</v>
      </c>
      <c r="FW10" s="4" t="s">
        <v>201</v>
      </c>
      <c r="FX10" s="4" t="s">
        <v>201</v>
      </c>
      <c r="FY10" s="4" t="s">
        <v>247</v>
      </c>
    </row>
    <row r="11" spans="1:181" s="6" customFormat="1" x14ac:dyDescent="0.15">
      <c r="A11" s="3" t="s">
        <v>258</v>
      </c>
      <c r="B11" s="3" t="s">
        <v>193</v>
      </c>
      <c r="C11">
        <v>2017</v>
      </c>
      <c r="D11" s="22" t="str">
        <f t="shared" si="1"/>
        <v>10.1016/j.epsl.2017.03.016</v>
      </c>
      <c r="E11" s="22">
        <f t="shared" si="2"/>
        <v>1029.5899999999999</v>
      </c>
      <c r="F11" s="22" t="str">
        <f t="shared" si="3"/>
        <v>NA</v>
      </c>
      <c r="G11" s="22" t="str">
        <f t="shared" si="4"/>
        <v>NA</v>
      </c>
      <c r="H11" s="22">
        <f t="shared" si="5"/>
        <v>444.88246478953846</v>
      </c>
      <c r="I11" s="36">
        <f t="shared" si="6"/>
        <v>33.36618485921538</v>
      </c>
      <c r="J11" s="36">
        <f t="shared" si="7"/>
        <v>33.36618485921538</v>
      </c>
      <c r="K11" s="7" t="s">
        <v>251</v>
      </c>
      <c r="L11" s="7" t="s">
        <v>252</v>
      </c>
      <c r="M11" s="7" t="s">
        <v>194</v>
      </c>
      <c r="N11" s="7" t="s">
        <v>192</v>
      </c>
      <c r="O11" s="6">
        <v>850</v>
      </c>
      <c r="P11" s="7" t="s">
        <v>189</v>
      </c>
      <c r="Q11" s="6">
        <v>2</v>
      </c>
      <c r="R11" s="6" t="s">
        <v>208</v>
      </c>
      <c r="S11" s="6" t="s">
        <v>209</v>
      </c>
      <c r="T11" s="6">
        <v>5</v>
      </c>
      <c r="U11" s="6" t="s">
        <v>201</v>
      </c>
      <c r="V11" s="6" t="s">
        <v>201</v>
      </c>
      <c r="W11" s="6" t="s">
        <v>201</v>
      </c>
      <c r="X11" s="6" t="s">
        <v>201</v>
      </c>
      <c r="Y11" s="6" t="s">
        <v>201</v>
      </c>
      <c r="Z11" s="8">
        <v>20.975000000000001</v>
      </c>
      <c r="AA11" s="6" t="s">
        <v>207</v>
      </c>
      <c r="AB11" s="6">
        <v>1029.5899999999999</v>
      </c>
      <c r="AC11" s="6" t="s">
        <v>201</v>
      </c>
      <c r="AD11" s="6" t="s">
        <v>201</v>
      </c>
      <c r="AE11" s="6" t="s">
        <v>201</v>
      </c>
      <c r="AF11" s="7" t="s">
        <v>176</v>
      </c>
      <c r="AG11" s="7" t="s">
        <v>178</v>
      </c>
      <c r="AH11" s="11">
        <v>1.2971666666666666</v>
      </c>
      <c r="AI11" s="8">
        <v>-110.5215</v>
      </c>
      <c r="AJ11" s="6">
        <v>-4197</v>
      </c>
      <c r="AK11" s="6" t="s">
        <v>201</v>
      </c>
      <c r="AL11" s="6" t="s">
        <v>201</v>
      </c>
      <c r="AM11" s="6" t="s">
        <v>201</v>
      </c>
      <c r="AN11" s="6" t="s">
        <v>201</v>
      </c>
      <c r="AO11" s="7" t="s">
        <v>236</v>
      </c>
      <c r="AP11" s="6" t="s">
        <v>201</v>
      </c>
      <c r="AQ11" s="6" t="s">
        <v>201</v>
      </c>
      <c r="AR11" s="6" t="s">
        <v>201</v>
      </c>
      <c r="AS11" s="6" t="s">
        <v>201</v>
      </c>
      <c r="AT11" s="6" t="s">
        <v>201</v>
      </c>
      <c r="AU11" s="6" t="s">
        <v>201</v>
      </c>
      <c r="AV11" s="6" t="s">
        <v>201</v>
      </c>
      <c r="AW11" s="6" t="s">
        <v>201</v>
      </c>
      <c r="AX11" s="6">
        <v>1.5835346383311926</v>
      </c>
      <c r="AY11" s="6">
        <v>0.13</v>
      </c>
      <c r="AZ11" s="6" t="s">
        <v>203</v>
      </c>
      <c r="BA11" s="6" t="s">
        <v>201</v>
      </c>
      <c r="BB11" s="6">
        <v>-0.74733594769774292</v>
      </c>
      <c r="BC11" s="6">
        <v>0.24</v>
      </c>
      <c r="BD11" s="6" t="s">
        <v>203</v>
      </c>
      <c r="BE11" s="6" t="s">
        <v>201</v>
      </c>
      <c r="BF11" s="7" t="s">
        <v>181</v>
      </c>
      <c r="BG11" s="7" t="s">
        <v>182</v>
      </c>
      <c r="BH11" s="6">
        <v>0</v>
      </c>
      <c r="BI11" s="6" t="s">
        <v>201</v>
      </c>
      <c r="BJ11" s="6" t="s">
        <v>201</v>
      </c>
      <c r="BK11" s="6" t="s">
        <v>201</v>
      </c>
      <c r="BL11" s="6" t="s">
        <v>201</v>
      </c>
      <c r="BM11" s="6" t="s">
        <v>201</v>
      </c>
      <c r="BN11" s="6" t="s">
        <v>201</v>
      </c>
      <c r="BO11" s="6" t="s">
        <v>201</v>
      </c>
      <c r="BP11" s="6" t="s">
        <v>201</v>
      </c>
      <c r="BQ11" s="6" t="s">
        <v>201</v>
      </c>
      <c r="BR11" s="6" t="s">
        <v>201</v>
      </c>
      <c r="BS11" s="7" t="s">
        <v>183</v>
      </c>
      <c r="BT11" s="6">
        <v>-25.414784389415708</v>
      </c>
      <c r="BU11" s="7" t="s">
        <v>184</v>
      </c>
      <c r="BV11" s="6">
        <v>0.31</v>
      </c>
      <c r="BW11" s="6" t="s">
        <v>201</v>
      </c>
      <c r="BX11" s="6" t="s">
        <v>202</v>
      </c>
      <c r="BY11" s="6">
        <v>4.2</v>
      </c>
      <c r="BZ11" s="6" t="s">
        <v>201</v>
      </c>
      <c r="CA11" s="6" t="s">
        <v>201</v>
      </c>
      <c r="CB11" s="6">
        <v>-21.321526483851244</v>
      </c>
      <c r="CC11" s="6" t="s">
        <v>201</v>
      </c>
      <c r="CD11" s="6" t="s">
        <v>201</v>
      </c>
      <c r="CE11" s="6" t="s">
        <v>201</v>
      </c>
      <c r="CF11" s="6" t="s">
        <v>201</v>
      </c>
      <c r="CG11" s="6">
        <v>35</v>
      </c>
      <c r="CH11" s="6">
        <v>1</v>
      </c>
      <c r="CI11" s="6" t="s">
        <v>204</v>
      </c>
      <c r="CJ11" s="7" t="s">
        <v>185</v>
      </c>
      <c r="CK11" s="6">
        <v>0.82</v>
      </c>
      <c r="CL11" s="6">
        <v>0.1</v>
      </c>
      <c r="CM11" s="6">
        <v>0.1</v>
      </c>
      <c r="CN11" s="6" t="s">
        <v>204</v>
      </c>
      <c r="CO11" s="7" t="s">
        <v>186</v>
      </c>
      <c r="CP11" s="6" t="s">
        <v>201</v>
      </c>
      <c r="CQ11" s="6" t="s">
        <v>201</v>
      </c>
      <c r="CR11" s="6">
        <f t="shared" si="0"/>
        <v>21.556756140526097</v>
      </c>
      <c r="CS11" s="6" t="s">
        <v>201</v>
      </c>
      <c r="CT11" s="6" t="s">
        <v>201</v>
      </c>
      <c r="CU11" s="6" t="s">
        <v>201</v>
      </c>
      <c r="CV11" s="6" t="s">
        <v>211</v>
      </c>
      <c r="CW11" s="6">
        <v>0.81873026052275877</v>
      </c>
      <c r="CX11" s="6" t="s">
        <v>201</v>
      </c>
      <c r="CY11" s="6">
        <v>23.126385263377941</v>
      </c>
      <c r="CZ11" s="6" t="s">
        <v>201</v>
      </c>
      <c r="DA11" s="6" t="s">
        <v>201</v>
      </c>
      <c r="DB11" s="6" t="s">
        <v>201</v>
      </c>
      <c r="DC11" s="7" t="s">
        <v>190</v>
      </c>
      <c r="DD11" s="6" t="s">
        <v>205</v>
      </c>
      <c r="DE11" s="6" t="s">
        <v>201</v>
      </c>
      <c r="DF11" s="6" t="s">
        <v>201</v>
      </c>
      <c r="DG11" s="6" t="s">
        <v>201</v>
      </c>
      <c r="DH11" s="6" t="s">
        <v>201</v>
      </c>
      <c r="DI11" s="6">
        <v>19.987127017674254</v>
      </c>
      <c r="DJ11" s="6" t="s">
        <v>201</v>
      </c>
      <c r="DK11" s="6" t="s">
        <v>201</v>
      </c>
      <c r="DL11" s="6" t="s">
        <v>201</v>
      </c>
      <c r="DM11" s="6" t="s">
        <v>206</v>
      </c>
      <c r="DN11" s="6" t="s">
        <v>201</v>
      </c>
      <c r="DO11" s="6" t="s">
        <v>201</v>
      </c>
      <c r="DP11" s="6" t="s">
        <v>201</v>
      </c>
      <c r="DQ11" s="6" t="s">
        <v>201</v>
      </c>
      <c r="DR11" s="6" t="s">
        <v>201</v>
      </c>
      <c r="DS11" s="6" t="s">
        <v>201</v>
      </c>
      <c r="DT11" s="6" t="s">
        <v>201</v>
      </c>
      <c r="DU11" s="6" t="s">
        <v>201</v>
      </c>
      <c r="DV11" s="6" t="s">
        <v>201</v>
      </c>
      <c r="DW11" s="6" t="s">
        <v>201</v>
      </c>
      <c r="DX11" s="6">
        <v>2.5064516129032257</v>
      </c>
      <c r="DY11" s="6" t="s">
        <v>201</v>
      </c>
      <c r="DZ11" s="6" t="s">
        <v>201</v>
      </c>
      <c r="EA11" s="6" t="s">
        <v>201</v>
      </c>
      <c r="EB11" s="6" t="s">
        <v>201</v>
      </c>
      <c r="EC11" s="6" t="s">
        <v>201</v>
      </c>
      <c r="ED11" s="6" t="s">
        <v>201</v>
      </c>
      <c r="EE11" s="6" t="s">
        <v>201</v>
      </c>
      <c r="EF11" s="6" t="s">
        <v>201</v>
      </c>
      <c r="EG11" s="6" t="s">
        <v>201</v>
      </c>
      <c r="EH11" s="6" t="s">
        <v>201</v>
      </c>
      <c r="EI11" s="6" t="s">
        <v>201</v>
      </c>
      <c r="EJ11" s="6" t="s">
        <v>201</v>
      </c>
      <c r="EK11" s="6" t="s">
        <v>201</v>
      </c>
      <c r="EL11" s="6" t="s">
        <v>201</v>
      </c>
      <c r="EM11" s="6" t="s">
        <v>201</v>
      </c>
      <c r="EN11" s="6" t="s">
        <v>201</v>
      </c>
      <c r="EO11" s="6" t="s">
        <v>201</v>
      </c>
      <c r="EP11" s="6" t="s">
        <v>201</v>
      </c>
      <c r="EQ11" s="6" t="s">
        <v>201</v>
      </c>
      <c r="ER11" s="6">
        <v>167.97479999999999</v>
      </c>
      <c r="ES11" s="6" t="s">
        <v>201</v>
      </c>
      <c r="ET11" s="6" t="s">
        <v>201</v>
      </c>
      <c r="EU11" s="6" t="s">
        <v>201</v>
      </c>
      <c r="EV11" s="7" t="s">
        <v>187</v>
      </c>
      <c r="EW11" s="6">
        <v>25</v>
      </c>
      <c r="EX11" s="6">
        <v>12.866423380160752</v>
      </c>
      <c r="EY11" s="6">
        <v>0.19580091274962186</v>
      </c>
      <c r="EZ11" s="6">
        <v>0.19580091274962186</v>
      </c>
      <c r="FA11" s="6" t="s">
        <v>201</v>
      </c>
      <c r="FB11" s="7" t="s">
        <v>250</v>
      </c>
      <c r="FC11" s="6" t="s">
        <v>201</v>
      </c>
      <c r="FD11" s="6" t="s">
        <v>201</v>
      </c>
      <c r="FE11" s="6" t="s">
        <v>201</v>
      </c>
      <c r="FF11" s="6" t="s">
        <v>201</v>
      </c>
      <c r="FG11" s="6" t="s">
        <v>217</v>
      </c>
      <c r="FH11" s="6">
        <v>444.88246478953846</v>
      </c>
      <c r="FI11" s="6">
        <f t="shared" si="8"/>
        <v>33.36618485921538</v>
      </c>
      <c r="FJ11" s="6">
        <f t="shared" si="9"/>
        <v>33.36618485921538</v>
      </c>
      <c r="FK11" s="6" t="s">
        <v>203</v>
      </c>
      <c r="FL11" s="6" t="s">
        <v>216</v>
      </c>
      <c r="FM11" s="6" t="s">
        <v>249</v>
      </c>
      <c r="FN11" s="6" t="s">
        <v>201</v>
      </c>
      <c r="FO11" s="6" t="s">
        <v>201</v>
      </c>
      <c r="FP11" s="6" t="s">
        <v>201</v>
      </c>
      <c r="FQ11" s="6" t="s">
        <v>201</v>
      </c>
      <c r="FR11" s="6" t="s">
        <v>201</v>
      </c>
      <c r="FS11" s="6" t="s">
        <v>201</v>
      </c>
      <c r="FT11" s="6" t="s">
        <v>200</v>
      </c>
      <c r="FU11" s="6" t="s">
        <v>212</v>
      </c>
      <c r="FV11" s="44" t="s">
        <v>281</v>
      </c>
      <c r="FW11" s="6" t="s">
        <v>201</v>
      </c>
      <c r="FX11" s="6" t="s">
        <v>201</v>
      </c>
      <c r="FY11" s="6" t="s">
        <v>247</v>
      </c>
    </row>
    <row r="12" spans="1:181" s="4" customFormat="1" x14ac:dyDescent="0.15">
      <c r="A12" s="3" t="s">
        <v>258</v>
      </c>
      <c r="B12" s="3" t="s">
        <v>193</v>
      </c>
      <c r="C12">
        <v>2017</v>
      </c>
      <c r="D12" s="22" t="str">
        <f t="shared" si="1"/>
        <v>10.1016/j.epsl.2017.03.016</v>
      </c>
      <c r="E12" s="22">
        <f t="shared" si="2"/>
        <v>1347.72</v>
      </c>
      <c r="F12" s="22" t="str">
        <f t="shared" si="3"/>
        <v>NA</v>
      </c>
      <c r="G12" s="22" t="str">
        <f t="shared" si="4"/>
        <v>NA</v>
      </c>
      <c r="H12" s="22">
        <f t="shared" si="5"/>
        <v>398.30631806157527</v>
      </c>
      <c r="I12" s="36">
        <f t="shared" si="6"/>
        <v>29.872973854618145</v>
      </c>
      <c r="J12" s="36">
        <f t="shared" si="7"/>
        <v>29.872973854618145</v>
      </c>
      <c r="K12" s="5" t="s">
        <v>251</v>
      </c>
      <c r="L12" s="5" t="s">
        <v>252</v>
      </c>
      <c r="M12" s="5" t="s">
        <v>194</v>
      </c>
      <c r="N12" s="5" t="s">
        <v>192</v>
      </c>
      <c r="O12" s="4">
        <v>850</v>
      </c>
      <c r="P12" s="5" t="s">
        <v>189</v>
      </c>
      <c r="Q12" s="4" t="s">
        <v>201</v>
      </c>
      <c r="R12" s="4" t="s">
        <v>201</v>
      </c>
      <c r="S12" s="4" t="s">
        <v>201</v>
      </c>
      <c r="T12" s="4" t="s">
        <v>201</v>
      </c>
      <c r="U12" s="4" t="s">
        <v>201</v>
      </c>
      <c r="V12" s="4" t="s">
        <v>201</v>
      </c>
      <c r="W12" s="4" t="s">
        <v>201</v>
      </c>
      <c r="X12" s="4" t="s">
        <v>201</v>
      </c>
      <c r="Y12" s="4" t="s">
        <v>201</v>
      </c>
      <c r="Z12" s="9">
        <v>27.024999999999999</v>
      </c>
      <c r="AA12" s="4" t="s">
        <v>207</v>
      </c>
      <c r="AB12" s="4">
        <v>1347.72</v>
      </c>
      <c r="AC12" s="4" t="s">
        <v>201</v>
      </c>
      <c r="AD12" s="4" t="s">
        <v>201</v>
      </c>
      <c r="AE12" s="4" t="s">
        <v>201</v>
      </c>
      <c r="AF12" s="5" t="s">
        <v>176</v>
      </c>
      <c r="AG12" s="5" t="s">
        <v>178</v>
      </c>
      <c r="AH12" s="12">
        <v>1.2971666666666666</v>
      </c>
      <c r="AI12" s="9">
        <v>-110.5215</v>
      </c>
      <c r="AJ12" s="37">
        <v>-4197</v>
      </c>
      <c r="AK12" s="4" t="s">
        <v>201</v>
      </c>
      <c r="AL12" s="4" t="s">
        <v>201</v>
      </c>
      <c r="AM12" s="4" t="s">
        <v>201</v>
      </c>
      <c r="AN12" s="4" t="s">
        <v>201</v>
      </c>
      <c r="AO12" s="5" t="s">
        <v>236</v>
      </c>
      <c r="AP12" s="4" t="s">
        <v>201</v>
      </c>
      <c r="AQ12" s="4" t="s">
        <v>201</v>
      </c>
      <c r="AR12" s="4" t="s">
        <v>201</v>
      </c>
      <c r="AS12" s="4" t="s">
        <v>201</v>
      </c>
      <c r="AT12" s="4" t="s">
        <v>201</v>
      </c>
      <c r="AU12" s="4" t="s">
        <v>201</v>
      </c>
      <c r="AV12" s="4" t="s">
        <v>201</v>
      </c>
      <c r="AW12" s="4" t="s">
        <v>201</v>
      </c>
      <c r="AX12" s="4">
        <v>1.3845992647208405</v>
      </c>
      <c r="AY12" s="4">
        <v>0.13</v>
      </c>
      <c r="AZ12" s="4" t="s">
        <v>203</v>
      </c>
      <c r="BA12" s="4" t="s">
        <v>201</v>
      </c>
      <c r="BB12" s="4">
        <v>-0.78483581275742786</v>
      </c>
      <c r="BC12" s="4">
        <v>0.24</v>
      </c>
      <c r="BD12" s="4" t="s">
        <v>203</v>
      </c>
      <c r="BE12" s="4" t="s">
        <v>201</v>
      </c>
      <c r="BF12" s="5" t="s">
        <v>181</v>
      </c>
      <c r="BG12" s="5" t="s">
        <v>182</v>
      </c>
      <c r="BH12" s="4">
        <v>0</v>
      </c>
      <c r="BI12" s="4" t="s">
        <v>201</v>
      </c>
      <c r="BJ12" s="4" t="s">
        <v>201</v>
      </c>
      <c r="BK12" s="4" t="s">
        <v>201</v>
      </c>
      <c r="BL12" s="4" t="s">
        <v>201</v>
      </c>
      <c r="BM12" s="4" t="s">
        <v>201</v>
      </c>
      <c r="BN12" s="4" t="s">
        <v>201</v>
      </c>
      <c r="BO12" s="4" t="s">
        <v>201</v>
      </c>
      <c r="BP12" s="4" t="s">
        <v>201</v>
      </c>
      <c r="BQ12" s="4" t="s">
        <v>201</v>
      </c>
      <c r="BR12" s="4" t="s">
        <v>201</v>
      </c>
      <c r="BS12" s="5" t="s">
        <v>183</v>
      </c>
      <c r="BT12" s="4">
        <v>-23.673508661908233</v>
      </c>
      <c r="BU12" s="5" t="s">
        <v>184</v>
      </c>
      <c r="BV12" s="4">
        <v>0.31</v>
      </c>
      <c r="BW12" s="4" t="s">
        <v>201</v>
      </c>
      <c r="BX12" s="4" t="s">
        <v>202</v>
      </c>
      <c r="BY12" s="4">
        <v>4.2</v>
      </c>
      <c r="BZ12" s="4" t="s">
        <v>201</v>
      </c>
      <c r="CA12" s="4" t="s">
        <v>201</v>
      </c>
      <c r="CB12" s="4">
        <v>-19.572937398288332</v>
      </c>
      <c r="CC12" s="4" t="s">
        <v>201</v>
      </c>
      <c r="CD12" s="4" t="s">
        <v>201</v>
      </c>
      <c r="CE12" s="4" t="s">
        <v>201</v>
      </c>
      <c r="CF12" s="4" t="s">
        <v>201</v>
      </c>
      <c r="CG12" s="4">
        <v>35</v>
      </c>
      <c r="CH12" s="4">
        <v>1</v>
      </c>
      <c r="CI12" s="4" t="s">
        <v>204</v>
      </c>
      <c r="CJ12" s="5" t="s">
        <v>185</v>
      </c>
      <c r="CK12" s="4">
        <v>0.82</v>
      </c>
      <c r="CL12" s="4">
        <v>0.1</v>
      </c>
      <c r="CM12" s="4">
        <v>0.1</v>
      </c>
      <c r="CN12" s="4" t="s">
        <v>204</v>
      </c>
      <c r="CO12" s="5" t="s">
        <v>186</v>
      </c>
      <c r="CP12" s="4" t="s">
        <v>201</v>
      </c>
      <c r="CQ12" s="4" t="s">
        <v>201</v>
      </c>
      <c r="CR12" s="4">
        <f t="shared" si="0"/>
        <v>22.735754785815182</v>
      </c>
      <c r="CS12" s="4" t="s">
        <v>201</v>
      </c>
      <c r="CT12" s="4" t="s">
        <v>201</v>
      </c>
      <c r="CU12" s="4" t="s">
        <v>201</v>
      </c>
      <c r="CV12" s="4" t="s">
        <v>211</v>
      </c>
      <c r="CW12" s="4">
        <v>0.87603961674971842</v>
      </c>
      <c r="CX12" s="4" t="s">
        <v>201</v>
      </c>
      <c r="CY12" s="4">
        <v>24.83855959001459</v>
      </c>
      <c r="CZ12" s="4" t="s">
        <v>201</v>
      </c>
      <c r="DA12" s="4" t="s">
        <v>201</v>
      </c>
      <c r="DB12" s="4" t="s">
        <v>201</v>
      </c>
      <c r="DC12" s="5" t="s">
        <v>190</v>
      </c>
      <c r="DD12" s="4" t="s">
        <v>205</v>
      </c>
      <c r="DE12" s="4" t="s">
        <v>201</v>
      </c>
      <c r="DF12" s="4" t="s">
        <v>201</v>
      </c>
      <c r="DG12" s="4" t="s">
        <v>201</v>
      </c>
      <c r="DH12" s="4" t="s">
        <v>201</v>
      </c>
      <c r="DI12" s="4">
        <v>20.632949981615774</v>
      </c>
      <c r="DJ12" s="4" t="s">
        <v>201</v>
      </c>
      <c r="DK12" s="4" t="s">
        <v>201</v>
      </c>
      <c r="DL12" s="4" t="s">
        <v>201</v>
      </c>
      <c r="DM12" s="4" t="s">
        <v>206</v>
      </c>
      <c r="DN12" s="4" t="s">
        <v>201</v>
      </c>
      <c r="DO12" s="4" t="s">
        <v>201</v>
      </c>
      <c r="DP12" s="4" t="s">
        <v>201</v>
      </c>
      <c r="DQ12" s="4" t="s">
        <v>201</v>
      </c>
      <c r="DR12" s="4" t="s">
        <v>201</v>
      </c>
      <c r="DS12" s="4" t="s">
        <v>201</v>
      </c>
      <c r="DT12" s="4" t="s">
        <v>201</v>
      </c>
      <c r="DU12" s="4" t="s">
        <v>201</v>
      </c>
      <c r="DV12" s="4" t="s">
        <v>201</v>
      </c>
      <c r="DW12" s="4" t="s">
        <v>201</v>
      </c>
      <c r="DX12" s="4" t="s">
        <v>201</v>
      </c>
      <c r="DY12" s="4" t="s">
        <v>201</v>
      </c>
      <c r="DZ12" s="4" t="s">
        <v>201</v>
      </c>
      <c r="EA12" s="4" t="s">
        <v>201</v>
      </c>
      <c r="EB12" s="4" t="s">
        <v>201</v>
      </c>
      <c r="EC12" s="4" t="s">
        <v>201</v>
      </c>
      <c r="ED12" s="4" t="s">
        <v>201</v>
      </c>
      <c r="EE12" s="4" t="s">
        <v>201</v>
      </c>
      <c r="EF12" s="4" t="s">
        <v>201</v>
      </c>
      <c r="EG12" s="4" t="s">
        <v>201</v>
      </c>
      <c r="EH12" s="4" t="s">
        <v>201</v>
      </c>
      <c r="EI12" s="4" t="s">
        <v>201</v>
      </c>
      <c r="EJ12" s="4" t="s">
        <v>201</v>
      </c>
      <c r="EK12" s="4" t="s">
        <v>201</v>
      </c>
      <c r="EL12" s="4" t="s">
        <v>201</v>
      </c>
      <c r="EM12" s="4" t="s">
        <v>201</v>
      </c>
      <c r="EN12" s="4" t="s">
        <v>201</v>
      </c>
      <c r="EO12" s="4" t="s">
        <v>201</v>
      </c>
      <c r="EP12" s="4" t="s">
        <v>201</v>
      </c>
      <c r="EQ12" s="4" t="s">
        <v>201</v>
      </c>
      <c r="ER12" s="4">
        <v>167.97479999999999</v>
      </c>
      <c r="ES12" s="4" t="s">
        <v>201</v>
      </c>
      <c r="ET12" s="4" t="s">
        <v>201</v>
      </c>
      <c r="EU12" s="4" t="s">
        <v>201</v>
      </c>
      <c r="EV12" s="5" t="s">
        <v>187</v>
      </c>
      <c r="EW12" s="4">
        <v>25</v>
      </c>
      <c r="EX12" s="4">
        <v>11.051527350671719</v>
      </c>
      <c r="EY12" s="4">
        <v>0.26178592829673164</v>
      </c>
      <c r="EZ12" s="4">
        <v>0.26178592829673164</v>
      </c>
      <c r="FA12" s="4" t="s">
        <v>201</v>
      </c>
      <c r="FB12" s="5" t="s">
        <v>250</v>
      </c>
      <c r="FC12" s="4" t="s">
        <v>201</v>
      </c>
      <c r="FD12" s="4" t="s">
        <v>201</v>
      </c>
      <c r="FE12" s="4" t="s">
        <v>201</v>
      </c>
      <c r="FF12" s="4" t="s">
        <v>201</v>
      </c>
      <c r="FG12" s="4" t="s">
        <v>217</v>
      </c>
      <c r="FH12" s="4">
        <v>398.30631806157527</v>
      </c>
      <c r="FI12" s="4">
        <f t="shared" si="8"/>
        <v>29.872973854618145</v>
      </c>
      <c r="FJ12" s="4">
        <f t="shared" si="9"/>
        <v>29.872973854618145</v>
      </c>
      <c r="FK12" s="4" t="s">
        <v>203</v>
      </c>
      <c r="FL12" s="4" t="s">
        <v>216</v>
      </c>
      <c r="FM12" s="4" t="s">
        <v>249</v>
      </c>
      <c r="FN12" s="4" t="s">
        <v>201</v>
      </c>
      <c r="FO12" s="4" t="s">
        <v>201</v>
      </c>
      <c r="FP12" s="4" t="s">
        <v>201</v>
      </c>
      <c r="FQ12" s="4" t="s">
        <v>201</v>
      </c>
      <c r="FR12" s="4" t="s">
        <v>201</v>
      </c>
      <c r="FS12" s="4" t="s">
        <v>201</v>
      </c>
      <c r="FT12" s="4" t="s">
        <v>200</v>
      </c>
      <c r="FU12" s="4" t="s">
        <v>212</v>
      </c>
      <c r="FV12" s="45" t="s">
        <v>282</v>
      </c>
      <c r="FW12" s="4" t="s">
        <v>201</v>
      </c>
      <c r="FX12" s="4" t="s">
        <v>201</v>
      </c>
      <c r="FY12" s="4" t="s">
        <v>247</v>
      </c>
    </row>
    <row r="13" spans="1:181" s="4" customFormat="1" x14ac:dyDescent="0.15">
      <c r="A13" s="3" t="s">
        <v>258</v>
      </c>
      <c r="B13" s="3" t="s">
        <v>193</v>
      </c>
      <c r="C13">
        <v>2017</v>
      </c>
      <c r="D13" s="22" t="str">
        <f t="shared" si="1"/>
        <v>10.1016/j.epsl.2017.03.016</v>
      </c>
      <c r="E13" s="22">
        <f t="shared" si="2"/>
        <v>1506.34</v>
      </c>
      <c r="F13" s="22" t="str">
        <f t="shared" si="3"/>
        <v>NA</v>
      </c>
      <c r="G13" s="22" t="str">
        <f t="shared" si="4"/>
        <v>NA</v>
      </c>
      <c r="H13" s="22">
        <f t="shared" si="5"/>
        <v>408.72160464147976</v>
      </c>
      <c r="I13" s="36">
        <f t="shared" si="6"/>
        <v>30.654120348110979</v>
      </c>
      <c r="J13" s="36">
        <f t="shared" si="7"/>
        <v>30.654120348110979</v>
      </c>
      <c r="K13" s="5" t="s">
        <v>251</v>
      </c>
      <c r="L13" s="5" t="s">
        <v>252</v>
      </c>
      <c r="M13" s="5" t="s">
        <v>194</v>
      </c>
      <c r="N13" s="5" t="s">
        <v>192</v>
      </c>
      <c r="O13" s="4">
        <v>850</v>
      </c>
      <c r="P13" s="5" t="s">
        <v>189</v>
      </c>
      <c r="Q13" s="4" t="s">
        <v>201</v>
      </c>
      <c r="R13" s="4" t="s">
        <v>201</v>
      </c>
      <c r="S13" s="4" t="s">
        <v>201</v>
      </c>
      <c r="T13" s="4" t="s">
        <v>201</v>
      </c>
      <c r="U13" s="4" t="s">
        <v>201</v>
      </c>
      <c r="V13" s="4" t="s">
        <v>201</v>
      </c>
      <c r="W13" s="4" t="s">
        <v>201</v>
      </c>
      <c r="X13" s="4" t="s">
        <v>201</v>
      </c>
      <c r="Y13" s="4" t="s">
        <v>201</v>
      </c>
      <c r="Z13" s="9">
        <v>30.024999999999999</v>
      </c>
      <c r="AA13" s="4" t="s">
        <v>207</v>
      </c>
      <c r="AB13" s="4">
        <v>1506.34</v>
      </c>
      <c r="AC13" s="4" t="s">
        <v>201</v>
      </c>
      <c r="AD13" s="4" t="s">
        <v>201</v>
      </c>
      <c r="AE13" s="4" t="s">
        <v>201</v>
      </c>
      <c r="AF13" s="5" t="s">
        <v>176</v>
      </c>
      <c r="AG13" s="5" t="s">
        <v>178</v>
      </c>
      <c r="AH13" s="12">
        <v>1.2971666666666666</v>
      </c>
      <c r="AI13" s="9">
        <v>-110.5215</v>
      </c>
      <c r="AJ13" s="37">
        <v>-4197</v>
      </c>
      <c r="AK13" s="4" t="s">
        <v>201</v>
      </c>
      <c r="AL13" s="4" t="s">
        <v>201</v>
      </c>
      <c r="AM13" s="4" t="s">
        <v>201</v>
      </c>
      <c r="AN13" s="4" t="s">
        <v>201</v>
      </c>
      <c r="AO13" s="5" t="s">
        <v>236</v>
      </c>
      <c r="AP13" s="4" t="s">
        <v>201</v>
      </c>
      <c r="AQ13" s="4" t="s">
        <v>201</v>
      </c>
      <c r="AR13" s="4" t="s">
        <v>201</v>
      </c>
      <c r="AS13" s="4" t="s">
        <v>201</v>
      </c>
      <c r="AT13" s="4" t="s">
        <v>201</v>
      </c>
      <c r="AU13" s="4" t="s">
        <v>201</v>
      </c>
      <c r="AV13" s="4" t="s">
        <v>201</v>
      </c>
      <c r="AW13" s="4" t="s">
        <v>201</v>
      </c>
      <c r="AX13" s="4">
        <v>2.0354266292478123</v>
      </c>
      <c r="AY13" s="4">
        <v>0.13</v>
      </c>
      <c r="AZ13" s="4" t="s">
        <v>203</v>
      </c>
      <c r="BA13" s="4" t="s">
        <v>201</v>
      </c>
      <c r="BB13" s="4">
        <v>-0.80841527336313901</v>
      </c>
      <c r="BC13" s="4">
        <v>0.24</v>
      </c>
      <c r="BD13" s="4" t="s">
        <v>203</v>
      </c>
      <c r="BE13" s="4" t="s">
        <v>201</v>
      </c>
      <c r="BF13" s="5" t="s">
        <v>181</v>
      </c>
      <c r="BG13" s="5" t="s">
        <v>182</v>
      </c>
      <c r="BH13" s="4">
        <v>0</v>
      </c>
      <c r="BI13" s="4" t="s">
        <v>201</v>
      </c>
      <c r="BJ13" s="4" t="s">
        <v>201</v>
      </c>
      <c r="BK13" s="4" t="s">
        <v>201</v>
      </c>
      <c r="BL13" s="4" t="s">
        <v>201</v>
      </c>
      <c r="BM13" s="4" t="s">
        <v>201</v>
      </c>
      <c r="BN13" s="4" t="s">
        <v>201</v>
      </c>
      <c r="BO13" s="4" t="s">
        <v>201</v>
      </c>
      <c r="BP13" s="4" t="s">
        <v>201</v>
      </c>
      <c r="BQ13" s="4" t="s">
        <v>201</v>
      </c>
      <c r="BR13" s="4" t="s">
        <v>201</v>
      </c>
      <c r="BS13" s="5" t="s">
        <v>183</v>
      </c>
      <c r="BT13" s="4">
        <v>-23.674267079237147</v>
      </c>
      <c r="BU13" s="5" t="s">
        <v>184</v>
      </c>
      <c r="BV13" s="4">
        <v>0.31</v>
      </c>
      <c r="BW13" s="4" t="s">
        <v>201</v>
      </c>
      <c r="BX13" s="4" t="s">
        <v>202</v>
      </c>
      <c r="BY13" s="4">
        <v>4.2</v>
      </c>
      <c r="BZ13" s="4" t="s">
        <v>201</v>
      </c>
      <c r="CA13" s="4" t="s">
        <v>201</v>
      </c>
      <c r="CB13" s="4">
        <v>-19.573699000969896</v>
      </c>
      <c r="CC13" s="4" t="s">
        <v>201</v>
      </c>
      <c r="CD13" s="4" t="s">
        <v>201</v>
      </c>
      <c r="CE13" s="4" t="s">
        <v>201</v>
      </c>
      <c r="CF13" s="4" t="s">
        <v>201</v>
      </c>
      <c r="CG13" s="4">
        <v>35</v>
      </c>
      <c r="CH13" s="4">
        <v>1</v>
      </c>
      <c r="CI13" s="4" t="s">
        <v>204</v>
      </c>
      <c r="CJ13" s="5" t="s">
        <v>185</v>
      </c>
      <c r="CK13" s="4">
        <v>0.82</v>
      </c>
      <c r="CL13" s="4">
        <v>0.1</v>
      </c>
      <c r="CM13" s="4">
        <v>0.1</v>
      </c>
      <c r="CN13" s="4" t="s">
        <v>204</v>
      </c>
      <c r="CO13" s="5" t="s">
        <v>186</v>
      </c>
      <c r="CP13" s="4" t="s">
        <v>201</v>
      </c>
      <c r="CQ13" s="4" t="s">
        <v>201</v>
      </c>
      <c r="CR13" s="4">
        <f t="shared" si="0"/>
        <v>21.990910274783932</v>
      </c>
      <c r="CS13" s="4" t="s">
        <v>201</v>
      </c>
      <c r="CT13" s="4" t="s">
        <v>201</v>
      </c>
      <c r="CU13" s="4" t="s">
        <v>201</v>
      </c>
      <c r="CV13" s="4" t="s">
        <v>211</v>
      </c>
      <c r="CW13" s="4">
        <v>0.83623253568066258</v>
      </c>
      <c r="CX13" s="4" t="s">
        <v>201</v>
      </c>
      <c r="CY13" s="4">
        <v>23.649283235995476</v>
      </c>
      <c r="CZ13" s="4" t="s">
        <v>201</v>
      </c>
      <c r="DA13" s="4" t="s">
        <v>201</v>
      </c>
      <c r="DB13" s="4" t="s">
        <v>201</v>
      </c>
      <c r="DC13" s="5" t="s">
        <v>190</v>
      </c>
      <c r="DD13" s="4" t="s">
        <v>205</v>
      </c>
      <c r="DE13" s="4" t="s">
        <v>201</v>
      </c>
      <c r="DF13" s="4" t="s">
        <v>201</v>
      </c>
      <c r="DG13" s="4" t="s">
        <v>201</v>
      </c>
      <c r="DH13" s="4" t="s">
        <v>201</v>
      </c>
      <c r="DI13" s="4">
        <v>20.332537313572388</v>
      </c>
      <c r="DJ13" s="4" t="s">
        <v>201</v>
      </c>
      <c r="DK13" s="4" t="s">
        <v>201</v>
      </c>
      <c r="DL13" s="4" t="s">
        <v>201</v>
      </c>
      <c r="DM13" s="4" t="s">
        <v>206</v>
      </c>
      <c r="DN13" s="4" t="s">
        <v>201</v>
      </c>
      <c r="DO13" s="4" t="s">
        <v>201</v>
      </c>
      <c r="DP13" s="4" t="s">
        <v>201</v>
      </c>
      <c r="DQ13" s="4" t="s">
        <v>201</v>
      </c>
      <c r="DR13" s="4" t="s">
        <v>201</v>
      </c>
      <c r="DS13" s="4" t="s">
        <v>201</v>
      </c>
      <c r="DT13" s="4" t="s">
        <v>201</v>
      </c>
      <c r="DU13" s="4" t="s">
        <v>201</v>
      </c>
      <c r="DV13" s="4" t="s">
        <v>201</v>
      </c>
      <c r="DW13" s="4" t="s">
        <v>201</v>
      </c>
      <c r="DX13" s="4" t="s">
        <v>201</v>
      </c>
      <c r="DY13" s="4" t="s">
        <v>201</v>
      </c>
      <c r="DZ13" s="4" t="s">
        <v>201</v>
      </c>
      <c r="EA13" s="4" t="s">
        <v>201</v>
      </c>
      <c r="EB13" s="4" t="s">
        <v>201</v>
      </c>
      <c r="EC13" s="4" t="s">
        <v>201</v>
      </c>
      <c r="ED13" s="4" t="s">
        <v>201</v>
      </c>
      <c r="EE13" s="4" t="s">
        <v>201</v>
      </c>
      <c r="EF13" s="4" t="s">
        <v>201</v>
      </c>
      <c r="EG13" s="4" t="s">
        <v>201</v>
      </c>
      <c r="EH13" s="4" t="s">
        <v>201</v>
      </c>
      <c r="EI13" s="4" t="s">
        <v>201</v>
      </c>
      <c r="EJ13" s="4" t="s">
        <v>201</v>
      </c>
      <c r="EK13" s="4" t="s">
        <v>201</v>
      </c>
      <c r="EL13" s="4" t="s">
        <v>201</v>
      </c>
      <c r="EM13" s="4" t="s">
        <v>201</v>
      </c>
      <c r="EN13" s="4" t="s">
        <v>201</v>
      </c>
      <c r="EO13" s="4" t="s">
        <v>201</v>
      </c>
      <c r="EP13" s="4" t="s">
        <v>201</v>
      </c>
      <c r="EQ13" s="4" t="s">
        <v>201</v>
      </c>
      <c r="ER13" s="4">
        <v>167.97479999999999</v>
      </c>
      <c r="ES13" s="4" t="s">
        <v>201</v>
      </c>
      <c r="ET13" s="4" t="s">
        <v>201</v>
      </c>
      <c r="EU13" s="4" t="s">
        <v>201</v>
      </c>
      <c r="EV13" s="5" t="s">
        <v>187</v>
      </c>
      <c r="EW13" s="4">
        <v>25</v>
      </c>
      <c r="EX13" s="4">
        <v>11.629303704310257</v>
      </c>
      <c r="EY13" s="4">
        <v>0.20660510834780155</v>
      </c>
      <c r="EZ13" s="4">
        <v>0.20660510834780155</v>
      </c>
      <c r="FA13" s="4" t="s">
        <v>201</v>
      </c>
      <c r="FB13" s="5" t="s">
        <v>250</v>
      </c>
      <c r="FC13" s="4" t="s">
        <v>201</v>
      </c>
      <c r="FD13" s="4" t="s">
        <v>201</v>
      </c>
      <c r="FE13" s="4" t="s">
        <v>201</v>
      </c>
      <c r="FF13" s="4" t="s">
        <v>201</v>
      </c>
      <c r="FG13" s="4" t="s">
        <v>217</v>
      </c>
      <c r="FH13" s="4">
        <v>408.72160464147976</v>
      </c>
      <c r="FI13" s="4">
        <f t="shared" si="8"/>
        <v>30.654120348110979</v>
      </c>
      <c r="FJ13" s="4">
        <f t="shared" si="9"/>
        <v>30.654120348110979</v>
      </c>
      <c r="FK13" s="4" t="s">
        <v>203</v>
      </c>
      <c r="FL13" s="4" t="s">
        <v>216</v>
      </c>
      <c r="FM13" s="4" t="s">
        <v>249</v>
      </c>
      <c r="FN13" s="4" t="s">
        <v>201</v>
      </c>
      <c r="FO13" s="4" t="s">
        <v>201</v>
      </c>
      <c r="FP13" s="4" t="s">
        <v>201</v>
      </c>
      <c r="FQ13" s="4" t="s">
        <v>201</v>
      </c>
      <c r="FR13" s="4" t="s">
        <v>201</v>
      </c>
      <c r="FS13" s="4" t="s">
        <v>201</v>
      </c>
      <c r="FT13" s="4" t="s">
        <v>200</v>
      </c>
      <c r="FU13" s="4" t="s">
        <v>212</v>
      </c>
      <c r="FV13" s="45" t="s">
        <v>283</v>
      </c>
      <c r="FW13" s="4" t="s">
        <v>201</v>
      </c>
      <c r="FX13" s="4" t="s">
        <v>201</v>
      </c>
      <c r="FY13" s="4" t="s">
        <v>247</v>
      </c>
    </row>
    <row r="14" spans="1:181" s="6" customFormat="1" x14ac:dyDescent="0.15">
      <c r="A14" s="3" t="s">
        <v>258</v>
      </c>
      <c r="B14" s="3" t="s">
        <v>193</v>
      </c>
      <c r="C14">
        <v>2017</v>
      </c>
      <c r="D14" s="22" t="str">
        <f t="shared" si="1"/>
        <v>10.1016/j.epsl.2017.03.016</v>
      </c>
      <c r="E14" s="22">
        <f t="shared" si="2"/>
        <v>1662.75</v>
      </c>
      <c r="F14" s="22" t="str">
        <f t="shared" si="3"/>
        <v>NA</v>
      </c>
      <c r="G14" s="22" t="str">
        <f t="shared" si="4"/>
        <v>NA</v>
      </c>
      <c r="H14" s="22">
        <f t="shared" si="5"/>
        <v>405.6870182421971</v>
      </c>
      <c r="I14" s="36">
        <f t="shared" si="6"/>
        <v>30.42652636816478</v>
      </c>
      <c r="J14" s="36">
        <f t="shared" si="7"/>
        <v>30.42652636816478</v>
      </c>
      <c r="K14" s="7" t="s">
        <v>251</v>
      </c>
      <c r="L14" s="7" t="s">
        <v>252</v>
      </c>
      <c r="M14" s="7" t="s">
        <v>194</v>
      </c>
      <c r="N14" s="7" t="s">
        <v>192</v>
      </c>
      <c r="O14" s="6">
        <v>850</v>
      </c>
      <c r="P14" s="7" t="s">
        <v>189</v>
      </c>
      <c r="Q14" s="6">
        <v>3</v>
      </c>
      <c r="R14" s="6" t="s">
        <v>208</v>
      </c>
      <c r="S14" s="6" t="s">
        <v>209</v>
      </c>
      <c r="T14" s="6">
        <v>7</v>
      </c>
      <c r="U14" s="6" t="s">
        <v>201</v>
      </c>
      <c r="V14" s="6" t="s">
        <v>201</v>
      </c>
      <c r="W14" s="6" t="s">
        <v>201</v>
      </c>
      <c r="X14" s="6" t="s">
        <v>201</v>
      </c>
      <c r="Y14" s="6" t="s">
        <v>201</v>
      </c>
      <c r="Z14" s="8">
        <v>33.024999999999999</v>
      </c>
      <c r="AA14" s="6" t="s">
        <v>207</v>
      </c>
      <c r="AB14" s="6">
        <v>1662.75</v>
      </c>
      <c r="AC14" s="6" t="s">
        <v>201</v>
      </c>
      <c r="AD14" s="6" t="s">
        <v>201</v>
      </c>
      <c r="AE14" s="6" t="s">
        <v>201</v>
      </c>
      <c r="AF14" s="7" t="s">
        <v>176</v>
      </c>
      <c r="AG14" s="7" t="s">
        <v>178</v>
      </c>
      <c r="AH14" s="11">
        <v>1.2971666666666666</v>
      </c>
      <c r="AI14" s="8">
        <v>-110.5215</v>
      </c>
      <c r="AJ14" s="6">
        <v>-4197</v>
      </c>
      <c r="AK14" s="6" t="s">
        <v>201</v>
      </c>
      <c r="AL14" s="6" t="s">
        <v>201</v>
      </c>
      <c r="AM14" s="6" t="s">
        <v>201</v>
      </c>
      <c r="AN14" s="6" t="s">
        <v>201</v>
      </c>
      <c r="AO14" s="7" t="s">
        <v>236</v>
      </c>
      <c r="AP14" s="6" t="s">
        <v>201</v>
      </c>
      <c r="AQ14" s="6" t="s">
        <v>201</v>
      </c>
      <c r="AR14" s="6" t="s">
        <v>201</v>
      </c>
      <c r="AS14" s="6" t="s">
        <v>201</v>
      </c>
      <c r="AT14" s="6" t="s">
        <v>201</v>
      </c>
      <c r="AU14" s="6" t="s">
        <v>201</v>
      </c>
      <c r="AV14" s="6" t="s">
        <v>201</v>
      </c>
      <c r="AW14" s="6" t="s">
        <v>201</v>
      </c>
      <c r="AX14" s="6">
        <v>1.4942679522845215</v>
      </c>
      <c r="AY14" s="6">
        <v>0.13</v>
      </c>
      <c r="AZ14" s="6" t="s">
        <v>203</v>
      </c>
      <c r="BA14" s="6" t="s">
        <v>201</v>
      </c>
      <c r="BB14" s="6">
        <v>0.38456767467155162</v>
      </c>
      <c r="BC14" s="6">
        <v>0.24</v>
      </c>
      <c r="BD14" s="6" t="s">
        <v>203</v>
      </c>
      <c r="BE14" s="6" t="s">
        <v>201</v>
      </c>
      <c r="BF14" s="7" t="s">
        <v>181</v>
      </c>
      <c r="BG14" s="7" t="s">
        <v>182</v>
      </c>
      <c r="BH14" s="6">
        <v>0</v>
      </c>
      <c r="BI14" s="6" t="s">
        <v>201</v>
      </c>
      <c r="BJ14" s="6" t="s">
        <v>201</v>
      </c>
      <c r="BK14" s="6" t="s">
        <v>201</v>
      </c>
      <c r="BL14" s="6" t="s">
        <v>201</v>
      </c>
      <c r="BM14" s="6" t="s">
        <v>201</v>
      </c>
      <c r="BN14" s="6" t="s">
        <v>201</v>
      </c>
      <c r="BO14" s="6" t="s">
        <v>201</v>
      </c>
      <c r="BP14" s="6" t="s">
        <v>201</v>
      </c>
      <c r="BQ14" s="6" t="s">
        <v>201</v>
      </c>
      <c r="BR14" s="6" t="s">
        <v>201</v>
      </c>
      <c r="BS14" s="7" t="s">
        <v>183</v>
      </c>
      <c r="BT14" s="6">
        <v>-24.107724786931819</v>
      </c>
      <c r="BU14" s="7" t="s">
        <v>184</v>
      </c>
      <c r="BV14" s="6">
        <v>0.31</v>
      </c>
      <c r="BW14" s="6" t="s">
        <v>201</v>
      </c>
      <c r="BX14" s="6" t="s">
        <v>202</v>
      </c>
      <c r="BY14" s="6">
        <v>4.2</v>
      </c>
      <c r="BZ14" s="6" t="s">
        <v>201</v>
      </c>
      <c r="CA14" s="6" t="s">
        <v>201</v>
      </c>
      <c r="CB14" s="6">
        <v>-20.008977231036965</v>
      </c>
      <c r="CC14" s="6" t="s">
        <v>201</v>
      </c>
      <c r="CD14" s="6" t="s">
        <v>201</v>
      </c>
      <c r="CE14" s="6" t="s">
        <v>201</v>
      </c>
      <c r="CF14" s="6" t="s">
        <v>201</v>
      </c>
      <c r="CG14" s="6">
        <v>35</v>
      </c>
      <c r="CH14" s="6">
        <v>1</v>
      </c>
      <c r="CI14" s="6" t="s">
        <v>204</v>
      </c>
      <c r="CJ14" s="7" t="s">
        <v>185</v>
      </c>
      <c r="CK14" s="6">
        <v>0.82</v>
      </c>
      <c r="CL14" s="6">
        <v>0.1</v>
      </c>
      <c r="CM14" s="6">
        <v>0.1</v>
      </c>
      <c r="CN14" s="6" t="s">
        <v>204</v>
      </c>
      <c r="CO14" s="7" t="s">
        <v>186</v>
      </c>
      <c r="CP14" s="6" t="s">
        <v>201</v>
      </c>
      <c r="CQ14" s="6" t="s">
        <v>201</v>
      </c>
      <c r="CR14" s="6">
        <f t="shared" si="0"/>
        <v>22.097490000000001</v>
      </c>
      <c r="CS14" s="6" t="s">
        <v>201</v>
      </c>
      <c r="CT14" s="6" t="s">
        <v>201</v>
      </c>
      <c r="CU14" s="6" t="s">
        <v>201</v>
      </c>
      <c r="CV14" s="6" t="s">
        <v>211</v>
      </c>
      <c r="CW14" s="6">
        <v>0.85924655241665537</v>
      </c>
      <c r="CX14" s="6" t="s">
        <v>201</v>
      </c>
      <c r="CY14" s="6">
        <v>24.336849999999998</v>
      </c>
      <c r="CZ14" s="6" t="s">
        <v>201</v>
      </c>
      <c r="DA14" s="6" t="s">
        <v>201</v>
      </c>
      <c r="DB14" s="6" t="s">
        <v>201</v>
      </c>
      <c r="DC14" s="7" t="s">
        <v>190</v>
      </c>
      <c r="DD14" s="6" t="s">
        <v>205</v>
      </c>
      <c r="DE14" s="6" t="s">
        <v>201</v>
      </c>
      <c r="DF14" s="6" t="s">
        <v>201</v>
      </c>
      <c r="DG14" s="6" t="s">
        <v>201</v>
      </c>
      <c r="DH14" s="6" t="s">
        <v>201</v>
      </c>
      <c r="DI14" s="6">
        <v>19.858129999999999</v>
      </c>
      <c r="DJ14" s="6" t="s">
        <v>201</v>
      </c>
      <c r="DK14" s="6" t="s">
        <v>201</v>
      </c>
      <c r="DL14" s="6" t="s">
        <v>201</v>
      </c>
      <c r="DM14" s="6" t="s">
        <v>206</v>
      </c>
      <c r="DN14" s="6" t="s">
        <v>201</v>
      </c>
      <c r="DO14" s="6" t="s">
        <v>201</v>
      </c>
      <c r="DP14" s="6" t="s">
        <v>201</v>
      </c>
      <c r="DQ14" s="6" t="s">
        <v>201</v>
      </c>
      <c r="DR14" s="6" t="s">
        <v>201</v>
      </c>
      <c r="DS14" s="6" t="s">
        <v>201</v>
      </c>
      <c r="DT14" s="6" t="s">
        <v>201</v>
      </c>
      <c r="DU14" s="6" t="s">
        <v>201</v>
      </c>
      <c r="DV14" s="6" t="s">
        <v>201</v>
      </c>
      <c r="DW14" s="6" t="s">
        <v>201</v>
      </c>
      <c r="DX14" s="6">
        <v>2.7893081761006293</v>
      </c>
      <c r="DY14" s="6" t="s">
        <v>201</v>
      </c>
      <c r="DZ14" s="6" t="s">
        <v>201</v>
      </c>
      <c r="EA14" s="6" t="s">
        <v>201</v>
      </c>
      <c r="EB14" s="6" t="s">
        <v>201</v>
      </c>
      <c r="EC14" s="6" t="s">
        <v>201</v>
      </c>
      <c r="ED14" s="6" t="s">
        <v>201</v>
      </c>
      <c r="EE14" s="6" t="s">
        <v>201</v>
      </c>
      <c r="EF14" s="6" t="s">
        <v>201</v>
      </c>
      <c r="EG14" s="6" t="s">
        <v>201</v>
      </c>
      <c r="EH14" s="6" t="s">
        <v>201</v>
      </c>
      <c r="EI14" s="6" t="s">
        <v>201</v>
      </c>
      <c r="EJ14" s="6" t="s">
        <v>201</v>
      </c>
      <c r="EK14" s="6" t="s">
        <v>201</v>
      </c>
      <c r="EL14" s="6" t="s">
        <v>201</v>
      </c>
      <c r="EM14" s="6" t="s">
        <v>201</v>
      </c>
      <c r="EN14" s="6" t="s">
        <v>201</v>
      </c>
      <c r="EO14" s="6" t="s">
        <v>201</v>
      </c>
      <c r="EP14" s="6" t="s">
        <v>201</v>
      </c>
      <c r="EQ14" s="6" t="s">
        <v>201</v>
      </c>
      <c r="ER14" s="6">
        <v>167.97479999999999</v>
      </c>
      <c r="ES14" s="6" t="s">
        <v>201</v>
      </c>
      <c r="ET14" s="6" t="s">
        <v>201</v>
      </c>
      <c r="EU14" s="6" t="s">
        <v>201</v>
      </c>
      <c r="EV14" s="7" t="s">
        <v>187</v>
      </c>
      <c r="EW14" s="6">
        <v>25</v>
      </c>
      <c r="EX14" s="6">
        <v>11.561139351522254</v>
      </c>
      <c r="EY14" s="6">
        <v>0.27894388700899775</v>
      </c>
      <c r="EZ14" s="6">
        <v>0.27894388700899775</v>
      </c>
      <c r="FA14" s="6" t="s">
        <v>201</v>
      </c>
      <c r="FB14" s="7" t="s">
        <v>250</v>
      </c>
      <c r="FC14" s="6" t="s">
        <v>201</v>
      </c>
      <c r="FD14" s="6" t="s">
        <v>201</v>
      </c>
      <c r="FE14" s="6" t="s">
        <v>201</v>
      </c>
      <c r="FF14" s="6" t="s">
        <v>201</v>
      </c>
      <c r="FG14" s="6" t="s">
        <v>217</v>
      </c>
      <c r="FH14" s="6">
        <v>405.6870182421971</v>
      </c>
      <c r="FI14" s="6">
        <f t="shared" si="8"/>
        <v>30.42652636816478</v>
      </c>
      <c r="FJ14" s="6">
        <f t="shared" si="9"/>
        <v>30.42652636816478</v>
      </c>
      <c r="FK14" s="6" t="s">
        <v>203</v>
      </c>
      <c r="FL14" s="6" t="s">
        <v>216</v>
      </c>
      <c r="FM14" s="6" t="s">
        <v>249</v>
      </c>
      <c r="FN14" s="6" t="s">
        <v>201</v>
      </c>
      <c r="FO14" s="6" t="s">
        <v>201</v>
      </c>
      <c r="FP14" s="6" t="s">
        <v>201</v>
      </c>
      <c r="FQ14" s="6" t="s">
        <v>201</v>
      </c>
      <c r="FR14" s="6" t="s">
        <v>201</v>
      </c>
      <c r="FS14" s="6" t="s">
        <v>201</v>
      </c>
      <c r="FT14" s="6" t="s">
        <v>200</v>
      </c>
      <c r="FU14" s="6" t="s">
        <v>212</v>
      </c>
      <c r="FV14" s="44" t="s">
        <v>284</v>
      </c>
      <c r="FW14" s="6" t="s">
        <v>201</v>
      </c>
      <c r="FX14" s="6" t="s">
        <v>201</v>
      </c>
      <c r="FY14" s="6" t="s">
        <v>247</v>
      </c>
    </row>
    <row r="15" spans="1:181" s="4" customFormat="1" x14ac:dyDescent="0.15">
      <c r="A15" s="3" t="s">
        <v>258</v>
      </c>
      <c r="B15" s="3" t="s">
        <v>193</v>
      </c>
      <c r="C15">
        <v>2017</v>
      </c>
      <c r="D15" s="22" t="str">
        <f t="shared" si="1"/>
        <v>10.1016/j.epsl.2017.03.016</v>
      </c>
      <c r="E15" s="22">
        <f t="shared" si="2"/>
        <v>1815.43</v>
      </c>
      <c r="F15" s="22" t="str">
        <f t="shared" si="3"/>
        <v>NA</v>
      </c>
      <c r="G15" s="22" t="str">
        <f t="shared" si="4"/>
        <v>NA</v>
      </c>
      <c r="H15" s="22">
        <f t="shared" si="5"/>
        <v>452.81613036458646</v>
      </c>
      <c r="I15" s="36">
        <f t="shared" si="6"/>
        <v>33.961209777343981</v>
      </c>
      <c r="J15" s="36">
        <f t="shared" si="7"/>
        <v>33.961209777343981</v>
      </c>
      <c r="K15" s="5" t="s">
        <v>251</v>
      </c>
      <c r="L15" s="5" t="s">
        <v>252</v>
      </c>
      <c r="M15" s="5" t="s">
        <v>194</v>
      </c>
      <c r="N15" s="5" t="s">
        <v>192</v>
      </c>
      <c r="O15" s="4">
        <v>850</v>
      </c>
      <c r="P15" s="5" t="s">
        <v>189</v>
      </c>
      <c r="Q15" s="4" t="s">
        <v>201</v>
      </c>
      <c r="R15" s="4" t="s">
        <v>201</v>
      </c>
      <c r="S15" s="4" t="s">
        <v>201</v>
      </c>
      <c r="T15" s="4" t="s">
        <v>201</v>
      </c>
      <c r="U15" s="4" t="s">
        <v>201</v>
      </c>
      <c r="V15" s="4" t="s">
        <v>201</v>
      </c>
      <c r="W15" s="4" t="s">
        <v>201</v>
      </c>
      <c r="X15" s="4" t="s">
        <v>201</v>
      </c>
      <c r="Y15" s="4" t="s">
        <v>201</v>
      </c>
      <c r="Z15" s="9">
        <v>36.024999999999999</v>
      </c>
      <c r="AA15" s="4" t="s">
        <v>207</v>
      </c>
      <c r="AB15" s="4">
        <v>1815.43</v>
      </c>
      <c r="AC15" s="4" t="s">
        <v>201</v>
      </c>
      <c r="AD15" s="4" t="s">
        <v>201</v>
      </c>
      <c r="AE15" s="4" t="s">
        <v>201</v>
      </c>
      <c r="AF15" s="5" t="s">
        <v>176</v>
      </c>
      <c r="AG15" s="5" t="s">
        <v>178</v>
      </c>
      <c r="AH15" s="12">
        <v>1.2971666666666666</v>
      </c>
      <c r="AI15" s="9">
        <v>-110.5215</v>
      </c>
      <c r="AJ15" s="37">
        <v>-4197</v>
      </c>
      <c r="AK15" s="4" t="s">
        <v>201</v>
      </c>
      <c r="AL15" s="4" t="s">
        <v>201</v>
      </c>
      <c r="AM15" s="4" t="s">
        <v>201</v>
      </c>
      <c r="AN15" s="4" t="s">
        <v>201</v>
      </c>
      <c r="AO15" s="5" t="s">
        <v>236</v>
      </c>
      <c r="AP15" s="4" t="s">
        <v>201</v>
      </c>
      <c r="AQ15" s="4" t="s">
        <v>201</v>
      </c>
      <c r="AR15" s="4" t="s">
        <v>201</v>
      </c>
      <c r="AS15" s="4" t="s">
        <v>201</v>
      </c>
      <c r="AT15" s="4" t="s">
        <v>201</v>
      </c>
      <c r="AU15" s="4" t="s">
        <v>201</v>
      </c>
      <c r="AV15" s="4" t="s">
        <v>201</v>
      </c>
      <c r="AW15" s="4" t="s">
        <v>201</v>
      </c>
      <c r="AX15" s="4">
        <v>1.8755844979387906</v>
      </c>
      <c r="AY15" s="4">
        <v>0.13</v>
      </c>
      <c r="AZ15" s="4" t="s">
        <v>203</v>
      </c>
      <c r="BA15" s="4" t="s">
        <v>201</v>
      </c>
      <c r="BB15" s="4">
        <v>-0.16607810988658572</v>
      </c>
      <c r="BC15" s="4">
        <v>0.24</v>
      </c>
      <c r="BD15" s="4" t="s">
        <v>203</v>
      </c>
      <c r="BE15" s="4" t="s">
        <v>201</v>
      </c>
      <c r="BF15" s="5" t="s">
        <v>181</v>
      </c>
      <c r="BG15" s="5" t="s">
        <v>182</v>
      </c>
      <c r="BH15" s="4">
        <v>0</v>
      </c>
      <c r="BI15" s="4" t="s">
        <v>201</v>
      </c>
      <c r="BJ15" s="4" t="s">
        <v>201</v>
      </c>
      <c r="BK15" s="4" t="s">
        <v>201</v>
      </c>
      <c r="BL15" s="4" t="s">
        <v>201</v>
      </c>
      <c r="BM15" s="4" t="s">
        <v>201</v>
      </c>
      <c r="BN15" s="4" t="s">
        <v>201</v>
      </c>
      <c r="BO15" s="4" t="s">
        <v>201</v>
      </c>
      <c r="BP15" s="4" t="s">
        <v>201</v>
      </c>
      <c r="BQ15" s="4" t="s">
        <v>201</v>
      </c>
      <c r="BR15" s="4" t="s">
        <v>201</v>
      </c>
      <c r="BS15" s="5" t="s">
        <v>183</v>
      </c>
      <c r="BT15" s="4">
        <v>-24.425052229155064</v>
      </c>
      <c r="BU15" s="5" t="s">
        <v>184</v>
      </c>
      <c r="BV15" s="4">
        <v>0.31</v>
      </c>
      <c r="BW15" s="4" t="s">
        <v>201</v>
      </c>
      <c r="BX15" s="4" t="s">
        <v>202</v>
      </c>
      <c r="BY15" s="4">
        <v>4.2</v>
      </c>
      <c r="BZ15" s="4" t="s">
        <v>201</v>
      </c>
      <c r="CA15" s="4" t="s">
        <v>201</v>
      </c>
      <c r="CB15" s="4">
        <v>-20.327637448517521</v>
      </c>
      <c r="CC15" s="4" t="s">
        <v>201</v>
      </c>
      <c r="CD15" s="4" t="s">
        <v>201</v>
      </c>
      <c r="CE15" s="4" t="s">
        <v>201</v>
      </c>
      <c r="CF15" s="4" t="s">
        <v>201</v>
      </c>
      <c r="CG15" s="4">
        <v>35</v>
      </c>
      <c r="CH15" s="4">
        <v>1</v>
      </c>
      <c r="CI15" s="4" t="s">
        <v>204</v>
      </c>
      <c r="CJ15" s="5" t="s">
        <v>185</v>
      </c>
      <c r="CK15" s="4">
        <v>0.82</v>
      </c>
      <c r="CL15" s="4">
        <v>0.1</v>
      </c>
      <c r="CM15" s="4">
        <v>0.1</v>
      </c>
      <c r="CN15" s="4" t="s">
        <v>204</v>
      </c>
      <c r="CO15" s="5" t="s">
        <v>186</v>
      </c>
      <c r="CP15" s="4" t="s">
        <v>201</v>
      </c>
      <c r="CQ15" s="4" t="s">
        <v>201</v>
      </c>
      <c r="CR15" s="4">
        <f t="shared" si="0"/>
        <v>23.581220000000002</v>
      </c>
      <c r="CS15" s="4" t="s">
        <v>201</v>
      </c>
      <c r="CT15" s="4" t="s">
        <v>201</v>
      </c>
      <c r="CU15" s="4" t="s">
        <v>201</v>
      </c>
      <c r="CV15" s="4" t="s">
        <v>211</v>
      </c>
      <c r="CW15" s="4">
        <v>0.87140681483464988</v>
      </c>
      <c r="CX15" s="4" t="s">
        <v>201</v>
      </c>
      <c r="CY15" s="4">
        <v>24.700150000000001</v>
      </c>
      <c r="CZ15" s="4" t="s">
        <v>201</v>
      </c>
      <c r="DA15" s="4" t="s">
        <v>201</v>
      </c>
      <c r="DB15" s="4" t="s">
        <v>201</v>
      </c>
      <c r="DC15" s="5" t="s">
        <v>190</v>
      </c>
      <c r="DD15" s="4" t="s">
        <v>205</v>
      </c>
      <c r="DE15" s="4" t="s">
        <v>201</v>
      </c>
      <c r="DF15" s="4" t="s">
        <v>201</v>
      </c>
      <c r="DG15" s="4" t="s">
        <v>201</v>
      </c>
      <c r="DH15" s="4" t="s">
        <v>201</v>
      </c>
      <c r="DI15" s="4">
        <v>22.462289999999999</v>
      </c>
      <c r="DJ15" s="4" t="s">
        <v>201</v>
      </c>
      <c r="DK15" s="4" t="s">
        <v>201</v>
      </c>
      <c r="DL15" s="4" t="s">
        <v>201</v>
      </c>
      <c r="DM15" s="4" t="s">
        <v>206</v>
      </c>
      <c r="DN15" s="4" t="s">
        <v>201</v>
      </c>
      <c r="DO15" s="4" t="s">
        <v>201</v>
      </c>
      <c r="DP15" s="4" t="s">
        <v>201</v>
      </c>
      <c r="DQ15" s="4" t="s">
        <v>201</v>
      </c>
      <c r="DR15" s="4" t="s">
        <v>201</v>
      </c>
      <c r="DS15" s="4" t="s">
        <v>201</v>
      </c>
      <c r="DT15" s="4" t="s">
        <v>201</v>
      </c>
      <c r="DU15" s="4" t="s">
        <v>201</v>
      </c>
      <c r="DV15" s="4" t="s">
        <v>201</v>
      </c>
      <c r="DW15" s="4" t="s">
        <v>201</v>
      </c>
      <c r="DX15" s="4" t="s">
        <v>201</v>
      </c>
      <c r="DY15" s="4" t="s">
        <v>201</v>
      </c>
      <c r="DZ15" s="4" t="s">
        <v>201</v>
      </c>
      <c r="EA15" s="4" t="s">
        <v>201</v>
      </c>
      <c r="EB15" s="4" t="s">
        <v>201</v>
      </c>
      <c r="EC15" s="4" t="s">
        <v>201</v>
      </c>
      <c r="ED15" s="4" t="s">
        <v>201</v>
      </c>
      <c r="EE15" s="4" t="s">
        <v>201</v>
      </c>
      <c r="EF15" s="4" t="s">
        <v>201</v>
      </c>
      <c r="EG15" s="4" t="s">
        <v>201</v>
      </c>
      <c r="EH15" s="4" t="s">
        <v>201</v>
      </c>
      <c r="EI15" s="4" t="s">
        <v>201</v>
      </c>
      <c r="EJ15" s="4" t="s">
        <v>201</v>
      </c>
      <c r="EK15" s="4" t="s">
        <v>201</v>
      </c>
      <c r="EL15" s="4" t="s">
        <v>201</v>
      </c>
      <c r="EM15" s="4" t="s">
        <v>201</v>
      </c>
      <c r="EN15" s="4" t="s">
        <v>201</v>
      </c>
      <c r="EO15" s="4" t="s">
        <v>201</v>
      </c>
      <c r="EP15" s="4" t="s">
        <v>201</v>
      </c>
      <c r="EQ15" s="4" t="s">
        <v>201</v>
      </c>
      <c r="ER15" s="4">
        <v>167.97479999999999</v>
      </c>
      <c r="ES15" s="4" t="s">
        <v>201</v>
      </c>
      <c r="ET15" s="4" t="s">
        <v>201</v>
      </c>
      <c r="EU15" s="4" t="s">
        <v>201</v>
      </c>
      <c r="EV15" s="5" t="s">
        <v>187</v>
      </c>
      <c r="EW15" s="4">
        <v>25</v>
      </c>
      <c r="EX15" s="4">
        <v>12.360626731498625</v>
      </c>
      <c r="EY15" s="4">
        <v>0.13948294594245958</v>
      </c>
      <c r="EZ15" s="4">
        <v>0.13948294594245958</v>
      </c>
      <c r="FA15" s="4" t="s">
        <v>201</v>
      </c>
      <c r="FB15" s="5" t="s">
        <v>250</v>
      </c>
      <c r="FC15" s="4" t="s">
        <v>201</v>
      </c>
      <c r="FD15" s="4" t="s">
        <v>201</v>
      </c>
      <c r="FE15" s="4" t="s">
        <v>201</v>
      </c>
      <c r="FF15" s="4" t="s">
        <v>201</v>
      </c>
      <c r="FG15" s="4" t="s">
        <v>217</v>
      </c>
      <c r="FH15" s="4">
        <v>452.81613036458646</v>
      </c>
      <c r="FI15" s="4">
        <f t="shared" si="8"/>
        <v>33.961209777343981</v>
      </c>
      <c r="FJ15" s="4">
        <f t="shared" si="9"/>
        <v>33.961209777343981</v>
      </c>
      <c r="FK15" s="4" t="s">
        <v>203</v>
      </c>
      <c r="FL15" s="4" t="s">
        <v>216</v>
      </c>
      <c r="FM15" s="4" t="s">
        <v>249</v>
      </c>
      <c r="FN15" s="4" t="s">
        <v>201</v>
      </c>
      <c r="FO15" s="4" t="s">
        <v>201</v>
      </c>
      <c r="FP15" s="4" t="s">
        <v>201</v>
      </c>
      <c r="FQ15" s="4" t="s">
        <v>201</v>
      </c>
      <c r="FR15" s="4" t="s">
        <v>201</v>
      </c>
      <c r="FS15" s="4" t="s">
        <v>201</v>
      </c>
      <c r="FT15" s="4" t="s">
        <v>200</v>
      </c>
      <c r="FU15" s="4" t="s">
        <v>212</v>
      </c>
      <c r="FV15" s="45" t="s">
        <v>285</v>
      </c>
      <c r="FW15" s="4" t="s">
        <v>201</v>
      </c>
      <c r="FX15" s="4" t="s">
        <v>201</v>
      </c>
      <c r="FY15" s="4" t="s">
        <v>247</v>
      </c>
    </row>
    <row r="16" spans="1:181" s="4" customFormat="1" x14ac:dyDescent="0.15">
      <c r="A16" s="3" t="s">
        <v>258</v>
      </c>
      <c r="B16" s="3" t="s">
        <v>193</v>
      </c>
      <c r="C16">
        <v>2017</v>
      </c>
      <c r="D16" s="22" t="str">
        <f t="shared" si="1"/>
        <v>10.1016/j.epsl.2017.03.016</v>
      </c>
      <c r="E16" s="22">
        <f t="shared" si="2"/>
        <v>1968.12</v>
      </c>
      <c r="F16" s="22" t="str">
        <f t="shared" si="3"/>
        <v>NA</v>
      </c>
      <c r="G16" s="22" t="str">
        <f t="shared" si="4"/>
        <v>NA</v>
      </c>
      <c r="H16" s="22">
        <f t="shared" si="5"/>
        <v>453.19018975400974</v>
      </c>
      <c r="I16" s="36">
        <f t="shared" si="6"/>
        <v>33.989264231550727</v>
      </c>
      <c r="J16" s="36">
        <f t="shared" si="7"/>
        <v>33.989264231550727</v>
      </c>
      <c r="K16" s="5" t="s">
        <v>251</v>
      </c>
      <c r="L16" s="5" t="s">
        <v>252</v>
      </c>
      <c r="M16" s="5" t="s">
        <v>194</v>
      </c>
      <c r="N16" s="5" t="s">
        <v>192</v>
      </c>
      <c r="O16" s="4">
        <v>850</v>
      </c>
      <c r="P16" s="5" t="s">
        <v>189</v>
      </c>
      <c r="Q16" s="4" t="s">
        <v>201</v>
      </c>
      <c r="R16" s="4" t="s">
        <v>201</v>
      </c>
      <c r="S16" s="4" t="s">
        <v>201</v>
      </c>
      <c r="T16" s="4" t="s">
        <v>201</v>
      </c>
      <c r="U16" s="4" t="s">
        <v>201</v>
      </c>
      <c r="V16" s="4" t="s">
        <v>201</v>
      </c>
      <c r="W16" s="4" t="s">
        <v>201</v>
      </c>
      <c r="X16" s="4" t="s">
        <v>201</v>
      </c>
      <c r="Y16" s="4" t="s">
        <v>201</v>
      </c>
      <c r="Z16" s="9">
        <v>39.024999999999999</v>
      </c>
      <c r="AA16" s="4" t="s">
        <v>207</v>
      </c>
      <c r="AB16" s="4">
        <v>1968.12</v>
      </c>
      <c r="AC16" s="4" t="s">
        <v>201</v>
      </c>
      <c r="AD16" s="4" t="s">
        <v>201</v>
      </c>
      <c r="AE16" s="4" t="s">
        <v>201</v>
      </c>
      <c r="AF16" s="5" t="s">
        <v>176</v>
      </c>
      <c r="AG16" s="5" t="s">
        <v>178</v>
      </c>
      <c r="AH16" s="12">
        <v>1.2971666666666666</v>
      </c>
      <c r="AI16" s="9">
        <v>-110.5215</v>
      </c>
      <c r="AJ16" s="37">
        <v>-4197</v>
      </c>
      <c r="AK16" s="4" t="s">
        <v>201</v>
      </c>
      <c r="AL16" s="4" t="s">
        <v>201</v>
      </c>
      <c r="AM16" s="4" t="s">
        <v>201</v>
      </c>
      <c r="AN16" s="4" t="s">
        <v>201</v>
      </c>
      <c r="AO16" s="5" t="s">
        <v>236</v>
      </c>
      <c r="AP16" s="4" t="s">
        <v>201</v>
      </c>
      <c r="AQ16" s="4" t="s">
        <v>201</v>
      </c>
      <c r="AR16" s="4" t="s">
        <v>201</v>
      </c>
      <c r="AS16" s="4" t="s">
        <v>201</v>
      </c>
      <c r="AT16" s="4" t="s">
        <v>201</v>
      </c>
      <c r="AU16" s="4" t="s">
        <v>201</v>
      </c>
      <c r="AV16" s="4" t="s">
        <v>201</v>
      </c>
      <c r="AW16" s="4" t="s">
        <v>201</v>
      </c>
      <c r="AX16" s="4">
        <v>2.1784828857018086</v>
      </c>
      <c r="AY16" s="4">
        <v>0.13</v>
      </c>
      <c r="AZ16" s="4" t="s">
        <v>203</v>
      </c>
      <c r="BA16" s="4" t="s">
        <v>201</v>
      </c>
      <c r="BB16" s="4">
        <v>-1.1565674296558959</v>
      </c>
      <c r="BC16" s="4">
        <v>0.24</v>
      </c>
      <c r="BD16" s="4" t="s">
        <v>203</v>
      </c>
      <c r="BE16" s="4" t="s">
        <v>201</v>
      </c>
      <c r="BF16" s="5" t="s">
        <v>181</v>
      </c>
      <c r="BG16" s="5" t="s">
        <v>182</v>
      </c>
      <c r="BH16" s="4">
        <v>0</v>
      </c>
      <c r="BI16" s="4" t="s">
        <v>201</v>
      </c>
      <c r="BJ16" s="4" t="s">
        <v>201</v>
      </c>
      <c r="BK16" s="4" t="s">
        <v>201</v>
      </c>
      <c r="BL16" s="4" t="s">
        <v>201</v>
      </c>
      <c r="BM16" s="4" t="s">
        <v>201</v>
      </c>
      <c r="BN16" s="4" t="s">
        <v>201</v>
      </c>
      <c r="BO16" s="4" t="s">
        <v>201</v>
      </c>
      <c r="BP16" s="4" t="s">
        <v>201</v>
      </c>
      <c r="BQ16" s="4" t="s">
        <v>201</v>
      </c>
      <c r="BR16" s="4" t="s">
        <v>201</v>
      </c>
      <c r="BS16" s="5" t="s">
        <v>183</v>
      </c>
      <c r="BT16" s="4">
        <v>-24.004315528179216</v>
      </c>
      <c r="BU16" s="5" t="s">
        <v>184</v>
      </c>
      <c r="BV16" s="4">
        <v>0.31</v>
      </c>
      <c r="BW16" s="4" t="s">
        <v>201</v>
      </c>
      <c r="BX16" s="4" t="s">
        <v>202</v>
      </c>
      <c r="BY16" s="4">
        <v>4.2</v>
      </c>
      <c r="BZ16" s="4" t="s">
        <v>201</v>
      </c>
      <c r="CA16" s="4" t="s">
        <v>201</v>
      </c>
      <c r="CB16" s="4">
        <v>-19.90513365339757</v>
      </c>
      <c r="CC16" s="4" t="s">
        <v>201</v>
      </c>
      <c r="CD16" s="4" t="s">
        <v>201</v>
      </c>
      <c r="CE16" s="4" t="s">
        <v>201</v>
      </c>
      <c r="CF16" s="4" t="s">
        <v>201</v>
      </c>
      <c r="CG16" s="4">
        <v>35</v>
      </c>
      <c r="CH16" s="4">
        <v>1</v>
      </c>
      <c r="CI16" s="4" t="s">
        <v>204</v>
      </c>
      <c r="CJ16" s="5" t="s">
        <v>185</v>
      </c>
      <c r="CK16" s="4">
        <v>0.82</v>
      </c>
      <c r="CL16" s="4">
        <v>0.1</v>
      </c>
      <c r="CM16" s="4">
        <v>0.1</v>
      </c>
      <c r="CN16" s="4" t="s">
        <v>204</v>
      </c>
      <c r="CO16" s="5" t="s">
        <v>186</v>
      </c>
      <c r="CP16" s="4" t="s">
        <v>201</v>
      </c>
      <c r="CQ16" s="4" t="s">
        <v>201</v>
      </c>
      <c r="CR16" s="4">
        <f t="shared" si="0"/>
        <v>23.821036508506946</v>
      </c>
      <c r="CS16" s="4" t="s">
        <v>201</v>
      </c>
      <c r="CT16" s="4" t="s">
        <v>201</v>
      </c>
      <c r="CU16" s="4" t="s">
        <v>201</v>
      </c>
      <c r="CV16" s="4" t="s">
        <v>211</v>
      </c>
      <c r="CW16" s="4">
        <v>0.86897281485935607</v>
      </c>
      <c r="CX16" s="4" t="s">
        <v>201</v>
      </c>
      <c r="CY16" s="4">
        <v>24.627431816738124</v>
      </c>
      <c r="CZ16" s="4" t="s">
        <v>201</v>
      </c>
      <c r="DA16" s="4" t="s">
        <v>201</v>
      </c>
      <c r="DB16" s="4" t="s">
        <v>201</v>
      </c>
      <c r="DC16" s="5" t="s">
        <v>190</v>
      </c>
      <c r="DD16" s="4" t="s">
        <v>205</v>
      </c>
      <c r="DE16" s="4" t="s">
        <v>201</v>
      </c>
      <c r="DF16" s="4" t="s">
        <v>201</v>
      </c>
      <c r="DG16" s="4" t="s">
        <v>201</v>
      </c>
      <c r="DH16" s="4" t="s">
        <v>201</v>
      </c>
      <c r="DI16" s="4">
        <v>23.014641200275769</v>
      </c>
      <c r="DJ16" s="4" t="s">
        <v>201</v>
      </c>
      <c r="DK16" s="4" t="s">
        <v>201</v>
      </c>
      <c r="DL16" s="4" t="s">
        <v>201</v>
      </c>
      <c r="DM16" s="4" t="s">
        <v>206</v>
      </c>
      <c r="DN16" s="4" t="s">
        <v>201</v>
      </c>
      <c r="DO16" s="4" t="s">
        <v>201</v>
      </c>
      <c r="DP16" s="4" t="s">
        <v>201</v>
      </c>
      <c r="DQ16" s="4" t="s">
        <v>201</v>
      </c>
      <c r="DR16" s="4" t="s">
        <v>201</v>
      </c>
      <c r="DS16" s="4" t="s">
        <v>201</v>
      </c>
      <c r="DT16" s="4" t="s">
        <v>201</v>
      </c>
      <c r="DU16" s="4" t="s">
        <v>201</v>
      </c>
      <c r="DV16" s="4" t="s">
        <v>201</v>
      </c>
      <c r="DW16" s="4" t="s">
        <v>201</v>
      </c>
      <c r="DX16" s="4" t="s">
        <v>201</v>
      </c>
      <c r="DY16" s="4" t="s">
        <v>201</v>
      </c>
      <c r="DZ16" s="4" t="s">
        <v>201</v>
      </c>
      <c r="EA16" s="4" t="s">
        <v>201</v>
      </c>
      <c r="EB16" s="4" t="s">
        <v>201</v>
      </c>
      <c r="EC16" s="4" t="s">
        <v>201</v>
      </c>
      <c r="ED16" s="4" t="s">
        <v>201</v>
      </c>
      <c r="EE16" s="4" t="s">
        <v>201</v>
      </c>
      <c r="EF16" s="4" t="s">
        <v>201</v>
      </c>
      <c r="EG16" s="4" t="s">
        <v>201</v>
      </c>
      <c r="EH16" s="4" t="s">
        <v>201</v>
      </c>
      <c r="EI16" s="4" t="s">
        <v>201</v>
      </c>
      <c r="EJ16" s="4" t="s">
        <v>201</v>
      </c>
      <c r="EK16" s="4" t="s">
        <v>201</v>
      </c>
      <c r="EL16" s="4" t="s">
        <v>201</v>
      </c>
      <c r="EM16" s="4" t="s">
        <v>201</v>
      </c>
      <c r="EN16" s="4" t="s">
        <v>201</v>
      </c>
      <c r="EO16" s="4" t="s">
        <v>201</v>
      </c>
      <c r="EP16" s="4" t="s">
        <v>201</v>
      </c>
      <c r="EQ16" s="4" t="s">
        <v>201</v>
      </c>
      <c r="ER16" s="4">
        <v>167.97479999999999</v>
      </c>
      <c r="ES16" s="4" t="s">
        <v>201</v>
      </c>
      <c r="ET16" s="4" t="s">
        <v>201</v>
      </c>
      <c r="EU16" s="4" t="s">
        <v>201</v>
      </c>
      <c r="EV16" s="5" t="s">
        <v>187</v>
      </c>
      <c r="EW16" s="4">
        <v>25</v>
      </c>
      <c r="EX16" s="4">
        <v>12.252749394697338</v>
      </c>
      <c r="EY16" s="4">
        <v>0.10051354869666795</v>
      </c>
      <c r="EZ16" s="4">
        <v>0.10051354869666795</v>
      </c>
      <c r="FA16" s="4" t="s">
        <v>201</v>
      </c>
      <c r="FB16" s="5" t="s">
        <v>250</v>
      </c>
      <c r="FC16" s="4" t="s">
        <v>201</v>
      </c>
      <c r="FD16" s="4" t="s">
        <v>201</v>
      </c>
      <c r="FE16" s="4" t="s">
        <v>201</v>
      </c>
      <c r="FF16" s="4" t="s">
        <v>201</v>
      </c>
      <c r="FG16" s="4" t="s">
        <v>217</v>
      </c>
      <c r="FH16" s="4">
        <v>453.19018975400974</v>
      </c>
      <c r="FI16" s="4">
        <f t="shared" si="8"/>
        <v>33.989264231550727</v>
      </c>
      <c r="FJ16" s="4">
        <f t="shared" si="9"/>
        <v>33.989264231550727</v>
      </c>
      <c r="FK16" s="4" t="s">
        <v>203</v>
      </c>
      <c r="FL16" s="4" t="s">
        <v>216</v>
      </c>
      <c r="FM16" s="4" t="s">
        <v>249</v>
      </c>
      <c r="FN16" s="4" t="s">
        <v>201</v>
      </c>
      <c r="FO16" s="4" t="s">
        <v>201</v>
      </c>
      <c r="FP16" s="4" t="s">
        <v>201</v>
      </c>
      <c r="FQ16" s="4" t="s">
        <v>201</v>
      </c>
      <c r="FR16" s="4" t="s">
        <v>201</v>
      </c>
      <c r="FS16" s="4" t="s">
        <v>201</v>
      </c>
      <c r="FT16" s="4" t="s">
        <v>200</v>
      </c>
      <c r="FU16" s="4" t="s">
        <v>212</v>
      </c>
      <c r="FV16" s="45" t="s">
        <v>286</v>
      </c>
      <c r="FW16" s="4" t="s">
        <v>201</v>
      </c>
      <c r="FX16" s="4" t="s">
        <v>201</v>
      </c>
      <c r="FY16" s="4" t="s">
        <v>247</v>
      </c>
    </row>
    <row r="17" spans="1:181" s="4" customFormat="1" x14ac:dyDescent="0.15">
      <c r="A17" s="3" t="s">
        <v>258</v>
      </c>
      <c r="B17" s="3" t="s">
        <v>193</v>
      </c>
      <c r="C17">
        <v>2017</v>
      </c>
      <c r="D17" s="22" t="str">
        <f t="shared" si="1"/>
        <v>10.1016/j.epsl.2017.03.016</v>
      </c>
      <c r="E17" s="22">
        <f t="shared" si="2"/>
        <v>2120.46</v>
      </c>
      <c r="F17" s="22" t="str">
        <f t="shared" si="3"/>
        <v>NA</v>
      </c>
      <c r="G17" s="22" t="str">
        <f t="shared" si="4"/>
        <v>NA</v>
      </c>
      <c r="H17" s="22">
        <f t="shared" si="5"/>
        <v>450.72391427294792</v>
      </c>
      <c r="I17" s="36">
        <f t="shared" si="6"/>
        <v>33.804293570471096</v>
      </c>
      <c r="J17" s="36">
        <f t="shared" si="7"/>
        <v>33.804293570471096</v>
      </c>
      <c r="K17" s="5" t="s">
        <v>251</v>
      </c>
      <c r="L17" s="5" t="s">
        <v>252</v>
      </c>
      <c r="M17" s="5" t="s">
        <v>194</v>
      </c>
      <c r="N17" s="5" t="s">
        <v>192</v>
      </c>
      <c r="O17" s="4">
        <v>850</v>
      </c>
      <c r="P17" s="5" t="s">
        <v>189</v>
      </c>
      <c r="Q17" s="4" t="s">
        <v>201</v>
      </c>
      <c r="R17" s="4" t="s">
        <v>201</v>
      </c>
      <c r="S17" s="4" t="s">
        <v>201</v>
      </c>
      <c r="T17" s="4" t="s">
        <v>201</v>
      </c>
      <c r="U17" s="4" t="s">
        <v>201</v>
      </c>
      <c r="V17" s="4" t="s">
        <v>201</v>
      </c>
      <c r="W17" s="4" t="s">
        <v>201</v>
      </c>
      <c r="X17" s="4" t="s">
        <v>201</v>
      </c>
      <c r="Y17" s="4" t="s">
        <v>201</v>
      </c>
      <c r="Z17" s="9">
        <v>42.024999999999999</v>
      </c>
      <c r="AA17" s="4" t="s">
        <v>207</v>
      </c>
      <c r="AB17" s="4">
        <v>2120.46</v>
      </c>
      <c r="AC17" s="4" t="s">
        <v>201</v>
      </c>
      <c r="AD17" s="4" t="s">
        <v>201</v>
      </c>
      <c r="AE17" s="4" t="s">
        <v>201</v>
      </c>
      <c r="AF17" s="5" t="s">
        <v>176</v>
      </c>
      <c r="AG17" s="5" t="s">
        <v>178</v>
      </c>
      <c r="AH17" s="12">
        <v>1.2971666666666666</v>
      </c>
      <c r="AI17" s="9">
        <v>-110.5215</v>
      </c>
      <c r="AJ17" s="37">
        <v>-4197</v>
      </c>
      <c r="AK17" s="4" t="s">
        <v>201</v>
      </c>
      <c r="AL17" s="4" t="s">
        <v>201</v>
      </c>
      <c r="AM17" s="4" t="s">
        <v>201</v>
      </c>
      <c r="AN17" s="4" t="s">
        <v>201</v>
      </c>
      <c r="AO17" s="5" t="s">
        <v>236</v>
      </c>
      <c r="AP17" s="4" t="s">
        <v>201</v>
      </c>
      <c r="AQ17" s="4" t="s">
        <v>201</v>
      </c>
      <c r="AR17" s="4" t="s">
        <v>201</v>
      </c>
      <c r="AS17" s="4" t="s">
        <v>201</v>
      </c>
      <c r="AT17" s="4" t="s">
        <v>201</v>
      </c>
      <c r="AU17" s="4" t="s">
        <v>201</v>
      </c>
      <c r="AV17" s="4" t="s">
        <v>201</v>
      </c>
      <c r="AW17" s="4" t="s">
        <v>201</v>
      </c>
      <c r="AX17" s="4">
        <v>2.274681891317941</v>
      </c>
      <c r="AY17" s="4">
        <v>0.13</v>
      </c>
      <c r="AZ17" s="4" t="s">
        <v>203</v>
      </c>
      <c r="BA17" s="4" t="s">
        <v>201</v>
      </c>
      <c r="BB17" s="4">
        <v>0.21540063963513131</v>
      </c>
      <c r="BC17" s="4">
        <v>0.24</v>
      </c>
      <c r="BD17" s="4" t="s">
        <v>203</v>
      </c>
      <c r="BE17" s="4" t="s">
        <v>201</v>
      </c>
      <c r="BF17" s="5" t="s">
        <v>181</v>
      </c>
      <c r="BG17" s="5" t="s">
        <v>182</v>
      </c>
      <c r="BH17" s="4">
        <v>0</v>
      </c>
      <c r="BI17" s="4" t="s">
        <v>201</v>
      </c>
      <c r="BJ17" s="4" t="s">
        <v>201</v>
      </c>
      <c r="BK17" s="4" t="s">
        <v>201</v>
      </c>
      <c r="BL17" s="4" t="s">
        <v>201</v>
      </c>
      <c r="BM17" s="4" t="s">
        <v>201</v>
      </c>
      <c r="BN17" s="4" t="s">
        <v>201</v>
      </c>
      <c r="BO17" s="4" t="s">
        <v>201</v>
      </c>
      <c r="BP17" s="4" t="s">
        <v>201</v>
      </c>
      <c r="BQ17" s="4" t="s">
        <v>201</v>
      </c>
      <c r="BR17" s="4" t="s">
        <v>201</v>
      </c>
      <c r="BS17" s="5" t="s">
        <v>183</v>
      </c>
      <c r="BT17" s="4">
        <v>-23.77702921782349</v>
      </c>
      <c r="BU17" s="5" t="s">
        <v>184</v>
      </c>
      <c r="BV17" s="4">
        <v>0.31</v>
      </c>
      <c r="BW17" s="4" t="s">
        <v>201</v>
      </c>
      <c r="BX17" s="4" t="s">
        <v>202</v>
      </c>
      <c r="BY17" s="4">
        <v>4.2</v>
      </c>
      <c r="BZ17" s="4" t="s">
        <v>201</v>
      </c>
      <c r="CA17" s="4" t="s">
        <v>201</v>
      </c>
      <c r="CB17" s="4">
        <v>-19.676892740538392</v>
      </c>
      <c r="CC17" s="4" t="s">
        <v>201</v>
      </c>
      <c r="CD17" s="4" t="s">
        <v>201</v>
      </c>
      <c r="CE17" s="4" t="s">
        <v>201</v>
      </c>
      <c r="CF17" s="4" t="s">
        <v>201</v>
      </c>
      <c r="CG17" s="4">
        <v>35</v>
      </c>
      <c r="CH17" s="4">
        <v>1</v>
      </c>
      <c r="CI17" s="4" t="s">
        <v>204</v>
      </c>
      <c r="CJ17" s="5" t="s">
        <v>185</v>
      </c>
      <c r="CK17" s="4">
        <v>0.82</v>
      </c>
      <c r="CL17" s="4">
        <v>0.1</v>
      </c>
      <c r="CM17" s="4">
        <v>0.1</v>
      </c>
      <c r="CN17" s="4" t="s">
        <v>204</v>
      </c>
      <c r="CO17" s="5" t="s">
        <v>186</v>
      </c>
      <c r="CP17" s="4" t="s">
        <v>201</v>
      </c>
      <c r="CQ17" s="4" t="s">
        <v>201</v>
      </c>
      <c r="CR17" s="4">
        <f t="shared" si="0"/>
        <v>23.947984999999999</v>
      </c>
      <c r="CS17" s="4" t="s">
        <v>201</v>
      </c>
      <c r="CT17" s="4" t="s">
        <v>201</v>
      </c>
      <c r="CU17" s="4" t="s">
        <v>201</v>
      </c>
      <c r="CV17" s="4" t="s">
        <v>211</v>
      </c>
      <c r="CW17" s="4">
        <v>0.8680911099210068</v>
      </c>
      <c r="CX17" s="4" t="s">
        <v>201</v>
      </c>
      <c r="CY17" s="4">
        <v>24.601089999999999</v>
      </c>
      <c r="CZ17" s="4" t="s">
        <v>201</v>
      </c>
      <c r="DA17" s="4" t="s">
        <v>201</v>
      </c>
      <c r="DB17" s="4" t="s">
        <v>201</v>
      </c>
      <c r="DC17" s="5" t="s">
        <v>190</v>
      </c>
      <c r="DD17" s="4" t="s">
        <v>205</v>
      </c>
      <c r="DE17" s="4" t="s">
        <v>201</v>
      </c>
      <c r="DF17" s="4" t="s">
        <v>201</v>
      </c>
      <c r="DG17" s="4" t="s">
        <v>201</v>
      </c>
      <c r="DH17" s="4" t="s">
        <v>201</v>
      </c>
      <c r="DI17" s="4">
        <v>23.294879999999999</v>
      </c>
      <c r="DJ17" s="4" t="s">
        <v>201</v>
      </c>
      <c r="DK17" s="4" t="s">
        <v>201</v>
      </c>
      <c r="DL17" s="4" t="s">
        <v>201</v>
      </c>
      <c r="DM17" s="4" t="s">
        <v>206</v>
      </c>
      <c r="DN17" s="4" t="s">
        <v>201</v>
      </c>
      <c r="DO17" s="4" t="s">
        <v>201</v>
      </c>
      <c r="DP17" s="4" t="s">
        <v>201</v>
      </c>
      <c r="DQ17" s="4" t="s">
        <v>201</v>
      </c>
      <c r="DR17" s="4" t="s">
        <v>201</v>
      </c>
      <c r="DS17" s="4" t="s">
        <v>201</v>
      </c>
      <c r="DT17" s="4" t="s">
        <v>201</v>
      </c>
      <c r="DU17" s="4" t="s">
        <v>201</v>
      </c>
      <c r="DV17" s="4" t="s">
        <v>201</v>
      </c>
      <c r="DW17" s="4" t="s">
        <v>201</v>
      </c>
      <c r="DX17" s="4" t="s">
        <v>201</v>
      </c>
      <c r="DY17" s="4" t="s">
        <v>201</v>
      </c>
      <c r="DZ17" s="4" t="s">
        <v>201</v>
      </c>
      <c r="EA17" s="4" t="s">
        <v>201</v>
      </c>
      <c r="EB17" s="4" t="s">
        <v>201</v>
      </c>
      <c r="EC17" s="4" t="s">
        <v>201</v>
      </c>
      <c r="ED17" s="4" t="s">
        <v>201</v>
      </c>
      <c r="EE17" s="4" t="s">
        <v>201</v>
      </c>
      <c r="EF17" s="4" t="s">
        <v>201</v>
      </c>
      <c r="EG17" s="4" t="s">
        <v>201</v>
      </c>
      <c r="EH17" s="4" t="s">
        <v>201</v>
      </c>
      <c r="EI17" s="4" t="s">
        <v>201</v>
      </c>
      <c r="EJ17" s="4" t="s">
        <v>201</v>
      </c>
      <c r="EK17" s="4" t="s">
        <v>201</v>
      </c>
      <c r="EL17" s="4" t="s">
        <v>201</v>
      </c>
      <c r="EM17" s="4" t="s">
        <v>201</v>
      </c>
      <c r="EN17" s="4" t="s">
        <v>201</v>
      </c>
      <c r="EO17" s="4" t="s">
        <v>201</v>
      </c>
      <c r="EP17" s="4" t="s">
        <v>201</v>
      </c>
      <c r="EQ17" s="4" t="s">
        <v>201</v>
      </c>
      <c r="ER17" s="4">
        <v>167.97479999999999</v>
      </c>
      <c r="ES17" s="4" t="s">
        <v>201</v>
      </c>
      <c r="ET17" s="4" t="s">
        <v>201</v>
      </c>
      <c r="EU17" s="4" t="s">
        <v>201</v>
      </c>
      <c r="EV17" s="5" t="s">
        <v>187</v>
      </c>
      <c r="EW17" s="4">
        <v>25</v>
      </c>
      <c r="EX17" s="4">
        <v>12.120985633133019</v>
      </c>
      <c r="EY17" s="4">
        <v>8.1396359281393771E-2</v>
      </c>
      <c r="EZ17" s="4">
        <v>8.1396359281393771E-2</v>
      </c>
      <c r="FA17" s="4" t="s">
        <v>201</v>
      </c>
      <c r="FB17" s="5" t="s">
        <v>250</v>
      </c>
      <c r="FC17" s="4" t="s">
        <v>201</v>
      </c>
      <c r="FD17" s="4" t="s">
        <v>201</v>
      </c>
      <c r="FE17" s="4" t="s">
        <v>201</v>
      </c>
      <c r="FF17" s="4" t="s">
        <v>201</v>
      </c>
      <c r="FG17" s="4" t="s">
        <v>217</v>
      </c>
      <c r="FH17" s="4">
        <v>450.72391427294792</v>
      </c>
      <c r="FI17" s="4">
        <f t="shared" si="8"/>
        <v>33.804293570471096</v>
      </c>
      <c r="FJ17" s="4">
        <f t="shared" si="9"/>
        <v>33.804293570471096</v>
      </c>
      <c r="FK17" s="4" t="s">
        <v>203</v>
      </c>
      <c r="FL17" s="4" t="s">
        <v>216</v>
      </c>
      <c r="FM17" s="4" t="s">
        <v>249</v>
      </c>
      <c r="FN17" s="4" t="s">
        <v>201</v>
      </c>
      <c r="FO17" s="4" t="s">
        <v>201</v>
      </c>
      <c r="FP17" s="4" t="s">
        <v>201</v>
      </c>
      <c r="FQ17" s="4" t="s">
        <v>201</v>
      </c>
      <c r="FR17" s="4" t="s">
        <v>201</v>
      </c>
      <c r="FS17" s="4" t="s">
        <v>201</v>
      </c>
      <c r="FT17" s="4" t="s">
        <v>200</v>
      </c>
      <c r="FU17" s="4" t="s">
        <v>212</v>
      </c>
      <c r="FV17" s="45" t="s">
        <v>287</v>
      </c>
      <c r="FW17" s="4" t="s">
        <v>201</v>
      </c>
      <c r="FX17" s="4" t="s">
        <v>201</v>
      </c>
      <c r="FY17" s="4" t="s">
        <v>247</v>
      </c>
    </row>
    <row r="18" spans="1:181" s="6" customFormat="1" x14ac:dyDescent="0.15">
      <c r="A18" s="3" t="s">
        <v>258</v>
      </c>
      <c r="B18" s="3" t="s">
        <v>193</v>
      </c>
      <c r="C18">
        <v>2017</v>
      </c>
      <c r="D18" s="22" t="str">
        <f t="shared" si="1"/>
        <v>10.1016/j.epsl.2017.03.016</v>
      </c>
      <c r="E18" s="22">
        <f t="shared" si="2"/>
        <v>2254.89</v>
      </c>
      <c r="F18" s="22" t="str">
        <f t="shared" si="3"/>
        <v>NA</v>
      </c>
      <c r="G18" s="22" t="str">
        <f t="shared" si="4"/>
        <v>NA</v>
      </c>
      <c r="H18" s="22">
        <f t="shared" si="5"/>
        <v>472.51238066642651</v>
      </c>
      <c r="I18" s="36">
        <f t="shared" si="6"/>
        <v>35.438428549981985</v>
      </c>
      <c r="J18" s="36">
        <f t="shared" si="7"/>
        <v>35.438428549981985</v>
      </c>
      <c r="K18" s="7" t="s">
        <v>251</v>
      </c>
      <c r="L18" s="7" t="s">
        <v>252</v>
      </c>
      <c r="M18" s="7" t="s">
        <v>194</v>
      </c>
      <c r="N18" s="7" t="s">
        <v>192</v>
      </c>
      <c r="O18" s="6">
        <v>850</v>
      </c>
      <c r="P18" s="7" t="s">
        <v>189</v>
      </c>
      <c r="Q18" s="6">
        <v>4</v>
      </c>
      <c r="R18" s="6" t="s">
        <v>208</v>
      </c>
      <c r="S18" s="6" t="s">
        <v>209</v>
      </c>
      <c r="T18" s="6">
        <v>7</v>
      </c>
      <c r="U18" s="6" t="s">
        <v>201</v>
      </c>
      <c r="V18" s="6" t="s">
        <v>201</v>
      </c>
      <c r="W18" s="6" t="s">
        <v>201</v>
      </c>
      <c r="X18" s="6" t="s">
        <v>201</v>
      </c>
      <c r="Y18" s="6" t="s">
        <v>201</v>
      </c>
      <c r="Z18" s="8">
        <v>45.024999999999999</v>
      </c>
      <c r="AA18" s="6" t="s">
        <v>207</v>
      </c>
      <c r="AB18" s="6">
        <v>2254.89</v>
      </c>
      <c r="AC18" s="6" t="s">
        <v>201</v>
      </c>
      <c r="AD18" s="6" t="s">
        <v>201</v>
      </c>
      <c r="AE18" s="6" t="s">
        <v>201</v>
      </c>
      <c r="AF18" s="7" t="s">
        <v>176</v>
      </c>
      <c r="AG18" s="7" t="s">
        <v>178</v>
      </c>
      <c r="AH18" s="11">
        <v>1.2971666666666666</v>
      </c>
      <c r="AI18" s="8">
        <v>-110.5215</v>
      </c>
      <c r="AJ18" s="6">
        <v>-4197</v>
      </c>
      <c r="AK18" s="6" t="s">
        <v>201</v>
      </c>
      <c r="AL18" s="6" t="s">
        <v>201</v>
      </c>
      <c r="AM18" s="6" t="s">
        <v>201</v>
      </c>
      <c r="AN18" s="6" t="s">
        <v>201</v>
      </c>
      <c r="AO18" s="7" t="s">
        <v>236</v>
      </c>
      <c r="AP18" s="6" t="s">
        <v>201</v>
      </c>
      <c r="AQ18" s="6" t="s">
        <v>201</v>
      </c>
      <c r="AR18" s="6" t="s">
        <v>201</v>
      </c>
      <c r="AS18" s="6" t="s">
        <v>201</v>
      </c>
      <c r="AT18" s="6" t="s">
        <v>201</v>
      </c>
      <c r="AU18" s="6" t="s">
        <v>201</v>
      </c>
      <c r="AV18" s="6" t="s">
        <v>201</v>
      </c>
      <c r="AW18" s="6" t="s">
        <v>201</v>
      </c>
      <c r="AX18" s="6">
        <v>1.8719438987119719</v>
      </c>
      <c r="AY18" s="6">
        <v>0.13</v>
      </c>
      <c r="AZ18" s="6" t="s">
        <v>203</v>
      </c>
      <c r="BA18" s="6" t="s">
        <v>201</v>
      </c>
      <c r="BB18" s="6">
        <v>-7.6549145754013684E-2</v>
      </c>
      <c r="BC18" s="6">
        <v>0.24</v>
      </c>
      <c r="BD18" s="6" t="s">
        <v>203</v>
      </c>
      <c r="BE18" s="6" t="s">
        <v>201</v>
      </c>
      <c r="BF18" s="7" t="s">
        <v>181</v>
      </c>
      <c r="BG18" s="7" t="s">
        <v>182</v>
      </c>
      <c r="BH18" s="6">
        <v>0</v>
      </c>
      <c r="BI18" s="6" t="s">
        <v>201</v>
      </c>
      <c r="BJ18" s="6" t="s">
        <v>201</v>
      </c>
      <c r="BK18" s="6" t="s">
        <v>201</v>
      </c>
      <c r="BL18" s="6" t="s">
        <v>201</v>
      </c>
      <c r="BM18" s="6" t="s">
        <v>201</v>
      </c>
      <c r="BN18" s="6" t="s">
        <v>201</v>
      </c>
      <c r="BO18" s="6" t="s">
        <v>201</v>
      </c>
      <c r="BP18" s="6" t="s">
        <v>201</v>
      </c>
      <c r="BQ18" s="6" t="s">
        <v>201</v>
      </c>
      <c r="BR18" s="6" t="s">
        <v>201</v>
      </c>
      <c r="BS18" s="7" t="s">
        <v>183</v>
      </c>
      <c r="BT18" s="6">
        <v>-24.759135136879351</v>
      </c>
      <c r="BU18" s="7" t="s">
        <v>184</v>
      </c>
      <c r="BV18" s="6">
        <v>0.31</v>
      </c>
      <c r="BW18" s="6" t="s">
        <v>201</v>
      </c>
      <c r="BX18" s="6" t="s">
        <v>202</v>
      </c>
      <c r="BY18" s="6">
        <v>4.2</v>
      </c>
      <c r="BZ18" s="6" t="s">
        <v>201</v>
      </c>
      <c r="CA18" s="6" t="s">
        <v>201</v>
      </c>
      <c r="CB18" s="6">
        <v>-20.663123504454234</v>
      </c>
      <c r="CC18" s="6" t="s">
        <v>201</v>
      </c>
      <c r="CD18" s="6" t="s">
        <v>201</v>
      </c>
      <c r="CE18" s="6" t="s">
        <v>201</v>
      </c>
      <c r="CF18" s="6" t="s">
        <v>201</v>
      </c>
      <c r="CG18" s="6">
        <v>35</v>
      </c>
      <c r="CH18" s="6">
        <v>1</v>
      </c>
      <c r="CI18" s="6" t="s">
        <v>204</v>
      </c>
      <c r="CJ18" s="7" t="s">
        <v>185</v>
      </c>
      <c r="CK18" s="6">
        <v>0.82</v>
      </c>
      <c r="CL18" s="6">
        <v>0.1</v>
      </c>
      <c r="CM18" s="6">
        <v>0.1</v>
      </c>
      <c r="CN18" s="6" t="s">
        <v>204</v>
      </c>
      <c r="CO18" s="7" t="s">
        <v>186</v>
      </c>
      <c r="CP18" s="6" t="s">
        <v>201</v>
      </c>
      <c r="CQ18" s="6" t="s">
        <v>201</v>
      </c>
      <c r="CR18" s="6">
        <f t="shared" si="0"/>
        <v>24.010384999999999</v>
      </c>
      <c r="CS18" s="6" t="s">
        <v>201</v>
      </c>
      <c r="CT18" s="6" t="s">
        <v>201</v>
      </c>
      <c r="CU18" s="6" t="s">
        <v>201</v>
      </c>
      <c r="CV18" s="6" t="s">
        <v>211</v>
      </c>
      <c r="CW18" s="6">
        <v>0.87938445575043511</v>
      </c>
      <c r="CX18" s="6" t="s">
        <v>201</v>
      </c>
      <c r="CY18" s="6">
        <v>24.938490000000002</v>
      </c>
      <c r="CZ18" s="6" t="s">
        <v>201</v>
      </c>
      <c r="DA18" s="6" t="s">
        <v>201</v>
      </c>
      <c r="DB18" s="6" t="s">
        <v>201</v>
      </c>
      <c r="DC18" s="7" t="s">
        <v>190</v>
      </c>
      <c r="DD18" s="6" t="s">
        <v>205</v>
      </c>
      <c r="DE18" s="6" t="s">
        <v>201</v>
      </c>
      <c r="DF18" s="6" t="s">
        <v>201</v>
      </c>
      <c r="DG18" s="6" t="s">
        <v>201</v>
      </c>
      <c r="DH18" s="6" t="s">
        <v>201</v>
      </c>
      <c r="DI18" s="6">
        <v>23.082280000000001</v>
      </c>
      <c r="DJ18" s="6" t="s">
        <v>201</v>
      </c>
      <c r="DK18" s="6" t="s">
        <v>201</v>
      </c>
      <c r="DL18" s="6" t="s">
        <v>201</v>
      </c>
      <c r="DM18" s="6" t="s">
        <v>206</v>
      </c>
      <c r="DN18" s="6" t="s">
        <v>201</v>
      </c>
      <c r="DO18" s="6" t="s">
        <v>201</v>
      </c>
      <c r="DP18" s="6" t="s">
        <v>201</v>
      </c>
      <c r="DQ18" s="6" t="s">
        <v>201</v>
      </c>
      <c r="DR18" s="6" t="s">
        <v>201</v>
      </c>
      <c r="DS18" s="6" t="s">
        <v>201</v>
      </c>
      <c r="DT18" s="6" t="s">
        <v>201</v>
      </c>
      <c r="DU18" s="6" t="s">
        <v>201</v>
      </c>
      <c r="DV18" s="6" t="s">
        <v>201</v>
      </c>
      <c r="DW18" s="6" t="s">
        <v>201</v>
      </c>
      <c r="DX18" s="6">
        <v>2.6472222222222221</v>
      </c>
      <c r="DY18" s="6" t="s">
        <v>201</v>
      </c>
      <c r="DZ18" s="6" t="s">
        <v>201</v>
      </c>
      <c r="EA18" s="6" t="s">
        <v>201</v>
      </c>
      <c r="EB18" s="6" t="s">
        <v>201</v>
      </c>
      <c r="EC18" s="6" t="s">
        <v>201</v>
      </c>
      <c r="ED18" s="6" t="s">
        <v>201</v>
      </c>
      <c r="EE18" s="6" t="s">
        <v>201</v>
      </c>
      <c r="EF18" s="6" t="s">
        <v>201</v>
      </c>
      <c r="EG18" s="6" t="s">
        <v>201</v>
      </c>
      <c r="EH18" s="6" t="s">
        <v>201</v>
      </c>
      <c r="EI18" s="6" t="s">
        <v>201</v>
      </c>
      <c r="EJ18" s="6" t="s">
        <v>201</v>
      </c>
      <c r="EK18" s="6" t="s">
        <v>201</v>
      </c>
      <c r="EL18" s="6" t="s">
        <v>201</v>
      </c>
      <c r="EM18" s="6" t="s">
        <v>201</v>
      </c>
      <c r="EN18" s="6" t="s">
        <v>201</v>
      </c>
      <c r="EO18" s="6" t="s">
        <v>201</v>
      </c>
      <c r="EP18" s="6" t="s">
        <v>201</v>
      </c>
      <c r="EQ18" s="6" t="s">
        <v>201</v>
      </c>
      <c r="ER18" s="6">
        <v>167.97479999999999</v>
      </c>
      <c r="ES18" s="6" t="s">
        <v>201</v>
      </c>
      <c r="ET18" s="6" t="s">
        <v>201</v>
      </c>
      <c r="EU18" s="6" t="s">
        <v>201</v>
      </c>
      <c r="EV18" s="7" t="s">
        <v>187</v>
      </c>
      <c r="EW18" s="6">
        <v>25</v>
      </c>
      <c r="EX18" s="6">
        <v>12.73308598581413</v>
      </c>
      <c r="EY18" s="6">
        <v>0.11573466023007128</v>
      </c>
      <c r="EZ18" s="6">
        <v>0.11573466023007128</v>
      </c>
      <c r="FA18" s="6" t="s">
        <v>201</v>
      </c>
      <c r="FB18" s="7" t="s">
        <v>250</v>
      </c>
      <c r="FC18" s="6" t="s">
        <v>201</v>
      </c>
      <c r="FD18" s="6" t="s">
        <v>201</v>
      </c>
      <c r="FE18" s="6" t="s">
        <v>201</v>
      </c>
      <c r="FF18" s="6" t="s">
        <v>201</v>
      </c>
      <c r="FG18" s="6" t="s">
        <v>217</v>
      </c>
      <c r="FH18" s="6">
        <v>472.51238066642651</v>
      </c>
      <c r="FI18" s="6">
        <f t="shared" si="8"/>
        <v>35.438428549981985</v>
      </c>
      <c r="FJ18" s="6">
        <f t="shared" si="9"/>
        <v>35.438428549981985</v>
      </c>
      <c r="FK18" s="6" t="s">
        <v>203</v>
      </c>
      <c r="FL18" s="6" t="s">
        <v>216</v>
      </c>
      <c r="FM18" s="6" t="s">
        <v>249</v>
      </c>
      <c r="FN18" s="6" t="s">
        <v>201</v>
      </c>
      <c r="FO18" s="6" t="s">
        <v>201</v>
      </c>
      <c r="FP18" s="6" t="s">
        <v>201</v>
      </c>
      <c r="FQ18" s="6" t="s">
        <v>201</v>
      </c>
      <c r="FR18" s="6" t="s">
        <v>201</v>
      </c>
      <c r="FS18" s="6" t="s">
        <v>201</v>
      </c>
      <c r="FT18" s="6" t="s">
        <v>200</v>
      </c>
      <c r="FU18" s="6" t="s">
        <v>212</v>
      </c>
      <c r="FV18" s="44" t="s">
        <v>288</v>
      </c>
      <c r="FW18" s="6" t="s">
        <v>201</v>
      </c>
      <c r="FX18" s="6" t="s">
        <v>201</v>
      </c>
      <c r="FY18" s="6" t="s">
        <v>247</v>
      </c>
    </row>
    <row r="19" spans="1:181" s="4" customFormat="1" x14ac:dyDescent="0.15">
      <c r="A19" s="3" t="s">
        <v>258</v>
      </c>
      <c r="B19" s="3" t="s">
        <v>193</v>
      </c>
      <c r="C19">
        <v>2017</v>
      </c>
      <c r="D19" s="22" t="str">
        <f t="shared" si="1"/>
        <v>10.1016/j.epsl.2017.03.016</v>
      </c>
      <c r="E19" s="22">
        <f t="shared" si="2"/>
        <v>2387.0700000000002</v>
      </c>
      <c r="F19" s="22" t="str">
        <f t="shared" si="3"/>
        <v>NA</v>
      </c>
      <c r="G19" s="22" t="str">
        <f t="shared" si="4"/>
        <v>NA</v>
      </c>
      <c r="H19" s="22">
        <f t="shared" si="5"/>
        <v>486.81233587624422</v>
      </c>
      <c r="I19" s="36">
        <f t="shared" si="6"/>
        <v>36.510925190718318</v>
      </c>
      <c r="J19" s="36">
        <f t="shared" si="7"/>
        <v>36.510925190718318</v>
      </c>
      <c r="K19" s="5" t="s">
        <v>251</v>
      </c>
      <c r="L19" s="5" t="s">
        <v>252</v>
      </c>
      <c r="M19" s="5" t="s">
        <v>194</v>
      </c>
      <c r="N19" s="5" t="s">
        <v>192</v>
      </c>
      <c r="O19" s="4">
        <v>850</v>
      </c>
      <c r="P19" s="5" t="s">
        <v>189</v>
      </c>
      <c r="Q19" s="4" t="s">
        <v>201</v>
      </c>
      <c r="R19" s="4" t="s">
        <v>201</v>
      </c>
      <c r="S19" s="4" t="s">
        <v>201</v>
      </c>
      <c r="T19" s="4" t="s">
        <v>201</v>
      </c>
      <c r="U19" s="4" t="s">
        <v>201</v>
      </c>
      <c r="V19" s="4" t="s">
        <v>201</v>
      </c>
      <c r="W19" s="4" t="s">
        <v>201</v>
      </c>
      <c r="X19" s="4" t="s">
        <v>201</v>
      </c>
      <c r="Y19" s="4" t="s">
        <v>201</v>
      </c>
      <c r="Z19" s="9">
        <v>47.975000000000001</v>
      </c>
      <c r="AA19" s="4" t="s">
        <v>207</v>
      </c>
      <c r="AB19" s="4">
        <v>2387.0700000000002</v>
      </c>
      <c r="AC19" s="4" t="s">
        <v>201</v>
      </c>
      <c r="AD19" s="4" t="s">
        <v>201</v>
      </c>
      <c r="AE19" s="4" t="s">
        <v>201</v>
      </c>
      <c r="AF19" s="5" t="s">
        <v>176</v>
      </c>
      <c r="AG19" s="5" t="s">
        <v>178</v>
      </c>
      <c r="AH19" s="12">
        <v>1.2971666666666666</v>
      </c>
      <c r="AI19" s="9">
        <v>-110.5215</v>
      </c>
      <c r="AJ19" s="37">
        <v>-4197</v>
      </c>
      <c r="AK19" s="4" t="s">
        <v>201</v>
      </c>
      <c r="AL19" s="4" t="s">
        <v>201</v>
      </c>
      <c r="AM19" s="4" t="s">
        <v>201</v>
      </c>
      <c r="AN19" s="4" t="s">
        <v>201</v>
      </c>
      <c r="AO19" s="5" t="s">
        <v>236</v>
      </c>
      <c r="AP19" s="4" t="s">
        <v>201</v>
      </c>
      <c r="AQ19" s="4" t="s">
        <v>201</v>
      </c>
      <c r="AR19" s="4" t="s">
        <v>201</v>
      </c>
      <c r="AS19" s="4" t="s">
        <v>201</v>
      </c>
      <c r="AT19" s="4" t="s">
        <v>201</v>
      </c>
      <c r="AU19" s="4" t="s">
        <v>201</v>
      </c>
      <c r="AV19" s="4" t="s">
        <v>201</v>
      </c>
      <c r="AW19" s="4" t="s">
        <v>201</v>
      </c>
      <c r="AX19" s="4">
        <v>2.4294387162045235</v>
      </c>
      <c r="AY19" s="4">
        <v>0.13</v>
      </c>
      <c r="AZ19" s="4" t="s">
        <v>203</v>
      </c>
      <c r="BA19" s="4" t="s">
        <v>201</v>
      </c>
      <c r="BB19" s="4">
        <v>-1.1929309351683177</v>
      </c>
      <c r="BC19" s="4">
        <v>0.24</v>
      </c>
      <c r="BD19" s="4" t="s">
        <v>203</v>
      </c>
      <c r="BE19" s="4" t="s">
        <v>201</v>
      </c>
      <c r="BF19" s="5" t="s">
        <v>181</v>
      </c>
      <c r="BG19" s="5" t="s">
        <v>182</v>
      </c>
      <c r="BH19" s="4">
        <v>0</v>
      </c>
      <c r="BI19" s="4" t="s">
        <v>201</v>
      </c>
      <c r="BJ19" s="4" t="s">
        <v>201</v>
      </c>
      <c r="BK19" s="4" t="s">
        <v>201</v>
      </c>
      <c r="BL19" s="4" t="s">
        <v>201</v>
      </c>
      <c r="BM19" s="4" t="s">
        <v>201</v>
      </c>
      <c r="BN19" s="4" t="s">
        <v>201</v>
      </c>
      <c r="BO19" s="4" t="s">
        <v>201</v>
      </c>
      <c r="BP19" s="4" t="s">
        <v>201</v>
      </c>
      <c r="BQ19" s="4" t="s">
        <v>201</v>
      </c>
      <c r="BR19" s="4" t="s">
        <v>201</v>
      </c>
      <c r="BS19" s="5" t="s">
        <v>183</v>
      </c>
      <c r="BT19" s="4">
        <v>-24.173649271085665</v>
      </c>
      <c r="BU19" s="5" t="s">
        <v>184</v>
      </c>
      <c r="BV19" s="4">
        <v>0.31</v>
      </c>
      <c r="BW19" s="4" t="s">
        <v>201</v>
      </c>
      <c r="BX19" s="4" t="s">
        <v>202</v>
      </c>
      <c r="BY19" s="4">
        <v>4.2</v>
      </c>
      <c r="BZ19" s="4" t="s">
        <v>201</v>
      </c>
      <c r="CA19" s="4" t="s">
        <v>201</v>
      </c>
      <c r="CB19" s="4">
        <v>-20.075178598024195</v>
      </c>
      <c r="CC19" s="4" t="s">
        <v>201</v>
      </c>
      <c r="CD19" s="4" t="s">
        <v>201</v>
      </c>
      <c r="CE19" s="4" t="s">
        <v>201</v>
      </c>
      <c r="CF19" s="4" t="s">
        <v>201</v>
      </c>
      <c r="CG19" s="4">
        <v>35</v>
      </c>
      <c r="CH19" s="4">
        <v>1</v>
      </c>
      <c r="CI19" s="4" t="s">
        <v>204</v>
      </c>
      <c r="CJ19" s="5" t="s">
        <v>185</v>
      </c>
      <c r="CK19" s="4">
        <v>0.82</v>
      </c>
      <c r="CL19" s="4">
        <v>0.1</v>
      </c>
      <c r="CM19" s="4">
        <v>0.1</v>
      </c>
      <c r="CN19" s="4" t="s">
        <v>204</v>
      </c>
      <c r="CO19" s="5" t="s">
        <v>186</v>
      </c>
      <c r="CP19" s="4" t="s">
        <v>201</v>
      </c>
      <c r="CQ19" s="4" t="s">
        <v>201</v>
      </c>
      <c r="CR19" s="4">
        <f t="shared" si="0"/>
        <v>24.815307350453217</v>
      </c>
      <c r="CS19" s="4" t="s">
        <v>201</v>
      </c>
      <c r="CT19" s="4" t="s">
        <v>201</v>
      </c>
      <c r="CU19" s="4" t="s">
        <v>201</v>
      </c>
      <c r="CV19" s="4" t="s">
        <v>211</v>
      </c>
      <c r="CW19" s="4">
        <v>0.89872330969134784</v>
      </c>
      <c r="CX19" s="4" t="s">
        <v>201</v>
      </c>
      <c r="CY19" s="4">
        <v>25.516257600338708</v>
      </c>
      <c r="CZ19" s="4" t="s">
        <v>201</v>
      </c>
      <c r="DA19" s="4" t="s">
        <v>201</v>
      </c>
      <c r="DB19" s="4" t="s">
        <v>201</v>
      </c>
      <c r="DC19" s="5" t="s">
        <v>190</v>
      </c>
      <c r="DD19" s="4" t="s">
        <v>205</v>
      </c>
      <c r="DE19" s="4" t="s">
        <v>201</v>
      </c>
      <c r="DF19" s="4" t="s">
        <v>201</v>
      </c>
      <c r="DG19" s="4" t="s">
        <v>201</v>
      </c>
      <c r="DH19" s="4" t="s">
        <v>201</v>
      </c>
      <c r="DI19" s="4">
        <v>24.11435710056773</v>
      </c>
      <c r="DJ19" s="4" t="s">
        <v>201</v>
      </c>
      <c r="DK19" s="4" t="s">
        <v>201</v>
      </c>
      <c r="DL19" s="4" t="s">
        <v>201</v>
      </c>
      <c r="DM19" s="4" t="s">
        <v>206</v>
      </c>
      <c r="DN19" s="4" t="s">
        <v>201</v>
      </c>
      <c r="DO19" s="4" t="s">
        <v>201</v>
      </c>
      <c r="DP19" s="4" t="s">
        <v>201</v>
      </c>
      <c r="DQ19" s="4" t="s">
        <v>201</v>
      </c>
      <c r="DR19" s="4" t="s">
        <v>201</v>
      </c>
      <c r="DS19" s="4" t="s">
        <v>201</v>
      </c>
      <c r="DT19" s="4" t="s">
        <v>201</v>
      </c>
      <c r="DU19" s="4" t="s">
        <v>201</v>
      </c>
      <c r="DV19" s="4" t="s">
        <v>201</v>
      </c>
      <c r="DW19" s="4" t="s">
        <v>201</v>
      </c>
      <c r="DX19" s="4" t="s">
        <v>201</v>
      </c>
      <c r="DY19" s="4" t="s">
        <v>201</v>
      </c>
      <c r="DZ19" s="4" t="s">
        <v>201</v>
      </c>
      <c r="EA19" s="4" t="s">
        <v>201</v>
      </c>
      <c r="EB19" s="4" t="s">
        <v>201</v>
      </c>
      <c r="EC19" s="4" t="s">
        <v>201</v>
      </c>
      <c r="ED19" s="4" t="s">
        <v>201</v>
      </c>
      <c r="EE19" s="4" t="s">
        <v>201</v>
      </c>
      <c r="EF19" s="4" t="s">
        <v>201</v>
      </c>
      <c r="EG19" s="4" t="s">
        <v>201</v>
      </c>
      <c r="EH19" s="4" t="s">
        <v>201</v>
      </c>
      <c r="EI19" s="4" t="s">
        <v>201</v>
      </c>
      <c r="EJ19" s="4" t="s">
        <v>201</v>
      </c>
      <c r="EK19" s="4" t="s">
        <v>201</v>
      </c>
      <c r="EL19" s="4" t="s">
        <v>201</v>
      </c>
      <c r="EM19" s="4" t="s">
        <v>201</v>
      </c>
      <c r="EN19" s="4" t="s">
        <v>201</v>
      </c>
      <c r="EO19" s="4" t="s">
        <v>201</v>
      </c>
      <c r="EP19" s="4" t="s">
        <v>201</v>
      </c>
      <c r="EQ19" s="4" t="s">
        <v>201</v>
      </c>
      <c r="ER19" s="4">
        <v>167.97479999999999</v>
      </c>
      <c r="ES19" s="4" t="s">
        <v>201</v>
      </c>
      <c r="ET19" s="4" t="s">
        <v>201</v>
      </c>
      <c r="EU19" s="4" t="s">
        <v>201</v>
      </c>
      <c r="EV19" s="5" t="s">
        <v>187</v>
      </c>
      <c r="EW19" s="4">
        <v>25</v>
      </c>
      <c r="EX19" s="4">
        <v>12.818995974091196</v>
      </c>
      <c r="EY19" s="4">
        <v>8.741020363634E-2</v>
      </c>
      <c r="EZ19" s="4">
        <v>8.741020363634E-2</v>
      </c>
      <c r="FA19" s="4" t="s">
        <v>201</v>
      </c>
      <c r="FB19" s="5" t="s">
        <v>250</v>
      </c>
      <c r="FC19" s="4" t="s">
        <v>201</v>
      </c>
      <c r="FD19" s="4" t="s">
        <v>201</v>
      </c>
      <c r="FE19" s="4" t="s">
        <v>201</v>
      </c>
      <c r="FF19" s="4" t="s">
        <v>201</v>
      </c>
      <c r="FG19" s="4" t="s">
        <v>217</v>
      </c>
      <c r="FH19" s="4">
        <v>486.81233587624422</v>
      </c>
      <c r="FI19" s="4">
        <f t="shared" si="8"/>
        <v>36.510925190718318</v>
      </c>
      <c r="FJ19" s="4">
        <f t="shared" si="9"/>
        <v>36.510925190718318</v>
      </c>
      <c r="FK19" s="4" t="s">
        <v>203</v>
      </c>
      <c r="FL19" s="4" t="s">
        <v>216</v>
      </c>
      <c r="FM19" s="4" t="s">
        <v>249</v>
      </c>
      <c r="FN19" s="4" t="s">
        <v>201</v>
      </c>
      <c r="FO19" s="4" t="s">
        <v>201</v>
      </c>
      <c r="FP19" s="4" t="s">
        <v>201</v>
      </c>
      <c r="FQ19" s="4" t="s">
        <v>201</v>
      </c>
      <c r="FR19" s="4" t="s">
        <v>201</v>
      </c>
      <c r="FS19" s="4" t="s">
        <v>201</v>
      </c>
      <c r="FT19" s="4" t="s">
        <v>200</v>
      </c>
      <c r="FU19" s="4" t="s">
        <v>212</v>
      </c>
      <c r="FV19" s="45" t="s">
        <v>289</v>
      </c>
      <c r="FW19" s="4" t="s">
        <v>201</v>
      </c>
      <c r="FX19" s="4" t="s">
        <v>201</v>
      </c>
      <c r="FY19" s="4" t="s">
        <v>247</v>
      </c>
    </row>
    <row r="20" spans="1:181" s="4" customFormat="1" x14ac:dyDescent="0.15">
      <c r="A20" s="3" t="s">
        <v>258</v>
      </c>
      <c r="B20" s="3" t="s">
        <v>193</v>
      </c>
      <c r="C20">
        <v>2017</v>
      </c>
      <c r="D20" s="22" t="str">
        <f t="shared" si="1"/>
        <v>10.1016/j.epsl.2017.03.016</v>
      </c>
      <c r="E20" s="22">
        <f t="shared" si="2"/>
        <v>2521.5</v>
      </c>
      <c r="F20" s="22" t="str">
        <f t="shared" si="3"/>
        <v>NA</v>
      </c>
      <c r="G20" s="22" t="str">
        <f t="shared" si="4"/>
        <v>NA</v>
      </c>
      <c r="H20" s="22">
        <f t="shared" si="5"/>
        <v>446.97480441193164</v>
      </c>
      <c r="I20" s="36">
        <f t="shared" si="6"/>
        <v>33.523110330894873</v>
      </c>
      <c r="J20" s="36">
        <f t="shared" si="7"/>
        <v>33.523110330894873</v>
      </c>
      <c r="K20" s="5" t="s">
        <v>251</v>
      </c>
      <c r="L20" s="5" t="s">
        <v>252</v>
      </c>
      <c r="M20" s="5" t="s">
        <v>194</v>
      </c>
      <c r="N20" s="5" t="s">
        <v>192</v>
      </c>
      <c r="O20" s="4">
        <v>850</v>
      </c>
      <c r="P20" s="5" t="s">
        <v>189</v>
      </c>
      <c r="Q20" s="4" t="s">
        <v>201</v>
      </c>
      <c r="R20" s="4" t="s">
        <v>201</v>
      </c>
      <c r="S20" s="4" t="s">
        <v>201</v>
      </c>
      <c r="T20" s="4" t="s">
        <v>201</v>
      </c>
      <c r="U20" s="4" t="s">
        <v>201</v>
      </c>
      <c r="V20" s="4" t="s">
        <v>201</v>
      </c>
      <c r="W20" s="4" t="s">
        <v>201</v>
      </c>
      <c r="X20" s="4" t="s">
        <v>201</v>
      </c>
      <c r="Y20" s="4" t="s">
        <v>201</v>
      </c>
      <c r="Z20" s="9">
        <v>50.975000000000001</v>
      </c>
      <c r="AA20" s="4" t="s">
        <v>207</v>
      </c>
      <c r="AB20" s="4">
        <v>2521.5</v>
      </c>
      <c r="AC20" s="4" t="s">
        <v>201</v>
      </c>
      <c r="AD20" s="4" t="s">
        <v>201</v>
      </c>
      <c r="AE20" s="4" t="s">
        <v>201</v>
      </c>
      <c r="AF20" s="5" t="s">
        <v>176</v>
      </c>
      <c r="AG20" s="5" t="s">
        <v>178</v>
      </c>
      <c r="AH20" s="12">
        <v>1.2971666666666666</v>
      </c>
      <c r="AI20" s="9">
        <v>-110.5215</v>
      </c>
      <c r="AJ20" s="37">
        <v>-4197</v>
      </c>
      <c r="AK20" s="4" t="s">
        <v>201</v>
      </c>
      <c r="AL20" s="4" t="s">
        <v>201</v>
      </c>
      <c r="AM20" s="4" t="s">
        <v>201</v>
      </c>
      <c r="AN20" s="4" t="s">
        <v>201</v>
      </c>
      <c r="AO20" s="5" t="s">
        <v>236</v>
      </c>
      <c r="AP20" s="4" t="s">
        <v>201</v>
      </c>
      <c r="AQ20" s="4" t="s">
        <v>201</v>
      </c>
      <c r="AR20" s="4" t="s">
        <v>201</v>
      </c>
      <c r="AS20" s="4" t="s">
        <v>201</v>
      </c>
      <c r="AT20" s="4" t="s">
        <v>201</v>
      </c>
      <c r="AU20" s="4" t="s">
        <v>201</v>
      </c>
      <c r="AV20" s="4" t="s">
        <v>201</v>
      </c>
      <c r="AW20" s="4" t="s">
        <v>201</v>
      </c>
      <c r="AX20" s="4">
        <v>1.4404783818771965</v>
      </c>
      <c r="AY20" s="4">
        <v>0.13</v>
      </c>
      <c r="AZ20" s="4" t="s">
        <v>203</v>
      </c>
      <c r="BA20" s="4" t="s">
        <v>201</v>
      </c>
      <c r="BB20" s="4">
        <v>-0.87261958778350857</v>
      </c>
      <c r="BC20" s="4">
        <v>0.24</v>
      </c>
      <c r="BD20" s="4" t="s">
        <v>203</v>
      </c>
      <c r="BE20" s="4" t="s">
        <v>201</v>
      </c>
      <c r="BF20" s="5" t="s">
        <v>181</v>
      </c>
      <c r="BG20" s="5" t="s">
        <v>182</v>
      </c>
      <c r="BH20" s="4">
        <v>0</v>
      </c>
      <c r="BI20" s="4" t="s">
        <v>201</v>
      </c>
      <c r="BJ20" s="4" t="s">
        <v>201</v>
      </c>
      <c r="BK20" s="4" t="s">
        <v>201</v>
      </c>
      <c r="BL20" s="4" t="s">
        <v>201</v>
      </c>
      <c r="BM20" s="4" t="s">
        <v>201</v>
      </c>
      <c r="BN20" s="4" t="s">
        <v>201</v>
      </c>
      <c r="BO20" s="4" t="s">
        <v>201</v>
      </c>
      <c r="BP20" s="4" t="s">
        <v>201</v>
      </c>
      <c r="BQ20" s="4" t="s">
        <v>201</v>
      </c>
      <c r="BR20" s="4" t="s">
        <v>201</v>
      </c>
      <c r="BS20" s="5" t="s">
        <v>183</v>
      </c>
      <c r="BT20" s="4">
        <v>-24.898659704078081</v>
      </c>
      <c r="BU20" s="5" t="s">
        <v>184</v>
      </c>
      <c r="BV20" s="4">
        <v>0.31</v>
      </c>
      <c r="BW20" s="4" t="s">
        <v>201</v>
      </c>
      <c r="BX20" s="4" t="s">
        <v>202</v>
      </c>
      <c r="BY20" s="4">
        <v>4.2</v>
      </c>
      <c r="BZ20" s="4" t="s">
        <v>201</v>
      </c>
      <c r="CA20" s="4" t="s">
        <v>201</v>
      </c>
      <c r="CB20" s="4">
        <v>-20.803234074835245</v>
      </c>
      <c r="CC20" s="4" t="s">
        <v>201</v>
      </c>
      <c r="CD20" s="4" t="s">
        <v>201</v>
      </c>
      <c r="CE20" s="4" t="s">
        <v>201</v>
      </c>
      <c r="CF20" s="4" t="s">
        <v>201</v>
      </c>
      <c r="CG20" s="4">
        <v>35</v>
      </c>
      <c r="CH20" s="4">
        <v>1</v>
      </c>
      <c r="CI20" s="4" t="s">
        <v>204</v>
      </c>
      <c r="CJ20" s="5" t="s">
        <v>185</v>
      </c>
      <c r="CK20" s="4">
        <v>0.82</v>
      </c>
      <c r="CL20" s="4">
        <v>0.1</v>
      </c>
      <c r="CM20" s="4">
        <v>0.1</v>
      </c>
      <c r="CN20" s="4" t="s">
        <v>204</v>
      </c>
      <c r="CO20" s="5" t="s">
        <v>186</v>
      </c>
      <c r="CP20" s="4" t="s">
        <v>201</v>
      </c>
      <c r="CQ20" s="4" t="s">
        <v>201</v>
      </c>
      <c r="CR20" s="4">
        <f t="shared" si="0"/>
        <v>23.204322942717429</v>
      </c>
      <c r="CS20" s="4" t="s">
        <v>201</v>
      </c>
      <c r="CT20" s="4" t="s">
        <v>201</v>
      </c>
      <c r="CU20" s="4" t="s">
        <v>201</v>
      </c>
      <c r="CV20" s="4" t="s">
        <v>211</v>
      </c>
      <c r="CW20" s="4">
        <v>0.8821179402162409</v>
      </c>
      <c r="CX20" s="4" t="s">
        <v>201</v>
      </c>
      <c r="CY20" s="4">
        <v>25.020155581900415</v>
      </c>
      <c r="CZ20" s="4" t="s">
        <v>201</v>
      </c>
      <c r="DA20" s="4" t="s">
        <v>201</v>
      </c>
      <c r="DB20" s="4" t="s">
        <v>201</v>
      </c>
      <c r="DC20" s="5" t="s">
        <v>190</v>
      </c>
      <c r="DD20" s="4" t="s">
        <v>205</v>
      </c>
      <c r="DE20" s="4" t="s">
        <v>201</v>
      </c>
      <c r="DF20" s="4" t="s">
        <v>201</v>
      </c>
      <c r="DG20" s="4" t="s">
        <v>201</v>
      </c>
      <c r="DH20" s="4" t="s">
        <v>201</v>
      </c>
      <c r="DI20" s="4">
        <v>21.388490303534443</v>
      </c>
      <c r="DJ20" s="4" t="s">
        <v>201</v>
      </c>
      <c r="DK20" s="4" t="s">
        <v>201</v>
      </c>
      <c r="DL20" s="4" t="s">
        <v>201</v>
      </c>
      <c r="DM20" s="4" t="s">
        <v>206</v>
      </c>
      <c r="DN20" s="4" t="s">
        <v>201</v>
      </c>
      <c r="DO20" s="4" t="s">
        <v>201</v>
      </c>
      <c r="DP20" s="4" t="s">
        <v>201</v>
      </c>
      <c r="DQ20" s="4" t="s">
        <v>201</v>
      </c>
      <c r="DR20" s="4" t="s">
        <v>201</v>
      </c>
      <c r="DS20" s="4" t="s">
        <v>201</v>
      </c>
      <c r="DT20" s="4" t="s">
        <v>201</v>
      </c>
      <c r="DU20" s="4" t="s">
        <v>201</v>
      </c>
      <c r="DV20" s="4" t="s">
        <v>201</v>
      </c>
      <c r="DW20" s="4" t="s">
        <v>201</v>
      </c>
      <c r="DX20" s="4" t="s">
        <v>201</v>
      </c>
      <c r="DY20" s="4" t="s">
        <v>201</v>
      </c>
      <c r="DZ20" s="4" t="s">
        <v>201</v>
      </c>
      <c r="EA20" s="4" t="s">
        <v>201</v>
      </c>
      <c r="EB20" s="4" t="s">
        <v>201</v>
      </c>
      <c r="EC20" s="4" t="s">
        <v>201</v>
      </c>
      <c r="ED20" s="4" t="s">
        <v>201</v>
      </c>
      <c r="EE20" s="4" t="s">
        <v>201</v>
      </c>
      <c r="EF20" s="4" t="s">
        <v>201</v>
      </c>
      <c r="EG20" s="4" t="s">
        <v>201</v>
      </c>
      <c r="EH20" s="4" t="s">
        <v>201</v>
      </c>
      <c r="EI20" s="4" t="s">
        <v>201</v>
      </c>
      <c r="EJ20" s="4" t="s">
        <v>201</v>
      </c>
      <c r="EK20" s="4" t="s">
        <v>201</v>
      </c>
      <c r="EL20" s="4" t="s">
        <v>201</v>
      </c>
      <c r="EM20" s="4" t="s">
        <v>201</v>
      </c>
      <c r="EN20" s="4" t="s">
        <v>201</v>
      </c>
      <c r="EO20" s="4" t="s">
        <v>201</v>
      </c>
      <c r="EP20" s="4" t="s">
        <v>201</v>
      </c>
      <c r="EQ20" s="4" t="s">
        <v>201</v>
      </c>
      <c r="ER20" s="4">
        <v>167.97479999999999</v>
      </c>
      <c r="ES20" s="4" t="s">
        <v>201</v>
      </c>
      <c r="ET20" s="4" t="s">
        <v>201</v>
      </c>
      <c r="EU20" s="4" t="s">
        <v>201</v>
      </c>
      <c r="EV20" s="5" t="s">
        <v>187</v>
      </c>
      <c r="EW20" s="4">
        <v>25</v>
      </c>
      <c r="EX20" s="4">
        <v>12.406824234785008</v>
      </c>
      <c r="EY20" s="4">
        <v>0.22635791649205927</v>
      </c>
      <c r="EZ20" s="4">
        <v>0.22635791649205927</v>
      </c>
      <c r="FA20" s="4" t="s">
        <v>201</v>
      </c>
      <c r="FB20" s="5" t="s">
        <v>250</v>
      </c>
      <c r="FC20" s="4" t="s">
        <v>201</v>
      </c>
      <c r="FD20" s="4" t="s">
        <v>201</v>
      </c>
      <c r="FE20" s="4" t="s">
        <v>201</v>
      </c>
      <c r="FF20" s="4" t="s">
        <v>201</v>
      </c>
      <c r="FG20" s="4" t="s">
        <v>217</v>
      </c>
      <c r="FH20" s="4">
        <v>446.97480441193164</v>
      </c>
      <c r="FI20" s="4">
        <f t="shared" si="8"/>
        <v>33.523110330894873</v>
      </c>
      <c r="FJ20" s="4">
        <f t="shared" si="9"/>
        <v>33.523110330894873</v>
      </c>
      <c r="FK20" s="4" t="s">
        <v>203</v>
      </c>
      <c r="FL20" s="4" t="s">
        <v>216</v>
      </c>
      <c r="FM20" s="4" t="s">
        <v>249</v>
      </c>
      <c r="FN20" s="4" t="s">
        <v>201</v>
      </c>
      <c r="FO20" s="4" t="s">
        <v>201</v>
      </c>
      <c r="FP20" s="4" t="s">
        <v>201</v>
      </c>
      <c r="FQ20" s="4" t="s">
        <v>201</v>
      </c>
      <c r="FR20" s="4" t="s">
        <v>201</v>
      </c>
      <c r="FS20" s="4" t="s">
        <v>201</v>
      </c>
      <c r="FT20" s="4" t="s">
        <v>200</v>
      </c>
      <c r="FU20" s="4" t="s">
        <v>212</v>
      </c>
      <c r="FV20" s="45" t="s">
        <v>290</v>
      </c>
      <c r="FW20" s="4" t="s">
        <v>201</v>
      </c>
      <c r="FX20" s="4" t="s">
        <v>201</v>
      </c>
      <c r="FY20" s="4" t="s">
        <v>247</v>
      </c>
    </row>
    <row r="21" spans="1:181" s="4" customFormat="1" x14ac:dyDescent="0.15">
      <c r="A21" s="3" t="s">
        <v>258</v>
      </c>
      <c r="B21" s="3" t="s">
        <v>193</v>
      </c>
      <c r="C21">
        <v>2017</v>
      </c>
      <c r="D21" s="22" t="str">
        <f t="shared" si="1"/>
        <v>10.1016/j.epsl.2017.03.016</v>
      </c>
      <c r="E21" s="22">
        <f t="shared" si="2"/>
        <v>2655.92</v>
      </c>
      <c r="F21" s="22" t="str">
        <f t="shared" si="3"/>
        <v>NA</v>
      </c>
      <c r="G21" s="22" t="str">
        <f t="shared" si="4"/>
        <v>NA</v>
      </c>
      <c r="H21" s="22">
        <f t="shared" si="5"/>
        <v>426.34742618443909</v>
      </c>
      <c r="I21" s="36">
        <f t="shared" si="6"/>
        <v>31.976056963832932</v>
      </c>
      <c r="J21" s="36">
        <f t="shared" si="7"/>
        <v>31.976056963832932</v>
      </c>
      <c r="K21" s="5" t="s">
        <v>251</v>
      </c>
      <c r="L21" s="5" t="s">
        <v>252</v>
      </c>
      <c r="M21" s="5" t="s">
        <v>194</v>
      </c>
      <c r="N21" s="5" t="s">
        <v>192</v>
      </c>
      <c r="O21" s="4">
        <v>850</v>
      </c>
      <c r="P21" s="5" t="s">
        <v>189</v>
      </c>
      <c r="Q21" s="4" t="s">
        <v>201</v>
      </c>
      <c r="R21" s="4" t="s">
        <v>201</v>
      </c>
      <c r="S21" s="4" t="s">
        <v>201</v>
      </c>
      <c r="T21" s="4" t="s">
        <v>201</v>
      </c>
      <c r="U21" s="4" t="s">
        <v>201</v>
      </c>
      <c r="V21" s="4" t="s">
        <v>201</v>
      </c>
      <c r="W21" s="4" t="s">
        <v>201</v>
      </c>
      <c r="X21" s="4" t="s">
        <v>201</v>
      </c>
      <c r="Y21" s="4" t="s">
        <v>201</v>
      </c>
      <c r="Z21" s="9">
        <v>53.975000000000001</v>
      </c>
      <c r="AA21" s="4" t="s">
        <v>207</v>
      </c>
      <c r="AB21" s="4">
        <v>2655.92</v>
      </c>
      <c r="AC21" s="4" t="s">
        <v>201</v>
      </c>
      <c r="AD21" s="4" t="s">
        <v>201</v>
      </c>
      <c r="AE21" s="4" t="s">
        <v>201</v>
      </c>
      <c r="AF21" s="5" t="s">
        <v>176</v>
      </c>
      <c r="AG21" s="5" t="s">
        <v>178</v>
      </c>
      <c r="AH21" s="12">
        <v>1.2971666666666666</v>
      </c>
      <c r="AI21" s="9">
        <v>-110.5215</v>
      </c>
      <c r="AJ21" s="37">
        <v>-4197</v>
      </c>
      <c r="AK21" s="4" t="s">
        <v>201</v>
      </c>
      <c r="AL21" s="4" t="s">
        <v>201</v>
      </c>
      <c r="AM21" s="4" t="s">
        <v>201</v>
      </c>
      <c r="AN21" s="4" t="s">
        <v>201</v>
      </c>
      <c r="AO21" s="5" t="s">
        <v>236</v>
      </c>
      <c r="AP21" s="4" t="s">
        <v>201</v>
      </c>
      <c r="AQ21" s="4" t="s">
        <v>201</v>
      </c>
      <c r="AR21" s="4" t="s">
        <v>201</v>
      </c>
      <c r="AS21" s="4" t="s">
        <v>201</v>
      </c>
      <c r="AT21" s="4" t="s">
        <v>201</v>
      </c>
      <c r="AU21" s="4" t="s">
        <v>201</v>
      </c>
      <c r="AV21" s="4" t="s">
        <v>201</v>
      </c>
      <c r="AW21" s="4" t="s">
        <v>201</v>
      </c>
      <c r="AX21" s="4">
        <v>1.7400726067012677</v>
      </c>
      <c r="AY21" s="4">
        <v>0.13</v>
      </c>
      <c r="AZ21" s="4" t="s">
        <v>203</v>
      </c>
      <c r="BA21" s="4" t="s">
        <v>201</v>
      </c>
      <c r="BB21" s="4">
        <v>0.14165464621852261</v>
      </c>
      <c r="BC21" s="4">
        <v>0.24</v>
      </c>
      <c r="BD21" s="4" t="s">
        <v>203</v>
      </c>
      <c r="BE21" s="4" t="s">
        <v>201</v>
      </c>
      <c r="BF21" s="5" t="s">
        <v>181</v>
      </c>
      <c r="BG21" s="5" t="s">
        <v>182</v>
      </c>
      <c r="BH21" s="4">
        <v>0</v>
      </c>
      <c r="BI21" s="4" t="s">
        <v>201</v>
      </c>
      <c r="BJ21" s="4" t="s">
        <v>201</v>
      </c>
      <c r="BK21" s="4" t="s">
        <v>201</v>
      </c>
      <c r="BL21" s="4" t="s">
        <v>201</v>
      </c>
      <c r="BM21" s="4" t="s">
        <v>201</v>
      </c>
      <c r="BN21" s="4" t="s">
        <v>201</v>
      </c>
      <c r="BO21" s="4" t="s">
        <v>201</v>
      </c>
      <c r="BP21" s="4" t="s">
        <v>201</v>
      </c>
      <c r="BQ21" s="4" t="s">
        <v>201</v>
      </c>
      <c r="BR21" s="4" t="s">
        <v>201</v>
      </c>
      <c r="BS21" s="5" t="s">
        <v>183</v>
      </c>
      <c r="BT21" s="4">
        <v>-23.590581885529513</v>
      </c>
      <c r="BU21" s="5" t="s">
        <v>184</v>
      </c>
      <c r="BV21" s="4">
        <v>0.31</v>
      </c>
      <c r="BW21" s="4" t="s">
        <v>201</v>
      </c>
      <c r="BX21" s="4" t="s">
        <v>202</v>
      </c>
      <c r="BY21" s="4">
        <v>4.2</v>
      </c>
      <c r="BZ21" s="4" t="s">
        <v>201</v>
      </c>
      <c r="CA21" s="4" t="s">
        <v>201</v>
      </c>
      <c r="CB21" s="4">
        <v>-19.489662329448834</v>
      </c>
      <c r="CC21" s="4" t="s">
        <v>201</v>
      </c>
      <c r="CD21" s="4" t="s">
        <v>201</v>
      </c>
      <c r="CE21" s="4" t="s">
        <v>201</v>
      </c>
      <c r="CF21" s="4" t="s">
        <v>201</v>
      </c>
      <c r="CG21" s="4">
        <v>35</v>
      </c>
      <c r="CH21" s="4">
        <v>1</v>
      </c>
      <c r="CI21" s="4" t="s">
        <v>204</v>
      </c>
      <c r="CJ21" s="5" t="s">
        <v>185</v>
      </c>
      <c r="CK21" s="4">
        <v>0.82</v>
      </c>
      <c r="CL21" s="4">
        <v>0.1</v>
      </c>
      <c r="CM21" s="4">
        <v>0.1</v>
      </c>
      <c r="CN21" s="4" t="s">
        <v>204</v>
      </c>
      <c r="CO21" s="5" t="s">
        <v>186</v>
      </c>
      <c r="CP21" s="4" t="s">
        <v>201</v>
      </c>
      <c r="CQ21" s="4" t="s">
        <v>201</v>
      </c>
      <c r="CR21" s="4">
        <f t="shared" si="0"/>
        <v>24.048069999999999</v>
      </c>
      <c r="CS21" s="4" t="s">
        <v>201</v>
      </c>
      <c r="CT21" s="4" t="s">
        <v>201</v>
      </c>
      <c r="CU21" s="4" t="s">
        <v>201</v>
      </c>
      <c r="CV21" s="4" t="s">
        <v>211</v>
      </c>
      <c r="CW21" s="4">
        <v>0.90340306600615872</v>
      </c>
      <c r="CX21" s="4" t="s">
        <v>201</v>
      </c>
      <c r="CY21" s="4">
        <v>25.65607</v>
      </c>
      <c r="CZ21" s="4" t="s">
        <v>201</v>
      </c>
      <c r="DA21" s="4" t="s">
        <v>201</v>
      </c>
      <c r="DB21" s="4" t="s">
        <v>201</v>
      </c>
      <c r="DC21" s="5" t="s">
        <v>190</v>
      </c>
      <c r="DD21" s="4" t="s">
        <v>205</v>
      </c>
      <c r="DE21" s="4" t="s">
        <v>201</v>
      </c>
      <c r="DF21" s="4" t="s">
        <v>201</v>
      </c>
      <c r="DG21" s="4" t="s">
        <v>201</v>
      </c>
      <c r="DH21" s="4" t="s">
        <v>201</v>
      </c>
      <c r="DI21" s="4">
        <v>22.440069999999999</v>
      </c>
      <c r="DJ21" s="4" t="s">
        <v>201</v>
      </c>
      <c r="DK21" s="4" t="s">
        <v>201</v>
      </c>
      <c r="DL21" s="4" t="s">
        <v>201</v>
      </c>
      <c r="DM21" s="4" t="s">
        <v>206</v>
      </c>
      <c r="DN21" s="4" t="s">
        <v>201</v>
      </c>
      <c r="DO21" s="4" t="s">
        <v>201</v>
      </c>
      <c r="DP21" s="4" t="s">
        <v>201</v>
      </c>
      <c r="DQ21" s="4" t="s">
        <v>201</v>
      </c>
      <c r="DR21" s="4" t="s">
        <v>201</v>
      </c>
      <c r="DS21" s="4" t="s">
        <v>201</v>
      </c>
      <c r="DT21" s="4" t="s">
        <v>201</v>
      </c>
      <c r="DU21" s="4" t="s">
        <v>201</v>
      </c>
      <c r="DV21" s="4" t="s">
        <v>201</v>
      </c>
      <c r="DW21" s="4" t="s">
        <v>201</v>
      </c>
      <c r="DX21" s="4" t="s">
        <v>201</v>
      </c>
      <c r="DY21" s="4" t="s">
        <v>201</v>
      </c>
      <c r="DZ21" s="4" t="s">
        <v>201</v>
      </c>
      <c r="EA21" s="4" t="s">
        <v>201</v>
      </c>
      <c r="EB21" s="4" t="s">
        <v>201</v>
      </c>
      <c r="EC21" s="4" t="s">
        <v>201</v>
      </c>
      <c r="ED21" s="4" t="s">
        <v>201</v>
      </c>
      <c r="EE21" s="4" t="s">
        <v>201</v>
      </c>
      <c r="EF21" s="4" t="s">
        <v>201</v>
      </c>
      <c r="EG21" s="4" t="s">
        <v>201</v>
      </c>
      <c r="EH21" s="4" t="s">
        <v>201</v>
      </c>
      <c r="EI21" s="4" t="s">
        <v>201</v>
      </c>
      <c r="EJ21" s="4" t="s">
        <v>201</v>
      </c>
      <c r="EK21" s="4" t="s">
        <v>201</v>
      </c>
      <c r="EL21" s="4" t="s">
        <v>201</v>
      </c>
      <c r="EM21" s="4" t="s">
        <v>201</v>
      </c>
      <c r="EN21" s="4" t="s">
        <v>201</v>
      </c>
      <c r="EO21" s="4" t="s">
        <v>201</v>
      </c>
      <c r="EP21" s="4" t="s">
        <v>201</v>
      </c>
      <c r="EQ21" s="4" t="s">
        <v>201</v>
      </c>
      <c r="ER21" s="4">
        <v>167.97479999999999</v>
      </c>
      <c r="ES21" s="4" t="s">
        <v>201</v>
      </c>
      <c r="ET21" s="4" t="s">
        <v>201</v>
      </c>
      <c r="EU21" s="4" t="s">
        <v>201</v>
      </c>
      <c r="EV21" s="5" t="s">
        <v>187</v>
      </c>
      <c r="EW21" s="4">
        <v>25</v>
      </c>
      <c r="EX21" s="4">
        <v>11.463503301915923</v>
      </c>
      <c r="EY21" s="4">
        <v>0.20024818971986491</v>
      </c>
      <c r="EZ21" s="4">
        <v>0.20024818971986491</v>
      </c>
      <c r="FA21" s="4" t="s">
        <v>201</v>
      </c>
      <c r="FB21" s="5" t="s">
        <v>250</v>
      </c>
      <c r="FC21" s="4" t="s">
        <v>201</v>
      </c>
      <c r="FD21" s="4" t="s">
        <v>201</v>
      </c>
      <c r="FE21" s="4" t="s">
        <v>201</v>
      </c>
      <c r="FF21" s="4" t="s">
        <v>201</v>
      </c>
      <c r="FG21" s="4" t="s">
        <v>217</v>
      </c>
      <c r="FH21" s="4">
        <v>426.34742618443909</v>
      </c>
      <c r="FI21" s="4">
        <f t="shared" si="8"/>
        <v>31.976056963832932</v>
      </c>
      <c r="FJ21" s="4">
        <f t="shared" si="9"/>
        <v>31.976056963832932</v>
      </c>
      <c r="FK21" s="4" t="s">
        <v>203</v>
      </c>
      <c r="FL21" s="4" t="s">
        <v>216</v>
      </c>
      <c r="FM21" s="4" t="s">
        <v>249</v>
      </c>
      <c r="FN21" s="4" t="s">
        <v>201</v>
      </c>
      <c r="FO21" s="4" t="s">
        <v>201</v>
      </c>
      <c r="FP21" s="4" t="s">
        <v>201</v>
      </c>
      <c r="FQ21" s="4" t="s">
        <v>201</v>
      </c>
      <c r="FR21" s="4" t="s">
        <v>201</v>
      </c>
      <c r="FS21" s="4" t="s">
        <v>201</v>
      </c>
      <c r="FT21" s="4" t="s">
        <v>200</v>
      </c>
      <c r="FU21" s="4" t="s">
        <v>212</v>
      </c>
      <c r="FV21" s="45" t="s">
        <v>291</v>
      </c>
      <c r="FW21" s="4" t="s">
        <v>201</v>
      </c>
      <c r="FX21" s="4" t="s">
        <v>201</v>
      </c>
      <c r="FY21" s="4" t="s">
        <v>247</v>
      </c>
    </row>
    <row r="22" spans="1:181" s="6" customFormat="1" x14ac:dyDescent="0.15">
      <c r="A22" s="3" t="s">
        <v>258</v>
      </c>
      <c r="B22" s="3" t="s">
        <v>193</v>
      </c>
      <c r="C22">
        <v>2017</v>
      </c>
      <c r="D22" s="22" t="str">
        <f t="shared" si="1"/>
        <v>10.1016/j.epsl.2017.03.016</v>
      </c>
      <c r="E22" s="22">
        <f t="shared" si="2"/>
        <v>2790.35</v>
      </c>
      <c r="F22" s="22" t="str">
        <f t="shared" si="3"/>
        <v>NA</v>
      </c>
      <c r="G22" s="22" t="str">
        <f t="shared" si="4"/>
        <v>NA</v>
      </c>
      <c r="H22" s="22">
        <f t="shared" si="5"/>
        <v>468.15700545330941</v>
      </c>
      <c r="I22" s="36">
        <f t="shared" si="6"/>
        <v>35.111775408998206</v>
      </c>
      <c r="J22" s="36">
        <f t="shared" si="7"/>
        <v>35.111775408998206</v>
      </c>
      <c r="K22" s="7" t="s">
        <v>251</v>
      </c>
      <c r="L22" s="7" t="s">
        <v>252</v>
      </c>
      <c r="M22" s="7" t="s">
        <v>194</v>
      </c>
      <c r="N22" s="7" t="s">
        <v>192</v>
      </c>
      <c r="O22" s="6">
        <v>850</v>
      </c>
      <c r="P22" s="7" t="s">
        <v>189</v>
      </c>
      <c r="Q22" s="6">
        <v>6</v>
      </c>
      <c r="R22" s="6" t="s">
        <v>208</v>
      </c>
      <c r="S22" s="6" t="s">
        <v>209</v>
      </c>
      <c r="T22" s="6">
        <v>1</v>
      </c>
      <c r="U22" s="6" t="s">
        <v>201</v>
      </c>
      <c r="V22" s="6" t="s">
        <v>201</v>
      </c>
      <c r="W22" s="6" t="s">
        <v>201</v>
      </c>
      <c r="X22" s="6" t="s">
        <v>201</v>
      </c>
      <c r="Y22" s="6" t="s">
        <v>201</v>
      </c>
      <c r="Z22" s="8">
        <v>56.975000000000001</v>
      </c>
      <c r="AA22" s="6" t="s">
        <v>207</v>
      </c>
      <c r="AB22" s="6">
        <v>2790.35</v>
      </c>
      <c r="AC22" s="6" t="s">
        <v>201</v>
      </c>
      <c r="AD22" s="6" t="s">
        <v>201</v>
      </c>
      <c r="AE22" s="6" t="s">
        <v>201</v>
      </c>
      <c r="AF22" s="7" t="s">
        <v>176</v>
      </c>
      <c r="AG22" s="7" t="s">
        <v>178</v>
      </c>
      <c r="AH22" s="11">
        <v>1.2971666666666666</v>
      </c>
      <c r="AI22" s="8">
        <v>-110.5215</v>
      </c>
      <c r="AJ22" s="6">
        <v>-4197</v>
      </c>
      <c r="AK22" s="6" t="s">
        <v>201</v>
      </c>
      <c r="AL22" s="6" t="s">
        <v>201</v>
      </c>
      <c r="AM22" s="6" t="s">
        <v>201</v>
      </c>
      <c r="AN22" s="6" t="s">
        <v>201</v>
      </c>
      <c r="AO22" s="7" t="s">
        <v>236</v>
      </c>
      <c r="AP22" s="6" t="s">
        <v>201</v>
      </c>
      <c r="AQ22" s="6" t="s">
        <v>201</v>
      </c>
      <c r="AR22" s="6" t="s">
        <v>201</v>
      </c>
      <c r="AS22" s="6" t="s">
        <v>201</v>
      </c>
      <c r="AT22" s="6" t="s">
        <v>201</v>
      </c>
      <c r="AU22" s="6" t="s">
        <v>201</v>
      </c>
      <c r="AV22" s="6" t="s">
        <v>201</v>
      </c>
      <c r="AW22" s="6" t="s">
        <v>201</v>
      </c>
      <c r="AX22" s="6">
        <v>1.8175637736258277</v>
      </c>
      <c r="AY22" s="6">
        <v>0.13</v>
      </c>
      <c r="AZ22" s="6" t="s">
        <v>203</v>
      </c>
      <c r="BA22" s="6" t="s">
        <v>201</v>
      </c>
      <c r="BB22" s="6">
        <v>4.7408734985510202E-2</v>
      </c>
      <c r="BC22" s="6">
        <v>0.24</v>
      </c>
      <c r="BD22" s="6" t="s">
        <v>203</v>
      </c>
      <c r="BE22" s="6" t="s">
        <v>201</v>
      </c>
      <c r="BF22" s="7" t="s">
        <v>181</v>
      </c>
      <c r="BG22" s="7" t="s">
        <v>182</v>
      </c>
      <c r="BH22" s="6">
        <v>0</v>
      </c>
      <c r="BI22" s="6" t="s">
        <v>201</v>
      </c>
      <c r="BJ22" s="6" t="s">
        <v>201</v>
      </c>
      <c r="BK22" s="6" t="s">
        <v>201</v>
      </c>
      <c r="BL22" s="6" t="s">
        <v>201</v>
      </c>
      <c r="BM22" s="6" t="s">
        <v>201</v>
      </c>
      <c r="BN22" s="6" t="s">
        <v>201</v>
      </c>
      <c r="BO22" s="6" t="s">
        <v>201</v>
      </c>
      <c r="BP22" s="6" t="s">
        <v>201</v>
      </c>
      <c r="BQ22" s="6" t="s">
        <v>201</v>
      </c>
      <c r="BR22" s="6" t="s">
        <v>201</v>
      </c>
      <c r="BS22" s="7" t="s">
        <v>183</v>
      </c>
      <c r="BT22" s="6">
        <v>-24.293287706005174</v>
      </c>
      <c r="BU22" s="7" t="s">
        <v>184</v>
      </c>
      <c r="BV22" s="6">
        <v>0.31</v>
      </c>
      <c r="BW22" s="6" t="s">
        <v>201</v>
      </c>
      <c r="BX22" s="6" t="s">
        <v>202</v>
      </c>
      <c r="BY22" s="6">
        <v>4.2</v>
      </c>
      <c r="BZ22" s="6" t="s">
        <v>201</v>
      </c>
      <c r="CA22" s="6" t="s">
        <v>201</v>
      </c>
      <c r="CB22" s="6">
        <v>-20.195319514370453</v>
      </c>
      <c r="CC22" s="6" t="s">
        <v>201</v>
      </c>
      <c r="CD22" s="6" t="s">
        <v>201</v>
      </c>
      <c r="CE22" s="6" t="s">
        <v>201</v>
      </c>
      <c r="CF22" s="6" t="s">
        <v>201</v>
      </c>
      <c r="CG22" s="6">
        <v>35</v>
      </c>
      <c r="CH22" s="6">
        <v>1</v>
      </c>
      <c r="CI22" s="6" t="s">
        <v>204</v>
      </c>
      <c r="CJ22" s="7" t="s">
        <v>185</v>
      </c>
      <c r="CK22" s="6">
        <v>0.82</v>
      </c>
      <c r="CL22" s="6">
        <v>0.1</v>
      </c>
      <c r="CM22" s="6">
        <v>0.1</v>
      </c>
      <c r="CN22" s="6" t="s">
        <v>204</v>
      </c>
      <c r="CO22" s="7" t="s">
        <v>186</v>
      </c>
      <c r="CP22" s="6" t="s">
        <v>201</v>
      </c>
      <c r="CQ22" s="6" t="s">
        <v>201</v>
      </c>
      <c r="CR22" s="6">
        <f t="shared" si="0"/>
        <v>24.969619999999999</v>
      </c>
      <c r="CS22" s="6" t="s">
        <v>201</v>
      </c>
      <c r="CT22" s="6" t="s">
        <v>201</v>
      </c>
      <c r="CU22" s="6" t="s">
        <v>201</v>
      </c>
      <c r="CV22" s="6" t="s">
        <v>211</v>
      </c>
      <c r="CW22" s="6">
        <v>0.9151763957691792</v>
      </c>
      <c r="CX22" s="6" t="s">
        <v>201</v>
      </c>
      <c r="CY22" s="6">
        <v>26.007809999999999</v>
      </c>
      <c r="CZ22" s="6" t="s">
        <v>201</v>
      </c>
      <c r="DA22" s="6" t="s">
        <v>201</v>
      </c>
      <c r="DB22" s="6" t="s">
        <v>201</v>
      </c>
      <c r="DC22" s="7" t="s">
        <v>190</v>
      </c>
      <c r="DD22" s="6" t="s">
        <v>205</v>
      </c>
      <c r="DE22" s="6" t="s">
        <v>201</v>
      </c>
      <c r="DF22" s="6" t="s">
        <v>201</v>
      </c>
      <c r="DG22" s="6" t="s">
        <v>201</v>
      </c>
      <c r="DH22" s="6" t="s">
        <v>201</v>
      </c>
      <c r="DI22" s="6">
        <v>23.931429999999999</v>
      </c>
      <c r="DJ22" s="6" t="s">
        <v>201</v>
      </c>
      <c r="DK22" s="6" t="s">
        <v>201</v>
      </c>
      <c r="DL22" s="6" t="s">
        <v>201</v>
      </c>
      <c r="DM22" s="6" t="s">
        <v>206</v>
      </c>
      <c r="DN22" s="6" t="s">
        <v>201</v>
      </c>
      <c r="DO22" s="6" t="s">
        <v>201</v>
      </c>
      <c r="DP22" s="6" t="s">
        <v>201</v>
      </c>
      <c r="DQ22" s="6" t="s">
        <v>201</v>
      </c>
      <c r="DR22" s="6" t="s">
        <v>201</v>
      </c>
      <c r="DS22" s="6" t="s">
        <v>201</v>
      </c>
      <c r="DT22" s="6" t="s">
        <v>201</v>
      </c>
      <c r="DU22" s="6" t="s">
        <v>201</v>
      </c>
      <c r="DV22" s="6" t="s">
        <v>201</v>
      </c>
      <c r="DW22" s="6" t="s">
        <v>201</v>
      </c>
      <c r="DX22" s="6">
        <v>2.4538904899135452</v>
      </c>
      <c r="DY22" s="6" t="s">
        <v>201</v>
      </c>
      <c r="DZ22" s="6" t="s">
        <v>201</v>
      </c>
      <c r="EA22" s="6" t="s">
        <v>201</v>
      </c>
      <c r="EB22" s="6" t="s">
        <v>201</v>
      </c>
      <c r="EC22" s="6" t="s">
        <v>201</v>
      </c>
      <c r="ED22" s="6" t="s">
        <v>201</v>
      </c>
      <c r="EE22" s="6" t="s">
        <v>201</v>
      </c>
      <c r="EF22" s="6" t="s">
        <v>201</v>
      </c>
      <c r="EG22" s="6" t="s">
        <v>201</v>
      </c>
      <c r="EH22" s="6" t="s">
        <v>201</v>
      </c>
      <c r="EI22" s="6" t="s">
        <v>201</v>
      </c>
      <c r="EJ22" s="6" t="s">
        <v>201</v>
      </c>
      <c r="EK22" s="6" t="s">
        <v>201</v>
      </c>
      <c r="EL22" s="6" t="s">
        <v>201</v>
      </c>
      <c r="EM22" s="6" t="s">
        <v>201</v>
      </c>
      <c r="EN22" s="6" t="s">
        <v>201</v>
      </c>
      <c r="EO22" s="6" t="s">
        <v>201</v>
      </c>
      <c r="EP22" s="6" t="s">
        <v>201</v>
      </c>
      <c r="EQ22" s="6" t="s">
        <v>201</v>
      </c>
      <c r="ER22" s="6">
        <v>167.97479999999999</v>
      </c>
      <c r="ES22" s="6" t="s">
        <v>201</v>
      </c>
      <c r="ET22" s="6" t="s">
        <v>201</v>
      </c>
      <c r="EU22" s="6" t="s">
        <v>201</v>
      </c>
      <c r="EV22" s="7" t="s">
        <v>187</v>
      </c>
      <c r="EW22" s="6">
        <v>25</v>
      </c>
      <c r="EX22" s="6">
        <v>12.322205113183715</v>
      </c>
      <c r="EY22" s="6">
        <v>0.12939348078755408</v>
      </c>
      <c r="EZ22" s="6">
        <v>0.12939348078755408</v>
      </c>
      <c r="FA22" s="6" t="s">
        <v>201</v>
      </c>
      <c r="FB22" s="7" t="s">
        <v>250</v>
      </c>
      <c r="FC22" s="6" t="s">
        <v>201</v>
      </c>
      <c r="FD22" s="6" t="s">
        <v>201</v>
      </c>
      <c r="FE22" s="6" t="s">
        <v>201</v>
      </c>
      <c r="FF22" s="6" t="s">
        <v>201</v>
      </c>
      <c r="FG22" s="6" t="s">
        <v>217</v>
      </c>
      <c r="FH22" s="6">
        <v>468.15700545330941</v>
      </c>
      <c r="FI22" s="6">
        <f t="shared" si="8"/>
        <v>35.111775408998206</v>
      </c>
      <c r="FJ22" s="6">
        <f t="shared" si="9"/>
        <v>35.111775408998206</v>
      </c>
      <c r="FK22" s="6" t="s">
        <v>203</v>
      </c>
      <c r="FL22" s="6" t="s">
        <v>216</v>
      </c>
      <c r="FM22" s="6" t="s">
        <v>249</v>
      </c>
      <c r="FN22" s="6" t="s">
        <v>201</v>
      </c>
      <c r="FO22" s="6" t="s">
        <v>201</v>
      </c>
      <c r="FP22" s="6" t="s">
        <v>201</v>
      </c>
      <c r="FQ22" s="6" t="s">
        <v>201</v>
      </c>
      <c r="FR22" s="6" t="s">
        <v>201</v>
      </c>
      <c r="FS22" s="6" t="s">
        <v>201</v>
      </c>
      <c r="FT22" s="6" t="s">
        <v>200</v>
      </c>
      <c r="FU22" s="6" t="s">
        <v>212</v>
      </c>
      <c r="FV22" s="44" t="s">
        <v>292</v>
      </c>
      <c r="FW22" s="6" t="s">
        <v>201</v>
      </c>
      <c r="FX22" s="6" t="s">
        <v>201</v>
      </c>
      <c r="FY22" s="6" t="s">
        <v>247</v>
      </c>
    </row>
    <row r="23" spans="1:181" s="4" customFormat="1" x14ac:dyDescent="0.15">
      <c r="A23" s="3" t="s">
        <v>258</v>
      </c>
      <c r="B23" s="3" t="s">
        <v>193</v>
      </c>
      <c r="C23">
        <v>2017</v>
      </c>
      <c r="D23" s="22" t="str">
        <f t="shared" si="1"/>
        <v>10.1016/j.epsl.2017.03.016</v>
      </c>
      <c r="E23" s="22">
        <f t="shared" si="2"/>
        <v>2924.77</v>
      </c>
      <c r="F23" s="22" t="str">
        <f t="shared" si="3"/>
        <v>NA</v>
      </c>
      <c r="G23" s="22" t="str">
        <f t="shared" si="4"/>
        <v>NA</v>
      </c>
      <c r="H23" s="22">
        <f t="shared" si="5"/>
        <v>468.24501710554807</v>
      </c>
      <c r="I23" s="36">
        <f t="shared" si="6"/>
        <v>35.118376282916103</v>
      </c>
      <c r="J23" s="36">
        <f t="shared" si="7"/>
        <v>35.118376282916103</v>
      </c>
      <c r="K23" s="5" t="s">
        <v>251</v>
      </c>
      <c r="L23" s="5" t="s">
        <v>252</v>
      </c>
      <c r="M23" s="5" t="s">
        <v>194</v>
      </c>
      <c r="N23" s="5" t="s">
        <v>192</v>
      </c>
      <c r="O23" s="4">
        <v>850</v>
      </c>
      <c r="P23" s="5" t="s">
        <v>189</v>
      </c>
      <c r="Q23" s="4" t="s">
        <v>201</v>
      </c>
      <c r="R23" s="4" t="s">
        <v>201</v>
      </c>
      <c r="S23" s="4" t="s">
        <v>201</v>
      </c>
      <c r="T23" s="4" t="s">
        <v>201</v>
      </c>
      <c r="U23" s="4" t="s">
        <v>201</v>
      </c>
      <c r="V23" s="4" t="s">
        <v>201</v>
      </c>
      <c r="W23" s="4" t="s">
        <v>201</v>
      </c>
      <c r="X23" s="4" t="s">
        <v>201</v>
      </c>
      <c r="Y23" s="4" t="s">
        <v>201</v>
      </c>
      <c r="Z23" s="9">
        <v>59.975000000000001</v>
      </c>
      <c r="AA23" s="4" t="s">
        <v>207</v>
      </c>
      <c r="AB23" s="4">
        <v>2924.77</v>
      </c>
      <c r="AC23" s="4" t="s">
        <v>201</v>
      </c>
      <c r="AD23" s="4" t="s">
        <v>201</v>
      </c>
      <c r="AE23" s="4" t="s">
        <v>201</v>
      </c>
      <c r="AF23" s="5" t="s">
        <v>176</v>
      </c>
      <c r="AG23" s="5" t="s">
        <v>178</v>
      </c>
      <c r="AH23" s="12">
        <v>1.2971666666666666</v>
      </c>
      <c r="AI23" s="9">
        <v>-110.5215</v>
      </c>
      <c r="AJ23" s="37">
        <v>-4197</v>
      </c>
      <c r="AK23" s="4" t="s">
        <v>201</v>
      </c>
      <c r="AL23" s="4" t="s">
        <v>201</v>
      </c>
      <c r="AM23" s="4" t="s">
        <v>201</v>
      </c>
      <c r="AN23" s="4" t="s">
        <v>201</v>
      </c>
      <c r="AO23" s="5" t="s">
        <v>236</v>
      </c>
      <c r="AP23" s="4" t="s">
        <v>201</v>
      </c>
      <c r="AQ23" s="4" t="s">
        <v>201</v>
      </c>
      <c r="AR23" s="4" t="s">
        <v>201</v>
      </c>
      <c r="AS23" s="4" t="s">
        <v>201</v>
      </c>
      <c r="AT23" s="4" t="s">
        <v>201</v>
      </c>
      <c r="AU23" s="4" t="s">
        <v>201</v>
      </c>
      <c r="AV23" s="4" t="s">
        <v>201</v>
      </c>
      <c r="AW23" s="4" t="s">
        <v>201</v>
      </c>
      <c r="AX23" s="4">
        <v>2.0785864588672998</v>
      </c>
      <c r="AY23" s="4">
        <v>0.13</v>
      </c>
      <c r="AZ23" s="4" t="s">
        <v>203</v>
      </c>
      <c r="BA23" s="4" t="s">
        <v>201</v>
      </c>
      <c r="BB23" s="4">
        <v>-1.34818605831315</v>
      </c>
      <c r="BC23" s="4">
        <v>0.24</v>
      </c>
      <c r="BD23" s="4" t="s">
        <v>203</v>
      </c>
      <c r="BE23" s="4" t="s">
        <v>201</v>
      </c>
      <c r="BF23" s="5" t="s">
        <v>181</v>
      </c>
      <c r="BG23" s="5" t="s">
        <v>182</v>
      </c>
      <c r="BH23" s="4">
        <v>0</v>
      </c>
      <c r="BI23" s="4" t="s">
        <v>201</v>
      </c>
      <c r="BJ23" s="4" t="s">
        <v>201</v>
      </c>
      <c r="BK23" s="4" t="s">
        <v>201</v>
      </c>
      <c r="BL23" s="4" t="s">
        <v>201</v>
      </c>
      <c r="BM23" s="4" t="s">
        <v>201</v>
      </c>
      <c r="BN23" s="4" t="s">
        <v>201</v>
      </c>
      <c r="BO23" s="4" t="s">
        <v>201</v>
      </c>
      <c r="BP23" s="4" t="s">
        <v>201</v>
      </c>
      <c r="BQ23" s="4" t="s">
        <v>201</v>
      </c>
      <c r="BR23" s="4" t="s">
        <v>201</v>
      </c>
      <c r="BS23" s="5" t="s">
        <v>183</v>
      </c>
      <c r="BT23" s="4">
        <v>-23.895906713470524</v>
      </c>
      <c r="BU23" s="5" t="s">
        <v>184</v>
      </c>
      <c r="BV23" s="4">
        <v>0.31</v>
      </c>
      <c r="BW23" s="4" t="s">
        <v>201</v>
      </c>
      <c r="BX23" s="4" t="s">
        <v>202</v>
      </c>
      <c r="BY23" s="4">
        <v>4.2</v>
      </c>
      <c r="BZ23" s="4" t="s">
        <v>201</v>
      </c>
      <c r="CA23" s="4" t="s">
        <v>201</v>
      </c>
      <c r="CB23" s="4">
        <v>-19.796269521667114</v>
      </c>
      <c r="CC23" s="4" t="s">
        <v>201</v>
      </c>
      <c r="CD23" s="4" t="s">
        <v>201</v>
      </c>
      <c r="CE23" s="4" t="s">
        <v>201</v>
      </c>
      <c r="CF23" s="4" t="s">
        <v>201</v>
      </c>
      <c r="CG23" s="4">
        <v>35</v>
      </c>
      <c r="CH23" s="4">
        <v>1</v>
      </c>
      <c r="CI23" s="4" t="s">
        <v>204</v>
      </c>
      <c r="CJ23" s="5" t="s">
        <v>185</v>
      </c>
      <c r="CK23" s="4">
        <v>0.82</v>
      </c>
      <c r="CL23" s="4">
        <v>0.1</v>
      </c>
      <c r="CM23" s="4">
        <v>0.1</v>
      </c>
      <c r="CN23" s="4" t="s">
        <v>204</v>
      </c>
      <c r="CO23" s="5" t="s">
        <v>186</v>
      </c>
      <c r="CP23" s="4" t="s">
        <v>201</v>
      </c>
      <c r="CQ23" s="4" t="s">
        <v>201</v>
      </c>
      <c r="CR23" s="4">
        <f t="shared" si="0"/>
        <v>25.245239780057982</v>
      </c>
      <c r="CS23" s="4" t="s">
        <v>201</v>
      </c>
      <c r="CT23" s="4" t="s">
        <v>201</v>
      </c>
      <c r="CU23" s="4" t="s">
        <v>201</v>
      </c>
      <c r="CV23" s="4" t="s">
        <v>211</v>
      </c>
      <c r="CW23" s="4">
        <v>0.90428287868300017</v>
      </c>
      <c r="CX23" s="4" t="s">
        <v>201</v>
      </c>
      <c r="CY23" s="4">
        <v>25.682355283533315</v>
      </c>
      <c r="CZ23" s="4" t="s">
        <v>201</v>
      </c>
      <c r="DA23" s="4" t="s">
        <v>201</v>
      </c>
      <c r="DB23" s="4" t="s">
        <v>201</v>
      </c>
      <c r="DC23" s="5" t="s">
        <v>190</v>
      </c>
      <c r="DD23" s="4" t="s">
        <v>205</v>
      </c>
      <c r="DE23" s="4" t="s">
        <v>201</v>
      </c>
      <c r="DF23" s="4" t="s">
        <v>201</v>
      </c>
      <c r="DG23" s="4" t="s">
        <v>201</v>
      </c>
      <c r="DH23" s="4" t="s">
        <v>201</v>
      </c>
      <c r="DI23" s="4">
        <v>24.80812427658265</v>
      </c>
      <c r="DJ23" s="4" t="s">
        <v>201</v>
      </c>
      <c r="DK23" s="4" t="s">
        <v>201</v>
      </c>
      <c r="DL23" s="4" t="s">
        <v>201</v>
      </c>
      <c r="DM23" s="4" t="s">
        <v>206</v>
      </c>
      <c r="DN23" s="4" t="s">
        <v>201</v>
      </c>
      <c r="DO23" s="4" t="s">
        <v>201</v>
      </c>
      <c r="DP23" s="4" t="s">
        <v>201</v>
      </c>
      <c r="DQ23" s="4" t="s">
        <v>201</v>
      </c>
      <c r="DR23" s="4" t="s">
        <v>201</v>
      </c>
      <c r="DS23" s="4" t="s">
        <v>201</v>
      </c>
      <c r="DT23" s="4" t="s">
        <v>201</v>
      </c>
      <c r="DU23" s="4" t="s">
        <v>201</v>
      </c>
      <c r="DV23" s="4" t="s">
        <v>201</v>
      </c>
      <c r="DW23" s="4" t="s">
        <v>201</v>
      </c>
      <c r="DX23" s="4" t="s">
        <v>201</v>
      </c>
      <c r="DY23" s="4" t="s">
        <v>201</v>
      </c>
      <c r="DZ23" s="4" t="s">
        <v>201</v>
      </c>
      <c r="EA23" s="4" t="s">
        <v>201</v>
      </c>
      <c r="EB23" s="4" t="s">
        <v>201</v>
      </c>
      <c r="EC23" s="4" t="s">
        <v>201</v>
      </c>
      <c r="ED23" s="4" t="s">
        <v>201</v>
      </c>
      <c r="EE23" s="4" t="s">
        <v>201</v>
      </c>
      <c r="EF23" s="4" t="s">
        <v>201</v>
      </c>
      <c r="EG23" s="4" t="s">
        <v>201</v>
      </c>
      <c r="EH23" s="4" t="s">
        <v>201</v>
      </c>
      <c r="EI23" s="4" t="s">
        <v>201</v>
      </c>
      <c r="EJ23" s="4" t="s">
        <v>201</v>
      </c>
      <c r="EK23" s="4" t="s">
        <v>201</v>
      </c>
      <c r="EL23" s="4" t="s">
        <v>201</v>
      </c>
      <c r="EM23" s="4" t="s">
        <v>201</v>
      </c>
      <c r="EN23" s="4" t="s">
        <v>201</v>
      </c>
      <c r="EO23" s="4" t="s">
        <v>201</v>
      </c>
      <c r="EP23" s="4" t="s">
        <v>201</v>
      </c>
      <c r="EQ23" s="4" t="s">
        <v>201</v>
      </c>
      <c r="ER23" s="4">
        <v>167.97479999999999</v>
      </c>
      <c r="ES23" s="4" t="s">
        <v>201</v>
      </c>
      <c r="ET23" s="4" t="s">
        <v>201</v>
      </c>
      <c r="EU23" s="4" t="s">
        <v>201</v>
      </c>
      <c r="EV23" s="5" t="s">
        <v>187</v>
      </c>
      <c r="EW23" s="4">
        <v>25</v>
      </c>
      <c r="EX23" s="4">
        <v>12.160462248328452</v>
      </c>
      <c r="EY23" s="4">
        <v>5.4473068889393517E-2</v>
      </c>
      <c r="EZ23" s="4">
        <v>5.4473068889393517E-2</v>
      </c>
      <c r="FA23" s="4" t="s">
        <v>201</v>
      </c>
      <c r="FB23" s="5" t="s">
        <v>250</v>
      </c>
      <c r="FC23" s="4" t="s">
        <v>201</v>
      </c>
      <c r="FD23" s="4" t="s">
        <v>201</v>
      </c>
      <c r="FE23" s="4" t="s">
        <v>201</v>
      </c>
      <c r="FF23" s="4" t="s">
        <v>201</v>
      </c>
      <c r="FG23" s="4" t="s">
        <v>217</v>
      </c>
      <c r="FH23" s="4">
        <v>468.24501710554807</v>
      </c>
      <c r="FI23" s="4">
        <f t="shared" si="8"/>
        <v>35.118376282916103</v>
      </c>
      <c r="FJ23" s="4">
        <f t="shared" si="9"/>
        <v>35.118376282916103</v>
      </c>
      <c r="FK23" s="4" t="s">
        <v>203</v>
      </c>
      <c r="FL23" s="4" t="s">
        <v>216</v>
      </c>
      <c r="FM23" s="4" t="s">
        <v>249</v>
      </c>
      <c r="FN23" s="4" t="s">
        <v>201</v>
      </c>
      <c r="FO23" s="4" t="s">
        <v>201</v>
      </c>
      <c r="FP23" s="4" t="s">
        <v>201</v>
      </c>
      <c r="FQ23" s="4" t="s">
        <v>201</v>
      </c>
      <c r="FR23" s="4" t="s">
        <v>201</v>
      </c>
      <c r="FS23" s="4" t="s">
        <v>201</v>
      </c>
      <c r="FT23" s="4" t="s">
        <v>200</v>
      </c>
      <c r="FU23" s="4" t="s">
        <v>212</v>
      </c>
      <c r="FV23" s="45" t="s">
        <v>293</v>
      </c>
      <c r="FW23" s="4" t="s">
        <v>201</v>
      </c>
      <c r="FX23" s="4" t="s">
        <v>201</v>
      </c>
      <c r="FY23" s="4" t="s">
        <v>247</v>
      </c>
    </row>
    <row r="24" spans="1:181" s="4" customFormat="1" x14ac:dyDescent="0.15">
      <c r="A24" s="3" t="s">
        <v>258</v>
      </c>
      <c r="B24" s="3" t="s">
        <v>193</v>
      </c>
      <c r="C24">
        <v>2017</v>
      </c>
      <c r="D24" s="22" t="str">
        <f t="shared" si="1"/>
        <v>10.1016/j.epsl.2017.03.016</v>
      </c>
      <c r="E24" s="22">
        <f t="shared" si="2"/>
        <v>3171.22</v>
      </c>
      <c r="F24" s="22" t="str">
        <f t="shared" si="3"/>
        <v>NA</v>
      </c>
      <c r="G24" s="22" t="str">
        <f t="shared" si="4"/>
        <v>NA</v>
      </c>
      <c r="H24" s="22">
        <f t="shared" si="5"/>
        <v>503.54420361051154</v>
      </c>
      <c r="I24" s="36">
        <f t="shared" si="6"/>
        <v>37.765815270788366</v>
      </c>
      <c r="J24" s="36">
        <f t="shared" si="7"/>
        <v>37.765815270788366</v>
      </c>
      <c r="K24" s="5" t="s">
        <v>251</v>
      </c>
      <c r="L24" s="5" t="s">
        <v>252</v>
      </c>
      <c r="M24" s="5" t="s">
        <v>194</v>
      </c>
      <c r="N24" s="5" t="s">
        <v>192</v>
      </c>
      <c r="O24" s="4">
        <v>850</v>
      </c>
      <c r="P24" s="5" t="s">
        <v>189</v>
      </c>
      <c r="Q24" s="4" t="s">
        <v>201</v>
      </c>
      <c r="R24" s="4" t="s">
        <v>201</v>
      </c>
      <c r="S24" s="4" t="s">
        <v>201</v>
      </c>
      <c r="T24" s="4" t="s">
        <v>201</v>
      </c>
      <c r="U24" s="4" t="s">
        <v>201</v>
      </c>
      <c r="V24" s="4" t="s">
        <v>201</v>
      </c>
      <c r="W24" s="4" t="s">
        <v>201</v>
      </c>
      <c r="X24" s="4" t="s">
        <v>201</v>
      </c>
      <c r="Y24" s="4" t="s">
        <v>201</v>
      </c>
      <c r="Z24" s="9">
        <v>65.474999999999994</v>
      </c>
      <c r="AA24" s="4" t="s">
        <v>207</v>
      </c>
      <c r="AB24" s="4">
        <v>3171.22</v>
      </c>
      <c r="AC24" s="4" t="s">
        <v>201</v>
      </c>
      <c r="AD24" s="4" t="s">
        <v>201</v>
      </c>
      <c r="AE24" s="4" t="s">
        <v>201</v>
      </c>
      <c r="AF24" s="5" t="s">
        <v>176</v>
      </c>
      <c r="AG24" s="5" t="s">
        <v>178</v>
      </c>
      <c r="AH24" s="12">
        <v>1.2971666666666666</v>
      </c>
      <c r="AI24" s="9">
        <v>-110.5215</v>
      </c>
      <c r="AJ24" s="37">
        <v>-4197</v>
      </c>
      <c r="AK24" s="4" t="s">
        <v>201</v>
      </c>
      <c r="AL24" s="4" t="s">
        <v>201</v>
      </c>
      <c r="AM24" s="4" t="s">
        <v>201</v>
      </c>
      <c r="AN24" s="4" t="s">
        <v>201</v>
      </c>
      <c r="AO24" s="5" t="s">
        <v>236</v>
      </c>
      <c r="AP24" s="4" t="s">
        <v>201</v>
      </c>
      <c r="AQ24" s="4" t="s">
        <v>201</v>
      </c>
      <c r="AR24" s="4" t="s">
        <v>201</v>
      </c>
      <c r="AS24" s="4" t="s">
        <v>201</v>
      </c>
      <c r="AT24" s="4" t="s">
        <v>201</v>
      </c>
      <c r="AU24" s="4" t="s">
        <v>201</v>
      </c>
      <c r="AV24" s="4" t="s">
        <v>201</v>
      </c>
      <c r="AW24" s="4" t="s">
        <v>201</v>
      </c>
      <c r="AX24" s="4">
        <v>2.5600863350479228</v>
      </c>
      <c r="AY24" s="4">
        <v>0.13</v>
      </c>
      <c r="AZ24" s="4" t="s">
        <v>203</v>
      </c>
      <c r="BA24" s="4" t="s">
        <v>201</v>
      </c>
      <c r="BB24" s="4">
        <v>-0.53441052390732591</v>
      </c>
      <c r="BC24" s="4">
        <v>0.24</v>
      </c>
      <c r="BD24" s="4" t="s">
        <v>203</v>
      </c>
      <c r="BE24" s="4" t="s">
        <v>201</v>
      </c>
      <c r="BF24" s="5" t="s">
        <v>181</v>
      </c>
      <c r="BG24" s="5" t="s">
        <v>182</v>
      </c>
      <c r="BH24" s="4">
        <v>0</v>
      </c>
      <c r="BI24" s="4" t="s">
        <v>201</v>
      </c>
      <c r="BJ24" s="4" t="s">
        <v>201</v>
      </c>
      <c r="BK24" s="4" t="s">
        <v>201</v>
      </c>
      <c r="BL24" s="4" t="s">
        <v>201</v>
      </c>
      <c r="BM24" s="4" t="s">
        <v>201</v>
      </c>
      <c r="BN24" s="4" t="s">
        <v>201</v>
      </c>
      <c r="BO24" s="4" t="s">
        <v>201</v>
      </c>
      <c r="BP24" s="4" t="s">
        <v>201</v>
      </c>
      <c r="BQ24" s="4" t="s">
        <v>201</v>
      </c>
      <c r="BR24" s="4" t="s">
        <v>201</v>
      </c>
      <c r="BS24" s="5" t="s">
        <v>183</v>
      </c>
      <c r="BT24" s="4">
        <v>-24.158832425727244</v>
      </c>
      <c r="BU24" s="5" t="s">
        <v>184</v>
      </c>
      <c r="BV24" s="4">
        <v>0.31</v>
      </c>
      <c r="BW24" s="4" t="s">
        <v>201</v>
      </c>
      <c r="BX24" s="4" t="s">
        <v>202</v>
      </c>
      <c r="BY24" s="4">
        <v>4.2</v>
      </c>
      <c r="BZ24" s="4" t="s">
        <v>201</v>
      </c>
      <c r="CA24" s="4" t="s">
        <v>201</v>
      </c>
      <c r="CB24" s="4">
        <v>-20.06029952191534</v>
      </c>
      <c r="CC24" s="4" t="s">
        <v>201</v>
      </c>
      <c r="CD24" s="4" t="s">
        <v>201</v>
      </c>
      <c r="CE24" s="4" t="s">
        <v>201</v>
      </c>
      <c r="CF24" s="4" t="s">
        <v>201</v>
      </c>
      <c r="CG24" s="4">
        <v>35</v>
      </c>
      <c r="CH24" s="4">
        <v>1</v>
      </c>
      <c r="CI24" s="4" t="s">
        <v>204</v>
      </c>
      <c r="CJ24" s="5" t="s">
        <v>185</v>
      </c>
      <c r="CK24" s="4">
        <v>0.82</v>
      </c>
      <c r="CL24" s="4">
        <v>0.1</v>
      </c>
      <c r="CM24" s="4">
        <v>0.1</v>
      </c>
      <c r="CN24" s="4" t="s">
        <v>204</v>
      </c>
      <c r="CO24" s="5" t="s">
        <v>186</v>
      </c>
      <c r="CP24" s="4" t="s">
        <v>201</v>
      </c>
      <c r="CQ24" s="4" t="s">
        <v>201</v>
      </c>
      <c r="CR24" s="4">
        <f t="shared" si="0"/>
        <v>25.466735</v>
      </c>
      <c r="CS24" s="4" t="s">
        <v>201</v>
      </c>
      <c r="CT24" s="4" t="s">
        <v>201</v>
      </c>
      <c r="CU24" s="4" t="s">
        <v>201</v>
      </c>
      <c r="CV24" s="4" t="s">
        <v>211</v>
      </c>
      <c r="CW24" s="4">
        <v>0.91942227875217564</v>
      </c>
      <c r="CX24" s="4" t="s">
        <v>201</v>
      </c>
      <c r="CY24" s="4">
        <v>26.13466</v>
      </c>
      <c r="CZ24" s="4" t="s">
        <v>201</v>
      </c>
      <c r="DA24" s="4" t="s">
        <v>201</v>
      </c>
      <c r="DB24" s="4" t="s">
        <v>201</v>
      </c>
      <c r="DC24" s="5" t="s">
        <v>190</v>
      </c>
      <c r="DD24" s="4" t="s">
        <v>205</v>
      </c>
      <c r="DE24" s="4" t="s">
        <v>201</v>
      </c>
      <c r="DF24" s="4" t="s">
        <v>201</v>
      </c>
      <c r="DG24" s="4" t="s">
        <v>201</v>
      </c>
      <c r="DH24" s="4" t="s">
        <v>201</v>
      </c>
      <c r="DI24" s="4">
        <v>24.79881</v>
      </c>
      <c r="DJ24" s="4" t="s">
        <v>201</v>
      </c>
      <c r="DK24" s="4" t="s">
        <v>201</v>
      </c>
      <c r="DL24" s="4" t="s">
        <v>201</v>
      </c>
      <c r="DM24" s="4" t="s">
        <v>206</v>
      </c>
      <c r="DN24" s="4" t="s">
        <v>201</v>
      </c>
      <c r="DO24" s="4" t="s">
        <v>201</v>
      </c>
      <c r="DP24" s="4" t="s">
        <v>201</v>
      </c>
      <c r="DQ24" s="4" t="s">
        <v>201</v>
      </c>
      <c r="DR24" s="4" t="s">
        <v>201</v>
      </c>
      <c r="DS24" s="4" t="s">
        <v>201</v>
      </c>
      <c r="DT24" s="4" t="s">
        <v>201</v>
      </c>
      <c r="DU24" s="4" t="s">
        <v>201</v>
      </c>
      <c r="DV24" s="4" t="s">
        <v>201</v>
      </c>
      <c r="DW24" s="4" t="s">
        <v>201</v>
      </c>
      <c r="DX24" s="4" t="s">
        <v>201</v>
      </c>
      <c r="DY24" s="4" t="s">
        <v>201</v>
      </c>
      <c r="DZ24" s="4" t="s">
        <v>201</v>
      </c>
      <c r="EA24" s="4" t="s">
        <v>201</v>
      </c>
      <c r="EB24" s="4" t="s">
        <v>201</v>
      </c>
      <c r="EC24" s="4" t="s">
        <v>201</v>
      </c>
      <c r="ED24" s="4" t="s">
        <v>201</v>
      </c>
      <c r="EE24" s="4" t="s">
        <v>201</v>
      </c>
      <c r="EF24" s="4" t="s">
        <v>201</v>
      </c>
      <c r="EG24" s="4" t="s">
        <v>201</v>
      </c>
      <c r="EH24" s="4" t="s">
        <v>201</v>
      </c>
      <c r="EI24" s="4" t="s">
        <v>201</v>
      </c>
      <c r="EJ24" s="4" t="s">
        <v>201</v>
      </c>
      <c r="EK24" s="4" t="s">
        <v>201</v>
      </c>
      <c r="EL24" s="4" t="s">
        <v>201</v>
      </c>
      <c r="EM24" s="4" t="s">
        <v>201</v>
      </c>
      <c r="EN24" s="4" t="s">
        <v>201</v>
      </c>
      <c r="EO24" s="4" t="s">
        <v>201</v>
      </c>
      <c r="EP24" s="4" t="s">
        <v>201</v>
      </c>
      <c r="EQ24" s="4" t="s">
        <v>201</v>
      </c>
      <c r="ER24" s="4">
        <v>167.97479999999999</v>
      </c>
      <c r="ES24" s="4" t="s">
        <v>201</v>
      </c>
      <c r="ET24" s="4" t="s">
        <v>201</v>
      </c>
      <c r="EU24" s="4" t="s">
        <v>201</v>
      </c>
      <c r="EV24" s="5" t="s">
        <v>187</v>
      </c>
      <c r="EW24" s="4">
        <v>25</v>
      </c>
      <c r="EX24" s="4">
        <v>13.026397751469299</v>
      </c>
      <c r="EY24" s="4">
        <v>8.3303064108974922E-2</v>
      </c>
      <c r="EZ24" s="4">
        <v>8.3303064108974922E-2</v>
      </c>
      <c r="FA24" s="4" t="s">
        <v>201</v>
      </c>
      <c r="FB24" s="5" t="s">
        <v>250</v>
      </c>
      <c r="FC24" s="4" t="s">
        <v>201</v>
      </c>
      <c r="FD24" s="4" t="s">
        <v>201</v>
      </c>
      <c r="FE24" s="4" t="s">
        <v>201</v>
      </c>
      <c r="FF24" s="4" t="s">
        <v>201</v>
      </c>
      <c r="FG24" s="4" t="s">
        <v>217</v>
      </c>
      <c r="FH24" s="4">
        <v>503.54420361051154</v>
      </c>
      <c r="FI24" s="4">
        <f t="shared" si="8"/>
        <v>37.765815270788366</v>
      </c>
      <c r="FJ24" s="4">
        <f t="shared" si="9"/>
        <v>37.765815270788366</v>
      </c>
      <c r="FK24" s="4" t="s">
        <v>203</v>
      </c>
      <c r="FL24" s="4" t="s">
        <v>216</v>
      </c>
      <c r="FM24" s="4" t="s">
        <v>249</v>
      </c>
      <c r="FN24" s="4" t="s">
        <v>201</v>
      </c>
      <c r="FO24" s="4" t="s">
        <v>201</v>
      </c>
      <c r="FP24" s="4" t="s">
        <v>201</v>
      </c>
      <c r="FQ24" s="4" t="s">
        <v>201</v>
      </c>
      <c r="FR24" s="4" t="s">
        <v>201</v>
      </c>
      <c r="FS24" s="4" t="s">
        <v>201</v>
      </c>
      <c r="FT24" s="4" t="s">
        <v>200</v>
      </c>
      <c r="FU24" s="4" t="s">
        <v>212</v>
      </c>
      <c r="FV24" s="45" t="s">
        <v>294</v>
      </c>
      <c r="FW24" s="4" t="s">
        <v>201</v>
      </c>
      <c r="FX24" s="4" t="s">
        <v>201</v>
      </c>
      <c r="FY24" s="4" t="s">
        <v>247</v>
      </c>
    </row>
    <row r="25" spans="1:181" s="6" customFormat="1" x14ac:dyDescent="0.15">
      <c r="A25" s="3" t="s">
        <v>258</v>
      </c>
      <c r="B25" s="3" t="s">
        <v>193</v>
      </c>
      <c r="C25">
        <v>2017</v>
      </c>
      <c r="D25" s="22" t="str">
        <f t="shared" si="1"/>
        <v>10.1016/j.epsl.2017.03.016</v>
      </c>
      <c r="E25" s="22">
        <f t="shared" si="2"/>
        <v>3449.03</v>
      </c>
      <c r="F25" s="22" t="str">
        <f t="shared" si="3"/>
        <v>NA</v>
      </c>
      <c r="G25" s="22" t="str">
        <f t="shared" si="4"/>
        <v>NA</v>
      </c>
      <c r="H25" s="22">
        <f t="shared" si="5"/>
        <v>457.21040357082813</v>
      </c>
      <c r="I25" s="36">
        <f t="shared" si="6"/>
        <v>34.29078026781211</v>
      </c>
      <c r="J25" s="36">
        <f t="shared" si="7"/>
        <v>34.29078026781211</v>
      </c>
      <c r="K25" s="7" t="s">
        <v>251</v>
      </c>
      <c r="L25" s="7" t="s">
        <v>252</v>
      </c>
      <c r="M25" s="7" t="s">
        <v>194</v>
      </c>
      <c r="N25" s="7" t="s">
        <v>192</v>
      </c>
      <c r="O25" s="6">
        <v>850</v>
      </c>
      <c r="P25" s="7" t="s">
        <v>189</v>
      </c>
      <c r="Q25" s="6">
        <v>7</v>
      </c>
      <c r="R25" s="6" t="s">
        <v>208</v>
      </c>
      <c r="S25" s="6" t="s">
        <v>209</v>
      </c>
      <c r="T25" s="6">
        <v>4</v>
      </c>
      <c r="U25" s="6" t="s">
        <v>201</v>
      </c>
      <c r="V25" s="6" t="s">
        <v>201</v>
      </c>
      <c r="W25" s="6" t="s">
        <v>201</v>
      </c>
      <c r="X25" s="6" t="s">
        <v>201</v>
      </c>
      <c r="Y25" s="6" t="s">
        <v>201</v>
      </c>
      <c r="Z25" s="8">
        <v>71.674999999999997</v>
      </c>
      <c r="AA25" s="6" t="s">
        <v>207</v>
      </c>
      <c r="AB25" s="6">
        <v>3449.03</v>
      </c>
      <c r="AC25" s="6" t="s">
        <v>201</v>
      </c>
      <c r="AD25" s="6" t="s">
        <v>201</v>
      </c>
      <c r="AE25" s="6" t="s">
        <v>201</v>
      </c>
      <c r="AF25" s="7" t="s">
        <v>176</v>
      </c>
      <c r="AG25" s="7" t="s">
        <v>178</v>
      </c>
      <c r="AH25" s="11">
        <v>1.2971666666666666</v>
      </c>
      <c r="AI25" s="8">
        <v>-110.5215</v>
      </c>
      <c r="AJ25" s="6">
        <v>-4197</v>
      </c>
      <c r="AK25" s="6" t="s">
        <v>201</v>
      </c>
      <c r="AL25" s="6" t="s">
        <v>201</v>
      </c>
      <c r="AM25" s="6" t="s">
        <v>201</v>
      </c>
      <c r="AN25" s="6" t="s">
        <v>201</v>
      </c>
      <c r="AO25" s="7" t="s">
        <v>236</v>
      </c>
      <c r="AP25" s="6" t="s">
        <v>201</v>
      </c>
      <c r="AQ25" s="6" t="s">
        <v>201</v>
      </c>
      <c r="AR25" s="6" t="s">
        <v>201</v>
      </c>
      <c r="AS25" s="6" t="s">
        <v>201</v>
      </c>
      <c r="AT25" s="6" t="s">
        <v>201</v>
      </c>
      <c r="AU25" s="6" t="s">
        <v>201</v>
      </c>
      <c r="AV25" s="6" t="s">
        <v>201</v>
      </c>
      <c r="AW25" s="6" t="s">
        <v>201</v>
      </c>
      <c r="AX25" s="6">
        <v>2.0653324312461097</v>
      </c>
      <c r="AY25" s="6">
        <v>0.13</v>
      </c>
      <c r="AZ25" s="6" t="s">
        <v>203</v>
      </c>
      <c r="BA25" s="6" t="s">
        <v>201</v>
      </c>
      <c r="BB25" s="6">
        <v>0.35856327541929028</v>
      </c>
      <c r="BC25" s="6">
        <v>0.24</v>
      </c>
      <c r="BD25" s="6" t="s">
        <v>203</v>
      </c>
      <c r="BE25" s="6" t="s">
        <v>201</v>
      </c>
      <c r="BF25" s="7" t="s">
        <v>181</v>
      </c>
      <c r="BG25" s="7" t="s">
        <v>182</v>
      </c>
      <c r="BH25" s="6">
        <v>0</v>
      </c>
      <c r="BI25" s="6" t="s">
        <v>201</v>
      </c>
      <c r="BJ25" s="6" t="s">
        <v>201</v>
      </c>
      <c r="BK25" s="6" t="s">
        <v>201</v>
      </c>
      <c r="BL25" s="6" t="s">
        <v>201</v>
      </c>
      <c r="BM25" s="6" t="s">
        <v>201</v>
      </c>
      <c r="BN25" s="6" t="s">
        <v>201</v>
      </c>
      <c r="BO25" s="6" t="s">
        <v>201</v>
      </c>
      <c r="BP25" s="6" t="s">
        <v>201</v>
      </c>
      <c r="BQ25" s="6" t="s">
        <v>201</v>
      </c>
      <c r="BR25" s="6" t="s">
        <v>201</v>
      </c>
      <c r="BS25" s="7" t="s">
        <v>183</v>
      </c>
      <c r="BT25" s="6">
        <v>-24.109992316736701</v>
      </c>
      <c r="BU25" s="7" t="s">
        <v>184</v>
      </c>
      <c r="BV25" s="6">
        <v>0.31</v>
      </c>
      <c r="BW25" s="6" t="s">
        <v>201</v>
      </c>
      <c r="BX25" s="6" t="s">
        <v>202</v>
      </c>
      <c r="BY25" s="6">
        <v>4.2</v>
      </c>
      <c r="BZ25" s="6" t="s">
        <v>201</v>
      </c>
      <c r="CA25" s="6" t="s">
        <v>201</v>
      </c>
      <c r="CB25" s="6">
        <v>-20.011254284466986</v>
      </c>
      <c r="CC25" s="6" t="s">
        <v>201</v>
      </c>
      <c r="CD25" s="6" t="s">
        <v>201</v>
      </c>
      <c r="CE25" s="6" t="s">
        <v>201</v>
      </c>
      <c r="CF25" s="6" t="s">
        <v>201</v>
      </c>
      <c r="CG25" s="6">
        <v>35</v>
      </c>
      <c r="CH25" s="6">
        <v>1</v>
      </c>
      <c r="CI25" s="6" t="s">
        <v>204</v>
      </c>
      <c r="CJ25" s="7" t="s">
        <v>185</v>
      </c>
      <c r="CK25" s="6">
        <v>0.82</v>
      </c>
      <c r="CL25" s="6">
        <v>0.1</v>
      </c>
      <c r="CM25" s="6">
        <v>0.1</v>
      </c>
      <c r="CN25" s="6" t="s">
        <v>204</v>
      </c>
      <c r="CO25" s="7" t="s">
        <v>186</v>
      </c>
      <c r="CP25" s="6" t="s">
        <v>201</v>
      </c>
      <c r="CQ25" s="6" t="s">
        <v>201</v>
      </c>
      <c r="CR25" s="6">
        <f t="shared" si="0"/>
        <v>24.106445000000001</v>
      </c>
      <c r="CS25" s="6" t="s">
        <v>201</v>
      </c>
      <c r="CT25" s="6" t="s">
        <v>201</v>
      </c>
      <c r="CU25" s="6" t="s">
        <v>201</v>
      </c>
      <c r="CV25" s="6" t="s">
        <v>211</v>
      </c>
      <c r="CW25" s="6">
        <v>0.87227205783906803</v>
      </c>
      <c r="CX25" s="6" t="s">
        <v>201</v>
      </c>
      <c r="CY25" s="6">
        <v>24.725999999999999</v>
      </c>
      <c r="CZ25" s="6" t="s">
        <v>201</v>
      </c>
      <c r="DA25" s="6" t="s">
        <v>201</v>
      </c>
      <c r="DB25" s="6" t="s">
        <v>201</v>
      </c>
      <c r="DC25" s="7" t="s">
        <v>190</v>
      </c>
      <c r="DD25" s="6" t="s">
        <v>205</v>
      </c>
      <c r="DE25" s="6" t="s">
        <v>201</v>
      </c>
      <c r="DF25" s="6" t="s">
        <v>201</v>
      </c>
      <c r="DG25" s="6" t="s">
        <v>201</v>
      </c>
      <c r="DH25" s="6" t="s">
        <v>201</v>
      </c>
      <c r="DI25" s="6">
        <v>23.486889999999999</v>
      </c>
      <c r="DJ25" s="6" t="s">
        <v>201</v>
      </c>
      <c r="DK25" s="6" t="s">
        <v>201</v>
      </c>
      <c r="DL25" s="6" t="s">
        <v>201</v>
      </c>
      <c r="DM25" s="6" t="s">
        <v>206</v>
      </c>
      <c r="DN25" s="6" t="s">
        <v>201</v>
      </c>
      <c r="DO25" s="6" t="s">
        <v>201</v>
      </c>
      <c r="DP25" s="6" t="s">
        <v>201</v>
      </c>
      <c r="DQ25" s="6" t="s">
        <v>201</v>
      </c>
      <c r="DR25" s="6" t="s">
        <v>201</v>
      </c>
      <c r="DS25" s="6" t="s">
        <v>201</v>
      </c>
      <c r="DT25" s="6" t="s">
        <v>201</v>
      </c>
      <c r="DU25" s="6" t="s">
        <v>201</v>
      </c>
      <c r="DV25" s="6" t="s">
        <v>201</v>
      </c>
      <c r="DW25" s="6" t="s">
        <v>201</v>
      </c>
      <c r="DX25" s="6">
        <v>2.3517350157728707</v>
      </c>
      <c r="DY25" s="6" t="s">
        <v>201</v>
      </c>
      <c r="DZ25" s="6" t="s">
        <v>201</v>
      </c>
      <c r="EA25" s="6" t="s">
        <v>201</v>
      </c>
      <c r="EB25" s="6" t="s">
        <v>201</v>
      </c>
      <c r="EC25" s="6" t="s">
        <v>201</v>
      </c>
      <c r="ED25" s="6" t="s">
        <v>201</v>
      </c>
      <c r="EE25" s="6" t="s">
        <v>201</v>
      </c>
      <c r="EF25" s="6" t="s">
        <v>201</v>
      </c>
      <c r="EG25" s="6" t="s">
        <v>201</v>
      </c>
      <c r="EH25" s="6" t="s">
        <v>201</v>
      </c>
      <c r="EI25" s="6" t="s">
        <v>201</v>
      </c>
      <c r="EJ25" s="6" t="s">
        <v>201</v>
      </c>
      <c r="EK25" s="6" t="s">
        <v>201</v>
      </c>
      <c r="EL25" s="6" t="s">
        <v>201</v>
      </c>
      <c r="EM25" s="6" t="s">
        <v>201</v>
      </c>
      <c r="EN25" s="6" t="s">
        <v>201</v>
      </c>
      <c r="EO25" s="6" t="s">
        <v>201</v>
      </c>
      <c r="EP25" s="6" t="s">
        <v>201</v>
      </c>
      <c r="EQ25" s="6" t="s">
        <v>201</v>
      </c>
      <c r="ER25" s="6">
        <v>167.97479999999999</v>
      </c>
      <c r="ES25" s="6" t="s">
        <v>201</v>
      </c>
      <c r="ET25" s="6" t="s">
        <v>201</v>
      </c>
      <c r="EU25" s="6" t="s">
        <v>201</v>
      </c>
      <c r="EV25" s="7" t="s">
        <v>187</v>
      </c>
      <c r="EW25" s="6">
        <v>25</v>
      </c>
      <c r="EX25" s="6">
        <v>12.248523791373422</v>
      </c>
      <c r="EY25" s="6">
        <v>7.7223652153346478E-2</v>
      </c>
      <c r="EZ25" s="6">
        <v>7.7223652153346478E-2</v>
      </c>
      <c r="FA25" s="6" t="s">
        <v>201</v>
      </c>
      <c r="FB25" s="7" t="s">
        <v>250</v>
      </c>
      <c r="FC25" s="6" t="s">
        <v>201</v>
      </c>
      <c r="FD25" s="6" t="s">
        <v>201</v>
      </c>
      <c r="FE25" s="6" t="s">
        <v>201</v>
      </c>
      <c r="FF25" s="6" t="s">
        <v>201</v>
      </c>
      <c r="FG25" s="6" t="s">
        <v>217</v>
      </c>
      <c r="FH25" s="6">
        <v>457.21040357082813</v>
      </c>
      <c r="FI25" s="6">
        <f t="shared" si="8"/>
        <v>34.29078026781211</v>
      </c>
      <c r="FJ25" s="6">
        <f t="shared" si="9"/>
        <v>34.29078026781211</v>
      </c>
      <c r="FK25" s="6" t="s">
        <v>203</v>
      </c>
      <c r="FL25" s="6" t="s">
        <v>216</v>
      </c>
      <c r="FM25" s="6" t="s">
        <v>249</v>
      </c>
      <c r="FN25" s="6" t="s">
        <v>201</v>
      </c>
      <c r="FO25" s="6" t="s">
        <v>201</v>
      </c>
      <c r="FP25" s="6" t="s">
        <v>201</v>
      </c>
      <c r="FQ25" s="6" t="s">
        <v>201</v>
      </c>
      <c r="FR25" s="6" t="s">
        <v>201</v>
      </c>
      <c r="FS25" s="6" t="s">
        <v>201</v>
      </c>
      <c r="FT25" s="6" t="s">
        <v>200</v>
      </c>
      <c r="FU25" s="6" t="s">
        <v>212</v>
      </c>
      <c r="FV25" s="44" t="s">
        <v>295</v>
      </c>
      <c r="FW25" s="6" t="s">
        <v>201</v>
      </c>
      <c r="FX25" s="6" t="s">
        <v>201</v>
      </c>
      <c r="FY25" s="6" t="s">
        <v>247</v>
      </c>
    </row>
    <row r="26" spans="1:181" s="4" customFormat="1" x14ac:dyDescent="0.15">
      <c r="A26" s="3" t="s">
        <v>258</v>
      </c>
      <c r="B26" s="3" t="s">
        <v>193</v>
      </c>
      <c r="C26">
        <v>2017</v>
      </c>
      <c r="D26" s="22" t="str">
        <f t="shared" si="1"/>
        <v>10.1016/j.epsl.2017.03.016</v>
      </c>
      <c r="E26" s="22">
        <f t="shared" si="2"/>
        <v>3464.71</v>
      </c>
      <c r="F26" s="22" t="str">
        <f t="shared" si="3"/>
        <v>NA</v>
      </c>
      <c r="G26" s="22" t="str">
        <f t="shared" si="4"/>
        <v>NA</v>
      </c>
      <c r="H26" s="22">
        <f t="shared" si="5"/>
        <v>508.48932487279876</v>
      </c>
      <c r="I26" s="36">
        <f t="shared" si="6"/>
        <v>38.136699365459904</v>
      </c>
      <c r="J26" s="36">
        <f t="shared" si="7"/>
        <v>38.136699365459904</v>
      </c>
      <c r="K26" s="5" t="s">
        <v>251</v>
      </c>
      <c r="L26" s="5" t="s">
        <v>252</v>
      </c>
      <c r="M26" s="5" t="s">
        <v>194</v>
      </c>
      <c r="N26" s="5" t="s">
        <v>192</v>
      </c>
      <c r="O26" s="4">
        <v>850</v>
      </c>
      <c r="P26" s="5" t="s">
        <v>189</v>
      </c>
      <c r="Q26" s="4" t="s">
        <v>201</v>
      </c>
      <c r="R26" s="4" t="s">
        <v>201</v>
      </c>
      <c r="S26" s="4" t="s">
        <v>201</v>
      </c>
      <c r="T26" s="4" t="s">
        <v>201</v>
      </c>
      <c r="U26" s="4" t="s">
        <v>201</v>
      </c>
      <c r="V26" s="4" t="s">
        <v>201</v>
      </c>
      <c r="W26" s="4" t="s">
        <v>201</v>
      </c>
      <c r="X26" s="4" t="s">
        <v>201</v>
      </c>
      <c r="Y26" s="4" t="s">
        <v>201</v>
      </c>
      <c r="Z26" s="9">
        <v>72.025000000000006</v>
      </c>
      <c r="AA26" s="4" t="s">
        <v>207</v>
      </c>
      <c r="AB26" s="4">
        <v>3464.71</v>
      </c>
      <c r="AC26" s="4" t="s">
        <v>201</v>
      </c>
      <c r="AD26" s="4" t="s">
        <v>201</v>
      </c>
      <c r="AE26" s="4" t="s">
        <v>201</v>
      </c>
      <c r="AF26" s="5" t="s">
        <v>176</v>
      </c>
      <c r="AG26" s="5" t="s">
        <v>178</v>
      </c>
      <c r="AH26" s="12">
        <v>1.2971666666666666</v>
      </c>
      <c r="AI26" s="9">
        <v>-110.5215</v>
      </c>
      <c r="AJ26" s="37">
        <v>-4197</v>
      </c>
      <c r="AK26" s="4" t="s">
        <v>201</v>
      </c>
      <c r="AL26" s="4" t="s">
        <v>201</v>
      </c>
      <c r="AM26" s="4" t="s">
        <v>201</v>
      </c>
      <c r="AN26" s="4" t="s">
        <v>201</v>
      </c>
      <c r="AO26" s="5" t="s">
        <v>236</v>
      </c>
      <c r="AP26" s="4" t="s">
        <v>201</v>
      </c>
      <c r="AQ26" s="4" t="s">
        <v>201</v>
      </c>
      <c r="AR26" s="4" t="s">
        <v>201</v>
      </c>
      <c r="AS26" s="4" t="s">
        <v>201</v>
      </c>
      <c r="AT26" s="4" t="s">
        <v>201</v>
      </c>
      <c r="AU26" s="4" t="s">
        <v>201</v>
      </c>
      <c r="AV26" s="4" t="s">
        <v>201</v>
      </c>
      <c r="AW26" s="4" t="s">
        <v>201</v>
      </c>
      <c r="AX26" s="4">
        <v>2.2354686060210729</v>
      </c>
      <c r="AY26" s="4">
        <v>0.13</v>
      </c>
      <c r="AZ26" s="4" t="s">
        <v>203</v>
      </c>
      <c r="BA26" s="4" t="s">
        <v>201</v>
      </c>
      <c r="BB26" s="4">
        <v>-0.59971938139905134</v>
      </c>
      <c r="BC26" s="4">
        <v>0.24</v>
      </c>
      <c r="BD26" s="4" t="s">
        <v>203</v>
      </c>
      <c r="BE26" s="4" t="s">
        <v>201</v>
      </c>
      <c r="BF26" s="5" t="s">
        <v>181</v>
      </c>
      <c r="BG26" s="5" t="s">
        <v>182</v>
      </c>
      <c r="BH26" s="4">
        <v>0</v>
      </c>
      <c r="BI26" s="4" t="s">
        <v>201</v>
      </c>
      <c r="BJ26" s="4" t="s">
        <v>201</v>
      </c>
      <c r="BK26" s="4" t="s">
        <v>201</v>
      </c>
      <c r="BL26" s="4" t="s">
        <v>201</v>
      </c>
      <c r="BM26" s="4" t="s">
        <v>201</v>
      </c>
      <c r="BN26" s="4" t="s">
        <v>201</v>
      </c>
      <c r="BO26" s="4" t="s">
        <v>201</v>
      </c>
      <c r="BP26" s="4" t="s">
        <v>201</v>
      </c>
      <c r="BQ26" s="4" t="s">
        <v>201</v>
      </c>
      <c r="BR26" s="4" t="s">
        <v>201</v>
      </c>
      <c r="BS26" s="5" t="s">
        <v>183</v>
      </c>
      <c r="BT26" s="4">
        <v>-24.333215749303939</v>
      </c>
      <c r="BU26" s="5" t="s">
        <v>184</v>
      </c>
      <c r="BV26" s="4">
        <v>0.31</v>
      </c>
      <c r="BW26" s="4" t="s">
        <v>201</v>
      </c>
      <c r="BX26" s="4" t="s">
        <v>202</v>
      </c>
      <c r="BY26" s="4">
        <v>4.2</v>
      </c>
      <c r="BZ26" s="4" t="s">
        <v>201</v>
      </c>
      <c r="CA26" s="4" t="s">
        <v>201</v>
      </c>
      <c r="CB26" s="4">
        <v>-20.235415255451016</v>
      </c>
      <c r="CC26" s="4" t="s">
        <v>201</v>
      </c>
      <c r="CD26" s="4" t="s">
        <v>201</v>
      </c>
      <c r="CE26" s="4" t="s">
        <v>201</v>
      </c>
      <c r="CF26" s="4" t="s">
        <v>201</v>
      </c>
      <c r="CG26" s="4">
        <v>35</v>
      </c>
      <c r="CH26" s="4">
        <v>1</v>
      </c>
      <c r="CI26" s="4" t="s">
        <v>204</v>
      </c>
      <c r="CJ26" s="5" t="s">
        <v>185</v>
      </c>
      <c r="CK26" s="4">
        <v>0.82</v>
      </c>
      <c r="CL26" s="4">
        <v>0.1</v>
      </c>
      <c r="CM26" s="4">
        <v>0.1</v>
      </c>
      <c r="CN26" s="4" t="s">
        <v>204</v>
      </c>
      <c r="CO26" s="5" t="s">
        <v>186</v>
      </c>
      <c r="CP26" s="4" t="s">
        <v>201</v>
      </c>
      <c r="CQ26" s="4" t="s">
        <v>201</v>
      </c>
      <c r="CR26" s="4">
        <f t="shared" si="0"/>
        <v>26.169785000000001</v>
      </c>
      <c r="CS26" s="4" t="s">
        <v>201</v>
      </c>
      <c r="CT26" s="4" t="s">
        <v>201</v>
      </c>
      <c r="CU26" s="4" t="s">
        <v>201</v>
      </c>
      <c r="CV26" s="4" t="s">
        <v>211</v>
      </c>
      <c r="CW26" s="4">
        <v>0.92686638104163876</v>
      </c>
      <c r="CX26" s="4" t="s">
        <v>201</v>
      </c>
      <c r="CY26" s="4">
        <v>26.357060000000001</v>
      </c>
      <c r="CZ26" s="4" t="s">
        <v>201</v>
      </c>
      <c r="DA26" s="4" t="s">
        <v>201</v>
      </c>
      <c r="DB26" s="4" t="s">
        <v>201</v>
      </c>
      <c r="DC26" s="5" t="s">
        <v>190</v>
      </c>
      <c r="DD26" s="4" t="s">
        <v>205</v>
      </c>
      <c r="DE26" s="4" t="s">
        <v>201</v>
      </c>
      <c r="DF26" s="4" t="s">
        <v>201</v>
      </c>
      <c r="DG26" s="4" t="s">
        <v>201</v>
      </c>
      <c r="DH26" s="4" t="s">
        <v>201</v>
      </c>
      <c r="DI26" s="4">
        <v>25.982510000000001</v>
      </c>
      <c r="DJ26" s="4" t="s">
        <v>201</v>
      </c>
      <c r="DK26" s="4" t="s">
        <v>201</v>
      </c>
      <c r="DL26" s="4" t="s">
        <v>201</v>
      </c>
      <c r="DM26" s="4" t="s">
        <v>206</v>
      </c>
      <c r="DN26" s="4" t="s">
        <v>201</v>
      </c>
      <c r="DO26" s="4" t="s">
        <v>201</v>
      </c>
      <c r="DP26" s="4" t="s">
        <v>201</v>
      </c>
      <c r="DQ26" s="4" t="s">
        <v>201</v>
      </c>
      <c r="DR26" s="4" t="s">
        <v>201</v>
      </c>
      <c r="DS26" s="4" t="s">
        <v>201</v>
      </c>
      <c r="DT26" s="4" t="s">
        <v>201</v>
      </c>
      <c r="DU26" s="4" t="s">
        <v>201</v>
      </c>
      <c r="DV26" s="4" t="s">
        <v>201</v>
      </c>
      <c r="DW26" s="4" t="s">
        <v>201</v>
      </c>
      <c r="DX26" s="4" t="s">
        <v>201</v>
      </c>
      <c r="DY26" s="4" t="s">
        <v>201</v>
      </c>
      <c r="DZ26" s="4" t="s">
        <v>201</v>
      </c>
      <c r="EA26" s="4" t="s">
        <v>201</v>
      </c>
      <c r="EB26" s="4" t="s">
        <v>201</v>
      </c>
      <c r="EC26" s="4" t="s">
        <v>201</v>
      </c>
      <c r="ED26" s="4" t="s">
        <v>201</v>
      </c>
      <c r="EE26" s="4" t="s">
        <v>201</v>
      </c>
      <c r="EF26" s="4" t="s">
        <v>201</v>
      </c>
      <c r="EG26" s="4" t="s">
        <v>201</v>
      </c>
      <c r="EH26" s="4" t="s">
        <v>201</v>
      </c>
      <c r="EI26" s="4" t="s">
        <v>201</v>
      </c>
      <c r="EJ26" s="4" t="s">
        <v>201</v>
      </c>
      <c r="EK26" s="4" t="s">
        <v>201</v>
      </c>
      <c r="EL26" s="4" t="s">
        <v>201</v>
      </c>
      <c r="EM26" s="4" t="s">
        <v>201</v>
      </c>
      <c r="EN26" s="4" t="s">
        <v>201</v>
      </c>
      <c r="EO26" s="4" t="s">
        <v>201</v>
      </c>
      <c r="EP26" s="4" t="s">
        <v>201</v>
      </c>
      <c r="EQ26" s="4" t="s">
        <v>201</v>
      </c>
      <c r="ER26" s="4">
        <v>167.97479999999999</v>
      </c>
      <c r="ES26" s="4" t="s">
        <v>201</v>
      </c>
      <c r="ET26" s="4" t="s">
        <v>201</v>
      </c>
      <c r="EU26" s="4" t="s">
        <v>201</v>
      </c>
      <c r="EV26" s="5" t="s">
        <v>187</v>
      </c>
      <c r="EW26" s="4">
        <v>25</v>
      </c>
      <c r="EX26" s="4">
        <v>12.873198063501512</v>
      </c>
      <c r="EY26" s="4">
        <v>2.3352842946300356E-2</v>
      </c>
      <c r="EZ26" s="4">
        <v>2.3352842946300356E-2</v>
      </c>
      <c r="FA26" s="4" t="s">
        <v>201</v>
      </c>
      <c r="FB26" s="5" t="s">
        <v>250</v>
      </c>
      <c r="FC26" s="4" t="s">
        <v>201</v>
      </c>
      <c r="FD26" s="4" t="s">
        <v>201</v>
      </c>
      <c r="FE26" s="4" t="s">
        <v>201</v>
      </c>
      <c r="FF26" s="4" t="s">
        <v>201</v>
      </c>
      <c r="FG26" s="4" t="s">
        <v>217</v>
      </c>
      <c r="FH26" s="4">
        <v>508.48932487279876</v>
      </c>
      <c r="FI26" s="4">
        <f t="shared" si="8"/>
        <v>38.136699365459904</v>
      </c>
      <c r="FJ26" s="4">
        <f t="shared" si="9"/>
        <v>38.136699365459904</v>
      </c>
      <c r="FK26" s="4" t="s">
        <v>203</v>
      </c>
      <c r="FL26" s="4" t="s">
        <v>216</v>
      </c>
      <c r="FM26" s="4" t="s">
        <v>249</v>
      </c>
      <c r="FN26" s="4" t="s">
        <v>201</v>
      </c>
      <c r="FO26" s="4" t="s">
        <v>201</v>
      </c>
      <c r="FP26" s="4" t="s">
        <v>201</v>
      </c>
      <c r="FQ26" s="4" t="s">
        <v>201</v>
      </c>
      <c r="FR26" s="4" t="s">
        <v>201</v>
      </c>
      <c r="FS26" s="4" t="s">
        <v>201</v>
      </c>
      <c r="FT26" s="4" t="s">
        <v>200</v>
      </c>
      <c r="FU26" s="4" t="s">
        <v>212</v>
      </c>
      <c r="FV26" s="45" t="s">
        <v>296</v>
      </c>
      <c r="FW26" s="4" t="s">
        <v>201</v>
      </c>
      <c r="FX26" s="4" t="s">
        <v>201</v>
      </c>
      <c r="FY26" s="4" t="s">
        <v>247</v>
      </c>
    </row>
    <row r="27" spans="1:181" s="4" customFormat="1" x14ac:dyDescent="0.15">
      <c r="A27" s="3" t="s">
        <v>258</v>
      </c>
      <c r="B27" s="3" t="s">
        <v>193</v>
      </c>
      <c r="C27">
        <v>2017</v>
      </c>
      <c r="D27" s="22" t="str">
        <f t="shared" si="1"/>
        <v>10.1016/j.epsl.2017.03.016</v>
      </c>
      <c r="E27" s="22">
        <f t="shared" si="2"/>
        <v>3705.88</v>
      </c>
      <c r="F27" s="22" t="str">
        <f t="shared" si="3"/>
        <v>NA</v>
      </c>
      <c r="G27" s="22" t="str">
        <f t="shared" si="4"/>
        <v>NA</v>
      </c>
      <c r="H27" s="22">
        <f t="shared" si="5"/>
        <v>505.24035008255538</v>
      </c>
      <c r="I27" s="36">
        <f t="shared" si="6"/>
        <v>37.893026256191654</v>
      </c>
      <c r="J27" s="36">
        <f t="shared" si="7"/>
        <v>37.893026256191654</v>
      </c>
      <c r="K27" s="5" t="s">
        <v>251</v>
      </c>
      <c r="L27" s="5" t="s">
        <v>252</v>
      </c>
      <c r="M27" s="5" t="s">
        <v>194</v>
      </c>
      <c r="N27" s="5" t="s">
        <v>192</v>
      </c>
      <c r="O27" s="4">
        <v>850</v>
      </c>
      <c r="P27" s="5" t="s">
        <v>189</v>
      </c>
      <c r="Q27" s="4" t="s">
        <v>201</v>
      </c>
      <c r="R27" s="4" t="s">
        <v>201</v>
      </c>
      <c r="S27" s="4" t="s">
        <v>201</v>
      </c>
      <c r="T27" s="4" t="s">
        <v>201</v>
      </c>
      <c r="U27" s="4" t="s">
        <v>201</v>
      </c>
      <c r="V27" s="4" t="s">
        <v>201</v>
      </c>
      <c r="W27" s="4" t="s">
        <v>201</v>
      </c>
      <c r="X27" s="4" t="s">
        <v>201</v>
      </c>
      <c r="Y27" s="4" t="s">
        <v>201</v>
      </c>
      <c r="Z27" s="9">
        <v>78.025000000000006</v>
      </c>
      <c r="AA27" s="4" t="s">
        <v>207</v>
      </c>
      <c r="AB27" s="4">
        <v>3705.88</v>
      </c>
      <c r="AC27" s="4" t="s">
        <v>201</v>
      </c>
      <c r="AD27" s="4" t="s">
        <v>201</v>
      </c>
      <c r="AE27" s="4" t="s">
        <v>201</v>
      </c>
      <c r="AF27" s="5" t="s">
        <v>176</v>
      </c>
      <c r="AG27" s="5" t="s">
        <v>178</v>
      </c>
      <c r="AH27" s="12">
        <v>1.2971666666666666</v>
      </c>
      <c r="AI27" s="9">
        <v>-110.5215</v>
      </c>
      <c r="AJ27" s="37">
        <v>-4197</v>
      </c>
      <c r="AK27" s="4" t="s">
        <v>201</v>
      </c>
      <c r="AL27" s="4" t="s">
        <v>201</v>
      </c>
      <c r="AM27" s="4" t="s">
        <v>201</v>
      </c>
      <c r="AN27" s="4" t="s">
        <v>201</v>
      </c>
      <c r="AO27" s="5" t="s">
        <v>236</v>
      </c>
      <c r="AP27" s="4" t="s">
        <v>201</v>
      </c>
      <c r="AQ27" s="4" t="s">
        <v>201</v>
      </c>
      <c r="AR27" s="4" t="s">
        <v>201</v>
      </c>
      <c r="AS27" s="4" t="s">
        <v>201</v>
      </c>
      <c r="AT27" s="4" t="s">
        <v>201</v>
      </c>
      <c r="AU27" s="4" t="s">
        <v>201</v>
      </c>
      <c r="AV27" s="4" t="s">
        <v>201</v>
      </c>
      <c r="AW27" s="4" t="s">
        <v>201</v>
      </c>
      <c r="AX27" s="4">
        <v>2.132893529249436</v>
      </c>
      <c r="AY27" s="4">
        <v>0.13</v>
      </c>
      <c r="AZ27" s="4" t="s">
        <v>203</v>
      </c>
      <c r="BA27" s="4" t="s">
        <v>201</v>
      </c>
      <c r="BB27" s="4">
        <v>-2.0136666181791503</v>
      </c>
      <c r="BC27" s="4">
        <v>0.24</v>
      </c>
      <c r="BD27" s="4" t="s">
        <v>203</v>
      </c>
      <c r="BE27" s="4" t="s">
        <v>201</v>
      </c>
      <c r="BF27" s="5" t="s">
        <v>181</v>
      </c>
      <c r="BG27" s="5" t="s">
        <v>182</v>
      </c>
      <c r="BH27" s="4">
        <v>0</v>
      </c>
      <c r="BI27" s="4" t="s">
        <v>201</v>
      </c>
      <c r="BJ27" s="4" t="s">
        <v>201</v>
      </c>
      <c r="BK27" s="4" t="s">
        <v>201</v>
      </c>
      <c r="BL27" s="4" t="s">
        <v>201</v>
      </c>
      <c r="BM27" s="4" t="s">
        <v>201</v>
      </c>
      <c r="BN27" s="4" t="s">
        <v>201</v>
      </c>
      <c r="BO27" s="4" t="s">
        <v>201</v>
      </c>
      <c r="BP27" s="4" t="s">
        <v>201</v>
      </c>
      <c r="BQ27" s="4" t="s">
        <v>201</v>
      </c>
      <c r="BR27" s="4" t="s">
        <v>201</v>
      </c>
      <c r="BS27" s="5" t="s">
        <v>183</v>
      </c>
      <c r="BT27" s="4">
        <v>-24.212343150130494</v>
      </c>
      <c r="BU27" s="5" t="s">
        <v>184</v>
      </c>
      <c r="BV27" s="4">
        <v>0.31</v>
      </c>
      <c r="BW27" s="4" t="s">
        <v>201</v>
      </c>
      <c r="BX27" s="4" t="s">
        <v>202</v>
      </c>
      <c r="BY27" s="4">
        <v>4.2</v>
      </c>
      <c r="BZ27" s="4" t="s">
        <v>201</v>
      </c>
      <c r="CA27" s="4" t="s">
        <v>201</v>
      </c>
      <c r="CB27" s="4">
        <v>-20.114034991360995</v>
      </c>
      <c r="CC27" s="4" t="s">
        <v>201</v>
      </c>
      <c r="CD27" s="4" t="s">
        <v>201</v>
      </c>
      <c r="CE27" s="4" t="s">
        <v>201</v>
      </c>
      <c r="CF27" s="4" t="s">
        <v>201</v>
      </c>
      <c r="CG27" s="4">
        <v>35</v>
      </c>
      <c r="CH27" s="4">
        <v>1</v>
      </c>
      <c r="CI27" s="4" t="s">
        <v>204</v>
      </c>
      <c r="CJ27" s="5" t="s">
        <v>185</v>
      </c>
      <c r="CK27" s="4">
        <v>0.82</v>
      </c>
      <c r="CL27" s="4">
        <v>0.1</v>
      </c>
      <c r="CM27" s="4">
        <v>0.1</v>
      </c>
      <c r="CN27" s="4" t="s">
        <v>204</v>
      </c>
      <c r="CO27" s="5" t="s">
        <v>186</v>
      </c>
      <c r="CP27" s="4" t="s">
        <v>201</v>
      </c>
      <c r="CQ27" s="4" t="s">
        <v>201</v>
      </c>
      <c r="CR27" s="4">
        <f t="shared" si="0"/>
        <v>26.548524919533243</v>
      </c>
      <c r="CS27" s="4" t="s">
        <v>201</v>
      </c>
      <c r="CT27" s="4" t="s">
        <v>201</v>
      </c>
      <c r="CU27" s="4" t="s">
        <v>201</v>
      </c>
      <c r="CV27" s="4" t="s">
        <v>211</v>
      </c>
      <c r="CW27" s="4">
        <v>0.93012515488815439</v>
      </c>
      <c r="CX27" s="4" t="s">
        <v>201</v>
      </c>
      <c r="CY27" s="4">
        <v>26.454419127438502</v>
      </c>
      <c r="CZ27" s="4" t="s">
        <v>201</v>
      </c>
      <c r="DA27" s="4" t="s">
        <v>201</v>
      </c>
      <c r="DB27" s="4" t="s">
        <v>201</v>
      </c>
      <c r="DC27" s="5" t="s">
        <v>190</v>
      </c>
      <c r="DD27" s="4" t="s">
        <v>205</v>
      </c>
      <c r="DE27" s="4" t="s">
        <v>201</v>
      </c>
      <c r="DF27" s="4" t="s">
        <v>201</v>
      </c>
      <c r="DG27" s="4" t="s">
        <v>201</v>
      </c>
      <c r="DH27" s="4" t="s">
        <v>201</v>
      </c>
      <c r="DI27" s="4">
        <v>26.642630711627984</v>
      </c>
      <c r="DJ27" s="4" t="s">
        <v>201</v>
      </c>
      <c r="DK27" s="4" t="s">
        <v>201</v>
      </c>
      <c r="DL27" s="4" t="s">
        <v>201</v>
      </c>
      <c r="DM27" s="4" t="s">
        <v>206</v>
      </c>
      <c r="DN27" s="4" t="s">
        <v>201</v>
      </c>
      <c r="DO27" s="4" t="s">
        <v>201</v>
      </c>
      <c r="DP27" s="4" t="s">
        <v>201</v>
      </c>
      <c r="DQ27" s="4" t="s">
        <v>201</v>
      </c>
      <c r="DR27" s="4" t="s">
        <v>201</v>
      </c>
      <c r="DS27" s="4" t="s">
        <v>201</v>
      </c>
      <c r="DT27" s="4" t="s">
        <v>201</v>
      </c>
      <c r="DU27" s="4" t="s">
        <v>201</v>
      </c>
      <c r="DV27" s="4" t="s">
        <v>201</v>
      </c>
      <c r="DW27" s="4" t="s">
        <v>201</v>
      </c>
      <c r="DX27" s="4" t="s">
        <v>201</v>
      </c>
      <c r="DY27" s="4" t="s">
        <v>201</v>
      </c>
      <c r="DZ27" s="4" t="s">
        <v>201</v>
      </c>
      <c r="EA27" s="4" t="s">
        <v>201</v>
      </c>
      <c r="EB27" s="4" t="s">
        <v>201</v>
      </c>
      <c r="EC27" s="4" t="s">
        <v>201</v>
      </c>
      <c r="ED27" s="4" t="s">
        <v>201</v>
      </c>
      <c r="EE27" s="4" t="s">
        <v>201</v>
      </c>
      <c r="EF27" s="4" t="s">
        <v>201</v>
      </c>
      <c r="EG27" s="4" t="s">
        <v>201</v>
      </c>
      <c r="EH27" s="4" t="s">
        <v>201</v>
      </c>
      <c r="EI27" s="4" t="s">
        <v>201</v>
      </c>
      <c r="EJ27" s="4" t="s">
        <v>201</v>
      </c>
      <c r="EK27" s="4" t="s">
        <v>201</v>
      </c>
      <c r="EL27" s="4" t="s">
        <v>201</v>
      </c>
      <c r="EM27" s="4" t="s">
        <v>201</v>
      </c>
      <c r="EN27" s="4" t="s">
        <v>201</v>
      </c>
      <c r="EO27" s="4" t="s">
        <v>201</v>
      </c>
      <c r="EP27" s="4" t="s">
        <v>201</v>
      </c>
      <c r="EQ27" s="4" t="s">
        <v>201</v>
      </c>
      <c r="ER27" s="4">
        <v>167.97479999999999</v>
      </c>
      <c r="ES27" s="4" t="s">
        <v>201</v>
      </c>
      <c r="ET27" s="4" t="s">
        <v>201</v>
      </c>
      <c r="EU27" s="4" t="s">
        <v>201</v>
      </c>
      <c r="EV27" s="5" t="s">
        <v>187</v>
      </c>
      <c r="EW27" s="4">
        <v>25</v>
      </c>
      <c r="EX27" s="4">
        <v>12.668959246960654</v>
      </c>
      <c r="EY27" s="4">
        <v>1.1732097635608341E-2</v>
      </c>
      <c r="EZ27" s="4">
        <v>1.1732097635608341E-2</v>
      </c>
      <c r="FA27" s="4" t="s">
        <v>201</v>
      </c>
      <c r="FB27" s="5" t="s">
        <v>250</v>
      </c>
      <c r="FC27" s="4" t="s">
        <v>201</v>
      </c>
      <c r="FD27" s="4" t="s">
        <v>201</v>
      </c>
      <c r="FE27" s="4" t="s">
        <v>201</v>
      </c>
      <c r="FF27" s="4" t="s">
        <v>201</v>
      </c>
      <c r="FG27" s="4" t="s">
        <v>217</v>
      </c>
      <c r="FH27" s="4">
        <v>505.24035008255538</v>
      </c>
      <c r="FI27" s="4">
        <f t="shared" si="8"/>
        <v>37.893026256191654</v>
      </c>
      <c r="FJ27" s="4">
        <f t="shared" si="9"/>
        <v>37.893026256191654</v>
      </c>
      <c r="FK27" s="4" t="s">
        <v>203</v>
      </c>
      <c r="FL27" s="4" t="s">
        <v>216</v>
      </c>
      <c r="FM27" s="4" t="s">
        <v>249</v>
      </c>
      <c r="FN27" s="4" t="s">
        <v>201</v>
      </c>
      <c r="FO27" s="4" t="s">
        <v>201</v>
      </c>
      <c r="FP27" s="4" t="s">
        <v>201</v>
      </c>
      <c r="FQ27" s="4" t="s">
        <v>201</v>
      </c>
      <c r="FR27" s="4" t="s">
        <v>201</v>
      </c>
      <c r="FS27" s="4" t="s">
        <v>201</v>
      </c>
      <c r="FT27" s="4" t="s">
        <v>200</v>
      </c>
      <c r="FU27" s="4" t="s">
        <v>212</v>
      </c>
      <c r="FV27" s="45" t="s">
        <v>297</v>
      </c>
      <c r="FW27" s="4" t="s">
        <v>201</v>
      </c>
      <c r="FX27" s="4" t="s">
        <v>201</v>
      </c>
      <c r="FY27" s="4" t="s">
        <v>247</v>
      </c>
    </row>
    <row r="28" spans="1:181" s="4" customFormat="1" x14ac:dyDescent="0.15">
      <c r="A28" s="3" t="s">
        <v>258</v>
      </c>
      <c r="B28" s="3" t="s">
        <v>193</v>
      </c>
      <c r="C28">
        <v>2017</v>
      </c>
      <c r="D28" s="22" t="str">
        <f t="shared" si="1"/>
        <v>10.1016/j.epsl.2017.03.016</v>
      </c>
      <c r="E28" s="22">
        <f t="shared" si="2"/>
        <v>3758.85</v>
      </c>
      <c r="F28" s="22" t="str">
        <f t="shared" si="3"/>
        <v>NA</v>
      </c>
      <c r="G28" s="22" t="str">
        <f t="shared" si="4"/>
        <v>NA</v>
      </c>
      <c r="H28" s="22">
        <f t="shared" si="5"/>
        <v>458.39619629524589</v>
      </c>
      <c r="I28" s="36">
        <f t="shared" si="6"/>
        <v>34.37971472214344</v>
      </c>
      <c r="J28" s="36">
        <f t="shared" si="7"/>
        <v>34.37971472214344</v>
      </c>
      <c r="K28" s="5" t="s">
        <v>251</v>
      </c>
      <c r="L28" s="5" t="s">
        <v>252</v>
      </c>
      <c r="M28" s="5" t="s">
        <v>194</v>
      </c>
      <c r="N28" s="5" t="s">
        <v>192</v>
      </c>
      <c r="O28" s="4">
        <v>850</v>
      </c>
      <c r="P28" s="5" t="s">
        <v>189</v>
      </c>
      <c r="Q28" s="4" t="s">
        <v>201</v>
      </c>
      <c r="R28" s="4" t="s">
        <v>201</v>
      </c>
      <c r="S28" s="4" t="s">
        <v>201</v>
      </c>
      <c r="T28" s="4" t="s">
        <v>201</v>
      </c>
      <c r="U28" s="4" t="s">
        <v>201</v>
      </c>
      <c r="V28" s="4" t="s">
        <v>201</v>
      </c>
      <c r="W28" s="4" t="s">
        <v>201</v>
      </c>
      <c r="X28" s="4" t="s">
        <v>201</v>
      </c>
      <c r="Y28" s="4" t="s">
        <v>201</v>
      </c>
      <c r="Z28" s="9">
        <v>79.504999999999995</v>
      </c>
      <c r="AA28" s="4" t="s">
        <v>207</v>
      </c>
      <c r="AB28" s="4">
        <v>3758.85</v>
      </c>
      <c r="AC28" s="4" t="s">
        <v>201</v>
      </c>
      <c r="AD28" s="4" t="s">
        <v>201</v>
      </c>
      <c r="AE28" s="4" t="s">
        <v>201</v>
      </c>
      <c r="AF28" s="5" t="s">
        <v>176</v>
      </c>
      <c r="AG28" s="5" t="s">
        <v>178</v>
      </c>
      <c r="AH28" s="12">
        <v>1.2971666666666666</v>
      </c>
      <c r="AI28" s="9">
        <v>-110.5215</v>
      </c>
      <c r="AJ28" s="37">
        <v>-4197</v>
      </c>
      <c r="AK28" s="4" t="s">
        <v>201</v>
      </c>
      <c r="AL28" s="4" t="s">
        <v>201</v>
      </c>
      <c r="AM28" s="4" t="s">
        <v>201</v>
      </c>
      <c r="AN28" s="4" t="s">
        <v>201</v>
      </c>
      <c r="AO28" s="5" t="s">
        <v>236</v>
      </c>
      <c r="AP28" s="4" t="s">
        <v>201</v>
      </c>
      <c r="AQ28" s="4" t="s">
        <v>201</v>
      </c>
      <c r="AR28" s="4" t="s">
        <v>201</v>
      </c>
      <c r="AS28" s="4" t="s">
        <v>201</v>
      </c>
      <c r="AT28" s="4" t="s">
        <v>201</v>
      </c>
      <c r="AU28" s="4" t="s">
        <v>201</v>
      </c>
      <c r="AV28" s="4" t="s">
        <v>201</v>
      </c>
      <c r="AW28" s="4" t="s">
        <v>201</v>
      </c>
      <c r="AX28" s="4">
        <v>1.9498159981639718</v>
      </c>
      <c r="AY28" s="4">
        <v>0.13</v>
      </c>
      <c r="AZ28" s="4" t="s">
        <v>203</v>
      </c>
      <c r="BA28" s="4" t="s">
        <v>201</v>
      </c>
      <c r="BB28" s="4">
        <v>-0.19595068229695686</v>
      </c>
      <c r="BC28" s="4">
        <v>0.24</v>
      </c>
      <c r="BD28" s="4" t="s">
        <v>203</v>
      </c>
      <c r="BE28" s="4" t="s">
        <v>201</v>
      </c>
      <c r="BF28" s="5" t="s">
        <v>181</v>
      </c>
      <c r="BG28" s="5" t="s">
        <v>182</v>
      </c>
      <c r="BH28" s="4">
        <v>0</v>
      </c>
      <c r="BI28" s="4" t="s">
        <v>201</v>
      </c>
      <c r="BJ28" s="4" t="s">
        <v>201</v>
      </c>
      <c r="BK28" s="4" t="s">
        <v>201</v>
      </c>
      <c r="BL28" s="4" t="s">
        <v>201</v>
      </c>
      <c r="BM28" s="4" t="s">
        <v>201</v>
      </c>
      <c r="BN28" s="4" t="s">
        <v>201</v>
      </c>
      <c r="BO28" s="4" t="s">
        <v>201</v>
      </c>
      <c r="BP28" s="4" t="s">
        <v>201</v>
      </c>
      <c r="BQ28" s="4" t="s">
        <v>201</v>
      </c>
      <c r="BR28" s="4" t="s">
        <v>201</v>
      </c>
      <c r="BS28" s="5" t="s">
        <v>183</v>
      </c>
      <c r="BT28" s="4">
        <v>-23.437706581352838</v>
      </c>
      <c r="BU28" s="5" t="s">
        <v>184</v>
      </c>
      <c r="BV28" s="4">
        <v>0.31</v>
      </c>
      <c r="BW28" s="4" t="s">
        <v>201</v>
      </c>
      <c r="BX28" s="4" t="s">
        <v>202</v>
      </c>
      <c r="BY28" s="4">
        <v>4.2</v>
      </c>
      <c r="BZ28" s="4" t="s">
        <v>201</v>
      </c>
      <c r="CA28" s="4" t="s">
        <v>201</v>
      </c>
      <c r="CB28" s="4">
        <v>-19.336144948994502</v>
      </c>
      <c r="CC28" s="4" t="s">
        <v>201</v>
      </c>
      <c r="CD28" s="4" t="s">
        <v>201</v>
      </c>
      <c r="CE28" s="4" t="s">
        <v>201</v>
      </c>
      <c r="CF28" s="4" t="s">
        <v>201</v>
      </c>
      <c r="CG28" s="4">
        <v>35</v>
      </c>
      <c r="CH28" s="4">
        <v>1</v>
      </c>
      <c r="CI28" s="4" t="s">
        <v>204</v>
      </c>
      <c r="CJ28" s="5" t="s">
        <v>185</v>
      </c>
      <c r="CK28" s="4">
        <v>0.82</v>
      </c>
      <c r="CL28" s="4">
        <v>0.1</v>
      </c>
      <c r="CM28" s="4">
        <v>0.1</v>
      </c>
      <c r="CN28" s="4" t="s">
        <v>204</v>
      </c>
      <c r="CO28" s="5" t="s">
        <v>186</v>
      </c>
      <c r="CP28" s="4" t="s">
        <v>201</v>
      </c>
      <c r="CQ28" s="4" t="s">
        <v>201</v>
      </c>
      <c r="CR28" s="4">
        <f t="shared" si="0"/>
        <v>25.993225000000002</v>
      </c>
      <c r="CS28" s="4" t="s">
        <v>201</v>
      </c>
      <c r="CT28" s="4" t="s">
        <v>201</v>
      </c>
      <c r="CU28" s="4" t="s">
        <v>201</v>
      </c>
      <c r="CV28" s="4" t="s">
        <v>211</v>
      </c>
      <c r="CW28" s="4">
        <v>0.94799270317311557</v>
      </c>
      <c r="CX28" s="4" t="s">
        <v>201</v>
      </c>
      <c r="CY28" s="4">
        <v>26.988230000000001</v>
      </c>
      <c r="CZ28" s="4" t="s">
        <v>201</v>
      </c>
      <c r="DA28" s="4" t="s">
        <v>201</v>
      </c>
      <c r="DB28" s="4" t="s">
        <v>201</v>
      </c>
      <c r="DC28" s="5" t="s">
        <v>190</v>
      </c>
      <c r="DD28" s="4" t="s">
        <v>205</v>
      </c>
      <c r="DE28" s="4" t="s">
        <v>201</v>
      </c>
      <c r="DF28" s="4" t="s">
        <v>201</v>
      </c>
      <c r="DG28" s="4" t="s">
        <v>201</v>
      </c>
      <c r="DH28" s="4" t="s">
        <v>201</v>
      </c>
      <c r="DI28" s="4">
        <v>24.99822</v>
      </c>
      <c r="DJ28" s="4" t="s">
        <v>201</v>
      </c>
      <c r="DK28" s="4" t="s">
        <v>201</v>
      </c>
      <c r="DL28" s="4" t="s">
        <v>201</v>
      </c>
      <c r="DM28" s="4" t="s">
        <v>206</v>
      </c>
      <c r="DN28" s="4" t="s">
        <v>201</v>
      </c>
      <c r="DO28" s="4" t="s">
        <v>201</v>
      </c>
      <c r="DP28" s="4" t="s">
        <v>201</v>
      </c>
      <c r="DQ28" s="4" t="s">
        <v>201</v>
      </c>
      <c r="DR28" s="4" t="s">
        <v>201</v>
      </c>
      <c r="DS28" s="4" t="s">
        <v>201</v>
      </c>
      <c r="DT28" s="4" t="s">
        <v>201</v>
      </c>
      <c r="DU28" s="4" t="s">
        <v>201</v>
      </c>
      <c r="DV28" s="4" t="s">
        <v>201</v>
      </c>
      <c r="DW28" s="4" t="s">
        <v>201</v>
      </c>
      <c r="DX28" s="4" t="s">
        <v>201</v>
      </c>
      <c r="DY28" s="4" t="s">
        <v>201</v>
      </c>
      <c r="DZ28" s="4" t="s">
        <v>201</v>
      </c>
      <c r="EA28" s="4" t="s">
        <v>201</v>
      </c>
      <c r="EB28" s="4" t="s">
        <v>201</v>
      </c>
      <c r="EC28" s="4" t="s">
        <v>201</v>
      </c>
      <c r="ED28" s="4" t="s">
        <v>201</v>
      </c>
      <c r="EE28" s="4" t="s">
        <v>201</v>
      </c>
      <c r="EF28" s="4" t="s">
        <v>201</v>
      </c>
      <c r="EG28" s="4" t="s">
        <v>201</v>
      </c>
      <c r="EH28" s="4" t="s">
        <v>201</v>
      </c>
      <c r="EI28" s="4" t="s">
        <v>201</v>
      </c>
      <c r="EJ28" s="4" t="s">
        <v>201</v>
      </c>
      <c r="EK28" s="4" t="s">
        <v>201</v>
      </c>
      <c r="EL28" s="4" t="s">
        <v>201</v>
      </c>
      <c r="EM28" s="4" t="s">
        <v>201</v>
      </c>
      <c r="EN28" s="4" t="s">
        <v>201</v>
      </c>
      <c r="EO28" s="4" t="s">
        <v>201</v>
      </c>
      <c r="EP28" s="4" t="s">
        <v>201</v>
      </c>
      <c r="EQ28" s="4" t="s">
        <v>201</v>
      </c>
      <c r="ER28" s="4">
        <v>167.97479999999999</v>
      </c>
      <c r="ES28" s="4" t="s">
        <v>201</v>
      </c>
      <c r="ET28" s="4" t="s">
        <v>201</v>
      </c>
      <c r="EU28" s="4" t="s">
        <v>201</v>
      </c>
      <c r="EV28" s="5" t="s">
        <v>187</v>
      </c>
      <c r="EW28" s="4">
        <v>25</v>
      </c>
      <c r="EX28" s="4">
        <v>11.704742667665302</v>
      </c>
      <c r="EY28" s="4">
        <v>0.12392173518427363</v>
      </c>
      <c r="EZ28" s="4">
        <v>0.12392173518427363</v>
      </c>
      <c r="FA28" s="4" t="s">
        <v>201</v>
      </c>
      <c r="FB28" s="5" t="s">
        <v>250</v>
      </c>
      <c r="FC28" s="4" t="s">
        <v>201</v>
      </c>
      <c r="FD28" s="4" t="s">
        <v>201</v>
      </c>
      <c r="FE28" s="4" t="s">
        <v>201</v>
      </c>
      <c r="FF28" s="4" t="s">
        <v>201</v>
      </c>
      <c r="FG28" s="4" t="s">
        <v>217</v>
      </c>
      <c r="FH28" s="4">
        <v>458.39619629524589</v>
      </c>
      <c r="FI28" s="4">
        <f t="shared" si="8"/>
        <v>34.37971472214344</v>
      </c>
      <c r="FJ28" s="4">
        <f t="shared" si="9"/>
        <v>34.37971472214344</v>
      </c>
      <c r="FK28" s="4" t="s">
        <v>203</v>
      </c>
      <c r="FL28" s="4" t="s">
        <v>216</v>
      </c>
      <c r="FM28" s="4" t="s">
        <v>249</v>
      </c>
      <c r="FN28" s="4" t="s">
        <v>201</v>
      </c>
      <c r="FO28" s="4" t="s">
        <v>201</v>
      </c>
      <c r="FP28" s="4" t="s">
        <v>201</v>
      </c>
      <c r="FQ28" s="4" t="s">
        <v>201</v>
      </c>
      <c r="FR28" s="4" t="s">
        <v>201</v>
      </c>
      <c r="FS28" s="4" t="s">
        <v>201</v>
      </c>
      <c r="FT28" s="4" t="s">
        <v>200</v>
      </c>
      <c r="FU28" s="4" t="s">
        <v>212</v>
      </c>
      <c r="FV28" s="45" t="s">
        <v>298</v>
      </c>
      <c r="FW28" s="4" t="s">
        <v>201</v>
      </c>
      <c r="FX28" s="4" t="s">
        <v>201</v>
      </c>
      <c r="FY28" s="4" t="s">
        <v>247</v>
      </c>
    </row>
    <row r="29" spans="1:181" s="6" customFormat="1" x14ac:dyDescent="0.15">
      <c r="A29" s="3" t="s">
        <v>258</v>
      </c>
      <c r="B29" s="3" t="s">
        <v>193</v>
      </c>
      <c r="C29">
        <v>2017</v>
      </c>
      <c r="D29" s="22" t="str">
        <f t="shared" si="1"/>
        <v>10.1016/j.epsl.2017.03.016</v>
      </c>
      <c r="E29" s="22">
        <f t="shared" si="2"/>
        <v>3920.63</v>
      </c>
      <c r="F29" s="22" t="str">
        <f t="shared" si="3"/>
        <v>NA</v>
      </c>
      <c r="G29" s="22" t="str">
        <f t="shared" si="4"/>
        <v>NA</v>
      </c>
      <c r="H29" s="22">
        <f t="shared" si="5"/>
        <v>474.73033986844069</v>
      </c>
      <c r="I29" s="36">
        <f t="shared" si="6"/>
        <v>35.604775490133051</v>
      </c>
      <c r="J29" s="36">
        <f t="shared" si="7"/>
        <v>35.604775490133051</v>
      </c>
      <c r="K29" s="7" t="s">
        <v>251</v>
      </c>
      <c r="L29" s="7" t="s">
        <v>252</v>
      </c>
      <c r="M29" s="7" t="s">
        <v>194</v>
      </c>
      <c r="N29" s="7" t="s">
        <v>192</v>
      </c>
      <c r="O29" s="6">
        <v>850</v>
      </c>
      <c r="P29" s="7" t="s">
        <v>189</v>
      </c>
      <c r="Q29" s="6">
        <v>8</v>
      </c>
      <c r="R29" s="6" t="s">
        <v>208</v>
      </c>
      <c r="S29" s="6" t="s">
        <v>209</v>
      </c>
      <c r="T29" s="6">
        <v>5</v>
      </c>
      <c r="U29" s="6" t="s">
        <v>201</v>
      </c>
      <c r="V29" s="6" t="s">
        <v>201</v>
      </c>
      <c r="W29" s="6" t="s">
        <v>201</v>
      </c>
      <c r="X29" s="6" t="s">
        <v>201</v>
      </c>
      <c r="Y29" s="6" t="s">
        <v>201</v>
      </c>
      <c r="Z29" s="8">
        <v>84.025000000000006</v>
      </c>
      <c r="AA29" s="6" t="s">
        <v>207</v>
      </c>
      <c r="AB29" s="6">
        <v>3920.63</v>
      </c>
      <c r="AC29" s="6" t="s">
        <v>201</v>
      </c>
      <c r="AD29" s="6" t="s">
        <v>201</v>
      </c>
      <c r="AE29" s="6" t="s">
        <v>201</v>
      </c>
      <c r="AF29" s="7" t="s">
        <v>176</v>
      </c>
      <c r="AG29" s="7" t="s">
        <v>178</v>
      </c>
      <c r="AH29" s="11">
        <v>1.2971666666666666</v>
      </c>
      <c r="AI29" s="8">
        <v>-110.5215</v>
      </c>
      <c r="AJ29" s="6">
        <v>-4197</v>
      </c>
      <c r="AK29" s="6" t="s">
        <v>201</v>
      </c>
      <c r="AL29" s="6" t="s">
        <v>201</v>
      </c>
      <c r="AM29" s="6" t="s">
        <v>201</v>
      </c>
      <c r="AN29" s="6" t="s">
        <v>201</v>
      </c>
      <c r="AO29" s="7" t="s">
        <v>236</v>
      </c>
      <c r="AP29" s="6" t="s">
        <v>201</v>
      </c>
      <c r="AQ29" s="6" t="s">
        <v>201</v>
      </c>
      <c r="AR29" s="6" t="s">
        <v>201</v>
      </c>
      <c r="AS29" s="6" t="s">
        <v>201</v>
      </c>
      <c r="AT29" s="6" t="s">
        <v>201</v>
      </c>
      <c r="AU29" s="6" t="s">
        <v>201</v>
      </c>
      <c r="AV29" s="6" t="s">
        <v>201</v>
      </c>
      <c r="AW29" s="6" t="s">
        <v>201</v>
      </c>
      <c r="AX29" s="6">
        <v>1.7710369444926743</v>
      </c>
      <c r="AY29" s="6">
        <v>0.13</v>
      </c>
      <c r="AZ29" s="6" t="s">
        <v>203</v>
      </c>
      <c r="BA29" s="6" t="s">
        <v>201</v>
      </c>
      <c r="BB29" s="6">
        <v>-1.4577027096806388</v>
      </c>
      <c r="BC29" s="6">
        <v>0.24</v>
      </c>
      <c r="BD29" s="6" t="s">
        <v>203</v>
      </c>
      <c r="BE29" s="6" t="s">
        <v>201</v>
      </c>
      <c r="BF29" s="7" t="s">
        <v>181</v>
      </c>
      <c r="BG29" s="7" t="s">
        <v>182</v>
      </c>
      <c r="BH29" s="6">
        <v>0</v>
      </c>
      <c r="BI29" s="6" t="s">
        <v>201</v>
      </c>
      <c r="BJ29" s="6" t="s">
        <v>201</v>
      </c>
      <c r="BK29" s="6" t="s">
        <v>201</v>
      </c>
      <c r="BL29" s="6" t="s">
        <v>201</v>
      </c>
      <c r="BM29" s="6" t="s">
        <v>201</v>
      </c>
      <c r="BN29" s="6" t="s">
        <v>201</v>
      </c>
      <c r="BO29" s="6" t="s">
        <v>201</v>
      </c>
      <c r="BP29" s="6" t="s">
        <v>201</v>
      </c>
      <c r="BQ29" s="6" t="s">
        <v>201</v>
      </c>
      <c r="BR29" s="6" t="s">
        <v>201</v>
      </c>
      <c r="BS29" s="7" t="s">
        <v>183</v>
      </c>
      <c r="BT29" s="6">
        <v>-24.140190598205386</v>
      </c>
      <c r="BU29" s="7" t="s">
        <v>184</v>
      </c>
      <c r="BV29" s="6">
        <v>0.31</v>
      </c>
      <c r="BW29" s="6" t="s">
        <v>201</v>
      </c>
      <c r="BX29" s="6" t="s">
        <v>202</v>
      </c>
      <c r="BY29" s="6">
        <v>4.2</v>
      </c>
      <c r="BZ29" s="6" t="s">
        <v>201</v>
      </c>
      <c r="CA29" s="6" t="s">
        <v>201</v>
      </c>
      <c r="CB29" s="6">
        <v>-20.041579398717886</v>
      </c>
      <c r="CC29" s="6" t="s">
        <v>201</v>
      </c>
      <c r="CD29" s="6" t="s">
        <v>201</v>
      </c>
      <c r="CE29" s="6" t="s">
        <v>201</v>
      </c>
      <c r="CF29" s="6" t="s">
        <v>201</v>
      </c>
      <c r="CG29" s="6">
        <v>35</v>
      </c>
      <c r="CH29" s="6">
        <v>1</v>
      </c>
      <c r="CI29" s="6" t="s">
        <v>204</v>
      </c>
      <c r="CJ29" s="7" t="s">
        <v>185</v>
      </c>
      <c r="CK29" s="6">
        <v>0.82</v>
      </c>
      <c r="CL29" s="6">
        <v>0.1</v>
      </c>
      <c r="CM29" s="6">
        <v>0.1</v>
      </c>
      <c r="CN29" s="6" t="s">
        <v>204</v>
      </c>
      <c r="CO29" s="7" t="s">
        <v>186</v>
      </c>
      <c r="CP29" s="6" t="s">
        <v>201</v>
      </c>
      <c r="CQ29" s="6" t="s">
        <v>201</v>
      </c>
      <c r="CR29" s="6">
        <f t="shared" si="0"/>
        <v>25.842472551177501</v>
      </c>
      <c r="CS29" s="6" t="s">
        <v>201</v>
      </c>
      <c r="CT29" s="6" t="s">
        <v>201</v>
      </c>
      <c r="CU29" s="6" t="s">
        <v>201</v>
      </c>
      <c r="CV29" s="6" t="s">
        <v>211</v>
      </c>
      <c r="CW29" s="6">
        <v>0.90855010398748404</v>
      </c>
      <c r="CX29" s="6" t="s">
        <v>201</v>
      </c>
      <c r="CY29" s="6">
        <v>25.809842906730076</v>
      </c>
      <c r="CZ29" s="6" t="s">
        <v>201</v>
      </c>
      <c r="DA29" s="6" t="s">
        <v>201</v>
      </c>
      <c r="DB29" s="6" t="s">
        <v>201</v>
      </c>
      <c r="DC29" s="7" t="s">
        <v>190</v>
      </c>
      <c r="DD29" s="6" t="s">
        <v>205</v>
      </c>
      <c r="DE29" s="6" t="s">
        <v>201</v>
      </c>
      <c r="DF29" s="6" t="s">
        <v>201</v>
      </c>
      <c r="DG29" s="6" t="s">
        <v>201</v>
      </c>
      <c r="DH29" s="6" t="s">
        <v>201</v>
      </c>
      <c r="DI29" s="6">
        <v>25.87510219562493</v>
      </c>
      <c r="DJ29" s="6" t="s">
        <v>201</v>
      </c>
      <c r="DK29" s="6" t="s">
        <v>201</v>
      </c>
      <c r="DL29" s="6" t="s">
        <v>201</v>
      </c>
      <c r="DM29" s="6" t="s">
        <v>206</v>
      </c>
      <c r="DN29" s="6" t="s">
        <v>201</v>
      </c>
      <c r="DO29" s="6" t="s">
        <v>201</v>
      </c>
      <c r="DP29" s="6" t="s">
        <v>201</v>
      </c>
      <c r="DQ29" s="6" t="s">
        <v>201</v>
      </c>
      <c r="DR29" s="6" t="s">
        <v>201</v>
      </c>
      <c r="DS29" s="6" t="s">
        <v>201</v>
      </c>
      <c r="DT29" s="6" t="s">
        <v>201</v>
      </c>
      <c r="DU29" s="6" t="s">
        <v>201</v>
      </c>
      <c r="DV29" s="6" t="s">
        <v>201</v>
      </c>
      <c r="DW29" s="6" t="s">
        <v>201</v>
      </c>
      <c r="DX29" s="6">
        <v>2.9641833810888256</v>
      </c>
      <c r="DY29" s="6" t="s">
        <v>201</v>
      </c>
      <c r="DZ29" s="6" t="s">
        <v>201</v>
      </c>
      <c r="EA29" s="6" t="s">
        <v>201</v>
      </c>
      <c r="EB29" s="6" t="s">
        <v>201</v>
      </c>
      <c r="EC29" s="6" t="s">
        <v>201</v>
      </c>
      <c r="ED29" s="6" t="s">
        <v>201</v>
      </c>
      <c r="EE29" s="6" t="s">
        <v>201</v>
      </c>
      <c r="EF29" s="6" t="s">
        <v>201</v>
      </c>
      <c r="EG29" s="6" t="s">
        <v>201</v>
      </c>
      <c r="EH29" s="6" t="s">
        <v>201</v>
      </c>
      <c r="EI29" s="6" t="s">
        <v>201</v>
      </c>
      <c r="EJ29" s="6" t="s">
        <v>201</v>
      </c>
      <c r="EK29" s="6" t="s">
        <v>201</v>
      </c>
      <c r="EL29" s="6" t="s">
        <v>201</v>
      </c>
      <c r="EM29" s="6" t="s">
        <v>201</v>
      </c>
      <c r="EN29" s="6" t="s">
        <v>201</v>
      </c>
      <c r="EO29" s="6" t="s">
        <v>201</v>
      </c>
      <c r="EP29" s="6" t="s">
        <v>201</v>
      </c>
      <c r="EQ29" s="6" t="s">
        <v>201</v>
      </c>
      <c r="ER29" s="6">
        <v>167.97479999999999</v>
      </c>
      <c r="ES29" s="6" t="s">
        <v>201</v>
      </c>
      <c r="ET29" s="6" t="s">
        <v>201</v>
      </c>
      <c r="EU29" s="6" t="s">
        <v>201</v>
      </c>
      <c r="EV29" s="7" t="s">
        <v>187</v>
      </c>
      <c r="EW29" s="6">
        <v>25</v>
      </c>
      <c r="EX29" s="6">
        <v>12.094978244777899</v>
      </c>
      <c r="EY29" s="6">
        <v>4.0659593891767543E-3</v>
      </c>
      <c r="EZ29" s="6">
        <v>4.0659593891767543E-3</v>
      </c>
      <c r="FA29" s="6" t="s">
        <v>201</v>
      </c>
      <c r="FB29" s="7" t="s">
        <v>250</v>
      </c>
      <c r="FC29" s="6" t="s">
        <v>201</v>
      </c>
      <c r="FD29" s="6" t="s">
        <v>201</v>
      </c>
      <c r="FE29" s="6" t="s">
        <v>201</v>
      </c>
      <c r="FF29" s="6" t="s">
        <v>201</v>
      </c>
      <c r="FG29" s="6" t="s">
        <v>217</v>
      </c>
      <c r="FH29" s="6">
        <v>474.73033986844069</v>
      </c>
      <c r="FI29" s="6">
        <f t="shared" si="8"/>
        <v>35.604775490133051</v>
      </c>
      <c r="FJ29" s="6">
        <f t="shared" si="9"/>
        <v>35.604775490133051</v>
      </c>
      <c r="FK29" s="6" t="s">
        <v>203</v>
      </c>
      <c r="FL29" s="6" t="s">
        <v>216</v>
      </c>
      <c r="FM29" s="6" t="s">
        <v>249</v>
      </c>
      <c r="FN29" s="6" t="s">
        <v>201</v>
      </c>
      <c r="FO29" s="6" t="s">
        <v>201</v>
      </c>
      <c r="FP29" s="6" t="s">
        <v>201</v>
      </c>
      <c r="FQ29" s="6" t="s">
        <v>201</v>
      </c>
      <c r="FR29" s="6" t="s">
        <v>201</v>
      </c>
      <c r="FS29" s="6" t="s">
        <v>201</v>
      </c>
      <c r="FT29" s="6" t="s">
        <v>200</v>
      </c>
      <c r="FU29" s="6" t="s">
        <v>212</v>
      </c>
      <c r="FV29" s="44" t="s">
        <v>299</v>
      </c>
      <c r="FW29" s="6" t="s">
        <v>201</v>
      </c>
      <c r="FX29" s="6" t="s">
        <v>201</v>
      </c>
      <c r="FY29" s="6" t="s">
        <v>247</v>
      </c>
    </row>
    <row r="30" spans="1:181" s="4" customFormat="1" x14ac:dyDescent="0.15">
      <c r="A30" s="3" t="s">
        <v>258</v>
      </c>
      <c r="B30" s="3" t="s">
        <v>193</v>
      </c>
      <c r="C30">
        <v>2017</v>
      </c>
      <c r="D30" s="22" t="str">
        <f t="shared" si="1"/>
        <v>10.1016/j.epsl.2017.03.016</v>
      </c>
      <c r="E30" s="22">
        <f t="shared" si="2"/>
        <v>4076.32</v>
      </c>
      <c r="F30" s="22" t="str">
        <f t="shared" si="3"/>
        <v>NA</v>
      </c>
      <c r="G30" s="22" t="str">
        <f t="shared" si="4"/>
        <v>NA</v>
      </c>
      <c r="H30" s="22">
        <f t="shared" si="5"/>
        <v>469.91673554621087</v>
      </c>
      <c r="I30" s="36">
        <f t="shared" si="6"/>
        <v>35.243755165965815</v>
      </c>
      <c r="J30" s="36">
        <f t="shared" si="7"/>
        <v>35.243755165965815</v>
      </c>
      <c r="K30" s="5" t="s">
        <v>251</v>
      </c>
      <c r="L30" s="5" t="s">
        <v>252</v>
      </c>
      <c r="M30" s="5" t="s">
        <v>194</v>
      </c>
      <c r="N30" s="5" t="s">
        <v>192</v>
      </c>
      <c r="O30" s="4">
        <v>850</v>
      </c>
      <c r="P30" s="5" t="s">
        <v>189</v>
      </c>
      <c r="Q30" s="4" t="s">
        <v>201</v>
      </c>
      <c r="R30" s="4" t="s">
        <v>201</v>
      </c>
      <c r="S30" s="4" t="s">
        <v>201</v>
      </c>
      <c r="T30" s="4" t="s">
        <v>201</v>
      </c>
      <c r="U30" s="4" t="s">
        <v>201</v>
      </c>
      <c r="V30" s="4" t="s">
        <v>201</v>
      </c>
      <c r="W30" s="4" t="s">
        <v>201</v>
      </c>
      <c r="X30" s="4" t="s">
        <v>201</v>
      </c>
      <c r="Y30" s="4" t="s">
        <v>201</v>
      </c>
      <c r="Z30" s="9">
        <v>88.375</v>
      </c>
      <c r="AA30" s="4" t="s">
        <v>207</v>
      </c>
      <c r="AB30" s="4">
        <v>4076.32</v>
      </c>
      <c r="AC30" s="4" t="s">
        <v>201</v>
      </c>
      <c r="AD30" s="4" t="s">
        <v>201</v>
      </c>
      <c r="AE30" s="4" t="s">
        <v>201</v>
      </c>
      <c r="AF30" s="5" t="s">
        <v>176</v>
      </c>
      <c r="AG30" s="5" t="s">
        <v>178</v>
      </c>
      <c r="AH30" s="12">
        <v>1.2971666666666666</v>
      </c>
      <c r="AI30" s="9">
        <v>-110.5215</v>
      </c>
      <c r="AJ30" s="37">
        <v>-4197</v>
      </c>
      <c r="AK30" s="4" t="s">
        <v>201</v>
      </c>
      <c r="AL30" s="4" t="s">
        <v>201</v>
      </c>
      <c r="AM30" s="4" t="s">
        <v>201</v>
      </c>
      <c r="AN30" s="4" t="s">
        <v>201</v>
      </c>
      <c r="AO30" s="5" t="s">
        <v>236</v>
      </c>
      <c r="AP30" s="4" t="s">
        <v>201</v>
      </c>
      <c r="AQ30" s="4" t="s">
        <v>201</v>
      </c>
      <c r="AR30" s="4" t="s">
        <v>201</v>
      </c>
      <c r="AS30" s="4" t="s">
        <v>201</v>
      </c>
      <c r="AT30" s="4" t="s">
        <v>201</v>
      </c>
      <c r="AU30" s="4" t="s">
        <v>201</v>
      </c>
      <c r="AV30" s="4" t="s">
        <v>201</v>
      </c>
      <c r="AW30" s="4" t="s">
        <v>201</v>
      </c>
      <c r="AX30" s="4">
        <v>2.0541482771953383</v>
      </c>
      <c r="AY30" s="4">
        <v>0.13</v>
      </c>
      <c r="AZ30" s="4" t="s">
        <v>203</v>
      </c>
      <c r="BA30" s="4" t="s">
        <v>201</v>
      </c>
      <c r="BB30" s="4">
        <v>-1.4072767547708351</v>
      </c>
      <c r="BC30" s="4">
        <v>0.24</v>
      </c>
      <c r="BD30" s="4" t="s">
        <v>203</v>
      </c>
      <c r="BE30" s="4" t="s">
        <v>201</v>
      </c>
      <c r="BF30" s="5" t="s">
        <v>181</v>
      </c>
      <c r="BG30" s="5" t="s">
        <v>182</v>
      </c>
      <c r="BH30" s="4">
        <v>0</v>
      </c>
      <c r="BI30" s="4" t="s">
        <v>201</v>
      </c>
      <c r="BJ30" s="4" t="s">
        <v>201</v>
      </c>
      <c r="BK30" s="4" t="s">
        <v>201</v>
      </c>
      <c r="BL30" s="4" t="s">
        <v>201</v>
      </c>
      <c r="BM30" s="4" t="s">
        <v>201</v>
      </c>
      <c r="BN30" s="4" t="s">
        <v>201</v>
      </c>
      <c r="BO30" s="4" t="s">
        <v>201</v>
      </c>
      <c r="BP30" s="4" t="s">
        <v>201</v>
      </c>
      <c r="BQ30" s="4" t="s">
        <v>201</v>
      </c>
      <c r="BR30" s="4" t="s">
        <v>201</v>
      </c>
      <c r="BS30" s="5" t="s">
        <v>183</v>
      </c>
      <c r="BT30" s="4">
        <v>-23.704703016815031</v>
      </c>
      <c r="BU30" s="5" t="s">
        <v>184</v>
      </c>
      <c r="BV30" s="4">
        <v>0.31</v>
      </c>
      <c r="BW30" s="4" t="s">
        <v>201</v>
      </c>
      <c r="BX30" s="4" t="s">
        <v>202</v>
      </c>
      <c r="BY30" s="4">
        <v>4.2</v>
      </c>
      <c r="BZ30" s="4" t="s">
        <v>201</v>
      </c>
      <c r="CA30" s="4" t="s">
        <v>201</v>
      </c>
      <c r="CB30" s="4">
        <v>-19.604262769485672</v>
      </c>
      <c r="CC30" s="4" t="s">
        <v>201</v>
      </c>
      <c r="CD30" s="4" t="s">
        <v>201</v>
      </c>
      <c r="CE30" s="4" t="s">
        <v>201</v>
      </c>
      <c r="CF30" s="4" t="s">
        <v>201</v>
      </c>
      <c r="CG30" s="4">
        <v>35</v>
      </c>
      <c r="CH30" s="4">
        <v>1</v>
      </c>
      <c r="CI30" s="4" t="s">
        <v>204</v>
      </c>
      <c r="CJ30" s="5" t="s">
        <v>185</v>
      </c>
      <c r="CK30" s="4">
        <v>0.82</v>
      </c>
      <c r="CL30" s="4">
        <v>0.1</v>
      </c>
      <c r="CM30" s="4">
        <v>0.1</v>
      </c>
      <c r="CN30" s="4" t="s">
        <v>204</v>
      </c>
      <c r="CO30" s="5" t="s">
        <v>186</v>
      </c>
      <c r="CP30" s="4" t="s">
        <v>201</v>
      </c>
      <c r="CQ30" s="4" t="s">
        <v>201</v>
      </c>
      <c r="CR30" s="4">
        <f t="shared" si="0"/>
        <v>25.958095</v>
      </c>
      <c r="CS30" s="4" t="s">
        <v>201</v>
      </c>
      <c r="CT30" s="4" t="s">
        <v>201</v>
      </c>
      <c r="CU30" s="4" t="s">
        <v>201</v>
      </c>
      <c r="CV30" s="4" t="s">
        <v>211</v>
      </c>
      <c r="CW30" s="4">
        <v>0.93249263622974954</v>
      </c>
      <c r="CX30" s="4" t="s">
        <v>201</v>
      </c>
      <c r="CY30" s="4">
        <v>26.52515</v>
      </c>
      <c r="CZ30" s="4" t="s">
        <v>201</v>
      </c>
      <c r="DA30" s="4" t="s">
        <v>201</v>
      </c>
      <c r="DB30" s="4" t="s">
        <v>201</v>
      </c>
      <c r="DC30" s="5" t="s">
        <v>190</v>
      </c>
      <c r="DD30" s="4" t="s">
        <v>205</v>
      </c>
      <c r="DE30" s="4" t="s">
        <v>201</v>
      </c>
      <c r="DF30" s="4" t="s">
        <v>201</v>
      </c>
      <c r="DG30" s="4" t="s">
        <v>201</v>
      </c>
      <c r="DH30" s="4" t="s">
        <v>201</v>
      </c>
      <c r="DI30" s="4">
        <v>25.39104</v>
      </c>
      <c r="DJ30" s="4" t="s">
        <v>201</v>
      </c>
      <c r="DK30" s="4" t="s">
        <v>201</v>
      </c>
      <c r="DL30" s="4" t="s">
        <v>201</v>
      </c>
      <c r="DM30" s="4" t="s">
        <v>206</v>
      </c>
      <c r="DN30" s="4" t="s">
        <v>201</v>
      </c>
      <c r="DO30" s="4" t="s">
        <v>201</v>
      </c>
      <c r="DP30" s="4" t="s">
        <v>201</v>
      </c>
      <c r="DQ30" s="4" t="s">
        <v>201</v>
      </c>
      <c r="DR30" s="4" t="s">
        <v>201</v>
      </c>
      <c r="DS30" s="4" t="s">
        <v>201</v>
      </c>
      <c r="DT30" s="4" t="s">
        <v>201</v>
      </c>
      <c r="DU30" s="4" t="s">
        <v>201</v>
      </c>
      <c r="DV30" s="4" t="s">
        <v>201</v>
      </c>
      <c r="DW30" s="4" t="s">
        <v>201</v>
      </c>
      <c r="DX30" s="4" t="s">
        <v>201</v>
      </c>
      <c r="DY30" s="4" t="s">
        <v>201</v>
      </c>
      <c r="DZ30" s="4" t="s">
        <v>201</v>
      </c>
      <c r="EA30" s="4" t="s">
        <v>201</v>
      </c>
      <c r="EB30" s="4" t="s">
        <v>201</v>
      </c>
      <c r="EC30" s="4" t="s">
        <v>201</v>
      </c>
      <c r="ED30" s="4" t="s">
        <v>201</v>
      </c>
      <c r="EE30" s="4" t="s">
        <v>201</v>
      </c>
      <c r="EF30" s="4" t="s">
        <v>201</v>
      </c>
      <c r="EG30" s="4" t="s">
        <v>201</v>
      </c>
      <c r="EH30" s="4" t="s">
        <v>201</v>
      </c>
      <c r="EI30" s="4" t="s">
        <v>201</v>
      </c>
      <c r="EJ30" s="4" t="s">
        <v>201</v>
      </c>
      <c r="EK30" s="4" t="s">
        <v>201</v>
      </c>
      <c r="EL30" s="4" t="s">
        <v>201</v>
      </c>
      <c r="EM30" s="4" t="s">
        <v>201</v>
      </c>
      <c r="EN30" s="4" t="s">
        <v>201</v>
      </c>
      <c r="EO30" s="4" t="s">
        <v>201</v>
      </c>
      <c r="EP30" s="4" t="s">
        <v>201</v>
      </c>
      <c r="EQ30" s="4" t="s">
        <v>201</v>
      </c>
      <c r="ER30" s="4">
        <v>167.97479999999999</v>
      </c>
      <c r="ES30" s="4" t="s">
        <v>201</v>
      </c>
      <c r="ET30" s="4" t="s">
        <v>201</v>
      </c>
      <c r="EU30" s="4" t="s">
        <v>201</v>
      </c>
      <c r="EV30" s="5" t="s">
        <v>187</v>
      </c>
      <c r="EW30" s="4">
        <v>25</v>
      </c>
      <c r="EX30" s="4">
        <v>11.99184623923899</v>
      </c>
      <c r="EY30" s="4">
        <v>7.0647397992784633E-2</v>
      </c>
      <c r="EZ30" s="4">
        <v>7.0647397992784633E-2</v>
      </c>
      <c r="FA30" s="4" t="s">
        <v>201</v>
      </c>
      <c r="FB30" s="5" t="s">
        <v>250</v>
      </c>
      <c r="FC30" s="4" t="s">
        <v>201</v>
      </c>
      <c r="FD30" s="4" t="s">
        <v>201</v>
      </c>
      <c r="FE30" s="4" t="s">
        <v>201</v>
      </c>
      <c r="FF30" s="4" t="s">
        <v>201</v>
      </c>
      <c r="FG30" s="4" t="s">
        <v>217</v>
      </c>
      <c r="FH30" s="4">
        <v>469.91673554621087</v>
      </c>
      <c r="FI30" s="4">
        <f t="shared" si="8"/>
        <v>35.243755165965815</v>
      </c>
      <c r="FJ30" s="4">
        <f t="shared" si="9"/>
        <v>35.243755165965815</v>
      </c>
      <c r="FK30" s="4" t="s">
        <v>203</v>
      </c>
      <c r="FL30" s="4" t="s">
        <v>216</v>
      </c>
      <c r="FM30" s="4" t="s">
        <v>249</v>
      </c>
      <c r="FN30" s="4" t="s">
        <v>201</v>
      </c>
      <c r="FO30" s="4" t="s">
        <v>201</v>
      </c>
      <c r="FP30" s="4" t="s">
        <v>201</v>
      </c>
      <c r="FQ30" s="4" t="s">
        <v>201</v>
      </c>
      <c r="FR30" s="4" t="s">
        <v>201</v>
      </c>
      <c r="FS30" s="4" t="s">
        <v>201</v>
      </c>
      <c r="FT30" s="4" t="s">
        <v>200</v>
      </c>
      <c r="FU30" s="4" t="s">
        <v>212</v>
      </c>
      <c r="FV30" s="45" t="s">
        <v>300</v>
      </c>
      <c r="FW30" s="4" t="s">
        <v>201</v>
      </c>
      <c r="FX30" s="4" t="s">
        <v>201</v>
      </c>
      <c r="FY30" s="4" t="s">
        <v>247</v>
      </c>
    </row>
    <row r="31" spans="1:181" s="4" customFormat="1" x14ac:dyDescent="0.15">
      <c r="A31" s="3" t="s">
        <v>258</v>
      </c>
      <c r="B31" s="3" t="s">
        <v>193</v>
      </c>
      <c r="C31">
        <v>2017</v>
      </c>
      <c r="D31" s="22" t="str">
        <f t="shared" si="1"/>
        <v>10.1016/j.epsl.2017.03.016</v>
      </c>
      <c r="E31" s="22">
        <f t="shared" si="2"/>
        <v>4135.37</v>
      </c>
      <c r="F31" s="22" t="str">
        <f t="shared" si="3"/>
        <v>NA</v>
      </c>
      <c r="G31" s="22" t="str">
        <f t="shared" si="4"/>
        <v>NA</v>
      </c>
      <c r="H31" s="22">
        <f t="shared" si="5"/>
        <v>470.57221243239485</v>
      </c>
      <c r="I31" s="36">
        <f t="shared" si="6"/>
        <v>35.292915932429615</v>
      </c>
      <c r="J31" s="36">
        <f t="shared" si="7"/>
        <v>35.292915932429615</v>
      </c>
      <c r="K31" s="5" t="s">
        <v>251</v>
      </c>
      <c r="L31" s="5" t="s">
        <v>252</v>
      </c>
      <c r="M31" s="5" t="s">
        <v>194</v>
      </c>
      <c r="N31" s="5" t="s">
        <v>192</v>
      </c>
      <c r="O31" s="4">
        <v>850</v>
      </c>
      <c r="P31" s="5" t="s">
        <v>189</v>
      </c>
      <c r="Q31" s="4" t="s">
        <v>201</v>
      </c>
      <c r="R31" s="4" t="s">
        <v>201</v>
      </c>
      <c r="S31" s="4" t="s">
        <v>201</v>
      </c>
      <c r="T31" s="4" t="s">
        <v>201</v>
      </c>
      <c r="U31" s="4" t="s">
        <v>201</v>
      </c>
      <c r="V31" s="4" t="s">
        <v>201</v>
      </c>
      <c r="W31" s="4" t="s">
        <v>201</v>
      </c>
      <c r="X31" s="4" t="s">
        <v>201</v>
      </c>
      <c r="Y31" s="4" t="s">
        <v>201</v>
      </c>
      <c r="Z31" s="9">
        <v>90.025000000000006</v>
      </c>
      <c r="AA31" s="4" t="s">
        <v>207</v>
      </c>
      <c r="AB31" s="4">
        <v>4135.37</v>
      </c>
      <c r="AC31" s="4" t="s">
        <v>201</v>
      </c>
      <c r="AD31" s="4" t="s">
        <v>201</v>
      </c>
      <c r="AE31" s="4" t="s">
        <v>201</v>
      </c>
      <c r="AF31" s="5" t="s">
        <v>176</v>
      </c>
      <c r="AG31" s="5" t="s">
        <v>178</v>
      </c>
      <c r="AH31" s="12">
        <v>1.2971666666666666</v>
      </c>
      <c r="AI31" s="9">
        <v>-110.5215</v>
      </c>
      <c r="AJ31" s="37">
        <v>-4197</v>
      </c>
      <c r="AK31" s="4" t="s">
        <v>201</v>
      </c>
      <c r="AL31" s="4" t="s">
        <v>201</v>
      </c>
      <c r="AM31" s="4" t="s">
        <v>201</v>
      </c>
      <c r="AN31" s="4" t="s">
        <v>201</v>
      </c>
      <c r="AO31" s="5" t="s">
        <v>236</v>
      </c>
      <c r="AP31" s="4" t="s">
        <v>201</v>
      </c>
      <c r="AQ31" s="4" t="s">
        <v>201</v>
      </c>
      <c r="AR31" s="4" t="s">
        <v>201</v>
      </c>
      <c r="AS31" s="4" t="s">
        <v>201</v>
      </c>
      <c r="AT31" s="4" t="s">
        <v>201</v>
      </c>
      <c r="AU31" s="4" t="s">
        <v>201</v>
      </c>
      <c r="AV31" s="4" t="s">
        <v>201</v>
      </c>
      <c r="AW31" s="4" t="s">
        <v>201</v>
      </c>
      <c r="AX31" s="4">
        <v>2.0006986868718672</v>
      </c>
      <c r="AY31" s="4">
        <v>0.13</v>
      </c>
      <c r="AZ31" s="4" t="s">
        <v>203</v>
      </c>
      <c r="BA31" s="4" t="s">
        <v>201</v>
      </c>
      <c r="BB31" s="4">
        <v>-1.1632435419960672</v>
      </c>
      <c r="BC31" s="4">
        <v>0.24</v>
      </c>
      <c r="BD31" s="4" t="s">
        <v>203</v>
      </c>
      <c r="BE31" s="4" t="s">
        <v>201</v>
      </c>
      <c r="BF31" s="5" t="s">
        <v>181</v>
      </c>
      <c r="BG31" s="5" t="s">
        <v>182</v>
      </c>
      <c r="BH31" s="4">
        <v>0</v>
      </c>
      <c r="BI31" s="4" t="s">
        <v>201</v>
      </c>
      <c r="BJ31" s="4" t="s">
        <v>201</v>
      </c>
      <c r="BK31" s="4" t="s">
        <v>201</v>
      </c>
      <c r="BL31" s="4" t="s">
        <v>201</v>
      </c>
      <c r="BM31" s="4" t="s">
        <v>201</v>
      </c>
      <c r="BN31" s="4" t="s">
        <v>201</v>
      </c>
      <c r="BO31" s="4" t="s">
        <v>201</v>
      </c>
      <c r="BP31" s="4" t="s">
        <v>201</v>
      </c>
      <c r="BQ31" s="4" t="s">
        <v>201</v>
      </c>
      <c r="BR31" s="4" t="s">
        <v>201</v>
      </c>
      <c r="BS31" s="5" t="s">
        <v>183</v>
      </c>
      <c r="BT31" s="4">
        <v>-23.340211274095687</v>
      </c>
      <c r="BU31" s="5" t="s">
        <v>184</v>
      </c>
      <c r="BV31" s="4">
        <v>0.31</v>
      </c>
      <c r="BW31" s="4" t="s">
        <v>201</v>
      </c>
      <c r="BX31" s="4" t="s">
        <v>202</v>
      </c>
      <c r="BY31" s="4">
        <v>4.2</v>
      </c>
      <c r="BZ31" s="4" t="s">
        <v>201</v>
      </c>
      <c r="CA31" s="4" t="s">
        <v>201</v>
      </c>
      <c r="CB31" s="4">
        <v>-19.238240161446925</v>
      </c>
      <c r="CC31" s="4" t="s">
        <v>201</v>
      </c>
      <c r="CD31" s="4" t="s">
        <v>201</v>
      </c>
      <c r="CE31" s="4" t="s">
        <v>201</v>
      </c>
      <c r="CF31" s="4" t="s">
        <v>201</v>
      </c>
      <c r="CG31" s="4">
        <v>35</v>
      </c>
      <c r="CH31" s="4">
        <v>1</v>
      </c>
      <c r="CI31" s="4" t="s">
        <v>204</v>
      </c>
      <c r="CJ31" s="5" t="s">
        <v>185</v>
      </c>
      <c r="CK31" s="4">
        <v>0.82</v>
      </c>
      <c r="CL31" s="4">
        <v>0.1</v>
      </c>
      <c r="CM31" s="4">
        <v>0.1</v>
      </c>
      <c r="CN31" s="4" t="s">
        <v>204</v>
      </c>
      <c r="CO31" s="5" t="s">
        <v>186</v>
      </c>
      <c r="CP31" s="4" t="s">
        <v>201</v>
      </c>
      <c r="CQ31" s="4" t="s">
        <v>201</v>
      </c>
      <c r="CR31" s="4">
        <f t="shared" si="0"/>
        <v>26.864794675788488</v>
      </c>
      <c r="CS31" s="4" t="s">
        <v>201</v>
      </c>
      <c r="CT31" s="4" t="s">
        <v>201</v>
      </c>
      <c r="CU31" s="4" t="s">
        <v>201</v>
      </c>
      <c r="CV31" s="4" t="s">
        <v>211</v>
      </c>
      <c r="CW31" s="4">
        <v>0.9510900031529812</v>
      </c>
      <c r="CX31" s="4" t="s">
        <v>201</v>
      </c>
      <c r="CY31" s="4">
        <v>27.080764934198466</v>
      </c>
      <c r="CZ31" s="4" t="s">
        <v>201</v>
      </c>
      <c r="DA31" s="4" t="s">
        <v>201</v>
      </c>
      <c r="DB31" s="4" t="s">
        <v>201</v>
      </c>
      <c r="DC31" s="5" t="s">
        <v>190</v>
      </c>
      <c r="DD31" s="4" t="s">
        <v>205</v>
      </c>
      <c r="DE31" s="4" t="s">
        <v>201</v>
      </c>
      <c r="DF31" s="4" t="s">
        <v>201</v>
      </c>
      <c r="DG31" s="4" t="s">
        <v>201</v>
      </c>
      <c r="DH31" s="4" t="s">
        <v>201</v>
      </c>
      <c r="DI31" s="4">
        <v>26.648824417378506</v>
      </c>
      <c r="DJ31" s="4" t="s">
        <v>201</v>
      </c>
      <c r="DK31" s="4" t="s">
        <v>201</v>
      </c>
      <c r="DL31" s="4" t="s">
        <v>201</v>
      </c>
      <c r="DM31" s="4" t="s">
        <v>206</v>
      </c>
      <c r="DN31" s="4" t="s">
        <v>201</v>
      </c>
      <c r="DO31" s="4" t="s">
        <v>201</v>
      </c>
      <c r="DP31" s="4" t="s">
        <v>201</v>
      </c>
      <c r="DQ31" s="4" t="s">
        <v>201</v>
      </c>
      <c r="DR31" s="4" t="s">
        <v>201</v>
      </c>
      <c r="DS31" s="4" t="s">
        <v>201</v>
      </c>
      <c r="DT31" s="4" t="s">
        <v>201</v>
      </c>
      <c r="DU31" s="4" t="s">
        <v>201</v>
      </c>
      <c r="DV31" s="4" t="s">
        <v>201</v>
      </c>
      <c r="DW31" s="4" t="s">
        <v>201</v>
      </c>
      <c r="DX31" s="4" t="s">
        <v>201</v>
      </c>
      <c r="DY31" s="4" t="s">
        <v>201</v>
      </c>
      <c r="DZ31" s="4" t="s">
        <v>201</v>
      </c>
      <c r="EA31" s="4" t="s">
        <v>201</v>
      </c>
      <c r="EB31" s="4" t="s">
        <v>201</v>
      </c>
      <c r="EC31" s="4" t="s">
        <v>201</v>
      </c>
      <c r="ED31" s="4" t="s">
        <v>201</v>
      </c>
      <c r="EE31" s="4" t="s">
        <v>201</v>
      </c>
      <c r="EF31" s="4" t="s">
        <v>201</v>
      </c>
      <c r="EG31" s="4" t="s">
        <v>201</v>
      </c>
      <c r="EH31" s="4" t="s">
        <v>201</v>
      </c>
      <c r="EI31" s="4" t="s">
        <v>201</v>
      </c>
      <c r="EJ31" s="4" t="s">
        <v>201</v>
      </c>
      <c r="EK31" s="4" t="s">
        <v>201</v>
      </c>
      <c r="EL31" s="4" t="s">
        <v>201</v>
      </c>
      <c r="EM31" s="4" t="s">
        <v>201</v>
      </c>
      <c r="EN31" s="4" t="s">
        <v>201</v>
      </c>
      <c r="EO31" s="4" t="s">
        <v>201</v>
      </c>
      <c r="EP31" s="4" t="s">
        <v>201</v>
      </c>
      <c r="EQ31" s="4" t="s">
        <v>201</v>
      </c>
      <c r="ER31" s="4">
        <v>167.97479999999999</v>
      </c>
      <c r="ES31" s="4" t="s">
        <v>201</v>
      </c>
      <c r="ET31" s="4" t="s">
        <v>201</v>
      </c>
      <c r="EU31" s="4" t="s">
        <v>201</v>
      </c>
      <c r="EV31" s="5" t="s">
        <v>187</v>
      </c>
      <c r="EW31" s="4">
        <v>25</v>
      </c>
      <c r="EX31" s="4">
        <v>11.671962795335888</v>
      </c>
      <c r="EY31" s="4">
        <v>2.6896976804247075E-2</v>
      </c>
      <c r="EZ31" s="4">
        <v>2.6896976804247075E-2</v>
      </c>
      <c r="FA31" s="4" t="s">
        <v>201</v>
      </c>
      <c r="FB31" s="5" t="s">
        <v>250</v>
      </c>
      <c r="FC31" s="4" t="s">
        <v>201</v>
      </c>
      <c r="FD31" s="4" t="s">
        <v>201</v>
      </c>
      <c r="FE31" s="4" t="s">
        <v>201</v>
      </c>
      <c r="FF31" s="4" t="s">
        <v>201</v>
      </c>
      <c r="FG31" s="4" t="s">
        <v>217</v>
      </c>
      <c r="FH31" s="4">
        <v>470.57221243239485</v>
      </c>
      <c r="FI31" s="4">
        <f t="shared" si="8"/>
        <v>35.292915932429615</v>
      </c>
      <c r="FJ31" s="4">
        <f t="shared" si="9"/>
        <v>35.292915932429615</v>
      </c>
      <c r="FK31" s="4" t="s">
        <v>203</v>
      </c>
      <c r="FL31" s="4" t="s">
        <v>216</v>
      </c>
      <c r="FM31" s="4" t="s">
        <v>249</v>
      </c>
      <c r="FN31" s="4" t="s">
        <v>201</v>
      </c>
      <c r="FO31" s="4" t="s">
        <v>201</v>
      </c>
      <c r="FP31" s="4" t="s">
        <v>201</v>
      </c>
      <c r="FQ31" s="4" t="s">
        <v>201</v>
      </c>
      <c r="FR31" s="4" t="s">
        <v>201</v>
      </c>
      <c r="FS31" s="4" t="s">
        <v>201</v>
      </c>
      <c r="FT31" s="4" t="s">
        <v>200</v>
      </c>
      <c r="FU31" s="4" t="s">
        <v>212</v>
      </c>
      <c r="FV31" s="45" t="s">
        <v>301</v>
      </c>
      <c r="FW31" s="4" t="s">
        <v>201</v>
      </c>
      <c r="FX31" s="4" t="s">
        <v>201</v>
      </c>
      <c r="FY31" s="4" t="s">
        <v>247</v>
      </c>
    </row>
    <row r="32" spans="1:181" s="4" customFormat="1" x14ac:dyDescent="0.15">
      <c r="A32" s="3" t="s">
        <v>258</v>
      </c>
      <c r="B32" s="3" t="s">
        <v>193</v>
      </c>
      <c r="C32">
        <v>2017</v>
      </c>
      <c r="D32" s="22" t="str">
        <f t="shared" si="1"/>
        <v>10.1016/j.epsl.2017.03.016</v>
      </c>
      <c r="E32" s="22">
        <f t="shared" si="2"/>
        <v>4368.0200000000004</v>
      </c>
      <c r="F32" s="22" t="str">
        <f t="shared" si="3"/>
        <v>NA</v>
      </c>
      <c r="G32" s="22" t="str">
        <f t="shared" si="4"/>
        <v>NA</v>
      </c>
      <c r="H32" s="22">
        <f t="shared" si="5"/>
        <v>504.36561392841691</v>
      </c>
      <c r="I32" s="36">
        <f t="shared" si="6"/>
        <v>37.827421044631265</v>
      </c>
      <c r="J32" s="36">
        <f t="shared" si="7"/>
        <v>37.827421044631265</v>
      </c>
      <c r="K32" s="5" t="s">
        <v>251</v>
      </c>
      <c r="L32" s="5" t="s">
        <v>252</v>
      </c>
      <c r="M32" s="5" t="s">
        <v>194</v>
      </c>
      <c r="N32" s="5" t="s">
        <v>192</v>
      </c>
      <c r="O32" s="4">
        <v>850</v>
      </c>
      <c r="P32" s="5" t="s">
        <v>189</v>
      </c>
      <c r="Q32" s="4" t="s">
        <v>201</v>
      </c>
      <c r="R32" s="4" t="s">
        <v>201</v>
      </c>
      <c r="S32" s="4" t="s">
        <v>201</v>
      </c>
      <c r="T32" s="4" t="s">
        <v>201</v>
      </c>
      <c r="U32" s="4" t="s">
        <v>201</v>
      </c>
      <c r="V32" s="4" t="s">
        <v>201</v>
      </c>
      <c r="W32" s="4" t="s">
        <v>201</v>
      </c>
      <c r="X32" s="4" t="s">
        <v>201</v>
      </c>
      <c r="Y32" s="4" t="s">
        <v>201</v>
      </c>
      <c r="Z32" s="9">
        <v>96.525000000000006</v>
      </c>
      <c r="AA32" s="4" t="s">
        <v>207</v>
      </c>
      <c r="AB32" s="4">
        <v>4368.0200000000004</v>
      </c>
      <c r="AC32" s="4" t="s">
        <v>201</v>
      </c>
      <c r="AD32" s="4" t="s">
        <v>201</v>
      </c>
      <c r="AE32" s="4" t="s">
        <v>201</v>
      </c>
      <c r="AF32" s="5" t="s">
        <v>176</v>
      </c>
      <c r="AG32" s="5" t="s">
        <v>178</v>
      </c>
      <c r="AH32" s="12">
        <v>1.2971666666666666</v>
      </c>
      <c r="AI32" s="9">
        <v>-110.5215</v>
      </c>
      <c r="AJ32" s="37">
        <v>-4197</v>
      </c>
      <c r="AK32" s="4" t="s">
        <v>201</v>
      </c>
      <c r="AL32" s="4" t="s">
        <v>201</v>
      </c>
      <c r="AM32" s="4" t="s">
        <v>201</v>
      </c>
      <c r="AN32" s="4" t="s">
        <v>201</v>
      </c>
      <c r="AO32" s="5" t="s">
        <v>236</v>
      </c>
      <c r="AP32" s="4" t="s">
        <v>201</v>
      </c>
      <c r="AQ32" s="4" t="s">
        <v>201</v>
      </c>
      <c r="AR32" s="4" t="s">
        <v>201</v>
      </c>
      <c r="AS32" s="4" t="s">
        <v>201</v>
      </c>
      <c r="AT32" s="4" t="s">
        <v>201</v>
      </c>
      <c r="AU32" s="4" t="s">
        <v>201</v>
      </c>
      <c r="AV32" s="4" t="s">
        <v>201</v>
      </c>
      <c r="AW32" s="4" t="s">
        <v>201</v>
      </c>
      <c r="AX32" s="4">
        <v>1.9418376703455793</v>
      </c>
      <c r="AY32" s="4">
        <v>0.13</v>
      </c>
      <c r="AZ32" s="4" t="s">
        <v>203</v>
      </c>
      <c r="BA32" s="4" t="s">
        <v>201</v>
      </c>
      <c r="BB32" s="4">
        <v>0.12704404791574522</v>
      </c>
      <c r="BC32" s="4">
        <v>0.24</v>
      </c>
      <c r="BD32" s="4" t="s">
        <v>203</v>
      </c>
      <c r="BE32" s="4" t="s">
        <v>201</v>
      </c>
      <c r="BF32" s="5" t="s">
        <v>181</v>
      </c>
      <c r="BG32" s="5" t="s">
        <v>182</v>
      </c>
      <c r="BH32" s="4">
        <v>0</v>
      </c>
      <c r="BI32" s="4" t="s">
        <v>201</v>
      </c>
      <c r="BJ32" s="4" t="s">
        <v>201</v>
      </c>
      <c r="BK32" s="4" t="s">
        <v>201</v>
      </c>
      <c r="BL32" s="4" t="s">
        <v>201</v>
      </c>
      <c r="BM32" s="4" t="s">
        <v>201</v>
      </c>
      <c r="BN32" s="4" t="s">
        <v>201</v>
      </c>
      <c r="BO32" s="4" t="s">
        <v>201</v>
      </c>
      <c r="BP32" s="4" t="s">
        <v>201</v>
      </c>
      <c r="BQ32" s="4" t="s">
        <v>201</v>
      </c>
      <c r="BR32" s="4" t="s">
        <v>201</v>
      </c>
      <c r="BS32" s="5" t="s">
        <v>183</v>
      </c>
      <c r="BT32" s="4">
        <v>-24.498779626201415</v>
      </c>
      <c r="BU32" s="5" t="s">
        <v>184</v>
      </c>
      <c r="BV32" s="4">
        <v>0.31</v>
      </c>
      <c r="BW32" s="4" t="s">
        <v>201</v>
      </c>
      <c r="BX32" s="4" t="s">
        <v>202</v>
      </c>
      <c r="BY32" s="4">
        <v>4.2</v>
      </c>
      <c r="BZ32" s="4" t="s">
        <v>201</v>
      </c>
      <c r="CA32" s="4" t="s">
        <v>201</v>
      </c>
      <c r="CB32" s="4">
        <v>-20.401674500631543</v>
      </c>
      <c r="CC32" s="4" t="s">
        <v>201</v>
      </c>
      <c r="CD32" s="4" t="s">
        <v>201</v>
      </c>
      <c r="CE32" s="4" t="s">
        <v>201</v>
      </c>
      <c r="CF32" s="4" t="s">
        <v>201</v>
      </c>
      <c r="CG32" s="4">
        <v>35</v>
      </c>
      <c r="CH32" s="4">
        <v>1</v>
      </c>
      <c r="CI32" s="4" t="s">
        <v>204</v>
      </c>
      <c r="CJ32" s="5" t="s">
        <v>185</v>
      </c>
      <c r="CK32" s="4">
        <v>0.82</v>
      </c>
      <c r="CL32" s="4">
        <v>0.1</v>
      </c>
      <c r="CM32" s="4">
        <v>0.1</v>
      </c>
      <c r="CN32" s="4" t="s">
        <v>204</v>
      </c>
      <c r="CO32" s="5" t="s">
        <v>186</v>
      </c>
      <c r="CP32" s="4" t="s">
        <v>201</v>
      </c>
      <c r="CQ32" s="4" t="s">
        <v>201</v>
      </c>
      <c r="CR32" s="4">
        <f t="shared" si="0"/>
        <v>26.301439999999999</v>
      </c>
      <c r="CS32" s="4" t="s">
        <v>201</v>
      </c>
      <c r="CT32" s="4" t="s">
        <v>201</v>
      </c>
      <c r="CU32" s="4" t="s">
        <v>201</v>
      </c>
      <c r="CV32" s="4" t="s">
        <v>211</v>
      </c>
      <c r="CW32" s="4">
        <v>0.93200763154371402</v>
      </c>
      <c r="CX32" s="4" t="s">
        <v>201</v>
      </c>
      <c r="CY32" s="4">
        <v>26.510660000000001</v>
      </c>
      <c r="CZ32" s="4" t="s">
        <v>201</v>
      </c>
      <c r="DA32" s="4" t="s">
        <v>201</v>
      </c>
      <c r="DB32" s="4" t="s">
        <v>201</v>
      </c>
      <c r="DC32" s="5" t="s">
        <v>190</v>
      </c>
      <c r="DD32" s="4" t="s">
        <v>205</v>
      </c>
      <c r="DE32" s="4" t="s">
        <v>201</v>
      </c>
      <c r="DF32" s="4" t="s">
        <v>201</v>
      </c>
      <c r="DG32" s="4" t="s">
        <v>201</v>
      </c>
      <c r="DH32" s="4" t="s">
        <v>201</v>
      </c>
      <c r="DI32" s="4">
        <v>26.092220000000001</v>
      </c>
      <c r="DJ32" s="4" t="s">
        <v>201</v>
      </c>
      <c r="DK32" s="4" t="s">
        <v>201</v>
      </c>
      <c r="DL32" s="4" t="s">
        <v>201</v>
      </c>
      <c r="DM32" s="4" t="s">
        <v>206</v>
      </c>
      <c r="DN32" s="4" t="s">
        <v>201</v>
      </c>
      <c r="DO32" s="4" t="s">
        <v>201</v>
      </c>
      <c r="DP32" s="4" t="s">
        <v>201</v>
      </c>
      <c r="DQ32" s="4" t="s">
        <v>201</v>
      </c>
      <c r="DR32" s="4" t="s">
        <v>201</v>
      </c>
      <c r="DS32" s="4" t="s">
        <v>201</v>
      </c>
      <c r="DT32" s="4" t="s">
        <v>201</v>
      </c>
      <c r="DU32" s="4" t="s">
        <v>201</v>
      </c>
      <c r="DV32" s="4" t="s">
        <v>201</v>
      </c>
      <c r="DW32" s="4" t="s">
        <v>201</v>
      </c>
      <c r="DX32" s="4" t="s">
        <v>201</v>
      </c>
      <c r="DY32" s="4" t="s">
        <v>201</v>
      </c>
      <c r="DZ32" s="4" t="s">
        <v>201</v>
      </c>
      <c r="EA32" s="4" t="s">
        <v>201</v>
      </c>
      <c r="EB32" s="4" t="s">
        <v>201</v>
      </c>
      <c r="EC32" s="4" t="s">
        <v>201</v>
      </c>
      <c r="ED32" s="4" t="s">
        <v>201</v>
      </c>
      <c r="EE32" s="4" t="s">
        <v>201</v>
      </c>
      <c r="EF32" s="4" t="s">
        <v>201</v>
      </c>
      <c r="EG32" s="4" t="s">
        <v>201</v>
      </c>
      <c r="EH32" s="4" t="s">
        <v>201</v>
      </c>
      <c r="EI32" s="4" t="s">
        <v>201</v>
      </c>
      <c r="EJ32" s="4" t="s">
        <v>201</v>
      </c>
      <c r="EK32" s="4" t="s">
        <v>201</v>
      </c>
      <c r="EL32" s="4" t="s">
        <v>201</v>
      </c>
      <c r="EM32" s="4" t="s">
        <v>201</v>
      </c>
      <c r="EN32" s="4" t="s">
        <v>201</v>
      </c>
      <c r="EO32" s="4" t="s">
        <v>201</v>
      </c>
      <c r="EP32" s="4" t="s">
        <v>201</v>
      </c>
      <c r="EQ32" s="4" t="s">
        <v>201</v>
      </c>
      <c r="ER32" s="4">
        <v>167.97479999999999</v>
      </c>
      <c r="ES32" s="4" t="s">
        <v>201</v>
      </c>
      <c r="ET32" s="4" t="s">
        <v>201</v>
      </c>
      <c r="EU32" s="4" t="s">
        <v>201</v>
      </c>
      <c r="EV32" s="5" t="s">
        <v>187</v>
      </c>
      <c r="EW32" s="4">
        <v>25</v>
      </c>
      <c r="EX32" s="4">
        <v>12.736752232586968</v>
      </c>
      <c r="EY32" s="4">
        <v>2.6085372298645382E-2</v>
      </c>
      <c r="EZ32" s="4">
        <v>2.6085372298645382E-2</v>
      </c>
      <c r="FA32" s="4" t="s">
        <v>201</v>
      </c>
      <c r="FB32" s="5" t="s">
        <v>250</v>
      </c>
      <c r="FC32" s="4" t="s">
        <v>201</v>
      </c>
      <c r="FD32" s="4" t="s">
        <v>201</v>
      </c>
      <c r="FE32" s="4" t="s">
        <v>201</v>
      </c>
      <c r="FF32" s="4" t="s">
        <v>201</v>
      </c>
      <c r="FG32" s="4" t="s">
        <v>217</v>
      </c>
      <c r="FH32" s="4">
        <v>504.36561392841691</v>
      </c>
      <c r="FI32" s="4">
        <f t="shared" si="8"/>
        <v>37.827421044631265</v>
      </c>
      <c r="FJ32" s="4">
        <f t="shared" si="9"/>
        <v>37.827421044631265</v>
      </c>
      <c r="FK32" s="4" t="s">
        <v>203</v>
      </c>
      <c r="FL32" s="4" t="s">
        <v>216</v>
      </c>
      <c r="FM32" s="4" t="s">
        <v>249</v>
      </c>
      <c r="FN32" s="4" t="s">
        <v>201</v>
      </c>
      <c r="FO32" s="4" t="s">
        <v>201</v>
      </c>
      <c r="FP32" s="4" t="s">
        <v>201</v>
      </c>
      <c r="FQ32" s="4" t="s">
        <v>201</v>
      </c>
      <c r="FR32" s="4" t="s">
        <v>201</v>
      </c>
      <c r="FS32" s="4" t="s">
        <v>201</v>
      </c>
      <c r="FT32" s="4" t="s">
        <v>200</v>
      </c>
      <c r="FU32" s="4" t="s">
        <v>212</v>
      </c>
      <c r="FV32" s="45" t="s">
        <v>302</v>
      </c>
      <c r="FW32" s="4" t="s">
        <v>201</v>
      </c>
      <c r="FX32" s="4" t="s">
        <v>201</v>
      </c>
      <c r="FY32" s="4" t="s">
        <v>247</v>
      </c>
    </row>
    <row r="33" spans="1:181" s="6" customFormat="1" x14ac:dyDescent="0.15">
      <c r="A33" s="3" t="s">
        <v>258</v>
      </c>
      <c r="B33" s="3" t="s">
        <v>193</v>
      </c>
      <c r="C33">
        <v>2017</v>
      </c>
      <c r="D33" s="22" t="str">
        <f t="shared" si="1"/>
        <v>10.1016/j.epsl.2017.03.016</v>
      </c>
      <c r="E33" s="22">
        <f t="shared" si="2"/>
        <v>4393.07</v>
      </c>
      <c r="F33" s="22" t="str">
        <f t="shared" si="3"/>
        <v>NA</v>
      </c>
      <c r="G33" s="22" t="str">
        <f t="shared" si="4"/>
        <v>NA</v>
      </c>
      <c r="H33" s="22">
        <f t="shared" si="5"/>
        <v>442.69448720055482</v>
      </c>
      <c r="I33" s="36">
        <f t="shared" si="6"/>
        <v>33.202086540041613</v>
      </c>
      <c r="J33" s="36">
        <f t="shared" si="7"/>
        <v>33.202086540041613</v>
      </c>
      <c r="K33" s="7" t="s">
        <v>251</v>
      </c>
      <c r="L33" s="7" t="s">
        <v>252</v>
      </c>
      <c r="M33" s="7" t="s">
        <v>194</v>
      </c>
      <c r="N33" s="7" t="s">
        <v>192</v>
      </c>
      <c r="O33" s="6">
        <v>850</v>
      </c>
      <c r="P33" s="7" t="s">
        <v>189</v>
      </c>
      <c r="Q33" s="6">
        <v>10</v>
      </c>
      <c r="R33" s="6" t="s">
        <v>208</v>
      </c>
      <c r="S33" s="6" t="s">
        <v>209</v>
      </c>
      <c r="T33" s="6">
        <v>1</v>
      </c>
      <c r="U33" s="6" t="s">
        <v>201</v>
      </c>
      <c r="V33" s="6" t="s">
        <v>201</v>
      </c>
      <c r="W33" s="6" t="s">
        <v>201</v>
      </c>
      <c r="X33" s="6" t="s">
        <v>201</v>
      </c>
      <c r="Y33" s="6" t="s">
        <v>201</v>
      </c>
      <c r="Z33" s="8">
        <v>97.224999999999994</v>
      </c>
      <c r="AA33" s="6" t="s">
        <v>207</v>
      </c>
      <c r="AB33" s="6">
        <v>4393.07</v>
      </c>
      <c r="AC33" s="6" t="s">
        <v>201</v>
      </c>
      <c r="AD33" s="6" t="s">
        <v>201</v>
      </c>
      <c r="AE33" s="6" t="s">
        <v>201</v>
      </c>
      <c r="AF33" s="7" t="s">
        <v>176</v>
      </c>
      <c r="AG33" s="7" t="s">
        <v>178</v>
      </c>
      <c r="AH33" s="11">
        <v>1.2971666666666666</v>
      </c>
      <c r="AI33" s="8">
        <v>-110.5215</v>
      </c>
      <c r="AJ33" s="6">
        <v>-4197</v>
      </c>
      <c r="AK33" s="6" t="s">
        <v>201</v>
      </c>
      <c r="AL33" s="6" t="s">
        <v>201</v>
      </c>
      <c r="AM33" s="6" t="s">
        <v>201</v>
      </c>
      <c r="AN33" s="6" t="s">
        <v>201</v>
      </c>
      <c r="AO33" s="7" t="s">
        <v>236</v>
      </c>
      <c r="AP33" s="6" t="s">
        <v>201</v>
      </c>
      <c r="AQ33" s="6" t="s">
        <v>201</v>
      </c>
      <c r="AR33" s="6" t="s">
        <v>201</v>
      </c>
      <c r="AS33" s="6" t="s">
        <v>201</v>
      </c>
      <c r="AT33" s="6" t="s">
        <v>201</v>
      </c>
      <c r="AU33" s="6" t="s">
        <v>201</v>
      </c>
      <c r="AV33" s="6" t="s">
        <v>201</v>
      </c>
      <c r="AW33" s="6" t="s">
        <v>201</v>
      </c>
      <c r="AX33" s="6">
        <v>1.687861378802139</v>
      </c>
      <c r="AY33" s="6">
        <v>0.13</v>
      </c>
      <c r="AZ33" s="6" t="s">
        <v>203</v>
      </c>
      <c r="BA33" s="6" t="s">
        <v>201</v>
      </c>
      <c r="BB33" s="6">
        <v>-0.80386983517408617</v>
      </c>
      <c r="BC33" s="6">
        <v>0.24</v>
      </c>
      <c r="BD33" s="6" t="s">
        <v>203</v>
      </c>
      <c r="BE33" s="6" t="s">
        <v>201</v>
      </c>
      <c r="BF33" s="7" t="s">
        <v>181</v>
      </c>
      <c r="BG33" s="7" t="s">
        <v>182</v>
      </c>
      <c r="BH33" s="6">
        <v>0</v>
      </c>
      <c r="BI33" s="6" t="s">
        <v>201</v>
      </c>
      <c r="BJ33" s="6" t="s">
        <v>201</v>
      </c>
      <c r="BK33" s="6" t="s">
        <v>201</v>
      </c>
      <c r="BL33" s="6" t="s">
        <v>201</v>
      </c>
      <c r="BM33" s="6" t="s">
        <v>201</v>
      </c>
      <c r="BN33" s="6" t="s">
        <v>201</v>
      </c>
      <c r="BO33" s="6" t="s">
        <v>201</v>
      </c>
      <c r="BP33" s="6" t="s">
        <v>201</v>
      </c>
      <c r="BQ33" s="6" t="s">
        <v>201</v>
      </c>
      <c r="BR33" s="6" t="s">
        <v>201</v>
      </c>
      <c r="BS33" s="7" t="s">
        <v>183</v>
      </c>
      <c r="BT33" s="6">
        <v>-23.57707580403661</v>
      </c>
      <c r="BU33" s="7" t="s">
        <v>184</v>
      </c>
      <c r="BV33" s="6">
        <v>0.31</v>
      </c>
      <c r="BW33" s="6" t="s">
        <v>201</v>
      </c>
      <c r="BX33" s="6" t="s">
        <v>202</v>
      </c>
      <c r="BY33" s="6">
        <v>4.2</v>
      </c>
      <c r="BZ33" s="6" t="s">
        <v>201</v>
      </c>
      <c r="CA33" s="6" t="s">
        <v>201</v>
      </c>
      <c r="CB33" s="6">
        <v>-19.47609952241362</v>
      </c>
      <c r="CC33" s="6" t="s">
        <v>201</v>
      </c>
      <c r="CD33" s="6" t="s">
        <v>201</v>
      </c>
      <c r="CE33" s="6" t="s">
        <v>201</v>
      </c>
      <c r="CF33" s="6" t="s">
        <v>201</v>
      </c>
      <c r="CG33" s="6">
        <v>35</v>
      </c>
      <c r="CH33" s="6">
        <v>1</v>
      </c>
      <c r="CI33" s="6" t="s">
        <v>204</v>
      </c>
      <c r="CJ33" s="7" t="s">
        <v>185</v>
      </c>
      <c r="CK33" s="6">
        <v>0.82</v>
      </c>
      <c r="CL33" s="6">
        <v>0.1</v>
      </c>
      <c r="CM33" s="6">
        <v>0.1</v>
      </c>
      <c r="CN33" s="6" t="s">
        <v>204</v>
      </c>
      <c r="CO33" s="7" t="s">
        <v>186</v>
      </c>
      <c r="CP33" s="6" t="s">
        <v>201</v>
      </c>
      <c r="CQ33" s="6" t="s">
        <v>201</v>
      </c>
      <c r="CR33" s="6">
        <f t="shared" si="0"/>
        <v>25.291504725011976</v>
      </c>
      <c r="CS33" s="6" t="s">
        <v>201</v>
      </c>
      <c r="CT33" s="6" t="s">
        <v>201</v>
      </c>
      <c r="CU33" s="6" t="s">
        <v>201</v>
      </c>
      <c r="CV33" s="6" t="s">
        <v>211</v>
      </c>
      <c r="CW33" s="6">
        <v>0.91965291359908286</v>
      </c>
      <c r="CX33" s="6" t="s">
        <v>201</v>
      </c>
      <c r="CY33" s="6">
        <v>26.1415504466862</v>
      </c>
      <c r="CZ33" s="6" t="s">
        <v>201</v>
      </c>
      <c r="DA33" s="6" t="s">
        <v>201</v>
      </c>
      <c r="DB33" s="6" t="s">
        <v>201</v>
      </c>
      <c r="DC33" s="7" t="s">
        <v>190</v>
      </c>
      <c r="DD33" s="6" t="s">
        <v>205</v>
      </c>
      <c r="DE33" s="6" t="s">
        <v>201</v>
      </c>
      <c r="DF33" s="6" t="s">
        <v>201</v>
      </c>
      <c r="DG33" s="6" t="s">
        <v>201</v>
      </c>
      <c r="DH33" s="6" t="s">
        <v>201</v>
      </c>
      <c r="DI33" s="6">
        <v>24.441459003337755</v>
      </c>
      <c r="DJ33" s="6" t="s">
        <v>201</v>
      </c>
      <c r="DK33" s="6" t="s">
        <v>201</v>
      </c>
      <c r="DL33" s="6" t="s">
        <v>201</v>
      </c>
      <c r="DM33" s="6" t="s">
        <v>206</v>
      </c>
      <c r="DN33" s="6" t="s">
        <v>201</v>
      </c>
      <c r="DO33" s="6" t="s">
        <v>201</v>
      </c>
      <c r="DP33" s="6" t="s">
        <v>201</v>
      </c>
      <c r="DQ33" s="6" t="s">
        <v>201</v>
      </c>
      <c r="DR33" s="6" t="s">
        <v>201</v>
      </c>
      <c r="DS33" s="6" t="s">
        <v>201</v>
      </c>
      <c r="DT33" s="6" t="s">
        <v>201</v>
      </c>
      <c r="DU33" s="6" t="s">
        <v>201</v>
      </c>
      <c r="DV33" s="6" t="s">
        <v>201</v>
      </c>
      <c r="DW33" s="6" t="s">
        <v>201</v>
      </c>
      <c r="DX33" s="6">
        <v>2.9626168224299065</v>
      </c>
      <c r="DY33" s="6" t="s">
        <v>201</v>
      </c>
      <c r="DZ33" s="6" t="s">
        <v>201</v>
      </c>
      <c r="EA33" s="6" t="s">
        <v>201</v>
      </c>
      <c r="EB33" s="6" t="s">
        <v>201</v>
      </c>
      <c r="EC33" s="6" t="s">
        <v>201</v>
      </c>
      <c r="ED33" s="6" t="s">
        <v>201</v>
      </c>
      <c r="EE33" s="6" t="s">
        <v>201</v>
      </c>
      <c r="EF33" s="6" t="s">
        <v>201</v>
      </c>
      <c r="EG33" s="6" t="s">
        <v>201</v>
      </c>
      <c r="EH33" s="6" t="s">
        <v>201</v>
      </c>
      <c r="EI33" s="6" t="s">
        <v>201</v>
      </c>
      <c r="EJ33" s="6" t="s">
        <v>201</v>
      </c>
      <c r="EK33" s="6" t="s">
        <v>201</v>
      </c>
      <c r="EL33" s="6" t="s">
        <v>201</v>
      </c>
      <c r="EM33" s="6" t="s">
        <v>201</v>
      </c>
      <c r="EN33" s="6" t="s">
        <v>201</v>
      </c>
      <c r="EO33" s="6" t="s">
        <v>201</v>
      </c>
      <c r="EP33" s="6" t="s">
        <v>201</v>
      </c>
      <c r="EQ33" s="6" t="s">
        <v>201</v>
      </c>
      <c r="ER33" s="6">
        <v>167.97479999999999</v>
      </c>
      <c r="ES33" s="6" t="s">
        <v>201</v>
      </c>
      <c r="ET33" s="6" t="s">
        <v>201</v>
      </c>
      <c r="EU33" s="6" t="s">
        <v>201</v>
      </c>
      <c r="EV33" s="7" t="s">
        <v>187</v>
      </c>
      <c r="EW33" s="6">
        <v>25</v>
      </c>
      <c r="EX33" s="6">
        <v>11.451793398289833</v>
      </c>
      <c r="EY33" s="6">
        <v>0.10585188307099536</v>
      </c>
      <c r="EZ33" s="6">
        <v>0.10585188307099536</v>
      </c>
      <c r="FA33" s="6" t="s">
        <v>201</v>
      </c>
      <c r="FB33" s="7" t="s">
        <v>250</v>
      </c>
      <c r="FC33" s="6" t="s">
        <v>201</v>
      </c>
      <c r="FD33" s="6" t="s">
        <v>201</v>
      </c>
      <c r="FE33" s="6" t="s">
        <v>201</v>
      </c>
      <c r="FF33" s="6" t="s">
        <v>201</v>
      </c>
      <c r="FG33" s="6" t="s">
        <v>217</v>
      </c>
      <c r="FH33" s="6">
        <v>442.69448720055482</v>
      </c>
      <c r="FI33" s="6">
        <f t="shared" si="8"/>
        <v>33.202086540041613</v>
      </c>
      <c r="FJ33" s="6">
        <f t="shared" si="9"/>
        <v>33.202086540041613</v>
      </c>
      <c r="FK33" s="6" t="s">
        <v>203</v>
      </c>
      <c r="FL33" s="6" t="s">
        <v>216</v>
      </c>
      <c r="FM33" s="6" t="s">
        <v>249</v>
      </c>
      <c r="FN33" s="6" t="s">
        <v>201</v>
      </c>
      <c r="FO33" s="6" t="s">
        <v>201</v>
      </c>
      <c r="FP33" s="6" t="s">
        <v>201</v>
      </c>
      <c r="FQ33" s="6" t="s">
        <v>201</v>
      </c>
      <c r="FR33" s="6" t="s">
        <v>201</v>
      </c>
      <c r="FS33" s="6" t="s">
        <v>201</v>
      </c>
      <c r="FT33" s="6" t="s">
        <v>200</v>
      </c>
      <c r="FU33" s="6" t="s">
        <v>212</v>
      </c>
      <c r="FV33" s="44" t="s">
        <v>303</v>
      </c>
      <c r="FW33" s="6" t="s">
        <v>201</v>
      </c>
      <c r="FX33" s="6" t="s">
        <v>201</v>
      </c>
      <c r="FY33" s="6" t="s">
        <v>247</v>
      </c>
    </row>
    <row r="34" spans="1:181" s="4" customFormat="1" x14ac:dyDescent="0.15">
      <c r="A34" s="3" t="s">
        <v>258</v>
      </c>
      <c r="B34" s="3" t="s">
        <v>193</v>
      </c>
      <c r="C34">
        <v>2017</v>
      </c>
      <c r="D34" s="22" t="str">
        <f t="shared" si="1"/>
        <v>10.1016/j.epsl.2017.03.016</v>
      </c>
      <c r="E34" s="22">
        <f t="shared" si="2"/>
        <v>4564.87</v>
      </c>
      <c r="F34" s="22" t="str">
        <f t="shared" si="3"/>
        <v>NA</v>
      </c>
      <c r="G34" s="22" t="str">
        <f t="shared" si="4"/>
        <v>NA</v>
      </c>
      <c r="H34" s="22">
        <f t="shared" si="5"/>
        <v>516.83686841593828</v>
      </c>
      <c r="I34" s="36">
        <f t="shared" si="6"/>
        <v>38.762765131195373</v>
      </c>
      <c r="J34" s="36">
        <f t="shared" si="7"/>
        <v>38.762765131195373</v>
      </c>
      <c r="K34" s="5" t="s">
        <v>251</v>
      </c>
      <c r="L34" s="5" t="s">
        <v>252</v>
      </c>
      <c r="M34" s="5" t="s">
        <v>194</v>
      </c>
      <c r="N34" s="5" t="s">
        <v>192</v>
      </c>
      <c r="O34" s="4">
        <v>850</v>
      </c>
      <c r="P34" s="5" t="s">
        <v>189</v>
      </c>
      <c r="Q34" s="4" t="s">
        <v>201</v>
      </c>
      <c r="R34" s="4" t="s">
        <v>201</v>
      </c>
      <c r="S34" s="4" t="s">
        <v>201</v>
      </c>
      <c r="T34" s="4" t="s">
        <v>201</v>
      </c>
      <c r="U34" s="4" t="s">
        <v>201</v>
      </c>
      <c r="V34" s="4" t="s">
        <v>201</v>
      </c>
      <c r="W34" s="4" t="s">
        <v>201</v>
      </c>
      <c r="X34" s="4" t="s">
        <v>201</v>
      </c>
      <c r="Y34" s="4" t="s">
        <v>201</v>
      </c>
      <c r="Z34" s="9">
        <v>102.02500000000001</v>
      </c>
      <c r="AA34" s="4" t="s">
        <v>207</v>
      </c>
      <c r="AB34" s="4">
        <v>4564.87</v>
      </c>
      <c r="AC34" s="4" t="s">
        <v>201</v>
      </c>
      <c r="AD34" s="4" t="s">
        <v>201</v>
      </c>
      <c r="AE34" s="4" t="s">
        <v>201</v>
      </c>
      <c r="AF34" s="5" t="s">
        <v>176</v>
      </c>
      <c r="AG34" s="5" t="s">
        <v>178</v>
      </c>
      <c r="AH34" s="12">
        <v>1.2971666666666666</v>
      </c>
      <c r="AI34" s="9">
        <v>-110.5215</v>
      </c>
      <c r="AJ34" s="37">
        <v>-4197</v>
      </c>
      <c r="AK34" s="4" t="s">
        <v>201</v>
      </c>
      <c r="AL34" s="4" t="s">
        <v>201</v>
      </c>
      <c r="AM34" s="4" t="s">
        <v>201</v>
      </c>
      <c r="AN34" s="4" t="s">
        <v>201</v>
      </c>
      <c r="AO34" s="5" t="s">
        <v>236</v>
      </c>
      <c r="AP34" s="4" t="s">
        <v>201</v>
      </c>
      <c r="AQ34" s="4" t="s">
        <v>201</v>
      </c>
      <c r="AR34" s="4" t="s">
        <v>201</v>
      </c>
      <c r="AS34" s="4" t="s">
        <v>201</v>
      </c>
      <c r="AT34" s="4" t="s">
        <v>201</v>
      </c>
      <c r="AU34" s="4" t="s">
        <v>201</v>
      </c>
      <c r="AV34" s="4" t="s">
        <v>201</v>
      </c>
      <c r="AW34" s="4" t="s">
        <v>201</v>
      </c>
      <c r="AX34" s="4">
        <v>1.8611927371775201</v>
      </c>
      <c r="AY34" s="4">
        <v>0.13</v>
      </c>
      <c r="AZ34" s="4" t="s">
        <v>203</v>
      </c>
      <c r="BA34" s="4" t="s">
        <v>201</v>
      </c>
      <c r="BB34" s="4">
        <v>-5.9007251031382282E-2</v>
      </c>
      <c r="BC34" s="4">
        <v>0.24</v>
      </c>
      <c r="BD34" s="4" t="s">
        <v>203</v>
      </c>
      <c r="BE34" s="4" t="s">
        <v>201</v>
      </c>
      <c r="BF34" s="5" t="s">
        <v>181</v>
      </c>
      <c r="BG34" s="5" t="s">
        <v>182</v>
      </c>
      <c r="BH34" s="4">
        <v>0</v>
      </c>
      <c r="BI34" s="4" t="s">
        <v>201</v>
      </c>
      <c r="BJ34" s="4" t="s">
        <v>201</v>
      </c>
      <c r="BK34" s="4" t="s">
        <v>201</v>
      </c>
      <c r="BL34" s="4" t="s">
        <v>201</v>
      </c>
      <c r="BM34" s="4" t="s">
        <v>201</v>
      </c>
      <c r="BN34" s="4" t="s">
        <v>201</v>
      </c>
      <c r="BO34" s="4" t="s">
        <v>201</v>
      </c>
      <c r="BP34" s="4" t="s">
        <v>201</v>
      </c>
      <c r="BQ34" s="4" t="s">
        <v>201</v>
      </c>
      <c r="BR34" s="4" t="s">
        <v>201</v>
      </c>
      <c r="BS34" s="5" t="s">
        <v>183</v>
      </c>
      <c r="BT34" s="4">
        <v>-24.747644165938411</v>
      </c>
      <c r="BU34" s="5" t="s">
        <v>184</v>
      </c>
      <c r="BV34" s="4">
        <v>0.31</v>
      </c>
      <c r="BW34" s="4" t="s">
        <v>201</v>
      </c>
      <c r="BX34" s="4" t="s">
        <v>202</v>
      </c>
      <c r="BY34" s="4">
        <v>4.2</v>
      </c>
      <c r="BZ34" s="4" t="s">
        <v>201</v>
      </c>
      <c r="CA34" s="4" t="s">
        <v>201</v>
      </c>
      <c r="CB34" s="4">
        <v>-20.651584271435354</v>
      </c>
      <c r="CC34" s="4" t="s">
        <v>201</v>
      </c>
      <c r="CD34" s="4" t="s">
        <v>201</v>
      </c>
      <c r="CE34" s="4" t="s">
        <v>201</v>
      </c>
      <c r="CF34" s="4" t="s">
        <v>201</v>
      </c>
      <c r="CG34" s="4">
        <v>35</v>
      </c>
      <c r="CH34" s="4">
        <v>1</v>
      </c>
      <c r="CI34" s="4" t="s">
        <v>204</v>
      </c>
      <c r="CJ34" s="5" t="s">
        <v>185</v>
      </c>
      <c r="CK34" s="4">
        <v>0.82</v>
      </c>
      <c r="CL34" s="4">
        <v>0.1</v>
      </c>
      <c r="CM34" s="4">
        <v>0.1</v>
      </c>
      <c r="CN34" s="4" t="s">
        <v>204</v>
      </c>
      <c r="CO34" s="5" t="s">
        <v>186</v>
      </c>
      <c r="CP34" s="4" t="s">
        <v>201</v>
      </c>
      <c r="CQ34" s="4" t="s">
        <v>201</v>
      </c>
      <c r="CR34" s="4">
        <f t="shared" si="0"/>
        <v>26.606155000000001</v>
      </c>
      <c r="CS34" s="4" t="s">
        <v>201</v>
      </c>
      <c r="CT34" s="4" t="s">
        <v>201</v>
      </c>
      <c r="CU34" s="4" t="s">
        <v>201</v>
      </c>
      <c r="CV34" s="4" t="s">
        <v>211</v>
      </c>
      <c r="CW34" s="4">
        <v>0.93758033203909485</v>
      </c>
      <c r="CX34" s="4" t="s">
        <v>201</v>
      </c>
      <c r="CY34" s="4">
        <v>26.677150000000001</v>
      </c>
      <c r="CZ34" s="4" t="s">
        <v>201</v>
      </c>
      <c r="DA34" s="4" t="s">
        <v>201</v>
      </c>
      <c r="DB34" s="4" t="s">
        <v>201</v>
      </c>
      <c r="DC34" s="5" t="s">
        <v>190</v>
      </c>
      <c r="DD34" s="4" t="s">
        <v>205</v>
      </c>
      <c r="DE34" s="4" t="s">
        <v>201</v>
      </c>
      <c r="DF34" s="4" t="s">
        <v>201</v>
      </c>
      <c r="DG34" s="4" t="s">
        <v>201</v>
      </c>
      <c r="DH34" s="4" t="s">
        <v>201</v>
      </c>
      <c r="DI34" s="4">
        <v>26.535160000000001</v>
      </c>
      <c r="DJ34" s="4" t="s">
        <v>201</v>
      </c>
      <c r="DK34" s="4" t="s">
        <v>201</v>
      </c>
      <c r="DL34" s="4" t="s">
        <v>201</v>
      </c>
      <c r="DM34" s="4" t="s">
        <v>206</v>
      </c>
      <c r="DN34" s="4" t="s">
        <v>201</v>
      </c>
      <c r="DO34" s="4" t="s">
        <v>201</v>
      </c>
      <c r="DP34" s="4" t="s">
        <v>201</v>
      </c>
      <c r="DQ34" s="4" t="s">
        <v>201</v>
      </c>
      <c r="DR34" s="4" t="s">
        <v>201</v>
      </c>
      <c r="DS34" s="4" t="s">
        <v>201</v>
      </c>
      <c r="DT34" s="4" t="s">
        <v>201</v>
      </c>
      <c r="DU34" s="4" t="s">
        <v>201</v>
      </c>
      <c r="DV34" s="4" t="s">
        <v>201</v>
      </c>
      <c r="DW34" s="4" t="s">
        <v>201</v>
      </c>
      <c r="DX34" s="4" t="s">
        <v>201</v>
      </c>
      <c r="DY34" s="4" t="s">
        <v>201</v>
      </c>
      <c r="DZ34" s="4" t="s">
        <v>201</v>
      </c>
      <c r="EA34" s="4" t="s">
        <v>201</v>
      </c>
      <c r="EB34" s="4" t="s">
        <v>201</v>
      </c>
      <c r="EC34" s="4" t="s">
        <v>201</v>
      </c>
      <c r="ED34" s="4" t="s">
        <v>201</v>
      </c>
      <c r="EE34" s="4" t="s">
        <v>201</v>
      </c>
      <c r="EF34" s="4" t="s">
        <v>201</v>
      </c>
      <c r="EG34" s="4" t="s">
        <v>201</v>
      </c>
      <c r="EH34" s="4" t="s">
        <v>201</v>
      </c>
      <c r="EI34" s="4" t="s">
        <v>201</v>
      </c>
      <c r="EJ34" s="4" t="s">
        <v>201</v>
      </c>
      <c r="EK34" s="4" t="s">
        <v>201</v>
      </c>
      <c r="EL34" s="4" t="s">
        <v>201</v>
      </c>
      <c r="EM34" s="4" t="s">
        <v>201</v>
      </c>
      <c r="EN34" s="4" t="s">
        <v>201</v>
      </c>
      <c r="EO34" s="4" t="s">
        <v>201</v>
      </c>
      <c r="EP34" s="4" t="s">
        <v>201</v>
      </c>
      <c r="EQ34" s="4" t="s">
        <v>201</v>
      </c>
      <c r="ER34" s="4">
        <v>167.97479999999999</v>
      </c>
      <c r="ES34" s="4" t="s">
        <v>201</v>
      </c>
      <c r="ET34" s="4" t="s">
        <v>201</v>
      </c>
      <c r="EU34" s="4" t="s">
        <v>201</v>
      </c>
      <c r="EV34" s="5" t="s">
        <v>187</v>
      </c>
      <c r="EW34" s="4">
        <v>25</v>
      </c>
      <c r="EX34" s="4">
        <v>12.925970866973557</v>
      </c>
      <c r="EY34" s="4">
        <v>8.8531091115839899E-3</v>
      </c>
      <c r="EZ34" s="4">
        <v>8.8531091115839899E-3</v>
      </c>
      <c r="FA34" s="4" t="s">
        <v>201</v>
      </c>
      <c r="FB34" s="5" t="s">
        <v>250</v>
      </c>
      <c r="FC34" s="4" t="s">
        <v>201</v>
      </c>
      <c r="FD34" s="4" t="s">
        <v>201</v>
      </c>
      <c r="FE34" s="4" t="s">
        <v>201</v>
      </c>
      <c r="FF34" s="4" t="s">
        <v>201</v>
      </c>
      <c r="FG34" s="4" t="s">
        <v>217</v>
      </c>
      <c r="FH34" s="4">
        <v>516.83686841593828</v>
      </c>
      <c r="FI34" s="4">
        <f t="shared" si="8"/>
        <v>38.762765131195373</v>
      </c>
      <c r="FJ34" s="4">
        <f t="shared" si="9"/>
        <v>38.762765131195373</v>
      </c>
      <c r="FK34" s="4" t="s">
        <v>203</v>
      </c>
      <c r="FL34" s="4" t="s">
        <v>216</v>
      </c>
      <c r="FM34" s="4" t="s">
        <v>249</v>
      </c>
      <c r="FN34" s="4" t="s">
        <v>201</v>
      </c>
      <c r="FO34" s="4" t="s">
        <v>201</v>
      </c>
      <c r="FP34" s="4" t="s">
        <v>201</v>
      </c>
      <c r="FQ34" s="4" t="s">
        <v>201</v>
      </c>
      <c r="FR34" s="4" t="s">
        <v>201</v>
      </c>
      <c r="FS34" s="4" t="s">
        <v>201</v>
      </c>
      <c r="FT34" s="4" t="s">
        <v>200</v>
      </c>
      <c r="FU34" s="4" t="s">
        <v>212</v>
      </c>
      <c r="FV34" s="45" t="s">
        <v>304</v>
      </c>
      <c r="FW34" s="4" t="s">
        <v>201</v>
      </c>
      <c r="FX34" s="4" t="s">
        <v>201</v>
      </c>
      <c r="FY34" s="4" t="s">
        <v>247</v>
      </c>
    </row>
    <row r="35" spans="1:181" s="4" customFormat="1" x14ac:dyDescent="0.15">
      <c r="A35" s="3" t="s">
        <v>258</v>
      </c>
      <c r="B35" s="3" t="s">
        <v>193</v>
      </c>
      <c r="C35">
        <v>2017</v>
      </c>
      <c r="D35" s="22" t="str">
        <f t="shared" si="1"/>
        <v>10.1016/j.epsl.2017.03.016</v>
      </c>
      <c r="E35" s="22">
        <f t="shared" si="2"/>
        <v>4709.83</v>
      </c>
      <c r="F35" s="22" t="str">
        <f t="shared" si="3"/>
        <v>NA</v>
      </c>
      <c r="G35" s="22" t="str">
        <f t="shared" si="4"/>
        <v>NA</v>
      </c>
      <c r="H35" s="22">
        <f t="shared" si="5"/>
        <v>497.82551519407247</v>
      </c>
      <c r="I35" s="36">
        <f t="shared" si="6"/>
        <v>37.336913639555434</v>
      </c>
      <c r="J35" s="36">
        <f t="shared" si="7"/>
        <v>37.336913639555434</v>
      </c>
      <c r="K35" s="5" t="s">
        <v>251</v>
      </c>
      <c r="L35" s="5" t="s">
        <v>252</v>
      </c>
      <c r="M35" s="5" t="s">
        <v>194</v>
      </c>
      <c r="N35" s="5" t="s">
        <v>192</v>
      </c>
      <c r="O35" s="4">
        <v>850</v>
      </c>
      <c r="P35" s="5" t="s">
        <v>189</v>
      </c>
      <c r="Q35" s="4" t="s">
        <v>201</v>
      </c>
      <c r="R35" s="4" t="s">
        <v>201</v>
      </c>
      <c r="S35" s="4" t="s">
        <v>201</v>
      </c>
      <c r="T35" s="4" t="s">
        <v>201</v>
      </c>
      <c r="U35" s="4" t="s">
        <v>201</v>
      </c>
      <c r="V35" s="4" t="s">
        <v>201</v>
      </c>
      <c r="W35" s="4" t="s">
        <v>201</v>
      </c>
      <c r="X35" s="4" t="s">
        <v>201</v>
      </c>
      <c r="Y35" s="4" t="s">
        <v>201</v>
      </c>
      <c r="Z35" s="9">
        <v>106.075</v>
      </c>
      <c r="AA35" s="4" t="s">
        <v>207</v>
      </c>
      <c r="AB35" s="4">
        <v>4709.83</v>
      </c>
      <c r="AC35" s="4" t="s">
        <v>201</v>
      </c>
      <c r="AD35" s="4" t="s">
        <v>201</v>
      </c>
      <c r="AE35" s="4" t="s">
        <v>201</v>
      </c>
      <c r="AF35" s="5" t="s">
        <v>176</v>
      </c>
      <c r="AG35" s="5" t="s">
        <v>178</v>
      </c>
      <c r="AH35" s="12">
        <v>1.2971666666666666</v>
      </c>
      <c r="AI35" s="9">
        <v>-110.5215</v>
      </c>
      <c r="AJ35" s="37">
        <v>-4197</v>
      </c>
      <c r="AK35" s="4" t="s">
        <v>201</v>
      </c>
      <c r="AL35" s="4" t="s">
        <v>201</v>
      </c>
      <c r="AM35" s="4" t="s">
        <v>201</v>
      </c>
      <c r="AN35" s="4" t="s">
        <v>201</v>
      </c>
      <c r="AO35" s="5" t="s">
        <v>236</v>
      </c>
      <c r="AP35" s="4" t="s">
        <v>201</v>
      </c>
      <c r="AQ35" s="4" t="s">
        <v>201</v>
      </c>
      <c r="AR35" s="4" t="s">
        <v>201</v>
      </c>
      <c r="AS35" s="4" t="s">
        <v>201</v>
      </c>
      <c r="AT35" s="4" t="s">
        <v>201</v>
      </c>
      <c r="AU35" s="4" t="s">
        <v>201</v>
      </c>
      <c r="AV35" s="4" t="s">
        <v>201</v>
      </c>
      <c r="AW35" s="4" t="s">
        <v>201</v>
      </c>
      <c r="AX35" s="4">
        <v>2.0262313263200036</v>
      </c>
      <c r="AY35" s="4">
        <v>0.13</v>
      </c>
      <c r="AZ35" s="4" t="s">
        <v>203</v>
      </c>
      <c r="BA35" s="4" t="s">
        <v>201</v>
      </c>
      <c r="BB35" s="4">
        <v>0.38045960957579833</v>
      </c>
      <c r="BC35" s="4">
        <v>0.24</v>
      </c>
      <c r="BD35" s="4" t="s">
        <v>203</v>
      </c>
      <c r="BE35" s="4" t="s">
        <v>201</v>
      </c>
      <c r="BF35" s="5" t="s">
        <v>181</v>
      </c>
      <c r="BG35" s="5" t="s">
        <v>182</v>
      </c>
      <c r="BH35" s="4">
        <v>0</v>
      </c>
      <c r="BI35" s="4" t="s">
        <v>201</v>
      </c>
      <c r="BJ35" s="4" t="s">
        <v>201</v>
      </c>
      <c r="BK35" s="4" t="s">
        <v>201</v>
      </c>
      <c r="BL35" s="4" t="s">
        <v>201</v>
      </c>
      <c r="BM35" s="4" t="s">
        <v>201</v>
      </c>
      <c r="BN35" s="4" t="s">
        <v>201</v>
      </c>
      <c r="BO35" s="4" t="s">
        <v>201</v>
      </c>
      <c r="BP35" s="4" t="s">
        <v>201</v>
      </c>
      <c r="BQ35" s="4" t="s">
        <v>201</v>
      </c>
      <c r="BR35" s="4" t="s">
        <v>201</v>
      </c>
      <c r="BS35" s="5" t="s">
        <v>183</v>
      </c>
      <c r="BT35" s="4">
        <v>-24.918405517762658</v>
      </c>
      <c r="BU35" s="5" t="s">
        <v>184</v>
      </c>
      <c r="BV35" s="4">
        <v>0.31</v>
      </c>
      <c r="BW35" s="4" t="s">
        <v>201</v>
      </c>
      <c r="BX35" s="4" t="s">
        <v>202</v>
      </c>
      <c r="BY35" s="4">
        <v>4.2</v>
      </c>
      <c r="BZ35" s="4" t="s">
        <v>201</v>
      </c>
      <c r="CA35" s="4" t="s">
        <v>201</v>
      </c>
      <c r="CB35" s="4">
        <v>-20.823062820937253</v>
      </c>
      <c r="CC35" s="4" t="s">
        <v>201</v>
      </c>
      <c r="CD35" s="4" t="s">
        <v>201</v>
      </c>
      <c r="CE35" s="4" t="s">
        <v>201</v>
      </c>
      <c r="CF35" s="4" t="s">
        <v>201</v>
      </c>
      <c r="CG35" s="4">
        <v>35</v>
      </c>
      <c r="CH35" s="4">
        <v>1</v>
      </c>
      <c r="CI35" s="4" t="s">
        <v>204</v>
      </c>
      <c r="CJ35" s="5" t="s">
        <v>185</v>
      </c>
      <c r="CK35" s="4">
        <v>0.82</v>
      </c>
      <c r="CL35" s="4">
        <v>0.1</v>
      </c>
      <c r="CM35" s="4">
        <v>0.1</v>
      </c>
      <c r="CN35" s="4" t="s">
        <v>204</v>
      </c>
      <c r="CO35" s="5" t="s">
        <v>186</v>
      </c>
      <c r="CP35" s="4" t="s">
        <v>201</v>
      </c>
      <c r="CQ35" s="4" t="s">
        <v>201</v>
      </c>
      <c r="CR35" s="4">
        <f t="shared" si="0"/>
        <v>24.693325000000002</v>
      </c>
      <c r="CS35" s="4" t="s">
        <v>201</v>
      </c>
      <c r="CT35" s="4" t="s">
        <v>201</v>
      </c>
      <c r="CU35" s="4" t="s">
        <v>201</v>
      </c>
      <c r="CV35" s="4" t="s">
        <v>211</v>
      </c>
      <c r="CW35" s="4">
        <v>0.878859285044852</v>
      </c>
      <c r="CX35" s="4" t="s">
        <v>201</v>
      </c>
      <c r="CY35" s="4">
        <v>24.922799999999999</v>
      </c>
      <c r="CZ35" s="4" t="s">
        <v>201</v>
      </c>
      <c r="DA35" s="4" t="s">
        <v>201</v>
      </c>
      <c r="DB35" s="4" t="s">
        <v>201</v>
      </c>
      <c r="DC35" s="5" t="s">
        <v>190</v>
      </c>
      <c r="DD35" s="4" t="s">
        <v>205</v>
      </c>
      <c r="DE35" s="4" t="s">
        <v>201</v>
      </c>
      <c r="DF35" s="4" t="s">
        <v>201</v>
      </c>
      <c r="DG35" s="4" t="s">
        <v>201</v>
      </c>
      <c r="DH35" s="4" t="s">
        <v>201</v>
      </c>
      <c r="DI35" s="4">
        <v>24.463850000000001</v>
      </c>
      <c r="DJ35" s="4" t="s">
        <v>201</v>
      </c>
      <c r="DK35" s="4" t="s">
        <v>201</v>
      </c>
      <c r="DL35" s="4" t="s">
        <v>201</v>
      </c>
      <c r="DM35" s="4" t="s">
        <v>206</v>
      </c>
      <c r="DN35" s="4" t="s">
        <v>201</v>
      </c>
      <c r="DO35" s="4" t="s">
        <v>201</v>
      </c>
      <c r="DP35" s="4" t="s">
        <v>201</v>
      </c>
      <c r="DQ35" s="4" t="s">
        <v>201</v>
      </c>
      <c r="DR35" s="4" t="s">
        <v>201</v>
      </c>
      <c r="DS35" s="4" t="s">
        <v>201</v>
      </c>
      <c r="DT35" s="4" t="s">
        <v>201</v>
      </c>
      <c r="DU35" s="4" t="s">
        <v>201</v>
      </c>
      <c r="DV35" s="4" t="s">
        <v>201</v>
      </c>
      <c r="DW35" s="4" t="s">
        <v>201</v>
      </c>
      <c r="DX35" s="4" t="s">
        <v>201</v>
      </c>
      <c r="DY35" s="4" t="s">
        <v>201</v>
      </c>
      <c r="DZ35" s="4" t="s">
        <v>201</v>
      </c>
      <c r="EA35" s="4" t="s">
        <v>201</v>
      </c>
      <c r="EB35" s="4" t="s">
        <v>201</v>
      </c>
      <c r="EC35" s="4" t="s">
        <v>201</v>
      </c>
      <c r="ED35" s="4" t="s">
        <v>201</v>
      </c>
      <c r="EE35" s="4" t="s">
        <v>201</v>
      </c>
      <c r="EF35" s="4" t="s">
        <v>201</v>
      </c>
      <c r="EG35" s="4" t="s">
        <v>201</v>
      </c>
      <c r="EH35" s="4" t="s">
        <v>201</v>
      </c>
      <c r="EI35" s="4" t="s">
        <v>201</v>
      </c>
      <c r="EJ35" s="4" t="s">
        <v>201</v>
      </c>
      <c r="EK35" s="4" t="s">
        <v>201</v>
      </c>
      <c r="EL35" s="4" t="s">
        <v>201</v>
      </c>
      <c r="EM35" s="4" t="s">
        <v>201</v>
      </c>
      <c r="EN35" s="4" t="s">
        <v>201</v>
      </c>
      <c r="EO35" s="4" t="s">
        <v>201</v>
      </c>
      <c r="EP35" s="4" t="s">
        <v>201</v>
      </c>
      <c r="EQ35" s="4" t="s">
        <v>201</v>
      </c>
      <c r="ER35" s="4">
        <v>167.97479999999999</v>
      </c>
      <c r="ES35" s="4" t="s">
        <v>201</v>
      </c>
      <c r="ET35" s="4" t="s">
        <v>201</v>
      </c>
      <c r="EU35" s="4" t="s">
        <v>201</v>
      </c>
      <c r="EV35" s="5" t="s">
        <v>187</v>
      </c>
      <c r="EW35" s="4">
        <v>25</v>
      </c>
      <c r="EX35" s="4">
        <v>13.068678722403027</v>
      </c>
      <c r="EY35" s="4">
        <v>2.8625262213255454E-2</v>
      </c>
      <c r="EZ35" s="4">
        <v>2.8625262213255454E-2</v>
      </c>
      <c r="FA35" s="4" t="s">
        <v>201</v>
      </c>
      <c r="FB35" s="5" t="s">
        <v>250</v>
      </c>
      <c r="FC35" s="4" t="s">
        <v>201</v>
      </c>
      <c r="FD35" s="4" t="s">
        <v>201</v>
      </c>
      <c r="FE35" s="4" t="s">
        <v>201</v>
      </c>
      <c r="FF35" s="4" t="s">
        <v>201</v>
      </c>
      <c r="FG35" s="4" t="s">
        <v>217</v>
      </c>
      <c r="FH35" s="4">
        <v>497.82551519407247</v>
      </c>
      <c r="FI35" s="4">
        <f t="shared" si="8"/>
        <v>37.336913639555434</v>
      </c>
      <c r="FJ35" s="4">
        <f t="shared" si="9"/>
        <v>37.336913639555434</v>
      </c>
      <c r="FK35" s="4" t="s">
        <v>203</v>
      </c>
      <c r="FL35" s="4" t="s">
        <v>216</v>
      </c>
      <c r="FM35" s="4" t="s">
        <v>249</v>
      </c>
      <c r="FN35" s="4" t="s">
        <v>201</v>
      </c>
      <c r="FO35" s="4" t="s">
        <v>201</v>
      </c>
      <c r="FP35" s="4" t="s">
        <v>201</v>
      </c>
      <c r="FQ35" s="4" t="s">
        <v>201</v>
      </c>
      <c r="FR35" s="4" t="s">
        <v>201</v>
      </c>
      <c r="FS35" s="4" t="s">
        <v>201</v>
      </c>
      <c r="FT35" s="4" t="s">
        <v>200</v>
      </c>
      <c r="FU35" s="4" t="s">
        <v>212</v>
      </c>
      <c r="FV35" s="45" t="s">
        <v>305</v>
      </c>
      <c r="FW35" s="4" t="s">
        <v>201</v>
      </c>
      <c r="FX35" s="4" t="s">
        <v>201</v>
      </c>
      <c r="FY35" s="4" t="s">
        <v>247</v>
      </c>
    </row>
    <row r="36" spans="1:181" s="4" customFormat="1" x14ac:dyDescent="0.15">
      <c r="A36" s="3" t="s">
        <v>258</v>
      </c>
      <c r="B36" s="3" t="s">
        <v>193</v>
      </c>
      <c r="C36">
        <v>2017</v>
      </c>
      <c r="D36" s="22" t="str">
        <f t="shared" si="1"/>
        <v>10.1016/j.epsl.2017.03.016</v>
      </c>
      <c r="E36" s="22">
        <f t="shared" si="2"/>
        <v>4779.62</v>
      </c>
      <c r="F36" s="22" t="str">
        <f t="shared" si="3"/>
        <v>NA</v>
      </c>
      <c r="G36" s="22" t="str">
        <f t="shared" si="4"/>
        <v>NA</v>
      </c>
      <c r="H36" s="22">
        <f t="shared" si="5"/>
        <v>481.79864975857157</v>
      </c>
      <c r="I36" s="36">
        <f t="shared" si="6"/>
        <v>36.134898731892868</v>
      </c>
      <c r="J36" s="36">
        <f t="shared" si="7"/>
        <v>36.134898731892868</v>
      </c>
      <c r="K36" s="5" t="s">
        <v>251</v>
      </c>
      <c r="L36" s="5" t="s">
        <v>252</v>
      </c>
      <c r="M36" s="5" t="s">
        <v>194</v>
      </c>
      <c r="N36" s="5" t="s">
        <v>192</v>
      </c>
      <c r="O36" s="4">
        <v>850</v>
      </c>
      <c r="P36" s="5" t="s">
        <v>189</v>
      </c>
      <c r="Q36" s="4" t="s">
        <v>201</v>
      </c>
      <c r="R36" s="4" t="s">
        <v>201</v>
      </c>
      <c r="S36" s="4" t="s">
        <v>201</v>
      </c>
      <c r="T36" s="4" t="s">
        <v>201</v>
      </c>
      <c r="U36" s="4" t="s">
        <v>201</v>
      </c>
      <c r="V36" s="4" t="s">
        <v>201</v>
      </c>
      <c r="W36" s="4" t="s">
        <v>201</v>
      </c>
      <c r="X36" s="4" t="s">
        <v>201</v>
      </c>
      <c r="Y36" s="4" t="s">
        <v>201</v>
      </c>
      <c r="Z36" s="9">
        <v>108.02500000000001</v>
      </c>
      <c r="AA36" s="4" t="s">
        <v>207</v>
      </c>
      <c r="AB36" s="4">
        <v>4779.62</v>
      </c>
      <c r="AC36" s="4" t="s">
        <v>201</v>
      </c>
      <c r="AD36" s="4" t="s">
        <v>201</v>
      </c>
      <c r="AE36" s="4" t="s">
        <v>201</v>
      </c>
      <c r="AF36" s="5" t="s">
        <v>176</v>
      </c>
      <c r="AG36" s="5" t="s">
        <v>178</v>
      </c>
      <c r="AH36" s="12">
        <v>1.2971666666666666</v>
      </c>
      <c r="AI36" s="9">
        <v>-110.5215</v>
      </c>
      <c r="AJ36" s="37">
        <v>-4197</v>
      </c>
      <c r="AK36" s="4" t="s">
        <v>201</v>
      </c>
      <c r="AL36" s="4" t="s">
        <v>201</v>
      </c>
      <c r="AM36" s="4" t="s">
        <v>201</v>
      </c>
      <c r="AN36" s="4" t="s">
        <v>201</v>
      </c>
      <c r="AO36" s="5" t="s">
        <v>236</v>
      </c>
      <c r="AP36" s="4" t="s">
        <v>201</v>
      </c>
      <c r="AQ36" s="4" t="s">
        <v>201</v>
      </c>
      <c r="AR36" s="4" t="s">
        <v>201</v>
      </c>
      <c r="AS36" s="4" t="s">
        <v>201</v>
      </c>
      <c r="AT36" s="4" t="s">
        <v>201</v>
      </c>
      <c r="AU36" s="4" t="s">
        <v>201</v>
      </c>
      <c r="AV36" s="4" t="s">
        <v>201</v>
      </c>
      <c r="AW36" s="4" t="s">
        <v>201</v>
      </c>
      <c r="AX36" s="4">
        <v>1.7927597726455287</v>
      </c>
      <c r="AY36" s="4">
        <v>0.13</v>
      </c>
      <c r="AZ36" s="4" t="s">
        <v>203</v>
      </c>
      <c r="BA36" s="4" t="s">
        <v>201</v>
      </c>
      <c r="BB36" s="4">
        <v>-0.93696594714728632</v>
      </c>
      <c r="BC36" s="4">
        <v>0.24</v>
      </c>
      <c r="BD36" s="4" t="s">
        <v>203</v>
      </c>
      <c r="BE36" s="4" t="s">
        <v>201</v>
      </c>
      <c r="BF36" s="5" t="s">
        <v>181</v>
      </c>
      <c r="BG36" s="5" t="s">
        <v>182</v>
      </c>
      <c r="BH36" s="4">
        <v>0</v>
      </c>
      <c r="BI36" s="4" t="s">
        <v>201</v>
      </c>
      <c r="BJ36" s="4" t="s">
        <v>201</v>
      </c>
      <c r="BK36" s="4" t="s">
        <v>201</v>
      </c>
      <c r="BL36" s="4" t="s">
        <v>201</v>
      </c>
      <c r="BM36" s="4" t="s">
        <v>201</v>
      </c>
      <c r="BN36" s="4" t="s">
        <v>201</v>
      </c>
      <c r="BO36" s="4" t="s">
        <v>201</v>
      </c>
      <c r="BP36" s="4" t="s">
        <v>201</v>
      </c>
      <c r="BQ36" s="4" t="s">
        <v>201</v>
      </c>
      <c r="BR36" s="4" t="s">
        <v>201</v>
      </c>
      <c r="BS36" s="5" t="s">
        <v>183</v>
      </c>
      <c r="BT36" s="4">
        <v>-24.773564173635506</v>
      </c>
      <c r="BU36" s="5" t="s">
        <v>184</v>
      </c>
      <c r="BV36" s="4">
        <v>0.31</v>
      </c>
      <c r="BW36" s="4" t="s">
        <v>201</v>
      </c>
      <c r="BX36" s="4" t="s">
        <v>202</v>
      </c>
      <c r="BY36" s="4">
        <v>4.2</v>
      </c>
      <c r="BZ36" s="4" t="s">
        <v>201</v>
      </c>
      <c r="CA36" s="4" t="s">
        <v>201</v>
      </c>
      <c r="CB36" s="4">
        <v>-20.677613143164763</v>
      </c>
      <c r="CC36" s="4" t="s">
        <v>201</v>
      </c>
      <c r="CD36" s="4" t="s">
        <v>201</v>
      </c>
      <c r="CE36" s="4" t="s">
        <v>201</v>
      </c>
      <c r="CF36" s="4" t="s">
        <v>201</v>
      </c>
      <c r="CG36" s="4">
        <v>35</v>
      </c>
      <c r="CH36" s="4">
        <v>1</v>
      </c>
      <c r="CI36" s="4" t="s">
        <v>204</v>
      </c>
      <c r="CJ36" s="5" t="s">
        <v>185</v>
      </c>
      <c r="CK36" s="4">
        <v>0.82</v>
      </c>
      <c r="CL36" s="4">
        <v>0.1</v>
      </c>
      <c r="CM36" s="4">
        <v>0.1</v>
      </c>
      <c r="CN36" s="4" t="s">
        <v>204</v>
      </c>
      <c r="CO36" s="5" t="s">
        <v>186</v>
      </c>
      <c r="CP36" s="4" t="s">
        <v>201</v>
      </c>
      <c r="CQ36" s="4" t="s">
        <v>201</v>
      </c>
      <c r="CR36" s="4">
        <f t="shared" ref="CR36:CR67" si="10">AVERAGE(CY36,DI36)</f>
        <v>24.723057660376668</v>
      </c>
      <c r="CS36" s="4" t="s">
        <v>201</v>
      </c>
      <c r="CT36" s="4" t="s">
        <v>201</v>
      </c>
      <c r="CU36" s="4" t="s">
        <v>201</v>
      </c>
      <c r="CV36" s="4" t="s">
        <v>211</v>
      </c>
      <c r="CW36" s="4">
        <v>0.92172075459225822</v>
      </c>
      <c r="CX36" s="4" t="s">
        <v>201</v>
      </c>
      <c r="CY36" s="4">
        <v>26.20332926419831</v>
      </c>
      <c r="CZ36" s="4" t="s">
        <v>201</v>
      </c>
      <c r="DA36" s="4" t="s">
        <v>201</v>
      </c>
      <c r="DB36" s="4" t="s">
        <v>201</v>
      </c>
      <c r="DC36" s="5" t="s">
        <v>190</v>
      </c>
      <c r="DD36" s="4" t="s">
        <v>205</v>
      </c>
      <c r="DE36" s="4" t="s">
        <v>201</v>
      </c>
      <c r="DF36" s="4" t="s">
        <v>201</v>
      </c>
      <c r="DG36" s="4" t="s">
        <v>201</v>
      </c>
      <c r="DH36" s="4" t="s">
        <v>201</v>
      </c>
      <c r="DI36" s="4">
        <v>23.242786056555026</v>
      </c>
      <c r="DJ36" s="4" t="s">
        <v>201</v>
      </c>
      <c r="DK36" s="4" t="s">
        <v>201</v>
      </c>
      <c r="DL36" s="4" t="s">
        <v>201</v>
      </c>
      <c r="DM36" s="4" t="s">
        <v>206</v>
      </c>
      <c r="DN36" s="4" t="s">
        <v>201</v>
      </c>
      <c r="DO36" s="4" t="s">
        <v>201</v>
      </c>
      <c r="DP36" s="4" t="s">
        <v>201</v>
      </c>
      <c r="DQ36" s="4" t="s">
        <v>201</v>
      </c>
      <c r="DR36" s="4" t="s">
        <v>201</v>
      </c>
      <c r="DS36" s="4" t="s">
        <v>201</v>
      </c>
      <c r="DT36" s="4" t="s">
        <v>201</v>
      </c>
      <c r="DU36" s="4" t="s">
        <v>201</v>
      </c>
      <c r="DV36" s="4" t="s">
        <v>201</v>
      </c>
      <c r="DW36" s="4" t="s">
        <v>201</v>
      </c>
      <c r="DX36" s="4" t="s">
        <v>201</v>
      </c>
      <c r="DY36" s="4" t="s">
        <v>201</v>
      </c>
      <c r="DZ36" s="4" t="s">
        <v>201</v>
      </c>
      <c r="EA36" s="4" t="s">
        <v>201</v>
      </c>
      <c r="EB36" s="4" t="s">
        <v>201</v>
      </c>
      <c r="EC36" s="4" t="s">
        <v>201</v>
      </c>
      <c r="ED36" s="4" t="s">
        <v>201</v>
      </c>
      <c r="EE36" s="4" t="s">
        <v>201</v>
      </c>
      <c r="EF36" s="4" t="s">
        <v>201</v>
      </c>
      <c r="EG36" s="4" t="s">
        <v>201</v>
      </c>
      <c r="EH36" s="4" t="s">
        <v>201</v>
      </c>
      <c r="EI36" s="4" t="s">
        <v>201</v>
      </c>
      <c r="EJ36" s="4" t="s">
        <v>201</v>
      </c>
      <c r="EK36" s="4" t="s">
        <v>201</v>
      </c>
      <c r="EL36" s="4" t="s">
        <v>201</v>
      </c>
      <c r="EM36" s="4" t="s">
        <v>201</v>
      </c>
      <c r="EN36" s="4" t="s">
        <v>201</v>
      </c>
      <c r="EO36" s="4" t="s">
        <v>201</v>
      </c>
      <c r="EP36" s="4" t="s">
        <v>201</v>
      </c>
      <c r="EQ36" s="4" t="s">
        <v>201</v>
      </c>
      <c r="ER36" s="4">
        <v>167.97479999999999</v>
      </c>
      <c r="ES36" s="4" t="s">
        <v>201</v>
      </c>
      <c r="ET36" s="4" t="s">
        <v>201</v>
      </c>
      <c r="EU36" s="4" t="s">
        <v>201</v>
      </c>
      <c r="EV36" s="5" t="s">
        <v>187</v>
      </c>
      <c r="EW36" s="4">
        <v>25</v>
      </c>
      <c r="EX36" s="4">
        <v>12.817458483104005</v>
      </c>
      <c r="EY36" s="4">
        <v>0.18457696757012698</v>
      </c>
      <c r="EZ36" s="4">
        <v>0.18457696757012698</v>
      </c>
      <c r="FA36" s="4" t="s">
        <v>201</v>
      </c>
      <c r="FB36" s="5" t="s">
        <v>250</v>
      </c>
      <c r="FC36" s="4" t="s">
        <v>201</v>
      </c>
      <c r="FD36" s="4" t="s">
        <v>201</v>
      </c>
      <c r="FE36" s="4" t="s">
        <v>201</v>
      </c>
      <c r="FF36" s="4" t="s">
        <v>201</v>
      </c>
      <c r="FG36" s="4" t="s">
        <v>217</v>
      </c>
      <c r="FH36" s="4">
        <v>481.79864975857157</v>
      </c>
      <c r="FI36" s="4">
        <f t="shared" si="8"/>
        <v>36.134898731892868</v>
      </c>
      <c r="FJ36" s="4">
        <f t="shared" si="9"/>
        <v>36.134898731892868</v>
      </c>
      <c r="FK36" s="4" t="s">
        <v>203</v>
      </c>
      <c r="FL36" s="4" t="s">
        <v>216</v>
      </c>
      <c r="FM36" s="4" t="s">
        <v>249</v>
      </c>
      <c r="FN36" s="4" t="s">
        <v>201</v>
      </c>
      <c r="FO36" s="4" t="s">
        <v>201</v>
      </c>
      <c r="FP36" s="4" t="s">
        <v>201</v>
      </c>
      <c r="FQ36" s="4" t="s">
        <v>201</v>
      </c>
      <c r="FR36" s="4" t="s">
        <v>201</v>
      </c>
      <c r="FS36" s="4" t="s">
        <v>201</v>
      </c>
      <c r="FT36" s="4" t="s">
        <v>200</v>
      </c>
      <c r="FU36" s="4" t="s">
        <v>212</v>
      </c>
      <c r="FV36" s="45" t="s">
        <v>306</v>
      </c>
      <c r="FW36" s="4" t="s">
        <v>201</v>
      </c>
      <c r="FX36" s="4" t="s">
        <v>201</v>
      </c>
      <c r="FY36" s="4" t="s">
        <v>247</v>
      </c>
    </row>
    <row r="37" spans="1:181" s="6" customFormat="1" x14ac:dyDescent="0.15">
      <c r="A37" s="3" t="s">
        <v>258</v>
      </c>
      <c r="B37" s="3" t="s">
        <v>193</v>
      </c>
      <c r="C37">
        <v>2017</v>
      </c>
      <c r="D37" s="22" t="str">
        <f t="shared" si="1"/>
        <v>10.1016/j.epsl.2017.03.016</v>
      </c>
      <c r="E37" s="22">
        <f t="shared" si="2"/>
        <v>4990.79</v>
      </c>
      <c r="F37" s="22" t="str">
        <f t="shared" si="3"/>
        <v>NA</v>
      </c>
      <c r="G37" s="22" t="str">
        <f t="shared" si="4"/>
        <v>NA</v>
      </c>
      <c r="H37" s="22">
        <f t="shared" si="5"/>
        <v>498.264835197004</v>
      </c>
      <c r="I37" s="36">
        <f t="shared" si="6"/>
        <v>37.369862639775299</v>
      </c>
      <c r="J37" s="36">
        <f t="shared" si="7"/>
        <v>37.369862639775299</v>
      </c>
      <c r="K37" s="7" t="s">
        <v>251</v>
      </c>
      <c r="L37" s="7" t="s">
        <v>252</v>
      </c>
      <c r="M37" s="7" t="s">
        <v>194</v>
      </c>
      <c r="N37" s="7" t="s">
        <v>192</v>
      </c>
      <c r="O37" s="6">
        <v>850</v>
      </c>
      <c r="P37" s="7" t="s">
        <v>189</v>
      </c>
      <c r="Q37" s="6">
        <v>11</v>
      </c>
      <c r="R37" s="6" t="s">
        <v>210</v>
      </c>
      <c r="S37" s="6" t="s">
        <v>209</v>
      </c>
      <c r="T37" s="6">
        <v>6</v>
      </c>
      <c r="U37" s="6" t="s">
        <v>201</v>
      </c>
      <c r="V37" s="6" t="s">
        <v>201</v>
      </c>
      <c r="W37" s="6" t="s">
        <v>201</v>
      </c>
      <c r="X37" s="6" t="s">
        <v>201</v>
      </c>
      <c r="Y37" s="6" t="s">
        <v>201</v>
      </c>
      <c r="Z37" s="8">
        <v>113.925</v>
      </c>
      <c r="AA37" s="6" t="s">
        <v>207</v>
      </c>
      <c r="AB37" s="6">
        <v>4990.79</v>
      </c>
      <c r="AC37" s="6" t="s">
        <v>201</v>
      </c>
      <c r="AD37" s="6" t="s">
        <v>201</v>
      </c>
      <c r="AE37" s="6" t="s">
        <v>201</v>
      </c>
      <c r="AF37" s="7" t="s">
        <v>176</v>
      </c>
      <c r="AG37" s="7" t="s">
        <v>178</v>
      </c>
      <c r="AH37" s="11">
        <v>1.2971666666666666</v>
      </c>
      <c r="AI37" s="8">
        <v>-110.5215</v>
      </c>
      <c r="AJ37" s="6">
        <v>-4197</v>
      </c>
      <c r="AK37" s="6" t="s">
        <v>201</v>
      </c>
      <c r="AL37" s="6" t="s">
        <v>201</v>
      </c>
      <c r="AM37" s="6" t="s">
        <v>201</v>
      </c>
      <c r="AN37" s="6" t="s">
        <v>201</v>
      </c>
      <c r="AO37" s="7" t="s">
        <v>236</v>
      </c>
      <c r="AP37" s="6" t="s">
        <v>201</v>
      </c>
      <c r="AQ37" s="6" t="s">
        <v>201</v>
      </c>
      <c r="AR37" s="6" t="s">
        <v>201</v>
      </c>
      <c r="AS37" s="6" t="s">
        <v>201</v>
      </c>
      <c r="AT37" s="6" t="s">
        <v>201</v>
      </c>
      <c r="AU37" s="6" t="s">
        <v>201</v>
      </c>
      <c r="AV37" s="6" t="s">
        <v>201</v>
      </c>
      <c r="AW37" s="6" t="s">
        <v>201</v>
      </c>
      <c r="AX37" s="6">
        <v>2.0662959113597639</v>
      </c>
      <c r="AY37" s="6">
        <v>0.13</v>
      </c>
      <c r="AZ37" s="6" t="s">
        <v>203</v>
      </c>
      <c r="BA37" s="6" t="s">
        <v>201</v>
      </c>
      <c r="BB37" s="6">
        <v>-0.7862562621915069</v>
      </c>
      <c r="BC37" s="6">
        <v>0.24</v>
      </c>
      <c r="BD37" s="6" t="s">
        <v>203</v>
      </c>
      <c r="BE37" s="6" t="s">
        <v>201</v>
      </c>
      <c r="BF37" s="7" t="s">
        <v>181</v>
      </c>
      <c r="BG37" s="7" t="s">
        <v>182</v>
      </c>
      <c r="BH37" s="6">
        <v>0</v>
      </c>
      <c r="BI37" s="6" t="s">
        <v>201</v>
      </c>
      <c r="BJ37" s="6" t="s">
        <v>201</v>
      </c>
      <c r="BK37" s="6" t="s">
        <v>201</v>
      </c>
      <c r="BL37" s="6" t="s">
        <v>201</v>
      </c>
      <c r="BM37" s="6" t="s">
        <v>201</v>
      </c>
      <c r="BN37" s="6" t="s">
        <v>201</v>
      </c>
      <c r="BO37" s="6" t="s">
        <v>201</v>
      </c>
      <c r="BP37" s="6" t="s">
        <v>201</v>
      </c>
      <c r="BQ37" s="6" t="s">
        <v>201</v>
      </c>
      <c r="BR37" s="6" t="s">
        <v>201</v>
      </c>
      <c r="BS37" s="7" t="s">
        <v>183</v>
      </c>
      <c r="BT37" s="6">
        <v>-24.688086610682049</v>
      </c>
      <c r="BU37" s="7" t="s">
        <v>184</v>
      </c>
      <c r="BV37" s="6">
        <v>0.31</v>
      </c>
      <c r="BW37" s="6" t="s">
        <v>201</v>
      </c>
      <c r="BX37" s="6" t="s">
        <v>202</v>
      </c>
      <c r="BY37" s="6">
        <v>4.2</v>
      </c>
      <c r="BZ37" s="6" t="s">
        <v>201</v>
      </c>
      <c r="CA37" s="6" t="s">
        <v>201</v>
      </c>
      <c r="CB37" s="6">
        <v>-20.591776574446953</v>
      </c>
      <c r="CC37" s="6" t="s">
        <v>201</v>
      </c>
      <c r="CD37" s="6" t="s">
        <v>201</v>
      </c>
      <c r="CE37" s="6" t="s">
        <v>201</v>
      </c>
      <c r="CF37" s="6" t="s">
        <v>201</v>
      </c>
      <c r="CG37" s="6">
        <v>35</v>
      </c>
      <c r="CH37" s="6">
        <v>1</v>
      </c>
      <c r="CI37" s="6" t="s">
        <v>204</v>
      </c>
      <c r="CJ37" s="7" t="s">
        <v>185</v>
      </c>
      <c r="CK37" s="6">
        <v>0.82</v>
      </c>
      <c r="CL37" s="6">
        <v>0.1</v>
      </c>
      <c r="CM37" s="6">
        <v>0.1</v>
      </c>
      <c r="CN37" s="6" t="s">
        <v>204</v>
      </c>
      <c r="CO37" s="7" t="s">
        <v>186</v>
      </c>
      <c r="CP37" s="6" t="s">
        <v>201</v>
      </c>
      <c r="CQ37" s="6" t="s">
        <v>201</v>
      </c>
      <c r="CR37" s="6">
        <f t="shared" si="10"/>
        <v>25.171818782279757</v>
      </c>
      <c r="CS37" s="6" t="s">
        <v>201</v>
      </c>
      <c r="CT37" s="6" t="s">
        <v>201</v>
      </c>
      <c r="CU37" s="6" t="s">
        <v>201</v>
      </c>
      <c r="CV37" s="6" t="s">
        <v>211</v>
      </c>
      <c r="CW37" s="6">
        <v>0.92023580862897225</v>
      </c>
      <c r="CX37" s="6" t="s">
        <v>201</v>
      </c>
      <c r="CY37" s="6">
        <v>26.158965018599176</v>
      </c>
      <c r="CZ37" s="6" t="s">
        <v>201</v>
      </c>
      <c r="DA37" s="6" t="s">
        <v>201</v>
      </c>
      <c r="DB37" s="6" t="s">
        <v>201</v>
      </c>
      <c r="DC37" s="7" t="s">
        <v>190</v>
      </c>
      <c r="DD37" s="6" t="s">
        <v>205</v>
      </c>
      <c r="DE37" s="6" t="s">
        <v>201</v>
      </c>
      <c r="DF37" s="6" t="s">
        <v>201</v>
      </c>
      <c r="DG37" s="6" t="s">
        <v>201</v>
      </c>
      <c r="DH37" s="6" t="s">
        <v>201</v>
      </c>
      <c r="DI37" s="6">
        <v>24.184672545960336</v>
      </c>
      <c r="DJ37" s="6" t="s">
        <v>201</v>
      </c>
      <c r="DK37" s="6" t="s">
        <v>201</v>
      </c>
      <c r="DL37" s="6" t="s">
        <v>201</v>
      </c>
      <c r="DM37" s="6" t="s">
        <v>206</v>
      </c>
      <c r="DN37" s="6" t="s">
        <v>201</v>
      </c>
      <c r="DO37" s="6" t="s">
        <v>201</v>
      </c>
      <c r="DP37" s="6" t="s">
        <v>201</v>
      </c>
      <c r="DQ37" s="6" t="s">
        <v>201</v>
      </c>
      <c r="DR37" s="6" t="s">
        <v>201</v>
      </c>
      <c r="DS37" s="6" t="s">
        <v>201</v>
      </c>
      <c r="DT37" s="6" t="s">
        <v>201</v>
      </c>
      <c r="DU37" s="6" t="s">
        <v>201</v>
      </c>
      <c r="DV37" s="6" t="s">
        <v>201</v>
      </c>
      <c r="DW37" s="6" t="s">
        <v>201</v>
      </c>
      <c r="DX37" s="6">
        <v>2.8613569321533925</v>
      </c>
      <c r="DY37" s="6" t="s">
        <v>201</v>
      </c>
      <c r="DZ37" s="6" t="s">
        <v>201</v>
      </c>
      <c r="EA37" s="6" t="s">
        <v>201</v>
      </c>
      <c r="EB37" s="6" t="s">
        <v>201</v>
      </c>
      <c r="EC37" s="6" t="s">
        <v>201</v>
      </c>
      <c r="ED37" s="6" t="s">
        <v>201</v>
      </c>
      <c r="EE37" s="6" t="s">
        <v>201</v>
      </c>
      <c r="EF37" s="6" t="s">
        <v>201</v>
      </c>
      <c r="EG37" s="6" t="s">
        <v>201</v>
      </c>
      <c r="EH37" s="6" t="s">
        <v>201</v>
      </c>
      <c r="EI37" s="6" t="s">
        <v>201</v>
      </c>
      <c r="EJ37" s="6" t="s">
        <v>201</v>
      </c>
      <c r="EK37" s="6" t="s">
        <v>201</v>
      </c>
      <c r="EL37" s="6" t="s">
        <v>201</v>
      </c>
      <c r="EM37" s="6" t="s">
        <v>201</v>
      </c>
      <c r="EN37" s="6" t="s">
        <v>201</v>
      </c>
      <c r="EO37" s="6" t="s">
        <v>201</v>
      </c>
      <c r="EP37" s="6" t="s">
        <v>201</v>
      </c>
      <c r="EQ37" s="6" t="s">
        <v>201</v>
      </c>
      <c r="ER37" s="6">
        <v>167.97479999999999</v>
      </c>
      <c r="ES37" s="6" t="s">
        <v>201</v>
      </c>
      <c r="ET37" s="6" t="s">
        <v>201</v>
      </c>
      <c r="EU37" s="6" t="s">
        <v>201</v>
      </c>
      <c r="EV37" s="7" t="s">
        <v>187</v>
      </c>
      <c r="EW37" s="6">
        <v>25</v>
      </c>
      <c r="EX37" s="6">
        <v>13.028304650934075</v>
      </c>
      <c r="EY37" s="6">
        <v>0.12311545433552062</v>
      </c>
      <c r="EZ37" s="6">
        <v>0.12311545433552062</v>
      </c>
      <c r="FA37" s="6" t="s">
        <v>201</v>
      </c>
      <c r="FB37" s="7" t="s">
        <v>250</v>
      </c>
      <c r="FC37" s="6" t="s">
        <v>201</v>
      </c>
      <c r="FD37" s="6" t="s">
        <v>201</v>
      </c>
      <c r="FE37" s="6" t="s">
        <v>201</v>
      </c>
      <c r="FF37" s="6" t="s">
        <v>201</v>
      </c>
      <c r="FG37" s="6" t="s">
        <v>217</v>
      </c>
      <c r="FH37" s="6">
        <v>498.264835197004</v>
      </c>
      <c r="FI37" s="6">
        <f t="shared" si="8"/>
        <v>37.369862639775299</v>
      </c>
      <c r="FJ37" s="6">
        <f t="shared" si="9"/>
        <v>37.369862639775299</v>
      </c>
      <c r="FK37" s="6" t="s">
        <v>203</v>
      </c>
      <c r="FL37" s="6" t="s">
        <v>216</v>
      </c>
      <c r="FM37" s="6" t="s">
        <v>249</v>
      </c>
      <c r="FN37" s="6" t="s">
        <v>201</v>
      </c>
      <c r="FO37" s="6" t="s">
        <v>201</v>
      </c>
      <c r="FP37" s="6" t="s">
        <v>201</v>
      </c>
      <c r="FQ37" s="6" t="s">
        <v>201</v>
      </c>
      <c r="FR37" s="6" t="s">
        <v>201</v>
      </c>
      <c r="FS37" s="6" t="s">
        <v>201</v>
      </c>
      <c r="FT37" s="6" t="s">
        <v>200</v>
      </c>
      <c r="FU37" s="6" t="s">
        <v>212</v>
      </c>
      <c r="FV37" s="44" t="s">
        <v>307</v>
      </c>
      <c r="FW37" s="6" t="s">
        <v>201</v>
      </c>
      <c r="FX37" s="6" t="s">
        <v>201</v>
      </c>
      <c r="FY37" s="6" t="s">
        <v>247</v>
      </c>
    </row>
    <row r="38" spans="1:181" s="4" customFormat="1" x14ac:dyDescent="0.15">
      <c r="A38" s="3" t="s">
        <v>258</v>
      </c>
      <c r="B38" s="3" t="s">
        <v>193</v>
      </c>
      <c r="C38">
        <v>2017</v>
      </c>
      <c r="D38" s="22" t="str">
        <f t="shared" si="1"/>
        <v>10.1016/j.epsl.2017.03.016</v>
      </c>
      <c r="E38" s="22">
        <f t="shared" si="2"/>
        <v>4994.37</v>
      </c>
      <c r="F38" s="22" t="str">
        <f t="shared" si="3"/>
        <v>NA</v>
      </c>
      <c r="G38" s="22" t="str">
        <f t="shared" si="4"/>
        <v>NA</v>
      </c>
      <c r="H38" s="22">
        <f t="shared" si="5"/>
        <v>500.0478816000786</v>
      </c>
      <c r="I38" s="36">
        <f t="shared" si="6"/>
        <v>37.503591120005893</v>
      </c>
      <c r="J38" s="36">
        <f t="shared" si="7"/>
        <v>37.503591120005893</v>
      </c>
      <c r="K38" s="5" t="s">
        <v>251</v>
      </c>
      <c r="L38" s="5" t="s">
        <v>252</v>
      </c>
      <c r="M38" s="5" t="s">
        <v>194</v>
      </c>
      <c r="N38" s="5" t="s">
        <v>192</v>
      </c>
      <c r="O38" s="4">
        <v>850</v>
      </c>
      <c r="P38" s="5" t="s">
        <v>189</v>
      </c>
      <c r="Q38" s="4" t="s">
        <v>201</v>
      </c>
      <c r="R38" s="4" t="s">
        <v>201</v>
      </c>
      <c r="S38" s="4" t="s">
        <v>201</v>
      </c>
      <c r="T38" s="4" t="s">
        <v>201</v>
      </c>
      <c r="U38" s="4" t="s">
        <v>201</v>
      </c>
      <c r="V38" s="4" t="s">
        <v>201</v>
      </c>
      <c r="W38" s="4" t="s">
        <v>201</v>
      </c>
      <c r="X38" s="4" t="s">
        <v>201</v>
      </c>
      <c r="Y38" s="4" t="s">
        <v>201</v>
      </c>
      <c r="Z38" s="9">
        <v>114.02500000000001</v>
      </c>
      <c r="AA38" s="4" t="s">
        <v>207</v>
      </c>
      <c r="AB38" s="4">
        <v>4994.37</v>
      </c>
      <c r="AC38" s="4" t="s">
        <v>201</v>
      </c>
      <c r="AD38" s="4" t="s">
        <v>201</v>
      </c>
      <c r="AE38" s="4" t="s">
        <v>201</v>
      </c>
      <c r="AF38" s="5" t="s">
        <v>176</v>
      </c>
      <c r="AG38" s="5" t="s">
        <v>178</v>
      </c>
      <c r="AH38" s="12">
        <v>1.2971666666666666</v>
      </c>
      <c r="AI38" s="9">
        <v>-110.5215</v>
      </c>
      <c r="AJ38" s="37">
        <v>-4197</v>
      </c>
      <c r="AK38" s="4" t="s">
        <v>201</v>
      </c>
      <c r="AL38" s="4" t="s">
        <v>201</v>
      </c>
      <c r="AM38" s="4" t="s">
        <v>201</v>
      </c>
      <c r="AN38" s="4" t="s">
        <v>201</v>
      </c>
      <c r="AO38" s="5" t="s">
        <v>236</v>
      </c>
      <c r="AP38" s="4" t="s">
        <v>201</v>
      </c>
      <c r="AQ38" s="4" t="s">
        <v>201</v>
      </c>
      <c r="AR38" s="4" t="s">
        <v>201</v>
      </c>
      <c r="AS38" s="4" t="s">
        <v>201</v>
      </c>
      <c r="AT38" s="4" t="s">
        <v>201</v>
      </c>
      <c r="AU38" s="4" t="s">
        <v>201</v>
      </c>
      <c r="AV38" s="4" t="s">
        <v>201</v>
      </c>
      <c r="AW38" s="4" t="s">
        <v>201</v>
      </c>
      <c r="AX38" s="4">
        <v>2.0580069374593317</v>
      </c>
      <c r="AY38" s="4">
        <v>0.13</v>
      </c>
      <c r="AZ38" s="4" t="s">
        <v>203</v>
      </c>
      <c r="BA38" s="4" t="s">
        <v>201</v>
      </c>
      <c r="BB38" s="4">
        <v>-0.87688093608574547</v>
      </c>
      <c r="BC38" s="4">
        <v>0.24</v>
      </c>
      <c r="BD38" s="4" t="s">
        <v>203</v>
      </c>
      <c r="BE38" s="4" t="s">
        <v>201</v>
      </c>
      <c r="BF38" s="5" t="s">
        <v>181</v>
      </c>
      <c r="BG38" s="5" t="s">
        <v>182</v>
      </c>
      <c r="BH38" s="4">
        <v>0</v>
      </c>
      <c r="BI38" s="4" t="s">
        <v>201</v>
      </c>
      <c r="BJ38" s="4" t="s">
        <v>201</v>
      </c>
      <c r="BK38" s="4" t="s">
        <v>201</v>
      </c>
      <c r="BL38" s="4" t="s">
        <v>201</v>
      </c>
      <c r="BM38" s="4" t="s">
        <v>201</v>
      </c>
      <c r="BN38" s="4" t="s">
        <v>201</v>
      </c>
      <c r="BO38" s="4" t="s">
        <v>201</v>
      </c>
      <c r="BP38" s="4" t="s">
        <v>201</v>
      </c>
      <c r="BQ38" s="4" t="s">
        <v>201</v>
      </c>
      <c r="BR38" s="4" t="s">
        <v>201</v>
      </c>
      <c r="BS38" s="5" t="s">
        <v>183</v>
      </c>
      <c r="BT38" s="4">
        <v>-24.476438614285833</v>
      </c>
      <c r="BU38" s="5" t="s">
        <v>184</v>
      </c>
      <c r="BV38" s="4">
        <v>0.31</v>
      </c>
      <c r="BW38" s="4" t="s">
        <v>201</v>
      </c>
      <c r="BX38" s="4" t="s">
        <v>202</v>
      </c>
      <c r="BY38" s="4">
        <v>4.2</v>
      </c>
      <c r="BZ38" s="4" t="s">
        <v>201</v>
      </c>
      <c r="CA38" s="4" t="s">
        <v>201</v>
      </c>
      <c r="CB38" s="4">
        <v>-20.37923965646587</v>
      </c>
      <c r="CC38" s="4" t="s">
        <v>201</v>
      </c>
      <c r="CD38" s="4" t="s">
        <v>201</v>
      </c>
      <c r="CE38" s="4" t="s">
        <v>201</v>
      </c>
      <c r="CF38" s="4" t="s">
        <v>201</v>
      </c>
      <c r="CG38" s="4">
        <v>35</v>
      </c>
      <c r="CH38" s="4">
        <v>1</v>
      </c>
      <c r="CI38" s="4" t="s">
        <v>204</v>
      </c>
      <c r="CJ38" s="5" t="s">
        <v>185</v>
      </c>
      <c r="CK38" s="4">
        <v>0.82</v>
      </c>
      <c r="CL38" s="4">
        <v>0.1</v>
      </c>
      <c r="CM38" s="4">
        <v>0.1</v>
      </c>
      <c r="CN38" s="4" t="s">
        <v>204</v>
      </c>
      <c r="CO38" s="5" t="s">
        <v>186</v>
      </c>
      <c r="CP38" s="4" t="s">
        <v>201</v>
      </c>
      <c r="CQ38" s="4" t="s">
        <v>201</v>
      </c>
      <c r="CR38" s="4">
        <f t="shared" si="10"/>
        <v>25.806803167988683</v>
      </c>
      <c r="CS38" s="4" t="s">
        <v>201</v>
      </c>
      <c r="CT38" s="4" t="s">
        <v>201</v>
      </c>
      <c r="CU38" s="4" t="s">
        <v>201</v>
      </c>
      <c r="CV38" s="4" t="s">
        <v>211</v>
      </c>
      <c r="CW38" s="4">
        <v>0.92151338746909328</v>
      </c>
      <c r="CX38" s="4" t="s">
        <v>201</v>
      </c>
      <c r="CY38" s="4">
        <v>26.197133964026634</v>
      </c>
      <c r="CZ38" s="4" t="s">
        <v>201</v>
      </c>
      <c r="DA38" s="4" t="s">
        <v>201</v>
      </c>
      <c r="DB38" s="4" t="s">
        <v>201</v>
      </c>
      <c r="DC38" s="5" t="s">
        <v>190</v>
      </c>
      <c r="DD38" s="4" t="s">
        <v>205</v>
      </c>
      <c r="DE38" s="4" t="s">
        <v>201</v>
      </c>
      <c r="DF38" s="4" t="s">
        <v>201</v>
      </c>
      <c r="DG38" s="4" t="s">
        <v>201</v>
      </c>
      <c r="DH38" s="4" t="s">
        <v>201</v>
      </c>
      <c r="DI38" s="4">
        <v>25.416472371950729</v>
      </c>
      <c r="DJ38" s="4" t="s">
        <v>201</v>
      </c>
      <c r="DK38" s="4" t="s">
        <v>201</v>
      </c>
      <c r="DL38" s="4" t="s">
        <v>201</v>
      </c>
      <c r="DM38" s="4" t="s">
        <v>206</v>
      </c>
      <c r="DN38" s="4" t="s">
        <v>201</v>
      </c>
      <c r="DO38" s="4" t="s">
        <v>201</v>
      </c>
      <c r="DP38" s="4" t="s">
        <v>201</v>
      </c>
      <c r="DQ38" s="4" t="s">
        <v>201</v>
      </c>
      <c r="DR38" s="4" t="s">
        <v>201</v>
      </c>
      <c r="DS38" s="4" t="s">
        <v>201</v>
      </c>
      <c r="DT38" s="4" t="s">
        <v>201</v>
      </c>
      <c r="DU38" s="4" t="s">
        <v>201</v>
      </c>
      <c r="DV38" s="4" t="s">
        <v>201</v>
      </c>
      <c r="DW38" s="4" t="s">
        <v>201</v>
      </c>
      <c r="DX38" s="4" t="s">
        <v>201</v>
      </c>
      <c r="DY38" s="4" t="s">
        <v>201</v>
      </c>
      <c r="DZ38" s="4" t="s">
        <v>201</v>
      </c>
      <c r="EA38" s="4" t="s">
        <v>201</v>
      </c>
      <c r="EB38" s="4" t="s">
        <v>201</v>
      </c>
      <c r="EC38" s="4" t="s">
        <v>201</v>
      </c>
      <c r="ED38" s="4" t="s">
        <v>201</v>
      </c>
      <c r="EE38" s="4" t="s">
        <v>201</v>
      </c>
      <c r="EF38" s="4" t="s">
        <v>201</v>
      </c>
      <c r="EG38" s="4" t="s">
        <v>201</v>
      </c>
      <c r="EH38" s="4" t="s">
        <v>201</v>
      </c>
      <c r="EI38" s="4" t="s">
        <v>201</v>
      </c>
      <c r="EJ38" s="4" t="s">
        <v>201</v>
      </c>
      <c r="EK38" s="4" t="s">
        <v>201</v>
      </c>
      <c r="EL38" s="4" t="s">
        <v>201</v>
      </c>
      <c r="EM38" s="4" t="s">
        <v>201</v>
      </c>
      <c r="EN38" s="4" t="s">
        <v>201</v>
      </c>
      <c r="EO38" s="4" t="s">
        <v>201</v>
      </c>
      <c r="EP38" s="4" t="s">
        <v>201</v>
      </c>
      <c r="EQ38" s="4" t="s">
        <v>201</v>
      </c>
      <c r="ER38" s="4">
        <v>167.97479999999999</v>
      </c>
      <c r="ES38" s="4" t="s">
        <v>201</v>
      </c>
      <c r="ET38" s="4" t="s">
        <v>201</v>
      </c>
      <c r="EU38" s="4" t="s">
        <v>201</v>
      </c>
      <c r="EV38" s="5" t="s">
        <v>187</v>
      </c>
      <c r="EW38" s="4">
        <v>25</v>
      </c>
      <c r="EX38" s="4">
        <v>12.804034329418679</v>
      </c>
      <c r="EY38" s="4">
        <v>4.8670909012393793E-2</v>
      </c>
      <c r="EZ38" s="4">
        <v>4.8670909012393793E-2</v>
      </c>
      <c r="FA38" s="4" t="s">
        <v>201</v>
      </c>
      <c r="FB38" s="5" t="s">
        <v>250</v>
      </c>
      <c r="FC38" s="4" t="s">
        <v>201</v>
      </c>
      <c r="FD38" s="4" t="s">
        <v>201</v>
      </c>
      <c r="FE38" s="4" t="s">
        <v>201</v>
      </c>
      <c r="FF38" s="4" t="s">
        <v>201</v>
      </c>
      <c r="FG38" s="4" t="s">
        <v>217</v>
      </c>
      <c r="FH38" s="4">
        <v>500.0478816000786</v>
      </c>
      <c r="FI38" s="4">
        <f t="shared" si="8"/>
        <v>37.503591120005893</v>
      </c>
      <c r="FJ38" s="4">
        <f t="shared" si="9"/>
        <v>37.503591120005893</v>
      </c>
      <c r="FK38" s="4" t="s">
        <v>203</v>
      </c>
      <c r="FL38" s="4" t="s">
        <v>216</v>
      </c>
      <c r="FM38" s="4" t="s">
        <v>249</v>
      </c>
      <c r="FN38" s="4" t="s">
        <v>201</v>
      </c>
      <c r="FO38" s="4" t="s">
        <v>201</v>
      </c>
      <c r="FP38" s="4" t="s">
        <v>201</v>
      </c>
      <c r="FQ38" s="4" t="s">
        <v>201</v>
      </c>
      <c r="FR38" s="4" t="s">
        <v>201</v>
      </c>
      <c r="FS38" s="4" t="s">
        <v>201</v>
      </c>
      <c r="FT38" s="4" t="s">
        <v>200</v>
      </c>
      <c r="FU38" s="4" t="s">
        <v>212</v>
      </c>
      <c r="FV38" s="45" t="s">
        <v>308</v>
      </c>
      <c r="FW38" s="4" t="s">
        <v>201</v>
      </c>
      <c r="FX38" s="4" t="s">
        <v>201</v>
      </c>
      <c r="FY38" s="4" t="s">
        <v>247</v>
      </c>
    </row>
    <row r="39" spans="1:181" s="4" customFormat="1" x14ac:dyDescent="0.15">
      <c r="A39" s="3" t="s">
        <v>258</v>
      </c>
      <c r="B39" s="3" t="s">
        <v>193</v>
      </c>
      <c r="C39">
        <v>2017</v>
      </c>
      <c r="D39" s="22" t="str">
        <f t="shared" si="1"/>
        <v>10.1016/j.epsl.2017.03.016</v>
      </c>
      <c r="E39" s="22">
        <f t="shared" si="2"/>
        <v>5214.51</v>
      </c>
      <c r="F39" s="22" t="str">
        <f t="shared" si="3"/>
        <v>NA</v>
      </c>
      <c r="G39" s="22" t="str">
        <f t="shared" si="4"/>
        <v>NA</v>
      </c>
      <c r="H39" s="22">
        <f t="shared" si="5"/>
        <v>546.53481126534371</v>
      </c>
      <c r="I39" s="36">
        <f t="shared" si="6"/>
        <v>40.990110844900776</v>
      </c>
      <c r="J39" s="36">
        <f t="shared" si="7"/>
        <v>40.990110844900776</v>
      </c>
      <c r="K39" s="5" t="s">
        <v>251</v>
      </c>
      <c r="L39" s="5" t="s">
        <v>252</v>
      </c>
      <c r="M39" s="5" t="s">
        <v>194</v>
      </c>
      <c r="N39" s="5" t="s">
        <v>192</v>
      </c>
      <c r="O39" s="4">
        <v>850</v>
      </c>
      <c r="P39" s="5" t="s">
        <v>189</v>
      </c>
      <c r="Q39" s="4" t="s">
        <v>201</v>
      </c>
      <c r="R39" s="4" t="s">
        <v>201</v>
      </c>
      <c r="S39" s="4" t="s">
        <v>201</v>
      </c>
      <c r="T39" s="4" t="s">
        <v>201</v>
      </c>
      <c r="U39" s="4" t="s">
        <v>201</v>
      </c>
      <c r="V39" s="4" t="s">
        <v>201</v>
      </c>
      <c r="W39" s="4" t="s">
        <v>201</v>
      </c>
      <c r="X39" s="4" t="s">
        <v>201</v>
      </c>
      <c r="Y39" s="4" t="s">
        <v>201</v>
      </c>
      <c r="Z39" s="9">
        <v>123.77500000000001</v>
      </c>
      <c r="AA39" s="4" t="s">
        <v>207</v>
      </c>
      <c r="AB39" s="4">
        <v>5214.51</v>
      </c>
      <c r="AC39" s="4" t="s">
        <v>201</v>
      </c>
      <c r="AD39" s="4" t="s">
        <v>201</v>
      </c>
      <c r="AE39" s="4" t="s">
        <v>201</v>
      </c>
      <c r="AF39" s="5" t="s">
        <v>176</v>
      </c>
      <c r="AG39" s="5" t="s">
        <v>178</v>
      </c>
      <c r="AH39" s="12">
        <v>1.2971666666666666</v>
      </c>
      <c r="AI39" s="9">
        <v>-110.5215</v>
      </c>
      <c r="AJ39" s="37">
        <v>-4197</v>
      </c>
      <c r="AK39" s="4" t="s">
        <v>201</v>
      </c>
      <c r="AL39" s="4" t="s">
        <v>201</v>
      </c>
      <c r="AM39" s="4" t="s">
        <v>201</v>
      </c>
      <c r="AN39" s="4" t="s">
        <v>201</v>
      </c>
      <c r="AO39" s="5" t="s">
        <v>236</v>
      </c>
      <c r="AP39" s="4" t="s">
        <v>201</v>
      </c>
      <c r="AQ39" s="4" t="s">
        <v>201</v>
      </c>
      <c r="AR39" s="4" t="s">
        <v>201</v>
      </c>
      <c r="AS39" s="4" t="s">
        <v>201</v>
      </c>
      <c r="AT39" s="4" t="s">
        <v>201</v>
      </c>
      <c r="AU39" s="4" t="s">
        <v>201</v>
      </c>
      <c r="AV39" s="4" t="s">
        <v>201</v>
      </c>
      <c r="AW39" s="4" t="s">
        <v>201</v>
      </c>
      <c r="AX39" s="4">
        <v>2.0306398832247576</v>
      </c>
      <c r="AY39" s="4">
        <v>0.13</v>
      </c>
      <c r="AZ39" s="4" t="s">
        <v>203</v>
      </c>
      <c r="BA39" s="4" t="s">
        <v>201</v>
      </c>
      <c r="BB39" s="4">
        <v>0.58851366196500621</v>
      </c>
      <c r="BC39" s="4">
        <v>0.24</v>
      </c>
      <c r="BD39" s="4" t="s">
        <v>203</v>
      </c>
      <c r="BE39" s="4" t="s">
        <v>201</v>
      </c>
      <c r="BF39" s="5" t="s">
        <v>181</v>
      </c>
      <c r="BG39" s="5" t="s">
        <v>182</v>
      </c>
      <c r="BH39" s="4">
        <v>0</v>
      </c>
      <c r="BI39" s="4" t="s">
        <v>201</v>
      </c>
      <c r="BJ39" s="4" t="s">
        <v>201</v>
      </c>
      <c r="BK39" s="4" t="s">
        <v>201</v>
      </c>
      <c r="BL39" s="4" t="s">
        <v>201</v>
      </c>
      <c r="BM39" s="4" t="s">
        <v>201</v>
      </c>
      <c r="BN39" s="4" t="s">
        <v>201</v>
      </c>
      <c r="BO39" s="4" t="s">
        <v>201</v>
      </c>
      <c r="BP39" s="4" t="s">
        <v>201</v>
      </c>
      <c r="BQ39" s="4" t="s">
        <v>201</v>
      </c>
      <c r="BR39" s="4" t="s">
        <v>201</v>
      </c>
      <c r="BS39" s="5" t="s">
        <v>183</v>
      </c>
      <c r="BT39" s="4">
        <v>-25.541804430303994</v>
      </c>
      <c r="BU39" s="5" t="s">
        <v>184</v>
      </c>
      <c r="BV39" s="4">
        <v>0.31</v>
      </c>
      <c r="BW39" s="4" t="s">
        <v>201</v>
      </c>
      <c r="BX39" s="4" t="s">
        <v>202</v>
      </c>
      <c r="BY39" s="4">
        <v>4.2</v>
      </c>
      <c r="BZ39" s="4" t="s">
        <v>201</v>
      </c>
      <c r="CA39" s="4" t="s">
        <v>201</v>
      </c>
      <c r="CB39" s="4">
        <v>-21.44908000891121</v>
      </c>
      <c r="CC39" s="4" t="s">
        <v>201</v>
      </c>
      <c r="CD39" s="4" t="s">
        <v>201</v>
      </c>
      <c r="CE39" s="4" t="s">
        <v>201</v>
      </c>
      <c r="CF39" s="4" t="s">
        <v>201</v>
      </c>
      <c r="CG39" s="4">
        <v>35</v>
      </c>
      <c r="CH39" s="4">
        <v>1</v>
      </c>
      <c r="CI39" s="4" t="s">
        <v>204</v>
      </c>
      <c r="CJ39" s="5" t="s">
        <v>185</v>
      </c>
      <c r="CK39" s="4">
        <v>0.82</v>
      </c>
      <c r="CL39" s="4">
        <v>0.1</v>
      </c>
      <c r="CM39" s="4">
        <v>0.1</v>
      </c>
      <c r="CN39" s="4" t="s">
        <v>204</v>
      </c>
      <c r="CO39" s="5" t="s">
        <v>186</v>
      </c>
      <c r="CP39" s="4" t="s">
        <v>201</v>
      </c>
      <c r="CQ39" s="4" t="s">
        <v>201</v>
      </c>
      <c r="CR39" s="4">
        <f t="shared" si="10"/>
        <v>25.719569999999997</v>
      </c>
      <c r="CS39" s="4" t="s">
        <v>201</v>
      </c>
      <c r="CT39" s="4" t="s">
        <v>201</v>
      </c>
      <c r="CU39" s="4" t="s">
        <v>201</v>
      </c>
      <c r="CV39" s="4" t="s">
        <v>211</v>
      </c>
      <c r="CW39" s="4">
        <v>0.94689248895434452</v>
      </c>
      <c r="CX39" s="4" t="s">
        <v>201</v>
      </c>
      <c r="CY39" s="4">
        <v>26.955359999999999</v>
      </c>
      <c r="CZ39" s="4" t="s">
        <v>201</v>
      </c>
      <c r="DA39" s="4" t="s">
        <v>201</v>
      </c>
      <c r="DB39" s="4" t="s">
        <v>201</v>
      </c>
      <c r="DC39" s="5" t="s">
        <v>190</v>
      </c>
      <c r="DD39" s="4" t="s">
        <v>205</v>
      </c>
      <c r="DE39" s="4" t="s">
        <v>201</v>
      </c>
      <c r="DF39" s="4" t="s">
        <v>201</v>
      </c>
      <c r="DG39" s="4" t="s">
        <v>201</v>
      </c>
      <c r="DH39" s="4" t="s">
        <v>201</v>
      </c>
      <c r="DI39" s="4">
        <v>24.483779999999999</v>
      </c>
      <c r="DJ39" s="4" t="s">
        <v>201</v>
      </c>
      <c r="DK39" s="4" t="s">
        <v>201</v>
      </c>
      <c r="DL39" s="4" t="s">
        <v>201</v>
      </c>
      <c r="DM39" s="4" t="s">
        <v>206</v>
      </c>
      <c r="DN39" s="4" t="s">
        <v>201</v>
      </c>
      <c r="DO39" s="4" t="s">
        <v>201</v>
      </c>
      <c r="DP39" s="4" t="s">
        <v>201</v>
      </c>
      <c r="DQ39" s="4" t="s">
        <v>201</v>
      </c>
      <c r="DR39" s="4" t="s">
        <v>201</v>
      </c>
      <c r="DS39" s="4" t="s">
        <v>201</v>
      </c>
      <c r="DT39" s="4" t="s">
        <v>201</v>
      </c>
      <c r="DU39" s="4" t="s">
        <v>201</v>
      </c>
      <c r="DV39" s="4" t="s">
        <v>201</v>
      </c>
      <c r="DW39" s="4" t="s">
        <v>201</v>
      </c>
      <c r="DX39" s="4" t="s">
        <v>201</v>
      </c>
      <c r="DY39" s="4" t="s">
        <v>201</v>
      </c>
      <c r="DZ39" s="4" t="s">
        <v>201</v>
      </c>
      <c r="EA39" s="4" t="s">
        <v>201</v>
      </c>
      <c r="EB39" s="4" t="s">
        <v>201</v>
      </c>
      <c r="EC39" s="4" t="s">
        <v>201</v>
      </c>
      <c r="ED39" s="4" t="s">
        <v>201</v>
      </c>
      <c r="EE39" s="4" t="s">
        <v>201</v>
      </c>
      <c r="EF39" s="4" t="s">
        <v>201</v>
      </c>
      <c r="EG39" s="4" t="s">
        <v>201</v>
      </c>
      <c r="EH39" s="4" t="s">
        <v>201</v>
      </c>
      <c r="EI39" s="4" t="s">
        <v>201</v>
      </c>
      <c r="EJ39" s="4" t="s">
        <v>201</v>
      </c>
      <c r="EK39" s="4" t="s">
        <v>201</v>
      </c>
      <c r="EL39" s="4" t="s">
        <v>201</v>
      </c>
      <c r="EM39" s="4" t="s">
        <v>201</v>
      </c>
      <c r="EN39" s="4" t="s">
        <v>201</v>
      </c>
      <c r="EO39" s="4" t="s">
        <v>201</v>
      </c>
      <c r="EP39" s="4" t="s">
        <v>201</v>
      </c>
      <c r="EQ39" s="4" t="s">
        <v>201</v>
      </c>
      <c r="ER39" s="4">
        <v>167.97479999999999</v>
      </c>
      <c r="ES39" s="4" t="s">
        <v>201</v>
      </c>
      <c r="ET39" s="4" t="s">
        <v>201</v>
      </c>
      <c r="EU39" s="4" t="s">
        <v>201</v>
      </c>
      <c r="EV39" s="5" t="s">
        <v>187</v>
      </c>
      <c r="EW39" s="4">
        <v>25</v>
      </c>
      <c r="EX39" s="4">
        <v>13.975413042749851</v>
      </c>
      <c r="EY39" s="4">
        <v>0.15425549901171287</v>
      </c>
      <c r="EZ39" s="4">
        <v>0.15425549901171287</v>
      </c>
      <c r="FA39" s="4" t="s">
        <v>201</v>
      </c>
      <c r="FB39" s="5" t="s">
        <v>250</v>
      </c>
      <c r="FC39" s="4" t="s">
        <v>201</v>
      </c>
      <c r="FD39" s="4" t="s">
        <v>201</v>
      </c>
      <c r="FE39" s="4" t="s">
        <v>201</v>
      </c>
      <c r="FF39" s="4" t="s">
        <v>201</v>
      </c>
      <c r="FG39" s="4" t="s">
        <v>217</v>
      </c>
      <c r="FH39" s="4">
        <v>546.53481126534371</v>
      </c>
      <c r="FI39" s="4">
        <f t="shared" si="8"/>
        <v>40.990110844900776</v>
      </c>
      <c r="FJ39" s="4">
        <f t="shared" si="9"/>
        <v>40.990110844900776</v>
      </c>
      <c r="FK39" s="4" t="s">
        <v>203</v>
      </c>
      <c r="FL39" s="4" t="s">
        <v>216</v>
      </c>
      <c r="FM39" s="4" t="s">
        <v>249</v>
      </c>
      <c r="FN39" s="4" t="s">
        <v>201</v>
      </c>
      <c r="FO39" s="4" t="s">
        <v>201</v>
      </c>
      <c r="FP39" s="4" t="s">
        <v>201</v>
      </c>
      <c r="FQ39" s="4" t="s">
        <v>201</v>
      </c>
      <c r="FR39" s="4" t="s">
        <v>201</v>
      </c>
      <c r="FS39" s="4" t="s">
        <v>201</v>
      </c>
      <c r="FT39" s="4" t="s">
        <v>200</v>
      </c>
      <c r="FU39" s="4" t="s">
        <v>212</v>
      </c>
      <c r="FV39" s="45" t="s">
        <v>309</v>
      </c>
      <c r="FW39" s="4" t="s">
        <v>201</v>
      </c>
      <c r="FX39" s="4" t="s">
        <v>201</v>
      </c>
      <c r="FY39" s="4" t="s">
        <v>247</v>
      </c>
    </row>
    <row r="40" spans="1:181" s="6" customFormat="1" x14ac:dyDescent="0.15">
      <c r="A40" s="3" t="s">
        <v>258</v>
      </c>
      <c r="B40" s="3" t="s">
        <v>193</v>
      </c>
      <c r="C40">
        <v>2017</v>
      </c>
      <c r="D40" s="22" t="str">
        <f t="shared" si="1"/>
        <v>10.1016/j.epsl.2017.03.016</v>
      </c>
      <c r="E40" s="22">
        <f t="shared" si="2"/>
        <v>5396.74</v>
      </c>
      <c r="F40" s="22" t="str">
        <f t="shared" si="3"/>
        <v>NA</v>
      </c>
      <c r="G40" s="22" t="str">
        <f t="shared" si="4"/>
        <v>NA</v>
      </c>
      <c r="H40" s="22">
        <f t="shared" si="5"/>
        <v>494.17587622305876</v>
      </c>
      <c r="I40" s="36">
        <f t="shared" si="6"/>
        <v>37.063190716729409</v>
      </c>
      <c r="J40" s="36">
        <f t="shared" si="7"/>
        <v>37.063190716729409</v>
      </c>
      <c r="K40" s="7" t="s">
        <v>251</v>
      </c>
      <c r="L40" s="7" t="s">
        <v>252</v>
      </c>
      <c r="M40" s="7" t="s">
        <v>194</v>
      </c>
      <c r="N40" s="7" t="s">
        <v>192</v>
      </c>
      <c r="O40" s="6">
        <v>850</v>
      </c>
      <c r="P40" s="7" t="s">
        <v>189</v>
      </c>
      <c r="Q40" s="6">
        <v>13</v>
      </c>
      <c r="R40" s="6" t="s">
        <v>210</v>
      </c>
      <c r="S40" s="6" t="s">
        <v>209</v>
      </c>
      <c r="T40" s="6">
        <v>6</v>
      </c>
      <c r="U40" s="6" t="s">
        <v>201</v>
      </c>
      <c r="V40" s="6" t="s">
        <v>201</v>
      </c>
      <c r="W40" s="6" t="s">
        <v>201</v>
      </c>
      <c r="X40" s="6" t="s">
        <v>201</v>
      </c>
      <c r="Y40" s="6" t="s">
        <v>201</v>
      </c>
      <c r="Z40" s="8">
        <v>132.625</v>
      </c>
      <c r="AA40" s="6" t="s">
        <v>207</v>
      </c>
      <c r="AB40" s="6">
        <v>5396.74</v>
      </c>
      <c r="AC40" s="6" t="s">
        <v>201</v>
      </c>
      <c r="AD40" s="6" t="s">
        <v>201</v>
      </c>
      <c r="AE40" s="6" t="s">
        <v>201</v>
      </c>
      <c r="AF40" s="7" t="s">
        <v>176</v>
      </c>
      <c r="AG40" s="7" t="s">
        <v>178</v>
      </c>
      <c r="AH40" s="11">
        <v>1.2971666666666666</v>
      </c>
      <c r="AI40" s="8">
        <v>-110.5215</v>
      </c>
      <c r="AJ40" s="6">
        <v>-4197</v>
      </c>
      <c r="AK40" s="6" t="s">
        <v>201</v>
      </c>
      <c r="AL40" s="6" t="s">
        <v>201</v>
      </c>
      <c r="AM40" s="6" t="s">
        <v>201</v>
      </c>
      <c r="AN40" s="6" t="s">
        <v>201</v>
      </c>
      <c r="AO40" s="7" t="s">
        <v>236</v>
      </c>
      <c r="AP40" s="6" t="s">
        <v>201</v>
      </c>
      <c r="AQ40" s="6" t="s">
        <v>201</v>
      </c>
      <c r="AR40" s="6" t="s">
        <v>201</v>
      </c>
      <c r="AS40" s="6" t="s">
        <v>201</v>
      </c>
      <c r="AT40" s="6" t="s">
        <v>201</v>
      </c>
      <c r="AU40" s="6" t="s">
        <v>201</v>
      </c>
      <c r="AV40" s="6" t="s">
        <v>201</v>
      </c>
      <c r="AW40" s="6" t="s">
        <v>201</v>
      </c>
      <c r="AX40" s="6">
        <v>1.7364519154598403</v>
      </c>
      <c r="AY40" s="6">
        <v>0.13</v>
      </c>
      <c r="AZ40" s="6" t="s">
        <v>203</v>
      </c>
      <c r="BA40" s="6" t="s">
        <v>201</v>
      </c>
      <c r="BB40" s="6">
        <v>-1.5224752038746403</v>
      </c>
      <c r="BC40" s="6">
        <v>0.24</v>
      </c>
      <c r="BD40" s="6" t="s">
        <v>203</v>
      </c>
      <c r="BE40" s="6" t="s">
        <v>201</v>
      </c>
      <c r="BF40" s="7" t="s">
        <v>181</v>
      </c>
      <c r="BG40" s="7" t="s">
        <v>182</v>
      </c>
      <c r="BH40" s="6">
        <v>0</v>
      </c>
      <c r="BI40" s="6" t="s">
        <v>201</v>
      </c>
      <c r="BJ40" s="6" t="s">
        <v>201</v>
      </c>
      <c r="BK40" s="6" t="s">
        <v>201</v>
      </c>
      <c r="BL40" s="6" t="s">
        <v>201</v>
      </c>
      <c r="BM40" s="6" t="s">
        <v>201</v>
      </c>
      <c r="BN40" s="6" t="s">
        <v>201</v>
      </c>
      <c r="BO40" s="6" t="s">
        <v>201</v>
      </c>
      <c r="BP40" s="6" t="s">
        <v>201</v>
      </c>
      <c r="BQ40" s="6" t="s">
        <v>201</v>
      </c>
      <c r="BR40" s="6" t="s">
        <v>201</v>
      </c>
      <c r="BS40" s="7" t="s">
        <v>183</v>
      </c>
      <c r="BT40" s="6">
        <v>-25.174062476547842</v>
      </c>
      <c r="BU40" s="7" t="s">
        <v>184</v>
      </c>
      <c r="BV40" s="6">
        <v>0.31</v>
      </c>
      <c r="BW40" s="6" t="s">
        <v>201</v>
      </c>
      <c r="BX40" s="6" t="s">
        <v>202</v>
      </c>
      <c r="BY40" s="6">
        <v>4.2</v>
      </c>
      <c r="BZ40" s="6" t="s">
        <v>201</v>
      </c>
      <c r="CA40" s="6" t="s">
        <v>201</v>
      </c>
      <c r="CB40" s="6">
        <v>-21.079793538949389</v>
      </c>
      <c r="CC40" s="6" t="s">
        <v>201</v>
      </c>
      <c r="CD40" s="6" t="s">
        <v>201</v>
      </c>
      <c r="CE40" s="6" t="s">
        <v>201</v>
      </c>
      <c r="CF40" s="6" t="s">
        <v>201</v>
      </c>
      <c r="CG40" s="6">
        <v>35</v>
      </c>
      <c r="CH40" s="6">
        <v>1</v>
      </c>
      <c r="CI40" s="6" t="s">
        <v>204</v>
      </c>
      <c r="CJ40" s="7" t="s">
        <v>185</v>
      </c>
      <c r="CK40" s="6">
        <v>0.82</v>
      </c>
      <c r="CL40" s="6">
        <v>0.1</v>
      </c>
      <c r="CM40" s="6">
        <v>0.1</v>
      </c>
      <c r="CN40" s="6" t="s">
        <v>204</v>
      </c>
      <c r="CO40" s="7" t="s">
        <v>186</v>
      </c>
      <c r="CP40" s="6" t="s">
        <v>201</v>
      </c>
      <c r="CQ40" s="6" t="s">
        <v>201</v>
      </c>
      <c r="CR40" s="6">
        <f t="shared" si="10"/>
        <v>24.821469999999998</v>
      </c>
      <c r="CS40" s="6" t="s">
        <v>201</v>
      </c>
      <c r="CT40" s="6" t="s">
        <v>201</v>
      </c>
      <c r="CU40" s="6" t="s">
        <v>201</v>
      </c>
      <c r="CV40" s="6" t="s">
        <v>211</v>
      </c>
      <c r="CW40" s="6">
        <v>0.96291337528450927</v>
      </c>
      <c r="CX40" s="6" t="s">
        <v>201</v>
      </c>
      <c r="CY40" s="6">
        <v>27.434000000000001</v>
      </c>
      <c r="CZ40" s="6" t="s">
        <v>201</v>
      </c>
      <c r="DA40" s="6" t="s">
        <v>201</v>
      </c>
      <c r="DB40" s="6" t="s">
        <v>201</v>
      </c>
      <c r="DC40" s="7" t="s">
        <v>190</v>
      </c>
      <c r="DD40" s="6" t="s">
        <v>205</v>
      </c>
      <c r="DE40" s="6" t="s">
        <v>201</v>
      </c>
      <c r="DF40" s="6" t="s">
        <v>201</v>
      </c>
      <c r="DG40" s="6" t="s">
        <v>201</v>
      </c>
      <c r="DH40" s="6" t="s">
        <v>201</v>
      </c>
      <c r="DI40" s="6">
        <v>22.208939999999998</v>
      </c>
      <c r="DJ40" s="6" t="s">
        <v>201</v>
      </c>
      <c r="DK40" s="6" t="s">
        <v>201</v>
      </c>
      <c r="DL40" s="6" t="s">
        <v>201</v>
      </c>
      <c r="DM40" s="6" t="s">
        <v>206</v>
      </c>
      <c r="DN40" s="6" t="s">
        <v>201</v>
      </c>
      <c r="DO40" s="6" t="s">
        <v>201</v>
      </c>
      <c r="DP40" s="6" t="s">
        <v>201</v>
      </c>
      <c r="DQ40" s="6" t="s">
        <v>201</v>
      </c>
      <c r="DR40" s="6" t="s">
        <v>201</v>
      </c>
      <c r="DS40" s="6" t="s">
        <v>201</v>
      </c>
      <c r="DT40" s="6" t="s">
        <v>201</v>
      </c>
      <c r="DU40" s="6" t="s">
        <v>201</v>
      </c>
      <c r="DV40" s="6" t="s">
        <v>201</v>
      </c>
      <c r="DW40" s="6" t="s">
        <v>201</v>
      </c>
      <c r="DX40" s="6">
        <v>3.6022408963585426</v>
      </c>
      <c r="DY40" s="6" t="s">
        <v>201</v>
      </c>
      <c r="DZ40" s="6" t="s">
        <v>201</v>
      </c>
      <c r="EA40" s="6" t="s">
        <v>201</v>
      </c>
      <c r="EB40" s="6" t="s">
        <v>201</v>
      </c>
      <c r="EC40" s="6" t="s">
        <v>201</v>
      </c>
      <c r="ED40" s="6" t="s">
        <v>201</v>
      </c>
      <c r="EE40" s="6" t="s">
        <v>201</v>
      </c>
      <c r="EF40" s="6" t="s">
        <v>201</v>
      </c>
      <c r="EG40" s="6" t="s">
        <v>201</v>
      </c>
      <c r="EH40" s="6" t="s">
        <v>201</v>
      </c>
      <c r="EI40" s="6" t="s">
        <v>201</v>
      </c>
      <c r="EJ40" s="6" t="s">
        <v>201</v>
      </c>
      <c r="EK40" s="6" t="s">
        <v>201</v>
      </c>
      <c r="EL40" s="6" t="s">
        <v>201</v>
      </c>
      <c r="EM40" s="6" t="s">
        <v>201</v>
      </c>
      <c r="EN40" s="6" t="s">
        <v>201</v>
      </c>
      <c r="EO40" s="6" t="s">
        <v>201</v>
      </c>
      <c r="EP40" s="6" t="s">
        <v>201</v>
      </c>
      <c r="EQ40" s="6" t="s">
        <v>201</v>
      </c>
      <c r="ER40" s="6">
        <v>167.97479999999999</v>
      </c>
      <c r="ES40" s="6" t="s">
        <v>201</v>
      </c>
      <c r="ET40" s="6" t="s">
        <v>201</v>
      </c>
      <c r="EU40" s="6" t="s">
        <v>201</v>
      </c>
      <c r="EV40" s="7" t="s">
        <v>187</v>
      </c>
      <c r="EW40" s="6">
        <v>25</v>
      </c>
      <c r="EX40" s="6">
        <v>13.23835793942818</v>
      </c>
      <c r="EY40" s="6">
        <v>0.32584494278675713</v>
      </c>
      <c r="EZ40" s="6">
        <v>0.32584494278675713</v>
      </c>
      <c r="FA40" s="6" t="s">
        <v>201</v>
      </c>
      <c r="FB40" s="7" t="s">
        <v>250</v>
      </c>
      <c r="FC40" s="6" t="s">
        <v>201</v>
      </c>
      <c r="FD40" s="6" t="s">
        <v>201</v>
      </c>
      <c r="FE40" s="6" t="s">
        <v>201</v>
      </c>
      <c r="FF40" s="6" t="s">
        <v>201</v>
      </c>
      <c r="FG40" s="6" t="s">
        <v>217</v>
      </c>
      <c r="FH40" s="6">
        <v>494.17587622305876</v>
      </c>
      <c r="FI40" s="6">
        <f t="shared" si="8"/>
        <v>37.063190716729409</v>
      </c>
      <c r="FJ40" s="6">
        <f t="shared" si="9"/>
        <v>37.063190716729409</v>
      </c>
      <c r="FK40" s="6" t="s">
        <v>203</v>
      </c>
      <c r="FL40" s="6" t="s">
        <v>216</v>
      </c>
      <c r="FM40" s="6" t="s">
        <v>249</v>
      </c>
      <c r="FN40" s="6" t="s">
        <v>201</v>
      </c>
      <c r="FO40" s="6" t="s">
        <v>201</v>
      </c>
      <c r="FP40" s="6" t="s">
        <v>201</v>
      </c>
      <c r="FQ40" s="6" t="s">
        <v>201</v>
      </c>
      <c r="FR40" s="6" t="s">
        <v>201</v>
      </c>
      <c r="FS40" s="6" t="s">
        <v>201</v>
      </c>
      <c r="FT40" s="6" t="s">
        <v>200</v>
      </c>
      <c r="FU40" s="6" t="s">
        <v>212</v>
      </c>
      <c r="FV40" s="44" t="s">
        <v>310</v>
      </c>
      <c r="FW40" s="6" t="s">
        <v>201</v>
      </c>
      <c r="FX40" s="6" t="s">
        <v>201</v>
      </c>
      <c r="FY40" s="6" t="s">
        <v>247</v>
      </c>
    </row>
    <row r="41" spans="1:181" s="4" customFormat="1" x14ac:dyDescent="0.15">
      <c r="A41" s="3" t="s">
        <v>258</v>
      </c>
      <c r="B41" s="3" t="s">
        <v>193</v>
      </c>
      <c r="C41">
        <v>2017</v>
      </c>
      <c r="D41" s="22" t="str">
        <f t="shared" si="1"/>
        <v>10.1016/j.epsl.2017.03.016</v>
      </c>
      <c r="E41" s="22">
        <f t="shared" si="2"/>
        <v>5578.97</v>
      </c>
      <c r="F41" s="22" t="str">
        <f t="shared" si="3"/>
        <v>NA</v>
      </c>
      <c r="G41" s="22" t="str">
        <f t="shared" si="4"/>
        <v>NA</v>
      </c>
      <c r="H41" s="22">
        <f t="shared" si="5"/>
        <v>538.41091281446631</v>
      </c>
      <c r="I41" s="36">
        <f t="shared" si="6"/>
        <v>40.380818461084971</v>
      </c>
      <c r="J41" s="36">
        <f t="shared" si="7"/>
        <v>40.380818461084971</v>
      </c>
      <c r="K41" s="5" t="s">
        <v>251</v>
      </c>
      <c r="L41" s="5" t="s">
        <v>252</v>
      </c>
      <c r="M41" s="5" t="s">
        <v>194</v>
      </c>
      <c r="N41" s="5" t="s">
        <v>192</v>
      </c>
      <c r="O41" s="4">
        <v>850</v>
      </c>
      <c r="P41" s="5" t="s">
        <v>189</v>
      </c>
      <c r="Q41" s="4" t="s">
        <v>201</v>
      </c>
      <c r="R41" s="4" t="s">
        <v>201</v>
      </c>
      <c r="S41" s="4" t="s">
        <v>201</v>
      </c>
      <c r="T41" s="4" t="s">
        <v>201</v>
      </c>
      <c r="U41" s="4" t="s">
        <v>201</v>
      </c>
      <c r="V41" s="4" t="s">
        <v>201</v>
      </c>
      <c r="W41" s="4" t="s">
        <v>201</v>
      </c>
      <c r="X41" s="4" t="s">
        <v>201</v>
      </c>
      <c r="Y41" s="4" t="s">
        <v>201</v>
      </c>
      <c r="Z41" s="9">
        <v>141.47499999999999</v>
      </c>
      <c r="AA41" s="4" t="s">
        <v>207</v>
      </c>
      <c r="AB41" s="4">
        <v>5578.97</v>
      </c>
      <c r="AC41" s="4" t="s">
        <v>201</v>
      </c>
      <c r="AD41" s="4" t="s">
        <v>201</v>
      </c>
      <c r="AE41" s="4" t="s">
        <v>201</v>
      </c>
      <c r="AF41" s="5" t="s">
        <v>176</v>
      </c>
      <c r="AG41" s="5" t="s">
        <v>178</v>
      </c>
      <c r="AH41" s="12">
        <v>1.2971666666666666</v>
      </c>
      <c r="AI41" s="9">
        <v>-110.5215</v>
      </c>
      <c r="AJ41" s="37">
        <v>-4197</v>
      </c>
      <c r="AK41" s="4" t="s">
        <v>201</v>
      </c>
      <c r="AL41" s="4" t="s">
        <v>201</v>
      </c>
      <c r="AM41" s="4" t="s">
        <v>201</v>
      </c>
      <c r="AN41" s="4" t="s">
        <v>201</v>
      </c>
      <c r="AO41" s="5" t="s">
        <v>236</v>
      </c>
      <c r="AP41" s="4" t="s">
        <v>201</v>
      </c>
      <c r="AQ41" s="4" t="s">
        <v>201</v>
      </c>
      <c r="AR41" s="4" t="s">
        <v>201</v>
      </c>
      <c r="AS41" s="4" t="s">
        <v>201</v>
      </c>
      <c r="AT41" s="4" t="s">
        <v>201</v>
      </c>
      <c r="AU41" s="4" t="s">
        <v>201</v>
      </c>
      <c r="AV41" s="4" t="s">
        <v>201</v>
      </c>
      <c r="AW41" s="4" t="s">
        <v>201</v>
      </c>
      <c r="AX41" s="4">
        <v>2.0067010472825246</v>
      </c>
      <c r="AY41" s="4">
        <v>0.13</v>
      </c>
      <c r="AZ41" s="4" t="s">
        <v>203</v>
      </c>
      <c r="BA41" s="4" t="s">
        <v>201</v>
      </c>
      <c r="BB41" s="4">
        <v>-0.93227846401482573</v>
      </c>
      <c r="BC41" s="4">
        <v>0.24</v>
      </c>
      <c r="BD41" s="4" t="s">
        <v>203</v>
      </c>
      <c r="BE41" s="4" t="s">
        <v>201</v>
      </c>
      <c r="BF41" s="5" t="s">
        <v>181</v>
      </c>
      <c r="BG41" s="5" t="s">
        <v>182</v>
      </c>
      <c r="BH41" s="4">
        <v>0</v>
      </c>
      <c r="BI41" s="4" t="s">
        <v>201</v>
      </c>
      <c r="BJ41" s="4" t="s">
        <v>201</v>
      </c>
      <c r="BK41" s="4" t="s">
        <v>201</v>
      </c>
      <c r="BL41" s="4" t="s">
        <v>201</v>
      </c>
      <c r="BM41" s="4" t="s">
        <v>201</v>
      </c>
      <c r="BN41" s="4" t="s">
        <v>201</v>
      </c>
      <c r="BO41" s="4" t="s">
        <v>201</v>
      </c>
      <c r="BP41" s="4" t="s">
        <v>201</v>
      </c>
      <c r="BQ41" s="4" t="s">
        <v>201</v>
      </c>
      <c r="BR41" s="4" t="s">
        <v>201</v>
      </c>
      <c r="BS41" s="5" t="s">
        <v>183</v>
      </c>
      <c r="BT41" s="4">
        <v>-25.009103530267424</v>
      </c>
      <c r="BU41" s="5" t="s">
        <v>184</v>
      </c>
      <c r="BV41" s="4">
        <v>0.31</v>
      </c>
      <c r="BW41" s="4" t="s">
        <v>201</v>
      </c>
      <c r="BX41" s="4" t="s">
        <v>202</v>
      </c>
      <c r="BY41" s="4">
        <v>4.2</v>
      </c>
      <c r="BZ41" s="4" t="s">
        <v>201</v>
      </c>
      <c r="CA41" s="4" t="s">
        <v>201</v>
      </c>
      <c r="CB41" s="4">
        <v>-20.914141765094541</v>
      </c>
      <c r="CC41" s="4" t="s">
        <v>201</v>
      </c>
      <c r="CD41" s="4" t="s">
        <v>201</v>
      </c>
      <c r="CE41" s="4" t="s">
        <v>201</v>
      </c>
      <c r="CF41" s="4" t="s">
        <v>201</v>
      </c>
      <c r="CG41" s="4">
        <v>35</v>
      </c>
      <c r="CH41" s="4">
        <v>1</v>
      </c>
      <c r="CI41" s="4" t="s">
        <v>204</v>
      </c>
      <c r="CJ41" s="5" t="s">
        <v>185</v>
      </c>
      <c r="CK41" s="4">
        <v>0.82</v>
      </c>
      <c r="CL41" s="4">
        <v>0.1</v>
      </c>
      <c r="CM41" s="4">
        <v>0.1</v>
      </c>
      <c r="CN41" s="4" t="s">
        <v>204</v>
      </c>
      <c r="CO41" s="5" t="s">
        <v>186</v>
      </c>
      <c r="CP41" s="4" t="s">
        <v>201</v>
      </c>
      <c r="CQ41" s="4" t="s">
        <v>201</v>
      </c>
      <c r="CR41" s="4">
        <f t="shared" si="10"/>
        <v>26.728792956833136</v>
      </c>
      <c r="CS41" s="4" t="s">
        <v>201</v>
      </c>
      <c r="CT41" s="4" t="s">
        <v>201</v>
      </c>
      <c r="CU41" s="4" t="s">
        <v>201</v>
      </c>
      <c r="CV41" s="4" t="s">
        <v>211</v>
      </c>
      <c r="CW41" s="4">
        <v>0.94487131204456787</v>
      </c>
      <c r="CX41" s="4" t="s">
        <v>201</v>
      </c>
      <c r="CY41" s="4">
        <v>26.89497531864351</v>
      </c>
      <c r="CZ41" s="4" t="s">
        <v>201</v>
      </c>
      <c r="DA41" s="4" t="s">
        <v>201</v>
      </c>
      <c r="DB41" s="4" t="s">
        <v>201</v>
      </c>
      <c r="DC41" s="5" t="s">
        <v>190</v>
      </c>
      <c r="DD41" s="4" t="s">
        <v>205</v>
      </c>
      <c r="DE41" s="4" t="s">
        <v>201</v>
      </c>
      <c r="DF41" s="4" t="s">
        <v>201</v>
      </c>
      <c r="DG41" s="4" t="s">
        <v>201</v>
      </c>
      <c r="DH41" s="4" t="s">
        <v>201</v>
      </c>
      <c r="DI41" s="4">
        <v>26.562610595022761</v>
      </c>
      <c r="DJ41" s="4" t="s">
        <v>201</v>
      </c>
      <c r="DK41" s="4" t="s">
        <v>201</v>
      </c>
      <c r="DL41" s="4" t="s">
        <v>201</v>
      </c>
      <c r="DM41" s="4" t="s">
        <v>206</v>
      </c>
      <c r="DN41" s="4" t="s">
        <v>201</v>
      </c>
      <c r="DO41" s="4" t="s">
        <v>201</v>
      </c>
      <c r="DP41" s="4" t="s">
        <v>201</v>
      </c>
      <c r="DQ41" s="4" t="s">
        <v>201</v>
      </c>
      <c r="DR41" s="4" t="s">
        <v>201</v>
      </c>
      <c r="DS41" s="4" t="s">
        <v>201</v>
      </c>
      <c r="DT41" s="4" t="s">
        <v>201</v>
      </c>
      <c r="DU41" s="4" t="s">
        <v>201</v>
      </c>
      <c r="DV41" s="4" t="s">
        <v>201</v>
      </c>
      <c r="DW41" s="4" t="s">
        <v>201</v>
      </c>
      <c r="DX41" s="4" t="s">
        <v>201</v>
      </c>
      <c r="DY41" s="4" t="s">
        <v>201</v>
      </c>
      <c r="DZ41" s="4" t="s">
        <v>201</v>
      </c>
      <c r="EA41" s="4" t="s">
        <v>201</v>
      </c>
      <c r="EB41" s="4" t="s">
        <v>201</v>
      </c>
      <c r="EC41" s="4" t="s">
        <v>201</v>
      </c>
      <c r="ED41" s="4" t="s">
        <v>201</v>
      </c>
      <c r="EE41" s="4" t="s">
        <v>201</v>
      </c>
      <c r="EF41" s="4" t="s">
        <v>201</v>
      </c>
      <c r="EG41" s="4" t="s">
        <v>201</v>
      </c>
      <c r="EH41" s="4" t="s">
        <v>201</v>
      </c>
      <c r="EI41" s="4" t="s">
        <v>201</v>
      </c>
      <c r="EJ41" s="4" t="s">
        <v>201</v>
      </c>
      <c r="EK41" s="4" t="s">
        <v>201</v>
      </c>
      <c r="EL41" s="4" t="s">
        <v>201</v>
      </c>
      <c r="EM41" s="4" t="s">
        <v>201</v>
      </c>
      <c r="EN41" s="4" t="s">
        <v>201</v>
      </c>
      <c r="EO41" s="4" t="s">
        <v>201</v>
      </c>
      <c r="EP41" s="4" t="s">
        <v>201</v>
      </c>
      <c r="EQ41" s="4" t="s">
        <v>201</v>
      </c>
      <c r="ER41" s="4">
        <v>167.97479999999999</v>
      </c>
      <c r="ES41" s="4" t="s">
        <v>201</v>
      </c>
      <c r="ET41" s="4" t="s">
        <v>201</v>
      </c>
      <c r="EU41" s="4" t="s">
        <v>201</v>
      </c>
      <c r="EV41" s="5" t="s">
        <v>187</v>
      </c>
      <c r="EW41" s="4">
        <v>25</v>
      </c>
      <c r="EX41" s="4">
        <v>13.387162817155795</v>
      </c>
      <c r="EY41" s="4">
        <v>2.0731916028138286E-2</v>
      </c>
      <c r="EZ41" s="4">
        <v>2.0731916028138286E-2</v>
      </c>
      <c r="FA41" s="4" t="s">
        <v>201</v>
      </c>
      <c r="FB41" s="5" t="s">
        <v>250</v>
      </c>
      <c r="FC41" s="4" t="s">
        <v>201</v>
      </c>
      <c r="FD41" s="4" t="s">
        <v>201</v>
      </c>
      <c r="FE41" s="4" t="s">
        <v>201</v>
      </c>
      <c r="FF41" s="4" t="s">
        <v>201</v>
      </c>
      <c r="FG41" s="4" t="s">
        <v>217</v>
      </c>
      <c r="FH41" s="4">
        <v>538.41091281446631</v>
      </c>
      <c r="FI41" s="4">
        <f t="shared" si="8"/>
        <v>40.380818461084971</v>
      </c>
      <c r="FJ41" s="4">
        <f t="shared" si="9"/>
        <v>40.380818461084971</v>
      </c>
      <c r="FK41" s="4" t="s">
        <v>203</v>
      </c>
      <c r="FL41" s="4" t="s">
        <v>216</v>
      </c>
      <c r="FM41" s="4" t="s">
        <v>249</v>
      </c>
      <c r="FN41" s="4" t="s">
        <v>201</v>
      </c>
      <c r="FO41" s="4" t="s">
        <v>201</v>
      </c>
      <c r="FP41" s="4" t="s">
        <v>201</v>
      </c>
      <c r="FQ41" s="4" t="s">
        <v>201</v>
      </c>
      <c r="FR41" s="4" t="s">
        <v>201</v>
      </c>
      <c r="FS41" s="4" t="s">
        <v>201</v>
      </c>
      <c r="FT41" s="4" t="s">
        <v>200</v>
      </c>
      <c r="FU41" s="4" t="s">
        <v>212</v>
      </c>
      <c r="FV41" s="45" t="s">
        <v>311</v>
      </c>
      <c r="FW41" s="4" t="s">
        <v>201</v>
      </c>
      <c r="FX41" s="4" t="s">
        <v>201</v>
      </c>
      <c r="FY41" s="4" t="s">
        <v>247</v>
      </c>
    </row>
    <row r="42" spans="1:181" s="4" customFormat="1" x14ac:dyDescent="0.15">
      <c r="A42" s="3" t="s">
        <v>258</v>
      </c>
      <c r="B42" s="3" t="s">
        <v>193</v>
      </c>
      <c r="C42">
        <v>2017</v>
      </c>
      <c r="D42" s="22" t="str">
        <f t="shared" si="1"/>
        <v>10.1016/j.epsl.2017.03.016</v>
      </c>
      <c r="E42" s="22">
        <f t="shared" si="2"/>
        <v>5761.21</v>
      </c>
      <c r="F42" s="22" t="str">
        <f t="shared" si="3"/>
        <v>NA</v>
      </c>
      <c r="G42" s="22" t="str">
        <f t="shared" si="4"/>
        <v>NA</v>
      </c>
      <c r="H42" s="22">
        <f t="shared" si="5"/>
        <v>546.76583690523523</v>
      </c>
      <c r="I42" s="36">
        <f t="shared" si="6"/>
        <v>41.00743776789264</v>
      </c>
      <c r="J42" s="36">
        <f t="shared" si="7"/>
        <v>41.00743776789264</v>
      </c>
      <c r="K42" s="5" t="s">
        <v>251</v>
      </c>
      <c r="L42" s="5" t="s">
        <v>252</v>
      </c>
      <c r="M42" s="5" t="s">
        <v>194</v>
      </c>
      <c r="N42" s="5" t="s">
        <v>192</v>
      </c>
      <c r="O42" s="4">
        <v>850</v>
      </c>
      <c r="P42" s="5" t="s">
        <v>189</v>
      </c>
      <c r="Q42" s="4" t="s">
        <v>201</v>
      </c>
      <c r="R42" s="4" t="s">
        <v>201</v>
      </c>
      <c r="S42" s="4" t="s">
        <v>201</v>
      </c>
      <c r="T42" s="4" t="s">
        <v>201</v>
      </c>
      <c r="U42" s="4" t="s">
        <v>201</v>
      </c>
      <c r="V42" s="4" t="s">
        <v>201</v>
      </c>
      <c r="W42" s="4" t="s">
        <v>201</v>
      </c>
      <c r="X42" s="4" t="s">
        <v>201</v>
      </c>
      <c r="Y42" s="4" t="s">
        <v>201</v>
      </c>
      <c r="Z42" s="9">
        <v>150.32499999999999</v>
      </c>
      <c r="AA42" s="4" t="s">
        <v>207</v>
      </c>
      <c r="AB42" s="4">
        <v>5761.21</v>
      </c>
      <c r="AC42" s="4" t="s">
        <v>201</v>
      </c>
      <c r="AD42" s="4" t="s">
        <v>201</v>
      </c>
      <c r="AE42" s="4" t="s">
        <v>201</v>
      </c>
      <c r="AF42" s="5" t="s">
        <v>176</v>
      </c>
      <c r="AG42" s="5" t="s">
        <v>178</v>
      </c>
      <c r="AH42" s="12">
        <v>1.2971666666666666</v>
      </c>
      <c r="AI42" s="9">
        <v>-110.5215</v>
      </c>
      <c r="AJ42" s="37">
        <v>-4197</v>
      </c>
      <c r="AK42" s="4" t="s">
        <v>201</v>
      </c>
      <c r="AL42" s="4" t="s">
        <v>201</v>
      </c>
      <c r="AM42" s="4" t="s">
        <v>201</v>
      </c>
      <c r="AN42" s="4" t="s">
        <v>201</v>
      </c>
      <c r="AO42" s="5" t="s">
        <v>236</v>
      </c>
      <c r="AP42" s="4" t="s">
        <v>201</v>
      </c>
      <c r="AQ42" s="4" t="s">
        <v>201</v>
      </c>
      <c r="AR42" s="4" t="s">
        <v>201</v>
      </c>
      <c r="AS42" s="4" t="s">
        <v>201</v>
      </c>
      <c r="AT42" s="4" t="s">
        <v>201</v>
      </c>
      <c r="AU42" s="4" t="s">
        <v>201</v>
      </c>
      <c r="AV42" s="4" t="s">
        <v>201</v>
      </c>
      <c r="AW42" s="4" t="s">
        <v>201</v>
      </c>
      <c r="AX42" s="4">
        <v>1.8617869173680865</v>
      </c>
      <c r="AY42" s="4">
        <v>0.13</v>
      </c>
      <c r="AZ42" s="4" t="s">
        <v>203</v>
      </c>
      <c r="BA42" s="4" t="s">
        <v>201</v>
      </c>
      <c r="BB42" s="4">
        <v>-0.64406927384020118</v>
      </c>
      <c r="BC42" s="4">
        <v>0.24</v>
      </c>
      <c r="BD42" s="4" t="s">
        <v>203</v>
      </c>
      <c r="BE42" s="4" t="s">
        <v>201</v>
      </c>
      <c r="BF42" s="5" t="s">
        <v>181</v>
      </c>
      <c r="BG42" s="5" t="s">
        <v>182</v>
      </c>
      <c r="BH42" s="4">
        <v>0</v>
      </c>
      <c r="BI42" s="4" t="s">
        <v>201</v>
      </c>
      <c r="BJ42" s="4" t="s">
        <v>201</v>
      </c>
      <c r="BK42" s="4" t="s">
        <v>201</v>
      </c>
      <c r="BL42" s="4" t="s">
        <v>201</v>
      </c>
      <c r="BM42" s="4" t="s">
        <v>201</v>
      </c>
      <c r="BN42" s="4" t="s">
        <v>201</v>
      </c>
      <c r="BO42" s="4" t="s">
        <v>201</v>
      </c>
      <c r="BP42" s="4" t="s">
        <v>201</v>
      </c>
      <c r="BQ42" s="4" t="s">
        <v>201</v>
      </c>
      <c r="BR42" s="4" t="s">
        <v>201</v>
      </c>
      <c r="BS42" s="5" t="s">
        <v>183</v>
      </c>
      <c r="BT42" s="4">
        <v>-25.276526177597468</v>
      </c>
      <c r="BU42" s="5" t="s">
        <v>184</v>
      </c>
      <c r="BV42" s="4">
        <v>0.31</v>
      </c>
      <c r="BW42" s="4" t="s">
        <v>201</v>
      </c>
      <c r="BX42" s="4" t="s">
        <v>202</v>
      </c>
      <c r="BY42" s="4">
        <v>4.2</v>
      </c>
      <c r="BZ42" s="4" t="s">
        <v>201</v>
      </c>
      <c r="CA42" s="4" t="s">
        <v>201</v>
      </c>
      <c r="CB42" s="4">
        <v>-21.182687587543455</v>
      </c>
      <c r="CC42" s="4" t="s">
        <v>201</v>
      </c>
      <c r="CD42" s="4" t="s">
        <v>201</v>
      </c>
      <c r="CE42" s="4" t="s">
        <v>201</v>
      </c>
      <c r="CF42" s="4" t="s">
        <v>201</v>
      </c>
      <c r="CG42" s="4">
        <v>35</v>
      </c>
      <c r="CH42" s="4">
        <v>1</v>
      </c>
      <c r="CI42" s="4" t="s">
        <v>204</v>
      </c>
      <c r="CJ42" s="5" t="s">
        <v>185</v>
      </c>
      <c r="CK42" s="4">
        <v>0.82</v>
      </c>
      <c r="CL42" s="4">
        <v>0.1</v>
      </c>
      <c r="CM42" s="4">
        <v>0.1</v>
      </c>
      <c r="CN42" s="4" t="s">
        <v>204</v>
      </c>
      <c r="CO42" s="5" t="s">
        <v>186</v>
      </c>
      <c r="CP42" s="4" t="s">
        <v>201</v>
      </c>
      <c r="CQ42" s="4" t="s">
        <v>201</v>
      </c>
      <c r="CR42" s="4">
        <f t="shared" si="10"/>
        <v>26.880757903282355</v>
      </c>
      <c r="CS42" s="4" t="s">
        <v>201</v>
      </c>
      <c r="CT42" s="4" t="s">
        <v>201</v>
      </c>
      <c r="CU42" s="4" t="s">
        <v>201</v>
      </c>
      <c r="CV42" s="4" t="s">
        <v>211</v>
      </c>
      <c r="CW42" s="4">
        <v>0.94235431968508776</v>
      </c>
      <c r="CX42" s="4" t="s">
        <v>201</v>
      </c>
      <c r="CY42" s="4">
        <v>26.819777654911682</v>
      </c>
      <c r="CZ42" s="4" t="s">
        <v>201</v>
      </c>
      <c r="DA42" s="4" t="s">
        <v>201</v>
      </c>
      <c r="DB42" s="4" t="s">
        <v>201</v>
      </c>
      <c r="DC42" s="5" t="s">
        <v>190</v>
      </c>
      <c r="DD42" s="4" t="s">
        <v>205</v>
      </c>
      <c r="DE42" s="4" t="s">
        <v>201</v>
      </c>
      <c r="DF42" s="4" t="s">
        <v>201</v>
      </c>
      <c r="DG42" s="4" t="s">
        <v>201</v>
      </c>
      <c r="DH42" s="4" t="s">
        <v>201</v>
      </c>
      <c r="DI42" s="4">
        <v>26.941738151653027</v>
      </c>
      <c r="DJ42" s="4" t="s">
        <v>201</v>
      </c>
      <c r="DK42" s="4" t="s">
        <v>201</v>
      </c>
      <c r="DL42" s="4" t="s">
        <v>201</v>
      </c>
      <c r="DM42" s="4" t="s">
        <v>206</v>
      </c>
      <c r="DN42" s="4" t="s">
        <v>201</v>
      </c>
      <c r="DO42" s="4" t="s">
        <v>201</v>
      </c>
      <c r="DP42" s="4" t="s">
        <v>201</v>
      </c>
      <c r="DQ42" s="4" t="s">
        <v>201</v>
      </c>
      <c r="DR42" s="4" t="s">
        <v>201</v>
      </c>
      <c r="DS42" s="4" t="s">
        <v>201</v>
      </c>
      <c r="DT42" s="4" t="s">
        <v>201</v>
      </c>
      <c r="DU42" s="4" t="s">
        <v>201</v>
      </c>
      <c r="DV42" s="4" t="s">
        <v>201</v>
      </c>
      <c r="DW42" s="4" t="s">
        <v>201</v>
      </c>
      <c r="DX42" s="4" t="s">
        <v>201</v>
      </c>
      <c r="DY42" s="4" t="s">
        <v>201</v>
      </c>
      <c r="DZ42" s="4" t="s">
        <v>201</v>
      </c>
      <c r="EA42" s="4" t="s">
        <v>201</v>
      </c>
      <c r="EB42" s="4" t="s">
        <v>201</v>
      </c>
      <c r="EC42" s="4" t="s">
        <v>201</v>
      </c>
      <c r="ED42" s="4" t="s">
        <v>201</v>
      </c>
      <c r="EE42" s="4" t="s">
        <v>201</v>
      </c>
      <c r="EF42" s="4" t="s">
        <v>201</v>
      </c>
      <c r="EG42" s="4" t="s">
        <v>201</v>
      </c>
      <c r="EH42" s="4" t="s">
        <v>201</v>
      </c>
      <c r="EI42" s="4" t="s">
        <v>201</v>
      </c>
      <c r="EJ42" s="4" t="s">
        <v>201</v>
      </c>
      <c r="EK42" s="4" t="s">
        <v>201</v>
      </c>
      <c r="EL42" s="4" t="s">
        <v>201</v>
      </c>
      <c r="EM42" s="4" t="s">
        <v>201</v>
      </c>
      <c r="EN42" s="4" t="s">
        <v>201</v>
      </c>
      <c r="EO42" s="4" t="s">
        <v>201</v>
      </c>
      <c r="EP42" s="4" t="s">
        <v>201</v>
      </c>
      <c r="EQ42" s="4" t="s">
        <v>201</v>
      </c>
      <c r="ER42" s="4">
        <v>167.97479999999999</v>
      </c>
      <c r="ES42" s="4" t="s">
        <v>201</v>
      </c>
      <c r="ET42" s="4" t="s">
        <v>201</v>
      </c>
      <c r="EU42" s="4" t="s">
        <v>201</v>
      </c>
      <c r="EV42" s="5" t="s">
        <v>187</v>
      </c>
      <c r="EW42" s="4">
        <v>25</v>
      </c>
      <c r="EX42" s="4">
        <v>13.509257006070419</v>
      </c>
      <c r="EY42" s="4">
        <v>7.6084235185458482E-3</v>
      </c>
      <c r="EZ42" s="4">
        <v>7.6084235185458482E-3</v>
      </c>
      <c r="FA42" s="4" t="s">
        <v>201</v>
      </c>
      <c r="FB42" s="5" t="s">
        <v>250</v>
      </c>
      <c r="FC42" s="4" t="s">
        <v>201</v>
      </c>
      <c r="FD42" s="4" t="s">
        <v>201</v>
      </c>
      <c r="FE42" s="4" t="s">
        <v>201</v>
      </c>
      <c r="FF42" s="4" t="s">
        <v>201</v>
      </c>
      <c r="FG42" s="4" t="s">
        <v>217</v>
      </c>
      <c r="FH42" s="4">
        <v>546.76583690523523</v>
      </c>
      <c r="FI42" s="4">
        <f t="shared" si="8"/>
        <v>41.00743776789264</v>
      </c>
      <c r="FJ42" s="4">
        <f t="shared" si="9"/>
        <v>41.00743776789264</v>
      </c>
      <c r="FK42" s="4" t="s">
        <v>203</v>
      </c>
      <c r="FL42" s="4" t="s">
        <v>216</v>
      </c>
      <c r="FM42" s="4" t="s">
        <v>249</v>
      </c>
      <c r="FN42" s="4" t="s">
        <v>201</v>
      </c>
      <c r="FO42" s="4" t="s">
        <v>201</v>
      </c>
      <c r="FP42" s="4" t="s">
        <v>201</v>
      </c>
      <c r="FQ42" s="4" t="s">
        <v>201</v>
      </c>
      <c r="FR42" s="4" t="s">
        <v>201</v>
      </c>
      <c r="FS42" s="4" t="s">
        <v>201</v>
      </c>
      <c r="FT42" s="4" t="s">
        <v>200</v>
      </c>
      <c r="FU42" s="4" t="s">
        <v>212</v>
      </c>
      <c r="FV42" s="45" t="s">
        <v>312</v>
      </c>
      <c r="FW42" s="4" t="s">
        <v>201</v>
      </c>
      <c r="FX42" s="4" t="s">
        <v>201</v>
      </c>
      <c r="FY42" s="4" t="s">
        <v>247</v>
      </c>
    </row>
    <row r="43" spans="1:181" s="6" customFormat="1" x14ac:dyDescent="0.15">
      <c r="A43" s="3" t="s">
        <v>258</v>
      </c>
      <c r="B43" s="3" t="s">
        <v>193</v>
      </c>
      <c r="C43">
        <v>2017</v>
      </c>
      <c r="D43" s="22" t="str">
        <f t="shared" si="1"/>
        <v>10.1016/j.epsl.2017.03.016</v>
      </c>
      <c r="E43" s="22">
        <f t="shared" si="2"/>
        <v>5943.44</v>
      </c>
      <c r="F43" s="22" t="str">
        <f t="shared" si="3"/>
        <v>NA</v>
      </c>
      <c r="G43" s="22" t="str">
        <f t="shared" si="4"/>
        <v>NA</v>
      </c>
      <c r="H43" s="22">
        <f t="shared" si="5"/>
        <v>567.47127485637839</v>
      </c>
      <c r="I43" s="36">
        <f t="shared" si="6"/>
        <v>42.560345614228375</v>
      </c>
      <c r="J43" s="36">
        <f t="shared" si="7"/>
        <v>42.560345614228375</v>
      </c>
      <c r="K43" s="7" t="s">
        <v>251</v>
      </c>
      <c r="L43" s="7" t="s">
        <v>252</v>
      </c>
      <c r="M43" s="7" t="s">
        <v>194</v>
      </c>
      <c r="N43" s="7" t="s">
        <v>192</v>
      </c>
      <c r="O43" s="6">
        <v>850</v>
      </c>
      <c r="P43" s="7" t="s">
        <v>189</v>
      </c>
      <c r="Q43" s="6">
        <v>16</v>
      </c>
      <c r="R43" s="6" t="s">
        <v>210</v>
      </c>
      <c r="S43" s="6" t="s">
        <v>209</v>
      </c>
      <c r="T43" s="6">
        <v>4</v>
      </c>
      <c r="U43" s="6" t="s">
        <v>201</v>
      </c>
      <c r="V43" s="6" t="s">
        <v>201</v>
      </c>
      <c r="W43" s="6" t="s">
        <v>201</v>
      </c>
      <c r="X43" s="6" t="s">
        <v>201</v>
      </c>
      <c r="Y43" s="6" t="s">
        <v>201</v>
      </c>
      <c r="Z43" s="8">
        <v>159.17500000000001</v>
      </c>
      <c r="AA43" s="6" t="s">
        <v>207</v>
      </c>
      <c r="AB43" s="6">
        <v>5943.44</v>
      </c>
      <c r="AC43" s="6" t="s">
        <v>201</v>
      </c>
      <c r="AD43" s="6" t="s">
        <v>201</v>
      </c>
      <c r="AE43" s="6" t="s">
        <v>201</v>
      </c>
      <c r="AF43" s="7" t="s">
        <v>176</v>
      </c>
      <c r="AG43" s="7" t="s">
        <v>178</v>
      </c>
      <c r="AH43" s="11">
        <v>1.2971666666666666</v>
      </c>
      <c r="AI43" s="8">
        <v>-110.5215</v>
      </c>
      <c r="AJ43" s="6">
        <v>-4197</v>
      </c>
      <c r="AK43" s="6" t="s">
        <v>201</v>
      </c>
      <c r="AL43" s="6" t="s">
        <v>201</v>
      </c>
      <c r="AM43" s="6" t="s">
        <v>201</v>
      </c>
      <c r="AN43" s="6" t="s">
        <v>201</v>
      </c>
      <c r="AO43" s="7" t="s">
        <v>236</v>
      </c>
      <c r="AP43" s="6" t="s">
        <v>201</v>
      </c>
      <c r="AQ43" s="6" t="s">
        <v>201</v>
      </c>
      <c r="AR43" s="6" t="s">
        <v>201</v>
      </c>
      <c r="AS43" s="6" t="s">
        <v>201</v>
      </c>
      <c r="AT43" s="6" t="s">
        <v>201</v>
      </c>
      <c r="AU43" s="6" t="s">
        <v>201</v>
      </c>
      <c r="AV43" s="6" t="s">
        <v>201</v>
      </c>
      <c r="AW43" s="6" t="s">
        <v>201</v>
      </c>
      <c r="AX43" s="6">
        <v>1.6669226182521186</v>
      </c>
      <c r="AY43" s="6">
        <v>0.13</v>
      </c>
      <c r="AZ43" s="6" t="s">
        <v>203</v>
      </c>
      <c r="BA43" s="6" t="s">
        <v>201</v>
      </c>
      <c r="BB43" s="6">
        <v>0.34543971594033701</v>
      </c>
      <c r="BC43" s="6">
        <v>0.24</v>
      </c>
      <c r="BD43" s="6" t="s">
        <v>203</v>
      </c>
      <c r="BE43" s="6" t="s">
        <v>201</v>
      </c>
      <c r="BF43" s="7" t="s">
        <v>181</v>
      </c>
      <c r="BG43" s="7" t="s">
        <v>182</v>
      </c>
      <c r="BH43" s="6">
        <v>0</v>
      </c>
      <c r="BI43" s="6" t="s">
        <v>201</v>
      </c>
      <c r="BJ43" s="6" t="s">
        <v>201</v>
      </c>
      <c r="BK43" s="6" t="s">
        <v>201</v>
      </c>
      <c r="BL43" s="6" t="s">
        <v>201</v>
      </c>
      <c r="BM43" s="6" t="s">
        <v>201</v>
      </c>
      <c r="BN43" s="6" t="s">
        <v>201</v>
      </c>
      <c r="BO43" s="6" t="s">
        <v>201</v>
      </c>
      <c r="BP43" s="6" t="s">
        <v>201</v>
      </c>
      <c r="BQ43" s="6" t="s">
        <v>201</v>
      </c>
      <c r="BR43" s="6" t="s">
        <v>201</v>
      </c>
      <c r="BS43" s="7" t="s">
        <v>183</v>
      </c>
      <c r="BT43" s="6">
        <v>-25.908167497291437</v>
      </c>
      <c r="BU43" s="7" t="s">
        <v>184</v>
      </c>
      <c r="BV43" s="6">
        <v>0.31</v>
      </c>
      <c r="BW43" s="6" t="s">
        <v>201</v>
      </c>
      <c r="BX43" s="6" t="s">
        <v>202</v>
      </c>
      <c r="BY43" s="6">
        <v>4.2</v>
      </c>
      <c r="BZ43" s="6" t="s">
        <v>201</v>
      </c>
      <c r="CA43" s="6" t="s">
        <v>201</v>
      </c>
      <c r="CB43" s="6">
        <v>-21.816981800780013</v>
      </c>
      <c r="CC43" s="6" t="s">
        <v>201</v>
      </c>
      <c r="CD43" s="6" t="s">
        <v>201</v>
      </c>
      <c r="CE43" s="6" t="s">
        <v>201</v>
      </c>
      <c r="CF43" s="6" t="s">
        <v>201</v>
      </c>
      <c r="CG43" s="6">
        <v>35</v>
      </c>
      <c r="CH43" s="6">
        <v>1</v>
      </c>
      <c r="CI43" s="6" t="s">
        <v>204</v>
      </c>
      <c r="CJ43" s="7" t="s">
        <v>185</v>
      </c>
      <c r="CK43" s="6">
        <v>0.82</v>
      </c>
      <c r="CL43" s="6">
        <v>0.1</v>
      </c>
      <c r="CM43" s="6">
        <v>0.1</v>
      </c>
      <c r="CN43" s="6" t="s">
        <v>204</v>
      </c>
      <c r="CO43" s="7" t="s">
        <v>186</v>
      </c>
      <c r="CP43" s="6" t="s">
        <v>201</v>
      </c>
      <c r="CQ43" s="6" t="s">
        <v>201</v>
      </c>
      <c r="CR43" s="6">
        <f t="shared" si="10"/>
        <v>26.83013</v>
      </c>
      <c r="CS43" s="6" t="s">
        <v>201</v>
      </c>
      <c r="CT43" s="6" t="s">
        <v>201</v>
      </c>
      <c r="CU43" s="6" t="s">
        <v>201</v>
      </c>
      <c r="CV43" s="6" t="s">
        <v>211</v>
      </c>
      <c r="CW43" s="6">
        <v>0.93821528986477432</v>
      </c>
      <c r="CX43" s="6" t="s">
        <v>201</v>
      </c>
      <c r="CY43" s="6">
        <v>26.696120000000001</v>
      </c>
      <c r="CZ43" s="6" t="s">
        <v>201</v>
      </c>
      <c r="DA43" s="6" t="s">
        <v>201</v>
      </c>
      <c r="DB43" s="6" t="s">
        <v>201</v>
      </c>
      <c r="DC43" s="7" t="s">
        <v>190</v>
      </c>
      <c r="DD43" s="6" t="s">
        <v>205</v>
      </c>
      <c r="DE43" s="6" t="s">
        <v>201</v>
      </c>
      <c r="DF43" s="6" t="s">
        <v>201</v>
      </c>
      <c r="DG43" s="6" t="s">
        <v>201</v>
      </c>
      <c r="DH43" s="6" t="s">
        <v>201</v>
      </c>
      <c r="DI43" s="6">
        <v>26.96414</v>
      </c>
      <c r="DJ43" s="6" t="s">
        <v>201</v>
      </c>
      <c r="DK43" s="6" t="s">
        <v>201</v>
      </c>
      <c r="DL43" s="6" t="s">
        <v>201</v>
      </c>
      <c r="DM43" s="6" t="s">
        <v>206</v>
      </c>
      <c r="DN43" s="6" t="s">
        <v>201</v>
      </c>
      <c r="DO43" s="6" t="s">
        <v>201</v>
      </c>
      <c r="DP43" s="6" t="s">
        <v>201</v>
      </c>
      <c r="DQ43" s="6" t="s">
        <v>201</v>
      </c>
      <c r="DR43" s="6" t="s">
        <v>201</v>
      </c>
      <c r="DS43" s="6" t="s">
        <v>201</v>
      </c>
      <c r="DT43" s="6" t="s">
        <v>201</v>
      </c>
      <c r="DU43" s="6" t="s">
        <v>201</v>
      </c>
      <c r="DV43" s="6" t="s">
        <v>201</v>
      </c>
      <c r="DW43" s="6" t="s">
        <v>201</v>
      </c>
      <c r="DX43" s="6">
        <v>3.3926380368098163</v>
      </c>
      <c r="DY43" s="6" t="s">
        <v>201</v>
      </c>
      <c r="DZ43" s="6" t="s">
        <v>201</v>
      </c>
      <c r="EA43" s="6" t="s">
        <v>201</v>
      </c>
      <c r="EB43" s="6" t="s">
        <v>201</v>
      </c>
      <c r="EC43" s="6" t="s">
        <v>201</v>
      </c>
      <c r="ED43" s="6" t="s">
        <v>201</v>
      </c>
      <c r="EE43" s="6" t="s">
        <v>201</v>
      </c>
      <c r="EF43" s="6" t="s">
        <v>201</v>
      </c>
      <c r="EG43" s="6" t="s">
        <v>201</v>
      </c>
      <c r="EH43" s="6" t="s">
        <v>201</v>
      </c>
      <c r="EI43" s="6" t="s">
        <v>201</v>
      </c>
      <c r="EJ43" s="6" t="s">
        <v>201</v>
      </c>
      <c r="EK43" s="6" t="s">
        <v>201</v>
      </c>
      <c r="EL43" s="6" t="s">
        <v>201</v>
      </c>
      <c r="EM43" s="6" t="s">
        <v>201</v>
      </c>
      <c r="EN43" s="6" t="s">
        <v>201</v>
      </c>
      <c r="EO43" s="6" t="s">
        <v>201</v>
      </c>
      <c r="EP43" s="6" t="s">
        <v>201</v>
      </c>
      <c r="EQ43" s="6" t="s">
        <v>201</v>
      </c>
      <c r="ER43" s="6">
        <v>167.97479999999999</v>
      </c>
      <c r="ES43" s="6" t="s">
        <v>201</v>
      </c>
      <c r="ET43" s="6" t="s">
        <v>201</v>
      </c>
      <c r="EU43" s="6" t="s">
        <v>201</v>
      </c>
      <c r="EV43" s="7" t="s">
        <v>187</v>
      </c>
      <c r="EW43" s="6">
        <v>25</v>
      </c>
      <c r="EX43" s="6">
        <v>13.951581076785624</v>
      </c>
      <c r="EY43" s="6">
        <v>1.6727479257960809E-2</v>
      </c>
      <c r="EZ43" s="6">
        <v>1.6727479257960809E-2</v>
      </c>
      <c r="FA43" s="6" t="s">
        <v>201</v>
      </c>
      <c r="FB43" s="7" t="s">
        <v>250</v>
      </c>
      <c r="FC43" s="6" t="s">
        <v>201</v>
      </c>
      <c r="FD43" s="6" t="s">
        <v>201</v>
      </c>
      <c r="FE43" s="6" t="s">
        <v>201</v>
      </c>
      <c r="FF43" s="6" t="s">
        <v>201</v>
      </c>
      <c r="FG43" s="6" t="s">
        <v>217</v>
      </c>
      <c r="FH43" s="6">
        <v>567.47127485637839</v>
      </c>
      <c r="FI43" s="6">
        <f t="shared" si="8"/>
        <v>42.560345614228375</v>
      </c>
      <c r="FJ43" s="6">
        <f t="shared" si="9"/>
        <v>42.560345614228375</v>
      </c>
      <c r="FK43" s="6" t="s">
        <v>203</v>
      </c>
      <c r="FL43" s="6" t="s">
        <v>216</v>
      </c>
      <c r="FM43" s="6" t="s">
        <v>249</v>
      </c>
      <c r="FN43" s="6" t="s">
        <v>201</v>
      </c>
      <c r="FO43" s="6" t="s">
        <v>201</v>
      </c>
      <c r="FP43" s="6" t="s">
        <v>201</v>
      </c>
      <c r="FQ43" s="6" t="s">
        <v>201</v>
      </c>
      <c r="FR43" s="6" t="s">
        <v>201</v>
      </c>
      <c r="FS43" s="6" t="s">
        <v>201</v>
      </c>
      <c r="FT43" s="6" t="s">
        <v>200</v>
      </c>
      <c r="FU43" s="6" t="s">
        <v>212</v>
      </c>
      <c r="FV43" s="44" t="s">
        <v>313</v>
      </c>
      <c r="FW43" s="6" t="s">
        <v>201</v>
      </c>
      <c r="FX43" s="6" t="s">
        <v>201</v>
      </c>
      <c r="FY43" s="6" t="s">
        <v>247</v>
      </c>
    </row>
    <row r="44" spans="1:181" s="4" customFormat="1" x14ac:dyDescent="0.15">
      <c r="A44" s="3" t="s">
        <v>258</v>
      </c>
      <c r="B44" s="3" t="s">
        <v>193</v>
      </c>
      <c r="C44">
        <v>2017</v>
      </c>
      <c r="D44" s="22" t="str">
        <f t="shared" si="1"/>
        <v>10.1016/j.epsl.2017.03.016</v>
      </c>
      <c r="E44" s="22">
        <f t="shared" si="2"/>
        <v>6303.22</v>
      </c>
      <c r="F44" s="22" t="str">
        <f t="shared" si="3"/>
        <v>NA</v>
      </c>
      <c r="G44" s="22" t="str">
        <f t="shared" si="4"/>
        <v>NA</v>
      </c>
      <c r="H44" s="22">
        <f t="shared" si="5"/>
        <v>558.313507429418</v>
      </c>
      <c r="I44" s="36">
        <f t="shared" si="6"/>
        <v>41.873513057206345</v>
      </c>
      <c r="J44" s="36">
        <f t="shared" si="7"/>
        <v>41.873513057206345</v>
      </c>
      <c r="K44" s="5" t="s">
        <v>251</v>
      </c>
      <c r="L44" s="5" t="s">
        <v>252</v>
      </c>
      <c r="M44" s="5" t="s">
        <v>194</v>
      </c>
      <c r="N44" s="5" t="s">
        <v>192</v>
      </c>
      <c r="O44" s="4">
        <v>850</v>
      </c>
      <c r="P44" s="5" t="s">
        <v>189</v>
      </c>
      <c r="Q44" s="4" t="s">
        <v>201</v>
      </c>
      <c r="R44" s="4" t="s">
        <v>201</v>
      </c>
      <c r="S44" s="4" t="s">
        <v>201</v>
      </c>
      <c r="T44" s="4" t="s">
        <v>201</v>
      </c>
      <c r="U44" s="4" t="s">
        <v>201</v>
      </c>
      <c r="V44" s="4" t="s">
        <v>201</v>
      </c>
      <c r="W44" s="4" t="s">
        <v>201</v>
      </c>
      <c r="X44" s="4" t="s">
        <v>201</v>
      </c>
      <c r="Y44" s="4" t="s">
        <v>201</v>
      </c>
      <c r="Z44" s="9">
        <v>176.875</v>
      </c>
      <c r="AA44" s="4" t="s">
        <v>207</v>
      </c>
      <c r="AB44" s="4">
        <v>6303.22</v>
      </c>
      <c r="AC44" s="4" t="s">
        <v>201</v>
      </c>
      <c r="AD44" s="4" t="s">
        <v>201</v>
      </c>
      <c r="AE44" s="4" t="s">
        <v>201</v>
      </c>
      <c r="AF44" s="5" t="s">
        <v>176</v>
      </c>
      <c r="AG44" s="5" t="s">
        <v>178</v>
      </c>
      <c r="AH44" s="12">
        <v>1.2971666666666666</v>
      </c>
      <c r="AI44" s="9">
        <v>-110.5215</v>
      </c>
      <c r="AJ44" s="37">
        <v>-4197</v>
      </c>
      <c r="AK44" s="4" t="s">
        <v>201</v>
      </c>
      <c r="AL44" s="4" t="s">
        <v>201</v>
      </c>
      <c r="AM44" s="4" t="s">
        <v>201</v>
      </c>
      <c r="AN44" s="4" t="s">
        <v>201</v>
      </c>
      <c r="AO44" s="5" t="s">
        <v>236</v>
      </c>
      <c r="AP44" s="4" t="s">
        <v>201</v>
      </c>
      <c r="AQ44" s="4" t="s">
        <v>201</v>
      </c>
      <c r="AR44" s="4" t="s">
        <v>201</v>
      </c>
      <c r="AS44" s="4" t="s">
        <v>201</v>
      </c>
      <c r="AT44" s="4" t="s">
        <v>201</v>
      </c>
      <c r="AU44" s="4" t="s">
        <v>201</v>
      </c>
      <c r="AV44" s="4" t="s">
        <v>201</v>
      </c>
      <c r="AW44" s="4" t="s">
        <v>201</v>
      </c>
      <c r="AX44" s="4">
        <v>2.0846903592540453</v>
      </c>
      <c r="AY44" s="4">
        <v>0.13</v>
      </c>
      <c r="AZ44" s="4" t="s">
        <v>203</v>
      </c>
      <c r="BA44" s="4" t="s">
        <v>201</v>
      </c>
      <c r="BB44" s="4">
        <v>0.81976341458168978</v>
      </c>
      <c r="BC44" s="4">
        <v>0.24</v>
      </c>
      <c r="BD44" s="4" t="s">
        <v>203</v>
      </c>
      <c r="BE44" s="4" t="s">
        <v>201</v>
      </c>
      <c r="BF44" s="5" t="s">
        <v>181</v>
      </c>
      <c r="BG44" s="5" t="s">
        <v>182</v>
      </c>
      <c r="BH44" s="4">
        <v>0</v>
      </c>
      <c r="BI44" s="4" t="s">
        <v>201</v>
      </c>
      <c r="BJ44" s="4" t="s">
        <v>201</v>
      </c>
      <c r="BK44" s="4" t="s">
        <v>201</v>
      </c>
      <c r="BL44" s="4" t="s">
        <v>201</v>
      </c>
      <c r="BM44" s="4" t="s">
        <v>201</v>
      </c>
      <c r="BN44" s="4" t="s">
        <v>201</v>
      </c>
      <c r="BO44" s="4" t="s">
        <v>201</v>
      </c>
      <c r="BP44" s="4" t="s">
        <v>201</v>
      </c>
      <c r="BQ44" s="4" t="s">
        <v>201</v>
      </c>
      <c r="BR44" s="4" t="s">
        <v>201</v>
      </c>
      <c r="BS44" s="5" t="s">
        <v>183</v>
      </c>
      <c r="BT44" s="4">
        <v>-25.59598454983761</v>
      </c>
      <c r="BU44" s="5" t="s">
        <v>184</v>
      </c>
      <c r="BV44" s="4">
        <v>0.31</v>
      </c>
      <c r="BW44" s="4" t="s">
        <v>201</v>
      </c>
      <c r="BX44" s="4" t="s">
        <v>202</v>
      </c>
      <c r="BY44" s="4">
        <v>4.2</v>
      </c>
      <c r="BZ44" s="4" t="s">
        <v>201</v>
      </c>
      <c r="CA44" s="4" t="s">
        <v>201</v>
      </c>
      <c r="CB44" s="4">
        <v>-21.50348768494689</v>
      </c>
      <c r="CC44" s="4" t="s">
        <v>201</v>
      </c>
      <c r="CD44" s="4" t="s">
        <v>201</v>
      </c>
      <c r="CE44" s="4" t="s">
        <v>201</v>
      </c>
      <c r="CF44" s="4" t="s">
        <v>201</v>
      </c>
      <c r="CG44" s="4">
        <v>35</v>
      </c>
      <c r="CH44" s="4">
        <v>1</v>
      </c>
      <c r="CI44" s="4" t="s">
        <v>204</v>
      </c>
      <c r="CJ44" s="5" t="s">
        <v>185</v>
      </c>
      <c r="CK44" s="4">
        <v>0.82</v>
      </c>
      <c r="CL44" s="4">
        <v>0.1</v>
      </c>
      <c r="CM44" s="4">
        <v>0.1</v>
      </c>
      <c r="CN44" s="4" t="s">
        <v>204</v>
      </c>
      <c r="CO44" s="5" t="s">
        <v>186</v>
      </c>
      <c r="CP44" s="4" t="s">
        <v>201</v>
      </c>
      <c r="CQ44" s="4" t="s">
        <v>201</v>
      </c>
      <c r="CR44" s="4">
        <f t="shared" si="10"/>
        <v>26.019150000000003</v>
      </c>
      <c r="CS44" s="4" t="s">
        <v>201</v>
      </c>
      <c r="CT44" s="4" t="s">
        <v>201</v>
      </c>
      <c r="CU44" s="4" t="s">
        <v>201</v>
      </c>
      <c r="CV44" s="4" t="s">
        <v>211</v>
      </c>
      <c r="CW44" s="4">
        <v>0.93903434194671309</v>
      </c>
      <c r="CX44" s="4" t="s">
        <v>201</v>
      </c>
      <c r="CY44" s="4">
        <v>26.720590000000001</v>
      </c>
      <c r="CZ44" s="4" t="s">
        <v>201</v>
      </c>
      <c r="DA44" s="4" t="s">
        <v>201</v>
      </c>
      <c r="DB44" s="4" t="s">
        <v>201</v>
      </c>
      <c r="DC44" s="5" t="s">
        <v>190</v>
      </c>
      <c r="DD44" s="4" t="s">
        <v>205</v>
      </c>
      <c r="DE44" s="4" t="s">
        <v>201</v>
      </c>
      <c r="DF44" s="4" t="s">
        <v>201</v>
      </c>
      <c r="DG44" s="4" t="s">
        <v>201</v>
      </c>
      <c r="DH44" s="4" t="s">
        <v>201</v>
      </c>
      <c r="DI44" s="4">
        <v>25.317710000000002</v>
      </c>
      <c r="DJ44" s="4" t="s">
        <v>201</v>
      </c>
      <c r="DK44" s="4" t="s">
        <v>201</v>
      </c>
      <c r="DL44" s="4" t="s">
        <v>201</v>
      </c>
      <c r="DM44" s="4" t="s">
        <v>206</v>
      </c>
      <c r="DN44" s="4" t="s">
        <v>201</v>
      </c>
      <c r="DO44" s="4" t="s">
        <v>201</v>
      </c>
      <c r="DP44" s="4" t="s">
        <v>201</v>
      </c>
      <c r="DQ44" s="4" t="s">
        <v>201</v>
      </c>
      <c r="DR44" s="4" t="s">
        <v>201</v>
      </c>
      <c r="DS44" s="4" t="s">
        <v>201</v>
      </c>
      <c r="DT44" s="4" t="s">
        <v>201</v>
      </c>
      <c r="DU44" s="4" t="s">
        <v>201</v>
      </c>
      <c r="DV44" s="4" t="s">
        <v>201</v>
      </c>
      <c r="DW44" s="4" t="s">
        <v>201</v>
      </c>
      <c r="DX44" s="4" t="s">
        <v>201</v>
      </c>
      <c r="DY44" s="4" t="s">
        <v>201</v>
      </c>
      <c r="DZ44" s="4" t="s">
        <v>201</v>
      </c>
      <c r="EA44" s="4" t="s">
        <v>201</v>
      </c>
      <c r="EB44" s="4" t="s">
        <v>201</v>
      </c>
      <c r="EC44" s="4" t="s">
        <v>201</v>
      </c>
      <c r="ED44" s="4" t="s">
        <v>201</v>
      </c>
      <c r="EE44" s="4" t="s">
        <v>201</v>
      </c>
      <c r="EF44" s="4" t="s">
        <v>201</v>
      </c>
      <c r="EG44" s="4" t="s">
        <v>201</v>
      </c>
      <c r="EH44" s="4" t="s">
        <v>201</v>
      </c>
      <c r="EI44" s="4" t="s">
        <v>201</v>
      </c>
      <c r="EJ44" s="4" t="s">
        <v>201</v>
      </c>
      <c r="EK44" s="4" t="s">
        <v>201</v>
      </c>
      <c r="EL44" s="4" t="s">
        <v>201</v>
      </c>
      <c r="EM44" s="4" t="s">
        <v>201</v>
      </c>
      <c r="EN44" s="4" t="s">
        <v>201</v>
      </c>
      <c r="EO44" s="4" t="s">
        <v>201</v>
      </c>
      <c r="EP44" s="4" t="s">
        <v>201</v>
      </c>
      <c r="EQ44" s="4" t="s">
        <v>201</v>
      </c>
      <c r="ER44" s="4">
        <v>167.97479999999999</v>
      </c>
      <c r="ES44" s="4" t="s">
        <v>201</v>
      </c>
      <c r="ET44" s="4" t="s">
        <v>201</v>
      </c>
      <c r="EU44" s="4" t="s">
        <v>201</v>
      </c>
      <c r="EV44" s="5" t="s">
        <v>187</v>
      </c>
      <c r="EW44" s="4">
        <v>25</v>
      </c>
      <c r="EX44" s="4">
        <v>14.062842640486961</v>
      </c>
      <c r="EY44" s="4">
        <v>8.7566683321549377E-2</v>
      </c>
      <c r="EZ44" s="4">
        <v>8.7566683321549377E-2</v>
      </c>
      <c r="FA44" s="4" t="s">
        <v>201</v>
      </c>
      <c r="FB44" s="5" t="s">
        <v>250</v>
      </c>
      <c r="FC44" s="4" t="s">
        <v>201</v>
      </c>
      <c r="FD44" s="4" t="s">
        <v>201</v>
      </c>
      <c r="FE44" s="4" t="s">
        <v>201</v>
      </c>
      <c r="FF44" s="4" t="s">
        <v>201</v>
      </c>
      <c r="FG44" s="4" t="s">
        <v>217</v>
      </c>
      <c r="FH44" s="4">
        <v>558.313507429418</v>
      </c>
      <c r="FI44" s="4">
        <f t="shared" si="8"/>
        <v>41.873513057206345</v>
      </c>
      <c r="FJ44" s="4">
        <f t="shared" si="9"/>
        <v>41.873513057206345</v>
      </c>
      <c r="FK44" s="4" t="s">
        <v>203</v>
      </c>
      <c r="FL44" s="4" t="s">
        <v>216</v>
      </c>
      <c r="FM44" s="4" t="s">
        <v>249</v>
      </c>
      <c r="FN44" s="4" t="s">
        <v>201</v>
      </c>
      <c r="FO44" s="4" t="s">
        <v>201</v>
      </c>
      <c r="FP44" s="4" t="s">
        <v>201</v>
      </c>
      <c r="FQ44" s="4" t="s">
        <v>201</v>
      </c>
      <c r="FR44" s="4" t="s">
        <v>201</v>
      </c>
      <c r="FS44" s="4" t="s">
        <v>201</v>
      </c>
      <c r="FT44" s="4" t="s">
        <v>200</v>
      </c>
      <c r="FU44" s="4" t="s">
        <v>212</v>
      </c>
      <c r="FV44" s="45" t="s">
        <v>314</v>
      </c>
      <c r="FW44" s="4" t="s">
        <v>201</v>
      </c>
      <c r="FX44" s="4" t="s">
        <v>201</v>
      </c>
      <c r="FY44" s="4" t="s">
        <v>247</v>
      </c>
    </row>
    <row r="45" spans="1:181" s="6" customFormat="1" x14ac:dyDescent="0.15">
      <c r="A45" s="3" t="s">
        <v>258</v>
      </c>
      <c r="B45" s="3" t="s">
        <v>193</v>
      </c>
      <c r="C45">
        <v>2017</v>
      </c>
      <c r="D45" s="22" t="str">
        <f t="shared" si="1"/>
        <v>10.1016/j.epsl.2017.03.016</v>
      </c>
      <c r="E45" s="22">
        <f t="shared" si="2"/>
        <v>6454.71</v>
      </c>
      <c r="F45" s="22" t="str">
        <f t="shared" si="3"/>
        <v>NA</v>
      </c>
      <c r="G45" s="22" t="str">
        <f t="shared" si="4"/>
        <v>NA</v>
      </c>
      <c r="H45" s="22">
        <f t="shared" si="5"/>
        <v>597.35265825753936</v>
      </c>
      <c r="I45" s="36">
        <f t="shared" si="6"/>
        <v>44.801449369315449</v>
      </c>
      <c r="J45" s="36">
        <f t="shared" si="7"/>
        <v>44.801449369315449</v>
      </c>
      <c r="K45" s="7" t="s">
        <v>251</v>
      </c>
      <c r="L45" s="7" t="s">
        <v>252</v>
      </c>
      <c r="M45" s="7" t="s">
        <v>194</v>
      </c>
      <c r="N45" s="7" t="s">
        <v>192</v>
      </c>
      <c r="O45" s="6">
        <v>850</v>
      </c>
      <c r="P45" s="7" t="s">
        <v>189</v>
      </c>
      <c r="Q45" s="6">
        <v>19</v>
      </c>
      <c r="R45" s="6" t="s">
        <v>210</v>
      </c>
      <c r="S45" s="6" t="s">
        <v>209</v>
      </c>
      <c r="T45" s="6">
        <v>3</v>
      </c>
      <c r="U45" s="6" t="s">
        <v>201</v>
      </c>
      <c r="V45" s="6" t="s">
        <v>201</v>
      </c>
      <c r="W45" s="6" t="s">
        <v>201</v>
      </c>
      <c r="X45" s="6" t="s">
        <v>201</v>
      </c>
      <c r="Y45" s="6" t="s">
        <v>201</v>
      </c>
      <c r="Z45" s="8">
        <v>185.715</v>
      </c>
      <c r="AA45" s="6" t="s">
        <v>207</v>
      </c>
      <c r="AB45" s="6">
        <v>6454.71</v>
      </c>
      <c r="AC45" s="6" t="s">
        <v>201</v>
      </c>
      <c r="AD45" s="6" t="s">
        <v>201</v>
      </c>
      <c r="AE45" s="6" t="s">
        <v>201</v>
      </c>
      <c r="AF45" s="7" t="s">
        <v>176</v>
      </c>
      <c r="AG45" s="7" t="s">
        <v>178</v>
      </c>
      <c r="AH45" s="11">
        <v>1.2971666666666666</v>
      </c>
      <c r="AI45" s="8">
        <v>-110.5215</v>
      </c>
      <c r="AJ45" s="6">
        <v>-4197</v>
      </c>
      <c r="AK45" s="6" t="s">
        <v>201</v>
      </c>
      <c r="AL45" s="6" t="s">
        <v>201</v>
      </c>
      <c r="AM45" s="6" t="s">
        <v>201</v>
      </c>
      <c r="AN45" s="6" t="s">
        <v>201</v>
      </c>
      <c r="AO45" s="7" t="s">
        <v>236</v>
      </c>
      <c r="AP45" s="6" t="s">
        <v>201</v>
      </c>
      <c r="AQ45" s="6" t="s">
        <v>201</v>
      </c>
      <c r="AR45" s="6" t="s">
        <v>201</v>
      </c>
      <c r="AS45" s="6" t="s">
        <v>201</v>
      </c>
      <c r="AT45" s="6" t="s">
        <v>201</v>
      </c>
      <c r="AU45" s="6" t="s">
        <v>201</v>
      </c>
      <c r="AV45" s="6" t="s">
        <v>201</v>
      </c>
      <c r="AW45" s="6" t="s">
        <v>201</v>
      </c>
      <c r="AX45" s="6">
        <v>2.0630783294403292</v>
      </c>
      <c r="AY45" s="6">
        <v>0.13</v>
      </c>
      <c r="AZ45" s="6" t="s">
        <v>203</v>
      </c>
      <c r="BA45" s="6" t="s">
        <v>201</v>
      </c>
      <c r="BB45" s="6">
        <v>0.13031296837199102</v>
      </c>
      <c r="BC45" s="6">
        <v>0.24</v>
      </c>
      <c r="BD45" s="6" t="s">
        <v>203</v>
      </c>
      <c r="BE45" s="6" t="s">
        <v>201</v>
      </c>
      <c r="BF45" s="7" t="s">
        <v>181</v>
      </c>
      <c r="BG45" s="7" t="s">
        <v>182</v>
      </c>
      <c r="BH45" s="6">
        <v>0</v>
      </c>
      <c r="BI45" s="6" t="s">
        <v>201</v>
      </c>
      <c r="BJ45" s="6" t="s">
        <v>201</v>
      </c>
      <c r="BK45" s="6" t="s">
        <v>201</v>
      </c>
      <c r="BL45" s="6" t="s">
        <v>201</v>
      </c>
      <c r="BM45" s="6" t="s">
        <v>201</v>
      </c>
      <c r="BN45" s="6" t="s">
        <v>201</v>
      </c>
      <c r="BO45" s="6" t="s">
        <v>201</v>
      </c>
      <c r="BP45" s="6" t="s">
        <v>201</v>
      </c>
      <c r="BQ45" s="6" t="s">
        <v>201</v>
      </c>
      <c r="BR45" s="6" t="s">
        <v>201</v>
      </c>
      <c r="BS45" s="7" t="s">
        <v>183</v>
      </c>
      <c r="BT45" s="6">
        <v>-26.199524556123137</v>
      </c>
      <c r="BU45" s="7" t="s">
        <v>184</v>
      </c>
      <c r="BV45" s="6">
        <v>0.31</v>
      </c>
      <c r="BW45" s="6" t="s">
        <v>201</v>
      </c>
      <c r="BX45" s="6" t="s">
        <v>202</v>
      </c>
      <c r="BY45" s="6">
        <v>4.2</v>
      </c>
      <c r="BZ45" s="6" t="s">
        <v>201</v>
      </c>
      <c r="CA45" s="6" t="s">
        <v>201</v>
      </c>
      <c r="CB45" s="6">
        <v>-22.109562559258848</v>
      </c>
      <c r="CC45" s="6" t="s">
        <v>201</v>
      </c>
      <c r="CD45" s="6" t="s">
        <v>201</v>
      </c>
      <c r="CE45" s="6" t="s">
        <v>201</v>
      </c>
      <c r="CF45" s="6" t="s">
        <v>201</v>
      </c>
      <c r="CG45" s="6">
        <v>35</v>
      </c>
      <c r="CH45" s="6">
        <v>1</v>
      </c>
      <c r="CI45" s="6" t="s">
        <v>204</v>
      </c>
      <c r="CJ45" s="7" t="s">
        <v>185</v>
      </c>
      <c r="CK45" s="6">
        <v>0.82</v>
      </c>
      <c r="CL45" s="6">
        <v>0.1</v>
      </c>
      <c r="CM45" s="6">
        <v>0.1</v>
      </c>
      <c r="CN45" s="6" t="s">
        <v>204</v>
      </c>
      <c r="CO45" s="7" t="s">
        <v>186</v>
      </c>
      <c r="CP45" s="6" t="s">
        <v>201</v>
      </c>
      <c r="CQ45" s="6" t="s">
        <v>201</v>
      </c>
      <c r="CR45" s="6">
        <f t="shared" si="10"/>
        <v>26.324719999999999</v>
      </c>
      <c r="CS45" s="6" t="s">
        <v>201</v>
      </c>
      <c r="CT45" s="6" t="s">
        <v>201</v>
      </c>
      <c r="CU45" s="6" t="s">
        <v>201</v>
      </c>
      <c r="CV45" s="6" t="s">
        <v>211</v>
      </c>
      <c r="CW45" s="6">
        <v>0.95539362699156516</v>
      </c>
      <c r="CX45" s="6" t="s">
        <v>201</v>
      </c>
      <c r="CY45" s="6">
        <v>27.209340000000001</v>
      </c>
      <c r="CZ45" s="6" t="s">
        <v>201</v>
      </c>
      <c r="DA45" s="6" t="s">
        <v>201</v>
      </c>
      <c r="DB45" s="6" t="s">
        <v>201</v>
      </c>
      <c r="DC45" s="7" t="s">
        <v>190</v>
      </c>
      <c r="DD45" s="6" t="s">
        <v>205</v>
      </c>
      <c r="DE45" s="6" t="s">
        <v>201</v>
      </c>
      <c r="DF45" s="6" t="s">
        <v>201</v>
      </c>
      <c r="DG45" s="6" t="s">
        <v>201</v>
      </c>
      <c r="DH45" s="6" t="s">
        <v>201</v>
      </c>
      <c r="DI45" s="6">
        <v>25.440100000000001</v>
      </c>
      <c r="DJ45" s="6" t="s">
        <v>201</v>
      </c>
      <c r="DK45" s="6" t="s">
        <v>201</v>
      </c>
      <c r="DL45" s="6" t="s">
        <v>201</v>
      </c>
      <c r="DM45" s="6" t="s">
        <v>206</v>
      </c>
      <c r="DN45" s="6" t="s">
        <v>201</v>
      </c>
      <c r="DO45" s="6" t="s">
        <v>201</v>
      </c>
      <c r="DP45" s="6" t="s">
        <v>201</v>
      </c>
      <c r="DQ45" s="6" t="s">
        <v>201</v>
      </c>
      <c r="DR45" s="6" t="s">
        <v>201</v>
      </c>
      <c r="DS45" s="6" t="s">
        <v>201</v>
      </c>
      <c r="DT45" s="6" t="s">
        <v>201</v>
      </c>
      <c r="DU45" s="6" t="s">
        <v>201</v>
      </c>
      <c r="DV45" s="6" t="s">
        <v>201</v>
      </c>
      <c r="DW45" s="6" t="s">
        <v>201</v>
      </c>
      <c r="DX45" s="6">
        <v>4.3513119533527691</v>
      </c>
      <c r="DY45" s="6" t="s">
        <v>201</v>
      </c>
      <c r="DZ45" s="6" t="s">
        <v>201</v>
      </c>
      <c r="EA45" s="6" t="s">
        <v>201</v>
      </c>
      <c r="EB45" s="6" t="s">
        <v>201</v>
      </c>
      <c r="EC45" s="6" t="s">
        <v>201</v>
      </c>
      <c r="ED45" s="6" t="s">
        <v>201</v>
      </c>
      <c r="EE45" s="6" t="s">
        <v>201</v>
      </c>
      <c r="EF45" s="6" t="s">
        <v>201</v>
      </c>
      <c r="EG45" s="6" t="s">
        <v>201</v>
      </c>
      <c r="EH45" s="6" t="s">
        <v>201</v>
      </c>
      <c r="EI45" s="6" t="s">
        <v>201</v>
      </c>
      <c r="EJ45" s="6" t="s">
        <v>201</v>
      </c>
      <c r="EK45" s="6" t="s">
        <v>201</v>
      </c>
      <c r="EL45" s="6" t="s">
        <v>201</v>
      </c>
      <c r="EM45" s="6" t="s">
        <v>201</v>
      </c>
      <c r="EN45" s="6" t="s">
        <v>201</v>
      </c>
      <c r="EO45" s="6" t="s">
        <v>201</v>
      </c>
      <c r="EP45" s="6" t="s">
        <v>201</v>
      </c>
      <c r="EQ45" s="6" t="s">
        <v>201</v>
      </c>
      <c r="ER45" s="6">
        <v>167.97479999999999</v>
      </c>
      <c r="ES45" s="6" t="s">
        <v>201</v>
      </c>
      <c r="ET45" s="6" t="s">
        <v>201</v>
      </c>
      <c r="EU45" s="6" t="s">
        <v>201</v>
      </c>
      <c r="EV45" s="7" t="s">
        <v>187</v>
      </c>
      <c r="EW45" s="6">
        <v>25</v>
      </c>
      <c r="EX45" s="6">
        <v>14.728240169620488</v>
      </c>
      <c r="EY45" s="6">
        <v>0.11050066451523399</v>
      </c>
      <c r="EZ45" s="6">
        <v>0.11050066451523399</v>
      </c>
      <c r="FA45" s="6" t="s">
        <v>201</v>
      </c>
      <c r="FB45" s="7" t="s">
        <v>250</v>
      </c>
      <c r="FC45" s="6" t="s">
        <v>201</v>
      </c>
      <c r="FD45" s="6" t="s">
        <v>201</v>
      </c>
      <c r="FE45" s="6" t="s">
        <v>201</v>
      </c>
      <c r="FF45" s="6" t="s">
        <v>201</v>
      </c>
      <c r="FG45" s="6" t="s">
        <v>217</v>
      </c>
      <c r="FH45" s="6">
        <v>597.35265825753936</v>
      </c>
      <c r="FI45" s="6">
        <f t="shared" si="8"/>
        <v>44.801449369315449</v>
      </c>
      <c r="FJ45" s="6">
        <f t="shared" si="9"/>
        <v>44.801449369315449</v>
      </c>
      <c r="FK45" s="6" t="s">
        <v>203</v>
      </c>
      <c r="FL45" s="6" t="s">
        <v>216</v>
      </c>
      <c r="FM45" s="6" t="s">
        <v>249</v>
      </c>
      <c r="FN45" s="6" t="s">
        <v>201</v>
      </c>
      <c r="FO45" s="6" t="s">
        <v>201</v>
      </c>
      <c r="FP45" s="6" t="s">
        <v>201</v>
      </c>
      <c r="FQ45" s="6" t="s">
        <v>201</v>
      </c>
      <c r="FR45" s="6" t="s">
        <v>201</v>
      </c>
      <c r="FS45" s="6" t="s">
        <v>201</v>
      </c>
      <c r="FT45" s="6" t="s">
        <v>200</v>
      </c>
      <c r="FU45" s="6" t="s">
        <v>212</v>
      </c>
      <c r="FV45" s="44" t="s">
        <v>315</v>
      </c>
      <c r="FW45" s="6" t="s">
        <v>201</v>
      </c>
      <c r="FX45" s="6" t="s">
        <v>201</v>
      </c>
      <c r="FY45" s="6" t="s">
        <v>247</v>
      </c>
    </row>
    <row r="46" spans="1:181" s="14" customFormat="1" x14ac:dyDescent="0.15">
      <c r="A46" s="3" t="s">
        <v>258</v>
      </c>
      <c r="B46" s="3" t="s">
        <v>193</v>
      </c>
      <c r="C46">
        <v>2017</v>
      </c>
      <c r="D46" s="22" t="str">
        <f t="shared" si="1"/>
        <v>10.1016/j.epsl.2017.03.016</v>
      </c>
      <c r="E46" s="22">
        <f t="shared" si="2"/>
        <v>95.57</v>
      </c>
      <c r="F46" s="22" t="str">
        <f t="shared" si="3"/>
        <v>NA</v>
      </c>
      <c r="G46" s="22" t="str">
        <f t="shared" si="4"/>
        <v>NA</v>
      </c>
      <c r="H46" s="22">
        <f t="shared" si="5"/>
        <v>313.3225302797436</v>
      </c>
      <c r="I46" s="36">
        <f t="shared" si="6"/>
        <v>23.49918977098077</v>
      </c>
      <c r="J46" s="36">
        <f t="shared" si="7"/>
        <v>23.49918977098077</v>
      </c>
      <c r="K46" s="17" t="s">
        <v>251</v>
      </c>
      <c r="L46" s="17" t="s">
        <v>252</v>
      </c>
      <c r="M46" s="17" t="s">
        <v>194</v>
      </c>
      <c r="N46" s="17" t="s">
        <v>192</v>
      </c>
      <c r="O46" s="14">
        <v>806</v>
      </c>
      <c r="P46" s="16" t="s">
        <v>189</v>
      </c>
      <c r="Q46" s="14">
        <v>1</v>
      </c>
      <c r="R46" s="14" t="s">
        <v>208</v>
      </c>
      <c r="S46" s="14" t="s">
        <v>209</v>
      </c>
      <c r="T46" s="14">
        <v>2</v>
      </c>
      <c r="U46" s="14">
        <v>29</v>
      </c>
      <c r="V46" s="14" t="s">
        <v>201</v>
      </c>
      <c r="W46" s="14" t="s">
        <v>201</v>
      </c>
      <c r="X46" s="14" t="s">
        <v>201</v>
      </c>
      <c r="Y46" s="14" t="s">
        <v>201</v>
      </c>
      <c r="Z46" s="18">
        <v>1.82</v>
      </c>
      <c r="AA46" s="17" t="s">
        <v>207</v>
      </c>
      <c r="AB46" s="14">
        <v>95.57</v>
      </c>
      <c r="AC46" s="14" t="s">
        <v>201</v>
      </c>
      <c r="AD46" s="14" t="s">
        <v>201</v>
      </c>
      <c r="AE46" s="14" t="s">
        <v>201</v>
      </c>
      <c r="AF46" s="16" t="s">
        <v>177</v>
      </c>
      <c r="AG46" s="16" t="s">
        <v>179</v>
      </c>
      <c r="AH46" s="19">
        <v>0.31850000000000001</v>
      </c>
      <c r="AI46" s="18">
        <v>159.36150000000001</v>
      </c>
      <c r="AJ46" s="14">
        <v>-2520</v>
      </c>
      <c r="AK46" s="14" t="s">
        <v>201</v>
      </c>
      <c r="AL46" s="14" t="s">
        <v>201</v>
      </c>
      <c r="AM46" s="14" t="s">
        <v>201</v>
      </c>
      <c r="AN46" s="14" t="s">
        <v>201</v>
      </c>
      <c r="AO46" s="16" t="s">
        <v>180</v>
      </c>
      <c r="AP46" s="14" t="s">
        <v>201</v>
      </c>
      <c r="AQ46" s="14" t="s">
        <v>201</v>
      </c>
      <c r="AR46" s="14" t="s">
        <v>201</v>
      </c>
      <c r="AS46" s="14" t="s">
        <v>201</v>
      </c>
      <c r="AT46" s="14" t="s">
        <v>201</v>
      </c>
      <c r="AU46" s="14" t="s">
        <v>201</v>
      </c>
      <c r="AV46" s="14" t="s">
        <v>201</v>
      </c>
      <c r="AW46" s="14" t="s">
        <v>201</v>
      </c>
      <c r="AX46" s="14">
        <v>1.617</v>
      </c>
      <c r="AY46" s="14">
        <v>0.13</v>
      </c>
      <c r="AZ46" s="14" t="s">
        <v>203</v>
      </c>
      <c r="BA46" s="14" t="s">
        <v>201</v>
      </c>
      <c r="BB46" s="14">
        <v>-1.617</v>
      </c>
      <c r="BC46" s="14">
        <v>0.24</v>
      </c>
      <c r="BD46" s="14" t="s">
        <v>203</v>
      </c>
      <c r="BE46" s="14" t="s">
        <v>201</v>
      </c>
      <c r="BF46" s="16" t="s">
        <v>181</v>
      </c>
      <c r="BG46" s="16" t="s">
        <v>182</v>
      </c>
      <c r="BH46" s="14">
        <v>0</v>
      </c>
      <c r="BI46" s="14" t="s">
        <v>201</v>
      </c>
      <c r="BJ46" s="14" t="s">
        <v>201</v>
      </c>
      <c r="BK46" s="14" t="s">
        <v>201</v>
      </c>
      <c r="BL46" s="14" t="s">
        <v>201</v>
      </c>
      <c r="BM46" s="14" t="s">
        <v>201</v>
      </c>
      <c r="BN46" s="14" t="s">
        <v>201</v>
      </c>
      <c r="BO46" s="14" t="s">
        <v>201</v>
      </c>
      <c r="BP46" s="14" t="s">
        <v>201</v>
      </c>
      <c r="BQ46" s="14" t="s">
        <v>201</v>
      </c>
      <c r="BR46" s="14" t="s">
        <v>201</v>
      </c>
      <c r="BS46" s="16" t="s">
        <v>183</v>
      </c>
      <c r="BT46" s="14">
        <v>-24.38</v>
      </c>
      <c r="BU46" s="16" t="s">
        <v>184</v>
      </c>
      <c r="BV46" s="14">
        <v>0.3</v>
      </c>
      <c r="BW46" s="14" t="s">
        <v>201</v>
      </c>
      <c r="BX46" s="14" t="s">
        <v>202</v>
      </c>
      <c r="BY46" s="14">
        <v>4.2</v>
      </c>
      <c r="BZ46" s="6" t="s">
        <v>201</v>
      </c>
      <c r="CA46" s="6" t="s">
        <v>201</v>
      </c>
      <c r="CB46" s="14">
        <v>-20.282396000000062</v>
      </c>
      <c r="CC46" s="14" t="s">
        <v>201</v>
      </c>
      <c r="CD46" s="14" t="s">
        <v>201</v>
      </c>
      <c r="CE46" s="14" t="s">
        <v>201</v>
      </c>
      <c r="CF46" s="14" t="s">
        <v>201</v>
      </c>
      <c r="CG46" s="14">
        <v>35</v>
      </c>
      <c r="CH46" s="14">
        <v>1</v>
      </c>
      <c r="CI46" s="14" t="s">
        <v>204</v>
      </c>
      <c r="CJ46" s="16" t="s">
        <v>185</v>
      </c>
      <c r="CK46" s="14">
        <v>0.16</v>
      </c>
      <c r="CL46" s="14">
        <v>0.1</v>
      </c>
      <c r="CM46" s="14">
        <v>0.1</v>
      </c>
      <c r="CN46" s="14" t="s">
        <v>204</v>
      </c>
      <c r="CO46" s="16" t="s">
        <v>186</v>
      </c>
      <c r="CP46" s="14" t="s">
        <v>201</v>
      </c>
      <c r="CQ46" s="14" t="s">
        <v>201</v>
      </c>
      <c r="CR46" s="14">
        <f t="shared" si="10"/>
        <v>27.279004732235279</v>
      </c>
      <c r="CS46" s="14" t="s">
        <v>201</v>
      </c>
      <c r="CT46" s="14" t="s">
        <v>201</v>
      </c>
      <c r="CU46" s="14" t="s">
        <v>201</v>
      </c>
      <c r="CV46" s="14" t="s">
        <v>211</v>
      </c>
      <c r="CW46" s="14">
        <v>0.98948177284427852</v>
      </c>
      <c r="CX46" s="14" t="s">
        <v>201</v>
      </c>
      <c r="CY46" s="14">
        <v>28.227757445495666</v>
      </c>
      <c r="CZ46" s="14" t="s">
        <v>201</v>
      </c>
      <c r="DA46" s="14" t="s">
        <v>201</v>
      </c>
      <c r="DB46" s="14" t="s">
        <v>201</v>
      </c>
      <c r="DC46" s="16" t="s">
        <v>190</v>
      </c>
      <c r="DD46" s="14" t="s">
        <v>205</v>
      </c>
      <c r="DE46" s="14" t="s">
        <v>201</v>
      </c>
      <c r="DF46" s="14" t="s">
        <v>201</v>
      </c>
      <c r="DG46" s="14" t="s">
        <v>201</v>
      </c>
      <c r="DH46" s="14" t="s">
        <v>201</v>
      </c>
      <c r="DI46" s="14">
        <v>26.330252018974896</v>
      </c>
      <c r="DJ46" s="14" t="s">
        <v>201</v>
      </c>
      <c r="DK46" s="14" t="s">
        <v>201</v>
      </c>
      <c r="DL46" s="14" t="s">
        <v>201</v>
      </c>
      <c r="DM46" s="14" t="s">
        <v>206</v>
      </c>
      <c r="DN46" s="14" t="s">
        <v>201</v>
      </c>
      <c r="DO46" s="14" t="s">
        <v>201</v>
      </c>
      <c r="DP46" s="14" t="s">
        <v>201</v>
      </c>
      <c r="DQ46" s="14" t="s">
        <v>201</v>
      </c>
      <c r="DR46" s="14" t="s">
        <v>201</v>
      </c>
      <c r="DS46" s="14" t="s">
        <v>201</v>
      </c>
      <c r="DT46" s="14" t="s">
        <v>201</v>
      </c>
      <c r="DU46" s="14" t="s">
        <v>201</v>
      </c>
      <c r="DV46" s="14" t="s">
        <v>201</v>
      </c>
      <c r="DW46" s="14" t="s">
        <v>201</v>
      </c>
      <c r="DX46" s="14">
        <v>3.2043343649999998</v>
      </c>
      <c r="DY46" s="14" t="s">
        <v>201</v>
      </c>
      <c r="DZ46" s="15" t="s">
        <v>201</v>
      </c>
      <c r="EA46" s="21" t="s">
        <v>201</v>
      </c>
      <c r="EB46" s="14" t="s">
        <v>201</v>
      </c>
      <c r="EC46" s="14" t="s">
        <v>201</v>
      </c>
      <c r="ED46" s="14" t="s">
        <v>201</v>
      </c>
      <c r="EE46" s="14" t="s">
        <v>201</v>
      </c>
      <c r="EF46" s="14" t="s">
        <v>201</v>
      </c>
      <c r="EG46" s="14" t="s">
        <v>201</v>
      </c>
      <c r="EH46" s="14" t="s">
        <v>201</v>
      </c>
      <c r="EI46" s="14" t="s">
        <v>201</v>
      </c>
      <c r="EJ46" s="14" t="s">
        <v>201</v>
      </c>
      <c r="EK46" s="14" t="s">
        <v>201</v>
      </c>
      <c r="EL46" s="14" t="s">
        <v>201</v>
      </c>
      <c r="EM46" s="14" t="s">
        <v>201</v>
      </c>
      <c r="EN46" s="14" t="s">
        <v>201</v>
      </c>
      <c r="EO46" s="14" t="s">
        <v>201</v>
      </c>
      <c r="EP46" s="14" t="s">
        <v>201</v>
      </c>
      <c r="EQ46" s="14" t="s">
        <v>201</v>
      </c>
      <c r="ER46" s="14">
        <v>103.03319999999999</v>
      </c>
      <c r="ES46" s="14" t="s">
        <v>201</v>
      </c>
      <c r="ET46" s="14" t="s">
        <v>201</v>
      </c>
      <c r="EU46" s="14" t="s">
        <v>201</v>
      </c>
      <c r="EV46" s="16" t="s">
        <v>188</v>
      </c>
      <c r="EW46" s="14">
        <v>25</v>
      </c>
      <c r="EX46" s="14">
        <v>12.465167959878398</v>
      </c>
      <c r="EY46" s="14">
        <v>0.23646933971077644</v>
      </c>
      <c r="EZ46" s="14">
        <v>0.23646933971077644</v>
      </c>
      <c r="FA46" s="14" t="s">
        <v>201</v>
      </c>
      <c r="FB46" s="16" t="s">
        <v>250</v>
      </c>
      <c r="FC46" s="14" t="s">
        <v>201</v>
      </c>
      <c r="FD46" s="14" t="s">
        <v>201</v>
      </c>
      <c r="FE46" s="14" t="s">
        <v>201</v>
      </c>
      <c r="FF46" s="14" t="s">
        <v>201</v>
      </c>
      <c r="FG46" s="14" t="s">
        <v>217</v>
      </c>
      <c r="FH46" s="14">
        <v>313.3225302797436</v>
      </c>
      <c r="FI46" s="14">
        <f t="shared" si="8"/>
        <v>23.49918977098077</v>
      </c>
      <c r="FJ46" s="14">
        <f t="shared" si="9"/>
        <v>23.49918977098077</v>
      </c>
      <c r="FK46" s="14" t="s">
        <v>203</v>
      </c>
      <c r="FL46" s="14" t="s">
        <v>216</v>
      </c>
      <c r="FM46" s="14" t="s">
        <v>249</v>
      </c>
      <c r="FN46" s="14" t="s">
        <v>201</v>
      </c>
      <c r="FO46" s="14" t="s">
        <v>201</v>
      </c>
      <c r="FP46" s="14" t="s">
        <v>201</v>
      </c>
      <c r="FQ46" s="14" t="s">
        <v>201</v>
      </c>
      <c r="FR46" s="14" t="s">
        <v>201</v>
      </c>
      <c r="FS46" s="14" t="s">
        <v>201</v>
      </c>
      <c r="FT46" s="14" t="s">
        <v>199</v>
      </c>
      <c r="FU46" s="14" t="s">
        <v>201</v>
      </c>
      <c r="FV46" s="46" t="s">
        <v>316</v>
      </c>
      <c r="FW46" s="14" t="s">
        <v>201</v>
      </c>
      <c r="FX46" s="14" t="s">
        <v>201</v>
      </c>
      <c r="FY46" s="14" t="s">
        <v>247</v>
      </c>
    </row>
    <row r="47" spans="1:181" x14ac:dyDescent="0.15">
      <c r="A47" s="3" t="s">
        <v>258</v>
      </c>
      <c r="B47" s="3" t="s">
        <v>193</v>
      </c>
      <c r="C47">
        <v>2017</v>
      </c>
      <c r="D47" s="22" t="str">
        <f t="shared" si="1"/>
        <v>10.1016/j.epsl.2017.03.016</v>
      </c>
      <c r="E47" s="22">
        <f t="shared" si="2"/>
        <v>215.29</v>
      </c>
      <c r="F47" s="22" t="str">
        <f t="shared" si="3"/>
        <v>NA</v>
      </c>
      <c r="G47" s="22" t="str">
        <f t="shared" si="4"/>
        <v>NA</v>
      </c>
      <c r="H47" s="22">
        <f t="shared" si="5"/>
        <v>307.67087232436012</v>
      </c>
      <c r="I47" s="36">
        <f t="shared" si="6"/>
        <v>23.075315424327009</v>
      </c>
      <c r="J47" s="36">
        <f t="shared" si="7"/>
        <v>23.075315424327009</v>
      </c>
      <c r="K47" s="2" t="s">
        <v>251</v>
      </c>
      <c r="L47" s="2" t="s">
        <v>252</v>
      </c>
      <c r="M47" s="2" t="s">
        <v>194</v>
      </c>
      <c r="N47" s="2" t="s">
        <v>192</v>
      </c>
      <c r="O47">
        <v>806</v>
      </c>
      <c r="P47" s="1" t="s">
        <v>189</v>
      </c>
      <c r="Q47" t="s">
        <v>201</v>
      </c>
      <c r="R47" t="s">
        <v>201</v>
      </c>
      <c r="S47" t="s">
        <v>201</v>
      </c>
      <c r="T47" t="s">
        <v>201</v>
      </c>
      <c r="U47" t="s">
        <v>201</v>
      </c>
      <c r="V47" t="s">
        <v>201</v>
      </c>
      <c r="W47" t="s">
        <v>201</v>
      </c>
      <c r="X47" t="s">
        <v>201</v>
      </c>
      <c r="Y47" t="s">
        <v>201</v>
      </c>
      <c r="Z47" s="10">
        <v>4.0999999999999996</v>
      </c>
      <c r="AA47" s="2" t="s">
        <v>207</v>
      </c>
      <c r="AB47">
        <v>215.29</v>
      </c>
      <c r="AC47" t="s">
        <v>201</v>
      </c>
      <c r="AD47" t="s">
        <v>201</v>
      </c>
      <c r="AE47" t="s">
        <v>201</v>
      </c>
      <c r="AF47" s="1" t="s">
        <v>177</v>
      </c>
      <c r="AG47" s="1" t="s">
        <v>179</v>
      </c>
      <c r="AH47" s="13">
        <v>0.31850000000000001</v>
      </c>
      <c r="AI47" s="10">
        <v>159.36150000000001</v>
      </c>
      <c r="AJ47" s="35">
        <v>-2520</v>
      </c>
      <c r="AK47" t="s">
        <v>201</v>
      </c>
      <c r="AL47" t="s">
        <v>201</v>
      </c>
      <c r="AM47" t="s">
        <v>201</v>
      </c>
      <c r="AN47" t="s">
        <v>201</v>
      </c>
      <c r="AO47" s="1" t="s">
        <v>180</v>
      </c>
      <c r="AP47" t="s">
        <v>201</v>
      </c>
      <c r="AQ47" t="s">
        <v>201</v>
      </c>
      <c r="AR47" t="s">
        <v>201</v>
      </c>
      <c r="AS47" t="s">
        <v>201</v>
      </c>
      <c r="AT47" t="s">
        <v>201</v>
      </c>
      <c r="AU47" t="s">
        <v>201</v>
      </c>
      <c r="AV47" t="s">
        <v>201</v>
      </c>
      <c r="AW47" t="s">
        <v>201</v>
      </c>
      <c r="AX47">
        <v>1.3979999999999999</v>
      </c>
      <c r="AY47">
        <v>0.13</v>
      </c>
      <c r="AZ47" t="s">
        <v>203</v>
      </c>
      <c r="BA47" t="s">
        <v>201</v>
      </c>
      <c r="BB47">
        <v>-1.143</v>
      </c>
      <c r="BC47">
        <v>0.24</v>
      </c>
      <c r="BD47" t="s">
        <v>203</v>
      </c>
      <c r="BE47" t="s">
        <v>201</v>
      </c>
      <c r="BF47" s="1" t="s">
        <v>181</v>
      </c>
      <c r="BG47" s="1" t="s">
        <v>182</v>
      </c>
      <c r="BH47">
        <v>0</v>
      </c>
      <c r="BI47" t="s">
        <v>201</v>
      </c>
      <c r="BJ47" t="s">
        <v>201</v>
      </c>
      <c r="BK47" t="s">
        <v>201</v>
      </c>
      <c r="BL47" t="s">
        <v>201</v>
      </c>
      <c r="BM47" t="s">
        <v>201</v>
      </c>
      <c r="BN47" t="s">
        <v>201</v>
      </c>
      <c r="BO47" t="s">
        <v>201</v>
      </c>
      <c r="BP47" t="s">
        <v>201</v>
      </c>
      <c r="BQ47" t="s">
        <v>201</v>
      </c>
      <c r="BR47" t="s">
        <v>201</v>
      </c>
      <c r="BS47" s="1" t="s">
        <v>183</v>
      </c>
      <c r="BT47">
        <v>-24.5685</v>
      </c>
      <c r="BU47" s="1" t="s">
        <v>184</v>
      </c>
      <c r="BV47">
        <v>0.3</v>
      </c>
      <c r="BW47" t="s">
        <v>201</v>
      </c>
      <c r="BX47" t="s">
        <v>202</v>
      </c>
      <c r="BY47">
        <v>4.2</v>
      </c>
      <c r="BZ47" s="4" t="s">
        <v>201</v>
      </c>
      <c r="CA47" s="4" t="s">
        <v>201</v>
      </c>
      <c r="CB47">
        <v>-20.471687699999961</v>
      </c>
      <c r="CC47" t="s">
        <v>201</v>
      </c>
      <c r="CD47" t="s">
        <v>201</v>
      </c>
      <c r="CE47" t="s">
        <v>201</v>
      </c>
      <c r="CF47" t="s">
        <v>201</v>
      </c>
      <c r="CG47">
        <v>35</v>
      </c>
      <c r="CH47">
        <v>1</v>
      </c>
      <c r="CI47" t="s">
        <v>204</v>
      </c>
      <c r="CJ47" s="1" t="s">
        <v>185</v>
      </c>
      <c r="CK47">
        <v>0.16</v>
      </c>
      <c r="CL47">
        <v>0.1</v>
      </c>
      <c r="CM47">
        <v>0.1</v>
      </c>
      <c r="CN47" t="s">
        <v>204</v>
      </c>
      <c r="CO47" s="1" t="s">
        <v>186</v>
      </c>
      <c r="CP47" t="s">
        <v>201</v>
      </c>
      <c r="CQ47" t="s">
        <v>201</v>
      </c>
      <c r="CR47">
        <f t="shared" si="10"/>
        <v>27.375572285279549</v>
      </c>
      <c r="CS47" t="s">
        <v>201</v>
      </c>
      <c r="CT47" t="s">
        <v>201</v>
      </c>
      <c r="CU47" t="s">
        <v>201</v>
      </c>
      <c r="CV47" t="s">
        <v>211</v>
      </c>
      <c r="CW47">
        <v>0.94665500046432105</v>
      </c>
      <c r="CX47" t="s">
        <v>201</v>
      </c>
      <c r="CY47">
        <v>26.948264793872056</v>
      </c>
      <c r="CZ47" t="s">
        <v>201</v>
      </c>
      <c r="DA47" t="s">
        <v>201</v>
      </c>
      <c r="DB47" t="s">
        <v>201</v>
      </c>
      <c r="DC47" s="1" t="s">
        <v>190</v>
      </c>
      <c r="DD47" t="s">
        <v>205</v>
      </c>
      <c r="DE47" t="s">
        <v>201</v>
      </c>
      <c r="DF47" t="s">
        <v>201</v>
      </c>
      <c r="DG47" t="s">
        <v>201</v>
      </c>
      <c r="DH47" t="s">
        <v>201</v>
      </c>
      <c r="DI47">
        <v>27.802879776687043</v>
      </c>
      <c r="DJ47" t="s">
        <v>201</v>
      </c>
      <c r="DK47" t="s">
        <v>201</v>
      </c>
      <c r="DL47" t="s">
        <v>201</v>
      </c>
      <c r="DM47" t="s">
        <v>206</v>
      </c>
      <c r="DN47" t="s">
        <v>201</v>
      </c>
      <c r="DO47" t="s">
        <v>201</v>
      </c>
      <c r="DP47" t="s">
        <v>201</v>
      </c>
      <c r="DQ47" t="s">
        <v>201</v>
      </c>
      <c r="DR47" t="s">
        <v>201</v>
      </c>
      <c r="DS47" t="s">
        <v>201</v>
      </c>
      <c r="DT47" t="s">
        <v>201</v>
      </c>
      <c r="DU47" t="s">
        <v>201</v>
      </c>
      <c r="DV47" t="s">
        <v>201</v>
      </c>
      <c r="DW47" t="s">
        <v>201</v>
      </c>
      <c r="DX47" t="s">
        <v>201</v>
      </c>
      <c r="DY47" t="s">
        <v>201</v>
      </c>
      <c r="DZ47" s="3" t="s">
        <v>201</v>
      </c>
      <c r="EA47" s="3" t="s">
        <v>201</v>
      </c>
      <c r="EB47" t="s">
        <v>201</v>
      </c>
      <c r="EC47" t="s">
        <v>201</v>
      </c>
      <c r="ED47" t="s">
        <v>201</v>
      </c>
      <c r="EE47" t="s">
        <v>201</v>
      </c>
      <c r="EF47" t="s">
        <v>201</v>
      </c>
      <c r="EG47" t="s">
        <v>201</v>
      </c>
      <c r="EH47" t="s">
        <v>201</v>
      </c>
      <c r="EI47" t="s">
        <v>201</v>
      </c>
      <c r="EJ47" t="s">
        <v>201</v>
      </c>
      <c r="EK47" t="s">
        <v>201</v>
      </c>
      <c r="EL47" t="s">
        <v>201</v>
      </c>
      <c r="EM47" t="s">
        <v>201</v>
      </c>
      <c r="EN47" t="s">
        <v>201</v>
      </c>
      <c r="EO47" t="s">
        <v>201</v>
      </c>
      <c r="EP47" t="s">
        <v>201</v>
      </c>
      <c r="EQ47" t="s">
        <v>201</v>
      </c>
      <c r="ER47">
        <v>103.03319999999999</v>
      </c>
      <c r="ES47" t="s">
        <v>201</v>
      </c>
      <c r="ET47" t="s">
        <v>201</v>
      </c>
      <c r="EU47" t="s">
        <v>201</v>
      </c>
      <c r="EV47" s="1" t="s">
        <v>188</v>
      </c>
      <c r="EW47">
        <v>25</v>
      </c>
      <c r="EX47">
        <v>12.363540956942032</v>
      </c>
      <c r="EY47">
        <v>0.1064981140017629</v>
      </c>
      <c r="EZ47">
        <v>0.1064981140017629</v>
      </c>
      <c r="FA47" t="s">
        <v>201</v>
      </c>
      <c r="FB47" s="1" t="s">
        <v>250</v>
      </c>
      <c r="FC47" t="s">
        <v>201</v>
      </c>
      <c r="FD47" t="s">
        <v>201</v>
      </c>
      <c r="FE47" t="s">
        <v>201</v>
      </c>
      <c r="FF47" t="s">
        <v>201</v>
      </c>
      <c r="FG47" t="s">
        <v>217</v>
      </c>
      <c r="FH47">
        <v>307.67087232436012</v>
      </c>
      <c r="FI47">
        <f t="shared" si="8"/>
        <v>23.075315424327009</v>
      </c>
      <c r="FJ47">
        <f t="shared" si="9"/>
        <v>23.075315424327009</v>
      </c>
      <c r="FK47" t="s">
        <v>203</v>
      </c>
      <c r="FL47" t="s">
        <v>216</v>
      </c>
      <c r="FM47" t="s">
        <v>249</v>
      </c>
      <c r="FN47" t="s">
        <v>201</v>
      </c>
      <c r="FO47" t="s">
        <v>201</v>
      </c>
      <c r="FP47" t="s">
        <v>201</v>
      </c>
      <c r="FQ47" t="s">
        <v>201</v>
      </c>
      <c r="FR47" t="s">
        <v>201</v>
      </c>
      <c r="FS47" t="s">
        <v>201</v>
      </c>
      <c r="FT47" t="s">
        <v>199</v>
      </c>
      <c r="FU47" t="s">
        <v>201</v>
      </c>
      <c r="FV47" s="47" t="s">
        <v>317</v>
      </c>
      <c r="FW47" t="s">
        <v>201</v>
      </c>
      <c r="FX47" t="s">
        <v>201</v>
      </c>
      <c r="FY47" t="s">
        <v>247</v>
      </c>
    </row>
    <row r="48" spans="1:181" s="14" customFormat="1" x14ac:dyDescent="0.15">
      <c r="A48" s="3" t="s">
        <v>258</v>
      </c>
      <c r="B48" s="3" t="s">
        <v>193</v>
      </c>
      <c r="C48">
        <v>2017</v>
      </c>
      <c r="D48" s="22" t="str">
        <f t="shared" si="1"/>
        <v>10.1016/j.epsl.2017.03.016</v>
      </c>
      <c r="E48" s="22">
        <f t="shared" si="2"/>
        <v>448.77</v>
      </c>
      <c r="F48" s="22" t="str">
        <f t="shared" si="3"/>
        <v>NA</v>
      </c>
      <c r="G48" s="22" t="str">
        <f t="shared" si="4"/>
        <v>NA</v>
      </c>
      <c r="H48" s="22">
        <f t="shared" si="5"/>
        <v>333.0496941600008</v>
      </c>
      <c r="I48" s="36">
        <f t="shared" si="6"/>
        <v>24.978727062000058</v>
      </c>
      <c r="J48" s="36">
        <f t="shared" si="7"/>
        <v>24.978727062000058</v>
      </c>
      <c r="K48" s="17" t="s">
        <v>251</v>
      </c>
      <c r="L48" s="17" t="s">
        <v>252</v>
      </c>
      <c r="M48" s="17" t="s">
        <v>194</v>
      </c>
      <c r="N48" s="17" t="s">
        <v>192</v>
      </c>
      <c r="O48" s="14">
        <v>806</v>
      </c>
      <c r="P48" s="16" t="s">
        <v>189</v>
      </c>
      <c r="Q48" s="14">
        <v>2</v>
      </c>
      <c r="R48" s="14" t="s">
        <v>208</v>
      </c>
      <c r="S48" s="14" t="s">
        <v>209</v>
      </c>
      <c r="T48" s="14">
        <v>1</v>
      </c>
      <c r="U48" s="14">
        <v>85</v>
      </c>
      <c r="V48" s="14" t="s">
        <v>201</v>
      </c>
      <c r="W48" s="14" t="s">
        <v>201</v>
      </c>
      <c r="X48" s="14" t="s">
        <v>201</v>
      </c>
      <c r="Y48" s="14" t="s">
        <v>201</v>
      </c>
      <c r="Z48" s="18">
        <v>8.5500000000000007</v>
      </c>
      <c r="AA48" s="17" t="s">
        <v>207</v>
      </c>
      <c r="AB48" s="14">
        <v>448.77</v>
      </c>
      <c r="AC48" s="14" t="s">
        <v>201</v>
      </c>
      <c r="AD48" s="14" t="s">
        <v>201</v>
      </c>
      <c r="AE48" s="14" t="s">
        <v>201</v>
      </c>
      <c r="AF48" s="16" t="s">
        <v>177</v>
      </c>
      <c r="AG48" s="16" t="s">
        <v>179</v>
      </c>
      <c r="AH48" s="19">
        <v>0.31850000000000001</v>
      </c>
      <c r="AI48" s="18">
        <v>159.36150000000001</v>
      </c>
      <c r="AJ48" s="14">
        <v>-2520</v>
      </c>
      <c r="AK48" s="14" t="s">
        <v>201</v>
      </c>
      <c r="AL48" s="14" t="s">
        <v>201</v>
      </c>
      <c r="AM48" s="14" t="s">
        <v>201</v>
      </c>
      <c r="AN48" s="14" t="s">
        <v>201</v>
      </c>
      <c r="AO48" s="16" t="s">
        <v>180</v>
      </c>
      <c r="AP48" s="14" t="s">
        <v>201</v>
      </c>
      <c r="AQ48" s="14" t="s">
        <v>201</v>
      </c>
      <c r="AR48" s="14" t="s">
        <v>201</v>
      </c>
      <c r="AS48" s="14" t="s">
        <v>201</v>
      </c>
      <c r="AT48" s="14" t="s">
        <v>201</v>
      </c>
      <c r="AU48" s="14" t="s">
        <v>201</v>
      </c>
      <c r="AV48" s="14" t="s">
        <v>201</v>
      </c>
      <c r="AW48" s="14" t="s">
        <v>201</v>
      </c>
      <c r="AX48" s="14">
        <v>2.0259999999999998</v>
      </c>
      <c r="AY48" s="14">
        <v>0.13</v>
      </c>
      <c r="AZ48" s="14" t="s">
        <v>203</v>
      </c>
      <c r="BA48" s="14" t="s">
        <v>201</v>
      </c>
      <c r="BB48" s="14">
        <v>-0.68100000000000005</v>
      </c>
      <c r="BC48" s="14">
        <v>0.24</v>
      </c>
      <c r="BD48" s="14" t="s">
        <v>203</v>
      </c>
      <c r="BE48" s="14" t="s">
        <v>201</v>
      </c>
      <c r="BF48" s="16" t="s">
        <v>181</v>
      </c>
      <c r="BG48" s="16" t="s">
        <v>182</v>
      </c>
      <c r="BH48" s="14">
        <v>0</v>
      </c>
      <c r="BI48" s="14" t="s">
        <v>201</v>
      </c>
      <c r="BJ48" s="14" t="s">
        <v>201</v>
      </c>
      <c r="BK48" s="14" t="s">
        <v>201</v>
      </c>
      <c r="BL48" s="14" t="s">
        <v>201</v>
      </c>
      <c r="BM48" s="14" t="s">
        <v>201</v>
      </c>
      <c r="BN48" s="14" t="s">
        <v>201</v>
      </c>
      <c r="BO48" s="14" t="s">
        <v>201</v>
      </c>
      <c r="BP48" s="14" t="s">
        <v>201</v>
      </c>
      <c r="BQ48" s="14" t="s">
        <v>201</v>
      </c>
      <c r="BR48" s="14" t="s">
        <v>201</v>
      </c>
      <c r="BS48" s="16" t="s">
        <v>183</v>
      </c>
      <c r="BT48" s="14">
        <v>-24.918999999999997</v>
      </c>
      <c r="BU48" s="16" t="s">
        <v>184</v>
      </c>
      <c r="BV48" s="14">
        <v>0.3</v>
      </c>
      <c r="BW48" s="14" t="s">
        <v>201</v>
      </c>
      <c r="BX48" s="14" t="s">
        <v>202</v>
      </c>
      <c r="BY48" s="14">
        <v>4.2</v>
      </c>
      <c r="BZ48" s="6" t="s">
        <v>201</v>
      </c>
      <c r="CA48" s="6" t="s">
        <v>201</v>
      </c>
      <c r="CB48" s="14">
        <v>-20.823659799999973</v>
      </c>
      <c r="CC48" s="14" t="s">
        <v>201</v>
      </c>
      <c r="CD48" s="14" t="s">
        <v>201</v>
      </c>
      <c r="CE48" s="14" t="s">
        <v>201</v>
      </c>
      <c r="CF48" s="14" t="s">
        <v>201</v>
      </c>
      <c r="CG48" s="14">
        <v>35</v>
      </c>
      <c r="CH48" s="14">
        <v>1</v>
      </c>
      <c r="CI48" s="14" t="s">
        <v>204</v>
      </c>
      <c r="CJ48" s="16" t="s">
        <v>185</v>
      </c>
      <c r="CK48" s="14">
        <v>0.16</v>
      </c>
      <c r="CL48" s="14">
        <v>0.1</v>
      </c>
      <c r="CM48" s="14">
        <v>0.1</v>
      </c>
      <c r="CN48" s="14" t="s">
        <v>204</v>
      </c>
      <c r="CO48" s="16" t="s">
        <v>186</v>
      </c>
      <c r="CP48" s="14" t="s">
        <v>201</v>
      </c>
      <c r="CQ48" s="14" t="s">
        <v>201</v>
      </c>
      <c r="CR48" s="14">
        <f t="shared" si="10"/>
        <v>26.692208416554564</v>
      </c>
      <c r="CS48" s="14" t="s">
        <v>201</v>
      </c>
      <c r="CT48" s="14" t="s">
        <v>201</v>
      </c>
      <c r="CU48" s="14" t="s">
        <v>201</v>
      </c>
      <c r="CV48" s="14" t="s">
        <v>211</v>
      </c>
      <c r="CW48" s="14">
        <v>0.96682096550270646</v>
      </c>
      <c r="CX48" s="14" t="s">
        <v>201</v>
      </c>
      <c r="CY48" s="14">
        <v>27.55074316535886</v>
      </c>
      <c r="CZ48" s="14" t="s">
        <v>201</v>
      </c>
      <c r="DA48" s="14" t="s">
        <v>201</v>
      </c>
      <c r="DB48" s="14" t="s">
        <v>201</v>
      </c>
      <c r="DC48" s="16" t="s">
        <v>190</v>
      </c>
      <c r="DD48" s="14" t="s">
        <v>205</v>
      </c>
      <c r="DE48" s="14" t="s">
        <v>201</v>
      </c>
      <c r="DF48" s="14" t="s">
        <v>201</v>
      </c>
      <c r="DG48" s="14" t="s">
        <v>201</v>
      </c>
      <c r="DH48" s="14" t="s">
        <v>201</v>
      </c>
      <c r="DI48" s="14">
        <v>25.833673667750269</v>
      </c>
      <c r="DJ48" s="14" t="s">
        <v>201</v>
      </c>
      <c r="DK48" s="14" t="s">
        <v>201</v>
      </c>
      <c r="DL48" s="14" t="s">
        <v>201</v>
      </c>
      <c r="DM48" s="14" t="s">
        <v>206</v>
      </c>
      <c r="DN48" s="14" t="s">
        <v>201</v>
      </c>
      <c r="DO48" s="14" t="s">
        <v>201</v>
      </c>
      <c r="DP48" s="14" t="s">
        <v>201</v>
      </c>
      <c r="DQ48" s="14" t="s">
        <v>201</v>
      </c>
      <c r="DR48" s="14" t="s">
        <v>201</v>
      </c>
      <c r="DS48" s="14" t="s">
        <v>201</v>
      </c>
      <c r="DT48" s="14" t="s">
        <v>201</v>
      </c>
      <c r="DU48" s="14" t="s">
        <v>201</v>
      </c>
      <c r="DV48" s="14" t="s">
        <v>201</v>
      </c>
      <c r="DW48" s="14" t="s">
        <v>201</v>
      </c>
      <c r="DX48" s="14">
        <v>2.86996904</v>
      </c>
      <c r="DY48" s="14" t="s">
        <v>201</v>
      </c>
      <c r="DZ48" s="15" t="s">
        <v>201</v>
      </c>
      <c r="EA48" s="21" t="s">
        <v>201</v>
      </c>
      <c r="EB48" s="14" t="s">
        <v>201</v>
      </c>
      <c r="EC48" s="14" t="s">
        <v>201</v>
      </c>
      <c r="ED48" s="14" t="s">
        <v>201</v>
      </c>
      <c r="EE48" s="14" t="s">
        <v>201</v>
      </c>
      <c r="EF48" s="14" t="s">
        <v>201</v>
      </c>
      <c r="EG48" s="14" t="s">
        <v>201</v>
      </c>
      <c r="EH48" s="14" t="s">
        <v>201</v>
      </c>
      <c r="EI48" s="14" t="s">
        <v>201</v>
      </c>
      <c r="EJ48" s="14" t="s">
        <v>201</v>
      </c>
      <c r="EK48" s="14" t="s">
        <v>201</v>
      </c>
      <c r="EL48" s="14" t="s">
        <v>201</v>
      </c>
      <c r="EM48" s="14" t="s">
        <v>201</v>
      </c>
      <c r="EN48" s="14" t="s">
        <v>201</v>
      </c>
      <c r="EO48" s="14" t="s">
        <v>201</v>
      </c>
      <c r="EP48" s="14" t="s">
        <v>201</v>
      </c>
      <c r="EQ48" s="14" t="s">
        <v>201</v>
      </c>
      <c r="ER48" s="14">
        <v>103.03319999999999</v>
      </c>
      <c r="ES48" s="14" t="s">
        <v>201</v>
      </c>
      <c r="ET48" s="14" t="s">
        <v>201</v>
      </c>
      <c r="EU48" s="14" t="s">
        <v>201</v>
      </c>
      <c r="EV48" s="16" t="s">
        <v>188</v>
      </c>
      <c r="EW48" s="14">
        <v>25</v>
      </c>
      <c r="EX48" s="14">
        <v>13.396859969352137</v>
      </c>
      <c r="EY48" s="14">
        <v>0.21419624979901464</v>
      </c>
      <c r="EZ48" s="14">
        <v>0.21419624979901464</v>
      </c>
      <c r="FA48" s="14" t="s">
        <v>201</v>
      </c>
      <c r="FB48" s="16" t="s">
        <v>250</v>
      </c>
      <c r="FC48" s="14" t="s">
        <v>201</v>
      </c>
      <c r="FD48" s="14" t="s">
        <v>201</v>
      </c>
      <c r="FE48" s="14" t="s">
        <v>201</v>
      </c>
      <c r="FF48" s="14" t="s">
        <v>201</v>
      </c>
      <c r="FG48" s="14" t="s">
        <v>217</v>
      </c>
      <c r="FH48" s="14">
        <v>333.0496941600008</v>
      </c>
      <c r="FI48" s="14">
        <f t="shared" si="8"/>
        <v>24.978727062000058</v>
      </c>
      <c r="FJ48" s="14">
        <f t="shared" si="9"/>
        <v>24.978727062000058</v>
      </c>
      <c r="FK48" s="14" t="s">
        <v>203</v>
      </c>
      <c r="FL48" s="14" t="s">
        <v>216</v>
      </c>
      <c r="FM48" s="14" t="s">
        <v>249</v>
      </c>
      <c r="FN48" s="14" t="s">
        <v>201</v>
      </c>
      <c r="FO48" s="14" t="s">
        <v>201</v>
      </c>
      <c r="FP48" s="14" t="s">
        <v>201</v>
      </c>
      <c r="FQ48" s="14" t="s">
        <v>201</v>
      </c>
      <c r="FR48" s="14" t="s">
        <v>201</v>
      </c>
      <c r="FS48" s="14" t="s">
        <v>201</v>
      </c>
      <c r="FT48" s="14" t="s">
        <v>199</v>
      </c>
      <c r="FU48" s="14" t="s">
        <v>201</v>
      </c>
      <c r="FV48" s="46" t="s">
        <v>318</v>
      </c>
      <c r="FW48" s="14" t="s">
        <v>391</v>
      </c>
      <c r="FX48" s="14" t="s">
        <v>201</v>
      </c>
      <c r="FY48" s="14" t="s">
        <v>248</v>
      </c>
    </row>
    <row r="49" spans="1:181" x14ac:dyDescent="0.15">
      <c r="A49" s="3" t="s">
        <v>258</v>
      </c>
      <c r="B49" s="3" t="s">
        <v>193</v>
      </c>
      <c r="C49">
        <v>2017</v>
      </c>
      <c r="D49" s="22" t="str">
        <f t="shared" si="1"/>
        <v>10.1016/j.epsl.2017.03.016</v>
      </c>
      <c r="E49" s="22">
        <f t="shared" si="2"/>
        <v>645.05999999999995</v>
      </c>
      <c r="F49" s="22" t="str">
        <f t="shared" si="3"/>
        <v>NA</v>
      </c>
      <c r="G49" s="22" t="str">
        <f t="shared" si="4"/>
        <v>NA</v>
      </c>
      <c r="H49" s="22">
        <f t="shared" si="5"/>
        <v>321.47539330138028</v>
      </c>
      <c r="I49" s="36">
        <f t="shared" si="6"/>
        <v>24.11065449760352</v>
      </c>
      <c r="J49" s="36">
        <f t="shared" si="7"/>
        <v>24.11065449760352</v>
      </c>
      <c r="K49" s="2" t="s">
        <v>251</v>
      </c>
      <c r="L49" s="2" t="s">
        <v>252</v>
      </c>
      <c r="M49" s="2" t="s">
        <v>194</v>
      </c>
      <c r="N49" s="2" t="s">
        <v>192</v>
      </c>
      <c r="O49">
        <v>806</v>
      </c>
      <c r="P49" s="1" t="s">
        <v>189</v>
      </c>
      <c r="Q49" t="s">
        <v>201</v>
      </c>
      <c r="R49" t="s">
        <v>201</v>
      </c>
      <c r="S49" t="s">
        <v>201</v>
      </c>
      <c r="T49" t="s">
        <v>201</v>
      </c>
      <c r="U49" t="s">
        <v>201</v>
      </c>
      <c r="V49" t="s">
        <v>201</v>
      </c>
      <c r="W49" t="s">
        <v>201</v>
      </c>
      <c r="X49" t="s">
        <v>201</v>
      </c>
      <c r="Y49" t="s">
        <v>201</v>
      </c>
      <c r="Z49" s="10">
        <v>12.9</v>
      </c>
      <c r="AA49" s="2" t="s">
        <v>207</v>
      </c>
      <c r="AB49">
        <v>645.05999999999995</v>
      </c>
      <c r="AC49" t="s">
        <v>201</v>
      </c>
      <c r="AD49" t="s">
        <v>201</v>
      </c>
      <c r="AE49" t="s">
        <v>201</v>
      </c>
      <c r="AF49" s="1" t="s">
        <v>177</v>
      </c>
      <c r="AG49" s="1" t="s">
        <v>179</v>
      </c>
      <c r="AH49" s="13">
        <v>0.31850000000000001</v>
      </c>
      <c r="AI49" s="10">
        <v>159.36150000000001</v>
      </c>
      <c r="AJ49" s="35">
        <v>-2520</v>
      </c>
      <c r="AK49" t="s">
        <v>201</v>
      </c>
      <c r="AL49" t="s">
        <v>201</v>
      </c>
      <c r="AM49" t="s">
        <v>201</v>
      </c>
      <c r="AN49" t="s">
        <v>201</v>
      </c>
      <c r="AO49" s="1" t="s">
        <v>180</v>
      </c>
      <c r="AP49" t="s">
        <v>201</v>
      </c>
      <c r="AQ49" t="s">
        <v>201</v>
      </c>
      <c r="AR49" t="s">
        <v>201</v>
      </c>
      <c r="AS49" t="s">
        <v>201</v>
      </c>
      <c r="AT49" t="s">
        <v>201</v>
      </c>
      <c r="AU49" t="s">
        <v>201</v>
      </c>
      <c r="AV49" t="s">
        <v>201</v>
      </c>
      <c r="AW49" t="s">
        <v>201</v>
      </c>
      <c r="AX49">
        <v>1.3149999999999999</v>
      </c>
      <c r="AY49">
        <v>0.13</v>
      </c>
      <c r="AZ49" t="s">
        <v>203</v>
      </c>
      <c r="BA49" t="s">
        <v>201</v>
      </c>
      <c r="BB49">
        <v>-0.60099999999999998</v>
      </c>
      <c r="BC49">
        <v>0.24</v>
      </c>
      <c r="BD49" t="s">
        <v>203</v>
      </c>
      <c r="BE49" t="s">
        <v>201</v>
      </c>
      <c r="BF49" s="1" t="s">
        <v>181</v>
      </c>
      <c r="BG49" s="1" t="s">
        <v>182</v>
      </c>
      <c r="BH49">
        <v>0</v>
      </c>
      <c r="BI49" t="s">
        <v>201</v>
      </c>
      <c r="BJ49" t="s">
        <v>201</v>
      </c>
      <c r="BK49" t="s">
        <v>201</v>
      </c>
      <c r="BL49" t="s">
        <v>201</v>
      </c>
      <c r="BM49" t="s">
        <v>201</v>
      </c>
      <c r="BN49" t="s">
        <v>201</v>
      </c>
      <c r="BO49" t="s">
        <v>201</v>
      </c>
      <c r="BP49" t="s">
        <v>201</v>
      </c>
      <c r="BQ49" t="s">
        <v>201</v>
      </c>
      <c r="BR49" t="s">
        <v>201</v>
      </c>
      <c r="BS49" s="1" t="s">
        <v>183</v>
      </c>
      <c r="BT49">
        <v>-25.006999999999998</v>
      </c>
      <c r="BU49" s="1" t="s">
        <v>184</v>
      </c>
      <c r="BV49">
        <v>0.3</v>
      </c>
      <c r="BW49" t="s">
        <v>201</v>
      </c>
      <c r="BX49" t="s">
        <v>202</v>
      </c>
      <c r="BY49">
        <v>4.2</v>
      </c>
      <c r="BZ49" s="4" t="s">
        <v>201</v>
      </c>
      <c r="CA49" s="4" t="s">
        <v>201</v>
      </c>
      <c r="CB49">
        <v>-20.912029399999938</v>
      </c>
      <c r="CC49" t="s">
        <v>201</v>
      </c>
      <c r="CD49" t="s">
        <v>201</v>
      </c>
      <c r="CE49" t="s">
        <v>201</v>
      </c>
      <c r="CF49" t="s">
        <v>201</v>
      </c>
      <c r="CG49">
        <v>35</v>
      </c>
      <c r="CH49">
        <v>1</v>
      </c>
      <c r="CI49" t="s">
        <v>204</v>
      </c>
      <c r="CJ49" s="1" t="s">
        <v>185</v>
      </c>
      <c r="CK49">
        <v>0.16</v>
      </c>
      <c r="CL49">
        <v>0.1</v>
      </c>
      <c r="CM49">
        <v>0.1</v>
      </c>
      <c r="CN49" t="s">
        <v>204</v>
      </c>
      <c r="CO49" s="1" t="s">
        <v>186</v>
      </c>
      <c r="CP49" t="s">
        <v>201</v>
      </c>
      <c r="CQ49" t="s">
        <v>201</v>
      </c>
      <c r="CR49">
        <f t="shared" si="10"/>
        <v>27.933834066914891</v>
      </c>
      <c r="CS49" t="s">
        <v>201</v>
      </c>
      <c r="CT49" t="s">
        <v>201</v>
      </c>
      <c r="CU49" t="s">
        <v>201</v>
      </c>
      <c r="CV49" t="s">
        <v>211</v>
      </c>
      <c r="CW49">
        <v>0.98979546109689365</v>
      </c>
      <c r="CX49" t="s">
        <v>201</v>
      </c>
      <c r="CY49">
        <v>28.237129195730795</v>
      </c>
      <c r="CZ49" t="s">
        <v>201</v>
      </c>
      <c r="DA49" t="s">
        <v>201</v>
      </c>
      <c r="DB49" t="s">
        <v>201</v>
      </c>
      <c r="DC49" s="1" t="s">
        <v>190</v>
      </c>
      <c r="DD49" t="s">
        <v>205</v>
      </c>
      <c r="DE49" t="s">
        <v>201</v>
      </c>
      <c r="DF49" t="s">
        <v>201</v>
      </c>
      <c r="DG49" t="s">
        <v>201</v>
      </c>
      <c r="DH49" t="s">
        <v>201</v>
      </c>
      <c r="DI49">
        <v>27.630538938098983</v>
      </c>
      <c r="DJ49" t="s">
        <v>201</v>
      </c>
      <c r="DK49" t="s">
        <v>201</v>
      </c>
      <c r="DL49" t="s">
        <v>201</v>
      </c>
      <c r="DM49" t="s">
        <v>206</v>
      </c>
      <c r="DN49" t="s">
        <v>201</v>
      </c>
      <c r="DO49" t="s">
        <v>201</v>
      </c>
      <c r="DP49" t="s">
        <v>201</v>
      </c>
      <c r="DQ49" t="s">
        <v>201</v>
      </c>
      <c r="DR49" t="s">
        <v>201</v>
      </c>
      <c r="DS49" t="s">
        <v>201</v>
      </c>
      <c r="DT49" t="s">
        <v>201</v>
      </c>
      <c r="DU49" t="s">
        <v>201</v>
      </c>
      <c r="DV49" t="s">
        <v>201</v>
      </c>
      <c r="DW49" t="s">
        <v>201</v>
      </c>
      <c r="DX49" t="s">
        <v>201</v>
      </c>
      <c r="DY49" t="s">
        <v>201</v>
      </c>
      <c r="DZ49" s="3" t="s">
        <v>201</v>
      </c>
      <c r="EA49" s="3" t="s">
        <v>201</v>
      </c>
      <c r="EB49" t="s">
        <v>201</v>
      </c>
      <c r="EC49" t="s">
        <v>201</v>
      </c>
      <c r="ED49" t="s">
        <v>201</v>
      </c>
      <c r="EE49" t="s">
        <v>201</v>
      </c>
      <c r="EF49" t="s">
        <v>201</v>
      </c>
      <c r="EG49" t="s">
        <v>201</v>
      </c>
      <c r="EH49" t="s">
        <v>201</v>
      </c>
      <c r="EI49" t="s">
        <v>201</v>
      </c>
      <c r="EJ49" t="s">
        <v>201</v>
      </c>
      <c r="EK49" t="s">
        <v>201</v>
      </c>
      <c r="EL49" t="s">
        <v>201</v>
      </c>
      <c r="EM49" t="s">
        <v>201</v>
      </c>
      <c r="EN49" t="s">
        <v>201</v>
      </c>
      <c r="EO49" t="s">
        <v>201</v>
      </c>
      <c r="EP49" t="s">
        <v>201</v>
      </c>
      <c r="EQ49" t="s">
        <v>201</v>
      </c>
      <c r="ER49">
        <v>103.03319999999999</v>
      </c>
      <c r="ES49" t="s">
        <v>201</v>
      </c>
      <c r="ET49" t="s">
        <v>201</v>
      </c>
      <c r="EU49" t="s">
        <v>201</v>
      </c>
      <c r="EV49" s="1" t="s">
        <v>188</v>
      </c>
      <c r="EW49">
        <v>25</v>
      </c>
      <c r="EX49">
        <v>12.780342903926378</v>
      </c>
      <c r="EY49">
        <v>7.5618147118206025E-2</v>
      </c>
      <c r="EZ49">
        <v>7.5618147118206025E-2</v>
      </c>
      <c r="FA49" t="s">
        <v>201</v>
      </c>
      <c r="FB49" s="1" t="s">
        <v>250</v>
      </c>
      <c r="FC49" t="s">
        <v>201</v>
      </c>
      <c r="FD49" t="s">
        <v>201</v>
      </c>
      <c r="FE49" t="s">
        <v>201</v>
      </c>
      <c r="FF49" t="s">
        <v>201</v>
      </c>
      <c r="FG49" t="s">
        <v>217</v>
      </c>
      <c r="FH49">
        <v>321.47539330138028</v>
      </c>
      <c r="FI49">
        <f t="shared" si="8"/>
        <v>24.11065449760352</v>
      </c>
      <c r="FJ49">
        <f t="shared" si="9"/>
        <v>24.11065449760352</v>
      </c>
      <c r="FK49" t="s">
        <v>203</v>
      </c>
      <c r="FL49" t="s">
        <v>216</v>
      </c>
      <c r="FM49" t="s">
        <v>249</v>
      </c>
      <c r="FN49" t="s">
        <v>201</v>
      </c>
      <c r="FO49" t="s">
        <v>201</v>
      </c>
      <c r="FP49" t="s">
        <v>201</v>
      </c>
      <c r="FQ49" t="s">
        <v>201</v>
      </c>
      <c r="FR49" t="s">
        <v>201</v>
      </c>
      <c r="FS49" t="s">
        <v>201</v>
      </c>
      <c r="FT49" t="s">
        <v>199</v>
      </c>
      <c r="FU49" t="s">
        <v>201</v>
      </c>
      <c r="FV49" s="47" t="s">
        <v>319</v>
      </c>
      <c r="FW49" t="s">
        <v>392</v>
      </c>
      <c r="FX49" t="s">
        <v>201</v>
      </c>
      <c r="FY49" t="s">
        <v>248</v>
      </c>
    </row>
    <row r="50" spans="1:181" x14ac:dyDescent="0.15">
      <c r="A50" s="3" t="s">
        <v>258</v>
      </c>
      <c r="B50" s="3" t="s">
        <v>193</v>
      </c>
      <c r="C50">
        <v>2017</v>
      </c>
      <c r="D50" s="22" t="str">
        <f t="shared" si="1"/>
        <v>10.1016/j.epsl.2017.03.016</v>
      </c>
      <c r="E50" s="22">
        <f t="shared" si="2"/>
        <v>720.15</v>
      </c>
      <c r="F50" s="22" t="str">
        <f t="shared" si="3"/>
        <v>NA</v>
      </c>
      <c r="G50" s="22" t="str">
        <f t="shared" si="4"/>
        <v>NA</v>
      </c>
      <c r="H50" s="22">
        <f t="shared" si="5"/>
        <v>324.64231928352899</v>
      </c>
      <c r="I50" s="36">
        <f t="shared" si="6"/>
        <v>24.348173946264673</v>
      </c>
      <c r="J50" s="36">
        <f t="shared" si="7"/>
        <v>24.348173946264673</v>
      </c>
      <c r="K50" s="2" t="s">
        <v>251</v>
      </c>
      <c r="L50" s="2" t="s">
        <v>252</v>
      </c>
      <c r="M50" s="2" t="s">
        <v>194</v>
      </c>
      <c r="N50" s="2" t="s">
        <v>192</v>
      </c>
      <c r="O50">
        <v>806</v>
      </c>
      <c r="P50" s="1" t="s">
        <v>189</v>
      </c>
      <c r="Q50" t="s">
        <v>201</v>
      </c>
      <c r="R50" t="s">
        <v>201</v>
      </c>
      <c r="S50" t="s">
        <v>201</v>
      </c>
      <c r="T50" t="s">
        <v>201</v>
      </c>
      <c r="U50" t="s">
        <v>201</v>
      </c>
      <c r="V50" t="s">
        <v>201</v>
      </c>
      <c r="W50" t="s">
        <v>201</v>
      </c>
      <c r="X50" t="s">
        <v>201</v>
      </c>
      <c r="Y50" t="s">
        <v>201</v>
      </c>
      <c r="Z50" s="10">
        <v>14.58</v>
      </c>
      <c r="AA50" s="2" t="s">
        <v>207</v>
      </c>
      <c r="AB50">
        <v>720.15</v>
      </c>
      <c r="AC50" t="s">
        <v>201</v>
      </c>
      <c r="AD50" t="s">
        <v>201</v>
      </c>
      <c r="AE50" t="s">
        <v>201</v>
      </c>
      <c r="AF50" s="1" t="s">
        <v>177</v>
      </c>
      <c r="AG50" s="1" t="s">
        <v>179</v>
      </c>
      <c r="AH50" s="13">
        <v>0.31850000000000001</v>
      </c>
      <c r="AI50" s="10">
        <v>159.36150000000001</v>
      </c>
      <c r="AJ50" s="35">
        <v>-2520</v>
      </c>
      <c r="AK50" t="s">
        <v>201</v>
      </c>
      <c r="AL50" t="s">
        <v>201</v>
      </c>
      <c r="AM50" t="s">
        <v>201</v>
      </c>
      <c r="AN50" t="s">
        <v>201</v>
      </c>
      <c r="AO50" s="1" t="s">
        <v>180</v>
      </c>
      <c r="AP50" t="s">
        <v>201</v>
      </c>
      <c r="AQ50" t="s">
        <v>201</v>
      </c>
      <c r="AR50" t="s">
        <v>201</v>
      </c>
      <c r="AS50" t="s">
        <v>201</v>
      </c>
      <c r="AT50" t="s">
        <v>201</v>
      </c>
      <c r="AU50" t="s">
        <v>201</v>
      </c>
      <c r="AV50" t="s">
        <v>201</v>
      </c>
      <c r="AW50" t="s">
        <v>201</v>
      </c>
      <c r="AX50">
        <v>1.899</v>
      </c>
      <c r="AY50">
        <v>0.13</v>
      </c>
      <c r="AZ50" t="s">
        <v>203</v>
      </c>
      <c r="BA50" t="s">
        <v>201</v>
      </c>
      <c r="BB50">
        <v>-1.3920000000000001</v>
      </c>
      <c r="BC50">
        <v>0.24</v>
      </c>
      <c r="BD50" t="s">
        <v>203</v>
      </c>
      <c r="BE50" t="s">
        <v>201</v>
      </c>
      <c r="BF50" s="1" t="s">
        <v>181</v>
      </c>
      <c r="BG50" s="1" t="s">
        <v>182</v>
      </c>
      <c r="BH50">
        <v>0</v>
      </c>
      <c r="BI50" t="s">
        <v>201</v>
      </c>
      <c r="BJ50" t="s">
        <v>201</v>
      </c>
      <c r="BK50" t="s">
        <v>201</v>
      </c>
      <c r="BL50" t="s">
        <v>201</v>
      </c>
      <c r="BM50" t="s">
        <v>201</v>
      </c>
      <c r="BN50" t="s">
        <v>201</v>
      </c>
      <c r="BO50" t="s">
        <v>201</v>
      </c>
      <c r="BP50" t="s">
        <v>201</v>
      </c>
      <c r="BQ50" t="s">
        <v>201</v>
      </c>
      <c r="BR50" t="s">
        <v>201</v>
      </c>
      <c r="BS50" s="1" t="s">
        <v>183</v>
      </c>
      <c r="BT50">
        <v>-24.533000000000001</v>
      </c>
      <c r="BU50" s="1" t="s">
        <v>184</v>
      </c>
      <c r="BV50">
        <v>0.3</v>
      </c>
      <c r="BW50" t="s">
        <v>201</v>
      </c>
      <c r="BX50" t="s">
        <v>202</v>
      </c>
      <c r="BY50">
        <v>4.2</v>
      </c>
      <c r="BZ50" s="4" t="s">
        <v>201</v>
      </c>
      <c r="CA50" s="4" t="s">
        <v>201</v>
      </c>
      <c r="CB50">
        <v>-20.436038600000074</v>
      </c>
      <c r="CC50" t="s">
        <v>201</v>
      </c>
      <c r="CD50" t="s">
        <v>201</v>
      </c>
      <c r="CE50" t="s">
        <v>201</v>
      </c>
      <c r="CF50" t="s">
        <v>201</v>
      </c>
      <c r="CG50">
        <v>35</v>
      </c>
      <c r="CH50">
        <v>1</v>
      </c>
      <c r="CI50" t="s">
        <v>204</v>
      </c>
      <c r="CJ50" s="1" t="s">
        <v>185</v>
      </c>
      <c r="CK50">
        <v>0.16</v>
      </c>
      <c r="CL50">
        <v>0.1</v>
      </c>
      <c r="CM50">
        <v>0.1</v>
      </c>
      <c r="CN50" t="s">
        <v>204</v>
      </c>
      <c r="CO50" s="1" t="s">
        <v>186</v>
      </c>
      <c r="CP50" t="s">
        <v>201</v>
      </c>
      <c r="CQ50" t="s">
        <v>201</v>
      </c>
      <c r="CR50">
        <f t="shared" si="10"/>
        <v>27.275650954326416</v>
      </c>
      <c r="CS50" t="s">
        <v>201</v>
      </c>
      <c r="CT50" t="s">
        <v>201</v>
      </c>
      <c r="CU50" t="s">
        <v>201</v>
      </c>
      <c r="CV50" t="s">
        <v>211</v>
      </c>
      <c r="CW50">
        <v>0.98652757262690416</v>
      </c>
      <c r="CX50" t="s">
        <v>201</v>
      </c>
      <c r="CY50">
        <v>28.13949775980139</v>
      </c>
      <c r="CZ50" t="s">
        <v>201</v>
      </c>
      <c r="DA50" t="s">
        <v>201</v>
      </c>
      <c r="DB50" t="s">
        <v>201</v>
      </c>
      <c r="DC50" s="1" t="s">
        <v>190</v>
      </c>
      <c r="DD50" t="s">
        <v>205</v>
      </c>
      <c r="DE50" t="s">
        <v>201</v>
      </c>
      <c r="DF50" t="s">
        <v>201</v>
      </c>
      <c r="DG50" t="s">
        <v>201</v>
      </c>
      <c r="DH50" t="s">
        <v>201</v>
      </c>
      <c r="DI50">
        <v>26.411804148851438</v>
      </c>
      <c r="DJ50" t="s">
        <v>201</v>
      </c>
      <c r="DK50" t="s">
        <v>201</v>
      </c>
      <c r="DL50" t="s">
        <v>201</v>
      </c>
      <c r="DM50" t="s">
        <v>206</v>
      </c>
      <c r="DN50" t="s">
        <v>201</v>
      </c>
      <c r="DO50" t="s">
        <v>201</v>
      </c>
      <c r="DP50" t="s">
        <v>201</v>
      </c>
      <c r="DQ50" t="s">
        <v>201</v>
      </c>
      <c r="DR50" t="s">
        <v>201</v>
      </c>
      <c r="DS50" t="s">
        <v>201</v>
      </c>
      <c r="DT50" t="s">
        <v>201</v>
      </c>
      <c r="DU50" t="s">
        <v>201</v>
      </c>
      <c r="DV50" t="s">
        <v>201</v>
      </c>
      <c r="DW50" t="s">
        <v>201</v>
      </c>
      <c r="DX50" t="s">
        <v>201</v>
      </c>
      <c r="DY50" t="s">
        <v>201</v>
      </c>
      <c r="DZ50" s="3" t="s">
        <v>201</v>
      </c>
      <c r="EA50" s="3" t="s">
        <v>201</v>
      </c>
      <c r="EB50" t="s">
        <v>201</v>
      </c>
      <c r="EC50" t="s">
        <v>201</v>
      </c>
      <c r="ED50" t="s">
        <v>201</v>
      </c>
      <c r="EE50" t="s">
        <v>201</v>
      </c>
      <c r="EF50" t="s">
        <v>201</v>
      </c>
      <c r="EG50" t="s">
        <v>201</v>
      </c>
      <c r="EH50" t="s">
        <v>201</v>
      </c>
      <c r="EI50" t="s">
        <v>201</v>
      </c>
      <c r="EJ50" t="s">
        <v>201</v>
      </c>
      <c r="EK50" t="s">
        <v>201</v>
      </c>
      <c r="EL50" t="s">
        <v>201</v>
      </c>
      <c r="EM50" t="s">
        <v>201</v>
      </c>
      <c r="EN50" t="s">
        <v>201</v>
      </c>
      <c r="EO50" t="s">
        <v>201</v>
      </c>
      <c r="EP50" t="s">
        <v>201</v>
      </c>
      <c r="EQ50" t="s">
        <v>201</v>
      </c>
      <c r="ER50">
        <v>103.03319999999999</v>
      </c>
      <c r="ES50" t="s">
        <v>201</v>
      </c>
      <c r="ET50" t="s">
        <v>201</v>
      </c>
      <c r="EU50" t="s">
        <v>201</v>
      </c>
      <c r="EV50" s="1" t="s">
        <v>188</v>
      </c>
      <c r="EW50">
        <v>25</v>
      </c>
      <c r="EX50">
        <v>12.927580883530299</v>
      </c>
      <c r="EY50">
        <v>0.2154078457412556</v>
      </c>
      <c r="EZ50">
        <v>0.2154078457412556</v>
      </c>
      <c r="FA50" t="s">
        <v>201</v>
      </c>
      <c r="FB50" s="1" t="s">
        <v>250</v>
      </c>
      <c r="FC50" t="s">
        <v>201</v>
      </c>
      <c r="FD50" t="s">
        <v>201</v>
      </c>
      <c r="FE50" t="s">
        <v>201</v>
      </c>
      <c r="FF50" t="s">
        <v>201</v>
      </c>
      <c r="FG50" t="s">
        <v>217</v>
      </c>
      <c r="FH50">
        <v>324.64231928352899</v>
      </c>
      <c r="FI50">
        <f t="shared" si="8"/>
        <v>24.348173946264673</v>
      </c>
      <c r="FJ50">
        <f t="shared" si="9"/>
        <v>24.348173946264673</v>
      </c>
      <c r="FK50" t="s">
        <v>203</v>
      </c>
      <c r="FL50" t="s">
        <v>216</v>
      </c>
      <c r="FM50" t="s">
        <v>249</v>
      </c>
      <c r="FN50" t="s">
        <v>201</v>
      </c>
      <c r="FO50" t="s">
        <v>201</v>
      </c>
      <c r="FP50" t="s">
        <v>201</v>
      </c>
      <c r="FQ50" t="s">
        <v>201</v>
      </c>
      <c r="FR50" t="s">
        <v>201</v>
      </c>
      <c r="FS50" t="s">
        <v>201</v>
      </c>
      <c r="FT50" t="s">
        <v>199</v>
      </c>
      <c r="FU50" t="s">
        <v>201</v>
      </c>
      <c r="FV50" s="47" t="s">
        <v>320</v>
      </c>
      <c r="FW50" t="s">
        <v>393</v>
      </c>
      <c r="FX50" t="s">
        <v>201</v>
      </c>
      <c r="FY50" t="s">
        <v>248</v>
      </c>
    </row>
    <row r="51" spans="1:181" x14ac:dyDescent="0.15">
      <c r="A51" s="3" t="s">
        <v>258</v>
      </c>
      <c r="B51" s="3" t="s">
        <v>193</v>
      </c>
      <c r="C51">
        <v>2017</v>
      </c>
      <c r="D51" s="22" t="str">
        <f t="shared" si="1"/>
        <v>10.1016/j.epsl.2017.03.016</v>
      </c>
      <c r="E51" s="22">
        <f t="shared" si="2"/>
        <v>776.92</v>
      </c>
      <c r="F51" s="22" t="str">
        <f t="shared" si="3"/>
        <v>NA</v>
      </c>
      <c r="G51" s="22" t="str">
        <f t="shared" si="4"/>
        <v>NA</v>
      </c>
      <c r="H51" s="22">
        <f t="shared" si="5"/>
        <v>315.54653125609809</v>
      </c>
      <c r="I51" s="36">
        <f t="shared" si="6"/>
        <v>23.665989844207356</v>
      </c>
      <c r="J51" s="36">
        <f t="shared" si="7"/>
        <v>23.665989844207356</v>
      </c>
      <c r="K51" s="2" t="s">
        <v>251</v>
      </c>
      <c r="L51" s="2" t="s">
        <v>252</v>
      </c>
      <c r="M51" s="2" t="s">
        <v>194</v>
      </c>
      <c r="N51" s="2" t="s">
        <v>192</v>
      </c>
      <c r="O51">
        <v>806</v>
      </c>
      <c r="P51" s="1" t="s">
        <v>189</v>
      </c>
      <c r="Q51" t="s">
        <v>201</v>
      </c>
      <c r="R51" t="s">
        <v>201</v>
      </c>
      <c r="S51" t="s">
        <v>201</v>
      </c>
      <c r="T51" t="s">
        <v>201</v>
      </c>
      <c r="U51" t="s">
        <v>201</v>
      </c>
      <c r="V51" t="s">
        <v>201</v>
      </c>
      <c r="W51" t="s">
        <v>201</v>
      </c>
      <c r="X51" t="s">
        <v>201</v>
      </c>
      <c r="Y51" t="s">
        <v>201</v>
      </c>
      <c r="Z51" s="10">
        <v>15.85</v>
      </c>
      <c r="AA51" s="2" t="s">
        <v>207</v>
      </c>
      <c r="AB51">
        <v>776.92</v>
      </c>
      <c r="AC51" t="s">
        <v>201</v>
      </c>
      <c r="AD51" t="s">
        <v>201</v>
      </c>
      <c r="AE51" t="s">
        <v>201</v>
      </c>
      <c r="AF51" s="1" t="s">
        <v>177</v>
      </c>
      <c r="AG51" s="1" t="s">
        <v>179</v>
      </c>
      <c r="AH51" s="13">
        <v>0.31850000000000001</v>
      </c>
      <c r="AI51" s="10">
        <v>159.36150000000001</v>
      </c>
      <c r="AJ51" s="35">
        <v>-2520</v>
      </c>
      <c r="AK51" t="s">
        <v>201</v>
      </c>
      <c r="AL51" t="s">
        <v>201</v>
      </c>
      <c r="AM51" t="s">
        <v>201</v>
      </c>
      <c r="AN51" t="s">
        <v>201</v>
      </c>
      <c r="AO51" s="1" t="s">
        <v>180</v>
      </c>
      <c r="AP51" t="s">
        <v>201</v>
      </c>
      <c r="AQ51" t="s">
        <v>201</v>
      </c>
      <c r="AR51" t="s">
        <v>201</v>
      </c>
      <c r="AS51" t="s">
        <v>201</v>
      </c>
      <c r="AT51" t="s">
        <v>201</v>
      </c>
      <c r="AU51" t="s">
        <v>201</v>
      </c>
      <c r="AV51" t="s">
        <v>201</v>
      </c>
      <c r="AW51" t="s">
        <v>201</v>
      </c>
      <c r="AX51">
        <v>1.5210000000000001</v>
      </c>
      <c r="AY51">
        <v>0.13</v>
      </c>
      <c r="AZ51" t="s">
        <v>203</v>
      </c>
      <c r="BA51" t="s">
        <v>201</v>
      </c>
      <c r="BB51">
        <v>-0.83399999999999996</v>
      </c>
      <c r="BC51">
        <v>0.24</v>
      </c>
      <c r="BD51" t="s">
        <v>203</v>
      </c>
      <c r="BE51" t="s">
        <v>201</v>
      </c>
      <c r="BF51" s="1" t="s">
        <v>181</v>
      </c>
      <c r="BG51" s="1" t="s">
        <v>182</v>
      </c>
      <c r="BH51">
        <v>0</v>
      </c>
      <c r="BI51" t="s">
        <v>201</v>
      </c>
      <c r="BJ51" t="s">
        <v>201</v>
      </c>
      <c r="BK51" t="s">
        <v>201</v>
      </c>
      <c r="BL51" t="s">
        <v>201</v>
      </c>
      <c r="BM51" t="s">
        <v>201</v>
      </c>
      <c r="BN51" t="s">
        <v>201</v>
      </c>
      <c r="BO51" t="s">
        <v>201</v>
      </c>
      <c r="BP51" t="s">
        <v>201</v>
      </c>
      <c r="BQ51" t="s">
        <v>201</v>
      </c>
      <c r="BR51" t="s">
        <v>201</v>
      </c>
      <c r="BS51" s="1" t="s">
        <v>183</v>
      </c>
      <c r="BT51">
        <v>-24.561999999999998</v>
      </c>
      <c r="BU51" s="1" t="s">
        <v>184</v>
      </c>
      <c r="BV51">
        <v>0.3</v>
      </c>
      <c r="BW51" t="s">
        <v>201</v>
      </c>
      <c r="BX51" t="s">
        <v>202</v>
      </c>
      <c r="BY51">
        <v>4.2</v>
      </c>
      <c r="BZ51" s="4" t="s">
        <v>201</v>
      </c>
      <c r="CA51" s="4" t="s">
        <v>201</v>
      </c>
      <c r="CB51">
        <v>-20.465160400000059</v>
      </c>
      <c r="CC51" t="s">
        <v>201</v>
      </c>
      <c r="CD51" t="s">
        <v>201</v>
      </c>
      <c r="CE51" t="s">
        <v>201</v>
      </c>
      <c r="CF51" t="s">
        <v>201</v>
      </c>
      <c r="CG51">
        <v>35</v>
      </c>
      <c r="CH51">
        <v>1</v>
      </c>
      <c r="CI51" t="s">
        <v>204</v>
      </c>
      <c r="CJ51" s="1" t="s">
        <v>185</v>
      </c>
      <c r="CK51">
        <v>0.16</v>
      </c>
      <c r="CL51">
        <v>0.1</v>
      </c>
      <c r="CM51">
        <v>0.1</v>
      </c>
      <c r="CN51" t="s">
        <v>204</v>
      </c>
      <c r="CO51" s="1" t="s">
        <v>186</v>
      </c>
      <c r="CP51" t="s">
        <v>201</v>
      </c>
      <c r="CQ51" t="s">
        <v>201</v>
      </c>
      <c r="CR51">
        <f t="shared" si="10"/>
        <v>26.995232618399335</v>
      </c>
      <c r="CS51" t="s">
        <v>201</v>
      </c>
      <c r="CT51" t="s">
        <v>201</v>
      </c>
      <c r="CU51" t="s">
        <v>201</v>
      </c>
      <c r="CV51" t="s">
        <v>211</v>
      </c>
      <c r="CW51">
        <v>0.99000314812459156</v>
      </c>
      <c r="CX51" t="s">
        <v>201</v>
      </c>
      <c r="CY51">
        <v>28.243334053370297</v>
      </c>
      <c r="CZ51" t="s">
        <v>201</v>
      </c>
      <c r="DA51" t="s">
        <v>201</v>
      </c>
      <c r="DB51" t="s">
        <v>201</v>
      </c>
      <c r="DC51" s="1" t="s">
        <v>190</v>
      </c>
      <c r="DD51" t="s">
        <v>205</v>
      </c>
      <c r="DE51" t="s">
        <v>201</v>
      </c>
      <c r="DF51" t="s">
        <v>201</v>
      </c>
      <c r="DG51" t="s">
        <v>201</v>
      </c>
      <c r="DH51" t="s">
        <v>201</v>
      </c>
      <c r="DI51">
        <v>25.747131183428372</v>
      </c>
      <c r="DJ51" t="s">
        <v>201</v>
      </c>
      <c r="DK51" t="s">
        <v>201</v>
      </c>
      <c r="DL51" t="s">
        <v>201</v>
      </c>
      <c r="DM51" t="s">
        <v>206</v>
      </c>
      <c r="DN51" t="s">
        <v>201</v>
      </c>
      <c r="DO51" t="s">
        <v>201</v>
      </c>
      <c r="DP51" t="s">
        <v>201</v>
      </c>
      <c r="DQ51" t="s">
        <v>201</v>
      </c>
      <c r="DR51" t="s">
        <v>201</v>
      </c>
      <c r="DS51" t="s">
        <v>201</v>
      </c>
      <c r="DT51" t="s">
        <v>201</v>
      </c>
      <c r="DU51" t="s">
        <v>201</v>
      </c>
      <c r="DV51" t="s">
        <v>201</v>
      </c>
      <c r="DW51" t="s">
        <v>201</v>
      </c>
      <c r="DX51" t="s">
        <v>201</v>
      </c>
      <c r="DY51" t="s">
        <v>201</v>
      </c>
      <c r="DZ51" s="3" t="s">
        <v>201</v>
      </c>
      <c r="EA51" s="3" t="s">
        <v>201</v>
      </c>
      <c r="EB51" t="s">
        <v>201</v>
      </c>
      <c r="EC51" t="s">
        <v>201</v>
      </c>
      <c r="ED51" t="s">
        <v>201</v>
      </c>
      <c r="EE51" t="s">
        <v>201</v>
      </c>
      <c r="EF51" t="s">
        <v>201</v>
      </c>
      <c r="EG51" t="s">
        <v>201</v>
      </c>
      <c r="EH51" t="s">
        <v>201</v>
      </c>
      <c r="EI51" t="s">
        <v>201</v>
      </c>
      <c r="EJ51" t="s">
        <v>201</v>
      </c>
      <c r="EK51" t="s">
        <v>201</v>
      </c>
      <c r="EL51" t="s">
        <v>201</v>
      </c>
      <c r="EM51" t="s">
        <v>201</v>
      </c>
      <c r="EN51" t="s">
        <v>201</v>
      </c>
      <c r="EO51" t="s">
        <v>201</v>
      </c>
      <c r="EP51" t="s">
        <v>201</v>
      </c>
      <c r="EQ51" t="s">
        <v>201</v>
      </c>
      <c r="ER51">
        <v>103.03319999999999</v>
      </c>
      <c r="ES51" t="s">
        <v>201</v>
      </c>
      <c r="ET51" t="s">
        <v>201</v>
      </c>
      <c r="EU51" t="s">
        <v>201</v>
      </c>
      <c r="EV51" s="1" t="s">
        <v>188</v>
      </c>
      <c r="EW51">
        <v>25</v>
      </c>
      <c r="EX51">
        <v>12.548912079480168</v>
      </c>
      <c r="EY51">
        <v>0.31110369824394191</v>
      </c>
      <c r="EZ51">
        <v>0.31110369824394191</v>
      </c>
      <c r="FA51" t="s">
        <v>201</v>
      </c>
      <c r="FB51" s="1" t="s">
        <v>250</v>
      </c>
      <c r="FC51" t="s">
        <v>201</v>
      </c>
      <c r="FD51" t="s">
        <v>201</v>
      </c>
      <c r="FE51" t="s">
        <v>201</v>
      </c>
      <c r="FF51" t="s">
        <v>201</v>
      </c>
      <c r="FG51" t="s">
        <v>217</v>
      </c>
      <c r="FH51">
        <v>315.54653125609809</v>
      </c>
      <c r="FI51">
        <f t="shared" si="8"/>
        <v>23.665989844207356</v>
      </c>
      <c r="FJ51">
        <f t="shared" si="9"/>
        <v>23.665989844207356</v>
      </c>
      <c r="FK51" t="s">
        <v>203</v>
      </c>
      <c r="FL51" t="s">
        <v>216</v>
      </c>
      <c r="FM51" t="s">
        <v>249</v>
      </c>
      <c r="FN51" t="s">
        <v>201</v>
      </c>
      <c r="FO51" t="s">
        <v>201</v>
      </c>
      <c r="FP51" t="s">
        <v>201</v>
      </c>
      <c r="FQ51" t="s">
        <v>201</v>
      </c>
      <c r="FR51" t="s">
        <v>201</v>
      </c>
      <c r="FS51" t="s">
        <v>201</v>
      </c>
      <c r="FT51" t="s">
        <v>199</v>
      </c>
      <c r="FU51" t="s">
        <v>201</v>
      </c>
      <c r="FV51" s="47" t="s">
        <v>321</v>
      </c>
      <c r="FW51" t="s">
        <v>394</v>
      </c>
      <c r="FX51" t="s">
        <v>201</v>
      </c>
      <c r="FY51" t="s">
        <v>248</v>
      </c>
    </row>
    <row r="52" spans="1:181" s="14" customFormat="1" x14ac:dyDescent="0.15">
      <c r="A52" s="3" t="s">
        <v>258</v>
      </c>
      <c r="B52" s="3" t="s">
        <v>193</v>
      </c>
      <c r="C52">
        <v>2017</v>
      </c>
      <c r="D52" s="22" t="str">
        <f t="shared" si="1"/>
        <v>10.1016/j.epsl.2017.03.016</v>
      </c>
      <c r="E52" s="22">
        <f t="shared" si="2"/>
        <v>823.86</v>
      </c>
      <c r="F52" s="22" t="str">
        <f t="shared" si="3"/>
        <v>NA</v>
      </c>
      <c r="G52" s="22" t="str">
        <f t="shared" si="4"/>
        <v>NA</v>
      </c>
      <c r="H52" s="22">
        <f t="shared" si="5"/>
        <v>336.90616190877881</v>
      </c>
      <c r="I52" s="36">
        <f t="shared" si="6"/>
        <v>25.26796214315841</v>
      </c>
      <c r="J52" s="36">
        <f t="shared" si="7"/>
        <v>25.26796214315841</v>
      </c>
      <c r="K52" s="17" t="s">
        <v>251</v>
      </c>
      <c r="L52" s="17" t="s">
        <v>252</v>
      </c>
      <c r="M52" s="17" t="s">
        <v>194</v>
      </c>
      <c r="N52" s="17" t="s">
        <v>192</v>
      </c>
      <c r="O52" s="14">
        <v>806</v>
      </c>
      <c r="P52" s="16" t="s">
        <v>189</v>
      </c>
      <c r="Q52" s="14">
        <v>2</v>
      </c>
      <c r="R52" s="14" t="s">
        <v>208</v>
      </c>
      <c r="S52" s="14" t="s">
        <v>209</v>
      </c>
      <c r="T52" s="14">
        <v>7</v>
      </c>
      <c r="U52" s="14">
        <v>20</v>
      </c>
      <c r="V52" s="14" t="s">
        <v>201</v>
      </c>
      <c r="W52" s="14" t="s">
        <v>201</v>
      </c>
      <c r="X52" s="14" t="s">
        <v>201</v>
      </c>
      <c r="Y52" s="14" t="s">
        <v>201</v>
      </c>
      <c r="Z52" s="18">
        <v>16.899999999999999</v>
      </c>
      <c r="AA52" s="17" t="s">
        <v>207</v>
      </c>
      <c r="AB52" s="14">
        <v>823.86</v>
      </c>
      <c r="AC52" s="14" t="s">
        <v>201</v>
      </c>
      <c r="AD52" s="14" t="s">
        <v>201</v>
      </c>
      <c r="AE52" s="14" t="s">
        <v>201</v>
      </c>
      <c r="AF52" s="16" t="s">
        <v>177</v>
      </c>
      <c r="AG52" s="16" t="s">
        <v>179</v>
      </c>
      <c r="AH52" s="19">
        <v>0.31850000000000001</v>
      </c>
      <c r="AI52" s="18">
        <v>159.36150000000001</v>
      </c>
      <c r="AJ52" s="14">
        <v>-2520</v>
      </c>
      <c r="AK52" s="14" t="s">
        <v>201</v>
      </c>
      <c r="AL52" s="14" t="s">
        <v>201</v>
      </c>
      <c r="AM52" s="14" t="s">
        <v>201</v>
      </c>
      <c r="AN52" s="14" t="s">
        <v>201</v>
      </c>
      <c r="AO52" s="16" t="s">
        <v>180</v>
      </c>
      <c r="AP52" s="14" t="s">
        <v>201</v>
      </c>
      <c r="AQ52" s="14" t="s">
        <v>201</v>
      </c>
      <c r="AR52" s="14" t="s">
        <v>201</v>
      </c>
      <c r="AS52" s="14" t="s">
        <v>201</v>
      </c>
      <c r="AT52" s="14" t="s">
        <v>201</v>
      </c>
      <c r="AU52" s="14" t="s">
        <v>201</v>
      </c>
      <c r="AV52" s="14" t="s">
        <v>201</v>
      </c>
      <c r="AW52" s="14" t="s">
        <v>201</v>
      </c>
      <c r="AX52" s="14">
        <v>1.665143</v>
      </c>
      <c r="AY52" s="14">
        <v>0.13</v>
      </c>
      <c r="AZ52" s="14" t="s">
        <v>203</v>
      </c>
      <c r="BA52" s="14" t="s">
        <v>201</v>
      </c>
      <c r="BB52" s="14">
        <v>-0.63942900000000003</v>
      </c>
      <c r="BC52" s="14">
        <v>0.24</v>
      </c>
      <c r="BD52" s="14" t="s">
        <v>203</v>
      </c>
      <c r="BE52" s="14" t="s">
        <v>201</v>
      </c>
      <c r="BF52" s="16" t="s">
        <v>181</v>
      </c>
      <c r="BG52" s="16" t="s">
        <v>182</v>
      </c>
      <c r="BH52" s="14">
        <v>0</v>
      </c>
      <c r="BI52" s="14" t="s">
        <v>201</v>
      </c>
      <c r="BJ52" s="14" t="s">
        <v>201</v>
      </c>
      <c r="BK52" s="14" t="s">
        <v>201</v>
      </c>
      <c r="BL52" s="14" t="s">
        <v>201</v>
      </c>
      <c r="BM52" s="14" t="s">
        <v>201</v>
      </c>
      <c r="BN52" s="14" t="s">
        <v>201</v>
      </c>
      <c r="BO52" s="14" t="s">
        <v>201</v>
      </c>
      <c r="BP52" s="14" t="s">
        <v>201</v>
      </c>
      <c r="BQ52" s="14" t="s">
        <v>201</v>
      </c>
      <c r="BR52" s="14" t="s">
        <v>201</v>
      </c>
      <c r="BS52" s="16" t="s">
        <v>183</v>
      </c>
      <c r="BT52" s="14">
        <v>-25.511000000000003</v>
      </c>
      <c r="BU52" s="16" t="s">
        <v>184</v>
      </c>
      <c r="BV52" s="14">
        <v>0.3</v>
      </c>
      <c r="BW52" s="14" t="s">
        <v>201</v>
      </c>
      <c r="BX52" s="14" t="s">
        <v>202</v>
      </c>
      <c r="BY52" s="14">
        <v>4.2</v>
      </c>
      <c r="BZ52" s="6" t="s">
        <v>201</v>
      </c>
      <c r="CA52" s="6" t="s">
        <v>201</v>
      </c>
      <c r="CB52" s="14">
        <v>-21.418146200000024</v>
      </c>
      <c r="CC52" s="14" t="s">
        <v>201</v>
      </c>
      <c r="CD52" s="14" t="s">
        <v>201</v>
      </c>
      <c r="CE52" s="14" t="s">
        <v>201</v>
      </c>
      <c r="CF52" s="14" t="s">
        <v>201</v>
      </c>
      <c r="CG52" s="14">
        <v>35</v>
      </c>
      <c r="CH52" s="14">
        <v>1</v>
      </c>
      <c r="CI52" s="14" t="s">
        <v>204</v>
      </c>
      <c r="CJ52" s="16" t="s">
        <v>185</v>
      </c>
      <c r="CK52" s="14">
        <v>0.16</v>
      </c>
      <c r="CL52" s="14">
        <v>0.1</v>
      </c>
      <c r="CM52" s="14">
        <v>0.1</v>
      </c>
      <c r="CN52" s="14" t="s">
        <v>204</v>
      </c>
      <c r="CO52" s="16" t="s">
        <v>186</v>
      </c>
      <c r="CP52" s="14" t="s">
        <v>201</v>
      </c>
      <c r="CQ52" s="14" t="s">
        <v>201</v>
      </c>
      <c r="CR52" s="14">
        <f t="shared" si="10"/>
        <v>26.955835326819503</v>
      </c>
      <c r="CS52" s="14" t="s">
        <v>201</v>
      </c>
      <c r="CT52" s="14" t="s">
        <v>201</v>
      </c>
      <c r="CU52" s="14" t="s">
        <v>201</v>
      </c>
      <c r="CV52" s="14" t="s">
        <v>211</v>
      </c>
      <c r="CW52" s="14">
        <v>0.93366975157141285</v>
      </c>
      <c r="CX52" s="14" t="s">
        <v>201</v>
      </c>
      <c r="CY52" s="14">
        <v>26.560317497947533</v>
      </c>
      <c r="CZ52" s="14" t="s">
        <v>201</v>
      </c>
      <c r="DA52" s="14" t="s">
        <v>201</v>
      </c>
      <c r="DB52" s="14" t="s">
        <v>201</v>
      </c>
      <c r="DC52" s="16" t="s">
        <v>190</v>
      </c>
      <c r="DD52" s="14" t="s">
        <v>205</v>
      </c>
      <c r="DE52" s="14" t="s">
        <v>201</v>
      </c>
      <c r="DF52" s="14" t="s">
        <v>201</v>
      </c>
      <c r="DG52" s="14" t="s">
        <v>201</v>
      </c>
      <c r="DH52" s="14" t="s">
        <v>201</v>
      </c>
      <c r="DI52" s="14">
        <v>27.35135315569147</v>
      </c>
      <c r="DJ52" s="14" t="s">
        <v>201</v>
      </c>
      <c r="DK52" s="14" t="s">
        <v>201</v>
      </c>
      <c r="DL52" s="14" t="s">
        <v>201</v>
      </c>
      <c r="DM52" s="14" t="s">
        <v>206</v>
      </c>
      <c r="DN52" s="14" t="s">
        <v>201</v>
      </c>
      <c r="DO52" s="14" t="s">
        <v>201</v>
      </c>
      <c r="DP52" s="14" t="s">
        <v>201</v>
      </c>
      <c r="DQ52" s="14" t="s">
        <v>201</v>
      </c>
      <c r="DR52" s="14" t="s">
        <v>201</v>
      </c>
      <c r="DS52" s="14" t="s">
        <v>201</v>
      </c>
      <c r="DT52" s="14" t="s">
        <v>201</v>
      </c>
      <c r="DU52" s="14" t="s">
        <v>201</v>
      </c>
      <c r="DV52" s="14" t="s">
        <v>201</v>
      </c>
      <c r="DW52" s="14" t="s">
        <v>201</v>
      </c>
      <c r="DX52" s="14">
        <v>2.5936507940000002</v>
      </c>
      <c r="DY52" s="14" t="s">
        <v>201</v>
      </c>
      <c r="DZ52" s="15" t="s">
        <v>201</v>
      </c>
      <c r="EA52" s="21" t="s">
        <v>201</v>
      </c>
      <c r="EB52" s="14" t="s">
        <v>201</v>
      </c>
      <c r="EC52" s="14" t="s">
        <v>201</v>
      </c>
      <c r="ED52" s="14" t="s">
        <v>201</v>
      </c>
      <c r="EE52" s="14" t="s">
        <v>201</v>
      </c>
      <c r="EF52" s="14" t="s">
        <v>201</v>
      </c>
      <c r="EG52" s="14" t="s">
        <v>201</v>
      </c>
      <c r="EH52" s="14" t="s">
        <v>201</v>
      </c>
      <c r="EI52" s="14" t="s">
        <v>201</v>
      </c>
      <c r="EJ52" s="14" t="s">
        <v>201</v>
      </c>
      <c r="EK52" s="14" t="s">
        <v>201</v>
      </c>
      <c r="EL52" s="14" t="s">
        <v>201</v>
      </c>
      <c r="EM52" s="14" t="s">
        <v>201</v>
      </c>
      <c r="EN52" s="14" t="s">
        <v>201</v>
      </c>
      <c r="EO52" s="14" t="s">
        <v>201</v>
      </c>
      <c r="EP52" s="14" t="s">
        <v>201</v>
      </c>
      <c r="EQ52" s="14" t="s">
        <v>201</v>
      </c>
      <c r="ER52" s="14">
        <v>103.03319999999999</v>
      </c>
      <c r="ES52" s="14" t="s">
        <v>201</v>
      </c>
      <c r="ET52" s="14" t="s">
        <v>201</v>
      </c>
      <c r="EU52" s="14" t="s">
        <v>201</v>
      </c>
      <c r="EV52" s="16" t="s">
        <v>188</v>
      </c>
      <c r="EW52" s="14">
        <v>25</v>
      </c>
      <c r="EX52" s="14">
        <v>13.584656321955269</v>
      </c>
      <c r="EY52" s="14">
        <v>9.8698964838161984E-2</v>
      </c>
      <c r="EZ52" s="14">
        <v>9.8698964838161984E-2</v>
      </c>
      <c r="FA52" s="14" t="s">
        <v>201</v>
      </c>
      <c r="FB52" s="16" t="s">
        <v>250</v>
      </c>
      <c r="FC52" s="14" t="s">
        <v>201</v>
      </c>
      <c r="FD52" s="14" t="s">
        <v>201</v>
      </c>
      <c r="FE52" s="14" t="s">
        <v>201</v>
      </c>
      <c r="FF52" s="14" t="s">
        <v>201</v>
      </c>
      <c r="FG52" s="14" t="s">
        <v>217</v>
      </c>
      <c r="FH52" s="14">
        <v>336.90616190877881</v>
      </c>
      <c r="FI52" s="14">
        <f t="shared" si="8"/>
        <v>25.26796214315841</v>
      </c>
      <c r="FJ52" s="14">
        <f t="shared" si="9"/>
        <v>25.26796214315841</v>
      </c>
      <c r="FK52" s="14" t="s">
        <v>203</v>
      </c>
      <c r="FL52" s="14" t="s">
        <v>216</v>
      </c>
      <c r="FM52" s="14" t="s">
        <v>249</v>
      </c>
      <c r="FN52" s="14" t="s">
        <v>201</v>
      </c>
      <c r="FO52" s="14" t="s">
        <v>201</v>
      </c>
      <c r="FP52" s="14" t="s">
        <v>201</v>
      </c>
      <c r="FQ52" s="14" t="s">
        <v>201</v>
      </c>
      <c r="FR52" s="14" t="s">
        <v>201</v>
      </c>
      <c r="FS52" s="14" t="s">
        <v>201</v>
      </c>
      <c r="FT52" s="14" t="s">
        <v>199</v>
      </c>
      <c r="FU52" s="14" t="s">
        <v>201</v>
      </c>
      <c r="FV52" s="46" t="s">
        <v>322</v>
      </c>
      <c r="FW52" s="14" t="s">
        <v>395</v>
      </c>
      <c r="FX52" s="14" t="s">
        <v>201</v>
      </c>
      <c r="FY52" s="14" t="s">
        <v>248</v>
      </c>
    </row>
    <row r="53" spans="1:181" x14ac:dyDescent="0.15">
      <c r="A53" s="3" t="s">
        <v>258</v>
      </c>
      <c r="B53" s="3" t="s">
        <v>193</v>
      </c>
      <c r="C53">
        <v>2017</v>
      </c>
      <c r="D53" s="22" t="str">
        <f t="shared" si="1"/>
        <v>10.1016/j.epsl.2017.03.016</v>
      </c>
      <c r="E53" s="22">
        <f t="shared" si="2"/>
        <v>855.15</v>
      </c>
      <c r="F53" s="22" t="str">
        <f t="shared" si="3"/>
        <v>NA</v>
      </c>
      <c r="G53" s="22" t="str">
        <f t="shared" si="4"/>
        <v>NA</v>
      </c>
      <c r="H53" s="22">
        <f t="shared" si="5"/>
        <v>317.98595264798632</v>
      </c>
      <c r="I53" s="36">
        <f t="shared" si="6"/>
        <v>23.848946448598973</v>
      </c>
      <c r="J53" s="36">
        <f t="shared" si="7"/>
        <v>23.848946448598973</v>
      </c>
      <c r="K53" s="2" t="s">
        <v>251</v>
      </c>
      <c r="L53" s="2" t="s">
        <v>252</v>
      </c>
      <c r="M53" s="2" t="s">
        <v>194</v>
      </c>
      <c r="N53" s="2" t="s">
        <v>192</v>
      </c>
      <c r="O53">
        <v>806</v>
      </c>
      <c r="P53" s="1" t="s">
        <v>189</v>
      </c>
      <c r="Q53" t="s">
        <v>201</v>
      </c>
      <c r="R53" t="s">
        <v>201</v>
      </c>
      <c r="S53" t="s">
        <v>201</v>
      </c>
      <c r="T53" t="s">
        <v>201</v>
      </c>
      <c r="U53" t="s">
        <v>201</v>
      </c>
      <c r="V53" t="s">
        <v>201</v>
      </c>
      <c r="W53" t="s">
        <v>201</v>
      </c>
      <c r="X53" t="s">
        <v>201</v>
      </c>
      <c r="Y53" t="s">
        <v>201</v>
      </c>
      <c r="Z53" s="10">
        <v>17.600000000000001</v>
      </c>
      <c r="AA53" s="2" t="s">
        <v>207</v>
      </c>
      <c r="AB53">
        <v>855.15</v>
      </c>
      <c r="AC53" t="s">
        <v>201</v>
      </c>
      <c r="AD53" t="s">
        <v>201</v>
      </c>
      <c r="AE53" t="s">
        <v>201</v>
      </c>
      <c r="AF53" s="1" t="s">
        <v>177</v>
      </c>
      <c r="AG53" s="1" t="s">
        <v>179</v>
      </c>
      <c r="AH53" s="13">
        <v>0.31850000000000001</v>
      </c>
      <c r="AI53" s="10">
        <v>159.36150000000001</v>
      </c>
      <c r="AJ53" s="35">
        <v>-2520</v>
      </c>
      <c r="AK53" t="s">
        <v>201</v>
      </c>
      <c r="AL53" t="s">
        <v>201</v>
      </c>
      <c r="AM53" t="s">
        <v>201</v>
      </c>
      <c r="AN53" t="s">
        <v>201</v>
      </c>
      <c r="AO53" s="1" t="s">
        <v>180</v>
      </c>
      <c r="AP53" t="s">
        <v>201</v>
      </c>
      <c r="AQ53" t="s">
        <v>201</v>
      </c>
      <c r="AR53" t="s">
        <v>201</v>
      </c>
      <c r="AS53" t="s">
        <v>201</v>
      </c>
      <c r="AT53" t="s">
        <v>201</v>
      </c>
      <c r="AU53" t="s">
        <v>201</v>
      </c>
      <c r="AV53" t="s">
        <v>201</v>
      </c>
      <c r="AW53" t="s">
        <v>201</v>
      </c>
      <c r="AX53">
        <v>1.5429999999999999</v>
      </c>
      <c r="AY53">
        <v>0.13</v>
      </c>
      <c r="AZ53" t="s">
        <v>203</v>
      </c>
      <c r="BA53" t="s">
        <v>201</v>
      </c>
      <c r="BB53">
        <v>-1.343</v>
      </c>
      <c r="BC53">
        <v>0.24</v>
      </c>
      <c r="BD53" t="s">
        <v>203</v>
      </c>
      <c r="BE53" t="s">
        <v>201</v>
      </c>
      <c r="BF53" s="1" t="s">
        <v>181</v>
      </c>
      <c r="BG53" s="1" t="s">
        <v>182</v>
      </c>
      <c r="BH53">
        <v>0</v>
      </c>
      <c r="BI53" t="s">
        <v>201</v>
      </c>
      <c r="BJ53" t="s">
        <v>201</v>
      </c>
      <c r="BK53" t="s">
        <v>201</v>
      </c>
      <c r="BL53" t="s">
        <v>201</v>
      </c>
      <c r="BM53" t="s">
        <v>201</v>
      </c>
      <c r="BN53" t="s">
        <v>201</v>
      </c>
      <c r="BO53" t="s">
        <v>201</v>
      </c>
      <c r="BP53" t="s">
        <v>201</v>
      </c>
      <c r="BQ53" t="s">
        <v>201</v>
      </c>
      <c r="BR53" t="s">
        <v>201</v>
      </c>
      <c r="BS53" s="1" t="s">
        <v>183</v>
      </c>
      <c r="BT53">
        <v>-24.712</v>
      </c>
      <c r="BU53" s="1" t="s">
        <v>184</v>
      </c>
      <c r="BV53">
        <v>0.3</v>
      </c>
      <c r="BW53" t="s">
        <v>201</v>
      </c>
      <c r="BX53" t="s">
        <v>202</v>
      </c>
      <c r="BY53">
        <v>4.2</v>
      </c>
      <c r="BZ53" s="4" t="s">
        <v>201</v>
      </c>
      <c r="CA53" s="4" t="s">
        <v>201</v>
      </c>
      <c r="CB53">
        <v>-20.615790400000037</v>
      </c>
      <c r="CC53" t="s">
        <v>201</v>
      </c>
      <c r="CD53" t="s">
        <v>201</v>
      </c>
      <c r="CE53" t="s">
        <v>201</v>
      </c>
      <c r="CF53" t="s">
        <v>201</v>
      </c>
      <c r="CG53">
        <v>35</v>
      </c>
      <c r="CH53">
        <v>1</v>
      </c>
      <c r="CI53" t="s">
        <v>204</v>
      </c>
      <c r="CJ53" s="1" t="s">
        <v>185</v>
      </c>
      <c r="CK53">
        <v>0.16</v>
      </c>
      <c r="CL53">
        <v>0.1</v>
      </c>
      <c r="CM53">
        <v>0.1</v>
      </c>
      <c r="CN53" t="s">
        <v>204</v>
      </c>
      <c r="CO53" s="1" t="s">
        <v>186</v>
      </c>
      <c r="CP53" t="s">
        <v>201</v>
      </c>
      <c r="CQ53" t="s">
        <v>201</v>
      </c>
      <c r="CR53">
        <f t="shared" si="10"/>
        <v>27.346753985610832</v>
      </c>
      <c r="CS53" t="s">
        <v>201</v>
      </c>
      <c r="CT53" t="s">
        <v>201</v>
      </c>
      <c r="CU53" t="s">
        <v>201</v>
      </c>
      <c r="CV53" t="s">
        <v>211</v>
      </c>
      <c r="CW53">
        <v>0.98321162906831905</v>
      </c>
      <c r="CX53" t="s">
        <v>201</v>
      </c>
      <c r="CY53">
        <v>28.040430630045101</v>
      </c>
      <c r="CZ53" t="s">
        <v>201</v>
      </c>
      <c r="DA53" t="s">
        <v>201</v>
      </c>
      <c r="DB53" t="s">
        <v>201</v>
      </c>
      <c r="DC53" s="1" t="s">
        <v>190</v>
      </c>
      <c r="DD53" t="s">
        <v>205</v>
      </c>
      <c r="DE53" t="s">
        <v>201</v>
      </c>
      <c r="DF53" t="s">
        <v>201</v>
      </c>
      <c r="DG53" t="s">
        <v>201</v>
      </c>
      <c r="DH53" t="s">
        <v>201</v>
      </c>
      <c r="DI53">
        <v>26.653077341176562</v>
      </c>
      <c r="DJ53" t="s">
        <v>201</v>
      </c>
      <c r="DK53" t="s">
        <v>201</v>
      </c>
      <c r="DL53" t="s">
        <v>201</v>
      </c>
      <c r="DM53" t="s">
        <v>206</v>
      </c>
      <c r="DN53" t="s">
        <v>201</v>
      </c>
      <c r="DO53" t="s">
        <v>201</v>
      </c>
      <c r="DP53" t="s">
        <v>201</v>
      </c>
      <c r="DQ53" t="s">
        <v>201</v>
      </c>
      <c r="DR53" t="s">
        <v>201</v>
      </c>
      <c r="DS53" t="s">
        <v>201</v>
      </c>
      <c r="DT53" t="s">
        <v>201</v>
      </c>
      <c r="DU53" t="s">
        <v>201</v>
      </c>
      <c r="DV53" t="s">
        <v>201</v>
      </c>
      <c r="DW53" t="s">
        <v>201</v>
      </c>
      <c r="DX53" t="s">
        <v>201</v>
      </c>
      <c r="DY53" t="s">
        <v>201</v>
      </c>
      <c r="DZ53" s="3" t="s">
        <v>201</v>
      </c>
      <c r="EA53" s="3" t="s">
        <v>201</v>
      </c>
      <c r="EB53" t="s">
        <v>201</v>
      </c>
      <c r="EC53" t="s">
        <v>201</v>
      </c>
      <c r="ED53" t="s">
        <v>201</v>
      </c>
      <c r="EE53" t="s">
        <v>201</v>
      </c>
      <c r="EF53" t="s">
        <v>201</v>
      </c>
      <c r="EG53" t="s">
        <v>201</v>
      </c>
      <c r="EH53" t="s">
        <v>201</v>
      </c>
      <c r="EI53" t="s">
        <v>201</v>
      </c>
      <c r="EJ53" t="s">
        <v>201</v>
      </c>
      <c r="EK53" t="s">
        <v>201</v>
      </c>
      <c r="EL53" t="s">
        <v>201</v>
      </c>
      <c r="EM53" t="s">
        <v>201</v>
      </c>
      <c r="EN53" t="s">
        <v>201</v>
      </c>
      <c r="EO53" t="s">
        <v>201</v>
      </c>
      <c r="EP53" t="s">
        <v>201</v>
      </c>
      <c r="EQ53" t="s">
        <v>201</v>
      </c>
      <c r="ER53">
        <v>103.03319999999999</v>
      </c>
      <c r="ES53" t="s">
        <v>201</v>
      </c>
      <c r="ET53" t="s">
        <v>201</v>
      </c>
      <c r="EU53" t="s">
        <v>201</v>
      </c>
      <c r="EV53" s="1" t="s">
        <v>188</v>
      </c>
      <c r="EW53">
        <v>25</v>
      </c>
      <c r="EX53">
        <v>12.703898823662074</v>
      </c>
      <c r="EY53">
        <v>0.17293847993715694</v>
      </c>
      <c r="EZ53">
        <v>0.17293847993715694</v>
      </c>
      <c r="FA53" t="s">
        <v>201</v>
      </c>
      <c r="FB53" s="1" t="s">
        <v>250</v>
      </c>
      <c r="FC53" t="s">
        <v>201</v>
      </c>
      <c r="FD53" t="s">
        <v>201</v>
      </c>
      <c r="FE53" t="s">
        <v>201</v>
      </c>
      <c r="FF53" t="s">
        <v>201</v>
      </c>
      <c r="FG53" t="s">
        <v>217</v>
      </c>
      <c r="FH53">
        <v>317.98595264798632</v>
      </c>
      <c r="FI53">
        <f t="shared" si="8"/>
        <v>23.848946448598973</v>
      </c>
      <c r="FJ53">
        <f t="shared" si="9"/>
        <v>23.848946448598973</v>
      </c>
      <c r="FK53" t="s">
        <v>203</v>
      </c>
      <c r="FL53" t="s">
        <v>216</v>
      </c>
      <c r="FM53" t="s">
        <v>249</v>
      </c>
      <c r="FN53" t="s">
        <v>201</v>
      </c>
      <c r="FO53" t="s">
        <v>201</v>
      </c>
      <c r="FP53" t="s">
        <v>201</v>
      </c>
      <c r="FQ53" t="s">
        <v>201</v>
      </c>
      <c r="FR53" t="s">
        <v>201</v>
      </c>
      <c r="FS53" t="s">
        <v>201</v>
      </c>
      <c r="FT53" t="s">
        <v>199</v>
      </c>
      <c r="FU53" t="s">
        <v>201</v>
      </c>
      <c r="FV53" s="47" t="s">
        <v>323</v>
      </c>
      <c r="FW53" t="s">
        <v>396</v>
      </c>
      <c r="FX53" t="s">
        <v>201</v>
      </c>
      <c r="FY53" t="s">
        <v>248</v>
      </c>
    </row>
    <row r="54" spans="1:181" x14ac:dyDescent="0.15">
      <c r="A54" s="3" t="s">
        <v>258</v>
      </c>
      <c r="B54" s="3" t="s">
        <v>193</v>
      </c>
      <c r="C54">
        <v>2017</v>
      </c>
      <c r="D54" s="22" t="str">
        <f t="shared" si="1"/>
        <v>10.1016/j.epsl.2017.03.016</v>
      </c>
      <c r="E54" s="22">
        <f t="shared" si="2"/>
        <v>926.67</v>
      </c>
      <c r="F54" s="22" t="str">
        <f t="shared" si="3"/>
        <v>NA</v>
      </c>
      <c r="G54" s="22" t="str">
        <f t="shared" si="4"/>
        <v>NA</v>
      </c>
      <c r="H54" s="22">
        <f t="shared" si="5"/>
        <v>334.59532705213326</v>
      </c>
      <c r="I54" s="36">
        <f t="shared" si="6"/>
        <v>25.094649528909994</v>
      </c>
      <c r="J54" s="36">
        <f t="shared" si="7"/>
        <v>25.094649528909994</v>
      </c>
      <c r="K54" s="2" t="s">
        <v>251</v>
      </c>
      <c r="L54" s="2" t="s">
        <v>252</v>
      </c>
      <c r="M54" s="2" t="s">
        <v>194</v>
      </c>
      <c r="N54" s="2" t="s">
        <v>192</v>
      </c>
      <c r="O54">
        <v>806</v>
      </c>
      <c r="P54" s="1" t="s">
        <v>189</v>
      </c>
      <c r="Q54" t="s">
        <v>201</v>
      </c>
      <c r="R54" t="s">
        <v>201</v>
      </c>
      <c r="S54" t="s">
        <v>201</v>
      </c>
      <c r="T54" t="s">
        <v>201</v>
      </c>
      <c r="U54" t="s">
        <v>201</v>
      </c>
      <c r="V54" t="s">
        <v>201</v>
      </c>
      <c r="W54" t="s">
        <v>201</v>
      </c>
      <c r="X54" t="s">
        <v>201</v>
      </c>
      <c r="Y54" t="s">
        <v>201</v>
      </c>
      <c r="Z54" s="10">
        <v>19.2</v>
      </c>
      <c r="AA54" s="2" t="s">
        <v>207</v>
      </c>
      <c r="AB54">
        <v>926.67</v>
      </c>
      <c r="AC54" t="s">
        <v>201</v>
      </c>
      <c r="AD54" t="s">
        <v>201</v>
      </c>
      <c r="AE54" t="s">
        <v>201</v>
      </c>
      <c r="AF54" s="1" t="s">
        <v>177</v>
      </c>
      <c r="AG54" s="1" t="s">
        <v>179</v>
      </c>
      <c r="AH54" s="13">
        <v>0.31850000000000001</v>
      </c>
      <c r="AI54" s="10">
        <v>159.36150000000001</v>
      </c>
      <c r="AJ54" s="35">
        <v>-2520</v>
      </c>
      <c r="AK54" t="s">
        <v>201</v>
      </c>
      <c r="AL54" t="s">
        <v>201</v>
      </c>
      <c r="AM54" t="s">
        <v>201</v>
      </c>
      <c r="AN54" t="s">
        <v>201</v>
      </c>
      <c r="AO54" s="1" t="s">
        <v>180</v>
      </c>
      <c r="AP54" t="s">
        <v>201</v>
      </c>
      <c r="AQ54" t="s">
        <v>201</v>
      </c>
      <c r="AR54" t="s">
        <v>201</v>
      </c>
      <c r="AS54" t="s">
        <v>201</v>
      </c>
      <c r="AT54" t="s">
        <v>201</v>
      </c>
      <c r="AU54" t="s">
        <v>201</v>
      </c>
      <c r="AV54" t="s">
        <v>201</v>
      </c>
      <c r="AW54" t="s">
        <v>201</v>
      </c>
      <c r="AX54">
        <v>1.4870000000000001</v>
      </c>
      <c r="AY54">
        <v>0.13</v>
      </c>
      <c r="AZ54" t="s">
        <v>203</v>
      </c>
      <c r="BA54" t="s">
        <v>201</v>
      </c>
      <c r="BB54">
        <v>-1.1279999999999999</v>
      </c>
      <c r="BC54">
        <v>0.24</v>
      </c>
      <c r="BD54" t="s">
        <v>203</v>
      </c>
      <c r="BE54" t="s">
        <v>201</v>
      </c>
      <c r="BF54" s="1" t="s">
        <v>181</v>
      </c>
      <c r="BG54" s="1" t="s">
        <v>182</v>
      </c>
      <c r="BH54">
        <v>0</v>
      </c>
      <c r="BI54" t="s">
        <v>201</v>
      </c>
      <c r="BJ54" t="s">
        <v>201</v>
      </c>
      <c r="BK54" t="s">
        <v>201</v>
      </c>
      <c r="BL54" t="s">
        <v>201</v>
      </c>
      <c r="BM54" t="s">
        <v>201</v>
      </c>
      <c r="BN54" t="s">
        <v>201</v>
      </c>
      <c r="BO54" t="s">
        <v>201</v>
      </c>
      <c r="BP54" t="s">
        <v>201</v>
      </c>
      <c r="BQ54" t="s">
        <v>201</v>
      </c>
      <c r="BR54" t="s">
        <v>201</v>
      </c>
      <c r="BS54" s="1" t="s">
        <v>183</v>
      </c>
      <c r="BT54">
        <v>-25.463000000000001</v>
      </c>
      <c r="BU54" s="1" t="s">
        <v>184</v>
      </c>
      <c r="BV54">
        <v>0.3</v>
      </c>
      <c r="BW54" t="s">
        <v>201</v>
      </c>
      <c r="BX54" t="s">
        <v>202</v>
      </c>
      <c r="BY54">
        <v>4.2</v>
      </c>
      <c r="BZ54" s="4" t="s">
        <v>201</v>
      </c>
      <c r="CA54" s="4" t="s">
        <v>201</v>
      </c>
      <c r="CB54">
        <v>-21.36994459999994</v>
      </c>
      <c r="CC54" t="s">
        <v>201</v>
      </c>
      <c r="CD54" t="s">
        <v>201</v>
      </c>
      <c r="CE54" t="s">
        <v>201</v>
      </c>
      <c r="CF54" t="s">
        <v>201</v>
      </c>
      <c r="CG54">
        <v>35</v>
      </c>
      <c r="CH54">
        <v>1</v>
      </c>
      <c r="CI54" t="s">
        <v>204</v>
      </c>
      <c r="CJ54" s="1" t="s">
        <v>185</v>
      </c>
      <c r="CK54">
        <v>0.16</v>
      </c>
      <c r="CL54">
        <v>0.1</v>
      </c>
      <c r="CM54">
        <v>0.1</v>
      </c>
      <c r="CN54" t="s">
        <v>204</v>
      </c>
      <c r="CO54" s="1" t="s">
        <v>186</v>
      </c>
      <c r="CP54" t="s">
        <v>201</v>
      </c>
      <c r="CQ54" t="s">
        <v>201</v>
      </c>
      <c r="CR54">
        <f t="shared" si="10"/>
        <v>26.73747609649368</v>
      </c>
      <c r="CS54" t="s">
        <v>201</v>
      </c>
      <c r="CT54" t="s">
        <v>201</v>
      </c>
      <c r="CU54" t="s">
        <v>201</v>
      </c>
      <c r="CV54" t="s">
        <v>211</v>
      </c>
      <c r="CW54">
        <v>0.97428299889654801</v>
      </c>
      <c r="CX54" t="s">
        <v>201</v>
      </c>
      <c r="CY54">
        <v>27.773678875033269</v>
      </c>
      <c r="CZ54" t="s">
        <v>201</v>
      </c>
      <c r="DA54" t="s">
        <v>201</v>
      </c>
      <c r="DB54" t="s">
        <v>201</v>
      </c>
      <c r="DC54" s="1" t="s">
        <v>190</v>
      </c>
      <c r="DD54" t="s">
        <v>205</v>
      </c>
      <c r="DE54" t="s">
        <v>201</v>
      </c>
      <c r="DF54" t="s">
        <v>201</v>
      </c>
      <c r="DG54" t="s">
        <v>201</v>
      </c>
      <c r="DH54" t="s">
        <v>201</v>
      </c>
      <c r="DI54">
        <v>25.701273317954094</v>
      </c>
      <c r="DJ54" t="s">
        <v>201</v>
      </c>
      <c r="DK54" t="s">
        <v>201</v>
      </c>
      <c r="DL54" t="s">
        <v>201</v>
      </c>
      <c r="DM54" t="s">
        <v>206</v>
      </c>
      <c r="DN54" t="s">
        <v>201</v>
      </c>
      <c r="DO54" t="s">
        <v>201</v>
      </c>
      <c r="DP54" t="s">
        <v>201</v>
      </c>
      <c r="DQ54" t="s">
        <v>201</v>
      </c>
      <c r="DR54" t="s">
        <v>201</v>
      </c>
      <c r="DS54" t="s">
        <v>201</v>
      </c>
      <c r="DT54" t="s">
        <v>201</v>
      </c>
      <c r="DU54" t="s">
        <v>201</v>
      </c>
      <c r="DV54" t="s">
        <v>201</v>
      </c>
      <c r="DW54" t="s">
        <v>201</v>
      </c>
      <c r="DX54" t="s">
        <v>201</v>
      </c>
      <c r="DY54" t="s">
        <v>201</v>
      </c>
      <c r="DZ54" s="3" t="s">
        <v>201</v>
      </c>
      <c r="EA54" s="3" t="s">
        <v>201</v>
      </c>
      <c r="EB54" t="s">
        <v>201</v>
      </c>
      <c r="EC54" t="s">
        <v>201</v>
      </c>
      <c r="ED54" t="s">
        <v>201</v>
      </c>
      <c r="EE54" t="s">
        <v>201</v>
      </c>
      <c r="EF54" t="s">
        <v>201</v>
      </c>
      <c r="EG54" t="s">
        <v>201</v>
      </c>
      <c r="EH54" t="s">
        <v>201</v>
      </c>
      <c r="EI54" t="s">
        <v>201</v>
      </c>
      <c r="EJ54" t="s">
        <v>201</v>
      </c>
      <c r="EK54" t="s">
        <v>201</v>
      </c>
      <c r="EL54" t="s">
        <v>201</v>
      </c>
      <c r="EM54" t="s">
        <v>201</v>
      </c>
      <c r="EN54" t="s">
        <v>201</v>
      </c>
      <c r="EO54" t="s">
        <v>201</v>
      </c>
      <c r="EP54" t="s">
        <v>201</v>
      </c>
      <c r="EQ54" t="s">
        <v>201</v>
      </c>
      <c r="ER54">
        <v>103.03319999999999</v>
      </c>
      <c r="ES54" t="s">
        <v>201</v>
      </c>
      <c r="ET54" t="s">
        <v>201</v>
      </c>
      <c r="EU54" t="s">
        <v>201</v>
      </c>
      <c r="EV54" s="1" t="s">
        <v>188</v>
      </c>
      <c r="EW54">
        <v>25</v>
      </c>
      <c r="EX54">
        <v>13.388500948821491</v>
      </c>
      <c r="EY54">
        <v>0.25851368977836131</v>
      </c>
      <c r="EZ54">
        <v>0.25851368977836131</v>
      </c>
      <c r="FA54" t="s">
        <v>201</v>
      </c>
      <c r="FB54" s="1" t="s">
        <v>250</v>
      </c>
      <c r="FC54" t="s">
        <v>201</v>
      </c>
      <c r="FD54" t="s">
        <v>201</v>
      </c>
      <c r="FE54" t="s">
        <v>201</v>
      </c>
      <c r="FF54" t="s">
        <v>201</v>
      </c>
      <c r="FG54" t="s">
        <v>217</v>
      </c>
      <c r="FH54">
        <v>334.59532705213326</v>
      </c>
      <c r="FI54">
        <f t="shared" si="8"/>
        <v>25.094649528909994</v>
      </c>
      <c r="FJ54">
        <f t="shared" si="9"/>
        <v>25.094649528909994</v>
      </c>
      <c r="FK54" t="s">
        <v>203</v>
      </c>
      <c r="FL54" t="s">
        <v>216</v>
      </c>
      <c r="FM54" t="s">
        <v>249</v>
      </c>
      <c r="FN54" t="s">
        <v>201</v>
      </c>
      <c r="FO54" t="s">
        <v>201</v>
      </c>
      <c r="FP54" t="s">
        <v>201</v>
      </c>
      <c r="FQ54" t="s">
        <v>201</v>
      </c>
      <c r="FR54" t="s">
        <v>201</v>
      </c>
      <c r="FS54" t="s">
        <v>201</v>
      </c>
      <c r="FT54" t="s">
        <v>199</v>
      </c>
      <c r="FU54" t="s">
        <v>201</v>
      </c>
      <c r="FV54" s="47" t="s">
        <v>324</v>
      </c>
      <c r="FW54" t="s">
        <v>397</v>
      </c>
      <c r="FX54" t="s">
        <v>201</v>
      </c>
      <c r="FY54" t="s">
        <v>248</v>
      </c>
    </row>
    <row r="55" spans="1:181" x14ac:dyDescent="0.15">
      <c r="A55" s="3" t="s">
        <v>258</v>
      </c>
      <c r="B55" s="3" t="s">
        <v>193</v>
      </c>
      <c r="C55">
        <v>2017</v>
      </c>
      <c r="D55" s="22" t="str">
        <f t="shared" si="1"/>
        <v>10.1016/j.epsl.2017.03.016</v>
      </c>
      <c r="E55" s="22">
        <f t="shared" si="2"/>
        <v>998.19</v>
      </c>
      <c r="F55" s="22" t="str">
        <f t="shared" si="3"/>
        <v>NA</v>
      </c>
      <c r="G55" s="22" t="str">
        <f t="shared" si="4"/>
        <v>NA</v>
      </c>
      <c r="H55" s="22">
        <f t="shared" si="5"/>
        <v>349.52758509746229</v>
      </c>
      <c r="I55" s="36">
        <f t="shared" si="6"/>
        <v>26.214568882309671</v>
      </c>
      <c r="J55" s="36">
        <f t="shared" si="7"/>
        <v>26.214568882309671</v>
      </c>
      <c r="K55" s="2" t="s">
        <v>251</v>
      </c>
      <c r="L55" s="2" t="s">
        <v>252</v>
      </c>
      <c r="M55" s="2" t="s">
        <v>194</v>
      </c>
      <c r="N55" s="2" t="s">
        <v>192</v>
      </c>
      <c r="O55">
        <v>806</v>
      </c>
      <c r="P55" s="1" t="s">
        <v>189</v>
      </c>
      <c r="Q55" t="s">
        <v>201</v>
      </c>
      <c r="R55" t="s">
        <v>201</v>
      </c>
      <c r="S55" t="s">
        <v>201</v>
      </c>
      <c r="T55" t="s">
        <v>201</v>
      </c>
      <c r="U55" t="s">
        <v>201</v>
      </c>
      <c r="V55" t="s">
        <v>201</v>
      </c>
      <c r="W55" t="s">
        <v>201</v>
      </c>
      <c r="X55" t="s">
        <v>201</v>
      </c>
      <c r="Y55" t="s">
        <v>201</v>
      </c>
      <c r="Z55" s="10">
        <v>20.8</v>
      </c>
      <c r="AA55" s="2" t="s">
        <v>207</v>
      </c>
      <c r="AB55">
        <v>998.19</v>
      </c>
      <c r="AC55" t="s">
        <v>201</v>
      </c>
      <c r="AD55" t="s">
        <v>201</v>
      </c>
      <c r="AE55" t="s">
        <v>201</v>
      </c>
      <c r="AF55" s="1" t="s">
        <v>177</v>
      </c>
      <c r="AG55" s="1" t="s">
        <v>179</v>
      </c>
      <c r="AH55" s="13">
        <v>0.31850000000000001</v>
      </c>
      <c r="AI55" s="10">
        <v>159.36150000000001</v>
      </c>
      <c r="AJ55" s="35">
        <v>-2520</v>
      </c>
      <c r="AK55" t="s">
        <v>201</v>
      </c>
      <c r="AL55" t="s">
        <v>201</v>
      </c>
      <c r="AM55" t="s">
        <v>201</v>
      </c>
      <c r="AN55" t="s">
        <v>201</v>
      </c>
      <c r="AO55" s="1" t="s">
        <v>180</v>
      </c>
      <c r="AP55" t="s">
        <v>201</v>
      </c>
      <c r="AQ55" t="s">
        <v>201</v>
      </c>
      <c r="AR55" t="s">
        <v>201</v>
      </c>
      <c r="AS55" t="s">
        <v>201</v>
      </c>
      <c r="AT55" t="s">
        <v>201</v>
      </c>
      <c r="AU55" t="s">
        <v>201</v>
      </c>
      <c r="AV55" t="s">
        <v>201</v>
      </c>
      <c r="AW55" t="s">
        <v>201</v>
      </c>
      <c r="AX55">
        <v>2.133</v>
      </c>
      <c r="AY55">
        <v>0.13</v>
      </c>
      <c r="AZ55" t="s">
        <v>203</v>
      </c>
      <c r="BA55" t="s">
        <v>201</v>
      </c>
      <c r="BB55">
        <v>-1.4119999999999999</v>
      </c>
      <c r="BC55">
        <v>0.24</v>
      </c>
      <c r="BD55" t="s">
        <v>203</v>
      </c>
      <c r="BE55" t="s">
        <v>201</v>
      </c>
      <c r="BF55" s="1" t="s">
        <v>181</v>
      </c>
      <c r="BG55" s="1" t="s">
        <v>182</v>
      </c>
      <c r="BH55">
        <v>0</v>
      </c>
      <c r="BI55" t="s">
        <v>201</v>
      </c>
      <c r="BJ55" t="s">
        <v>201</v>
      </c>
      <c r="BK55" t="s">
        <v>201</v>
      </c>
      <c r="BL55" t="s">
        <v>201</v>
      </c>
      <c r="BM55" t="s">
        <v>201</v>
      </c>
      <c r="BN55" t="s">
        <v>201</v>
      </c>
      <c r="BO55" t="s">
        <v>201</v>
      </c>
      <c r="BP55" t="s">
        <v>201</v>
      </c>
      <c r="BQ55" t="s">
        <v>201</v>
      </c>
      <c r="BR55" t="s">
        <v>201</v>
      </c>
      <c r="BS55" s="1" t="s">
        <v>183</v>
      </c>
      <c r="BT55">
        <v>-25.136000000000003</v>
      </c>
      <c r="BU55" s="1" t="s">
        <v>184</v>
      </c>
      <c r="BV55">
        <v>0.3</v>
      </c>
      <c r="BW55" t="s">
        <v>201</v>
      </c>
      <c r="BX55" t="s">
        <v>202</v>
      </c>
      <c r="BY55">
        <v>4.2</v>
      </c>
      <c r="BZ55" s="4" t="s">
        <v>201</v>
      </c>
      <c r="CA55" s="4" t="s">
        <v>201</v>
      </c>
      <c r="CB55">
        <v>-21.041571200000021</v>
      </c>
      <c r="CC55" t="s">
        <v>201</v>
      </c>
      <c r="CD55" t="s">
        <v>201</v>
      </c>
      <c r="CE55" t="s">
        <v>201</v>
      </c>
      <c r="CF55" t="s">
        <v>201</v>
      </c>
      <c r="CG55">
        <v>35</v>
      </c>
      <c r="CH55">
        <v>1</v>
      </c>
      <c r="CI55" t="s">
        <v>204</v>
      </c>
      <c r="CJ55" s="1" t="s">
        <v>185</v>
      </c>
      <c r="CK55">
        <v>0.16</v>
      </c>
      <c r="CL55">
        <v>0.1</v>
      </c>
      <c r="CM55">
        <v>0.1</v>
      </c>
      <c r="CN55" t="s">
        <v>204</v>
      </c>
      <c r="CO55" s="1" t="s">
        <v>186</v>
      </c>
      <c r="CP55" t="s">
        <v>201</v>
      </c>
      <c r="CQ55" t="s">
        <v>201</v>
      </c>
      <c r="CR55">
        <f t="shared" si="10"/>
        <v>27.029248593029589</v>
      </c>
      <c r="CS55" t="s">
        <v>201</v>
      </c>
      <c r="CT55" t="s">
        <v>201</v>
      </c>
      <c r="CU55" t="s">
        <v>201</v>
      </c>
      <c r="CV55" t="s">
        <v>211</v>
      </c>
      <c r="CW55">
        <v>0.98411182588348223</v>
      </c>
      <c r="CX55" t="s">
        <v>201</v>
      </c>
      <c r="CY55">
        <v>28.067324910094918</v>
      </c>
      <c r="CZ55" t="s">
        <v>201</v>
      </c>
      <c r="DA55" t="s">
        <v>201</v>
      </c>
      <c r="DB55" t="s">
        <v>201</v>
      </c>
      <c r="DC55" s="1" t="s">
        <v>190</v>
      </c>
      <c r="DD55" t="s">
        <v>205</v>
      </c>
      <c r="DE55" t="s">
        <v>201</v>
      </c>
      <c r="DF55" t="s">
        <v>201</v>
      </c>
      <c r="DG55" t="s">
        <v>201</v>
      </c>
      <c r="DH55" t="s">
        <v>201</v>
      </c>
      <c r="DI55">
        <v>25.99117227596426</v>
      </c>
      <c r="DJ55" t="s">
        <v>201</v>
      </c>
      <c r="DK55" t="s">
        <v>201</v>
      </c>
      <c r="DL55" t="s">
        <v>201</v>
      </c>
      <c r="DM55" t="s">
        <v>206</v>
      </c>
      <c r="DN55" t="s">
        <v>201</v>
      </c>
      <c r="DO55" t="s">
        <v>201</v>
      </c>
      <c r="DP55" t="s">
        <v>201</v>
      </c>
      <c r="DQ55" t="s">
        <v>201</v>
      </c>
      <c r="DR55" t="s">
        <v>201</v>
      </c>
      <c r="DS55" t="s">
        <v>201</v>
      </c>
      <c r="DT55" t="s">
        <v>201</v>
      </c>
      <c r="DU55" t="s">
        <v>201</v>
      </c>
      <c r="DV55" t="s">
        <v>201</v>
      </c>
      <c r="DW55" t="s">
        <v>201</v>
      </c>
      <c r="DX55" t="s">
        <v>201</v>
      </c>
      <c r="DY55" t="s">
        <v>201</v>
      </c>
      <c r="DZ55" s="3" t="s">
        <v>201</v>
      </c>
      <c r="EA55" s="3" t="s">
        <v>201</v>
      </c>
      <c r="EB55" t="s">
        <v>201</v>
      </c>
      <c r="EC55" t="s">
        <v>201</v>
      </c>
      <c r="ED55" t="s">
        <v>201</v>
      </c>
      <c r="EE55" t="s">
        <v>201</v>
      </c>
      <c r="EF55" t="s">
        <v>201</v>
      </c>
      <c r="EG55" t="s">
        <v>201</v>
      </c>
      <c r="EH55" t="s">
        <v>201</v>
      </c>
      <c r="EI55" t="s">
        <v>201</v>
      </c>
      <c r="EJ55" t="s">
        <v>201</v>
      </c>
      <c r="EK55" t="s">
        <v>201</v>
      </c>
      <c r="EL55" t="s">
        <v>201</v>
      </c>
      <c r="EM55" t="s">
        <v>201</v>
      </c>
      <c r="EN55" t="s">
        <v>201</v>
      </c>
      <c r="EO55" t="s">
        <v>201</v>
      </c>
      <c r="EP55" t="s">
        <v>201</v>
      </c>
      <c r="EQ55" t="s">
        <v>201</v>
      </c>
      <c r="ER55">
        <v>103.03319999999999</v>
      </c>
      <c r="ES55" t="s">
        <v>201</v>
      </c>
      <c r="ET55" t="s">
        <v>201</v>
      </c>
      <c r="EU55" t="s">
        <v>201</v>
      </c>
      <c r="EV55" s="1" t="s">
        <v>188</v>
      </c>
      <c r="EW55">
        <v>25</v>
      </c>
      <c r="EX55">
        <v>13.806340011659923</v>
      </c>
      <c r="EY55">
        <v>0.25907952826265124</v>
      </c>
      <c r="EZ55">
        <v>0.25907952826265124</v>
      </c>
      <c r="FA55" t="s">
        <v>201</v>
      </c>
      <c r="FB55" s="1" t="s">
        <v>250</v>
      </c>
      <c r="FC55" t="s">
        <v>201</v>
      </c>
      <c r="FD55" t="s">
        <v>201</v>
      </c>
      <c r="FE55" t="s">
        <v>201</v>
      </c>
      <c r="FF55" t="s">
        <v>201</v>
      </c>
      <c r="FG55" t="s">
        <v>217</v>
      </c>
      <c r="FH55">
        <v>349.52758509746229</v>
      </c>
      <c r="FI55">
        <f t="shared" si="8"/>
        <v>26.214568882309671</v>
      </c>
      <c r="FJ55">
        <f t="shared" si="9"/>
        <v>26.214568882309671</v>
      </c>
      <c r="FK55" t="s">
        <v>203</v>
      </c>
      <c r="FL55" t="s">
        <v>216</v>
      </c>
      <c r="FM55" t="s">
        <v>249</v>
      </c>
      <c r="FN55" t="s">
        <v>201</v>
      </c>
      <c r="FO55" t="s">
        <v>201</v>
      </c>
      <c r="FP55" t="s">
        <v>201</v>
      </c>
      <c r="FQ55" t="s">
        <v>201</v>
      </c>
      <c r="FR55" t="s">
        <v>201</v>
      </c>
      <c r="FS55" t="s">
        <v>201</v>
      </c>
      <c r="FT55" t="s">
        <v>199</v>
      </c>
      <c r="FU55" t="s">
        <v>201</v>
      </c>
      <c r="FV55" s="47" t="s">
        <v>325</v>
      </c>
      <c r="FW55" t="s">
        <v>398</v>
      </c>
      <c r="FX55" t="s">
        <v>201</v>
      </c>
      <c r="FY55" t="s">
        <v>248</v>
      </c>
    </row>
    <row r="56" spans="1:181" s="14" customFormat="1" x14ac:dyDescent="0.15">
      <c r="A56" s="3" t="s">
        <v>258</v>
      </c>
      <c r="B56" s="3" t="s">
        <v>193</v>
      </c>
      <c r="C56">
        <v>2017</v>
      </c>
      <c r="D56" s="22" t="str">
        <f t="shared" si="1"/>
        <v>10.1016/j.epsl.2017.03.016</v>
      </c>
      <c r="E56" s="22">
        <f t="shared" si="2"/>
        <v>1051.83</v>
      </c>
      <c r="F56" s="22" t="str">
        <f t="shared" si="3"/>
        <v>NA</v>
      </c>
      <c r="G56" s="22" t="str">
        <f t="shared" si="4"/>
        <v>NA</v>
      </c>
      <c r="H56" s="22">
        <f t="shared" si="5"/>
        <v>327.00125325662304</v>
      </c>
      <c r="I56" s="36">
        <f t="shared" si="6"/>
        <v>24.525093994246728</v>
      </c>
      <c r="J56" s="36">
        <f t="shared" si="7"/>
        <v>24.525093994246728</v>
      </c>
      <c r="K56" s="17" t="s">
        <v>251</v>
      </c>
      <c r="L56" s="17" t="s">
        <v>252</v>
      </c>
      <c r="M56" s="17" t="s">
        <v>194</v>
      </c>
      <c r="N56" s="17" t="s">
        <v>192</v>
      </c>
      <c r="O56" s="14">
        <v>806</v>
      </c>
      <c r="P56" s="16" t="s">
        <v>189</v>
      </c>
      <c r="Q56" s="14">
        <v>3</v>
      </c>
      <c r="R56" s="14" t="s">
        <v>208</v>
      </c>
      <c r="S56" s="14" t="s">
        <v>209</v>
      </c>
      <c r="T56" s="14">
        <v>4</v>
      </c>
      <c r="U56" s="14">
        <v>30</v>
      </c>
      <c r="V56" s="14" t="s">
        <v>201</v>
      </c>
      <c r="W56" s="14" t="s">
        <v>201</v>
      </c>
      <c r="X56" s="14" t="s">
        <v>201</v>
      </c>
      <c r="Y56" s="14" t="s">
        <v>201</v>
      </c>
      <c r="Z56" s="18">
        <v>22</v>
      </c>
      <c r="AA56" s="17" t="s">
        <v>207</v>
      </c>
      <c r="AB56" s="14">
        <v>1051.83</v>
      </c>
      <c r="AC56" s="14" t="s">
        <v>201</v>
      </c>
      <c r="AD56" s="14" t="s">
        <v>201</v>
      </c>
      <c r="AE56" s="14" t="s">
        <v>201</v>
      </c>
      <c r="AF56" s="16" t="s">
        <v>177</v>
      </c>
      <c r="AG56" s="16" t="s">
        <v>179</v>
      </c>
      <c r="AH56" s="19">
        <v>0.31850000000000001</v>
      </c>
      <c r="AI56" s="18">
        <v>159.36150000000001</v>
      </c>
      <c r="AJ56" s="14">
        <v>-2520</v>
      </c>
      <c r="AK56" s="14" t="s">
        <v>201</v>
      </c>
      <c r="AL56" s="14" t="s">
        <v>201</v>
      </c>
      <c r="AM56" s="14" t="s">
        <v>201</v>
      </c>
      <c r="AN56" s="14" t="s">
        <v>201</v>
      </c>
      <c r="AO56" s="16" t="s">
        <v>180</v>
      </c>
      <c r="AP56" s="14" t="s">
        <v>201</v>
      </c>
      <c r="AQ56" s="14" t="s">
        <v>201</v>
      </c>
      <c r="AR56" s="14" t="s">
        <v>201</v>
      </c>
      <c r="AS56" s="14" t="s">
        <v>201</v>
      </c>
      <c r="AT56" s="14" t="s">
        <v>201</v>
      </c>
      <c r="AU56" s="14" t="s">
        <v>201</v>
      </c>
      <c r="AV56" s="14" t="s">
        <v>201</v>
      </c>
      <c r="AW56" s="14" t="s">
        <v>201</v>
      </c>
      <c r="AX56" s="14">
        <v>1.5230000000000001</v>
      </c>
      <c r="AY56" s="14">
        <v>0.13</v>
      </c>
      <c r="AZ56" s="14" t="s">
        <v>203</v>
      </c>
      <c r="BA56" s="14" t="s">
        <v>201</v>
      </c>
      <c r="BB56" s="14">
        <v>-1.079</v>
      </c>
      <c r="BC56" s="14">
        <v>0.24</v>
      </c>
      <c r="BD56" s="14" t="s">
        <v>203</v>
      </c>
      <c r="BE56" s="14" t="s">
        <v>201</v>
      </c>
      <c r="BF56" s="16" t="s">
        <v>181</v>
      </c>
      <c r="BG56" s="16" t="s">
        <v>182</v>
      </c>
      <c r="BH56" s="14">
        <v>0</v>
      </c>
      <c r="BI56" s="14" t="s">
        <v>201</v>
      </c>
      <c r="BJ56" s="14" t="s">
        <v>201</v>
      </c>
      <c r="BK56" s="14" t="s">
        <v>201</v>
      </c>
      <c r="BL56" s="14" t="s">
        <v>201</v>
      </c>
      <c r="BM56" s="14" t="s">
        <v>201</v>
      </c>
      <c r="BN56" s="14" t="s">
        <v>201</v>
      </c>
      <c r="BO56" s="14" t="s">
        <v>201</v>
      </c>
      <c r="BP56" s="14" t="s">
        <v>201</v>
      </c>
      <c r="BQ56" s="14" t="s">
        <v>201</v>
      </c>
      <c r="BR56" s="14" t="s">
        <v>201</v>
      </c>
      <c r="BS56" s="16" t="s">
        <v>183</v>
      </c>
      <c r="BT56" s="14">
        <v>-25.021500000000003</v>
      </c>
      <c r="BU56" s="16" t="s">
        <v>184</v>
      </c>
      <c r="BV56" s="14">
        <v>0.3</v>
      </c>
      <c r="BW56" s="14" t="s">
        <v>201</v>
      </c>
      <c r="BX56" s="14" t="s">
        <v>202</v>
      </c>
      <c r="BY56" s="14">
        <v>4.2</v>
      </c>
      <c r="BZ56" s="6" t="s">
        <v>201</v>
      </c>
      <c r="CA56" s="6" t="s">
        <v>201</v>
      </c>
      <c r="CB56" s="14">
        <v>-20.926590300000043</v>
      </c>
      <c r="CC56" s="14" t="s">
        <v>201</v>
      </c>
      <c r="CD56" s="14" t="s">
        <v>201</v>
      </c>
      <c r="CE56" s="14" t="s">
        <v>201</v>
      </c>
      <c r="CF56" s="14" t="s">
        <v>201</v>
      </c>
      <c r="CG56" s="14">
        <v>35</v>
      </c>
      <c r="CH56" s="14">
        <v>1</v>
      </c>
      <c r="CI56" s="14" t="s">
        <v>204</v>
      </c>
      <c r="CJ56" s="16" t="s">
        <v>185</v>
      </c>
      <c r="CK56" s="14">
        <v>0.16</v>
      </c>
      <c r="CL56" s="14">
        <v>0.1</v>
      </c>
      <c r="CM56" s="14">
        <v>0.1</v>
      </c>
      <c r="CN56" s="14" t="s">
        <v>204</v>
      </c>
      <c r="CO56" s="16" t="s">
        <v>186</v>
      </c>
      <c r="CP56" s="14" t="s">
        <v>201</v>
      </c>
      <c r="CQ56" s="14" t="s">
        <v>201</v>
      </c>
      <c r="CR56" s="14">
        <f t="shared" si="10"/>
        <v>27.057134544470664</v>
      </c>
      <c r="CS56" s="14" t="s">
        <v>201</v>
      </c>
      <c r="CT56" s="14" t="s">
        <v>201</v>
      </c>
      <c r="CU56" s="14" t="s">
        <v>201</v>
      </c>
      <c r="CV56" s="14" t="s">
        <v>211</v>
      </c>
      <c r="CW56" s="14">
        <v>0.98646758481392638</v>
      </c>
      <c r="CX56" s="14" t="s">
        <v>201</v>
      </c>
      <c r="CY56" s="14">
        <v>28.137705563900866</v>
      </c>
      <c r="CZ56" s="14" t="s">
        <v>201</v>
      </c>
      <c r="DA56" s="14" t="s">
        <v>201</v>
      </c>
      <c r="DB56" s="14" t="s">
        <v>201</v>
      </c>
      <c r="DC56" s="16" t="s">
        <v>190</v>
      </c>
      <c r="DD56" s="14" t="s">
        <v>205</v>
      </c>
      <c r="DE56" s="14" t="s">
        <v>201</v>
      </c>
      <c r="DF56" s="14" t="s">
        <v>201</v>
      </c>
      <c r="DG56" s="14" t="s">
        <v>201</v>
      </c>
      <c r="DH56" s="14" t="s">
        <v>201</v>
      </c>
      <c r="DI56" s="14">
        <v>25.976563525040461</v>
      </c>
      <c r="DJ56" s="14" t="s">
        <v>201</v>
      </c>
      <c r="DK56" s="14" t="s">
        <v>201</v>
      </c>
      <c r="DL56" s="14" t="s">
        <v>201</v>
      </c>
      <c r="DM56" s="14" t="s">
        <v>206</v>
      </c>
      <c r="DN56" s="14" t="s">
        <v>201</v>
      </c>
      <c r="DO56" s="14" t="s">
        <v>201</v>
      </c>
      <c r="DP56" s="14" t="s">
        <v>201</v>
      </c>
      <c r="DQ56" s="14" t="s">
        <v>201</v>
      </c>
      <c r="DR56" s="14" t="s">
        <v>201</v>
      </c>
      <c r="DS56" s="14" t="s">
        <v>201</v>
      </c>
      <c r="DT56" s="14" t="s">
        <v>201</v>
      </c>
      <c r="DU56" s="14" t="s">
        <v>201</v>
      </c>
      <c r="DV56" s="14" t="s">
        <v>201</v>
      </c>
      <c r="DW56" s="14" t="s">
        <v>201</v>
      </c>
      <c r="DX56" s="14">
        <v>2.0670731710000001</v>
      </c>
      <c r="DY56" s="14" t="s">
        <v>201</v>
      </c>
      <c r="DZ56" s="15" t="s">
        <v>201</v>
      </c>
      <c r="EA56" s="21" t="s">
        <v>201</v>
      </c>
      <c r="EB56" s="14" t="s">
        <v>201</v>
      </c>
      <c r="EC56" s="14" t="s">
        <v>201</v>
      </c>
      <c r="ED56" s="14" t="s">
        <v>201</v>
      </c>
      <c r="EE56" s="14" t="s">
        <v>201</v>
      </c>
      <c r="EF56" s="14" t="s">
        <v>201</v>
      </c>
      <c r="EG56" s="14" t="s">
        <v>201</v>
      </c>
      <c r="EH56" s="14" t="s">
        <v>201</v>
      </c>
      <c r="EI56" s="14" t="s">
        <v>201</v>
      </c>
      <c r="EJ56" s="14" t="s">
        <v>201</v>
      </c>
      <c r="EK56" s="14" t="s">
        <v>201</v>
      </c>
      <c r="EL56" s="14" t="s">
        <v>201</v>
      </c>
      <c r="EM56" s="14" t="s">
        <v>201</v>
      </c>
      <c r="EN56" s="14" t="s">
        <v>201</v>
      </c>
      <c r="EO56" s="14" t="s">
        <v>201</v>
      </c>
      <c r="EP56" s="14" t="s">
        <v>201</v>
      </c>
      <c r="EQ56" s="14" t="s">
        <v>201</v>
      </c>
      <c r="ER56" s="14">
        <v>103.03319999999999</v>
      </c>
      <c r="ES56" s="14" t="s">
        <v>201</v>
      </c>
      <c r="ET56" s="14" t="s">
        <v>201</v>
      </c>
      <c r="EU56" s="14" t="s">
        <v>201</v>
      </c>
      <c r="EV56" s="16" t="s">
        <v>188</v>
      </c>
      <c r="EW56" s="14">
        <v>25</v>
      </c>
      <c r="EX56" s="14">
        <v>13.015180138210569</v>
      </c>
      <c r="EY56" s="14">
        <v>0.2694725292629041</v>
      </c>
      <c r="EZ56" s="14">
        <v>0.2694725292629041</v>
      </c>
      <c r="FA56" s="14" t="s">
        <v>201</v>
      </c>
      <c r="FB56" s="16" t="s">
        <v>250</v>
      </c>
      <c r="FC56" s="14" t="s">
        <v>201</v>
      </c>
      <c r="FD56" s="14" t="s">
        <v>201</v>
      </c>
      <c r="FE56" s="14" t="s">
        <v>201</v>
      </c>
      <c r="FF56" s="14" t="s">
        <v>201</v>
      </c>
      <c r="FG56" s="14" t="s">
        <v>217</v>
      </c>
      <c r="FH56" s="14">
        <v>327.00125325662304</v>
      </c>
      <c r="FI56" s="14">
        <f t="shared" si="8"/>
        <v>24.525093994246728</v>
      </c>
      <c r="FJ56" s="14">
        <f t="shared" si="9"/>
        <v>24.525093994246728</v>
      </c>
      <c r="FK56" s="14" t="s">
        <v>203</v>
      </c>
      <c r="FL56" s="14" t="s">
        <v>216</v>
      </c>
      <c r="FM56" s="14" t="s">
        <v>249</v>
      </c>
      <c r="FN56" s="14" t="s">
        <v>201</v>
      </c>
      <c r="FO56" s="14" t="s">
        <v>201</v>
      </c>
      <c r="FP56" s="14" t="s">
        <v>201</v>
      </c>
      <c r="FQ56" s="14" t="s">
        <v>201</v>
      </c>
      <c r="FR56" s="14" t="s">
        <v>201</v>
      </c>
      <c r="FS56" s="14" t="s">
        <v>201</v>
      </c>
      <c r="FT56" s="14" t="s">
        <v>199</v>
      </c>
      <c r="FU56" s="14" t="s">
        <v>201</v>
      </c>
      <c r="FV56" s="46" t="s">
        <v>326</v>
      </c>
      <c r="FW56" s="14" t="s">
        <v>399</v>
      </c>
      <c r="FX56" s="14" t="s">
        <v>201</v>
      </c>
      <c r="FY56" s="14" t="s">
        <v>248</v>
      </c>
    </row>
    <row r="57" spans="1:181" x14ac:dyDescent="0.15">
      <c r="A57" s="3" t="s">
        <v>258</v>
      </c>
      <c r="B57" s="3" t="s">
        <v>193</v>
      </c>
      <c r="C57">
        <v>2017</v>
      </c>
      <c r="D57" s="22" t="str">
        <f t="shared" si="1"/>
        <v>10.1016/j.epsl.2017.03.016</v>
      </c>
      <c r="E57" s="22">
        <f t="shared" si="2"/>
        <v>1123.3499999999999</v>
      </c>
      <c r="F57" s="22" t="str">
        <f t="shared" si="3"/>
        <v>NA</v>
      </c>
      <c r="G57" s="22" t="str">
        <f t="shared" si="4"/>
        <v>NA</v>
      </c>
      <c r="H57" s="22">
        <f t="shared" si="5"/>
        <v>326.16218462175078</v>
      </c>
      <c r="I57" s="36">
        <f t="shared" si="6"/>
        <v>24.462163846631309</v>
      </c>
      <c r="J57" s="36">
        <f t="shared" si="7"/>
        <v>24.462163846631309</v>
      </c>
      <c r="K57" s="2" t="s">
        <v>251</v>
      </c>
      <c r="L57" s="2" t="s">
        <v>252</v>
      </c>
      <c r="M57" s="2" t="s">
        <v>194</v>
      </c>
      <c r="N57" s="2" t="s">
        <v>192</v>
      </c>
      <c r="O57">
        <v>806</v>
      </c>
      <c r="P57" s="1" t="s">
        <v>189</v>
      </c>
      <c r="Q57" t="s">
        <v>201</v>
      </c>
      <c r="R57" t="s">
        <v>201</v>
      </c>
      <c r="S57" t="s">
        <v>201</v>
      </c>
      <c r="T57" t="s">
        <v>201</v>
      </c>
      <c r="U57" t="s">
        <v>201</v>
      </c>
      <c r="V57" t="s">
        <v>201</v>
      </c>
      <c r="W57" t="s">
        <v>201</v>
      </c>
      <c r="X57" t="s">
        <v>201</v>
      </c>
      <c r="Y57" t="s">
        <v>201</v>
      </c>
      <c r="Z57" s="10">
        <v>23.6</v>
      </c>
      <c r="AA57" s="2" t="s">
        <v>207</v>
      </c>
      <c r="AB57">
        <v>1123.3499999999999</v>
      </c>
      <c r="AC57" t="s">
        <v>201</v>
      </c>
      <c r="AD57" t="s">
        <v>201</v>
      </c>
      <c r="AE57" t="s">
        <v>201</v>
      </c>
      <c r="AF57" s="1" t="s">
        <v>177</v>
      </c>
      <c r="AG57" s="1" t="s">
        <v>179</v>
      </c>
      <c r="AH57" s="13">
        <v>0.31850000000000001</v>
      </c>
      <c r="AI57" s="10">
        <v>159.36150000000001</v>
      </c>
      <c r="AJ57" s="35">
        <v>-2520</v>
      </c>
      <c r="AK57" t="s">
        <v>201</v>
      </c>
      <c r="AL57" t="s">
        <v>201</v>
      </c>
      <c r="AM57" t="s">
        <v>201</v>
      </c>
      <c r="AN57" t="s">
        <v>201</v>
      </c>
      <c r="AO57" s="1" t="s">
        <v>180</v>
      </c>
      <c r="AP57" t="s">
        <v>201</v>
      </c>
      <c r="AQ57" t="s">
        <v>201</v>
      </c>
      <c r="AR57" t="s">
        <v>201</v>
      </c>
      <c r="AS57" t="s">
        <v>201</v>
      </c>
      <c r="AT57" t="s">
        <v>201</v>
      </c>
      <c r="AU57" t="s">
        <v>201</v>
      </c>
      <c r="AV57" t="s">
        <v>201</v>
      </c>
      <c r="AW57" t="s">
        <v>201</v>
      </c>
      <c r="AX57">
        <v>1.6720000000000002</v>
      </c>
      <c r="AY57">
        <v>0.13</v>
      </c>
      <c r="AZ57" t="s">
        <v>203</v>
      </c>
      <c r="BA57" t="s">
        <v>201</v>
      </c>
      <c r="BB57">
        <v>-1.3580000000000001</v>
      </c>
      <c r="BC57">
        <v>0.24</v>
      </c>
      <c r="BD57" t="s">
        <v>203</v>
      </c>
      <c r="BE57" t="s">
        <v>201</v>
      </c>
      <c r="BF57" s="1" t="s">
        <v>181</v>
      </c>
      <c r="BG57" s="1" t="s">
        <v>182</v>
      </c>
      <c r="BH57">
        <v>0</v>
      </c>
      <c r="BI57" t="s">
        <v>201</v>
      </c>
      <c r="BJ57" t="s">
        <v>201</v>
      </c>
      <c r="BK57" t="s">
        <v>201</v>
      </c>
      <c r="BL57" t="s">
        <v>201</v>
      </c>
      <c r="BM57" t="s">
        <v>201</v>
      </c>
      <c r="BN57" t="s">
        <v>201</v>
      </c>
      <c r="BO57" t="s">
        <v>201</v>
      </c>
      <c r="BP57" t="s">
        <v>201</v>
      </c>
      <c r="BQ57" t="s">
        <v>201</v>
      </c>
      <c r="BR57" t="s">
        <v>201</v>
      </c>
      <c r="BS57" s="1" t="s">
        <v>183</v>
      </c>
      <c r="BT57">
        <v>-24.756</v>
      </c>
      <c r="BU57" s="1" t="s">
        <v>184</v>
      </c>
      <c r="BV57">
        <v>0.3</v>
      </c>
      <c r="BW57" t="s">
        <v>201</v>
      </c>
      <c r="BX57" t="s">
        <v>202</v>
      </c>
      <c r="BY57">
        <v>4.2</v>
      </c>
      <c r="BZ57" s="4" t="s">
        <v>201</v>
      </c>
      <c r="CA57" s="4" t="s">
        <v>201</v>
      </c>
      <c r="CB57">
        <v>-20.659975199999963</v>
      </c>
      <c r="CC57" t="s">
        <v>201</v>
      </c>
      <c r="CD57" t="s">
        <v>201</v>
      </c>
      <c r="CE57" t="s">
        <v>201</v>
      </c>
      <c r="CF57" t="s">
        <v>201</v>
      </c>
      <c r="CG57">
        <v>35</v>
      </c>
      <c r="CH57">
        <v>1</v>
      </c>
      <c r="CI57" t="s">
        <v>204</v>
      </c>
      <c r="CJ57" s="1" t="s">
        <v>185</v>
      </c>
      <c r="CK57">
        <v>0.16</v>
      </c>
      <c r="CL57">
        <v>0.1</v>
      </c>
      <c r="CM57">
        <v>0.1</v>
      </c>
      <c r="CN57" t="s">
        <v>204</v>
      </c>
      <c r="CO57" s="1" t="s">
        <v>186</v>
      </c>
      <c r="CP57" t="s">
        <v>201</v>
      </c>
      <c r="CQ57" t="s">
        <v>201</v>
      </c>
      <c r="CR57">
        <f t="shared" si="10"/>
        <v>26.873469011854027</v>
      </c>
      <c r="CS57" t="s">
        <v>201</v>
      </c>
      <c r="CT57" t="s">
        <v>201</v>
      </c>
      <c r="CU57" t="s">
        <v>201</v>
      </c>
      <c r="CV57" t="s">
        <v>211</v>
      </c>
      <c r="CW57">
        <v>0.99288272630285979</v>
      </c>
      <c r="CX57" t="s">
        <v>201</v>
      </c>
      <c r="CY57">
        <v>28.329364331024241</v>
      </c>
      <c r="CZ57" t="s">
        <v>201</v>
      </c>
      <c r="DA57" t="s">
        <v>201</v>
      </c>
      <c r="DB57" t="s">
        <v>201</v>
      </c>
      <c r="DC57" s="1" t="s">
        <v>190</v>
      </c>
      <c r="DD57" t="s">
        <v>205</v>
      </c>
      <c r="DE57" t="s">
        <v>201</v>
      </c>
      <c r="DF57" t="s">
        <v>201</v>
      </c>
      <c r="DG57" t="s">
        <v>201</v>
      </c>
      <c r="DH57" t="s">
        <v>201</v>
      </c>
      <c r="DI57">
        <v>25.417573692683817</v>
      </c>
      <c r="DJ57" t="s">
        <v>201</v>
      </c>
      <c r="DK57" t="s">
        <v>201</v>
      </c>
      <c r="DL57" t="s">
        <v>201</v>
      </c>
      <c r="DM57" t="s">
        <v>206</v>
      </c>
      <c r="DN57" t="s">
        <v>201</v>
      </c>
      <c r="DO57" t="s">
        <v>201</v>
      </c>
      <c r="DP57" t="s">
        <v>201</v>
      </c>
      <c r="DQ57" t="s">
        <v>201</v>
      </c>
      <c r="DR57" t="s">
        <v>201</v>
      </c>
      <c r="DS57" t="s">
        <v>201</v>
      </c>
      <c r="DT57" t="s">
        <v>201</v>
      </c>
      <c r="DU57" t="s">
        <v>201</v>
      </c>
      <c r="DV57" t="s">
        <v>201</v>
      </c>
      <c r="DW57" t="s">
        <v>201</v>
      </c>
      <c r="DX57" t="s">
        <v>201</v>
      </c>
      <c r="DY57" t="s">
        <v>201</v>
      </c>
      <c r="DZ57" s="3" t="s">
        <v>201</v>
      </c>
      <c r="EA57" s="3" t="s">
        <v>201</v>
      </c>
      <c r="EB57" t="s">
        <v>201</v>
      </c>
      <c r="EC57" t="s">
        <v>201</v>
      </c>
      <c r="ED57" t="s">
        <v>201</v>
      </c>
      <c r="EE57" t="s">
        <v>201</v>
      </c>
      <c r="EF57" t="s">
        <v>201</v>
      </c>
      <c r="EG57" t="s">
        <v>201</v>
      </c>
      <c r="EH57" t="s">
        <v>201</v>
      </c>
      <c r="EI57" t="s">
        <v>201</v>
      </c>
      <c r="EJ57" t="s">
        <v>201</v>
      </c>
      <c r="EK57" t="s">
        <v>201</v>
      </c>
      <c r="EL57" t="s">
        <v>201</v>
      </c>
      <c r="EM57" t="s">
        <v>201</v>
      </c>
      <c r="EN57" t="s">
        <v>201</v>
      </c>
      <c r="EO57" t="s">
        <v>201</v>
      </c>
      <c r="EP57" t="s">
        <v>201</v>
      </c>
      <c r="EQ57" t="s">
        <v>201</v>
      </c>
      <c r="ER57">
        <v>103.03319999999999</v>
      </c>
      <c r="ES57" t="s">
        <v>201</v>
      </c>
      <c r="ET57" t="s">
        <v>201</v>
      </c>
      <c r="EU57" t="s">
        <v>201</v>
      </c>
      <c r="EV57" s="1" t="s">
        <v>188</v>
      </c>
      <c r="EW57">
        <v>25</v>
      </c>
      <c r="EX57">
        <v>12.929561532952993</v>
      </c>
      <c r="EY57">
        <v>0.36303078789035048</v>
      </c>
      <c r="EZ57">
        <v>0.36303078789035048</v>
      </c>
      <c r="FA57" t="s">
        <v>201</v>
      </c>
      <c r="FB57" s="1" t="s">
        <v>250</v>
      </c>
      <c r="FC57" t="s">
        <v>201</v>
      </c>
      <c r="FD57" t="s">
        <v>201</v>
      </c>
      <c r="FE57" t="s">
        <v>201</v>
      </c>
      <c r="FF57" t="s">
        <v>201</v>
      </c>
      <c r="FG57" t="s">
        <v>217</v>
      </c>
      <c r="FH57">
        <v>326.16218462175078</v>
      </c>
      <c r="FI57">
        <f t="shared" si="8"/>
        <v>24.462163846631309</v>
      </c>
      <c r="FJ57">
        <f t="shared" si="9"/>
        <v>24.462163846631309</v>
      </c>
      <c r="FK57" t="s">
        <v>203</v>
      </c>
      <c r="FL57" t="s">
        <v>216</v>
      </c>
      <c r="FM57" t="s">
        <v>249</v>
      </c>
      <c r="FN57" t="s">
        <v>201</v>
      </c>
      <c r="FO57" t="s">
        <v>201</v>
      </c>
      <c r="FP57" t="s">
        <v>201</v>
      </c>
      <c r="FQ57" t="s">
        <v>201</v>
      </c>
      <c r="FR57" t="s">
        <v>201</v>
      </c>
      <c r="FS57" t="s">
        <v>201</v>
      </c>
      <c r="FT57" t="s">
        <v>199</v>
      </c>
      <c r="FU57" t="s">
        <v>201</v>
      </c>
      <c r="FV57" s="47" t="s">
        <v>327</v>
      </c>
      <c r="FW57" t="s">
        <v>400</v>
      </c>
      <c r="FX57" t="s">
        <v>201</v>
      </c>
      <c r="FY57" t="s">
        <v>248</v>
      </c>
    </row>
    <row r="58" spans="1:181" x14ac:dyDescent="0.15">
      <c r="A58" s="3" t="s">
        <v>258</v>
      </c>
      <c r="B58" s="3" t="s">
        <v>193</v>
      </c>
      <c r="C58">
        <v>2017</v>
      </c>
      <c r="D58" s="22" t="str">
        <f t="shared" si="1"/>
        <v>10.1016/j.epsl.2017.03.016</v>
      </c>
      <c r="E58" s="22">
        <f t="shared" si="2"/>
        <v>1179.22</v>
      </c>
      <c r="F58" s="22" t="str">
        <f t="shared" si="3"/>
        <v>NA</v>
      </c>
      <c r="G58" s="22" t="str">
        <f t="shared" si="4"/>
        <v>NA</v>
      </c>
      <c r="H58" s="22">
        <f t="shared" si="5"/>
        <v>334.99548721587558</v>
      </c>
      <c r="I58" s="36">
        <f t="shared" si="6"/>
        <v>25.124661541190669</v>
      </c>
      <c r="J58" s="36">
        <f t="shared" si="7"/>
        <v>25.124661541190669</v>
      </c>
      <c r="K58" s="2" t="s">
        <v>251</v>
      </c>
      <c r="L58" s="2" t="s">
        <v>252</v>
      </c>
      <c r="M58" s="2" t="s">
        <v>194</v>
      </c>
      <c r="N58" s="2" t="s">
        <v>192</v>
      </c>
      <c r="O58">
        <v>806</v>
      </c>
      <c r="P58" s="1" t="s">
        <v>189</v>
      </c>
      <c r="Q58" t="s">
        <v>201</v>
      </c>
      <c r="R58" t="s">
        <v>201</v>
      </c>
      <c r="S58" t="s">
        <v>201</v>
      </c>
      <c r="T58" t="s">
        <v>201</v>
      </c>
      <c r="U58" t="s">
        <v>201</v>
      </c>
      <c r="V58" t="s">
        <v>201</v>
      </c>
      <c r="W58" t="s">
        <v>201</v>
      </c>
      <c r="X58" t="s">
        <v>201</v>
      </c>
      <c r="Y58" t="s">
        <v>201</v>
      </c>
      <c r="Z58" s="10">
        <v>24.85</v>
      </c>
      <c r="AA58" s="2" t="s">
        <v>207</v>
      </c>
      <c r="AB58">
        <v>1179.22</v>
      </c>
      <c r="AC58" t="s">
        <v>201</v>
      </c>
      <c r="AD58" t="s">
        <v>201</v>
      </c>
      <c r="AE58" t="s">
        <v>201</v>
      </c>
      <c r="AF58" s="1" t="s">
        <v>177</v>
      </c>
      <c r="AG58" s="1" t="s">
        <v>179</v>
      </c>
      <c r="AH58" s="13">
        <v>0.31850000000000001</v>
      </c>
      <c r="AI58" s="10">
        <v>159.36150000000001</v>
      </c>
      <c r="AJ58" s="35">
        <v>-2520</v>
      </c>
      <c r="AK58" t="s">
        <v>201</v>
      </c>
      <c r="AL58" t="s">
        <v>201</v>
      </c>
      <c r="AM58" t="s">
        <v>201</v>
      </c>
      <c r="AN58" t="s">
        <v>201</v>
      </c>
      <c r="AO58" s="1" t="s">
        <v>180</v>
      </c>
      <c r="AP58" t="s">
        <v>201</v>
      </c>
      <c r="AQ58" t="s">
        <v>201</v>
      </c>
      <c r="AR58" t="s">
        <v>201</v>
      </c>
      <c r="AS58" t="s">
        <v>201</v>
      </c>
      <c r="AT58" t="s">
        <v>201</v>
      </c>
      <c r="AU58" t="s">
        <v>201</v>
      </c>
      <c r="AV58" t="s">
        <v>201</v>
      </c>
      <c r="AW58" t="s">
        <v>201</v>
      </c>
      <c r="AX58">
        <v>1.9591430000000001</v>
      </c>
      <c r="AY58">
        <v>0.13</v>
      </c>
      <c r="AZ58" t="s">
        <v>203</v>
      </c>
      <c r="BA58" t="s">
        <v>201</v>
      </c>
      <c r="BB58">
        <v>-1.1554289999999998</v>
      </c>
      <c r="BC58">
        <v>0.24</v>
      </c>
      <c r="BD58" t="s">
        <v>203</v>
      </c>
      <c r="BE58" t="s">
        <v>201</v>
      </c>
      <c r="BF58" s="1" t="s">
        <v>181</v>
      </c>
      <c r="BG58" s="1" t="s">
        <v>182</v>
      </c>
      <c r="BH58">
        <v>0</v>
      </c>
      <c r="BI58" t="s">
        <v>201</v>
      </c>
      <c r="BJ58" t="s">
        <v>201</v>
      </c>
      <c r="BK58" t="s">
        <v>201</v>
      </c>
      <c r="BL58" t="s">
        <v>201</v>
      </c>
      <c r="BM58" t="s">
        <v>201</v>
      </c>
      <c r="BN58" t="s">
        <v>201</v>
      </c>
      <c r="BO58" t="s">
        <v>201</v>
      </c>
      <c r="BP58" t="s">
        <v>201</v>
      </c>
      <c r="BQ58" t="s">
        <v>201</v>
      </c>
      <c r="BR58" t="s">
        <v>201</v>
      </c>
      <c r="BS58" s="1" t="s">
        <v>183</v>
      </c>
      <c r="BT58">
        <v>-25.258000000000003</v>
      </c>
      <c r="BU58" s="1" t="s">
        <v>184</v>
      </c>
      <c r="BV58">
        <v>0.3</v>
      </c>
      <c r="BW58" t="s">
        <v>201</v>
      </c>
      <c r="BX58" t="s">
        <v>202</v>
      </c>
      <c r="BY58">
        <v>4.2</v>
      </c>
      <c r="BZ58" s="4" t="s">
        <v>201</v>
      </c>
      <c r="CA58" s="4" t="s">
        <v>201</v>
      </c>
      <c r="CB58">
        <v>-21.164083600000026</v>
      </c>
      <c r="CC58" t="s">
        <v>201</v>
      </c>
      <c r="CD58" t="s">
        <v>201</v>
      </c>
      <c r="CE58" t="s">
        <v>201</v>
      </c>
      <c r="CF58" t="s">
        <v>201</v>
      </c>
      <c r="CG58">
        <v>35</v>
      </c>
      <c r="CH58">
        <v>1</v>
      </c>
      <c r="CI58" t="s">
        <v>204</v>
      </c>
      <c r="CJ58" s="1" t="s">
        <v>185</v>
      </c>
      <c r="CK58">
        <v>0.16</v>
      </c>
      <c r="CL58">
        <v>0.1</v>
      </c>
      <c r="CM58">
        <v>0.1</v>
      </c>
      <c r="CN58" t="s">
        <v>204</v>
      </c>
      <c r="CO58" s="1" t="s">
        <v>186</v>
      </c>
      <c r="CP58" t="s">
        <v>201</v>
      </c>
      <c r="CQ58" t="s">
        <v>201</v>
      </c>
      <c r="CR58">
        <f t="shared" si="10"/>
        <v>26.400835455970796</v>
      </c>
      <c r="CS58" t="s">
        <v>201</v>
      </c>
      <c r="CT58" t="s">
        <v>201</v>
      </c>
      <c r="CU58" t="s">
        <v>201</v>
      </c>
      <c r="CV58" t="s">
        <v>211</v>
      </c>
      <c r="CW58">
        <v>0.94929569887185994</v>
      </c>
      <c r="CX58" t="s">
        <v>201</v>
      </c>
      <c r="CY58">
        <v>27.027158299495689</v>
      </c>
      <c r="CZ58" t="s">
        <v>201</v>
      </c>
      <c r="DA58" t="s">
        <v>201</v>
      </c>
      <c r="DB58" t="s">
        <v>201</v>
      </c>
      <c r="DC58" s="1" t="s">
        <v>190</v>
      </c>
      <c r="DD58" t="s">
        <v>205</v>
      </c>
      <c r="DE58" t="s">
        <v>201</v>
      </c>
      <c r="DF58" t="s">
        <v>201</v>
      </c>
      <c r="DG58" t="s">
        <v>201</v>
      </c>
      <c r="DH58" t="s">
        <v>201</v>
      </c>
      <c r="DI58">
        <v>25.774512612445903</v>
      </c>
      <c r="DJ58" t="s">
        <v>201</v>
      </c>
      <c r="DK58" t="s">
        <v>201</v>
      </c>
      <c r="DL58" t="s">
        <v>201</v>
      </c>
      <c r="DM58" t="s">
        <v>206</v>
      </c>
      <c r="DN58" t="s">
        <v>201</v>
      </c>
      <c r="DO58" t="s">
        <v>201</v>
      </c>
      <c r="DP58" t="s">
        <v>201</v>
      </c>
      <c r="DQ58" t="s">
        <v>201</v>
      </c>
      <c r="DR58" t="s">
        <v>201</v>
      </c>
      <c r="DS58" t="s">
        <v>201</v>
      </c>
      <c r="DT58" t="s">
        <v>201</v>
      </c>
      <c r="DU58" t="s">
        <v>201</v>
      </c>
      <c r="DV58" t="s">
        <v>201</v>
      </c>
      <c r="DW58" t="s">
        <v>201</v>
      </c>
      <c r="DX58" t="s">
        <v>201</v>
      </c>
      <c r="DY58" t="s">
        <v>201</v>
      </c>
      <c r="DZ58" s="3" t="s">
        <v>201</v>
      </c>
      <c r="EA58" s="3" t="s">
        <v>201</v>
      </c>
      <c r="EB58" t="s">
        <v>201</v>
      </c>
      <c r="EC58" t="s">
        <v>201</v>
      </c>
      <c r="ED58" t="s">
        <v>201</v>
      </c>
      <c r="EE58" t="s">
        <v>201</v>
      </c>
      <c r="EF58" t="s">
        <v>201</v>
      </c>
      <c r="EG58" t="s">
        <v>201</v>
      </c>
      <c r="EH58" t="s">
        <v>201</v>
      </c>
      <c r="EI58" t="s">
        <v>201</v>
      </c>
      <c r="EJ58" t="s">
        <v>201</v>
      </c>
      <c r="EK58" t="s">
        <v>201</v>
      </c>
      <c r="EL58" t="s">
        <v>201</v>
      </c>
      <c r="EM58" t="s">
        <v>201</v>
      </c>
      <c r="EN58" t="s">
        <v>201</v>
      </c>
      <c r="EO58" t="s">
        <v>201</v>
      </c>
      <c r="EP58" t="s">
        <v>201</v>
      </c>
      <c r="EQ58" t="s">
        <v>201</v>
      </c>
      <c r="ER58">
        <v>103.03319999999999</v>
      </c>
      <c r="ES58" t="s">
        <v>201</v>
      </c>
      <c r="ET58" t="s">
        <v>201</v>
      </c>
      <c r="EU58" t="s">
        <v>201</v>
      </c>
      <c r="EV58" s="1" t="s">
        <v>188</v>
      </c>
      <c r="EW58">
        <v>25</v>
      </c>
      <c r="EX58">
        <v>13.609331914026468</v>
      </c>
      <c r="EY58">
        <v>0.15630383345399679</v>
      </c>
      <c r="EZ58">
        <v>0.15630383345399679</v>
      </c>
      <c r="FA58" t="s">
        <v>201</v>
      </c>
      <c r="FB58" s="1" t="s">
        <v>250</v>
      </c>
      <c r="FC58" t="s">
        <v>201</v>
      </c>
      <c r="FD58" t="s">
        <v>201</v>
      </c>
      <c r="FE58" t="s">
        <v>201</v>
      </c>
      <c r="FF58" t="s">
        <v>201</v>
      </c>
      <c r="FG58" t="s">
        <v>217</v>
      </c>
      <c r="FH58">
        <v>334.99548721587558</v>
      </c>
      <c r="FI58">
        <f t="shared" si="8"/>
        <v>25.124661541190669</v>
      </c>
      <c r="FJ58">
        <f t="shared" si="9"/>
        <v>25.124661541190669</v>
      </c>
      <c r="FK58" t="s">
        <v>203</v>
      </c>
      <c r="FL58" t="s">
        <v>216</v>
      </c>
      <c r="FM58" t="s">
        <v>249</v>
      </c>
      <c r="FN58" t="s">
        <v>201</v>
      </c>
      <c r="FO58" t="s">
        <v>201</v>
      </c>
      <c r="FP58" t="s">
        <v>201</v>
      </c>
      <c r="FQ58" t="s">
        <v>201</v>
      </c>
      <c r="FR58" t="s">
        <v>201</v>
      </c>
      <c r="FS58" t="s">
        <v>201</v>
      </c>
      <c r="FT58" t="s">
        <v>199</v>
      </c>
      <c r="FU58" t="s">
        <v>201</v>
      </c>
      <c r="FV58" s="47" t="s">
        <v>328</v>
      </c>
      <c r="FW58" t="s">
        <v>401</v>
      </c>
      <c r="FX58" t="s">
        <v>201</v>
      </c>
      <c r="FY58" t="s">
        <v>248</v>
      </c>
    </row>
    <row r="59" spans="1:181" x14ac:dyDescent="0.15">
      <c r="A59" s="3" t="s">
        <v>258</v>
      </c>
      <c r="B59" s="3" t="s">
        <v>193</v>
      </c>
      <c r="C59">
        <v>2017</v>
      </c>
      <c r="D59" s="22" t="str">
        <f t="shared" si="1"/>
        <v>10.1016/j.epsl.2017.03.016</v>
      </c>
      <c r="E59" s="22">
        <f t="shared" si="2"/>
        <v>1190.4000000000001</v>
      </c>
      <c r="F59" s="22" t="str">
        <f t="shared" si="3"/>
        <v>NA</v>
      </c>
      <c r="G59" s="22" t="str">
        <f t="shared" si="4"/>
        <v>NA</v>
      </c>
      <c r="H59" s="22">
        <f t="shared" si="5"/>
        <v>336.54935489126035</v>
      </c>
      <c r="I59" s="36">
        <f t="shared" si="6"/>
        <v>25.241201616844524</v>
      </c>
      <c r="J59" s="36">
        <f t="shared" si="7"/>
        <v>25.241201616844524</v>
      </c>
      <c r="K59" s="2" t="s">
        <v>251</v>
      </c>
      <c r="L59" s="2" t="s">
        <v>252</v>
      </c>
      <c r="M59" s="2" t="s">
        <v>194</v>
      </c>
      <c r="N59" s="2" t="s">
        <v>192</v>
      </c>
      <c r="O59">
        <v>806</v>
      </c>
      <c r="P59" s="1" t="s">
        <v>189</v>
      </c>
      <c r="Q59" t="s">
        <v>201</v>
      </c>
      <c r="R59" t="s">
        <v>201</v>
      </c>
      <c r="S59" t="s">
        <v>201</v>
      </c>
      <c r="T59" t="s">
        <v>201</v>
      </c>
      <c r="U59" t="s">
        <v>201</v>
      </c>
      <c r="V59" t="s">
        <v>201</v>
      </c>
      <c r="W59" t="s">
        <v>201</v>
      </c>
      <c r="X59" t="s">
        <v>201</v>
      </c>
      <c r="Y59" t="s">
        <v>201</v>
      </c>
      <c r="Z59" s="10">
        <v>25.1</v>
      </c>
      <c r="AA59" s="2" t="s">
        <v>207</v>
      </c>
      <c r="AB59">
        <v>1190.4000000000001</v>
      </c>
      <c r="AC59" t="s">
        <v>201</v>
      </c>
      <c r="AD59" t="s">
        <v>201</v>
      </c>
      <c r="AE59" t="s">
        <v>201</v>
      </c>
      <c r="AF59" s="1" t="s">
        <v>177</v>
      </c>
      <c r="AG59" s="1" t="s">
        <v>179</v>
      </c>
      <c r="AH59" s="13">
        <v>0.31850000000000001</v>
      </c>
      <c r="AI59" s="10">
        <v>159.36150000000001</v>
      </c>
      <c r="AJ59" s="35">
        <v>-2520</v>
      </c>
      <c r="AK59" t="s">
        <v>201</v>
      </c>
      <c r="AL59" t="s">
        <v>201</v>
      </c>
      <c r="AM59" t="s">
        <v>201</v>
      </c>
      <c r="AN59" t="s">
        <v>201</v>
      </c>
      <c r="AO59" s="1" t="s">
        <v>180</v>
      </c>
      <c r="AP59" t="s">
        <v>201</v>
      </c>
      <c r="AQ59" t="s">
        <v>201</v>
      </c>
      <c r="AR59" t="s">
        <v>201</v>
      </c>
      <c r="AS59" t="s">
        <v>201</v>
      </c>
      <c r="AT59" t="s">
        <v>201</v>
      </c>
      <c r="AU59" t="s">
        <v>201</v>
      </c>
      <c r="AV59" t="s">
        <v>201</v>
      </c>
      <c r="AW59" t="s">
        <v>201</v>
      </c>
      <c r="AX59">
        <v>1.7011430000000001</v>
      </c>
      <c r="AY59">
        <v>0.13</v>
      </c>
      <c r="AZ59" t="s">
        <v>203</v>
      </c>
      <c r="BA59" t="s">
        <v>201</v>
      </c>
      <c r="BB59">
        <v>-0.99742900000000001</v>
      </c>
      <c r="BC59">
        <v>0.24</v>
      </c>
      <c r="BD59" t="s">
        <v>203</v>
      </c>
      <c r="BE59" t="s">
        <v>201</v>
      </c>
      <c r="BF59" s="1" t="s">
        <v>181</v>
      </c>
      <c r="BG59" s="1" t="s">
        <v>182</v>
      </c>
      <c r="BH59">
        <v>0</v>
      </c>
      <c r="BI59" t="s">
        <v>201</v>
      </c>
      <c r="BJ59" t="s">
        <v>201</v>
      </c>
      <c r="BK59" t="s">
        <v>201</v>
      </c>
      <c r="BL59" t="s">
        <v>201</v>
      </c>
      <c r="BM59" t="s">
        <v>201</v>
      </c>
      <c r="BN59" t="s">
        <v>201</v>
      </c>
      <c r="BO59" t="s">
        <v>201</v>
      </c>
      <c r="BP59" t="s">
        <v>201</v>
      </c>
      <c r="BQ59" t="s">
        <v>201</v>
      </c>
      <c r="BR59" t="s">
        <v>201</v>
      </c>
      <c r="BS59" s="1" t="s">
        <v>183</v>
      </c>
      <c r="BT59">
        <v>-25.000999999999998</v>
      </c>
      <c r="BU59" s="1" t="s">
        <v>184</v>
      </c>
      <c r="BV59">
        <v>0.3</v>
      </c>
      <c r="BW59" t="s">
        <v>201</v>
      </c>
      <c r="BX59" t="s">
        <v>202</v>
      </c>
      <c r="BY59">
        <v>4.2</v>
      </c>
      <c r="BZ59" s="4" t="s">
        <v>201</v>
      </c>
      <c r="CA59" s="4" t="s">
        <v>201</v>
      </c>
      <c r="CB59">
        <v>-20.906004199999984</v>
      </c>
      <c r="CC59" t="s">
        <v>201</v>
      </c>
      <c r="CD59" t="s">
        <v>201</v>
      </c>
      <c r="CE59" t="s">
        <v>201</v>
      </c>
      <c r="CF59" t="s">
        <v>201</v>
      </c>
      <c r="CG59">
        <v>35</v>
      </c>
      <c r="CH59">
        <v>1</v>
      </c>
      <c r="CI59" t="s">
        <v>204</v>
      </c>
      <c r="CJ59" s="1" t="s">
        <v>185</v>
      </c>
      <c r="CK59">
        <v>0.16</v>
      </c>
      <c r="CL59">
        <v>0.1</v>
      </c>
      <c r="CM59">
        <v>0.1</v>
      </c>
      <c r="CN59" t="s">
        <v>204</v>
      </c>
      <c r="CO59" s="1" t="s">
        <v>186</v>
      </c>
      <c r="CP59" t="s">
        <v>201</v>
      </c>
      <c r="CQ59" t="s">
        <v>201</v>
      </c>
      <c r="CR59">
        <f t="shared" si="10"/>
        <v>27.625743899821757</v>
      </c>
      <c r="CS59" t="s">
        <v>201</v>
      </c>
      <c r="CT59" t="s">
        <v>201</v>
      </c>
      <c r="CU59" t="s">
        <v>201</v>
      </c>
      <c r="CV59" t="s">
        <v>211</v>
      </c>
      <c r="CW59">
        <v>1</v>
      </c>
      <c r="CX59" t="s">
        <v>201</v>
      </c>
      <c r="CY59">
        <v>28.542000000000002</v>
      </c>
      <c r="CZ59" t="s">
        <v>201</v>
      </c>
      <c r="DA59" t="s">
        <v>201</v>
      </c>
      <c r="DB59" t="s">
        <v>201</v>
      </c>
      <c r="DC59" s="1" t="s">
        <v>190</v>
      </c>
      <c r="DD59" t="s">
        <v>205</v>
      </c>
      <c r="DE59" t="s">
        <v>201</v>
      </c>
      <c r="DF59" t="s">
        <v>201</v>
      </c>
      <c r="DG59" t="s">
        <v>201</v>
      </c>
      <c r="DH59" t="s">
        <v>201</v>
      </c>
      <c r="DI59">
        <v>26.709487799643512</v>
      </c>
      <c r="DJ59" t="s">
        <v>201</v>
      </c>
      <c r="DK59" t="s">
        <v>201</v>
      </c>
      <c r="DL59" t="s">
        <v>201</v>
      </c>
      <c r="DM59" t="s">
        <v>206</v>
      </c>
      <c r="DN59" t="s">
        <v>201</v>
      </c>
      <c r="DO59" t="s">
        <v>201</v>
      </c>
      <c r="DP59" t="s">
        <v>201</v>
      </c>
      <c r="DQ59" t="s">
        <v>201</v>
      </c>
      <c r="DR59" t="s">
        <v>201</v>
      </c>
      <c r="DS59" t="s">
        <v>201</v>
      </c>
      <c r="DT59" t="s">
        <v>201</v>
      </c>
      <c r="DU59" t="s">
        <v>201</v>
      </c>
      <c r="DV59" t="s">
        <v>201</v>
      </c>
      <c r="DW59" t="s">
        <v>201</v>
      </c>
      <c r="DX59" t="s">
        <v>201</v>
      </c>
      <c r="DY59" t="s">
        <v>201</v>
      </c>
      <c r="DZ59" s="3" t="s">
        <v>201</v>
      </c>
      <c r="EA59" s="3" t="s">
        <v>201</v>
      </c>
      <c r="EB59" t="s">
        <v>201</v>
      </c>
      <c r="EC59" t="s">
        <v>201</v>
      </c>
      <c r="ED59" t="s">
        <v>201</v>
      </c>
      <c r="EE59" t="s">
        <v>201</v>
      </c>
      <c r="EF59" t="s">
        <v>201</v>
      </c>
      <c r="EG59" t="s">
        <v>201</v>
      </c>
      <c r="EH59" t="s">
        <v>201</v>
      </c>
      <c r="EI59" t="s">
        <v>201</v>
      </c>
      <c r="EJ59" t="s">
        <v>201</v>
      </c>
      <c r="EK59" t="s">
        <v>201</v>
      </c>
      <c r="EL59" t="s">
        <v>201</v>
      </c>
      <c r="EM59" t="s">
        <v>201</v>
      </c>
      <c r="EN59" t="s">
        <v>201</v>
      </c>
      <c r="EO59" t="s">
        <v>201</v>
      </c>
      <c r="EP59" t="s">
        <v>201</v>
      </c>
      <c r="EQ59" t="s">
        <v>201</v>
      </c>
      <c r="ER59">
        <v>103.03319999999999</v>
      </c>
      <c r="ES59" t="s">
        <v>201</v>
      </c>
      <c r="ET59" t="s">
        <v>201</v>
      </c>
      <c r="EU59" t="s">
        <v>201</v>
      </c>
      <c r="EV59" s="1" t="s">
        <v>188</v>
      </c>
      <c r="EW59">
        <v>25</v>
      </c>
      <c r="EX59">
        <v>13.243141008921988</v>
      </c>
      <c r="EY59">
        <v>0.22853759752150538</v>
      </c>
      <c r="EZ59">
        <v>0.22853759752150538</v>
      </c>
      <c r="FA59" t="s">
        <v>201</v>
      </c>
      <c r="FB59" s="1" t="s">
        <v>250</v>
      </c>
      <c r="FC59" t="s">
        <v>201</v>
      </c>
      <c r="FD59" t="s">
        <v>201</v>
      </c>
      <c r="FE59" t="s">
        <v>201</v>
      </c>
      <c r="FF59" t="s">
        <v>201</v>
      </c>
      <c r="FG59" t="s">
        <v>217</v>
      </c>
      <c r="FH59">
        <v>336.54935489126035</v>
      </c>
      <c r="FI59">
        <f t="shared" si="8"/>
        <v>25.241201616844524</v>
      </c>
      <c r="FJ59">
        <f t="shared" si="9"/>
        <v>25.241201616844524</v>
      </c>
      <c r="FK59" t="s">
        <v>203</v>
      </c>
      <c r="FL59" t="s">
        <v>216</v>
      </c>
      <c r="FM59" t="s">
        <v>249</v>
      </c>
      <c r="FN59" t="s">
        <v>201</v>
      </c>
      <c r="FO59" t="s">
        <v>201</v>
      </c>
      <c r="FP59" t="s">
        <v>201</v>
      </c>
      <c r="FQ59" t="s">
        <v>201</v>
      </c>
      <c r="FR59" t="s">
        <v>201</v>
      </c>
      <c r="FS59" t="s">
        <v>201</v>
      </c>
      <c r="FT59" t="s">
        <v>199</v>
      </c>
      <c r="FU59" t="s">
        <v>201</v>
      </c>
      <c r="FV59" s="47" t="s">
        <v>329</v>
      </c>
      <c r="FW59" t="s">
        <v>402</v>
      </c>
      <c r="FX59" t="s">
        <v>201</v>
      </c>
      <c r="FY59" t="s">
        <v>248</v>
      </c>
    </row>
    <row r="60" spans="1:181" x14ac:dyDescent="0.15">
      <c r="A60" s="3" t="s">
        <v>258</v>
      </c>
      <c r="B60" s="3" t="s">
        <v>193</v>
      </c>
      <c r="C60">
        <v>2017</v>
      </c>
      <c r="D60" s="22" t="str">
        <f t="shared" si="1"/>
        <v>10.1016/j.epsl.2017.03.016</v>
      </c>
      <c r="E60" s="22">
        <f t="shared" si="2"/>
        <v>1219.45</v>
      </c>
      <c r="F60" s="22" t="str">
        <f t="shared" si="3"/>
        <v>NA</v>
      </c>
      <c r="G60" s="22" t="str">
        <f t="shared" si="4"/>
        <v>NA</v>
      </c>
      <c r="H60" s="22">
        <f t="shared" si="5"/>
        <v>343.8971760336766</v>
      </c>
      <c r="I60" s="36">
        <f t="shared" si="6"/>
        <v>25.792288202525743</v>
      </c>
      <c r="J60" s="36">
        <f t="shared" si="7"/>
        <v>25.792288202525743</v>
      </c>
      <c r="K60" s="2" t="s">
        <v>251</v>
      </c>
      <c r="L60" s="2" t="s">
        <v>252</v>
      </c>
      <c r="M60" s="2" t="s">
        <v>194</v>
      </c>
      <c r="N60" s="2" t="s">
        <v>192</v>
      </c>
      <c r="O60">
        <v>806</v>
      </c>
      <c r="P60" s="1" t="s">
        <v>189</v>
      </c>
      <c r="Q60" t="s">
        <v>201</v>
      </c>
      <c r="R60" t="s">
        <v>201</v>
      </c>
      <c r="S60" t="s">
        <v>201</v>
      </c>
      <c r="T60" t="s">
        <v>201</v>
      </c>
      <c r="U60" t="s">
        <v>201</v>
      </c>
      <c r="V60" t="s">
        <v>201</v>
      </c>
      <c r="W60" t="s">
        <v>201</v>
      </c>
      <c r="X60" t="s">
        <v>201</v>
      </c>
      <c r="Y60" t="s">
        <v>201</v>
      </c>
      <c r="Z60" s="10">
        <v>25.75</v>
      </c>
      <c r="AA60" s="2" t="s">
        <v>207</v>
      </c>
      <c r="AB60">
        <v>1219.45</v>
      </c>
      <c r="AC60" t="s">
        <v>201</v>
      </c>
      <c r="AD60" t="s">
        <v>201</v>
      </c>
      <c r="AE60" t="s">
        <v>201</v>
      </c>
      <c r="AF60" s="1" t="s">
        <v>177</v>
      </c>
      <c r="AG60" s="1" t="s">
        <v>179</v>
      </c>
      <c r="AH60" s="13">
        <v>0.31850000000000001</v>
      </c>
      <c r="AI60" s="10">
        <v>159.36150000000001</v>
      </c>
      <c r="AJ60" s="35">
        <v>-2520</v>
      </c>
      <c r="AK60" t="s">
        <v>201</v>
      </c>
      <c r="AL60" t="s">
        <v>201</v>
      </c>
      <c r="AM60" t="s">
        <v>201</v>
      </c>
      <c r="AN60" t="s">
        <v>201</v>
      </c>
      <c r="AO60" s="1" t="s">
        <v>180</v>
      </c>
      <c r="AP60" t="s">
        <v>201</v>
      </c>
      <c r="AQ60" t="s">
        <v>201</v>
      </c>
      <c r="AR60" t="s">
        <v>201</v>
      </c>
      <c r="AS60" t="s">
        <v>201</v>
      </c>
      <c r="AT60" t="s">
        <v>201</v>
      </c>
      <c r="AU60" t="s">
        <v>201</v>
      </c>
      <c r="AV60" t="s">
        <v>201</v>
      </c>
      <c r="AW60" t="s">
        <v>201</v>
      </c>
      <c r="AX60">
        <v>1.847143</v>
      </c>
      <c r="AY60">
        <v>0.13</v>
      </c>
      <c r="AZ60" t="s">
        <v>203</v>
      </c>
      <c r="BA60" t="s">
        <v>201</v>
      </c>
      <c r="BB60">
        <v>-1.083429</v>
      </c>
      <c r="BC60">
        <v>0.24</v>
      </c>
      <c r="BD60" t="s">
        <v>203</v>
      </c>
      <c r="BE60" t="s">
        <v>201</v>
      </c>
      <c r="BF60" s="1" t="s">
        <v>181</v>
      </c>
      <c r="BG60" s="1" t="s">
        <v>182</v>
      </c>
      <c r="BH60">
        <v>0</v>
      </c>
      <c r="BI60" t="s">
        <v>201</v>
      </c>
      <c r="BJ60" t="s">
        <v>201</v>
      </c>
      <c r="BK60" t="s">
        <v>201</v>
      </c>
      <c r="BL60" t="s">
        <v>201</v>
      </c>
      <c r="BM60" t="s">
        <v>201</v>
      </c>
      <c r="BN60" t="s">
        <v>201</v>
      </c>
      <c r="BO60" t="s">
        <v>201</v>
      </c>
      <c r="BP60" t="s">
        <v>201</v>
      </c>
      <c r="BQ60" t="s">
        <v>201</v>
      </c>
      <c r="BR60" t="s">
        <v>201</v>
      </c>
      <c r="BS60" s="1" t="s">
        <v>183</v>
      </c>
      <c r="BT60">
        <v>-25.295999999999999</v>
      </c>
      <c r="BU60" s="1" t="s">
        <v>184</v>
      </c>
      <c r="BV60">
        <v>0.3</v>
      </c>
      <c r="BW60" t="s">
        <v>201</v>
      </c>
      <c r="BX60" t="s">
        <v>202</v>
      </c>
      <c r="BY60">
        <v>4.2</v>
      </c>
      <c r="BZ60" s="4" t="s">
        <v>201</v>
      </c>
      <c r="CA60" s="4" t="s">
        <v>201</v>
      </c>
      <c r="CB60">
        <v>-21.202243200000112</v>
      </c>
      <c r="CC60" t="s">
        <v>201</v>
      </c>
      <c r="CD60" t="s">
        <v>201</v>
      </c>
      <c r="CE60" t="s">
        <v>201</v>
      </c>
      <c r="CF60" t="s">
        <v>201</v>
      </c>
      <c r="CG60">
        <v>35</v>
      </c>
      <c r="CH60">
        <v>1</v>
      </c>
      <c r="CI60" t="s">
        <v>204</v>
      </c>
      <c r="CJ60" s="1" t="s">
        <v>185</v>
      </c>
      <c r="CK60">
        <v>0.16</v>
      </c>
      <c r="CL60">
        <v>0.1</v>
      </c>
      <c r="CM60">
        <v>0.1</v>
      </c>
      <c r="CN60" t="s">
        <v>204</v>
      </c>
      <c r="CO60" s="1" t="s">
        <v>186</v>
      </c>
      <c r="CP60" t="s">
        <v>201</v>
      </c>
      <c r="CQ60" t="s">
        <v>201</v>
      </c>
      <c r="CR60">
        <f t="shared" si="10"/>
        <v>27.873010966227632</v>
      </c>
      <c r="CS60" t="s">
        <v>201</v>
      </c>
      <c r="CT60" t="s">
        <v>201</v>
      </c>
      <c r="CU60" t="s">
        <v>201</v>
      </c>
      <c r="CV60" t="s">
        <v>211</v>
      </c>
      <c r="CW60">
        <v>0.98152937210452573</v>
      </c>
      <c r="CX60" t="s">
        <v>201</v>
      </c>
      <c r="CY60">
        <v>27.990171520994814</v>
      </c>
      <c r="CZ60" t="s">
        <v>201</v>
      </c>
      <c r="DA60" t="s">
        <v>201</v>
      </c>
      <c r="DB60" t="s">
        <v>201</v>
      </c>
      <c r="DC60" s="1" t="s">
        <v>190</v>
      </c>
      <c r="DD60" t="s">
        <v>205</v>
      </c>
      <c r="DE60" t="s">
        <v>201</v>
      </c>
      <c r="DF60" t="s">
        <v>201</v>
      </c>
      <c r="DG60" t="s">
        <v>201</v>
      </c>
      <c r="DH60" t="s">
        <v>201</v>
      </c>
      <c r="DI60">
        <v>27.755850411460454</v>
      </c>
      <c r="DJ60" t="s">
        <v>201</v>
      </c>
      <c r="DK60" t="s">
        <v>201</v>
      </c>
      <c r="DL60" t="s">
        <v>201</v>
      </c>
      <c r="DM60" t="s">
        <v>206</v>
      </c>
      <c r="DN60" t="s">
        <v>201</v>
      </c>
      <c r="DO60" t="s">
        <v>201</v>
      </c>
      <c r="DP60" t="s">
        <v>201</v>
      </c>
      <c r="DQ60" t="s">
        <v>201</v>
      </c>
      <c r="DR60" t="s">
        <v>201</v>
      </c>
      <c r="DS60" t="s">
        <v>201</v>
      </c>
      <c r="DT60" t="s">
        <v>201</v>
      </c>
      <c r="DU60" t="s">
        <v>201</v>
      </c>
      <c r="DV60" t="s">
        <v>201</v>
      </c>
      <c r="DW60" t="s">
        <v>201</v>
      </c>
      <c r="DX60" t="s">
        <v>201</v>
      </c>
      <c r="DY60" t="s">
        <v>201</v>
      </c>
      <c r="DZ60" s="3" t="s">
        <v>201</v>
      </c>
      <c r="EA60" s="3" t="s">
        <v>201</v>
      </c>
      <c r="EB60" t="s">
        <v>201</v>
      </c>
      <c r="EC60" t="s">
        <v>201</v>
      </c>
      <c r="ED60" t="s">
        <v>201</v>
      </c>
      <c r="EE60" t="s">
        <v>201</v>
      </c>
      <c r="EF60" t="s">
        <v>201</v>
      </c>
      <c r="EG60" t="s">
        <v>201</v>
      </c>
      <c r="EH60" t="s">
        <v>201</v>
      </c>
      <c r="EI60" t="s">
        <v>201</v>
      </c>
      <c r="EJ60" t="s">
        <v>201</v>
      </c>
      <c r="EK60" t="s">
        <v>201</v>
      </c>
      <c r="EL60" t="s">
        <v>201</v>
      </c>
      <c r="EM60" t="s">
        <v>201</v>
      </c>
      <c r="EN60" t="s">
        <v>201</v>
      </c>
      <c r="EO60" t="s">
        <v>201</v>
      </c>
      <c r="EP60" t="s">
        <v>201</v>
      </c>
      <c r="EQ60" t="s">
        <v>201</v>
      </c>
      <c r="ER60">
        <v>103.03319999999999</v>
      </c>
      <c r="ES60" t="s">
        <v>201</v>
      </c>
      <c r="ET60" t="s">
        <v>201</v>
      </c>
      <c r="EU60" t="s">
        <v>201</v>
      </c>
      <c r="EV60" s="1" t="s">
        <v>188</v>
      </c>
      <c r="EW60">
        <v>25</v>
      </c>
      <c r="EX60">
        <v>13.643971655208809</v>
      </c>
      <c r="EY60">
        <v>2.9236472446569906E-2</v>
      </c>
      <c r="EZ60">
        <v>2.9236472446569906E-2</v>
      </c>
      <c r="FA60" t="s">
        <v>201</v>
      </c>
      <c r="FB60" s="1" t="s">
        <v>250</v>
      </c>
      <c r="FC60" t="s">
        <v>201</v>
      </c>
      <c r="FD60" t="s">
        <v>201</v>
      </c>
      <c r="FE60" t="s">
        <v>201</v>
      </c>
      <c r="FF60" t="s">
        <v>201</v>
      </c>
      <c r="FG60" t="s">
        <v>217</v>
      </c>
      <c r="FH60">
        <v>343.8971760336766</v>
      </c>
      <c r="FI60">
        <f t="shared" si="8"/>
        <v>25.792288202525743</v>
      </c>
      <c r="FJ60">
        <f t="shared" si="9"/>
        <v>25.792288202525743</v>
      </c>
      <c r="FK60" t="s">
        <v>203</v>
      </c>
      <c r="FL60" t="s">
        <v>216</v>
      </c>
      <c r="FM60" t="s">
        <v>249</v>
      </c>
      <c r="FN60" t="s">
        <v>201</v>
      </c>
      <c r="FO60" t="s">
        <v>201</v>
      </c>
      <c r="FP60" t="s">
        <v>201</v>
      </c>
      <c r="FQ60" t="s">
        <v>201</v>
      </c>
      <c r="FR60" t="s">
        <v>201</v>
      </c>
      <c r="FS60" t="s">
        <v>201</v>
      </c>
      <c r="FT60" t="s">
        <v>199</v>
      </c>
      <c r="FU60" t="s">
        <v>201</v>
      </c>
      <c r="FV60" s="47" t="s">
        <v>330</v>
      </c>
      <c r="FW60" t="s">
        <v>403</v>
      </c>
      <c r="FX60" t="s">
        <v>201</v>
      </c>
      <c r="FY60" t="s">
        <v>248</v>
      </c>
    </row>
    <row r="61" spans="1:181" x14ac:dyDescent="0.15">
      <c r="A61" s="3" t="s">
        <v>258</v>
      </c>
      <c r="B61" s="3" t="s">
        <v>193</v>
      </c>
      <c r="C61">
        <v>2017</v>
      </c>
      <c r="D61" s="22" t="str">
        <f t="shared" si="1"/>
        <v>10.1016/j.epsl.2017.03.016</v>
      </c>
      <c r="E61" s="22">
        <f t="shared" si="2"/>
        <v>1234.2</v>
      </c>
      <c r="F61" s="22" t="str">
        <f t="shared" si="3"/>
        <v>NA</v>
      </c>
      <c r="G61" s="22" t="str">
        <f t="shared" si="4"/>
        <v>NA</v>
      </c>
      <c r="H61" s="22">
        <f t="shared" si="5"/>
        <v>341.72870685619824</v>
      </c>
      <c r="I61" s="36">
        <f t="shared" si="6"/>
        <v>25.629653014214867</v>
      </c>
      <c r="J61" s="36">
        <f t="shared" si="7"/>
        <v>25.629653014214867</v>
      </c>
      <c r="K61" s="2" t="s">
        <v>251</v>
      </c>
      <c r="L61" s="2" t="s">
        <v>252</v>
      </c>
      <c r="M61" s="2" t="s">
        <v>194</v>
      </c>
      <c r="N61" s="2" t="s">
        <v>192</v>
      </c>
      <c r="O61">
        <v>806</v>
      </c>
      <c r="P61" s="1" t="s">
        <v>189</v>
      </c>
      <c r="Q61" t="s">
        <v>201</v>
      </c>
      <c r="R61" t="s">
        <v>201</v>
      </c>
      <c r="S61" t="s">
        <v>201</v>
      </c>
      <c r="T61" t="s">
        <v>201</v>
      </c>
      <c r="U61" t="s">
        <v>201</v>
      </c>
      <c r="V61" t="s">
        <v>201</v>
      </c>
      <c r="W61" t="s">
        <v>201</v>
      </c>
      <c r="X61" t="s">
        <v>201</v>
      </c>
      <c r="Y61" t="s">
        <v>201</v>
      </c>
      <c r="Z61" s="10">
        <v>26.08</v>
      </c>
      <c r="AA61" s="2" t="s">
        <v>207</v>
      </c>
      <c r="AB61">
        <v>1234.2</v>
      </c>
      <c r="AC61" t="s">
        <v>201</v>
      </c>
      <c r="AD61" t="s">
        <v>201</v>
      </c>
      <c r="AE61" t="s">
        <v>201</v>
      </c>
      <c r="AF61" s="1" t="s">
        <v>177</v>
      </c>
      <c r="AG61" s="1" t="s">
        <v>179</v>
      </c>
      <c r="AH61" s="13">
        <v>0.31850000000000001</v>
      </c>
      <c r="AI61" s="10">
        <v>159.36150000000001</v>
      </c>
      <c r="AJ61" s="35">
        <v>-2520</v>
      </c>
      <c r="AK61" t="s">
        <v>201</v>
      </c>
      <c r="AL61" t="s">
        <v>201</v>
      </c>
      <c r="AM61" t="s">
        <v>201</v>
      </c>
      <c r="AN61" t="s">
        <v>201</v>
      </c>
      <c r="AO61" s="1" t="s">
        <v>180</v>
      </c>
      <c r="AP61" t="s">
        <v>201</v>
      </c>
      <c r="AQ61" t="s">
        <v>201</v>
      </c>
      <c r="AR61" t="s">
        <v>201</v>
      </c>
      <c r="AS61" t="s">
        <v>201</v>
      </c>
      <c r="AT61" t="s">
        <v>201</v>
      </c>
      <c r="AU61" t="s">
        <v>201</v>
      </c>
      <c r="AV61" t="s">
        <v>201</v>
      </c>
      <c r="AW61" t="s">
        <v>201</v>
      </c>
      <c r="AX61">
        <v>1.9891430000000001</v>
      </c>
      <c r="AY61">
        <v>0.13</v>
      </c>
      <c r="AZ61" t="s">
        <v>203</v>
      </c>
      <c r="BA61" t="s">
        <v>201</v>
      </c>
      <c r="BB61">
        <v>-1.3774289999999998</v>
      </c>
      <c r="BC61">
        <v>0.24</v>
      </c>
      <c r="BD61" t="s">
        <v>203</v>
      </c>
      <c r="BE61" t="s">
        <v>201</v>
      </c>
      <c r="BF61" s="1" t="s">
        <v>181</v>
      </c>
      <c r="BG61" s="1" t="s">
        <v>182</v>
      </c>
      <c r="BH61">
        <v>0</v>
      </c>
      <c r="BI61" t="s">
        <v>201</v>
      </c>
      <c r="BJ61" t="s">
        <v>201</v>
      </c>
      <c r="BK61" t="s">
        <v>201</v>
      </c>
      <c r="BL61" t="s">
        <v>201</v>
      </c>
      <c r="BM61" t="s">
        <v>201</v>
      </c>
      <c r="BN61" t="s">
        <v>201</v>
      </c>
      <c r="BO61" t="s">
        <v>201</v>
      </c>
      <c r="BP61" t="s">
        <v>201</v>
      </c>
      <c r="BQ61" t="s">
        <v>201</v>
      </c>
      <c r="BR61" t="s">
        <v>201</v>
      </c>
      <c r="BS61" s="1" t="s">
        <v>183</v>
      </c>
      <c r="BT61">
        <v>-24.904499999999999</v>
      </c>
      <c r="BU61" s="1" t="s">
        <v>184</v>
      </c>
      <c r="BV61">
        <v>0.3</v>
      </c>
      <c r="BW61" t="s">
        <v>201</v>
      </c>
      <c r="BX61" t="s">
        <v>202</v>
      </c>
      <c r="BY61">
        <v>4.2</v>
      </c>
      <c r="BZ61" s="4" t="s">
        <v>201</v>
      </c>
      <c r="CA61" s="4" t="s">
        <v>201</v>
      </c>
      <c r="CB61">
        <v>-20.809098899999981</v>
      </c>
      <c r="CC61" t="s">
        <v>201</v>
      </c>
      <c r="CD61" t="s">
        <v>201</v>
      </c>
      <c r="CE61" t="s">
        <v>201</v>
      </c>
      <c r="CF61" t="s">
        <v>201</v>
      </c>
      <c r="CG61">
        <v>35</v>
      </c>
      <c r="CH61">
        <v>1</v>
      </c>
      <c r="CI61" t="s">
        <v>204</v>
      </c>
      <c r="CJ61" s="1" t="s">
        <v>185</v>
      </c>
      <c r="CK61">
        <v>0.16</v>
      </c>
      <c r="CL61">
        <v>0.1</v>
      </c>
      <c r="CM61">
        <v>0.1</v>
      </c>
      <c r="CN61" t="s">
        <v>204</v>
      </c>
      <c r="CO61" s="1" t="s">
        <v>186</v>
      </c>
      <c r="CP61" t="s">
        <v>201</v>
      </c>
      <c r="CQ61" t="s">
        <v>201</v>
      </c>
      <c r="CR61">
        <f t="shared" si="10"/>
        <v>28.141154925948424</v>
      </c>
      <c r="CS61" t="s">
        <v>201</v>
      </c>
      <c r="CT61" t="s">
        <v>201</v>
      </c>
      <c r="CU61" t="s">
        <v>201</v>
      </c>
      <c r="CV61" t="s">
        <v>211</v>
      </c>
      <c r="CW61">
        <v>0.9963845616839333</v>
      </c>
      <c r="CX61" t="s">
        <v>201</v>
      </c>
      <c r="CY61">
        <v>28.433985164869192</v>
      </c>
      <c r="CZ61" t="s">
        <v>201</v>
      </c>
      <c r="DA61" t="s">
        <v>201</v>
      </c>
      <c r="DB61" t="s">
        <v>201</v>
      </c>
      <c r="DC61" s="1" t="s">
        <v>190</v>
      </c>
      <c r="DD61" t="s">
        <v>205</v>
      </c>
      <c r="DE61" t="s">
        <v>201</v>
      </c>
      <c r="DF61" t="s">
        <v>201</v>
      </c>
      <c r="DG61" t="s">
        <v>201</v>
      </c>
      <c r="DH61" t="s">
        <v>201</v>
      </c>
      <c r="DI61">
        <v>27.848324687027656</v>
      </c>
      <c r="DJ61" t="s">
        <v>201</v>
      </c>
      <c r="DK61" t="s">
        <v>201</v>
      </c>
      <c r="DL61" t="s">
        <v>201</v>
      </c>
      <c r="DM61" t="s">
        <v>206</v>
      </c>
      <c r="DN61" t="s">
        <v>201</v>
      </c>
      <c r="DO61" t="s">
        <v>201</v>
      </c>
      <c r="DP61" t="s">
        <v>201</v>
      </c>
      <c r="DQ61" t="s">
        <v>201</v>
      </c>
      <c r="DR61" t="s">
        <v>201</v>
      </c>
      <c r="DS61" t="s">
        <v>201</v>
      </c>
      <c r="DT61" t="s">
        <v>201</v>
      </c>
      <c r="DU61" t="s">
        <v>201</v>
      </c>
      <c r="DV61" t="s">
        <v>201</v>
      </c>
      <c r="DW61" t="s">
        <v>201</v>
      </c>
      <c r="DX61" t="s">
        <v>201</v>
      </c>
      <c r="DY61" t="s">
        <v>201</v>
      </c>
      <c r="DZ61" s="3" t="s">
        <v>201</v>
      </c>
      <c r="EA61" s="3" t="s">
        <v>201</v>
      </c>
      <c r="EB61" t="s">
        <v>201</v>
      </c>
      <c r="EC61" t="s">
        <v>201</v>
      </c>
      <c r="ED61" t="s">
        <v>201</v>
      </c>
      <c r="EE61" t="s">
        <v>201</v>
      </c>
      <c r="EF61" t="s">
        <v>201</v>
      </c>
      <c r="EG61" t="s">
        <v>201</v>
      </c>
      <c r="EH61" t="s">
        <v>201</v>
      </c>
      <c r="EI61" t="s">
        <v>201</v>
      </c>
      <c r="EJ61" t="s">
        <v>201</v>
      </c>
      <c r="EK61" t="s">
        <v>201</v>
      </c>
      <c r="EL61" t="s">
        <v>201</v>
      </c>
      <c r="EM61" t="s">
        <v>201</v>
      </c>
      <c r="EN61" t="s">
        <v>201</v>
      </c>
      <c r="EO61" t="s">
        <v>201</v>
      </c>
      <c r="EP61" t="s">
        <v>201</v>
      </c>
      <c r="EQ61" t="s">
        <v>201</v>
      </c>
      <c r="ER61">
        <v>103.03319999999999</v>
      </c>
      <c r="ES61" t="s">
        <v>201</v>
      </c>
      <c r="ET61" t="s">
        <v>201</v>
      </c>
      <c r="EU61" t="s">
        <v>201</v>
      </c>
      <c r="EV61" s="1" t="s">
        <v>188</v>
      </c>
      <c r="EW61">
        <v>25</v>
      </c>
      <c r="EX61">
        <v>13.450834712399162</v>
      </c>
      <c r="EY61">
        <v>7.3055824502343825E-2</v>
      </c>
      <c r="EZ61">
        <v>7.3055824502343825E-2</v>
      </c>
      <c r="FA61" t="s">
        <v>201</v>
      </c>
      <c r="FB61" s="1" t="s">
        <v>250</v>
      </c>
      <c r="FC61" t="s">
        <v>201</v>
      </c>
      <c r="FD61" t="s">
        <v>201</v>
      </c>
      <c r="FE61" t="s">
        <v>201</v>
      </c>
      <c r="FF61" t="s">
        <v>201</v>
      </c>
      <c r="FG61" t="s">
        <v>217</v>
      </c>
      <c r="FH61">
        <v>341.72870685619824</v>
      </c>
      <c r="FI61">
        <f t="shared" si="8"/>
        <v>25.629653014214867</v>
      </c>
      <c r="FJ61">
        <f t="shared" si="9"/>
        <v>25.629653014214867</v>
      </c>
      <c r="FK61" t="s">
        <v>203</v>
      </c>
      <c r="FL61" t="s">
        <v>216</v>
      </c>
      <c r="FM61" t="s">
        <v>249</v>
      </c>
      <c r="FN61" t="s">
        <v>201</v>
      </c>
      <c r="FO61" t="s">
        <v>201</v>
      </c>
      <c r="FP61" t="s">
        <v>201</v>
      </c>
      <c r="FQ61" t="s">
        <v>201</v>
      </c>
      <c r="FR61" t="s">
        <v>201</v>
      </c>
      <c r="FS61" t="s">
        <v>201</v>
      </c>
      <c r="FT61" t="s">
        <v>199</v>
      </c>
      <c r="FU61" t="s">
        <v>201</v>
      </c>
      <c r="FV61" s="47" t="s">
        <v>331</v>
      </c>
      <c r="FW61" t="s">
        <v>404</v>
      </c>
      <c r="FX61" t="s">
        <v>201</v>
      </c>
      <c r="FY61" t="s">
        <v>248</v>
      </c>
    </row>
    <row r="62" spans="1:181" x14ac:dyDescent="0.15">
      <c r="A62" s="3" t="s">
        <v>258</v>
      </c>
      <c r="B62" s="3" t="s">
        <v>193</v>
      </c>
      <c r="C62">
        <v>2017</v>
      </c>
      <c r="D62" s="22" t="str">
        <f t="shared" si="1"/>
        <v>10.1016/j.epsl.2017.03.016</v>
      </c>
      <c r="E62" s="22">
        <f t="shared" si="2"/>
        <v>1250.74</v>
      </c>
      <c r="F62" s="22" t="str">
        <f t="shared" si="3"/>
        <v>NA</v>
      </c>
      <c r="G62" s="22" t="str">
        <f t="shared" si="4"/>
        <v>NA</v>
      </c>
      <c r="H62" s="22">
        <f t="shared" si="5"/>
        <v>324.60501824709098</v>
      </c>
      <c r="I62" s="36">
        <f t="shared" si="6"/>
        <v>24.345376368531824</v>
      </c>
      <c r="J62" s="36">
        <f t="shared" si="7"/>
        <v>24.345376368531824</v>
      </c>
      <c r="K62" s="2" t="s">
        <v>251</v>
      </c>
      <c r="L62" s="2" t="s">
        <v>252</v>
      </c>
      <c r="M62" s="2" t="s">
        <v>194</v>
      </c>
      <c r="N62" s="2" t="s">
        <v>192</v>
      </c>
      <c r="O62">
        <v>806</v>
      </c>
      <c r="P62" s="1" t="s">
        <v>189</v>
      </c>
      <c r="Q62" t="s">
        <v>201</v>
      </c>
      <c r="R62" t="s">
        <v>201</v>
      </c>
      <c r="S62" t="s">
        <v>201</v>
      </c>
      <c r="T62" t="s">
        <v>201</v>
      </c>
      <c r="U62" t="s">
        <v>201</v>
      </c>
      <c r="V62" t="s">
        <v>201</v>
      </c>
      <c r="W62" t="s">
        <v>201</v>
      </c>
      <c r="X62" t="s">
        <v>201</v>
      </c>
      <c r="Y62" t="s">
        <v>201</v>
      </c>
      <c r="Z62" s="10">
        <v>26.45</v>
      </c>
      <c r="AA62" s="2" t="s">
        <v>207</v>
      </c>
      <c r="AB62">
        <v>1250.74</v>
      </c>
      <c r="AC62" t="s">
        <v>201</v>
      </c>
      <c r="AD62" t="s">
        <v>201</v>
      </c>
      <c r="AE62" t="s">
        <v>201</v>
      </c>
      <c r="AF62" s="1" t="s">
        <v>177</v>
      </c>
      <c r="AG62" s="1" t="s">
        <v>179</v>
      </c>
      <c r="AH62" s="13">
        <v>0.31850000000000001</v>
      </c>
      <c r="AI62" s="10">
        <v>159.36150000000001</v>
      </c>
      <c r="AJ62" s="35">
        <v>-2520</v>
      </c>
      <c r="AK62" t="s">
        <v>201</v>
      </c>
      <c r="AL62" t="s">
        <v>201</v>
      </c>
      <c r="AM62" t="s">
        <v>201</v>
      </c>
      <c r="AN62" t="s">
        <v>201</v>
      </c>
      <c r="AO62" s="1" t="s">
        <v>180</v>
      </c>
      <c r="AP62" t="s">
        <v>201</v>
      </c>
      <c r="AQ62" t="s">
        <v>201</v>
      </c>
      <c r="AR62" t="s">
        <v>201</v>
      </c>
      <c r="AS62" t="s">
        <v>201</v>
      </c>
      <c r="AT62" t="s">
        <v>201</v>
      </c>
      <c r="AU62" t="s">
        <v>201</v>
      </c>
      <c r="AV62" t="s">
        <v>201</v>
      </c>
      <c r="AW62" t="s">
        <v>201</v>
      </c>
      <c r="AX62">
        <v>1.6120000000000001</v>
      </c>
      <c r="AY62">
        <v>0.13</v>
      </c>
      <c r="AZ62" t="s">
        <v>203</v>
      </c>
      <c r="BA62" t="s">
        <v>201</v>
      </c>
      <c r="BB62">
        <v>-0.996</v>
      </c>
      <c r="BC62">
        <v>0.24</v>
      </c>
      <c r="BD62" t="s">
        <v>203</v>
      </c>
      <c r="BE62" t="s">
        <v>201</v>
      </c>
      <c r="BF62" s="1" t="s">
        <v>181</v>
      </c>
      <c r="BG62" s="1" t="s">
        <v>182</v>
      </c>
      <c r="BH62">
        <v>0</v>
      </c>
      <c r="BI62" t="s">
        <v>201</v>
      </c>
      <c r="BJ62" t="s">
        <v>201</v>
      </c>
      <c r="BK62" t="s">
        <v>201</v>
      </c>
      <c r="BL62" t="s">
        <v>201</v>
      </c>
      <c r="BM62" t="s">
        <v>201</v>
      </c>
      <c r="BN62" t="s">
        <v>201</v>
      </c>
      <c r="BO62" t="s">
        <v>201</v>
      </c>
      <c r="BP62" t="s">
        <v>201</v>
      </c>
      <c r="BQ62" t="s">
        <v>201</v>
      </c>
      <c r="BR62" t="s">
        <v>201</v>
      </c>
      <c r="BS62" s="1" t="s">
        <v>183</v>
      </c>
      <c r="BT62">
        <v>-25.195500000000003</v>
      </c>
      <c r="BU62" s="1" t="s">
        <v>184</v>
      </c>
      <c r="BV62">
        <v>0.3</v>
      </c>
      <c r="BW62" t="s">
        <v>201</v>
      </c>
      <c r="BX62" t="s">
        <v>202</v>
      </c>
      <c r="BY62">
        <v>4.2</v>
      </c>
      <c r="BZ62" s="4" t="s">
        <v>201</v>
      </c>
      <c r="CA62" s="4" t="s">
        <v>201</v>
      </c>
      <c r="CB62">
        <v>-21.101321100000064</v>
      </c>
      <c r="CC62" t="s">
        <v>201</v>
      </c>
      <c r="CD62" t="s">
        <v>201</v>
      </c>
      <c r="CE62" t="s">
        <v>201</v>
      </c>
      <c r="CF62" t="s">
        <v>201</v>
      </c>
      <c r="CG62">
        <v>35</v>
      </c>
      <c r="CH62">
        <v>1</v>
      </c>
      <c r="CI62" t="s">
        <v>204</v>
      </c>
      <c r="CJ62" s="1" t="s">
        <v>185</v>
      </c>
      <c r="CK62">
        <v>0.16</v>
      </c>
      <c r="CL62">
        <v>0.1</v>
      </c>
      <c r="CM62">
        <v>0.1</v>
      </c>
      <c r="CN62" t="s">
        <v>204</v>
      </c>
      <c r="CO62" s="1" t="s">
        <v>186</v>
      </c>
      <c r="CP62" t="s">
        <v>201</v>
      </c>
      <c r="CQ62" t="s">
        <v>201</v>
      </c>
      <c r="CR62">
        <f t="shared" si="10"/>
        <v>27.069981386650692</v>
      </c>
      <c r="CS62" t="s">
        <v>201</v>
      </c>
      <c r="CT62" t="s">
        <v>201</v>
      </c>
      <c r="CU62" t="s">
        <v>201</v>
      </c>
      <c r="CV62" t="s">
        <v>211</v>
      </c>
      <c r="CW62">
        <v>0.94499642967403785</v>
      </c>
      <c r="CX62" t="s">
        <v>201</v>
      </c>
      <c r="CY62">
        <v>26.898713332941558</v>
      </c>
      <c r="CZ62" t="s">
        <v>201</v>
      </c>
      <c r="DA62" t="s">
        <v>201</v>
      </c>
      <c r="DB62" t="s">
        <v>201</v>
      </c>
      <c r="DC62" s="1" t="s">
        <v>190</v>
      </c>
      <c r="DD62" t="s">
        <v>205</v>
      </c>
      <c r="DE62" t="s">
        <v>201</v>
      </c>
      <c r="DF62" t="s">
        <v>201</v>
      </c>
      <c r="DG62" t="s">
        <v>201</v>
      </c>
      <c r="DH62" t="s">
        <v>201</v>
      </c>
      <c r="DI62">
        <v>27.241249440359827</v>
      </c>
      <c r="DJ62" t="s">
        <v>201</v>
      </c>
      <c r="DK62" t="s">
        <v>201</v>
      </c>
      <c r="DL62" t="s">
        <v>201</v>
      </c>
      <c r="DM62" t="s">
        <v>206</v>
      </c>
      <c r="DN62" t="s">
        <v>201</v>
      </c>
      <c r="DO62" t="s">
        <v>201</v>
      </c>
      <c r="DP62" t="s">
        <v>201</v>
      </c>
      <c r="DQ62" t="s">
        <v>201</v>
      </c>
      <c r="DR62" t="s">
        <v>201</v>
      </c>
      <c r="DS62" t="s">
        <v>201</v>
      </c>
      <c r="DT62" t="s">
        <v>201</v>
      </c>
      <c r="DU62" t="s">
        <v>201</v>
      </c>
      <c r="DV62" t="s">
        <v>201</v>
      </c>
      <c r="DW62" t="s">
        <v>201</v>
      </c>
      <c r="DX62" t="s">
        <v>201</v>
      </c>
      <c r="DY62" t="s">
        <v>201</v>
      </c>
      <c r="DZ62" s="3" t="s">
        <v>201</v>
      </c>
      <c r="EA62" s="3" t="s">
        <v>201</v>
      </c>
      <c r="EB62" t="s">
        <v>201</v>
      </c>
      <c r="EC62" t="s">
        <v>201</v>
      </c>
      <c r="ED62" t="s">
        <v>201</v>
      </c>
      <c r="EE62" t="s">
        <v>201</v>
      </c>
      <c r="EF62" t="s">
        <v>201</v>
      </c>
      <c r="EG62" t="s">
        <v>201</v>
      </c>
      <c r="EH62" t="s">
        <v>201</v>
      </c>
      <c r="EI62" t="s">
        <v>201</v>
      </c>
      <c r="EJ62" t="s">
        <v>201</v>
      </c>
      <c r="EK62" t="s">
        <v>201</v>
      </c>
      <c r="EL62" t="s">
        <v>201</v>
      </c>
      <c r="EM62" t="s">
        <v>201</v>
      </c>
      <c r="EN62" t="s">
        <v>201</v>
      </c>
      <c r="EO62" t="s">
        <v>201</v>
      </c>
      <c r="EP62" t="s">
        <v>201</v>
      </c>
      <c r="EQ62" t="s">
        <v>201</v>
      </c>
      <c r="ER62">
        <v>103.03319999999999</v>
      </c>
      <c r="ES62" t="s">
        <v>201</v>
      </c>
      <c r="ET62" t="s">
        <v>201</v>
      </c>
      <c r="EU62" t="s">
        <v>201</v>
      </c>
      <c r="EV62" s="1" t="s">
        <v>188</v>
      </c>
      <c r="EW62">
        <v>25</v>
      </c>
      <c r="EX62">
        <v>13.18354924615206</v>
      </c>
      <c r="EY62">
        <v>4.2722586483856517E-2</v>
      </c>
      <c r="EZ62">
        <v>4.2722586483856517E-2</v>
      </c>
      <c r="FA62" t="s">
        <v>201</v>
      </c>
      <c r="FB62" s="1" t="s">
        <v>250</v>
      </c>
      <c r="FC62" t="s">
        <v>201</v>
      </c>
      <c r="FD62" t="s">
        <v>201</v>
      </c>
      <c r="FE62" t="s">
        <v>201</v>
      </c>
      <c r="FF62" t="s">
        <v>201</v>
      </c>
      <c r="FG62" t="s">
        <v>217</v>
      </c>
      <c r="FH62">
        <v>324.60501824709098</v>
      </c>
      <c r="FI62">
        <f t="shared" si="8"/>
        <v>24.345376368531824</v>
      </c>
      <c r="FJ62">
        <f t="shared" si="9"/>
        <v>24.345376368531824</v>
      </c>
      <c r="FK62" t="s">
        <v>203</v>
      </c>
      <c r="FL62" t="s">
        <v>216</v>
      </c>
      <c r="FM62" t="s">
        <v>249</v>
      </c>
      <c r="FN62" t="s">
        <v>201</v>
      </c>
      <c r="FO62" t="s">
        <v>201</v>
      </c>
      <c r="FP62" t="s">
        <v>201</v>
      </c>
      <c r="FQ62" t="s">
        <v>201</v>
      </c>
      <c r="FR62" t="s">
        <v>201</v>
      </c>
      <c r="FS62" t="s">
        <v>201</v>
      </c>
      <c r="FT62" t="s">
        <v>199</v>
      </c>
      <c r="FU62" t="s">
        <v>201</v>
      </c>
      <c r="FV62" s="47" t="s">
        <v>332</v>
      </c>
      <c r="FW62" t="s">
        <v>405</v>
      </c>
      <c r="FX62" t="s">
        <v>201</v>
      </c>
      <c r="FY62" t="s">
        <v>248</v>
      </c>
    </row>
    <row r="63" spans="1:181" x14ac:dyDescent="0.15">
      <c r="A63" s="3" t="s">
        <v>258</v>
      </c>
      <c r="B63" s="3" t="s">
        <v>193</v>
      </c>
      <c r="C63">
        <v>2017</v>
      </c>
      <c r="D63" s="22" t="str">
        <f t="shared" si="1"/>
        <v>10.1016/j.epsl.2017.03.016</v>
      </c>
      <c r="E63" s="22">
        <f t="shared" si="2"/>
        <v>1268.6199999999999</v>
      </c>
      <c r="F63" s="22" t="str">
        <f t="shared" si="3"/>
        <v>NA</v>
      </c>
      <c r="G63" s="22" t="str">
        <f t="shared" si="4"/>
        <v>NA</v>
      </c>
      <c r="H63" s="22">
        <f t="shared" si="5"/>
        <v>348.88948000264384</v>
      </c>
      <c r="I63" s="36">
        <f t="shared" si="6"/>
        <v>26.166711000198287</v>
      </c>
      <c r="J63" s="36">
        <f t="shared" si="7"/>
        <v>26.166711000198287</v>
      </c>
      <c r="K63" s="2" t="s">
        <v>251</v>
      </c>
      <c r="L63" s="2" t="s">
        <v>252</v>
      </c>
      <c r="M63" s="2" t="s">
        <v>194</v>
      </c>
      <c r="N63" s="2" t="s">
        <v>192</v>
      </c>
      <c r="O63">
        <v>806</v>
      </c>
      <c r="P63" s="1" t="s">
        <v>189</v>
      </c>
      <c r="Q63" t="s">
        <v>201</v>
      </c>
      <c r="R63" t="s">
        <v>201</v>
      </c>
      <c r="S63" t="s">
        <v>201</v>
      </c>
      <c r="T63" t="s">
        <v>201</v>
      </c>
      <c r="U63" t="s">
        <v>201</v>
      </c>
      <c r="V63" t="s">
        <v>201</v>
      </c>
      <c r="W63" t="s">
        <v>201</v>
      </c>
      <c r="X63" t="s">
        <v>201</v>
      </c>
      <c r="Y63" t="s">
        <v>201</v>
      </c>
      <c r="Z63" s="10">
        <v>26.85</v>
      </c>
      <c r="AA63" s="2" t="s">
        <v>207</v>
      </c>
      <c r="AB63">
        <v>1268.6199999999999</v>
      </c>
      <c r="AC63" t="s">
        <v>201</v>
      </c>
      <c r="AD63" t="s">
        <v>201</v>
      </c>
      <c r="AE63" t="s">
        <v>201</v>
      </c>
      <c r="AF63" s="1" t="s">
        <v>177</v>
      </c>
      <c r="AG63" s="1" t="s">
        <v>179</v>
      </c>
      <c r="AH63" s="13">
        <v>0.31850000000000001</v>
      </c>
      <c r="AI63" s="10">
        <v>159.36150000000001</v>
      </c>
      <c r="AJ63" s="35">
        <v>-2520</v>
      </c>
      <c r="AK63" t="s">
        <v>201</v>
      </c>
      <c r="AL63" t="s">
        <v>201</v>
      </c>
      <c r="AM63" t="s">
        <v>201</v>
      </c>
      <c r="AN63" t="s">
        <v>201</v>
      </c>
      <c r="AO63" s="1" t="s">
        <v>180</v>
      </c>
      <c r="AP63" t="s">
        <v>201</v>
      </c>
      <c r="AQ63" t="s">
        <v>201</v>
      </c>
      <c r="AR63" t="s">
        <v>201</v>
      </c>
      <c r="AS63" t="s">
        <v>201</v>
      </c>
      <c r="AT63" t="s">
        <v>201</v>
      </c>
      <c r="AU63" t="s">
        <v>201</v>
      </c>
      <c r="AV63" t="s">
        <v>201</v>
      </c>
      <c r="AW63" t="s">
        <v>201</v>
      </c>
      <c r="AX63">
        <v>1.8</v>
      </c>
      <c r="AY63">
        <v>0.13</v>
      </c>
      <c r="AZ63" t="s">
        <v>203</v>
      </c>
      <c r="BA63" t="s">
        <v>201</v>
      </c>
      <c r="BB63">
        <v>-1.258</v>
      </c>
      <c r="BC63">
        <v>0.24</v>
      </c>
      <c r="BD63" t="s">
        <v>203</v>
      </c>
      <c r="BE63" t="s">
        <v>201</v>
      </c>
      <c r="BF63" s="1" t="s">
        <v>181</v>
      </c>
      <c r="BG63" s="1" t="s">
        <v>182</v>
      </c>
      <c r="BH63">
        <v>0</v>
      </c>
      <c r="BI63" t="s">
        <v>201</v>
      </c>
      <c r="BJ63" t="s">
        <v>201</v>
      </c>
      <c r="BK63" t="s">
        <v>201</v>
      </c>
      <c r="BL63" t="s">
        <v>201</v>
      </c>
      <c r="BM63" t="s">
        <v>201</v>
      </c>
      <c r="BN63" t="s">
        <v>201</v>
      </c>
      <c r="BO63" t="s">
        <v>201</v>
      </c>
      <c r="BP63" t="s">
        <v>201</v>
      </c>
      <c r="BQ63" t="s">
        <v>201</v>
      </c>
      <c r="BR63" t="s">
        <v>201</v>
      </c>
      <c r="BS63" s="1" t="s">
        <v>183</v>
      </c>
      <c r="BT63">
        <v>-25.394500000000001</v>
      </c>
      <c r="BU63" s="1" t="s">
        <v>184</v>
      </c>
      <c r="BV63">
        <v>0.3</v>
      </c>
      <c r="BW63" t="s">
        <v>201</v>
      </c>
      <c r="BX63" t="s">
        <v>202</v>
      </c>
      <c r="BY63">
        <v>4.2</v>
      </c>
      <c r="BZ63" s="4" t="s">
        <v>201</v>
      </c>
      <c r="CA63" s="4" t="s">
        <v>201</v>
      </c>
      <c r="CB63">
        <v>-21.301156900000024</v>
      </c>
      <c r="CC63" t="s">
        <v>201</v>
      </c>
      <c r="CD63" t="s">
        <v>201</v>
      </c>
      <c r="CE63" t="s">
        <v>201</v>
      </c>
      <c r="CF63" t="s">
        <v>201</v>
      </c>
      <c r="CG63">
        <v>35</v>
      </c>
      <c r="CH63">
        <v>1</v>
      </c>
      <c r="CI63" t="s">
        <v>204</v>
      </c>
      <c r="CJ63" s="1" t="s">
        <v>185</v>
      </c>
      <c r="CK63">
        <v>0.16</v>
      </c>
      <c r="CL63">
        <v>0.1</v>
      </c>
      <c r="CM63">
        <v>0.1</v>
      </c>
      <c r="CN63" t="s">
        <v>204</v>
      </c>
      <c r="CO63" s="1" t="s">
        <v>186</v>
      </c>
      <c r="CP63" t="s">
        <v>201</v>
      </c>
      <c r="CQ63" t="s">
        <v>201</v>
      </c>
      <c r="CR63">
        <f t="shared" si="10"/>
        <v>26.943859961454038</v>
      </c>
      <c r="CS63" t="s">
        <v>201</v>
      </c>
      <c r="CT63" t="s">
        <v>201</v>
      </c>
      <c r="CU63" t="s">
        <v>201</v>
      </c>
      <c r="CV63" t="s">
        <v>211</v>
      </c>
      <c r="CW63">
        <v>0.99115416923372379</v>
      </c>
      <c r="CX63" t="s">
        <v>201</v>
      </c>
      <c r="CY63">
        <v>28.277721960026735</v>
      </c>
      <c r="CZ63" t="s">
        <v>201</v>
      </c>
      <c r="DA63" t="s">
        <v>201</v>
      </c>
      <c r="DB63" t="s">
        <v>201</v>
      </c>
      <c r="DC63" s="1" t="s">
        <v>190</v>
      </c>
      <c r="DD63" t="s">
        <v>205</v>
      </c>
      <c r="DE63" t="s">
        <v>201</v>
      </c>
      <c r="DF63" t="s">
        <v>201</v>
      </c>
      <c r="DG63" t="s">
        <v>201</v>
      </c>
      <c r="DH63" t="s">
        <v>201</v>
      </c>
      <c r="DI63">
        <v>25.609997962881337</v>
      </c>
      <c r="DJ63" t="s">
        <v>201</v>
      </c>
      <c r="DK63" t="s">
        <v>201</v>
      </c>
      <c r="DL63" t="s">
        <v>201</v>
      </c>
      <c r="DM63" t="s">
        <v>206</v>
      </c>
      <c r="DN63" t="s">
        <v>201</v>
      </c>
      <c r="DO63" t="s">
        <v>201</v>
      </c>
      <c r="DP63" t="s">
        <v>201</v>
      </c>
      <c r="DQ63" t="s">
        <v>201</v>
      </c>
      <c r="DR63" t="s">
        <v>201</v>
      </c>
      <c r="DS63" t="s">
        <v>201</v>
      </c>
      <c r="DT63" t="s">
        <v>201</v>
      </c>
      <c r="DU63" t="s">
        <v>201</v>
      </c>
      <c r="DV63" t="s">
        <v>201</v>
      </c>
      <c r="DW63" t="s">
        <v>201</v>
      </c>
      <c r="DX63" t="s">
        <v>201</v>
      </c>
      <c r="DY63" t="s">
        <v>201</v>
      </c>
      <c r="DZ63" s="3" t="s">
        <v>201</v>
      </c>
      <c r="EA63" s="3" t="s">
        <v>201</v>
      </c>
      <c r="EB63" t="s">
        <v>201</v>
      </c>
      <c r="EC63" t="s">
        <v>201</v>
      </c>
      <c r="ED63" t="s">
        <v>201</v>
      </c>
      <c r="EE63" t="s">
        <v>201</v>
      </c>
      <c r="EF63" t="s">
        <v>201</v>
      </c>
      <c r="EG63" t="s">
        <v>201</v>
      </c>
      <c r="EH63" t="s">
        <v>201</v>
      </c>
      <c r="EI63" t="s">
        <v>201</v>
      </c>
      <c r="EJ63" t="s">
        <v>201</v>
      </c>
      <c r="EK63" t="s">
        <v>201</v>
      </c>
      <c r="EL63" t="s">
        <v>201</v>
      </c>
      <c r="EM63" t="s">
        <v>201</v>
      </c>
      <c r="EN63" t="s">
        <v>201</v>
      </c>
      <c r="EO63" t="s">
        <v>201</v>
      </c>
      <c r="EP63" t="s">
        <v>201</v>
      </c>
      <c r="EQ63" t="s">
        <v>201</v>
      </c>
      <c r="ER63">
        <v>103.03319999999999</v>
      </c>
      <c r="ES63" t="s">
        <v>201</v>
      </c>
      <c r="ET63" t="s">
        <v>201</v>
      </c>
      <c r="EU63" t="s">
        <v>201</v>
      </c>
      <c r="EV63" s="1" t="s">
        <v>188</v>
      </c>
      <c r="EW63">
        <v>25</v>
      </c>
      <c r="EX63">
        <v>13.72965681445959</v>
      </c>
      <c r="EY63">
        <v>0.33286660627829256</v>
      </c>
      <c r="EZ63">
        <v>0.33286660627829256</v>
      </c>
      <c r="FA63" t="s">
        <v>201</v>
      </c>
      <c r="FB63" s="1" t="s">
        <v>250</v>
      </c>
      <c r="FC63" t="s">
        <v>201</v>
      </c>
      <c r="FD63" t="s">
        <v>201</v>
      </c>
      <c r="FE63" t="s">
        <v>201</v>
      </c>
      <c r="FF63" t="s">
        <v>201</v>
      </c>
      <c r="FG63" t="s">
        <v>217</v>
      </c>
      <c r="FH63">
        <v>348.88948000264384</v>
      </c>
      <c r="FI63">
        <f t="shared" si="8"/>
        <v>26.166711000198287</v>
      </c>
      <c r="FJ63">
        <f t="shared" si="9"/>
        <v>26.166711000198287</v>
      </c>
      <c r="FK63" t="s">
        <v>203</v>
      </c>
      <c r="FL63" t="s">
        <v>216</v>
      </c>
      <c r="FM63" t="s">
        <v>249</v>
      </c>
      <c r="FN63" t="s">
        <v>201</v>
      </c>
      <c r="FO63" t="s">
        <v>201</v>
      </c>
      <c r="FP63" t="s">
        <v>201</v>
      </c>
      <c r="FQ63" t="s">
        <v>201</v>
      </c>
      <c r="FR63" t="s">
        <v>201</v>
      </c>
      <c r="FS63" t="s">
        <v>201</v>
      </c>
      <c r="FT63" t="s">
        <v>199</v>
      </c>
      <c r="FU63" t="s">
        <v>201</v>
      </c>
      <c r="FV63" s="47" t="s">
        <v>333</v>
      </c>
      <c r="FW63" t="s">
        <v>406</v>
      </c>
      <c r="FX63" t="s">
        <v>201</v>
      </c>
      <c r="FY63" t="s">
        <v>248</v>
      </c>
    </row>
    <row r="64" spans="1:181" x14ac:dyDescent="0.15">
      <c r="A64" s="3" t="s">
        <v>258</v>
      </c>
      <c r="B64" s="3" t="s">
        <v>193</v>
      </c>
      <c r="C64">
        <v>2017</v>
      </c>
      <c r="D64" s="22" t="str">
        <f t="shared" si="1"/>
        <v>10.1016/j.epsl.2017.03.016</v>
      </c>
      <c r="E64" s="22">
        <f t="shared" si="2"/>
        <v>1264.1500000000001</v>
      </c>
      <c r="F64" s="22" t="str">
        <f t="shared" si="3"/>
        <v>NA</v>
      </c>
      <c r="G64" s="22" t="str">
        <f t="shared" si="4"/>
        <v>NA</v>
      </c>
      <c r="H64" s="22">
        <f t="shared" si="5"/>
        <v>341.17074766863925</v>
      </c>
      <c r="I64" s="36">
        <f t="shared" si="6"/>
        <v>25.587806075147942</v>
      </c>
      <c r="J64" s="36">
        <f t="shared" si="7"/>
        <v>25.587806075147942</v>
      </c>
      <c r="K64" s="2" t="s">
        <v>251</v>
      </c>
      <c r="L64" s="2" t="s">
        <v>252</v>
      </c>
      <c r="M64" s="2" t="s">
        <v>194</v>
      </c>
      <c r="N64" s="2" t="s">
        <v>192</v>
      </c>
      <c r="O64">
        <v>806</v>
      </c>
      <c r="P64" s="1" t="s">
        <v>189</v>
      </c>
      <c r="Q64" t="s">
        <v>201</v>
      </c>
      <c r="R64" t="s">
        <v>201</v>
      </c>
      <c r="S64" t="s">
        <v>201</v>
      </c>
      <c r="T64" t="s">
        <v>201</v>
      </c>
      <c r="U64" t="s">
        <v>201</v>
      </c>
      <c r="V64" t="s">
        <v>201</v>
      </c>
      <c r="W64" t="s">
        <v>201</v>
      </c>
      <c r="X64" t="s">
        <v>201</v>
      </c>
      <c r="Y64" t="s">
        <v>201</v>
      </c>
      <c r="Z64" s="10">
        <v>26.75</v>
      </c>
      <c r="AA64" s="2" t="s">
        <v>207</v>
      </c>
      <c r="AB64">
        <v>1264.1500000000001</v>
      </c>
      <c r="AC64" t="s">
        <v>201</v>
      </c>
      <c r="AD64" t="s">
        <v>201</v>
      </c>
      <c r="AE64" t="s">
        <v>201</v>
      </c>
      <c r="AF64" s="1" t="s">
        <v>177</v>
      </c>
      <c r="AG64" s="1" t="s">
        <v>179</v>
      </c>
      <c r="AH64" s="13">
        <v>0.31850000000000001</v>
      </c>
      <c r="AI64" s="10">
        <v>159.36150000000001</v>
      </c>
      <c r="AJ64" s="35">
        <v>-2520</v>
      </c>
      <c r="AK64" t="s">
        <v>201</v>
      </c>
      <c r="AL64" t="s">
        <v>201</v>
      </c>
      <c r="AM64" t="s">
        <v>201</v>
      </c>
      <c r="AN64" t="s">
        <v>201</v>
      </c>
      <c r="AO64" s="1" t="s">
        <v>180</v>
      </c>
      <c r="AP64" t="s">
        <v>201</v>
      </c>
      <c r="AQ64" t="s">
        <v>201</v>
      </c>
      <c r="AR64" t="s">
        <v>201</v>
      </c>
      <c r="AS64" t="s">
        <v>201</v>
      </c>
      <c r="AT64" t="s">
        <v>201</v>
      </c>
      <c r="AU64" t="s">
        <v>201</v>
      </c>
      <c r="AV64" t="s">
        <v>201</v>
      </c>
      <c r="AW64" t="s">
        <v>201</v>
      </c>
      <c r="AX64">
        <v>1.9789999999999999</v>
      </c>
      <c r="AY64">
        <v>0.13</v>
      </c>
      <c r="AZ64" t="s">
        <v>203</v>
      </c>
      <c r="BA64" t="s">
        <v>201</v>
      </c>
      <c r="BB64">
        <v>-1.256</v>
      </c>
      <c r="BC64">
        <v>0.24</v>
      </c>
      <c r="BD64" t="s">
        <v>203</v>
      </c>
      <c r="BE64" t="s">
        <v>201</v>
      </c>
      <c r="BF64" s="1" t="s">
        <v>181</v>
      </c>
      <c r="BG64" s="1" t="s">
        <v>182</v>
      </c>
      <c r="BH64">
        <v>0</v>
      </c>
      <c r="BI64" t="s">
        <v>201</v>
      </c>
      <c r="BJ64" t="s">
        <v>201</v>
      </c>
      <c r="BK64" t="s">
        <v>201</v>
      </c>
      <c r="BL64" t="s">
        <v>201</v>
      </c>
      <c r="BM64" t="s">
        <v>201</v>
      </c>
      <c r="BN64" t="s">
        <v>201</v>
      </c>
      <c r="BO64" t="s">
        <v>201</v>
      </c>
      <c r="BP64" t="s">
        <v>201</v>
      </c>
      <c r="BQ64" t="s">
        <v>201</v>
      </c>
      <c r="BR64" t="s">
        <v>201</v>
      </c>
      <c r="BS64" s="1" t="s">
        <v>183</v>
      </c>
      <c r="BT64">
        <v>-24.972999999999999</v>
      </c>
      <c r="BU64" s="1" t="s">
        <v>184</v>
      </c>
      <c r="BV64">
        <v>0.3</v>
      </c>
      <c r="BW64" t="s">
        <v>201</v>
      </c>
      <c r="BX64" t="s">
        <v>202</v>
      </c>
      <c r="BY64">
        <v>4.2</v>
      </c>
      <c r="BZ64" s="4" t="s">
        <v>201</v>
      </c>
      <c r="CA64" s="4" t="s">
        <v>201</v>
      </c>
      <c r="CB64">
        <v>-20.877886600000011</v>
      </c>
      <c r="CC64" t="s">
        <v>201</v>
      </c>
      <c r="CD64" t="s">
        <v>201</v>
      </c>
      <c r="CE64" t="s">
        <v>201</v>
      </c>
      <c r="CF64" t="s">
        <v>201</v>
      </c>
      <c r="CG64">
        <v>35</v>
      </c>
      <c r="CH64">
        <v>1</v>
      </c>
      <c r="CI64" t="s">
        <v>204</v>
      </c>
      <c r="CJ64" s="1" t="s">
        <v>185</v>
      </c>
      <c r="CK64">
        <v>0.16</v>
      </c>
      <c r="CL64">
        <v>0.1</v>
      </c>
      <c r="CM64">
        <v>0.1</v>
      </c>
      <c r="CN64" t="s">
        <v>204</v>
      </c>
      <c r="CO64" s="1" t="s">
        <v>186</v>
      </c>
      <c r="CP64" t="s">
        <v>201</v>
      </c>
      <c r="CQ64" t="s">
        <v>201</v>
      </c>
      <c r="CR64">
        <f t="shared" si="10"/>
        <v>26.013285010511378</v>
      </c>
      <c r="CS64" t="s">
        <v>201</v>
      </c>
      <c r="CT64" t="s">
        <v>201</v>
      </c>
      <c r="CU64" t="s">
        <v>201</v>
      </c>
      <c r="CV64" t="s">
        <v>211</v>
      </c>
      <c r="CW64">
        <v>0.98976291981107578</v>
      </c>
      <c r="CX64" t="s">
        <v>201</v>
      </c>
      <c r="CY64">
        <v>28.236156992275703</v>
      </c>
      <c r="CZ64" t="s">
        <v>201</v>
      </c>
      <c r="DA64" t="s">
        <v>201</v>
      </c>
      <c r="DB64" t="s">
        <v>201</v>
      </c>
      <c r="DC64" s="1" t="s">
        <v>190</v>
      </c>
      <c r="DD64" t="s">
        <v>205</v>
      </c>
      <c r="DE64" t="s">
        <v>201</v>
      </c>
      <c r="DF64" t="s">
        <v>201</v>
      </c>
      <c r="DG64" t="s">
        <v>201</v>
      </c>
      <c r="DH64" t="s">
        <v>201</v>
      </c>
      <c r="DI64">
        <v>23.790413028747054</v>
      </c>
      <c r="DJ64" t="s">
        <v>201</v>
      </c>
      <c r="DK64" t="s">
        <v>201</v>
      </c>
      <c r="DL64" t="s">
        <v>201</v>
      </c>
      <c r="DM64" t="s">
        <v>206</v>
      </c>
      <c r="DN64" t="s">
        <v>201</v>
      </c>
      <c r="DO64" t="s">
        <v>201</v>
      </c>
      <c r="DP64" t="s">
        <v>201</v>
      </c>
      <c r="DQ64" t="s">
        <v>201</v>
      </c>
      <c r="DR64" t="s">
        <v>201</v>
      </c>
      <c r="DS64" t="s">
        <v>201</v>
      </c>
      <c r="DT64" t="s">
        <v>201</v>
      </c>
      <c r="DU64" t="s">
        <v>201</v>
      </c>
      <c r="DV64" t="s">
        <v>201</v>
      </c>
      <c r="DW64" t="s">
        <v>201</v>
      </c>
      <c r="DX64" t="s">
        <v>201</v>
      </c>
      <c r="DY64" t="s">
        <v>201</v>
      </c>
      <c r="DZ64" s="3" t="s">
        <v>201</v>
      </c>
      <c r="EA64" s="3" t="s">
        <v>201</v>
      </c>
      <c r="EB64" t="s">
        <v>201</v>
      </c>
      <c r="EC64" t="s">
        <v>201</v>
      </c>
      <c r="ED64" t="s">
        <v>201</v>
      </c>
      <c r="EE64" t="s">
        <v>201</v>
      </c>
      <c r="EF64" t="s">
        <v>201</v>
      </c>
      <c r="EG64" t="s">
        <v>201</v>
      </c>
      <c r="EH64" t="s">
        <v>201</v>
      </c>
      <c r="EI64" t="s">
        <v>201</v>
      </c>
      <c r="EJ64" t="s">
        <v>201</v>
      </c>
      <c r="EK64" t="s">
        <v>201</v>
      </c>
      <c r="EL64" t="s">
        <v>201</v>
      </c>
      <c r="EM64" t="s">
        <v>201</v>
      </c>
      <c r="EN64" t="s">
        <v>201</v>
      </c>
      <c r="EO64" t="s">
        <v>201</v>
      </c>
      <c r="EP64" t="s">
        <v>201</v>
      </c>
      <c r="EQ64" t="s">
        <v>201</v>
      </c>
      <c r="ER64">
        <v>103.03319999999999</v>
      </c>
      <c r="ES64" t="s">
        <v>201</v>
      </c>
      <c r="ET64" t="s">
        <v>201</v>
      </c>
      <c r="EU64" t="s">
        <v>201</v>
      </c>
      <c r="EV64" s="1" t="s">
        <v>188</v>
      </c>
      <c r="EW64">
        <v>25</v>
      </c>
      <c r="EX64">
        <v>13.486033892752491</v>
      </c>
      <c r="EY64">
        <v>0.55458373677419459</v>
      </c>
      <c r="EZ64">
        <v>0.55458373677419459</v>
      </c>
      <c r="FA64" t="s">
        <v>201</v>
      </c>
      <c r="FB64" s="1" t="s">
        <v>250</v>
      </c>
      <c r="FC64" t="s">
        <v>201</v>
      </c>
      <c r="FD64" t="s">
        <v>201</v>
      </c>
      <c r="FE64" t="s">
        <v>201</v>
      </c>
      <c r="FF64" t="s">
        <v>201</v>
      </c>
      <c r="FG64" t="s">
        <v>217</v>
      </c>
      <c r="FH64">
        <v>341.17074766863925</v>
      </c>
      <c r="FI64">
        <f t="shared" si="8"/>
        <v>25.587806075147942</v>
      </c>
      <c r="FJ64">
        <f t="shared" si="9"/>
        <v>25.587806075147942</v>
      </c>
      <c r="FK64" t="s">
        <v>203</v>
      </c>
      <c r="FL64" t="s">
        <v>216</v>
      </c>
      <c r="FM64" t="s">
        <v>249</v>
      </c>
      <c r="FN64" t="s">
        <v>201</v>
      </c>
      <c r="FO64" t="s">
        <v>201</v>
      </c>
      <c r="FP64" t="s">
        <v>201</v>
      </c>
      <c r="FQ64" t="s">
        <v>201</v>
      </c>
      <c r="FR64" t="s">
        <v>201</v>
      </c>
      <c r="FS64" t="s">
        <v>201</v>
      </c>
      <c r="FT64" t="s">
        <v>199</v>
      </c>
      <c r="FU64" t="s">
        <v>201</v>
      </c>
      <c r="FV64" s="47" t="s">
        <v>334</v>
      </c>
      <c r="FW64" t="s">
        <v>407</v>
      </c>
      <c r="FX64" t="s">
        <v>201</v>
      </c>
      <c r="FY64" t="s">
        <v>248</v>
      </c>
    </row>
    <row r="65" spans="1:181" x14ac:dyDescent="0.15">
      <c r="A65" s="3" t="s">
        <v>258</v>
      </c>
      <c r="B65" s="3" t="s">
        <v>193</v>
      </c>
      <c r="C65">
        <v>2017</v>
      </c>
      <c r="D65" s="22" t="str">
        <f t="shared" si="1"/>
        <v>10.1016/j.epsl.2017.03.016</v>
      </c>
      <c r="E65" s="22">
        <f t="shared" si="2"/>
        <v>1317.79</v>
      </c>
      <c r="F65" s="22" t="str">
        <f t="shared" si="3"/>
        <v>NA</v>
      </c>
      <c r="G65" s="22" t="str">
        <f t="shared" si="4"/>
        <v>NA</v>
      </c>
      <c r="H65" s="22">
        <f t="shared" si="5"/>
        <v>325.45890614150323</v>
      </c>
      <c r="I65" s="36">
        <f t="shared" si="6"/>
        <v>24.409417960612743</v>
      </c>
      <c r="J65" s="36">
        <f t="shared" si="7"/>
        <v>24.409417960612743</v>
      </c>
      <c r="K65" s="2" t="s">
        <v>251</v>
      </c>
      <c r="L65" s="2" t="s">
        <v>252</v>
      </c>
      <c r="M65" s="2" t="s">
        <v>194</v>
      </c>
      <c r="N65" s="2" t="s">
        <v>192</v>
      </c>
      <c r="O65">
        <v>806</v>
      </c>
      <c r="P65" s="1" t="s">
        <v>189</v>
      </c>
      <c r="Q65" t="s">
        <v>201</v>
      </c>
      <c r="R65" t="s">
        <v>201</v>
      </c>
      <c r="S65" t="s">
        <v>201</v>
      </c>
      <c r="T65" t="s">
        <v>201</v>
      </c>
      <c r="U65" t="s">
        <v>201</v>
      </c>
      <c r="V65" t="s">
        <v>201</v>
      </c>
      <c r="W65" t="s">
        <v>201</v>
      </c>
      <c r="X65" t="s">
        <v>201</v>
      </c>
      <c r="Y65" t="s">
        <v>201</v>
      </c>
      <c r="Z65" s="10">
        <v>27.95</v>
      </c>
      <c r="AA65" s="2" t="s">
        <v>207</v>
      </c>
      <c r="AB65">
        <v>1317.79</v>
      </c>
      <c r="AC65" t="s">
        <v>201</v>
      </c>
      <c r="AD65" t="s">
        <v>201</v>
      </c>
      <c r="AE65" t="s">
        <v>201</v>
      </c>
      <c r="AF65" s="1" t="s">
        <v>177</v>
      </c>
      <c r="AG65" s="1" t="s">
        <v>179</v>
      </c>
      <c r="AH65" s="13">
        <v>0.31850000000000001</v>
      </c>
      <c r="AI65" s="10">
        <v>159.36150000000001</v>
      </c>
      <c r="AJ65" s="35">
        <v>-2520</v>
      </c>
      <c r="AK65" t="s">
        <v>201</v>
      </c>
      <c r="AL65" t="s">
        <v>201</v>
      </c>
      <c r="AM65" t="s">
        <v>201</v>
      </c>
      <c r="AN65" t="s">
        <v>201</v>
      </c>
      <c r="AO65" s="1" t="s">
        <v>180</v>
      </c>
      <c r="AP65" t="s">
        <v>201</v>
      </c>
      <c r="AQ65" t="s">
        <v>201</v>
      </c>
      <c r="AR65" t="s">
        <v>201</v>
      </c>
      <c r="AS65" t="s">
        <v>201</v>
      </c>
      <c r="AT65" t="s">
        <v>201</v>
      </c>
      <c r="AU65" t="s">
        <v>201</v>
      </c>
      <c r="AV65" t="s">
        <v>201</v>
      </c>
      <c r="AW65" t="s">
        <v>201</v>
      </c>
      <c r="AX65">
        <v>1.6829999999999998</v>
      </c>
      <c r="AY65">
        <v>0.13</v>
      </c>
      <c r="AZ65" t="s">
        <v>203</v>
      </c>
      <c r="BA65" t="s">
        <v>201</v>
      </c>
      <c r="BB65">
        <v>-1.302</v>
      </c>
      <c r="BC65">
        <v>0.24</v>
      </c>
      <c r="BD65" t="s">
        <v>203</v>
      </c>
      <c r="BE65" t="s">
        <v>201</v>
      </c>
      <c r="BF65" s="1" t="s">
        <v>181</v>
      </c>
      <c r="BG65" s="1" t="s">
        <v>182</v>
      </c>
      <c r="BH65">
        <v>0</v>
      </c>
      <c r="BI65" t="s">
        <v>201</v>
      </c>
      <c r="BJ65" t="s">
        <v>201</v>
      </c>
      <c r="BK65" t="s">
        <v>201</v>
      </c>
      <c r="BL65" t="s">
        <v>201</v>
      </c>
      <c r="BM65" t="s">
        <v>201</v>
      </c>
      <c r="BN65" t="s">
        <v>201</v>
      </c>
      <c r="BO65" t="s">
        <v>201</v>
      </c>
      <c r="BP65" t="s">
        <v>201</v>
      </c>
      <c r="BQ65" t="s">
        <v>201</v>
      </c>
      <c r="BR65" t="s">
        <v>201</v>
      </c>
      <c r="BS65" s="1" t="s">
        <v>183</v>
      </c>
      <c r="BT65">
        <v>-24.89</v>
      </c>
      <c r="BU65" s="1" t="s">
        <v>184</v>
      </c>
      <c r="BV65">
        <v>0.3</v>
      </c>
      <c r="BW65" t="s">
        <v>201</v>
      </c>
      <c r="BX65" t="s">
        <v>202</v>
      </c>
      <c r="BY65">
        <v>4.2</v>
      </c>
      <c r="BZ65" s="4" t="s">
        <v>201</v>
      </c>
      <c r="CA65" s="4" t="s">
        <v>201</v>
      </c>
      <c r="CB65">
        <v>-20.794537999999989</v>
      </c>
      <c r="CC65" t="s">
        <v>201</v>
      </c>
      <c r="CD65" t="s">
        <v>201</v>
      </c>
      <c r="CE65" t="s">
        <v>201</v>
      </c>
      <c r="CF65" t="s">
        <v>201</v>
      </c>
      <c r="CG65">
        <v>35</v>
      </c>
      <c r="CH65">
        <v>1</v>
      </c>
      <c r="CI65" t="s">
        <v>204</v>
      </c>
      <c r="CJ65" s="1" t="s">
        <v>185</v>
      </c>
      <c r="CK65">
        <v>0.16</v>
      </c>
      <c r="CL65">
        <v>0.1</v>
      </c>
      <c r="CM65">
        <v>0.1</v>
      </c>
      <c r="CN65" t="s">
        <v>204</v>
      </c>
      <c r="CO65" s="1" t="s">
        <v>186</v>
      </c>
      <c r="CP65" t="s">
        <v>201</v>
      </c>
      <c r="CQ65" t="s">
        <v>201</v>
      </c>
      <c r="CR65">
        <f t="shared" si="10"/>
        <v>27.098423888749259</v>
      </c>
      <c r="CS65" t="s">
        <v>201</v>
      </c>
      <c r="CT65" t="s">
        <v>201</v>
      </c>
      <c r="CU65" t="s">
        <v>201</v>
      </c>
      <c r="CV65" t="s">
        <v>211</v>
      </c>
      <c r="CW65">
        <v>0.92493897354875698</v>
      </c>
      <c r="CX65" t="s">
        <v>201</v>
      </c>
      <c r="CY65">
        <v>26.299476773742665</v>
      </c>
      <c r="CZ65" t="s">
        <v>201</v>
      </c>
      <c r="DA65" t="s">
        <v>201</v>
      </c>
      <c r="DB65" t="s">
        <v>201</v>
      </c>
      <c r="DC65" s="1" t="s">
        <v>190</v>
      </c>
      <c r="DD65" t="s">
        <v>205</v>
      </c>
      <c r="DE65" t="s">
        <v>201</v>
      </c>
      <c r="DF65" t="s">
        <v>201</v>
      </c>
      <c r="DG65" t="s">
        <v>201</v>
      </c>
      <c r="DH65" t="s">
        <v>201</v>
      </c>
      <c r="DI65">
        <v>27.897371003755858</v>
      </c>
      <c r="DJ65" t="s">
        <v>201</v>
      </c>
      <c r="DK65" t="s">
        <v>201</v>
      </c>
      <c r="DL65" t="s">
        <v>201</v>
      </c>
      <c r="DM65" t="s">
        <v>206</v>
      </c>
      <c r="DN65" t="s">
        <v>201</v>
      </c>
      <c r="DO65" t="s">
        <v>201</v>
      </c>
      <c r="DP65" t="s">
        <v>201</v>
      </c>
      <c r="DQ65" t="s">
        <v>201</v>
      </c>
      <c r="DR65" t="s">
        <v>201</v>
      </c>
      <c r="DS65" t="s">
        <v>201</v>
      </c>
      <c r="DT65" t="s">
        <v>201</v>
      </c>
      <c r="DU65" t="s">
        <v>201</v>
      </c>
      <c r="DV65" t="s">
        <v>201</v>
      </c>
      <c r="DW65" t="s">
        <v>201</v>
      </c>
      <c r="DX65" t="s">
        <v>201</v>
      </c>
      <c r="DY65" t="s">
        <v>201</v>
      </c>
      <c r="DZ65" s="3" t="s">
        <v>201</v>
      </c>
      <c r="EA65" s="3" t="s">
        <v>201</v>
      </c>
      <c r="EB65" t="s">
        <v>201</v>
      </c>
      <c r="EC65" t="s">
        <v>201</v>
      </c>
      <c r="ED65" t="s">
        <v>201</v>
      </c>
      <c r="EE65" t="s">
        <v>201</v>
      </c>
      <c r="EF65" t="s">
        <v>201</v>
      </c>
      <c r="EG65" t="s">
        <v>201</v>
      </c>
      <c r="EH65" t="s">
        <v>201</v>
      </c>
      <c r="EI65" t="s">
        <v>201</v>
      </c>
      <c r="EJ65" t="s">
        <v>201</v>
      </c>
      <c r="EK65" t="s">
        <v>201</v>
      </c>
      <c r="EL65" t="s">
        <v>201</v>
      </c>
      <c r="EM65" t="s">
        <v>201</v>
      </c>
      <c r="EN65" t="s">
        <v>201</v>
      </c>
      <c r="EO65" t="s">
        <v>201</v>
      </c>
      <c r="EP65" t="s">
        <v>201</v>
      </c>
      <c r="EQ65" t="s">
        <v>201</v>
      </c>
      <c r="ER65">
        <v>103.03319999999999</v>
      </c>
      <c r="ES65" t="s">
        <v>201</v>
      </c>
      <c r="ET65" t="s">
        <v>201</v>
      </c>
      <c r="EU65" t="s">
        <v>201</v>
      </c>
      <c r="EV65" s="1" t="s">
        <v>188</v>
      </c>
      <c r="EW65">
        <v>25</v>
      </c>
      <c r="EX65">
        <v>13.027167292574804</v>
      </c>
      <c r="EY65">
        <v>0.19924955640759912</v>
      </c>
      <c r="EZ65">
        <v>0.19924955640759912</v>
      </c>
      <c r="FA65" t="s">
        <v>201</v>
      </c>
      <c r="FB65" s="1" t="s">
        <v>250</v>
      </c>
      <c r="FC65" t="s">
        <v>201</v>
      </c>
      <c r="FD65" t="s">
        <v>201</v>
      </c>
      <c r="FE65" t="s">
        <v>201</v>
      </c>
      <c r="FF65" t="s">
        <v>201</v>
      </c>
      <c r="FG65" t="s">
        <v>217</v>
      </c>
      <c r="FH65">
        <v>325.45890614150323</v>
      </c>
      <c r="FI65">
        <f t="shared" si="8"/>
        <v>24.409417960612743</v>
      </c>
      <c r="FJ65">
        <f t="shared" si="9"/>
        <v>24.409417960612743</v>
      </c>
      <c r="FK65" t="s">
        <v>203</v>
      </c>
      <c r="FL65" t="s">
        <v>216</v>
      </c>
      <c r="FM65" t="s">
        <v>249</v>
      </c>
      <c r="FN65" t="s">
        <v>201</v>
      </c>
      <c r="FO65" t="s">
        <v>201</v>
      </c>
      <c r="FP65" t="s">
        <v>201</v>
      </c>
      <c r="FQ65" t="s">
        <v>201</v>
      </c>
      <c r="FR65" t="s">
        <v>201</v>
      </c>
      <c r="FS65" t="s">
        <v>201</v>
      </c>
      <c r="FT65" t="s">
        <v>199</v>
      </c>
      <c r="FU65" t="s">
        <v>201</v>
      </c>
      <c r="FV65" s="47" t="s">
        <v>335</v>
      </c>
      <c r="FW65" t="s">
        <v>408</v>
      </c>
      <c r="FX65" t="s">
        <v>201</v>
      </c>
      <c r="FY65" t="s">
        <v>248</v>
      </c>
    </row>
    <row r="66" spans="1:181" x14ac:dyDescent="0.15">
      <c r="A66" s="3" t="s">
        <v>258</v>
      </c>
      <c r="B66" s="3" t="s">
        <v>193</v>
      </c>
      <c r="C66">
        <v>2017</v>
      </c>
      <c r="D66" s="22" t="str">
        <f t="shared" si="1"/>
        <v>10.1016/j.epsl.2017.03.016</v>
      </c>
      <c r="E66" s="22">
        <f t="shared" si="2"/>
        <v>1655.28</v>
      </c>
      <c r="F66" s="22" t="str">
        <f t="shared" si="3"/>
        <v>NA</v>
      </c>
      <c r="G66" s="22" t="str">
        <f t="shared" si="4"/>
        <v>NA</v>
      </c>
      <c r="H66" s="22">
        <f t="shared" si="5"/>
        <v>315.92328645002937</v>
      </c>
      <c r="I66" s="36">
        <f t="shared" si="6"/>
        <v>23.694246483752202</v>
      </c>
      <c r="J66" s="36">
        <f t="shared" si="7"/>
        <v>23.694246483752202</v>
      </c>
      <c r="K66" s="2" t="s">
        <v>251</v>
      </c>
      <c r="L66" s="2" t="s">
        <v>252</v>
      </c>
      <c r="M66" s="2" t="s">
        <v>194</v>
      </c>
      <c r="N66" s="2" t="s">
        <v>192</v>
      </c>
      <c r="O66">
        <v>806</v>
      </c>
      <c r="P66" s="1" t="s">
        <v>189</v>
      </c>
      <c r="Q66" t="s">
        <v>201</v>
      </c>
      <c r="R66" t="s">
        <v>201</v>
      </c>
      <c r="S66" t="s">
        <v>201</v>
      </c>
      <c r="T66" t="s">
        <v>201</v>
      </c>
      <c r="U66" t="s">
        <v>201</v>
      </c>
      <c r="V66" t="s">
        <v>201</v>
      </c>
      <c r="W66" t="s">
        <v>201</v>
      </c>
      <c r="X66" t="s">
        <v>201</v>
      </c>
      <c r="Y66" t="s">
        <v>201</v>
      </c>
      <c r="Z66" s="10">
        <v>31.5</v>
      </c>
      <c r="AA66" s="2" t="s">
        <v>207</v>
      </c>
      <c r="AB66">
        <v>1655.28</v>
      </c>
      <c r="AC66" t="s">
        <v>201</v>
      </c>
      <c r="AD66" t="s">
        <v>201</v>
      </c>
      <c r="AE66" t="s">
        <v>201</v>
      </c>
      <c r="AF66" s="1" t="s">
        <v>177</v>
      </c>
      <c r="AG66" s="1" t="s">
        <v>179</v>
      </c>
      <c r="AH66" s="13">
        <v>0.31850000000000001</v>
      </c>
      <c r="AI66" s="10">
        <v>159.36150000000001</v>
      </c>
      <c r="AJ66" s="35">
        <v>-2520</v>
      </c>
      <c r="AK66" t="s">
        <v>201</v>
      </c>
      <c r="AL66" t="s">
        <v>201</v>
      </c>
      <c r="AM66" t="s">
        <v>201</v>
      </c>
      <c r="AN66" t="s">
        <v>201</v>
      </c>
      <c r="AO66" s="1" t="s">
        <v>180</v>
      </c>
      <c r="AP66" t="s">
        <v>201</v>
      </c>
      <c r="AQ66" t="s">
        <v>201</v>
      </c>
      <c r="AR66" t="s">
        <v>201</v>
      </c>
      <c r="AS66" t="s">
        <v>201</v>
      </c>
      <c r="AT66" t="s">
        <v>201</v>
      </c>
      <c r="AU66" t="s">
        <v>201</v>
      </c>
      <c r="AV66" t="s">
        <v>201</v>
      </c>
      <c r="AW66" t="s">
        <v>201</v>
      </c>
      <c r="AX66">
        <v>1.93</v>
      </c>
      <c r="AY66">
        <v>0.13</v>
      </c>
      <c r="AZ66" t="s">
        <v>203</v>
      </c>
      <c r="BA66" t="s">
        <v>201</v>
      </c>
      <c r="BB66">
        <v>-1.3920000000000001</v>
      </c>
      <c r="BC66">
        <v>0.24</v>
      </c>
      <c r="BD66" t="s">
        <v>203</v>
      </c>
      <c r="BE66" t="s">
        <v>201</v>
      </c>
      <c r="BF66" s="1" t="s">
        <v>181</v>
      </c>
      <c r="BG66" s="1" t="s">
        <v>182</v>
      </c>
      <c r="BH66">
        <v>0</v>
      </c>
      <c r="BI66" t="s">
        <v>201</v>
      </c>
      <c r="BJ66" t="s">
        <v>201</v>
      </c>
      <c r="BK66" t="s">
        <v>201</v>
      </c>
      <c r="BL66" t="s">
        <v>201</v>
      </c>
      <c r="BM66" t="s">
        <v>201</v>
      </c>
      <c r="BN66" t="s">
        <v>201</v>
      </c>
      <c r="BO66" t="s">
        <v>201</v>
      </c>
      <c r="BP66" t="s">
        <v>201</v>
      </c>
      <c r="BQ66" t="s">
        <v>201</v>
      </c>
      <c r="BR66" t="s">
        <v>201</v>
      </c>
      <c r="BS66" s="1" t="s">
        <v>183</v>
      </c>
      <c r="BT66">
        <v>-24.98</v>
      </c>
      <c r="BU66" s="1" t="s">
        <v>184</v>
      </c>
      <c r="BV66">
        <v>0.3</v>
      </c>
      <c r="BW66" t="s">
        <v>201</v>
      </c>
      <c r="BX66" t="s">
        <v>202</v>
      </c>
      <c r="BY66">
        <v>4.2</v>
      </c>
      <c r="BZ66" s="4" t="s">
        <v>201</v>
      </c>
      <c r="CA66" s="4" t="s">
        <v>201</v>
      </c>
      <c r="CB66">
        <v>-20.884916000000089</v>
      </c>
      <c r="CC66" t="s">
        <v>201</v>
      </c>
      <c r="CD66" t="s">
        <v>201</v>
      </c>
      <c r="CE66" t="s">
        <v>201</v>
      </c>
      <c r="CF66" t="s">
        <v>201</v>
      </c>
      <c r="CG66">
        <v>35</v>
      </c>
      <c r="CH66">
        <v>1</v>
      </c>
      <c r="CI66" t="s">
        <v>204</v>
      </c>
      <c r="CJ66" s="1" t="s">
        <v>185</v>
      </c>
      <c r="CK66">
        <v>0.16</v>
      </c>
      <c r="CL66">
        <v>0.1</v>
      </c>
      <c r="CM66">
        <v>0.1</v>
      </c>
      <c r="CN66" t="s">
        <v>204</v>
      </c>
      <c r="CO66" s="1" t="s">
        <v>186</v>
      </c>
      <c r="CP66" t="s">
        <v>201</v>
      </c>
      <c r="CQ66" t="s">
        <v>201</v>
      </c>
      <c r="CR66">
        <f t="shared" si="10"/>
        <v>25.937572020371157</v>
      </c>
      <c r="CS66" t="s">
        <v>201</v>
      </c>
      <c r="CT66" t="s">
        <v>201</v>
      </c>
      <c r="CU66" t="s">
        <v>201</v>
      </c>
      <c r="CV66" t="s">
        <v>211</v>
      </c>
      <c r="CW66">
        <v>0.91994098912435429</v>
      </c>
      <c r="CX66" t="s">
        <v>201</v>
      </c>
      <c r="CY66">
        <v>26.150156991079211</v>
      </c>
      <c r="CZ66" t="s">
        <v>201</v>
      </c>
      <c r="DA66" t="s">
        <v>201</v>
      </c>
      <c r="DB66" t="s">
        <v>201</v>
      </c>
      <c r="DC66" s="1" t="s">
        <v>190</v>
      </c>
      <c r="DD66" t="s">
        <v>205</v>
      </c>
      <c r="DE66" t="s">
        <v>201</v>
      </c>
      <c r="DF66" t="s">
        <v>201</v>
      </c>
      <c r="DG66" t="s">
        <v>201</v>
      </c>
      <c r="DH66" t="s">
        <v>201</v>
      </c>
      <c r="DI66">
        <v>25.724987049663106</v>
      </c>
      <c r="DJ66" t="s">
        <v>201</v>
      </c>
      <c r="DK66" t="s">
        <v>201</v>
      </c>
      <c r="DL66" t="s">
        <v>201</v>
      </c>
      <c r="DM66" t="s">
        <v>206</v>
      </c>
      <c r="DN66" t="s">
        <v>201</v>
      </c>
      <c r="DO66" t="s">
        <v>201</v>
      </c>
      <c r="DP66" t="s">
        <v>201</v>
      </c>
      <c r="DQ66" t="s">
        <v>201</v>
      </c>
      <c r="DR66" t="s">
        <v>201</v>
      </c>
      <c r="DS66" t="s">
        <v>201</v>
      </c>
      <c r="DT66" t="s">
        <v>201</v>
      </c>
      <c r="DU66" t="s">
        <v>201</v>
      </c>
      <c r="DV66" t="s">
        <v>201</v>
      </c>
      <c r="DW66" t="s">
        <v>201</v>
      </c>
      <c r="DX66" t="s">
        <v>201</v>
      </c>
      <c r="DY66" t="s">
        <v>201</v>
      </c>
      <c r="DZ66" s="3" t="s">
        <v>201</v>
      </c>
      <c r="EA66" s="3" t="s">
        <v>201</v>
      </c>
      <c r="EB66" t="s">
        <v>201</v>
      </c>
      <c r="EC66" t="s">
        <v>201</v>
      </c>
      <c r="ED66" t="s">
        <v>201</v>
      </c>
      <c r="EE66" t="s">
        <v>201</v>
      </c>
      <c r="EF66" t="s">
        <v>201</v>
      </c>
      <c r="EG66" t="s">
        <v>201</v>
      </c>
      <c r="EH66" t="s">
        <v>201</v>
      </c>
      <c r="EI66" t="s">
        <v>201</v>
      </c>
      <c r="EJ66" t="s">
        <v>201</v>
      </c>
      <c r="EK66" t="s">
        <v>201</v>
      </c>
      <c r="EL66" t="s">
        <v>201</v>
      </c>
      <c r="EM66" t="s">
        <v>201</v>
      </c>
      <c r="EN66" t="s">
        <v>201</v>
      </c>
      <c r="EO66" t="s">
        <v>201</v>
      </c>
      <c r="EP66" t="s">
        <v>201</v>
      </c>
      <c r="EQ66" t="s">
        <v>201</v>
      </c>
      <c r="ER66">
        <v>103.03319999999999</v>
      </c>
      <c r="ES66" t="s">
        <v>201</v>
      </c>
      <c r="ET66" t="s">
        <v>201</v>
      </c>
      <c r="EU66" t="s">
        <v>201</v>
      </c>
      <c r="EV66" s="1" t="s">
        <v>188</v>
      </c>
      <c r="EW66">
        <v>25</v>
      </c>
      <c r="EX66">
        <v>13.17840880675103</v>
      </c>
      <c r="EY66">
        <v>5.3035142443924599E-2</v>
      </c>
      <c r="EZ66">
        <v>5.3035142443924599E-2</v>
      </c>
      <c r="FA66" t="s">
        <v>201</v>
      </c>
      <c r="FB66" s="1" t="s">
        <v>250</v>
      </c>
      <c r="FC66" t="s">
        <v>201</v>
      </c>
      <c r="FD66" t="s">
        <v>201</v>
      </c>
      <c r="FE66" t="s">
        <v>201</v>
      </c>
      <c r="FF66" t="s">
        <v>201</v>
      </c>
      <c r="FG66" t="s">
        <v>217</v>
      </c>
      <c r="FH66">
        <v>315.92328645002937</v>
      </c>
      <c r="FI66">
        <f t="shared" si="8"/>
        <v>23.694246483752202</v>
      </c>
      <c r="FJ66">
        <f t="shared" si="9"/>
        <v>23.694246483752202</v>
      </c>
      <c r="FK66" t="s">
        <v>203</v>
      </c>
      <c r="FL66" t="s">
        <v>216</v>
      </c>
      <c r="FM66" t="s">
        <v>249</v>
      </c>
      <c r="FN66" t="s">
        <v>201</v>
      </c>
      <c r="FO66" t="s">
        <v>201</v>
      </c>
      <c r="FP66" t="s">
        <v>201</v>
      </c>
      <c r="FQ66" t="s">
        <v>201</v>
      </c>
      <c r="FR66" t="s">
        <v>201</v>
      </c>
      <c r="FS66" t="s">
        <v>201</v>
      </c>
      <c r="FT66" t="s">
        <v>199</v>
      </c>
      <c r="FU66" t="s">
        <v>201</v>
      </c>
      <c r="FV66" s="47" t="s">
        <v>336</v>
      </c>
      <c r="FW66" t="s">
        <v>409</v>
      </c>
      <c r="FX66" t="s">
        <v>201</v>
      </c>
      <c r="FY66" t="s">
        <v>248</v>
      </c>
    </row>
    <row r="67" spans="1:181" x14ac:dyDescent="0.15">
      <c r="A67" s="3" t="s">
        <v>258</v>
      </c>
      <c r="B67" s="3" t="s">
        <v>193</v>
      </c>
      <c r="C67">
        <v>2017</v>
      </c>
      <c r="D67" s="22" t="str">
        <f t="shared" si="1"/>
        <v>10.1016/j.epsl.2017.03.016</v>
      </c>
      <c r="E67" s="22">
        <f t="shared" si="2"/>
        <v>1749.25</v>
      </c>
      <c r="F67" s="22" t="str">
        <f t="shared" si="3"/>
        <v>NA</v>
      </c>
      <c r="G67" s="22" t="str">
        <f t="shared" si="4"/>
        <v>NA</v>
      </c>
      <c r="H67" s="22">
        <f t="shared" si="5"/>
        <v>325.00382307333666</v>
      </c>
      <c r="I67" s="36">
        <f t="shared" si="6"/>
        <v>24.37528673050025</v>
      </c>
      <c r="J67" s="36">
        <f t="shared" si="7"/>
        <v>24.37528673050025</v>
      </c>
      <c r="K67" s="2" t="s">
        <v>251</v>
      </c>
      <c r="L67" s="2" t="s">
        <v>252</v>
      </c>
      <c r="M67" s="2" t="s">
        <v>194</v>
      </c>
      <c r="N67" s="2" t="s">
        <v>192</v>
      </c>
      <c r="O67">
        <v>806</v>
      </c>
      <c r="P67" s="1" t="s">
        <v>189</v>
      </c>
      <c r="Q67" t="s">
        <v>201</v>
      </c>
      <c r="R67" t="s">
        <v>201</v>
      </c>
      <c r="S67" t="s">
        <v>201</v>
      </c>
      <c r="T67" t="s">
        <v>201</v>
      </c>
      <c r="U67" t="s">
        <v>201</v>
      </c>
      <c r="V67" t="s">
        <v>201</v>
      </c>
      <c r="W67" t="s">
        <v>201</v>
      </c>
      <c r="X67" t="s">
        <v>201</v>
      </c>
      <c r="Y67" t="s">
        <v>201</v>
      </c>
      <c r="Z67" s="10">
        <v>38.68</v>
      </c>
      <c r="AA67" s="2" t="s">
        <v>207</v>
      </c>
      <c r="AB67">
        <v>1749.25</v>
      </c>
      <c r="AC67" t="s">
        <v>201</v>
      </c>
      <c r="AD67" t="s">
        <v>201</v>
      </c>
      <c r="AE67" t="s">
        <v>201</v>
      </c>
      <c r="AF67" s="1" t="s">
        <v>177</v>
      </c>
      <c r="AG67" s="1" t="s">
        <v>179</v>
      </c>
      <c r="AH67" s="13">
        <v>0.31850000000000001</v>
      </c>
      <c r="AI67" s="10">
        <v>159.36150000000001</v>
      </c>
      <c r="AJ67" s="35">
        <v>-2520</v>
      </c>
      <c r="AK67" t="s">
        <v>201</v>
      </c>
      <c r="AL67" t="s">
        <v>201</v>
      </c>
      <c r="AM67" t="s">
        <v>201</v>
      </c>
      <c r="AN67" t="s">
        <v>201</v>
      </c>
      <c r="AO67" s="1" t="s">
        <v>180</v>
      </c>
      <c r="AP67" t="s">
        <v>201</v>
      </c>
      <c r="AQ67" t="s">
        <v>201</v>
      </c>
      <c r="AR67" t="s">
        <v>201</v>
      </c>
      <c r="AS67" t="s">
        <v>201</v>
      </c>
      <c r="AT67" t="s">
        <v>201</v>
      </c>
      <c r="AU67" t="s">
        <v>201</v>
      </c>
      <c r="AV67" t="s">
        <v>201</v>
      </c>
      <c r="AW67" t="s">
        <v>201</v>
      </c>
      <c r="AX67">
        <v>1.569</v>
      </c>
      <c r="AY67">
        <v>0.13</v>
      </c>
      <c r="AZ67" t="s">
        <v>203</v>
      </c>
      <c r="BA67" t="s">
        <v>201</v>
      </c>
      <c r="BB67">
        <v>-0.98399999999999999</v>
      </c>
      <c r="BC67">
        <v>0.24</v>
      </c>
      <c r="BD67" t="s">
        <v>203</v>
      </c>
      <c r="BE67" t="s">
        <v>201</v>
      </c>
      <c r="BF67" s="1" t="s">
        <v>181</v>
      </c>
      <c r="BG67" s="1" t="s">
        <v>182</v>
      </c>
      <c r="BH67">
        <v>0</v>
      </c>
      <c r="BI67" t="s">
        <v>201</v>
      </c>
      <c r="BJ67" t="s">
        <v>201</v>
      </c>
      <c r="BK67" t="s">
        <v>201</v>
      </c>
      <c r="BL67" t="s">
        <v>201</v>
      </c>
      <c r="BM67" t="s">
        <v>201</v>
      </c>
      <c r="BN67" t="s">
        <v>201</v>
      </c>
      <c r="BO67" t="s">
        <v>201</v>
      </c>
      <c r="BP67" t="s">
        <v>201</v>
      </c>
      <c r="BQ67" t="s">
        <v>201</v>
      </c>
      <c r="BR67" t="s">
        <v>201</v>
      </c>
      <c r="BS67" s="1" t="s">
        <v>183</v>
      </c>
      <c r="BT67">
        <v>-24.875999999999998</v>
      </c>
      <c r="BU67" s="1" t="s">
        <v>184</v>
      </c>
      <c r="BV67">
        <v>0.3</v>
      </c>
      <c r="BW67" t="s">
        <v>201</v>
      </c>
      <c r="BX67" t="s">
        <v>202</v>
      </c>
      <c r="BY67">
        <v>4.2</v>
      </c>
      <c r="BZ67" s="4" t="s">
        <v>201</v>
      </c>
      <c r="CA67" s="4" t="s">
        <v>201</v>
      </c>
      <c r="CB67">
        <v>-20.780479199999945</v>
      </c>
      <c r="CC67" t="s">
        <v>201</v>
      </c>
      <c r="CD67" t="s">
        <v>201</v>
      </c>
      <c r="CE67" t="s">
        <v>201</v>
      </c>
      <c r="CF67" t="s">
        <v>201</v>
      </c>
      <c r="CG67">
        <v>35</v>
      </c>
      <c r="CH67">
        <v>1</v>
      </c>
      <c r="CI67" t="s">
        <v>204</v>
      </c>
      <c r="CJ67" s="1" t="s">
        <v>185</v>
      </c>
      <c r="CK67">
        <v>0.16</v>
      </c>
      <c r="CL67">
        <v>0.1</v>
      </c>
      <c r="CM67">
        <v>0.1</v>
      </c>
      <c r="CN67" t="s">
        <v>204</v>
      </c>
      <c r="CO67" s="1" t="s">
        <v>186</v>
      </c>
      <c r="CP67" t="s">
        <v>201</v>
      </c>
      <c r="CQ67" t="s">
        <v>201</v>
      </c>
      <c r="CR67">
        <f t="shared" si="10"/>
        <v>27.970162673285142</v>
      </c>
      <c r="CS67" t="s">
        <v>201</v>
      </c>
      <c r="CT67" t="s">
        <v>201</v>
      </c>
      <c r="CU67" t="s">
        <v>201</v>
      </c>
      <c r="CV67" t="s">
        <v>211</v>
      </c>
      <c r="CW67">
        <v>0.9885955224988231</v>
      </c>
      <c r="CX67" t="s">
        <v>201</v>
      </c>
      <c r="CY67">
        <v>28.20127983017484</v>
      </c>
      <c r="CZ67" t="s">
        <v>201</v>
      </c>
      <c r="DA67" t="s">
        <v>201</v>
      </c>
      <c r="DB67" t="s">
        <v>201</v>
      </c>
      <c r="DC67" s="1" t="s">
        <v>190</v>
      </c>
      <c r="DD67" t="s">
        <v>205</v>
      </c>
      <c r="DE67" t="s">
        <v>201</v>
      </c>
      <c r="DF67" t="s">
        <v>201</v>
      </c>
      <c r="DG67" t="s">
        <v>201</v>
      </c>
      <c r="DH67" t="s">
        <v>201</v>
      </c>
      <c r="DI67">
        <v>27.739045516395443</v>
      </c>
      <c r="DJ67" t="s">
        <v>201</v>
      </c>
      <c r="DK67" t="s">
        <v>201</v>
      </c>
      <c r="DL67" t="s">
        <v>201</v>
      </c>
      <c r="DM67" t="s">
        <v>206</v>
      </c>
      <c r="DN67" t="s">
        <v>201</v>
      </c>
      <c r="DO67" t="s">
        <v>201</v>
      </c>
      <c r="DP67" t="s">
        <v>201</v>
      </c>
      <c r="DQ67" t="s">
        <v>201</v>
      </c>
      <c r="DR67" t="s">
        <v>201</v>
      </c>
      <c r="DS67" t="s">
        <v>201</v>
      </c>
      <c r="DT67" t="s">
        <v>201</v>
      </c>
      <c r="DU67" t="s">
        <v>201</v>
      </c>
      <c r="DV67" t="s">
        <v>201</v>
      </c>
      <c r="DW67" t="s">
        <v>201</v>
      </c>
      <c r="DX67" t="s">
        <v>201</v>
      </c>
      <c r="DY67" t="s">
        <v>201</v>
      </c>
      <c r="DZ67" s="3" t="s">
        <v>201</v>
      </c>
      <c r="EA67" s="3" t="s">
        <v>201</v>
      </c>
      <c r="EB67" t="s">
        <v>201</v>
      </c>
      <c r="EC67" t="s">
        <v>201</v>
      </c>
      <c r="ED67" t="s">
        <v>201</v>
      </c>
      <c r="EE67" t="s">
        <v>201</v>
      </c>
      <c r="EF67" t="s">
        <v>201</v>
      </c>
      <c r="EG67" t="s">
        <v>201</v>
      </c>
      <c r="EH67" t="s">
        <v>201</v>
      </c>
      <c r="EI67" t="s">
        <v>201</v>
      </c>
      <c r="EJ67" t="s">
        <v>201</v>
      </c>
      <c r="EK67" t="s">
        <v>201</v>
      </c>
      <c r="EL67" t="s">
        <v>201</v>
      </c>
      <c r="EM67" t="s">
        <v>201</v>
      </c>
      <c r="EN67" t="s">
        <v>201</v>
      </c>
      <c r="EO67" t="s">
        <v>201</v>
      </c>
      <c r="EP67" t="s">
        <v>201</v>
      </c>
      <c r="EQ67" t="s">
        <v>201</v>
      </c>
      <c r="ER67">
        <v>103.03319999999999</v>
      </c>
      <c r="ES67" t="s">
        <v>201</v>
      </c>
      <c r="ET67" t="s">
        <v>201</v>
      </c>
      <c r="EU67" t="s">
        <v>201</v>
      </c>
      <c r="EV67" s="1" t="s">
        <v>188</v>
      </c>
      <c r="EW67">
        <v>25</v>
      </c>
      <c r="EX67">
        <v>12.923290263721077</v>
      </c>
      <c r="EY67">
        <v>5.7631010458081278E-2</v>
      </c>
      <c r="EZ67">
        <v>5.7631010458081278E-2</v>
      </c>
      <c r="FA67" t="s">
        <v>201</v>
      </c>
      <c r="FB67" s="1" t="s">
        <v>250</v>
      </c>
      <c r="FC67" t="s">
        <v>201</v>
      </c>
      <c r="FD67" t="s">
        <v>201</v>
      </c>
      <c r="FE67" t="s">
        <v>201</v>
      </c>
      <c r="FF67" t="s">
        <v>201</v>
      </c>
      <c r="FG67" t="s">
        <v>217</v>
      </c>
      <c r="FH67">
        <v>325.00382307333666</v>
      </c>
      <c r="FI67">
        <f t="shared" si="8"/>
        <v>24.37528673050025</v>
      </c>
      <c r="FJ67">
        <f t="shared" si="9"/>
        <v>24.37528673050025</v>
      </c>
      <c r="FK67" t="s">
        <v>203</v>
      </c>
      <c r="FL67" t="s">
        <v>216</v>
      </c>
      <c r="FM67" t="s">
        <v>249</v>
      </c>
      <c r="FN67" t="s">
        <v>201</v>
      </c>
      <c r="FO67" t="s">
        <v>201</v>
      </c>
      <c r="FP67" t="s">
        <v>201</v>
      </c>
      <c r="FQ67" t="s">
        <v>201</v>
      </c>
      <c r="FR67" t="s">
        <v>201</v>
      </c>
      <c r="FS67" t="s">
        <v>201</v>
      </c>
      <c r="FT67" t="s">
        <v>199</v>
      </c>
      <c r="FU67" t="s">
        <v>201</v>
      </c>
      <c r="FV67" s="47" t="s">
        <v>337</v>
      </c>
      <c r="FW67" t="s">
        <v>410</v>
      </c>
      <c r="FX67" t="s">
        <v>201</v>
      </c>
      <c r="FY67" t="s">
        <v>248</v>
      </c>
    </row>
    <row r="68" spans="1:181" x14ac:dyDescent="0.15">
      <c r="A68" s="3" t="s">
        <v>258</v>
      </c>
      <c r="B68" s="3" t="s">
        <v>193</v>
      </c>
      <c r="C68">
        <v>2017</v>
      </c>
      <c r="D68" s="22" t="str">
        <f t="shared" si="1"/>
        <v>10.1016/j.epsl.2017.03.016</v>
      </c>
      <c r="E68" s="22">
        <f t="shared" si="2"/>
        <v>1800.35</v>
      </c>
      <c r="F68" s="22" t="str">
        <f t="shared" si="3"/>
        <v>NA</v>
      </c>
      <c r="G68" s="22" t="str">
        <f t="shared" si="4"/>
        <v>NA</v>
      </c>
      <c r="H68" s="22">
        <f t="shared" si="5"/>
        <v>316.59903963996163</v>
      </c>
      <c r="I68" s="36">
        <f t="shared" si="6"/>
        <v>23.744927972997122</v>
      </c>
      <c r="J68" s="36">
        <f t="shared" si="7"/>
        <v>23.744927972997122</v>
      </c>
      <c r="K68" s="2" t="s">
        <v>251</v>
      </c>
      <c r="L68" s="2" t="s">
        <v>252</v>
      </c>
      <c r="M68" s="2" t="s">
        <v>194</v>
      </c>
      <c r="N68" s="2" t="s">
        <v>192</v>
      </c>
      <c r="O68">
        <v>806</v>
      </c>
      <c r="P68" s="1" t="s">
        <v>189</v>
      </c>
      <c r="Q68" t="s">
        <v>201</v>
      </c>
      <c r="R68" t="s">
        <v>201</v>
      </c>
      <c r="S68" t="s">
        <v>201</v>
      </c>
      <c r="T68" t="s">
        <v>201</v>
      </c>
      <c r="U68" t="s">
        <v>201</v>
      </c>
      <c r="V68" t="s">
        <v>201</v>
      </c>
      <c r="W68" t="s">
        <v>201</v>
      </c>
      <c r="X68" t="s">
        <v>201</v>
      </c>
      <c r="Y68" t="s">
        <v>201</v>
      </c>
      <c r="Z68" s="10">
        <v>40.200000000000003</v>
      </c>
      <c r="AA68" s="2" t="s">
        <v>207</v>
      </c>
      <c r="AB68">
        <v>1800.35</v>
      </c>
      <c r="AC68" t="s">
        <v>201</v>
      </c>
      <c r="AD68" t="s">
        <v>201</v>
      </c>
      <c r="AE68" t="s">
        <v>201</v>
      </c>
      <c r="AF68" s="1" t="s">
        <v>177</v>
      </c>
      <c r="AG68" s="1" t="s">
        <v>179</v>
      </c>
      <c r="AH68" s="13">
        <v>0.31850000000000001</v>
      </c>
      <c r="AI68" s="10">
        <v>159.36150000000001</v>
      </c>
      <c r="AJ68" s="35">
        <v>-2520</v>
      </c>
      <c r="AK68" t="s">
        <v>201</v>
      </c>
      <c r="AL68" t="s">
        <v>201</v>
      </c>
      <c r="AM68" t="s">
        <v>201</v>
      </c>
      <c r="AN68" t="s">
        <v>201</v>
      </c>
      <c r="AO68" s="1" t="s">
        <v>180</v>
      </c>
      <c r="AP68" t="s">
        <v>201</v>
      </c>
      <c r="AQ68" t="s">
        <v>201</v>
      </c>
      <c r="AR68" t="s">
        <v>201</v>
      </c>
      <c r="AS68" t="s">
        <v>201</v>
      </c>
      <c r="AT68" t="s">
        <v>201</v>
      </c>
      <c r="AU68" t="s">
        <v>201</v>
      </c>
      <c r="AV68" t="s">
        <v>201</v>
      </c>
      <c r="AW68" t="s">
        <v>201</v>
      </c>
      <c r="AX68">
        <v>1.5669999999999999</v>
      </c>
      <c r="AY68">
        <v>0.13</v>
      </c>
      <c r="AZ68" t="s">
        <v>203</v>
      </c>
      <c r="BA68" t="s">
        <v>201</v>
      </c>
      <c r="BB68">
        <v>-1.1739999999999999</v>
      </c>
      <c r="BC68">
        <v>0.24</v>
      </c>
      <c r="BD68" t="s">
        <v>203</v>
      </c>
      <c r="BE68" t="s">
        <v>201</v>
      </c>
      <c r="BF68" s="1" t="s">
        <v>181</v>
      </c>
      <c r="BG68" s="1" t="s">
        <v>182</v>
      </c>
      <c r="BH68">
        <v>0</v>
      </c>
      <c r="BI68" t="s">
        <v>201</v>
      </c>
      <c r="BJ68" t="s">
        <v>201</v>
      </c>
      <c r="BK68" t="s">
        <v>201</v>
      </c>
      <c r="BL68" t="s">
        <v>201</v>
      </c>
      <c r="BM68" t="s">
        <v>201</v>
      </c>
      <c r="BN68" t="s">
        <v>201</v>
      </c>
      <c r="BO68" t="s">
        <v>201</v>
      </c>
      <c r="BP68" t="s">
        <v>201</v>
      </c>
      <c r="BQ68" t="s">
        <v>201</v>
      </c>
      <c r="BR68" t="s">
        <v>201</v>
      </c>
      <c r="BS68" s="1" t="s">
        <v>183</v>
      </c>
      <c r="BT68">
        <v>-25.193000000000001</v>
      </c>
      <c r="BU68" s="1" t="s">
        <v>184</v>
      </c>
      <c r="BV68">
        <v>0.3</v>
      </c>
      <c r="BW68" t="s">
        <v>201</v>
      </c>
      <c r="BX68" t="s">
        <v>202</v>
      </c>
      <c r="BY68">
        <v>4.2</v>
      </c>
      <c r="BZ68" s="4" t="s">
        <v>201</v>
      </c>
      <c r="CA68" s="4" t="s">
        <v>201</v>
      </c>
      <c r="CB68">
        <v>-21.098810599999979</v>
      </c>
      <c r="CC68" t="s">
        <v>201</v>
      </c>
      <c r="CD68" t="s">
        <v>201</v>
      </c>
      <c r="CE68" t="s">
        <v>201</v>
      </c>
      <c r="CF68" t="s">
        <v>201</v>
      </c>
      <c r="CG68">
        <v>35</v>
      </c>
      <c r="CH68">
        <v>1</v>
      </c>
      <c r="CI68" t="s">
        <v>204</v>
      </c>
      <c r="CJ68" s="1" t="s">
        <v>185</v>
      </c>
      <c r="CK68">
        <v>0.16</v>
      </c>
      <c r="CL68">
        <v>0.1</v>
      </c>
      <c r="CM68">
        <v>0.1</v>
      </c>
      <c r="CN68" t="s">
        <v>204</v>
      </c>
      <c r="CO68" s="1" t="s">
        <v>186</v>
      </c>
      <c r="CP68" t="s">
        <v>201</v>
      </c>
      <c r="CQ68" t="s">
        <v>201</v>
      </c>
      <c r="CR68">
        <f t="shared" ref="CR68:CR99" si="11">AVERAGE(CY68,DI68)</f>
        <v>26.647469347636367</v>
      </c>
      <c r="CS68" t="s">
        <v>201</v>
      </c>
      <c r="CT68" t="s">
        <v>201</v>
      </c>
      <c r="CU68" t="s">
        <v>201</v>
      </c>
      <c r="CV68" t="s">
        <v>211</v>
      </c>
      <c r="CW68">
        <v>0.93643777329739664</v>
      </c>
      <c r="CX68" t="s">
        <v>201</v>
      </c>
      <c r="CY68">
        <v>26.643014915033024</v>
      </c>
      <c r="CZ68" t="s">
        <v>201</v>
      </c>
      <c r="DA68" t="s">
        <v>201</v>
      </c>
      <c r="DB68" t="s">
        <v>201</v>
      </c>
      <c r="DC68" s="1" t="s">
        <v>190</v>
      </c>
      <c r="DD68" t="s">
        <v>205</v>
      </c>
      <c r="DE68" t="s">
        <v>201</v>
      </c>
      <c r="DF68" t="s">
        <v>201</v>
      </c>
      <c r="DG68" t="s">
        <v>201</v>
      </c>
      <c r="DH68" t="s">
        <v>201</v>
      </c>
      <c r="DI68">
        <v>26.651923780239706</v>
      </c>
      <c r="DJ68" t="s">
        <v>201</v>
      </c>
      <c r="DK68" t="s">
        <v>201</v>
      </c>
      <c r="DL68" t="s">
        <v>201</v>
      </c>
      <c r="DM68" t="s">
        <v>206</v>
      </c>
      <c r="DN68" t="s">
        <v>201</v>
      </c>
      <c r="DO68" t="s">
        <v>201</v>
      </c>
      <c r="DP68" t="s">
        <v>201</v>
      </c>
      <c r="DQ68" t="s">
        <v>201</v>
      </c>
      <c r="DR68" t="s">
        <v>201</v>
      </c>
      <c r="DS68" t="s">
        <v>201</v>
      </c>
      <c r="DT68" t="s">
        <v>201</v>
      </c>
      <c r="DU68" t="s">
        <v>201</v>
      </c>
      <c r="DV68" t="s">
        <v>201</v>
      </c>
      <c r="DW68" t="s">
        <v>201</v>
      </c>
      <c r="DX68" t="s">
        <v>201</v>
      </c>
      <c r="DY68" t="s">
        <v>201</v>
      </c>
      <c r="DZ68" s="3" t="s">
        <v>201</v>
      </c>
      <c r="EA68" s="3" t="s">
        <v>201</v>
      </c>
      <c r="EB68" t="s">
        <v>201</v>
      </c>
      <c r="EC68" t="s">
        <v>201</v>
      </c>
      <c r="ED68" t="s">
        <v>201</v>
      </c>
      <c r="EE68" t="s">
        <v>201</v>
      </c>
      <c r="EF68" t="s">
        <v>201</v>
      </c>
      <c r="EG68" t="s">
        <v>201</v>
      </c>
      <c r="EH68" t="s">
        <v>201</v>
      </c>
      <c r="EI68" t="s">
        <v>201</v>
      </c>
      <c r="EJ68" t="s">
        <v>201</v>
      </c>
      <c r="EK68" t="s">
        <v>201</v>
      </c>
      <c r="EL68" t="s">
        <v>201</v>
      </c>
      <c r="EM68" t="s">
        <v>201</v>
      </c>
      <c r="EN68" t="s">
        <v>201</v>
      </c>
      <c r="EO68" t="s">
        <v>201</v>
      </c>
      <c r="EP68" t="s">
        <v>201</v>
      </c>
      <c r="EQ68" t="s">
        <v>201</v>
      </c>
      <c r="ER68">
        <v>103.03319999999999</v>
      </c>
      <c r="ES68" t="s">
        <v>201</v>
      </c>
      <c r="ET68" t="s">
        <v>201</v>
      </c>
      <c r="EU68" t="s">
        <v>201</v>
      </c>
      <c r="EV68" s="1" t="s">
        <v>188</v>
      </c>
      <c r="EW68">
        <v>25</v>
      </c>
      <c r="EX68">
        <v>13.057219254635433</v>
      </c>
      <c r="EY68">
        <v>1.1110880659970235E-3</v>
      </c>
      <c r="EZ68">
        <v>1.1110880659970235E-3</v>
      </c>
      <c r="FA68" t="s">
        <v>201</v>
      </c>
      <c r="FB68" s="1" t="s">
        <v>250</v>
      </c>
      <c r="FC68" t="s">
        <v>201</v>
      </c>
      <c r="FD68" t="s">
        <v>201</v>
      </c>
      <c r="FE68" t="s">
        <v>201</v>
      </c>
      <c r="FF68" t="s">
        <v>201</v>
      </c>
      <c r="FG68" t="s">
        <v>217</v>
      </c>
      <c r="FH68">
        <v>316.59903963996163</v>
      </c>
      <c r="FI68">
        <f t="shared" si="8"/>
        <v>23.744927972997122</v>
      </c>
      <c r="FJ68">
        <f t="shared" si="9"/>
        <v>23.744927972997122</v>
      </c>
      <c r="FK68" t="s">
        <v>203</v>
      </c>
      <c r="FL68" t="s">
        <v>216</v>
      </c>
      <c r="FM68" t="s">
        <v>249</v>
      </c>
      <c r="FN68" t="s">
        <v>201</v>
      </c>
      <c r="FO68" t="s">
        <v>201</v>
      </c>
      <c r="FP68" t="s">
        <v>201</v>
      </c>
      <c r="FQ68" t="s">
        <v>201</v>
      </c>
      <c r="FR68" t="s">
        <v>201</v>
      </c>
      <c r="FS68" t="s">
        <v>201</v>
      </c>
      <c r="FT68" t="s">
        <v>199</v>
      </c>
      <c r="FU68" t="s">
        <v>201</v>
      </c>
      <c r="FV68" s="47" t="s">
        <v>338</v>
      </c>
      <c r="FW68" t="s">
        <v>411</v>
      </c>
      <c r="FX68" t="s">
        <v>201</v>
      </c>
      <c r="FY68" t="s">
        <v>248</v>
      </c>
    </row>
    <row r="69" spans="1:181" s="14" customFormat="1" x14ac:dyDescent="0.15">
      <c r="A69" s="3" t="s">
        <v>258</v>
      </c>
      <c r="B69" s="3" t="s">
        <v>193</v>
      </c>
      <c r="C69">
        <v>2017</v>
      </c>
      <c r="D69" s="22" t="str">
        <f t="shared" ref="D69:D120" si="12">N69</f>
        <v>10.1016/j.epsl.2017.03.016</v>
      </c>
      <c r="E69" s="22">
        <f t="shared" ref="E69:E120" si="13">AB69</f>
        <v>1854.14</v>
      </c>
      <c r="F69" s="22" t="str">
        <f t="shared" ref="F69:F120" si="14">AC69</f>
        <v>NA</v>
      </c>
      <c r="G69" s="22" t="str">
        <f t="shared" ref="G69:G120" si="15">AD69</f>
        <v>NA</v>
      </c>
      <c r="H69" s="22">
        <f t="shared" ref="H69:H120" si="16">FH69</f>
        <v>342.97830895654596</v>
      </c>
      <c r="I69" s="36">
        <f t="shared" ref="I69:I120" si="17">FI69</f>
        <v>25.723373171740946</v>
      </c>
      <c r="J69" s="36">
        <f t="shared" ref="J69:J120" si="18">FJ69</f>
        <v>25.723373171740946</v>
      </c>
      <c r="K69" s="17" t="s">
        <v>251</v>
      </c>
      <c r="L69" s="17" t="s">
        <v>252</v>
      </c>
      <c r="M69" s="17" t="s">
        <v>194</v>
      </c>
      <c r="N69" s="17" t="s">
        <v>192</v>
      </c>
      <c r="O69" s="14">
        <v>806</v>
      </c>
      <c r="P69" s="16" t="s">
        <v>189</v>
      </c>
      <c r="Q69" s="14">
        <v>5</v>
      </c>
      <c r="R69" s="14" t="s">
        <v>208</v>
      </c>
      <c r="S69" s="14" t="s">
        <v>209</v>
      </c>
      <c r="T69" s="14">
        <v>4</v>
      </c>
      <c r="U69" s="14">
        <v>110</v>
      </c>
      <c r="V69" s="14" t="s">
        <v>201</v>
      </c>
      <c r="W69" s="14" t="s">
        <v>201</v>
      </c>
      <c r="X69" s="14" t="s">
        <v>201</v>
      </c>
      <c r="Y69" s="14" t="s">
        <v>201</v>
      </c>
      <c r="Z69" s="18">
        <v>41.8</v>
      </c>
      <c r="AA69" s="17" t="s">
        <v>207</v>
      </c>
      <c r="AB69" s="14">
        <v>1854.14</v>
      </c>
      <c r="AC69" s="14" t="s">
        <v>201</v>
      </c>
      <c r="AD69" s="14" t="s">
        <v>201</v>
      </c>
      <c r="AE69" s="14" t="s">
        <v>201</v>
      </c>
      <c r="AF69" s="16" t="s">
        <v>177</v>
      </c>
      <c r="AG69" s="16" t="s">
        <v>179</v>
      </c>
      <c r="AH69" s="19">
        <v>0.31850000000000001</v>
      </c>
      <c r="AI69" s="18">
        <v>159.36150000000001</v>
      </c>
      <c r="AJ69" s="14">
        <v>-2520</v>
      </c>
      <c r="AK69" s="14" t="s">
        <v>201</v>
      </c>
      <c r="AL69" s="14" t="s">
        <v>201</v>
      </c>
      <c r="AM69" s="14" t="s">
        <v>201</v>
      </c>
      <c r="AN69" s="14" t="s">
        <v>201</v>
      </c>
      <c r="AO69" s="16" t="s">
        <v>180</v>
      </c>
      <c r="AP69" s="14" t="s">
        <v>201</v>
      </c>
      <c r="AQ69" s="14" t="s">
        <v>201</v>
      </c>
      <c r="AR69" s="14" t="s">
        <v>201</v>
      </c>
      <c r="AS69" s="14" t="s">
        <v>201</v>
      </c>
      <c r="AT69" s="14" t="s">
        <v>201</v>
      </c>
      <c r="AU69" s="14" t="s">
        <v>201</v>
      </c>
      <c r="AV69" s="14" t="s">
        <v>201</v>
      </c>
      <c r="AW69" s="14" t="s">
        <v>201</v>
      </c>
      <c r="AX69" s="14">
        <v>2.0310000000000001</v>
      </c>
      <c r="AY69" s="14">
        <v>0.13</v>
      </c>
      <c r="AZ69" s="14" t="s">
        <v>203</v>
      </c>
      <c r="BA69" s="14" t="s">
        <v>201</v>
      </c>
      <c r="BB69" s="14">
        <v>-1.3149999999999999</v>
      </c>
      <c r="BC69" s="14">
        <v>0.24</v>
      </c>
      <c r="BD69" s="14" t="s">
        <v>203</v>
      </c>
      <c r="BE69" s="14" t="s">
        <v>201</v>
      </c>
      <c r="BF69" s="16" t="s">
        <v>181</v>
      </c>
      <c r="BG69" s="16" t="s">
        <v>182</v>
      </c>
      <c r="BH69" s="14">
        <v>0</v>
      </c>
      <c r="BI69" s="14" t="s">
        <v>201</v>
      </c>
      <c r="BJ69" s="14" t="s">
        <v>201</v>
      </c>
      <c r="BK69" s="14" t="s">
        <v>201</v>
      </c>
      <c r="BL69" s="14" t="s">
        <v>201</v>
      </c>
      <c r="BM69" s="14" t="s">
        <v>201</v>
      </c>
      <c r="BN69" s="14" t="s">
        <v>201</v>
      </c>
      <c r="BO69" s="14" t="s">
        <v>201</v>
      </c>
      <c r="BP69" s="14" t="s">
        <v>201</v>
      </c>
      <c r="BQ69" s="14" t="s">
        <v>201</v>
      </c>
      <c r="BR69" s="14" t="s">
        <v>201</v>
      </c>
      <c r="BS69" s="16" t="s">
        <v>183</v>
      </c>
      <c r="BT69" s="14">
        <v>-24.962499999999999</v>
      </c>
      <c r="BU69" s="16" t="s">
        <v>184</v>
      </c>
      <c r="BV69" s="14">
        <v>0.3</v>
      </c>
      <c r="BW69" s="14" t="s">
        <v>201</v>
      </c>
      <c r="BX69" s="14" t="s">
        <v>202</v>
      </c>
      <c r="BY69" s="14">
        <v>4.2</v>
      </c>
      <c r="BZ69" s="6" t="s">
        <v>201</v>
      </c>
      <c r="CA69" s="6" t="s">
        <v>201</v>
      </c>
      <c r="CB69" s="14">
        <v>-20.86734249999995</v>
      </c>
      <c r="CC69" s="14" t="s">
        <v>201</v>
      </c>
      <c r="CD69" s="14" t="s">
        <v>201</v>
      </c>
      <c r="CE69" s="14" t="s">
        <v>201</v>
      </c>
      <c r="CF69" s="14" t="s">
        <v>201</v>
      </c>
      <c r="CG69" s="14">
        <v>35</v>
      </c>
      <c r="CH69" s="14">
        <v>1</v>
      </c>
      <c r="CI69" s="14" t="s">
        <v>204</v>
      </c>
      <c r="CJ69" s="16" t="s">
        <v>185</v>
      </c>
      <c r="CK69" s="14">
        <v>0.16</v>
      </c>
      <c r="CL69" s="14">
        <v>0.1</v>
      </c>
      <c r="CM69" s="14">
        <v>0.1</v>
      </c>
      <c r="CN69" s="14" t="s">
        <v>204</v>
      </c>
      <c r="CO69" s="16" t="s">
        <v>186</v>
      </c>
      <c r="CP69" s="14" t="s">
        <v>201</v>
      </c>
      <c r="CQ69" s="14" t="s">
        <v>201</v>
      </c>
      <c r="CR69" s="14">
        <f t="shared" si="11"/>
        <v>27.621329623027584</v>
      </c>
      <c r="CS69" s="14" t="s">
        <v>201</v>
      </c>
      <c r="CT69" s="14" t="s">
        <v>201</v>
      </c>
      <c r="CU69" s="14" t="s">
        <v>201</v>
      </c>
      <c r="CV69" s="14" t="s">
        <v>211</v>
      </c>
      <c r="CW69" s="14">
        <v>0.99090688115443315</v>
      </c>
      <c r="CX69" s="14" t="s">
        <v>201</v>
      </c>
      <c r="CY69" s="14">
        <v>28.270333981369845</v>
      </c>
      <c r="CZ69" s="14" t="s">
        <v>201</v>
      </c>
      <c r="DA69" s="14" t="s">
        <v>201</v>
      </c>
      <c r="DB69" s="14" t="s">
        <v>201</v>
      </c>
      <c r="DC69" s="16" t="s">
        <v>190</v>
      </c>
      <c r="DD69" s="14" t="s">
        <v>205</v>
      </c>
      <c r="DE69" s="14" t="s">
        <v>201</v>
      </c>
      <c r="DF69" s="14" t="s">
        <v>201</v>
      </c>
      <c r="DG69" s="14" t="s">
        <v>201</v>
      </c>
      <c r="DH69" s="14" t="s">
        <v>201</v>
      </c>
      <c r="DI69" s="14">
        <v>26.972325264685324</v>
      </c>
      <c r="DJ69" s="14" t="s">
        <v>201</v>
      </c>
      <c r="DK69" s="14" t="s">
        <v>201</v>
      </c>
      <c r="DL69" s="14" t="s">
        <v>201</v>
      </c>
      <c r="DM69" s="14" t="s">
        <v>206</v>
      </c>
      <c r="DN69" s="14" t="s">
        <v>201</v>
      </c>
      <c r="DO69" s="14" t="s">
        <v>201</v>
      </c>
      <c r="DP69" s="14" t="s">
        <v>201</v>
      </c>
      <c r="DQ69" s="14" t="s">
        <v>201</v>
      </c>
      <c r="DR69" s="14" t="s">
        <v>201</v>
      </c>
      <c r="DS69" s="14" t="s">
        <v>201</v>
      </c>
      <c r="DT69" s="14" t="s">
        <v>201</v>
      </c>
      <c r="DU69" s="14" t="s">
        <v>201</v>
      </c>
      <c r="DV69" s="14" t="s">
        <v>201</v>
      </c>
      <c r="DW69" s="14" t="s">
        <v>201</v>
      </c>
      <c r="DX69" s="14">
        <v>2.313043478</v>
      </c>
      <c r="DY69" s="14" t="s">
        <v>201</v>
      </c>
      <c r="DZ69" s="15" t="s">
        <v>201</v>
      </c>
      <c r="EA69" s="21" t="s">
        <v>201</v>
      </c>
      <c r="EB69" s="14" t="s">
        <v>201</v>
      </c>
      <c r="EC69" s="14" t="s">
        <v>201</v>
      </c>
      <c r="ED69" s="14" t="s">
        <v>201</v>
      </c>
      <c r="EE69" s="14" t="s">
        <v>201</v>
      </c>
      <c r="EF69" s="14" t="s">
        <v>201</v>
      </c>
      <c r="EG69" s="14" t="s">
        <v>201</v>
      </c>
      <c r="EH69" s="14" t="s">
        <v>201</v>
      </c>
      <c r="EI69" s="14" t="s">
        <v>201</v>
      </c>
      <c r="EJ69" s="14" t="s">
        <v>201</v>
      </c>
      <c r="EK69" s="14" t="s">
        <v>201</v>
      </c>
      <c r="EL69" s="14" t="s">
        <v>201</v>
      </c>
      <c r="EM69" s="14" t="s">
        <v>201</v>
      </c>
      <c r="EN69" s="14" t="s">
        <v>201</v>
      </c>
      <c r="EO69" s="14" t="s">
        <v>201</v>
      </c>
      <c r="EP69" s="14" t="s">
        <v>201</v>
      </c>
      <c r="EQ69" s="14" t="s">
        <v>201</v>
      </c>
      <c r="ER69" s="14">
        <v>103.03319999999999</v>
      </c>
      <c r="ES69" s="14" t="s">
        <v>201</v>
      </c>
      <c r="ET69" s="14" t="s">
        <v>201</v>
      </c>
      <c r="EU69" s="14" t="s">
        <v>201</v>
      </c>
      <c r="EV69" s="16" t="s">
        <v>188</v>
      </c>
      <c r="EW69" s="14">
        <v>25</v>
      </c>
      <c r="EX69" s="14">
        <v>13.537423146371852</v>
      </c>
      <c r="EY69" s="14">
        <v>0.16193060335600862</v>
      </c>
      <c r="EZ69" s="14">
        <v>0.16193060335600862</v>
      </c>
      <c r="FA69" s="14" t="s">
        <v>201</v>
      </c>
      <c r="FB69" s="16" t="s">
        <v>250</v>
      </c>
      <c r="FC69" s="14" t="s">
        <v>201</v>
      </c>
      <c r="FD69" s="14" t="s">
        <v>201</v>
      </c>
      <c r="FE69" s="14" t="s">
        <v>201</v>
      </c>
      <c r="FF69" s="14" t="s">
        <v>201</v>
      </c>
      <c r="FG69" s="14" t="s">
        <v>217</v>
      </c>
      <c r="FH69" s="14">
        <v>342.97830895654596</v>
      </c>
      <c r="FI69" s="14">
        <f t="shared" ref="FI69:FI105" si="19">FH69*0.075</f>
        <v>25.723373171740946</v>
      </c>
      <c r="FJ69" s="14">
        <f t="shared" ref="FJ69:FJ105" si="20">FI69</f>
        <v>25.723373171740946</v>
      </c>
      <c r="FK69" s="14" t="s">
        <v>203</v>
      </c>
      <c r="FL69" s="14" t="s">
        <v>216</v>
      </c>
      <c r="FM69" s="14" t="s">
        <v>249</v>
      </c>
      <c r="FN69" s="14" t="s">
        <v>201</v>
      </c>
      <c r="FO69" s="14" t="s">
        <v>201</v>
      </c>
      <c r="FP69" s="14" t="s">
        <v>201</v>
      </c>
      <c r="FQ69" s="14" t="s">
        <v>201</v>
      </c>
      <c r="FR69" s="14" t="s">
        <v>201</v>
      </c>
      <c r="FS69" s="14" t="s">
        <v>201</v>
      </c>
      <c r="FT69" s="14" t="s">
        <v>199</v>
      </c>
      <c r="FU69" s="14" t="s">
        <v>201</v>
      </c>
      <c r="FV69" s="46" t="s">
        <v>339</v>
      </c>
      <c r="FW69" s="14" t="s">
        <v>412</v>
      </c>
      <c r="FX69" s="14" t="s">
        <v>201</v>
      </c>
      <c r="FY69" s="14" t="s">
        <v>248</v>
      </c>
    </row>
    <row r="70" spans="1:181" x14ac:dyDescent="0.15">
      <c r="A70" s="3" t="s">
        <v>258</v>
      </c>
      <c r="B70" s="3" t="s">
        <v>193</v>
      </c>
      <c r="C70">
        <v>2017</v>
      </c>
      <c r="D70" s="22" t="str">
        <f t="shared" si="12"/>
        <v>10.1016/j.epsl.2017.03.016</v>
      </c>
      <c r="E70" s="22">
        <f t="shared" si="13"/>
        <v>1907.93</v>
      </c>
      <c r="F70" s="22" t="str">
        <f t="shared" si="14"/>
        <v>NA</v>
      </c>
      <c r="G70" s="22" t="str">
        <f t="shared" si="15"/>
        <v>NA</v>
      </c>
      <c r="H70" s="22">
        <f t="shared" si="16"/>
        <v>335.39661176227918</v>
      </c>
      <c r="I70" s="36">
        <f t="shared" si="17"/>
        <v>25.154745882170939</v>
      </c>
      <c r="J70" s="36">
        <f t="shared" si="18"/>
        <v>25.154745882170939</v>
      </c>
      <c r="K70" s="2" t="s">
        <v>251</v>
      </c>
      <c r="L70" s="2" t="s">
        <v>252</v>
      </c>
      <c r="M70" s="2" t="s">
        <v>194</v>
      </c>
      <c r="N70" s="2" t="s">
        <v>192</v>
      </c>
      <c r="O70">
        <v>806</v>
      </c>
      <c r="P70" s="1" t="s">
        <v>189</v>
      </c>
      <c r="Q70" t="s">
        <v>201</v>
      </c>
      <c r="R70" t="s">
        <v>201</v>
      </c>
      <c r="S70" t="s">
        <v>201</v>
      </c>
      <c r="T70" t="s">
        <v>201</v>
      </c>
      <c r="U70" t="s">
        <v>201</v>
      </c>
      <c r="V70" t="s">
        <v>201</v>
      </c>
      <c r="W70" t="s">
        <v>201</v>
      </c>
      <c r="X70" t="s">
        <v>201</v>
      </c>
      <c r="Y70" t="s">
        <v>201</v>
      </c>
      <c r="Z70" s="10">
        <v>43.4</v>
      </c>
      <c r="AA70" s="2" t="s">
        <v>207</v>
      </c>
      <c r="AB70">
        <v>1907.93</v>
      </c>
      <c r="AC70" t="s">
        <v>201</v>
      </c>
      <c r="AD70" t="s">
        <v>201</v>
      </c>
      <c r="AE70" t="s">
        <v>201</v>
      </c>
      <c r="AF70" s="1" t="s">
        <v>177</v>
      </c>
      <c r="AG70" s="1" t="s">
        <v>179</v>
      </c>
      <c r="AH70" s="13">
        <v>0.31850000000000001</v>
      </c>
      <c r="AI70" s="10">
        <v>159.36150000000001</v>
      </c>
      <c r="AJ70" s="35">
        <v>-2520</v>
      </c>
      <c r="AK70" t="s">
        <v>201</v>
      </c>
      <c r="AL70" t="s">
        <v>201</v>
      </c>
      <c r="AM70" t="s">
        <v>201</v>
      </c>
      <c r="AN70" t="s">
        <v>201</v>
      </c>
      <c r="AO70" s="1" t="s">
        <v>180</v>
      </c>
      <c r="AP70" t="s">
        <v>201</v>
      </c>
      <c r="AQ70" t="s">
        <v>201</v>
      </c>
      <c r="AR70" t="s">
        <v>201</v>
      </c>
      <c r="AS70" t="s">
        <v>201</v>
      </c>
      <c r="AT70" t="s">
        <v>201</v>
      </c>
      <c r="AU70" t="s">
        <v>201</v>
      </c>
      <c r="AV70" t="s">
        <v>201</v>
      </c>
      <c r="AW70" t="s">
        <v>201</v>
      </c>
      <c r="AX70">
        <v>1.7949999999999999</v>
      </c>
      <c r="AY70">
        <v>0.13</v>
      </c>
      <c r="AZ70" t="s">
        <v>203</v>
      </c>
      <c r="BA70" t="s">
        <v>201</v>
      </c>
      <c r="BB70">
        <v>-1.3090000000000002</v>
      </c>
      <c r="BC70">
        <v>0.24</v>
      </c>
      <c r="BD70" t="s">
        <v>203</v>
      </c>
      <c r="BE70" t="s">
        <v>201</v>
      </c>
      <c r="BF70" s="1" t="s">
        <v>181</v>
      </c>
      <c r="BG70" s="1" t="s">
        <v>182</v>
      </c>
      <c r="BH70">
        <v>0</v>
      </c>
      <c r="BI70" t="s">
        <v>201</v>
      </c>
      <c r="BJ70" t="s">
        <v>201</v>
      </c>
      <c r="BK70" t="s">
        <v>201</v>
      </c>
      <c r="BL70" t="s">
        <v>201</v>
      </c>
      <c r="BM70" t="s">
        <v>201</v>
      </c>
      <c r="BN70" t="s">
        <v>201</v>
      </c>
      <c r="BO70" t="s">
        <v>201</v>
      </c>
      <c r="BP70" t="s">
        <v>201</v>
      </c>
      <c r="BQ70" t="s">
        <v>201</v>
      </c>
      <c r="BR70" t="s">
        <v>201</v>
      </c>
      <c r="BS70" s="1" t="s">
        <v>183</v>
      </c>
      <c r="BT70">
        <v>-25.121000000000002</v>
      </c>
      <c r="BU70" s="1" t="s">
        <v>184</v>
      </c>
      <c r="BV70">
        <v>0.3</v>
      </c>
      <c r="BW70" t="s">
        <v>201</v>
      </c>
      <c r="BX70" t="s">
        <v>202</v>
      </c>
      <c r="BY70">
        <v>4.2</v>
      </c>
      <c r="BZ70" s="4" t="s">
        <v>201</v>
      </c>
      <c r="CA70" s="4" t="s">
        <v>201</v>
      </c>
      <c r="CB70">
        <v>-21.026508199999967</v>
      </c>
      <c r="CC70" t="s">
        <v>201</v>
      </c>
      <c r="CD70" t="s">
        <v>201</v>
      </c>
      <c r="CE70" t="s">
        <v>201</v>
      </c>
      <c r="CF70" t="s">
        <v>201</v>
      </c>
      <c r="CG70">
        <v>35</v>
      </c>
      <c r="CH70">
        <v>1</v>
      </c>
      <c r="CI70" t="s">
        <v>204</v>
      </c>
      <c r="CJ70" s="1" t="s">
        <v>185</v>
      </c>
      <c r="CK70">
        <v>0.16</v>
      </c>
      <c r="CL70">
        <v>0.1</v>
      </c>
      <c r="CM70">
        <v>0.1</v>
      </c>
      <c r="CN70" t="s">
        <v>204</v>
      </c>
      <c r="CO70" s="1" t="s">
        <v>186</v>
      </c>
      <c r="CP70" t="s">
        <v>201</v>
      </c>
      <c r="CQ70" t="s">
        <v>201</v>
      </c>
      <c r="CR70">
        <f t="shared" si="11"/>
        <v>27.751488445314195</v>
      </c>
      <c r="CS70" t="s">
        <v>201</v>
      </c>
      <c r="CT70" t="s">
        <v>201</v>
      </c>
      <c r="CU70" t="s">
        <v>201</v>
      </c>
      <c r="CV70" t="s">
        <v>211</v>
      </c>
      <c r="CW70">
        <v>0.96951522836457671</v>
      </c>
      <c r="CX70" t="s">
        <v>201</v>
      </c>
      <c r="CY70">
        <v>27.631236962620097</v>
      </c>
      <c r="CZ70" t="s">
        <v>201</v>
      </c>
      <c r="DA70" t="s">
        <v>201</v>
      </c>
      <c r="DB70" t="s">
        <v>201</v>
      </c>
      <c r="DC70" s="1" t="s">
        <v>190</v>
      </c>
      <c r="DD70" t="s">
        <v>205</v>
      </c>
      <c r="DE70" t="s">
        <v>201</v>
      </c>
      <c r="DF70" t="s">
        <v>201</v>
      </c>
      <c r="DG70" t="s">
        <v>201</v>
      </c>
      <c r="DH70" t="s">
        <v>201</v>
      </c>
      <c r="DI70">
        <v>27.871739928008296</v>
      </c>
      <c r="DJ70" t="s">
        <v>201</v>
      </c>
      <c r="DK70" t="s">
        <v>201</v>
      </c>
      <c r="DL70" t="s">
        <v>201</v>
      </c>
      <c r="DM70" t="s">
        <v>206</v>
      </c>
      <c r="DN70" t="s">
        <v>201</v>
      </c>
      <c r="DO70" t="s">
        <v>201</v>
      </c>
      <c r="DP70" t="s">
        <v>201</v>
      </c>
      <c r="DQ70" t="s">
        <v>201</v>
      </c>
      <c r="DR70" t="s">
        <v>201</v>
      </c>
      <c r="DS70" t="s">
        <v>201</v>
      </c>
      <c r="DT70" t="s">
        <v>201</v>
      </c>
      <c r="DU70" t="s">
        <v>201</v>
      </c>
      <c r="DV70" t="s">
        <v>201</v>
      </c>
      <c r="DW70" t="s">
        <v>201</v>
      </c>
      <c r="DX70" t="s">
        <v>201</v>
      </c>
      <c r="DY70" t="s">
        <v>201</v>
      </c>
      <c r="DZ70" s="3" t="s">
        <v>201</v>
      </c>
      <c r="EA70" s="3" t="s">
        <v>201</v>
      </c>
      <c r="EB70" t="s">
        <v>201</v>
      </c>
      <c r="EC70" t="s">
        <v>201</v>
      </c>
      <c r="ED70" t="s">
        <v>201</v>
      </c>
      <c r="EE70" t="s">
        <v>201</v>
      </c>
      <c r="EF70" t="s">
        <v>201</v>
      </c>
      <c r="EG70" t="s">
        <v>201</v>
      </c>
      <c r="EH70" t="s">
        <v>201</v>
      </c>
      <c r="EI70" t="s">
        <v>201</v>
      </c>
      <c r="EJ70" t="s">
        <v>201</v>
      </c>
      <c r="EK70" t="s">
        <v>201</v>
      </c>
      <c r="EL70" t="s">
        <v>201</v>
      </c>
      <c r="EM70" t="s">
        <v>201</v>
      </c>
      <c r="EN70" t="s">
        <v>201</v>
      </c>
      <c r="EO70" t="s">
        <v>201</v>
      </c>
      <c r="EP70" t="s">
        <v>201</v>
      </c>
      <c r="EQ70" t="s">
        <v>201</v>
      </c>
      <c r="ER70">
        <v>103.03319999999999</v>
      </c>
      <c r="ES70" t="s">
        <v>201</v>
      </c>
      <c r="ET70" t="s">
        <v>201</v>
      </c>
      <c r="EU70" t="s">
        <v>201</v>
      </c>
      <c r="EV70" s="1" t="s">
        <v>188</v>
      </c>
      <c r="EW70">
        <v>25</v>
      </c>
      <c r="EX70">
        <v>13.389032758324371</v>
      </c>
      <c r="EY70">
        <v>3.0000622651016329E-2</v>
      </c>
      <c r="EZ70">
        <v>3.0000622651016329E-2</v>
      </c>
      <c r="FA70" t="s">
        <v>201</v>
      </c>
      <c r="FB70" s="1" t="s">
        <v>250</v>
      </c>
      <c r="FC70" t="s">
        <v>201</v>
      </c>
      <c r="FD70" t="s">
        <v>201</v>
      </c>
      <c r="FE70" t="s">
        <v>201</v>
      </c>
      <c r="FF70" t="s">
        <v>201</v>
      </c>
      <c r="FG70" t="s">
        <v>217</v>
      </c>
      <c r="FH70">
        <v>335.39661176227918</v>
      </c>
      <c r="FI70">
        <f t="shared" si="19"/>
        <v>25.154745882170939</v>
      </c>
      <c r="FJ70">
        <f t="shared" si="20"/>
        <v>25.154745882170939</v>
      </c>
      <c r="FK70" t="s">
        <v>203</v>
      </c>
      <c r="FL70" t="s">
        <v>216</v>
      </c>
      <c r="FM70" t="s">
        <v>249</v>
      </c>
      <c r="FN70" t="s">
        <v>201</v>
      </c>
      <c r="FO70" t="s">
        <v>201</v>
      </c>
      <c r="FP70" t="s">
        <v>201</v>
      </c>
      <c r="FQ70" t="s">
        <v>201</v>
      </c>
      <c r="FR70" t="s">
        <v>201</v>
      </c>
      <c r="FS70" t="s">
        <v>201</v>
      </c>
      <c r="FT70" t="s">
        <v>199</v>
      </c>
      <c r="FU70" t="s">
        <v>201</v>
      </c>
      <c r="FV70" s="47" t="s">
        <v>340</v>
      </c>
      <c r="FW70" t="s">
        <v>413</v>
      </c>
      <c r="FX70" t="s">
        <v>201</v>
      </c>
      <c r="FY70" t="s">
        <v>248</v>
      </c>
    </row>
    <row r="71" spans="1:181" x14ac:dyDescent="0.15">
      <c r="A71" s="3" t="s">
        <v>258</v>
      </c>
      <c r="B71" s="3" t="s">
        <v>193</v>
      </c>
      <c r="C71">
        <v>2017</v>
      </c>
      <c r="D71" s="22" t="str">
        <f t="shared" si="12"/>
        <v>10.1016/j.epsl.2017.03.016</v>
      </c>
      <c r="E71" s="22">
        <f t="shared" si="13"/>
        <v>1992.69</v>
      </c>
      <c r="F71" s="22" t="str">
        <f t="shared" si="14"/>
        <v>NA</v>
      </c>
      <c r="G71" s="22" t="str">
        <f t="shared" si="15"/>
        <v>NA</v>
      </c>
      <c r="H71" s="22">
        <f t="shared" si="16"/>
        <v>343.60088588137268</v>
      </c>
      <c r="I71" s="36">
        <f t="shared" si="17"/>
        <v>25.770066441102951</v>
      </c>
      <c r="J71" s="36">
        <f t="shared" si="18"/>
        <v>25.770066441102951</v>
      </c>
      <c r="K71" s="2" t="s">
        <v>251</v>
      </c>
      <c r="L71" s="2" t="s">
        <v>252</v>
      </c>
      <c r="M71" s="2" t="s">
        <v>194</v>
      </c>
      <c r="N71" s="2" t="s">
        <v>192</v>
      </c>
      <c r="O71">
        <v>806</v>
      </c>
      <c r="P71" s="1" t="s">
        <v>189</v>
      </c>
      <c r="Q71" t="s">
        <v>201</v>
      </c>
      <c r="R71" t="s">
        <v>201</v>
      </c>
      <c r="S71" t="s">
        <v>201</v>
      </c>
      <c r="T71" t="s">
        <v>201</v>
      </c>
      <c r="U71" t="s">
        <v>201</v>
      </c>
      <c r="V71" t="s">
        <v>201</v>
      </c>
      <c r="W71" t="s">
        <v>201</v>
      </c>
      <c r="X71" t="s">
        <v>201</v>
      </c>
      <c r="Y71" t="s">
        <v>201</v>
      </c>
      <c r="Z71" s="10">
        <v>45</v>
      </c>
      <c r="AA71" s="2" t="s">
        <v>207</v>
      </c>
      <c r="AB71">
        <v>1992.69</v>
      </c>
      <c r="AC71" t="s">
        <v>201</v>
      </c>
      <c r="AD71" t="s">
        <v>201</v>
      </c>
      <c r="AE71" t="s">
        <v>201</v>
      </c>
      <c r="AF71" s="1" t="s">
        <v>177</v>
      </c>
      <c r="AG71" s="1" t="s">
        <v>179</v>
      </c>
      <c r="AH71" s="13">
        <v>0.31850000000000001</v>
      </c>
      <c r="AI71" s="10">
        <v>159.36150000000001</v>
      </c>
      <c r="AJ71" s="35">
        <v>-2520</v>
      </c>
      <c r="AK71" t="s">
        <v>201</v>
      </c>
      <c r="AL71" t="s">
        <v>201</v>
      </c>
      <c r="AM71" t="s">
        <v>201</v>
      </c>
      <c r="AN71" t="s">
        <v>201</v>
      </c>
      <c r="AO71" s="1" t="s">
        <v>180</v>
      </c>
      <c r="AP71" t="s">
        <v>201</v>
      </c>
      <c r="AQ71" t="s">
        <v>201</v>
      </c>
      <c r="AR71" t="s">
        <v>201</v>
      </c>
      <c r="AS71" t="s">
        <v>201</v>
      </c>
      <c r="AT71" t="s">
        <v>201</v>
      </c>
      <c r="AU71" t="s">
        <v>201</v>
      </c>
      <c r="AV71" t="s">
        <v>201</v>
      </c>
      <c r="AW71" t="s">
        <v>201</v>
      </c>
      <c r="AX71">
        <v>1.764</v>
      </c>
      <c r="AY71">
        <v>0.13</v>
      </c>
      <c r="AZ71" t="s">
        <v>203</v>
      </c>
      <c r="BA71" t="s">
        <v>201</v>
      </c>
      <c r="BB71">
        <v>-1.31</v>
      </c>
      <c r="BC71">
        <v>0.24</v>
      </c>
      <c r="BD71" t="s">
        <v>203</v>
      </c>
      <c r="BE71" t="s">
        <v>201</v>
      </c>
      <c r="BF71" s="1" t="s">
        <v>181</v>
      </c>
      <c r="BG71" s="1" t="s">
        <v>182</v>
      </c>
      <c r="BH71">
        <v>0</v>
      </c>
      <c r="BI71" t="s">
        <v>201</v>
      </c>
      <c r="BJ71" t="s">
        <v>201</v>
      </c>
      <c r="BK71" t="s">
        <v>201</v>
      </c>
      <c r="BL71" t="s">
        <v>201</v>
      </c>
      <c r="BM71" t="s">
        <v>201</v>
      </c>
      <c r="BN71" t="s">
        <v>201</v>
      </c>
      <c r="BO71" t="s">
        <v>201</v>
      </c>
      <c r="BP71" t="s">
        <v>201</v>
      </c>
      <c r="BQ71" t="s">
        <v>201</v>
      </c>
      <c r="BR71" t="s">
        <v>201</v>
      </c>
      <c r="BS71" s="1" t="s">
        <v>183</v>
      </c>
      <c r="BT71">
        <v>-25.317999999999998</v>
      </c>
      <c r="BU71" s="1" t="s">
        <v>184</v>
      </c>
      <c r="BV71">
        <v>0.3</v>
      </c>
      <c r="BW71" t="s">
        <v>201</v>
      </c>
      <c r="BX71" t="s">
        <v>202</v>
      </c>
      <c r="BY71">
        <v>4.2</v>
      </c>
      <c r="BZ71" s="4" t="s">
        <v>201</v>
      </c>
      <c r="CA71" s="4" t="s">
        <v>201</v>
      </c>
      <c r="CB71">
        <v>-21.224335600000018</v>
      </c>
      <c r="CC71" t="s">
        <v>201</v>
      </c>
      <c r="CD71" t="s">
        <v>201</v>
      </c>
      <c r="CE71" t="s">
        <v>201</v>
      </c>
      <c r="CF71" t="s">
        <v>201</v>
      </c>
      <c r="CG71">
        <v>35</v>
      </c>
      <c r="CH71">
        <v>1</v>
      </c>
      <c r="CI71" t="s">
        <v>204</v>
      </c>
      <c r="CJ71" s="1" t="s">
        <v>185</v>
      </c>
      <c r="CK71">
        <v>0.16</v>
      </c>
      <c r="CL71">
        <v>0.1</v>
      </c>
      <c r="CM71">
        <v>0.1</v>
      </c>
      <c r="CN71" t="s">
        <v>204</v>
      </c>
      <c r="CO71" s="1" t="s">
        <v>186</v>
      </c>
      <c r="CP71" t="s">
        <v>201</v>
      </c>
      <c r="CQ71" t="s">
        <v>201</v>
      </c>
      <c r="CR71">
        <f t="shared" si="11"/>
        <v>27.81883383159748</v>
      </c>
      <c r="CS71" t="s">
        <v>201</v>
      </c>
      <c r="CT71" t="s">
        <v>201</v>
      </c>
      <c r="CU71" t="s">
        <v>201</v>
      </c>
      <c r="CV71" t="s">
        <v>211</v>
      </c>
      <c r="CW71">
        <v>0.98661543806425245</v>
      </c>
      <c r="CX71" t="s">
        <v>201</v>
      </c>
      <c r="CY71">
        <v>28.142122827607608</v>
      </c>
      <c r="CZ71" t="s">
        <v>201</v>
      </c>
      <c r="DA71" t="s">
        <v>201</v>
      </c>
      <c r="DB71" t="s">
        <v>201</v>
      </c>
      <c r="DC71" s="1" t="s">
        <v>190</v>
      </c>
      <c r="DD71" t="s">
        <v>205</v>
      </c>
      <c r="DE71" t="s">
        <v>201</v>
      </c>
      <c r="DF71" t="s">
        <v>201</v>
      </c>
      <c r="DG71" t="s">
        <v>201</v>
      </c>
      <c r="DH71" t="s">
        <v>201</v>
      </c>
      <c r="DI71">
        <v>27.495544835587349</v>
      </c>
      <c r="DJ71" t="s">
        <v>201</v>
      </c>
      <c r="DK71" t="s">
        <v>201</v>
      </c>
      <c r="DL71" t="s">
        <v>201</v>
      </c>
      <c r="DM71" t="s">
        <v>206</v>
      </c>
      <c r="DN71" t="s">
        <v>201</v>
      </c>
      <c r="DO71" t="s">
        <v>201</v>
      </c>
      <c r="DP71" t="s">
        <v>201</v>
      </c>
      <c r="DQ71" t="s">
        <v>201</v>
      </c>
      <c r="DR71" t="s">
        <v>201</v>
      </c>
      <c r="DS71" t="s">
        <v>201</v>
      </c>
      <c r="DT71" t="s">
        <v>201</v>
      </c>
      <c r="DU71" t="s">
        <v>201</v>
      </c>
      <c r="DV71" t="s">
        <v>201</v>
      </c>
      <c r="DW71" t="s">
        <v>201</v>
      </c>
      <c r="DX71" t="s">
        <v>201</v>
      </c>
      <c r="DY71" t="s">
        <v>201</v>
      </c>
      <c r="DZ71" s="3" t="s">
        <v>201</v>
      </c>
      <c r="EA71" s="3" t="s">
        <v>201</v>
      </c>
      <c r="EB71" t="s">
        <v>201</v>
      </c>
      <c r="EC71" t="s">
        <v>201</v>
      </c>
      <c r="ED71" t="s">
        <v>201</v>
      </c>
      <c r="EE71" t="s">
        <v>201</v>
      </c>
      <c r="EF71" t="s">
        <v>201</v>
      </c>
      <c r="EG71" t="s">
        <v>201</v>
      </c>
      <c r="EH71" t="s">
        <v>201</v>
      </c>
      <c r="EI71" t="s">
        <v>201</v>
      </c>
      <c r="EJ71" t="s">
        <v>201</v>
      </c>
      <c r="EK71" t="s">
        <v>201</v>
      </c>
      <c r="EL71" t="s">
        <v>201</v>
      </c>
      <c r="EM71" t="s">
        <v>201</v>
      </c>
      <c r="EN71" t="s">
        <v>201</v>
      </c>
      <c r="EO71" t="s">
        <v>201</v>
      </c>
      <c r="EP71" t="s">
        <v>201</v>
      </c>
      <c r="EQ71" t="s">
        <v>201</v>
      </c>
      <c r="ER71">
        <v>103.03319999999999</v>
      </c>
      <c r="ES71" t="s">
        <v>201</v>
      </c>
      <c r="ET71" t="s">
        <v>201</v>
      </c>
      <c r="EU71" t="s">
        <v>201</v>
      </c>
      <c r="EV71" s="1" t="s">
        <v>188</v>
      </c>
      <c r="EW71">
        <v>25</v>
      </c>
      <c r="EX71">
        <v>13.592978213778029</v>
      </c>
      <c r="EY71">
        <v>8.0668531918792752E-2</v>
      </c>
      <c r="EZ71">
        <v>8.0668531918792752E-2</v>
      </c>
      <c r="FA71" t="s">
        <v>201</v>
      </c>
      <c r="FB71" s="1" t="s">
        <v>250</v>
      </c>
      <c r="FC71" t="s">
        <v>201</v>
      </c>
      <c r="FD71" t="s">
        <v>201</v>
      </c>
      <c r="FE71" t="s">
        <v>201</v>
      </c>
      <c r="FF71" t="s">
        <v>201</v>
      </c>
      <c r="FG71" t="s">
        <v>217</v>
      </c>
      <c r="FH71">
        <v>343.60088588137268</v>
      </c>
      <c r="FI71">
        <f t="shared" si="19"/>
        <v>25.770066441102951</v>
      </c>
      <c r="FJ71">
        <f t="shared" si="20"/>
        <v>25.770066441102951</v>
      </c>
      <c r="FK71" t="s">
        <v>203</v>
      </c>
      <c r="FL71" t="s">
        <v>216</v>
      </c>
      <c r="FM71" t="s">
        <v>249</v>
      </c>
      <c r="FN71" t="s">
        <v>201</v>
      </c>
      <c r="FO71" t="s">
        <v>201</v>
      </c>
      <c r="FP71" t="s">
        <v>201</v>
      </c>
      <c r="FQ71" t="s">
        <v>201</v>
      </c>
      <c r="FR71" t="s">
        <v>201</v>
      </c>
      <c r="FS71" t="s">
        <v>201</v>
      </c>
      <c r="FT71" t="s">
        <v>199</v>
      </c>
      <c r="FU71" t="s">
        <v>201</v>
      </c>
      <c r="FV71" s="47" t="s">
        <v>341</v>
      </c>
      <c r="FW71" t="s">
        <v>414</v>
      </c>
      <c r="FX71" t="s">
        <v>201</v>
      </c>
      <c r="FY71" t="s">
        <v>248</v>
      </c>
    </row>
    <row r="72" spans="1:181" s="14" customFormat="1" x14ac:dyDescent="0.15">
      <c r="A72" s="3" t="s">
        <v>258</v>
      </c>
      <c r="B72" s="3" t="s">
        <v>193</v>
      </c>
      <c r="C72">
        <v>2017</v>
      </c>
      <c r="D72" s="22" t="str">
        <f t="shared" si="12"/>
        <v>10.1016/j.epsl.2017.03.016</v>
      </c>
      <c r="E72" s="22">
        <f t="shared" si="13"/>
        <v>2226.91</v>
      </c>
      <c r="F72" s="22" t="str">
        <f t="shared" si="14"/>
        <v>NA</v>
      </c>
      <c r="G72" s="22" t="str">
        <f t="shared" si="15"/>
        <v>NA</v>
      </c>
      <c r="H72" s="22">
        <f t="shared" si="16"/>
        <v>345.78204666342896</v>
      </c>
      <c r="I72" s="36">
        <f t="shared" si="17"/>
        <v>25.93365349975717</v>
      </c>
      <c r="J72" s="36">
        <f t="shared" si="18"/>
        <v>25.93365349975717</v>
      </c>
      <c r="K72" s="17" t="s">
        <v>251</v>
      </c>
      <c r="L72" s="17" t="s">
        <v>252</v>
      </c>
      <c r="M72" s="17" t="s">
        <v>194</v>
      </c>
      <c r="N72" s="17" t="s">
        <v>192</v>
      </c>
      <c r="O72" s="14">
        <v>806</v>
      </c>
      <c r="P72" s="16" t="s">
        <v>189</v>
      </c>
      <c r="Q72" s="14">
        <v>6</v>
      </c>
      <c r="R72" s="14" t="s">
        <v>208</v>
      </c>
      <c r="S72" s="14" t="s">
        <v>209</v>
      </c>
      <c r="T72" s="14">
        <v>1</v>
      </c>
      <c r="U72" s="14">
        <v>80</v>
      </c>
      <c r="V72" s="14" t="s">
        <v>201</v>
      </c>
      <c r="W72" s="14" t="s">
        <v>201</v>
      </c>
      <c r="X72" s="14" t="s">
        <v>201</v>
      </c>
      <c r="Y72" s="14" t="s">
        <v>201</v>
      </c>
      <c r="Z72" s="18">
        <v>46.5</v>
      </c>
      <c r="AA72" s="17" t="s">
        <v>207</v>
      </c>
      <c r="AB72" s="14">
        <v>2226.91</v>
      </c>
      <c r="AC72" s="14" t="s">
        <v>201</v>
      </c>
      <c r="AD72" s="14" t="s">
        <v>201</v>
      </c>
      <c r="AE72" s="14" t="s">
        <v>201</v>
      </c>
      <c r="AF72" s="16" t="s">
        <v>177</v>
      </c>
      <c r="AG72" s="16" t="s">
        <v>179</v>
      </c>
      <c r="AH72" s="19">
        <v>0.31850000000000001</v>
      </c>
      <c r="AI72" s="18">
        <v>159.36150000000001</v>
      </c>
      <c r="AJ72" s="14">
        <v>-2520</v>
      </c>
      <c r="AK72" s="14" t="s">
        <v>201</v>
      </c>
      <c r="AL72" s="14" t="s">
        <v>201</v>
      </c>
      <c r="AM72" s="14" t="s">
        <v>201</v>
      </c>
      <c r="AN72" s="14" t="s">
        <v>201</v>
      </c>
      <c r="AO72" s="16" t="s">
        <v>180</v>
      </c>
      <c r="AP72" s="14" t="s">
        <v>201</v>
      </c>
      <c r="AQ72" s="14" t="s">
        <v>201</v>
      </c>
      <c r="AR72" s="14" t="s">
        <v>201</v>
      </c>
      <c r="AS72" s="14" t="s">
        <v>201</v>
      </c>
      <c r="AT72" s="14" t="s">
        <v>201</v>
      </c>
      <c r="AU72" s="14" t="s">
        <v>201</v>
      </c>
      <c r="AV72" s="14" t="s">
        <v>201</v>
      </c>
      <c r="AW72" s="14" t="s">
        <v>201</v>
      </c>
      <c r="AX72" s="14">
        <v>1.6859999999999999</v>
      </c>
      <c r="AY72" s="14">
        <v>0.13</v>
      </c>
      <c r="AZ72" s="14" t="s">
        <v>203</v>
      </c>
      <c r="BA72" s="14" t="s">
        <v>201</v>
      </c>
      <c r="BB72" s="14">
        <v>-1.3460000000000001</v>
      </c>
      <c r="BC72" s="14">
        <v>0.24</v>
      </c>
      <c r="BD72" s="14" t="s">
        <v>203</v>
      </c>
      <c r="BE72" s="14" t="s">
        <v>201</v>
      </c>
      <c r="BF72" s="16" t="s">
        <v>181</v>
      </c>
      <c r="BG72" s="16" t="s">
        <v>182</v>
      </c>
      <c r="BH72" s="14">
        <v>0</v>
      </c>
      <c r="BI72" s="14" t="s">
        <v>201</v>
      </c>
      <c r="BJ72" s="14" t="s">
        <v>201</v>
      </c>
      <c r="BK72" s="14" t="s">
        <v>201</v>
      </c>
      <c r="BL72" s="14" t="s">
        <v>201</v>
      </c>
      <c r="BM72" s="14" t="s">
        <v>201</v>
      </c>
      <c r="BN72" s="14" t="s">
        <v>201</v>
      </c>
      <c r="BO72" s="14" t="s">
        <v>201</v>
      </c>
      <c r="BP72" s="14" t="s">
        <v>201</v>
      </c>
      <c r="BQ72" s="14" t="s">
        <v>201</v>
      </c>
      <c r="BR72" s="14" t="s">
        <v>201</v>
      </c>
      <c r="BS72" s="16" t="s">
        <v>183</v>
      </c>
      <c r="BT72" s="14">
        <v>-25.500499999999999</v>
      </c>
      <c r="BU72" s="16" t="s">
        <v>184</v>
      </c>
      <c r="BV72" s="14">
        <v>0.3</v>
      </c>
      <c r="BW72" s="14" t="s">
        <v>201</v>
      </c>
      <c r="BX72" s="14" t="s">
        <v>202</v>
      </c>
      <c r="BY72" s="14">
        <v>4.2</v>
      </c>
      <c r="BZ72" s="6" t="s">
        <v>201</v>
      </c>
      <c r="CA72" s="6" t="s">
        <v>201</v>
      </c>
      <c r="CB72" s="14">
        <v>-21.407602099999963</v>
      </c>
      <c r="CC72" s="14" t="s">
        <v>201</v>
      </c>
      <c r="CD72" s="14" t="s">
        <v>201</v>
      </c>
      <c r="CE72" s="14" t="s">
        <v>201</v>
      </c>
      <c r="CF72" s="14" t="s">
        <v>201</v>
      </c>
      <c r="CG72" s="14">
        <v>35</v>
      </c>
      <c r="CH72" s="14">
        <v>1</v>
      </c>
      <c r="CI72" s="14" t="s">
        <v>204</v>
      </c>
      <c r="CJ72" s="16" t="s">
        <v>185</v>
      </c>
      <c r="CK72" s="14">
        <v>0.16</v>
      </c>
      <c r="CL72" s="14">
        <v>0.1</v>
      </c>
      <c r="CM72" s="14">
        <v>0.1</v>
      </c>
      <c r="CN72" s="14" t="s">
        <v>204</v>
      </c>
      <c r="CO72" s="16" t="s">
        <v>186</v>
      </c>
      <c r="CP72" s="14" t="s">
        <v>201</v>
      </c>
      <c r="CQ72" s="14" t="s">
        <v>201</v>
      </c>
      <c r="CR72" s="14">
        <f t="shared" si="11"/>
        <v>27.6882201471733</v>
      </c>
      <c r="CS72" s="14" t="s">
        <v>201</v>
      </c>
      <c r="CT72" s="14" t="s">
        <v>201</v>
      </c>
      <c r="CU72" s="14" t="s">
        <v>201</v>
      </c>
      <c r="CV72" s="14" t="s">
        <v>211</v>
      </c>
      <c r="CW72" s="14">
        <v>0.98400393251536322</v>
      </c>
      <c r="CX72" s="14" t="s">
        <v>201</v>
      </c>
      <c r="CY72" s="14">
        <v>28.064101487828992</v>
      </c>
      <c r="CZ72" s="14" t="s">
        <v>201</v>
      </c>
      <c r="DA72" s="14" t="s">
        <v>201</v>
      </c>
      <c r="DB72" s="14" t="s">
        <v>201</v>
      </c>
      <c r="DC72" s="16" t="s">
        <v>190</v>
      </c>
      <c r="DD72" s="14" t="s">
        <v>205</v>
      </c>
      <c r="DE72" s="14" t="s">
        <v>201</v>
      </c>
      <c r="DF72" s="14" t="s">
        <v>201</v>
      </c>
      <c r="DG72" s="14" t="s">
        <v>201</v>
      </c>
      <c r="DH72" s="14" t="s">
        <v>201</v>
      </c>
      <c r="DI72" s="14">
        <v>27.312338806517609</v>
      </c>
      <c r="DJ72" s="14" t="s">
        <v>201</v>
      </c>
      <c r="DK72" s="14" t="s">
        <v>201</v>
      </c>
      <c r="DL72" s="14" t="s">
        <v>201</v>
      </c>
      <c r="DM72" s="14" t="s">
        <v>206</v>
      </c>
      <c r="DN72" s="14" t="s">
        <v>201</v>
      </c>
      <c r="DO72" s="14" t="s">
        <v>201</v>
      </c>
      <c r="DP72" s="14" t="s">
        <v>201</v>
      </c>
      <c r="DQ72" s="14" t="s">
        <v>201</v>
      </c>
      <c r="DR72" s="14" t="s">
        <v>201</v>
      </c>
      <c r="DS72" s="14" t="s">
        <v>201</v>
      </c>
      <c r="DT72" s="14" t="s">
        <v>201</v>
      </c>
      <c r="DU72" s="14" t="s">
        <v>201</v>
      </c>
      <c r="DV72" s="14" t="s">
        <v>201</v>
      </c>
      <c r="DW72" s="14" t="s">
        <v>201</v>
      </c>
      <c r="DX72" s="14">
        <v>2.445454545</v>
      </c>
      <c r="DY72" s="14" t="s">
        <v>201</v>
      </c>
      <c r="DZ72" s="15" t="s">
        <v>201</v>
      </c>
      <c r="EA72" s="21" t="s">
        <v>201</v>
      </c>
      <c r="EB72" s="14" t="s">
        <v>201</v>
      </c>
      <c r="EC72" s="14" t="s">
        <v>201</v>
      </c>
      <c r="ED72" s="14" t="s">
        <v>201</v>
      </c>
      <c r="EE72" s="14" t="s">
        <v>201</v>
      </c>
      <c r="EF72" s="14" t="s">
        <v>201</v>
      </c>
      <c r="EG72" s="14" t="s">
        <v>201</v>
      </c>
      <c r="EH72" s="14" t="s">
        <v>201</v>
      </c>
      <c r="EI72" s="14" t="s">
        <v>201</v>
      </c>
      <c r="EJ72" s="14" t="s">
        <v>201</v>
      </c>
      <c r="EK72" s="14" t="s">
        <v>201</v>
      </c>
      <c r="EL72" s="14" t="s">
        <v>201</v>
      </c>
      <c r="EM72" s="14" t="s">
        <v>201</v>
      </c>
      <c r="EN72" s="14" t="s">
        <v>201</v>
      </c>
      <c r="EO72" s="14" t="s">
        <v>201</v>
      </c>
      <c r="EP72" s="14" t="s">
        <v>201</v>
      </c>
      <c r="EQ72" s="14" t="s">
        <v>201</v>
      </c>
      <c r="ER72" s="14">
        <v>103.03319999999999</v>
      </c>
      <c r="ES72" s="14" t="s">
        <v>201</v>
      </c>
      <c r="ET72" s="14" t="s">
        <v>201</v>
      </c>
      <c r="EU72" s="14" t="s">
        <v>201</v>
      </c>
      <c r="EV72" s="16" t="s">
        <v>188</v>
      </c>
      <c r="EW72" s="14">
        <v>25</v>
      </c>
      <c r="EX72" s="14">
        <v>13.685957907365154</v>
      </c>
      <c r="EY72" s="14">
        <v>9.3800930378362679E-2</v>
      </c>
      <c r="EZ72" s="14">
        <v>9.3800930378362679E-2</v>
      </c>
      <c r="FA72" s="14" t="s">
        <v>201</v>
      </c>
      <c r="FB72" s="16" t="s">
        <v>250</v>
      </c>
      <c r="FC72" s="14" t="s">
        <v>201</v>
      </c>
      <c r="FD72" s="14" t="s">
        <v>201</v>
      </c>
      <c r="FE72" s="14" t="s">
        <v>201</v>
      </c>
      <c r="FF72" s="14" t="s">
        <v>201</v>
      </c>
      <c r="FG72" s="14" t="s">
        <v>217</v>
      </c>
      <c r="FH72" s="14">
        <v>345.78204666342896</v>
      </c>
      <c r="FI72" s="14">
        <f t="shared" si="19"/>
        <v>25.93365349975717</v>
      </c>
      <c r="FJ72" s="14">
        <f t="shared" si="20"/>
        <v>25.93365349975717</v>
      </c>
      <c r="FK72" s="14" t="s">
        <v>203</v>
      </c>
      <c r="FL72" s="14" t="s">
        <v>216</v>
      </c>
      <c r="FM72" s="14" t="s">
        <v>249</v>
      </c>
      <c r="FN72" s="14" t="s">
        <v>201</v>
      </c>
      <c r="FO72" s="14" t="s">
        <v>201</v>
      </c>
      <c r="FP72" s="14" t="s">
        <v>201</v>
      </c>
      <c r="FQ72" s="14" t="s">
        <v>201</v>
      </c>
      <c r="FR72" s="14" t="s">
        <v>201</v>
      </c>
      <c r="FS72" s="14" t="s">
        <v>201</v>
      </c>
      <c r="FT72" s="14" t="s">
        <v>199</v>
      </c>
      <c r="FU72" s="14" t="s">
        <v>201</v>
      </c>
      <c r="FV72" s="46" t="s">
        <v>342</v>
      </c>
      <c r="FW72" s="14" t="s">
        <v>415</v>
      </c>
      <c r="FX72" s="14" t="s">
        <v>201</v>
      </c>
      <c r="FY72" s="14" t="s">
        <v>248</v>
      </c>
    </row>
    <row r="73" spans="1:181" x14ac:dyDescent="0.15">
      <c r="A73" s="3" t="s">
        <v>258</v>
      </c>
      <c r="B73" s="3" t="s">
        <v>193</v>
      </c>
      <c r="C73">
        <v>2017</v>
      </c>
      <c r="D73" s="22" t="str">
        <f t="shared" si="12"/>
        <v>10.1016/j.epsl.2017.03.016</v>
      </c>
      <c r="E73" s="22">
        <f t="shared" si="13"/>
        <v>2279.81</v>
      </c>
      <c r="F73" s="22" t="str">
        <f t="shared" si="14"/>
        <v>NA</v>
      </c>
      <c r="G73" s="22" t="str">
        <f t="shared" si="15"/>
        <v>NA</v>
      </c>
      <c r="H73" s="22">
        <f t="shared" si="16"/>
        <v>335.93592176226741</v>
      </c>
      <c r="I73" s="36">
        <f t="shared" si="17"/>
        <v>25.195194132170055</v>
      </c>
      <c r="J73" s="36">
        <f t="shared" si="18"/>
        <v>25.195194132170055</v>
      </c>
      <c r="K73" s="2" t="s">
        <v>251</v>
      </c>
      <c r="L73" s="2" t="s">
        <v>252</v>
      </c>
      <c r="M73" s="2" t="s">
        <v>194</v>
      </c>
      <c r="N73" s="2" t="s">
        <v>192</v>
      </c>
      <c r="O73">
        <v>806</v>
      </c>
      <c r="P73" s="1" t="s">
        <v>189</v>
      </c>
      <c r="Q73" t="s">
        <v>201</v>
      </c>
      <c r="R73" t="s">
        <v>201</v>
      </c>
      <c r="S73" t="s">
        <v>201</v>
      </c>
      <c r="T73" t="s">
        <v>201</v>
      </c>
      <c r="U73" t="s">
        <v>201</v>
      </c>
      <c r="V73" t="s">
        <v>201</v>
      </c>
      <c r="W73" t="s">
        <v>201</v>
      </c>
      <c r="X73" t="s">
        <v>201</v>
      </c>
      <c r="Y73" t="s">
        <v>201</v>
      </c>
      <c r="Z73" s="10">
        <v>48.18</v>
      </c>
      <c r="AA73" s="2" t="s">
        <v>207</v>
      </c>
      <c r="AB73">
        <v>2279.81</v>
      </c>
      <c r="AC73" t="s">
        <v>201</v>
      </c>
      <c r="AD73" t="s">
        <v>201</v>
      </c>
      <c r="AE73" t="s">
        <v>201</v>
      </c>
      <c r="AF73" s="1" t="s">
        <v>177</v>
      </c>
      <c r="AG73" s="1" t="s">
        <v>179</v>
      </c>
      <c r="AH73" s="13">
        <v>0.31850000000000001</v>
      </c>
      <c r="AI73" s="10">
        <v>159.36150000000001</v>
      </c>
      <c r="AJ73" s="35">
        <v>-2520</v>
      </c>
      <c r="AK73" t="s">
        <v>201</v>
      </c>
      <c r="AL73" t="s">
        <v>201</v>
      </c>
      <c r="AM73" t="s">
        <v>201</v>
      </c>
      <c r="AN73" t="s">
        <v>201</v>
      </c>
      <c r="AO73" s="1" t="s">
        <v>180</v>
      </c>
      <c r="AP73" t="s">
        <v>201</v>
      </c>
      <c r="AQ73" t="s">
        <v>201</v>
      </c>
      <c r="AR73" t="s">
        <v>201</v>
      </c>
      <c r="AS73" t="s">
        <v>201</v>
      </c>
      <c r="AT73" t="s">
        <v>201</v>
      </c>
      <c r="AU73" t="s">
        <v>201</v>
      </c>
      <c r="AV73" t="s">
        <v>201</v>
      </c>
      <c r="AW73" t="s">
        <v>201</v>
      </c>
      <c r="AX73">
        <v>1.768</v>
      </c>
      <c r="AY73">
        <v>0.13</v>
      </c>
      <c r="AZ73" t="s">
        <v>203</v>
      </c>
      <c r="BA73" t="s">
        <v>201</v>
      </c>
      <c r="BB73">
        <v>-1.365</v>
      </c>
      <c r="BC73">
        <v>0.24</v>
      </c>
      <c r="BD73" t="s">
        <v>203</v>
      </c>
      <c r="BE73" t="s">
        <v>201</v>
      </c>
      <c r="BF73" s="1" t="s">
        <v>181</v>
      </c>
      <c r="BG73" s="1" t="s">
        <v>182</v>
      </c>
      <c r="BH73">
        <v>0</v>
      </c>
      <c r="BI73" t="s">
        <v>201</v>
      </c>
      <c r="BJ73" t="s">
        <v>201</v>
      </c>
      <c r="BK73" t="s">
        <v>201</v>
      </c>
      <c r="BL73" t="s">
        <v>201</v>
      </c>
      <c r="BM73" t="s">
        <v>201</v>
      </c>
      <c r="BN73" t="s">
        <v>201</v>
      </c>
      <c r="BO73" t="s">
        <v>201</v>
      </c>
      <c r="BP73" t="s">
        <v>201</v>
      </c>
      <c r="BQ73" t="s">
        <v>201</v>
      </c>
      <c r="BR73" t="s">
        <v>201</v>
      </c>
      <c r="BS73" s="1" t="s">
        <v>183</v>
      </c>
      <c r="BT73">
        <v>-25.0395</v>
      </c>
      <c r="BU73" s="1" t="s">
        <v>184</v>
      </c>
      <c r="BV73">
        <v>0.3</v>
      </c>
      <c r="BW73" t="s">
        <v>201</v>
      </c>
      <c r="BX73" t="s">
        <v>202</v>
      </c>
      <c r="BY73">
        <v>4.2</v>
      </c>
      <c r="BZ73" s="4" t="s">
        <v>201</v>
      </c>
      <c r="CA73" s="4" t="s">
        <v>201</v>
      </c>
      <c r="CB73">
        <v>-20.944665900000018</v>
      </c>
      <c r="CC73" t="s">
        <v>201</v>
      </c>
      <c r="CD73" t="s">
        <v>201</v>
      </c>
      <c r="CE73" t="s">
        <v>201</v>
      </c>
      <c r="CF73" t="s">
        <v>201</v>
      </c>
      <c r="CG73">
        <v>35</v>
      </c>
      <c r="CH73">
        <v>1</v>
      </c>
      <c r="CI73" t="s">
        <v>204</v>
      </c>
      <c r="CJ73" s="1" t="s">
        <v>185</v>
      </c>
      <c r="CK73">
        <v>0.16</v>
      </c>
      <c r="CL73">
        <v>0.1</v>
      </c>
      <c r="CM73">
        <v>0.1</v>
      </c>
      <c r="CN73" t="s">
        <v>204</v>
      </c>
      <c r="CO73" s="1" t="s">
        <v>186</v>
      </c>
      <c r="CP73" t="s">
        <v>201</v>
      </c>
      <c r="CQ73" t="s">
        <v>201</v>
      </c>
      <c r="CR73">
        <f t="shared" si="11"/>
        <v>27.413244373799014</v>
      </c>
      <c r="CS73" t="s">
        <v>201</v>
      </c>
      <c r="CT73" t="s">
        <v>201</v>
      </c>
      <c r="CU73" t="s">
        <v>201</v>
      </c>
      <c r="CV73" t="s">
        <v>211</v>
      </c>
      <c r="CW73">
        <v>0.98867931863950964</v>
      </c>
      <c r="CX73" t="s">
        <v>201</v>
      </c>
      <c r="CY73">
        <v>28.203783323673992</v>
      </c>
      <c r="CZ73" t="s">
        <v>201</v>
      </c>
      <c r="DA73" t="s">
        <v>201</v>
      </c>
      <c r="DB73" t="s">
        <v>201</v>
      </c>
      <c r="DC73" s="1" t="s">
        <v>190</v>
      </c>
      <c r="DD73" t="s">
        <v>205</v>
      </c>
      <c r="DE73" t="s">
        <v>201</v>
      </c>
      <c r="DF73" t="s">
        <v>201</v>
      </c>
      <c r="DG73" t="s">
        <v>201</v>
      </c>
      <c r="DH73" t="s">
        <v>201</v>
      </c>
      <c r="DI73">
        <v>26.622705423924035</v>
      </c>
      <c r="DJ73" t="s">
        <v>201</v>
      </c>
      <c r="DK73" t="s">
        <v>201</v>
      </c>
      <c r="DL73" t="s">
        <v>201</v>
      </c>
      <c r="DM73" t="s">
        <v>206</v>
      </c>
      <c r="DN73" t="s">
        <v>201</v>
      </c>
      <c r="DO73" t="s">
        <v>201</v>
      </c>
      <c r="DP73" t="s">
        <v>201</v>
      </c>
      <c r="DQ73" t="s">
        <v>201</v>
      </c>
      <c r="DR73" t="s">
        <v>201</v>
      </c>
      <c r="DS73" t="s">
        <v>201</v>
      </c>
      <c r="DT73" t="s">
        <v>201</v>
      </c>
      <c r="DU73" t="s">
        <v>201</v>
      </c>
      <c r="DV73" t="s">
        <v>201</v>
      </c>
      <c r="DW73" t="s">
        <v>201</v>
      </c>
      <c r="DX73" t="s">
        <v>201</v>
      </c>
      <c r="DY73" t="s">
        <v>201</v>
      </c>
      <c r="DZ73" s="3" t="s">
        <v>201</v>
      </c>
      <c r="EA73" s="3" t="s">
        <v>201</v>
      </c>
      <c r="EB73" t="s">
        <v>201</v>
      </c>
      <c r="EC73" t="s">
        <v>201</v>
      </c>
      <c r="ED73" t="s">
        <v>201</v>
      </c>
      <c r="EE73" t="s">
        <v>201</v>
      </c>
      <c r="EF73" t="s">
        <v>201</v>
      </c>
      <c r="EG73" t="s">
        <v>201</v>
      </c>
      <c r="EH73" t="s">
        <v>201</v>
      </c>
      <c r="EI73" t="s">
        <v>201</v>
      </c>
      <c r="EJ73" t="s">
        <v>201</v>
      </c>
      <c r="EK73" t="s">
        <v>201</v>
      </c>
      <c r="EL73" t="s">
        <v>201</v>
      </c>
      <c r="EM73" t="s">
        <v>201</v>
      </c>
      <c r="EN73" t="s">
        <v>201</v>
      </c>
      <c r="EO73" t="s">
        <v>201</v>
      </c>
      <c r="EP73" t="s">
        <v>201</v>
      </c>
      <c r="EQ73" t="s">
        <v>201</v>
      </c>
      <c r="ER73">
        <v>103.03319999999999</v>
      </c>
      <c r="ES73" t="s">
        <v>201</v>
      </c>
      <c r="ET73" t="s">
        <v>201</v>
      </c>
      <c r="EU73" t="s">
        <v>201</v>
      </c>
      <c r="EV73" s="1" t="s">
        <v>188</v>
      </c>
      <c r="EW73">
        <v>25</v>
      </c>
      <c r="EX73">
        <v>13.315598411408169</v>
      </c>
      <c r="EY73">
        <v>0.19720221608254818</v>
      </c>
      <c r="EZ73">
        <v>0.19720221608254818</v>
      </c>
      <c r="FA73" t="s">
        <v>201</v>
      </c>
      <c r="FB73" s="1" t="s">
        <v>250</v>
      </c>
      <c r="FC73" t="s">
        <v>201</v>
      </c>
      <c r="FD73" t="s">
        <v>201</v>
      </c>
      <c r="FE73" t="s">
        <v>201</v>
      </c>
      <c r="FF73" t="s">
        <v>201</v>
      </c>
      <c r="FG73" t="s">
        <v>217</v>
      </c>
      <c r="FH73">
        <v>335.93592176226741</v>
      </c>
      <c r="FI73">
        <f t="shared" si="19"/>
        <v>25.195194132170055</v>
      </c>
      <c r="FJ73">
        <f t="shared" si="20"/>
        <v>25.195194132170055</v>
      </c>
      <c r="FK73" t="s">
        <v>203</v>
      </c>
      <c r="FL73" t="s">
        <v>216</v>
      </c>
      <c r="FM73" t="s">
        <v>249</v>
      </c>
      <c r="FN73" t="s">
        <v>201</v>
      </c>
      <c r="FO73" t="s">
        <v>201</v>
      </c>
      <c r="FP73" t="s">
        <v>201</v>
      </c>
      <c r="FQ73" t="s">
        <v>201</v>
      </c>
      <c r="FR73" t="s">
        <v>201</v>
      </c>
      <c r="FS73" t="s">
        <v>201</v>
      </c>
      <c r="FT73" t="s">
        <v>199</v>
      </c>
      <c r="FU73" t="s">
        <v>201</v>
      </c>
      <c r="FV73" s="47" t="s">
        <v>343</v>
      </c>
      <c r="FW73" t="s">
        <v>416</v>
      </c>
      <c r="FX73" t="s">
        <v>201</v>
      </c>
      <c r="FY73" t="s">
        <v>248</v>
      </c>
    </row>
    <row r="74" spans="1:181" x14ac:dyDescent="0.15">
      <c r="A74" s="3" t="s">
        <v>258</v>
      </c>
      <c r="B74" s="3" t="s">
        <v>193</v>
      </c>
      <c r="C74">
        <v>2017</v>
      </c>
      <c r="D74" s="22" t="str">
        <f t="shared" si="12"/>
        <v>10.1016/j.epsl.2017.03.016</v>
      </c>
      <c r="E74" s="22">
        <f t="shared" si="13"/>
        <v>2357.58</v>
      </c>
      <c r="F74" s="22" t="str">
        <f t="shared" si="14"/>
        <v>NA</v>
      </c>
      <c r="G74" s="22" t="str">
        <f t="shared" si="15"/>
        <v>NA</v>
      </c>
      <c r="H74" s="22">
        <f t="shared" si="16"/>
        <v>350.09770862905339</v>
      </c>
      <c r="I74" s="36">
        <f t="shared" si="17"/>
        <v>26.257328147179003</v>
      </c>
      <c r="J74" s="36">
        <f t="shared" si="18"/>
        <v>26.257328147179003</v>
      </c>
      <c r="K74" s="2" t="s">
        <v>251</v>
      </c>
      <c r="L74" s="2" t="s">
        <v>252</v>
      </c>
      <c r="M74" s="2" t="s">
        <v>194</v>
      </c>
      <c r="N74" s="2" t="s">
        <v>192</v>
      </c>
      <c r="O74">
        <v>806</v>
      </c>
      <c r="P74" s="1" t="s">
        <v>189</v>
      </c>
      <c r="Q74" t="s">
        <v>201</v>
      </c>
      <c r="R74" t="s">
        <v>201</v>
      </c>
      <c r="S74" t="s">
        <v>201</v>
      </c>
      <c r="T74" t="s">
        <v>201</v>
      </c>
      <c r="U74" t="s">
        <v>201</v>
      </c>
      <c r="V74" t="s">
        <v>201</v>
      </c>
      <c r="W74" t="s">
        <v>201</v>
      </c>
      <c r="X74" t="s">
        <v>201</v>
      </c>
      <c r="Y74" t="s">
        <v>201</v>
      </c>
      <c r="Z74" s="10">
        <v>50.1</v>
      </c>
      <c r="AA74" s="2" t="s">
        <v>207</v>
      </c>
      <c r="AB74">
        <v>2357.58</v>
      </c>
      <c r="AC74" t="s">
        <v>201</v>
      </c>
      <c r="AD74" t="s">
        <v>201</v>
      </c>
      <c r="AE74" t="s">
        <v>201</v>
      </c>
      <c r="AF74" s="1" t="s">
        <v>177</v>
      </c>
      <c r="AG74" s="1" t="s">
        <v>179</v>
      </c>
      <c r="AH74" s="13">
        <v>0.31850000000000001</v>
      </c>
      <c r="AI74" s="10">
        <v>159.36150000000001</v>
      </c>
      <c r="AJ74" s="35">
        <v>-2520</v>
      </c>
      <c r="AK74" t="s">
        <v>201</v>
      </c>
      <c r="AL74" t="s">
        <v>201</v>
      </c>
      <c r="AM74" t="s">
        <v>201</v>
      </c>
      <c r="AN74" t="s">
        <v>201</v>
      </c>
      <c r="AO74" s="1" t="s">
        <v>180</v>
      </c>
      <c r="AP74" t="s">
        <v>201</v>
      </c>
      <c r="AQ74" t="s">
        <v>201</v>
      </c>
      <c r="AR74" t="s">
        <v>201</v>
      </c>
      <c r="AS74" t="s">
        <v>201</v>
      </c>
      <c r="AT74" t="s">
        <v>201</v>
      </c>
      <c r="AU74" t="s">
        <v>201</v>
      </c>
      <c r="AV74" t="s">
        <v>201</v>
      </c>
      <c r="AW74" t="s">
        <v>201</v>
      </c>
      <c r="AX74">
        <v>1.794</v>
      </c>
      <c r="AY74">
        <v>0.13</v>
      </c>
      <c r="AZ74" t="s">
        <v>203</v>
      </c>
      <c r="BA74" t="s">
        <v>201</v>
      </c>
      <c r="BB74">
        <v>-1.369</v>
      </c>
      <c r="BC74">
        <v>0.24</v>
      </c>
      <c r="BD74" t="s">
        <v>203</v>
      </c>
      <c r="BE74" t="s">
        <v>201</v>
      </c>
      <c r="BF74" s="1" t="s">
        <v>181</v>
      </c>
      <c r="BG74" s="1" t="s">
        <v>182</v>
      </c>
      <c r="BH74">
        <v>0</v>
      </c>
      <c r="BI74" t="s">
        <v>201</v>
      </c>
      <c r="BJ74" t="s">
        <v>201</v>
      </c>
      <c r="BK74" t="s">
        <v>201</v>
      </c>
      <c r="BL74" t="s">
        <v>201</v>
      </c>
      <c r="BM74" t="s">
        <v>201</v>
      </c>
      <c r="BN74" t="s">
        <v>201</v>
      </c>
      <c r="BO74" t="s">
        <v>201</v>
      </c>
      <c r="BP74" t="s">
        <v>201</v>
      </c>
      <c r="BQ74" t="s">
        <v>201</v>
      </c>
      <c r="BR74" t="s">
        <v>201</v>
      </c>
      <c r="BS74" s="1" t="s">
        <v>183</v>
      </c>
      <c r="BT74">
        <v>-25.381999999999998</v>
      </c>
      <c r="BU74" s="1" t="s">
        <v>184</v>
      </c>
      <c r="BV74">
        <v>0.3</v>
      </c>
      <c r="BW74" t="s">
        <v>201</v>
      </c>
      <c r="BX74" t="s">
        <v>202</v>
      </c>
      <c r="BY74">
        <v>4.2</v>
      </c>
      <c r="BZ74" s="4" t="s">
        <v>201</v>
      </c>
      <c r="CA74" s="4" t="s">
        <v>201</v>
      </c>
      <c r="CB74">
        <v>-21.28860439999994</v>
      </c>
      <c r="CC74" t="s">
        <v>201</v>
      </c>
      <c r="CD74" t="s">
        <v>201</v>
      </c>
      <c r="CE74" t="s">
        <v>201</v>
      </c>
      <c r="CF74" t="s">
        <v>201</v>
      </c>
      <c r="CG74">
        <v>35</v>
      </c>
      <c r="CH74">
        <v>1</v>
      </c>
      <c r="CI74" t="s">
        <v>204</v>
      </c>
      <c r="CJ74" s="1" t="s">
        <v>185</v>
      </c>
      <c r="CK74">
        <v>0.16</v>
      </c>
      <c r="CL74">
        <v>0.1</v>
      </c>
      <c r="CM74">
        <v>0.1</v>
      </c>
      <c r="CN74" t="s">
        <v>204</v>
      </c>
      <c r="CO74" s="1" t="s">
        <v>186</v>
      </c>
      <c r="CP74" t="s">
        <v>201</v>
      </c>
      <c r="CQ74" t="s">
        <v>201</v>
      </c>
      <c r="CR74">
        <f t="shared" si="11"/>
        <v>28.1610858620773</v>
      </c>
      <c r="CS74" t="s">
        <v>201</v>
      </c>
      <c r="CT74" t="s">
        <v>201</v>
      </c>
      <c r="CU74" t="s">
        <v>201</v>
      </c>
      <c r="CV74" t="s">
        <v>211</v>
      </c>
      <c r="CW74">
        <v>0.97833289578739835</v>
      </c>
      <c r="CX74" t="s">
        <v>201</v>
      </c>
      <c r="CY74">
        <v>27.894673594544315</v>
      </c>
      <c r="CZ74" t="s">
        <v>201</v>
      </c>
      <c r="DA74" t="s">
        <v>201</v>
      </c>
      <c r="DB74" t="s">
        <v>201</v>
      </c>
      <c r="DC74" s="1" t="s">
        <v>190</v>
      </c>
      <c r="DD74" t="s">
        <v>205</v>
      </c>
      <c r="DE74" t="s">
        <v>201</v>
      </c>
      <c r="DF74" t="s">
        <v>201</v>
      </c>
      <c r="DG74" t="s">
        <v>201</v>
      </c>
      <c r="DH74" t="s">
        <v>201</v>
      </c>
      <c r="DI74">
        <v>28.427498129610285</v>
      </c>
      <c r="DJ74" t="s">
        <v>201</v>
      </c>
      <c r="DK74" t="s">
        <v>201</v>
      </c>
      <c r="DL74" t="s">
        <v>201</v>
      </c>
      <c r="DM74" t="s">
        <v>206</v>
      </c>
      <c r="DN74" t="s">
        <v>201</v>
      </c>
      <c r="DO74" t="s">
        <v>201</v>
      </c>
      <c r="DP74" t="s">
        <v>201</v>
      </c>
      <c r="DQ74" t="s">
        <v>201</v>
      </c>
      <c r="DR74" t="s">
        <v>201</v>
      </c>
      <c r="DS74" t="s">
        <v>201</v>
      </c>
      <c r="DT74" t="s">
        <v>201</v>
      </c>
      <c r="DU74" t="s">
        <v>201</v>
      </c>
      <c r="DV74" t="s">
        <v>201</v>
      </c>
      <c r="DW74" t="s">
        <v>201</v>
      </c>
      <c r="DX74" t="s">
        <v>201</v>
      </c>
      <c r="DY74" t="s">
        <v>201</v>
      </c>
      <c r="DZ74" s="3" t="s">
        <v>201</v>
      </c>
      <c r="EA74" s="3" t="s">
        <v>201</v>
      </c>
      <c r="EB74" t="s">
        <v>201</v>
      </c>
      <c r="EC74" t="s">
        <v>201</v>
      </c>
      <c r="ED74" t="s">
        <v>201</v>
      </c>
      <c r="EE74" t="s">
        <v>201</v>
      </c>
      <c r="EF74" t="s">
        <v>201</v>
      </c>
      <c r="EG74" t="s">
        <v>201</v>
      </c>
      <c r="EH74" t="s">
        <v>201</v>
      </c>
      <c r="EI74" t="s">
        <v>201</v>
      </c>
      <c r="EJ74" t="s">
        <v>201</v>
      </c>
      <c r="EK74" t="s">
        <v>201</v>
      </c>
      <c r="EL74" t="s">
        <v>201</v>
      </c>
      <c r="EM74" t="s">
        <v>201</v>
      </c>
      <c r="EN74" t="s">
        <v>201</v>
      </c>
      <c r="EO74" t="s">
        <v>201</v>
      </c>
      <c r="EP74" t="s">
        <v>201</v>
      </c>
      <c r="EQ74" t="s">
        <v>201</v>
      </c>
      <c r="ER74">
        <v>103.03319999999999</v>
      </c>
      <c r="ES74" t="s">
        <v>201</v>
      </c>
      <c r="ET74" t="s">
        <v>201</v>
      </c>
      <c r="EU74" t="s">
        <v>201</v>
      </c>
      <c r="EV74" s="1" t="s">
        <v>188</v>
      </c>
      <c r="EW74">
        <v>25</v>
      </c>
      <c r="EX74">
        <v>13.728643813037067</v>
      </c>
      <c r="EY74">
        <v>6.6483314238974245E-2</v>
      </c>
      <c r="EZ74">
        <v>6.6483314238974245E-2</v>
      </c>
      <c r="FA74" t="s">
        <v>201</v>
      </c>
      <c r="FB74" s="1" t="s">
        <v>250</v>
      </c>
      <c r="FC74" t="s">
        <v>201</v>
      </c>
      <c r="FD74" t="s">
        <v>201</v>
      </c>
      <c r="FE74" t="s">
        <v>201</v>
      </c>
      <c r="FF74" t="s">
        <v>201</v>
      </c>
      <c r="FG74" t="s">
        <v>217</v>
      </c>
      <c r="FH74">
        <v>350.09770862905339</v>
      </c>
      <c r="FI74">
        <f t="shared" si="19"/>
        <v>26.257328147179003</v>
      </c>
      <c r="FJ74">
        <f t="shared" si="20"/>
        <v>26.257328147179003</v>
      </c>
      <c r="FK74" t="s">
        <v>203</v>
      </c>
      <c r="FL74" t="s">
        <v>216</v>
      </c>
      <c r="FM74" t="s">
        <v>249</v>
      </c>
      <c r="FN74" t="s">
        <v>201</v>
      </c>
      <c r="FO74" t="s">
        <v>201</v>
      </c>
      <c r="FP74" t="s">
        <v>201</v>
      </c>
      <c r="FQ74" t="s">
        <v>201</v>
      </c>
      <c r="FR74" t="s">
        <v>201</v>
      </c>
      <c r="FS74" t="s">
        <v>201</v>
      </c>
      <c r="FT74" t="s">
        <v>199</v>
      </c>
      <c r="FU74" t="s">
        <v>201</v>
      </c>
      <c r="FV74" s="47" t="s">
        <v>344</v>
      </c>
      <c r="FW74" t="s">
        <v>417</v>
      </c>
      <c r="FX74" t="s">
        <v>201</v>
      </c>
      <c r="FY74" t="s">
        <v>248</v>
      </c>
    </row>
    <row r="75" spans="1:181" s="14" customFormat="1" x14ac:dyDescent="0.15">
      <c r="A75" s="3" t="s">
        <v>258</v>
      </c>
      <c r="B75" s="3" t="s">
        <v>193</v>
      </c>
      <c r="C75">
        <v>2017</v>
      </c>
      <c r="D75" s="22" t="str">
        <f t="shared" si="12"/>
        <v>10.1016/j.epsl.2017.03.016</v>
      </c>
      <c r="E75" s="22">
        <f t="shared" si="13"/>
        <v>2404.96</v>
      </c>
      <c r="F75" s="22" t="str">
        <f t="shared" si="14"/>
        <v>NA</v>
      </c>
      <c r="G75" s="22" t="str">
        <f t="shared" si="15"/>
        <v>NA</v>
      </c>
      <c r="H75" s="22">
        <f t="shared" si="16"/>
        <v>391.77244456714413</v>
      </c>
      <c r="I75" s="36">
        <f t="shared" si="17"/>
        <v>29.382933342535807</v>
      </c>
      <c r="J75" s="36">
        <f t="shared" si="18"/>
        <v>29.382933342535807</v>
      </c>
      <c r="K75" s="17" t="s">
        <v>251</v>
      </c>
      <c r="L75" s="17" t="s">
        <v>252</v>
      </c>
      <c r="M75" s="17" t="s">
        <v>194</v>
      </c>
      <c r="N75" s="17" t="s">
        <v>192</v>
      </c>
      <c r="O75" s="14">
        <v>806</v>
      </c>
      <c r="P75" s="16" t="s">
        <v>189</v>
      </c>
      <c r="Q75" s="14">
        <v>6</v>
      </c>
      <c r="R75" s="14" t="s">
        <v>208</v>
      </c>
      <c r="S75" s="14" t="s">
        <v>209</v>
      </c>
      <c r="T75" s="14">
        <v>4</v>
      </c>
      <c r="U75" s="14">
        <v>110</v>
      </c>
      <c r="V75" s="14" t="s">
        <v>201</v>
      </c>
      <c r="W75" s="14" t="s">
        <v>201</v>
      </c>
      <c r="X75" s="14" t="s">
        <v>201</v>
      </c>
      <c r="Y75" s="14" t="s">
        <v>201</v>
      </c>
      <c r="Z75" s="18">
        <v>51.3</v>
      </c>
      <c r="AA75" s="17" t="s">
        <v>207</v>
      </c>
      <c r="AB75" s="14">
        <v>2404.96</v>
      </c>
      <c r="AC75" s="14" t="s">
        <v>201</v>
      </c>
      <c r="AD75" s="14" t="s">
        <v>201</v>
      </c>
      <c r="AE75" s="14" t="s">
        <v>201</v>
      </c>
      <c r="AF75" s="16" t="s">
        <v>177</v>
      </c>
      <c r="AG75" s="16" t="s">
        <v>179</v>
      </c>
      <c r="AH75" s="19">
        <v>0.31850000000000001</v>
      </c>
      <c r="AI75" s="18">
        <v>159.36150000000001</v>
      </c>
      <c r="AJ75" s="14">
        <v>-2520</v>
      </c>
      <c r="AK75" s="14" t="s">
        <v>201</v>
      </c>
      <c r="AL75" s="14" t="s">
        <v>201</v>
      </c>
      <c r="AM75" s="14" t="s">
        <v>201</v>
      </c>
      <c r="AN75" s="14" t="s">
        <v>201</v>
      </c>
      <c r="AO75" s="16" t="s">
        <v>180</v>
      </c>
      <c r="AP75" s="14" t="s">
        <v>201</v>
      </c>
      <c r="AQ75" s="14" t="s">
        <v>201</v>
      </c>
      <c r="AR75" s="14" t="s">
        <v>201</v>
      </c>
      <c r="AS75" s="14" t="s">
        <v>201</v>
      </c>
      <c r="AT75" s="14" t="s">
        <v>201</v>
      </c>
      <c r="AU75" s="14" t="s">
        <v>201</v>
      </c>
      <c r="AV75" s="14" t="s">
        <v>201</v>
      </c>
      <c r="AW75" s="14" t="s">
        <v>201</v>
      </c>
      <c r="AX75" s="14">
        <v>1.956</v>
      </c>
      <c r="AY75" s="14">
        <v>0.13</v>
      </c>
      <c r="AZ75" s="14" t="s">
        <v>203</v>
      </c>
      <c r="BA75" s="14" t="s">
        <v>201</v>
      </c>
      <c r="BB75" s="14">
        <v>-1.3560000000000001</v>
      </c>
      <c r="BC75" s="14">
        <v>0.24</v>
      </c>
      <c r="BD75" s="14" t="s">
        <v>203</v>
      </c>
      <c r="BE75" s="14" t="s">
        <v>201</v>
      </c>
      <c r="BF75" s="16" t="s">
        <v>181</v>
      </c>
      <c r="BG75" s="16" t="s">
        <v>182</v>
      </c>
      <c r="BH75" s="14">
        <v>0</v>
      </c>
      <c r="BI75" s="14" t="s">
        <v>201</v>
      </c>
      <c r="BJ75" s="14" t="s">
        <v>201</v>
      </c>
      <c r="BK75" s="14" t="s">
        <v>201</v>
      </c>
      <c r="BL75" s="14" t="s">
        <v>201</v>
      </c>
      <c r="BM75" s="14" t="s">
        <v>201</v>
      </c>
      <c r="BN75" s="14" t="s">
        <v>201</v>
      </c>
      <c r="BO75" s="14" t="s">
        <v>201</v>
      </c>
      <c r="BP75" s="14" t="s">
        <v>201</v>
      </c>
      <c r="BQ75" s="14" t="s">
        <v>201</v>
      </c>
      <c r="BR75" s="14" t="s">
        <v>201</v>
      </c>
      <c r="BS75" s="16" t="s">
        <v>183</v>
      </c>
      <c r="BT75" s="14">
        <v>-26.369</v>
      </c>
      <c r="BU75" s="16" t="s">
        <v>184</v>
      </c>
      <c r="BV75" s="14">
        <v>0.3</v>
      </c>
      <c r="BW75" s="14" t="s">
        <v>201</v>
      </c>
      <c r="BX75" s="14" t="s">
        <v>202</v>
      </c>
      <c r="BY75" s="14">
        <v>4.2</v>
      </c>
      <c r="BZ75" s="6" t="s">
        <v>201</v>
      </c>
      <c r="CA75" s="6" t="s">
        <v>201</v>
      </c>
      <c r="CB75" s="14">
        <v>-22.279749799999991</v>
      </c>
      <c r="CC75" s="14" t="s">
        <v>201</v>
      </c>
      <c r="CD75" s="14" t="s">
        <v>201</v>
      </c>
      <c r="CE75" s="14" t="s">
        <v>201</v>
      </c>
      <c r="CF75" s="14" t="s">
        <v>201</v>
      </c>
      <c r="CG75" s="14">
        <v>35</v>
      </c>
      <c r="CH75" s="14">
        <v>1</v>
      </c>
      <c r="CI75" s="14" t="s">
        <v>204</v>
      </c>
      <c r="CJ75" s="16" t="s">
        <v>185</v>
      </c>
      <c r="CK75" s="14">
        <v>0.16</v>
      </c>
      <c r="CL75" s="14">
        <v>0.1</v>
      </c>
      <c r="CM75" s="14">
        <v>0.1</v>
      </c>
      <c r="CN75" s="14" t="s">
        <v>204</v>
      </c>
      <c r="CO75" s="16" t="s">
        <v>186</v>
      </c>
      <c r="CP75" s="14" t="s">
        <v>201</v>
      </c>
      <c r="CQ75" s="14" t="s">
        <v>201</v>
      </c>
      <c r="CR75" s="14">
        <f t="shared" si="11"/>
        <v>28.361582394740367</v>
      </c>
      <c r="CS75" s="14" t="s">
        <v>201</v>
      </c>
      <c r="CT75" s="14" t="s">
        <v>201</v>
      </c>
      <c r="CU75" s="14" t="s">
        <v>201</v>
      </c>
      <c r="CV75" s="14" t="s">
        <v>211</v>
      </c>
      <c r="CW75" s="14">
        <v>0.99526951859597046</v>
      </c>
      <c r="CX75" s="14" t="s">
        <v>201</v>
      </c>
      <c r="CY75" s="14">
        <v>28.400672137573213</v>
      </c>
      <c r="CZ75" s="14" t="s">
        <v>201</v>
      </c>
      <c r="DA75" s="14" t="s">
        <v>201</v>
      </c>
      <c r="DB75" s="14" t="s">
        <v>201</v>
      </c>
      <c r="DC75" s="16" t="s">
        <v>190</v>
      </c>
      <c r="DD75" s="14" t="s">
        <v>205</v>
      </c>
      <c r="DE75" s="14" t="s">
        <v>201</v>
      </c>
      <c r="DF75" s="14" t="s">
        <v>201</v>
      </c>
      <c r="DG75" s="14" t="s">
        <v>201</v>
      </c>
      <c r="DH75" s="14" t="s">
        <v>201</v>
      </c>
      <c r="DI75" s="14">
        <v>28.32249265190752</v>
      </c>
      <c r="DJ75" s="14" t="s">
        <v>201</v>
      </c>
      <c r="DK75" s="14" t="s">
        <v>201</v>
      </c>
      <c r="DL75" s="14" t="s">
        <v>201</v>
      </c>
      <c r="DM75" s="14" t="s">
        <v>206</v>
      </c>
      <c r="DN75" s="14" t="s">
        <v>201</v>
      </c>
      <c r="DO75" s="14" t="s">
        <v>201</v>
      </c>
      <c r="DP75" s="14" t="s">
        <v>201</v>
      </c>
      <c r="DQ75" s="14" t="s">
        <v>201</v>
      </c>
      <c r="DR75" s="14" t="s">
        <v>201</v>
      </c>
      <c r="DS75" s="14" t="s">
        <v>201</v>
      </c>
      <c r="DT75" s="14" t="s">
        <v>201</v>
      </c>
      <c r="DU75" s="14" t="s">
        <v>201</v>
      </c>
      <c r="DV75" s="14" t="s">
        <v>201</v>
      </c>
      <c r="DW75" s="14" t="s">
        <v>201</v>
      </c>
      <c r="DX75" s="14">
        <v>2.251461988</v>
      </c>
      <c r="DY75" s="14" t="s">
        <v>201</v>
      </c>
      <c r="DZ75" s="15" t="s">
        <v>201</v>
      </c>
      <c r="EA75" s="21" t="s">
        <v>201</v>
      </c>
      <c r="EB75" s="14" t="s">
        <v>201</v>
      </c>
      <c r="EC75" s="14" t="s">
        <v>201</v>
      </c>
      <c r="ED75" s="14" t="s">
        <v>201</v>
      </c>
      <c r="EE75" s="14" t="s">
        <v>201</v>
      </c>
      <c r="EF75" s="14" t="s">
        <v>201</v>
      </c>
      <c r="EG75" s="14" t="s">
        <v>201</v>
      </c>
      <c r="EH75" s="14" t="s">
        <v>201</v>
      </c>
      <c r="EI75" s="14" t="s">
        <v>201</v>
      </c>
      <c r="EJ75" s="14" t="s">
        <v>201</v>
      </c>
      <c r="EK75" s="14" t="s">
        <v>201</v>
      </c>
      <c r="EL75" s="14" t="s">
        <v>201</v>
      </c>
      <c r="EM75" s="14" t="s">
        <v>201</v>
      </c>
      <c r="EN75" s="14" t="s">
        <v>201</v>
      </c>
      <c r="EO75" s="14" t="s">
        <v>201</v>
      </c>
      <c r="EP75" s="14" t="s">
        <v>201</v>
      </c>
      <c r="EQ75" s="14" t="s">
        <v>201</v>
      </c>
      <c r="ER75" s="14">
        <v>103.03319999999999</v>
      </c>
      <c r="ES75" s="14" t="s">
        <v>201</v>
      </c>
      <c r="ET75" s="14" t="s">
        <v>201</v>
      </c>
      <c r="EU75" s="14" t="s">
        <v>201</v>
      </c>
      <c r="EV75" s="16" t="s">
        <v>188</v>
      </c>
      <c r="EW75" s="14">
        <v>25</v>
      </c>
      <c r="EX75" s="14">
        <v>14.934021875453007</v>
      </c>
      <c r="EY75" s="14">
        <v>9.766527977461692E-3</v>
      </c>
      <c r="EZ75" s="14">
        <v>9.766527977461692E-3</v>
      </c>
      <c r="FA75" s="14" t="s">
        <v>201</v>
      </c>
      <c r="FB75" s="16" t="s">
        <v>250</v>
      </c>
      <c r="FC75" s="14" t="s">
        <v>201</v>
      </c>
      <c r="FD75" s="14" t="s">
        <v>201</v>
      </c>
      <c r="FE75" s="14" t="s">
        <v>201</v>
      </c>
      <c r="FF75" s="14" t="s">
        <v>201</v>
      </c>
      <c r="FG75" s="14" t="s">
        <v>217</v>
      </c>
      <c r="FH75" s="14">
        <v>391.77244456714413</v>
      </c>
      <c r="FI75" s="14">
        <f t="shared" si="19"/>
        <v>29.382933342535807</v>
      </c>
      <c r="FJ75" s="14">
        <f t="shared" si="20"/>
        <v>29.382933342535807</v>
      </c>
      <c r="FK75" s="14" t="s">
        <v>203</v>
      </c>
      <c r="FL75" s="14" t="s">
        <v>216</v>
      </c>
      <c r="FM75" s="14" t="s">
        <v>249</v>
      </c>
      <c r="FN75" s="14" t="s">
        <v>201</v>
      </c>
      <c r="FO75" s="14" t="s">
        <v>201</v>
      </c>
      <c r="FP75" s="14" t="s">
        <v>201</v>
      </c>
      <c r="FQ75" s="14" t="s">
        <v>201</v>
      </c>
      <c r="FR75" s="14" t="s">
        <v>201</v>
      </c>
      <c r="FS75" s="14" t="s">
        <v>201</v>
      </c>
      <c r="FT75" s="14" t="s">
        <v>199</v>
      </c>
      <c r="FU75" s="14" t="s">
        <v>201</v>
      </c>
      <c r="FV75" s="46" t="s">
        <v>345</v>
      </c>
      <c r="FW75" s="14" t="s">
        <v>418</v>
      </c>
      <c r="FX75" s="14" t="s">
        <v>201</v>
      </c>
      <c r="FY75" s="14" t="s">
        <v>248</v>
      </c>
    </row>
    <row r="76" spans="1:181" x14ac:dyDescent="0.15">
      <c r="A76" s="3" t="s">
        <v>258</v>
      </c>
      <c r="B76" s="3" t="s">
        <v>193</v>
      </c>
      <c r="C76">
        <v>2017</v>
      </c>
      <c r="D76" s="22" t="str">
        <f t="shared" si="12"/>
        <v>10.1016/j.epsl.2017.03.016</v>
      </c>
      <c r="E76" s="22">
        <f t="shared" si="13"/>
        <v>2457.98</v>
      </c>
      <c r="F76" s="22" t="str">
        <f t="shared" si="14"/>
        <v>NA</v>
      </c>
      <c r="G76" s="22" t="str">
        <f t="shared" si="15"/>
        <v>NA</v>
      </c>
      <c r="H76" s="22">
        <f t="shared" si="16"/>
        <v>380.17285630321095</v>
      </c>
      <c r="I76" s="36">
        <f t="shared" si="17"/>
        <v>28.51296422274082</v>
      </c>
      <c r="J76" s="36">
        <f t="shared" si="18"/>
        <v>28.51296422274082</v>
      </c>
      <c r="K76" s="2" t="s">
        <v>251</v>
      </c>
      <c r="L76" s="2" t="s">
        <v>252</v>
      </c>
      <c r="M76" s="2" t="s">
        <v>194</v>
      </c>
      <c r="N76" s="2" t="s">
        <v>192</v>
      </c>
      <c r="O76">
        <v>806</v>
      </c>
      <c r="P76" s="1" t="s">
        <v>189</v>
      </c>
      <c r="Q76" t="s">
        <v>201</v>
      </c>
      <c r="R76" t="s">
        <v>201</v>
      </c>
      <c r="S76" t="s">
        <v>201</v>
      </c>
      <c r="T76" t="s">
        <v>201</v>
      </c>
      <c r="U76" t="s">
        <v>201</v>
      </c>
      <c r="V76" t="s">
        <v>201</v>
      </c>
      <c r="W76" t="s">
        <v>201</v>
      </c>
      <c r="X76" t="s">
        <v>201</v>
      </c>
      <c r="Y76" t="s">
        <v>201</v>
      </c>
      <c r="Z76" s="10">
        <v>52.9</v>
      </c>
      <c r="AA76" s="2" t="s">
        <v>207</v>
      </c>
      <c r="AB76">
        <v>2457.98</v>
      </c>
      <c r="AC76" t="s">
        <v>201</v>
      </c>
      <c r="AD76" t="s">
        <v>201</v>
      </c>
      <c r="AE76" t="s">
        <v>201</v>
      </c>
      <c r="AF76" s="1" t="s">
        <v>177</v>
      </c>
      <c r="AG76" s="1" t="s">
        <v>179</v>
      </c>
      <c r="AH76" s="13">
        <v>0.31850000000000001</v>
      </c>
      <c r="AI76" s="10">
        <v>159.36150000000001</v>
      </c>
      <c r="AJ76" s="35">
        <v>-2520</v>
      </c>
      <c r="AK76" t="s">
        <v>201</v>
      </c>
      <c r="AL76" t="s">
        <v>201</v>
      </c>
      <c r="AM76" t="s">
        <v>201</v>
      </c>
      <c r="AN76" t="s">
        <v>201</v>
      </c>
      <c r="AO76" s="1" t="s">
        <v>180</v>
      </c>
      <c r="AP76" t="s">
        <v>201</v>
      </c>
      <c r="AQ76" t="s">
        <v>201</v>
      </c>
      <c r="AR76" t="s">
        <v>201</v>
      </c>
      <c r="AS76" t="s">
        <v>201</v>
      </c>
      <c r="AT76" t="s">
        <v>201</v>
      </c>
      <c r="AU76" t="s">
        <v>201</v>
      </c>
      <c r="AV76" t="s">
        <v>201</v>
      </c>
      <c r="AW76" t="s">
        <v>201</v>
      </c>
      <c r="AX76">
        <v>1.8210000000000002</v>
      </c>
      <c r="AY76">
        <v>0.13</v>
      </c>
      <c r="AZ76" t="s">
        <v>203</v>
      </c>
      <c r="BA76" t="s">
        <v>201</v>
      </c>
      <c r="BB76">
        <v>-0.85299999999999998</v>
      </c>
      <c r="BC76">
        <v>0.24</v>
      </c>
      <c r="BD76" t="s">
        <v>203</v>
      </c>
      <c r="BE76" t="s">
        <v>201</v>
      </c>
      <c r="BF76" s="1" t="s">
        <v>181</v>
      </c>
      <c r="BG76" s="1" t="s">
        <v>182</v>
      </c>
      <c r="BH76">
        <v>0</v>
      </c>
      <c r="BI76" t="s">
        <v>201</v>
      </c>
      <c r="BJ76" t="s">
        <v>201</v>
      </c>
      <c r="BK76" t="s">
        <v>201</v>
      </c>
      <c r="BL76" t="s">
        <v>201</v>
      </c>
      <c r="BM76" t="s">
        <v>201</v>
      </c>
      <c r="BN76" t="s">
        <v>201</v>
      </c>
      <c r="BO76" t="s">
        <v>201</v>
      </c>
      <c r="BP76" t="s">
        <v>201</v>
      </c>
      <c r="BQ76" t="s">
        <v>201</v>
      </c>
      <c r="BR76" t="s">
        <v>201</v>
      </c>
      <c r="BS76" s="1" t="s">
        <v>183</v>
      </c>
      <c r="BT76">
        <v>-26.226500000000001</v>
      </c>
      <c r="BU76" s="1" t="s">
        <v>184</v>
      </c>
      <c r="BV76">
        <v>0.3</v>
      </c>
      <c r="BW76" t="s">
        <v>201</v>
      </c>
      <c r="BX76" t="s">
        <v>202</v>
      </c>
      <c r="BY76">
        <v>4.2</v>
      </c>
      <c r="BZ76" s="4" t="s">
        <v>201</v>
      </c>
      <c r="CA76" s="4" t="s">
        <v>201</v>
      </c>
      <c r="CB76">
        <v>-22.13665130000004</v>
      </c>
      <c r="CC76" t="s">
        <v>201</v>
      </c>
      <c r="CD76" t="s">
        <v>201</v>
      </c>
      <c r="CE76" t="s">
        <v>201</v>
      </c>
      <c r="CF76" t="s">
        <v>201</v>
      </c>
      <c r="CG76">
        <v>35</v>
      </c>
      <c r="CH76">
        <v>1</v>
      </c>
      <c r="CI76" t="s">
        <v>204</v>
      </c>
      <c r="CJ76" s="1" t="s">
        <v>185</v>
      </c>
      <c r="CK76">
        <v>0.16</v>
      </c>
      <c r="CL76">
        <v>0.1</v>
      </c>
      <c r="CM76">
        <v>0.1</v>
      </c>
      <c r="CN76" t="s">
        <v>204</v>
      </c>
      <c r="CO76" s="1" t="s">
        <v>186</v>
      </c>
      <c r="CP76" t="s">
        <v>201</v>
      </c>
      <c r="CQ76" t="s">
        <v>201</v>
      </c>
      <c r="CR76">
        <f t="shared" si="11"/>
        <v>27.410058545914147</v>
      </c>
      <c r="CS76" t="s">
        <v>201</v>
      </c>
      <c r="CT76" t="s">
        <v>201</v>
      </c>
      <c r="CU76" t="s">
        <v>201</v>
      </c>
      <c r="CV76" t="s">
        <v>211</v>
      </c>
      <c r="CW76">
        <v>0.99457125687264625</v>
      </c>
      <c r="CX76" t="s">
        <v>201</v>
      </c>
      <c r="CY76">
        <v>28.37981087032718</v>
      </c>
      <c r="CZ76" t="s">
        <v>201</v>
      </c>
      <c r="DA76" t="s">
        <v>201</v>
      </c>
      <c r="DB76" t="s">
        <v>201</v>
      </c>
      <c r="DC76" s="1" t="s">
        <v>190</v>
      </c>
      <c r="DD76" t="s">
        <v>205</v>
      </c>
      <c r="DE76" t="s">
        <v>201</v>
      </c>
      <c r="DF76" t="s">
        <v>201</v>
      </c>
      <c r="DG76" t="s">
        <v>201</v>
      </c>
      <c r="DH76" t="s">
        <v>201</v>
      </c>
      <c r="DI76">
        <v>26.44030622150111</v>
      </c>
      <c r="DJ76" t="s">
        <v>201</v>
      </c>
      <c r="DK76" t="s">
        <v>201</v>
      </c>
      <c r="DL76" t="s">
        <v>201</v>
      </c>
      <c r="DM76" t="s">
        <v>206</v>
      </c>
      <c r="DN76" t="s">
        <v>201</v>
      </c>
      <c r="DO76" t="s">
        <v>201</v>
      </c>
      <c r="DP76" t="s">
        <v>201</v>
      </c>
      <c r="DQ76" t="s">
        <v>201</v>
      </c>
      <c r="DR76" t="s">
        <v>201</v>
      </c>
      <c r="DS76" t="s">
        <v>201</v>
      </c>
      <c r="DT76" t="s">
        <v>201</v>
      </c>
      <c r="DU76" t="s">
        <v>201</v>
      </c>
      <c r="DV76" t="s">
        <v>201</v>
      </c>
      <c r="DW76" t="s">
        <v>201</v>
      </c>
      <c r="DX76" t="s">
        <v>201</v>
      </c>
      <c r="DY76" t="s">
        <v>201</v>
      </c>
      <c r="DZ76" s="3" t="s">
        <v>201</v>
      </c>
      <c r="EA76" s="3" t="s">
        <v>201</v>
      </c>
      <c r="EB76" t="s">
        <v>201</v>
      </c>
      <c r="EC76" t="s">
        <v>201</v>
      </c>
      <c r="ED76" t="s">
        <v>201</v>
      </c>
      <c r="EE76" t="s">
        <v>201</v>
      </c>
      <c r="EF76" t="s">
        <v>201</v>
      </c>
      <c r="EG76" t="s">
        <v>201</v>
      </c>
      <c r="EH76" t="s">
        <v>201</v>
      </c>
      <c r="EI76" t="s">
        <v>201</v>
      </c>
      <c r="EJ76" t="s">
        <v>201</v>
      </c>
      <c r="EK76" t="s">
        <v>201</v>
      </c>
      <c r="EL76" t="s">
        <v>201</v>
      </c>
      <c r="EM76" t="s">
        <v>201</v>
      </c>
      <c r="EN76" t="s">
        <v>201</v>
      </c>
      <c r="EO76" t="s">
        <v>201</v>
      </c>
      <c r="EP76" t="s">
        <v>201</v>
      </c>
      <c r="EQ76" t="s">
        <v>201</v>
      </c>
      <c r="ER76">
        <v>103.03319999999999</v>
      </c>
      <c r="ES76" t="s">
        <v>201</v>
      </c>
      <c r="ET76" t="s">
        <v>201</v>
      </c>
      <c r="EU76" t="s">
        <v>201</v>
      </c>
      <c r="EV76" s="1" t="s">
        <v>188</v>
      </c>
      <c r="EW76">
        <v>25</v>
      </c>
      <c r="EX76">
        <v>14.632014913019242</v>
      </c>
      <c r="EY76">
        <v>0.24221654365264023</v>
      </c>
      <c r="EZ76">
        <v>0.24221654365264023</v>
      </c>
      <c r="FA76" t="s">
        <v>201</v>
      </c>
      <c r="FB76" s="1" t="s">
        <v>250</v>
      </c>
      <c r="FC76" t="s">
        <v>201</v>
      </c>
      <c r="FD76" t="s">
        <v>201</v>
      </c>
      <c r="FE76" t="s">
        <v>201</v>
      </c>
      <c r="FF76" t="s">
        <v>201</v>
      </c>
      <c r="FG76" t="s">
        <v>217</v>
      </c>
      <c r="FH76">
        <v>380.17285630321095</v>
      </c>
      <c r="FI76">
        <f t="shared" si="19"/>
        <v>28.51296422274082</v>
      </c>
      <c r="FJ76">
        <f t="shared" si="20"/>
        <v>28.51296422274082</v>
      </c>
      <c r="FK76" t="s">
        <v>203</v>
      </c>
      <c r="FL76" t="s">
        <v>216</v>
      </c>
      <c r="FM76" t="s">
        <v>249</v>
      </c>
      <c r="FN76" t="s">
        <v>201</v>
      </c>
      <c r="FO76" t="s">
        <v>201</v>
      </c>
      <c r="FP76" t="s">
        <v>201</v>
      </c>
      <c r="FQ76" t="s">
        <v>201</v>
      </c>
      <c r="FR76" t="s">
        <v>201</v>
      </c>
      <c r="FS76" t="s">
        <v>201</v>
      </c>
      <c r="FT76" t="s">
        <v>199</v>
      </c>
      <c r="FU76" t="s">
        <v>201</v>
      </c>
      <c r="FV76" s="47" t="s">
        <v>346</v>
      </c>
      <c r="FW76" t="s">
        <v>419</v>
      </c>
      <c r="FX76" t="s">
        <v>201</v>
      </c>
      <c r="FY76" t="s">
        <v>248</v>
      </c>
    </row>
    <row r="77" spans="1:181" x14ac:dyDescent="0.15">
      <c r="A77" s="3" t="s">
        <v>258</v>
      </c>
      <c r="B77" s="3" t="s">
        <v>193</v>
      </c>
      <c r="C77">
        <v>2017</v>
      </c>
      <c r="D77" s="22" t="str">
        <f t="shared" si="12"/>
        <v>10.1016/j.epsl.2017.03.016</v>
      </c>
      <c r="E77" s="22">
        <f t="shared" si="13"/>
        <v>2501.6</v>
      </c>
      <c r="F77" s="22" t="str">
        <f t="shared" si="14"/>
        <v>NA</v>
      </c>
      <c r="G77" s="22" t="str">
        <f t="shared" si="15"/>
        <v>NA</v>
      </c>
      <c r="H77" s="22">
        <f t="shared" si="16"/>
        <v>378.91873196578831</v>
      </c>
      <c r="I77" s="36">
        <f t="shared" si="17"/>
        <v>28.418904897434121</v>
      </c>
      <c r="J77" s="36">
        <f t="shared" si="18"/>
        <v>28.418904897434121</v>
      </c>
      <c r="K77" s="2" t="s">
        <v>251</v>
      </c>
      <c r="L77" s="2" t="s">
        <v>252</v>
      </c>
      <c r="M77" s="2" t="s">
        <v>194</v>
      </c>
      <c r="N77" s="2" t="s">
        <v>192</v>
      </c>
      <c r="O77">
        <v>806</v>
      </c>
      <c r="P77" s="1" t="s">
        <v>189</v>
      </c>
      <c r="Q77" t="s">
        <v>201</v>
      </c>
      <c r="R77" t="s">
        <v>201</v>
      </c>
      <c r="S77" t="s">
        <v>201</v>
      </c>
      <c r="T77" t="s">
        <v>201</v>
      </c>
      <c r="U77" t="s">
        <v>201</v>
      </c>
      <c r="V77" t="s">
        <v>201</v>
      </c>
      <c r="W77" t="s">
        <v>201</v>
      </c>
      <c r="X77" t="s">
        <v>201</v>
      </c>
      <c r="Y77" t="s">
        <v>201</v>
      </c>
      <c r="Z77" s="10">
        <v>54.2</v>
      </c>
      <c r="AA77" s="2" t="s">
        <v>207</v>
      </c>
      <c r="AB77">
        <v>2501.6</v>
      </c>
      <c r="AC77" t="s">
        <v>201</v>
      </c>
      <c r="AD77" t="s">
        <v>201</v>
      </c>
      <c r="AE77" t="s">
        <v>201</v>
      </c>
      <c r="AF77" s="1" t="s">
        <v>177</v>
      </c>
      <c r="AG77" s="1" t="s">
        <v>179</v>
      </c>
      <c r="AH77" s="13">
        <v>0.31850000000000001</v>
      </c>
      <c r="AI77" s="10">
        <v>159.36150000000001</v>
      </c>
      <c r="AJ77" s="35">
        <v>-2520</v>
      </c>
      <c r="AK77" t="s">
        <v>201</v>
      </c>
      <c r="AL77" t="s">
        <v>201</v>
      </c>
      <c r="AM77" t="s">
        <v>201</v>
      </c>
      <c r="AN77" t="s">
        <v>201</v>
      </c>
      <c r="AO77" s="1" t="s">
        <v>180</v>
      </c>
      <c r="AP77" t="s">
        <v>201</v>
      </c>
      <c r="AQ77" t="s">
        <v>201</v>
      </c>
      <c r="AR77" t="s">
        <v>201</v>
      </c>
      <c r="AS77" t="s">
        <v>201</v>
      </c>
      <c r="AT77" t="s">
        <v>201</v>
      </c>
      <c r="AU77" t="s">
        <v>201</v>
      </c>
      <c r="AV77" t="s">
        <v>201</v>
      </c>
      <c r="AW77" t="s">
        <v>201</v>
      </c>
      <c r="AX77">
        <v>1.694</v>
      </c>
      <c r="AY77">
        <v>0.13</v>
      </c>
      <c r="AZ77" t="s">
        <v>203</v>
      </c>
      <c r="BA77" t="s">
        <v>201</v>
      </c>
      <c r="BB77">
        <v>-1.173</v>
      </c>
      <c r="BC77">
        <v>0.24</v>
      </c>
      <c r="BD77" t="s">
        <v>203</v>
      </c>
      <c r="BE77" t="s">
        <v>201</v>
      </c>
      <c r="BF77" s="1" t="s">
        <v>181</v>
      </c>
      <c r="BG77" s="1" t="s">
        <v>182</v>
      </c>
      <c r="BH77">
        <v>0</v>
      </c>
      <c r="BI77" t="s">
        <v>201</v>
      </c>
      <c r="BJ77" t="s">
        <v>201</v>
      </c>
      <c r="BK77" t="s">
        <v>201</v>
      </c>
      <c r="BL77" t="s">
        <v>201</v>
      </c>
      <c r="BM77" t="s">
        <v>201</v>
      </c>
      <c r="BN77" t="s">
        <v>201</v>
      </c>
      <c r="BO77" t="s">
        <v>201</v>
      </c>
      <c r="BP77" t="s">
        <v>201</v>
      </c>
      <c r="BQ77" t="s">
        <v>201</v>
      </c>
      <c r="BR77" t="s">
        <v>201</v>
      </c>
      <c r="BS77" s="1" t="s">
        <v>183</v>
      </c>
      <c r="BT77">
        <v>-26.323</v>
      </c>
      <c r="BU77" s="1" t="s">
        <v>184</v>
      </c>
      <c r="BV77">
        <v>0.3</v>
      </c>
      <c r="BW77" t="s">
        <v>201</v>
      </c>
      <c r="BX77" t="s">
        <v>202</v>
      </c>
      <c r="BY77">
        <v>4.2</v>
      </c>
      <c r="BZ77" s="4" t="s">
        <v>201</v>
      </c>
      <c r="CA77" s="4" t="s">
        <v>201</v>
      </c>
      <c r="CB77">
        <v>-22.233556600000043</v>
      </c>
      <c r="CC77" t="s">
        <v>201</v>
      </c>
      <c r="CD77" t="s">
        <v>201</v>
      </c>
      <c r="CE77" t="s">
        <v>201</v>
      </c>
      <c r="CF77" t="s">
        <v>201</v>
      </c>
      <c r="CG77">
        <v>35</v>
      </c>
      <c r="CH77">
        <v>1</v>
      </c>
      <c r="CI77" t="s">
        <v>204</v>
      </c>
      <c r="CJ77" s="1" t="s">
        <v>185</v>
      </c>
      <c r="CK77">
        <v>0.16</v>
      </c>
      <c r="CL77">
        <v>0.1</v>
      </c>
      <c r="CM77">
        <v>0.1</v>
      </c>
      <c r="CN77" t="s">
        <v>204</v>
      </c>
      <c r="CO77" s="1" t="s">
        <v>186</v>
      </c>
      <c r="CP77" t="s">
        <v>201</v>
      </c>
      <c r="CQ77" t="s">
        <v>201</v>
      </c>
      <c r="CR77">
        <f t="shared" si="11"/>
        <v>28.066878095423128</v>
      </c>
      <c r="CS77" t="s">
        <v>201</v>
      </c>
      <c r="CT77" t="s">
        <v>201</v>
      </c>
      <c r="CU77" t="s">
        <v>201</v>
      </c>
      <c r="CV77" t="s">
        <v>211</v>
      </c>
      <c r="CW77">
        <v>0.99520953020396774</v>
      </c>
      <c r="CX77" t="s">
        <v>201</v>
      </c>
      <c r="CY77">
        <v>28.398879924373741</v>
      </c>
      <c r="CZ77" t="s">
        <v>201</v>
      </c>
      <c r="DA77" t="s">
        <v>201</v>
      </c>
      <c r="DB77" t="s">
        <v>201</v>
      </c>
      <c r="DC77" s="1" t="s">
        <v>190</v>
      </c>
      <c r="DD77" t="s">
        <v>205</v>
      </c>
      <c r="DE77" t="s">
        <v>201</v>
      </c>
      <c r="DF77" t="s">
        <v>201</v>
      </c>
      <c r="DG77" t="s">
        <v>201</v>
      </c>
      <c r="DH77" t="s">
        <v>201</v>
      </c>
      <c r="DI77">
        <v>27.734876266472519</v>
      </c>
      <c r="DJ77" t="s">
        <v>201</v>
      </c>
      <c r="DK77" t="s">
        <v>201</v>
      </c>
      <c r="DL77" t="s">
        <v>201</v>
      </c>
      <c r="DM77" t="s">
        <v>206</v>
      </c>
      <c r="DN77" t="s">
        <v>201</v>
      </c>
      <c r="DO77" t="s">
        <v>201</v>
      </c>
      <c r="DP77" t="s">
        <v>201</v>
      </c>
      <c r="DQ77" t="s">
        <v>201</v>
      </c>
      <c r="DR77" t="s">
        <v>201</v>
      </c>
      <c r="DS77" t="s">
        <v>201</v>
      </c>
      <c r="DT77" t="s">
        <v>201</v>
      </c>
      <c r="DU77" t="s">
        <v>201</v>
      </c>
      <c r="DV77" t="s">
        <v>201</v>
      </c>
      <c r="DW77" t="s">
        <v>201</v>
      </c>
      <c r="DX77" t="s">
        <v>201</v>
      </c>
      <c r="DY77" t="s">
        <v>201</v>
      </c>
      <c r="DZ77" s="3" t="s">
        <v>201</v>
      </c>
      <c r="EA77" s="3" t="s">
        <v>201</v>
      </c>
      <c r="EB77" t="s">
        <v>201</v>
      </c>
      <c r="EC77" t="s">
        <v>201</v>
      </c>
      <c r="ED77" t="s">
        <v>201</v>
      </c>
      <c r="EE77" t="s">
        <v>201</v>
      </c>
      <c r="EF77" t="s">
        <v>201</v>
      </c>
      <c r="EG77" t="s">
        <v>201</v>
      </c>
      <c r="EH77" t="s">
        <v>201</v>
      </c>
      <c r="EI77" t="s">
        <v>201</v>
      </c>
      <c r="EJ77" t="s">
        <v>201</v>
      </c>
      <c r="EK77" t="s">
        <v>201</v>
      </c>
      <c r="EL77" t="s">
        <v>201</v>
      </c>
      <c r="EM77" t="s">
        <v>201</v>
      </c>
      <c r="EN77" t="s">
        <v>201</v>
      </c>
      <c r="EO77" t="s">
        <v>201</v>
      </c>
      <c r="EP77" t="s">
        <v>201</v>
      </c>
      <c r="EQ77" t="s">
        <v>201</v>
      </c>
      <c r="ER77">
        <v>103.03319999999999</v>
      </c>
      <c r="ES77" t="s">
        <v>201</v>
      </c>
      <c r="ET77" t="s">
        <v>201</v>
      </c>
      <c r="EU77" t="s">
        <v>201</v>
      </c>
      <c r="EV77" s="1" t="s">
        <v>188</v>
      </c>
      <c r="EW77">
        <v>25</v>
      </c>
      <c r="EX77">
        <v>14.593004240454732</v>
      </c>
      <c r="EY77">
        <v>8.2922033272758711E-2</v>
      </c>
      <c r="EZ77">
        <v>8.2922033272758711E-2</v>
      </c>
      <c r="FA77" t="s">
        <v>201</v>
      </c>
      <c r="FB77" s="1" t="s">
        <v>250</v>
      </c>
      <c r="FC77" t="s">
        <v>201</v>
      </c>
      <c r="FD77" t="s">
        <v>201</v>
      </c>
      <c r="FE77" t="s">
        <v>201</v>
      </c>
      <c r="FF77" t="s">
        <v>201</v>
      </c>
      <c r="FG77" t="s">
        <v>217</v>
      </c>
      <c r="FH77">
        <v>378.91873196578831</v>
      </c>
      <c r="FI77">
        <f t="shared" si="19"/>
        <v>28.418904897434121</v>
      </c>
      <c r="FJ77">
        <f t="shared" si="20"/>
        <v>28.418904897434121</v>
      </c>
      <c r="FK77" t="s">
        <v>203</v>
      </c>
      <c r="FL77" t="s">
        <v>216</v>
      </c>
      <c r="FM77" t="s">
        <v>249</v>
      </c>
      <c r="FN77" t="s">
        <v>201</v>
      </c>
      <c r="FO77" t="s">
        <v>201</v>
      </c>
      <c r="FP77" t="s">
        <v>201</v>
      </c>
      <c r="FQ77" t="s">
        <v>201</v>
      </c>
      <c r="FR77" t="s">
        <v>201</v>
      </c>
      <c r="FS77" t="s">
        <v>201</v>
      </c>
      <c r="FT77" t="s">
        <v>199</v>
      </c>
      <c r="FU77" t="s">
        <v>201</v>
      </c>
      <c r="FV77" s="47" t="s">
        <v>347</v>
      </c>
      <c r="FW77" t="s">
        <v>420</v>
      </c>
      <c r="FX77" t="s">
        <v>201</v>
      </c>
      <c r="FY77" t="s">
        <v>248</v>
      </c>
    </row>
    <row r="78" spans="1:181" x14ac:dyDescent="0.15">
      <c r="A78" s="3" t="s">
        <v>258</v>
      </c>
      <c r="B78" s="3" t="s">
        <v>193</v>
      </c>
      <c r="C78">
        <v>2017</v>
      </c>
      <c r="D78" s="22" t="str">
        <f t="shared" si="12"/>
        <v>10.1016/j.epsl.2017.03.016</v>
      </c>
      <c r="E78" s="22">
        <f t="shared" si="13"/>
        <v>2532.1999999999998</v>
      </c>
      <c r="F78" s="22" t="str">
        <f t="shared" si="14"/>
        <v>NA</v>
      </c>
      <c r="G78" s="22" t="str">
        <f t="shared" si="15"/>
        <v>NA</v>
      </c>
      <c r="H78" s="22">
        <f t="shared" si="16"/>
        <v>373.83320436910248</v>
      </c>
      <c r="I78" s="36">
        <f t="shared" si="17"/>
        <v>28.037490327682686</v>
      </c>
      <c r="J78" s="36">
        <f t="shared" si="18"/>
        <v>28.037490327682686</v>
      </c>
      <c r="K78" s="2" t="s">
        <v>251</v>
      </c>
      <c r="L78" s="2" t="s">
        <v>252</v>
      </c>
      <c r="M78" s="2" t="s">
        <v>194</v>
      </c>
      <c r="N78" s="2" t="s">
        <v>192</v>
      </c>
      <c r="O78">
        <v>806</v>
      </c>
      <c r="P78" s="1" t="s">
        <v>189</v>
      </c>
      <c r="Q78" t="s">
        <v>201</v>
      </c>
      <c r="R78" t="s">
        <v>201</v>
      </c>
      <c r="S78" t="s">
        <v>201</v>
      </c>
      <c r="T78" t="s">
        <v>201</v>
      </c>
      <c r="U78" t="s">
        <v>201</v>
      </c>
      <c r="V78" t="s">
        <v>201</v>
      </c>
      <c r="W78" t="s">
        <v>201</v>
      </c>
      <c r="X78" t="s">
        <v>201</v>
      </c>
      <c r="Y78" t="s">
        <v>201</v>
      </c>
      <c r="Z78" s="10">
        <v>55.2</v>
      </c>
      <c r="AA78" s="2" t="s">
        <v>207</v>
      </c>
      <c r="AB78">
        <v>2532.1999999999998</v>
      </c>
      <c r="AC78" t="s">
        <v>201</v>
      </c>
      <c r="AD78" t="s">
        <v>201</v>
      </c>
      <c r="AE78" t="s">
        <v>201</v>
      </c>
      <c r="AF78" s="1" t="s">
        <v>177</v>
      </c>
      <c r="AG78" s="1" t="s">
        <v>179</v>
      </c>
      <c r="AH78" s="13">
        <v>0.31850000000000001</v>
      </c>
      <c r="AI78" s="10">
        <v>159.36150000000001</v>
      </c>
      <c r="AJ78" s="35">
        <v>-2520</v>
      </c>
      <c r="AK78" t="s">
        <v>201</v>
      </c>
      <c r="AL78" t="s">
        <v>201</v>
      </c>
      <c r="AM78" t="s">
        <v>201</v>
      </c>
      <c r="AN78" t="s">
        <v>201</v>
      </c>
      <c r="AO78" s="1" t="s">
        <v>180</v>
      </c>
      <c r="AP78" t="s">
        <v>201</v>
      </c>
      <c r="AQ78" t="s">
        <v>201</v>
      </c>
      <c r="AR78" t="s">
        <v>201</v>
      </c>
      <c r="AS78" t="s">
        <v>201</v>
      </c>
      <c r="AT78" t="s">
        <v>201</v>
      </c>
      <c r="AU78" t="s">
        <v>201</v>
      </c>
      <c r="AV78" t="s">
        <v>201</v>
      </c>
      <c r="AW78" t="s">
        <v>201</v>
      </c>
      <c r="AX78">
        <v>1.7790000000000001</v>
      </c>
      <c r="AY78">
        <v>0.13</v>
      </c>
      <c r="AZ78" t="s">
        <v>203</v>
      </c>
      <c r="BA78" t="s">
        <v>201</v>
      </c>
      <c r="BB78">
        <v>-1.1339999999999999</v>
      </c>
      <c r="BC78">
        <v>0.24</v>
      </c>
      <c r="BD78" t="s">
        <v>203</v>
      </c>
      <c r="BE78" t="s">
        <v>201</v>
      </c>
      <c r="BF78" s="1" t="s">
        <v>181</v>
      </c>
      <c r="BG78" s="1" t="s">
        <v>182</v>
      </c>
      <c r="BH78">
        <v>0</v>
      </c>
      <c r="BI78" t="s">
        <v>201</v>
      </c>
      <c r="BJ78" t="s">
        <v>201</v>
      </c>
      <c r="BK78" t="s">
        <v>201</v>
      </c>
      <c r="BL78" t="s">
        <v>201</v>
      </c>
      <c r="BM78" t="s">
        <v>201</v>
      </c>
      <c r="BN78" t="s">
        <v>201</v>
      </c>
      <c r="BO78" t="s">
        <v>201</v>
      </c>
      <c r="BP78" t="s">
        <v>201</v>
      </c>
      <c r="BQ78" t="s">
        <v>201</v>
      </c>
      <c r="BR78" t="s">
        <v>201</v>
      </c>
      <c r="BS78" s="1" t="s">
        <v>183</v>
      </c>
      <c r="BT78">
        <v>-26.004000000000001</v>
      </c>
      <c r="BU78" s="1" t="s">
        <v>184</v>
      </c>
      <c r="BV78">
        <v>0.3</v>
      </c>
      <c r="BW78" t="s">
        <v>201</v>
      </c>
      <c r="BX78" t="s">
        <v>202</v>
      </c>
      <c r="BY78">
        <v>4.2</v>
      </c>
      <c r="BZ78" s="4" t="s">
        <v>201</v>
      </c>
      <c r="CA78" s="4" t="s">
        <v>201</v>
      </c>
      <c r="CB78">
        <v>-21.913216799999987</v>
      </c>
      <c r="CC78" t="s">
        <v>201</v>
      </c>
      <c r="CD78" t="s">
        <v>201</v>
      </c>
      <c r="CE78" t="s">
        <v>201</v>
      </c>
      <c r="CF78" t="s">
        <v>201</v>
      </c>
      <c r="CG78">
        <v>35</v>
      </c>
      <c r="CH78">
        <v>1</v>
      </c>
      <c r="CI78" t="s">
        <v>204</v>
      </c>
      <c r="CJ78" s="1" t="s">
        <v>185</v>
      </c>
      <c r="CK78">
        <v>0.16</v>
      </c>
      <c r="CL78">
        <v>0.1</v>
      </c>
      <c r="CM78">
        <v>0.1</v>
      </c>
      <c r="CN78" t="s">
        <v>204</v>
      </c>
      <c r="CO78" s="1" t="s">
        <v>186</v>
      </c>
      <c r="CP78" t="s">
        <v>201</v>
      </c>
      <c r="CQ78" t="s">
        <v>201</v>
      </c>
      <c r="CR78">
        <f t="shared" si="11"/>
        <v>28.566309995677198</v>
      </c>
      <c r="CS78" t="s">
        <v>201</v>
      </c>
      <c r="CT78" t="s">
        <v>201</v>
      </c>
      <c r="CU78" t="s">
        <v>201</v>
      </c>
      <c r="CV78" t="s">
        <v>211</v>
      </c>
      <c r="CW78">
        <v>0.99786204662496314</v>
      </c>
      <c r="CX78" t="s">
        <v>201</v>
      </c>
      <c r="CY78">
        <v>28.478126504967399</v>
      </c>
      <c r="CZ78" t="s">
        <v>201</v>
      </c>
      <c r="DA78" t="s">
        <v>201</v>
      </c>
      <c r="DB78" t="s">
        <v>201</v>
      </c>
      <c r="DC78" s="1" t="s">
        <v>190</v>
      </c>
      <c r="DD78" t="s">
        <v>205</v>
      </c>
      <c r="DE78" t="s">
        <v>201</v>
      </c>
      <c r="DF78" t="s">
        <v>201</v>
      </c>
      <c r="DG78" t="s">
        <v>201</v>
      </c>
      <c r="DH78" t="s">
        <v>201</v>
      </c>
      <c r="DI78">
        <v>28.654493486386997</v>
      </c>
      <c r="DJ78" t="s">
        <v>201</v>
      </c>
      <c r="DK78" t="s">
        <v>201</v>
      </c>
      <c r="DL78" t="s">
        <v>201</v>
      </c>
      <c r="DM78" t="s">
        <v>206</v>
      </c>
      <c r="DN78" t="s">
        <v>201</v>
      </c>
      <c r="DO78" t="s">
        <v>201</v>
      </c>
      <c r="DP78" t="s">
        <v>201</v>
      </c>
      <c r="DQ78" t="s">
        <v>201</v>
      </c>
      <c r="DR78" t="s">
        <v>201</v>
      </c>
      <c r="DS78" t="s">
        <v>201</v>
      </c>
      <c r="DT78" t="s">
        <v>201</v>
      </c>
      <c r="DU78" t="s">
        <v>201</v>
      </c>
      <c r="DV78" t="s">
        <v>201</v>
      </c>
      <c r="DW78" t="s">
        <v>201</v>
      </c>
      <c r="DX78" t="s">
        <v>201</v>
      </c>
      <c r="DY78" t="s">
        <v>201</v>
      </c>
      <c r="DZ78" s="3" t="s">
        <v>201</v>
      </c>
      <c r="EA78" s="3" t="s">
        <v>201</v>
      </c>
      <c r="EB78" t="s">
        <v>201</v>
      </c>
      <c r="EC78" t="s">
        <v>201</v>
      </c>
      <c r="ED78" t="s">
        <v>201</v>
      </c>
      <c r="EE78" t="s">
        <v>201</v>
      </c>
      <c r="EF78" t="s">
        <v>201</v>
      </c>
      <c r="EG78" t="s">
        <v>201</v>
      </c>
      <c r="EH78" t="s">
        <v>201</v>
      </c>
      <c r="EI78" t="s">
        <v>201</v>
      </c>
      <c r="EJ78" t="s">
        <v>201</v>
      </c>
      <c r="EK78" t="s">
        <v>201</v>
      </c>
      <c r="EL78" t="s">
        <v>201</v>
      </c>
      <c r="EM78" t="s">
        <v>201</v>
      </c>
      <c r="EN78" t="s">
        <v>201</v>
      </c>
      <c r="EO78" t="s">
        <v>201</v>
      </c>
      <c r="EP78" t="s">
        <v>201</v>
      </c>
      <c r="EQ78" t="s">
        <v>201</v>
      </c>
      <c r="ER78">
        <v>103.03319999999999</v>
      </c>
      <c r="ES78" t="s">
        <v>201</v>
      </c>
      <c r="ET78" t="s">
        <v>201</v>
      </c>
      <c r="EU78" t="s">
        <v>201</v>
      </c>
      <c r="EV78" s="1" t="s">
        <v>188</v>
      </c>
      <c r="EW78">
        <v>25</v>
      </c>
      <c r="EX78">
        <v>14.387598048402284</v>
      </c>
      <c r="EY78">
        <v>2.2020071341888325E-2</v>
      </c>
      <c r="EZ78">
        <v>2.2020071341888325E-2</v>
      </c>
      <c r="FA78" t="s">
        <v>201</v>
      </c>
      <c r="FB78" s="1" t="s">
        <v>250</v>
      </c>
      <c r="FC78" t="s">
        <v>201</v>
      </c>
      <c r="FD78" t="s">
        <v>201</v>
      </c>
      <c r="FE78" t="s">
        <v>201</v>
      </c>
      <c r="FF78" t="s">
        <v>201</v>
      </c>
      <c r="FG78" t="s">
        <v>217</v>
      </c>
      <c r="FH78">
        <v>373.83320436910248</v>
      </c>
      <c r="FI78">
        <f t="shared" si="19"/>
        <v>28.037490327682686</v>
      </c>
      <c r="FJ78">
        <f t="shared" si="20"/>
        <v>28.037490327682686</v>
      </c>
      <c r="FK78" t="s">
        <v>203</v>
      </c>
      <c r="FL78" t="s">
        <v>216</v>
      </c>
      <c r="FM78" t="s">
        <v>249</v>
      </c>
      <c r="FN78" t="s">
        <v>201</v>
      </c>
      <c r="FO78" t="s">
        <v>201</v>
      </c>
      <c r="FP78" t="s">
        <v>201</v>
      </c>
      <c r="FQ78" t="s">
        <v>201</v>
      </c>
      <c r="FR78" t="s">
        <v>201</v>
      </c>
      <c r="FS78" t="s">
        <v>201</v>
      </c>
      <c r="FT78" t="s">
        <v>199</v>
      </c>
      <c r="FU78" t="s">
        <v>201</v>
      </c>
      <c r="FV78" s="47" t="s">
        <v>348</v>
      </c>
      <c r="FW78" t="s">
        <v>421</v>
      </c>
      <c r="FX78" t="s">
        <v>201</v>
      </c>
      <c r="FY78" t="s">
        <v>248</v>
      </c>
    </row>
    <row r="79" spans="1:181" x14ac:dyDescent="0.15">
      <c r="A79" s="3" t="s">
        <v>258</v>
      </c>
      <c r="B79" s="3" t="s">
        <v>193</v>
      </c>
      <c r="C79">
        <v>2017</v>
      </c>
      <c r="D79" s="22" t="str">
        <f t="shared" si="12"/>
        <v>10.1016/j.epsl.2017.03.016</v>
      </c>
      <c r="E79" s="22">
        <f t="shared" si="13"/>
        <v>2523.58</v>
      </c>
      <c r="F79" s="22" t="str">
        <f t="shared" si="14"/>
        <v>NA</v>
      </c>
      <c r="G79" s="22" t="str">
        <f t="shared" si="15"/>
        <v>NA</v>
      </c>
      <c r="H79" s="22">
        <f t="shared" si="16"/>
        <v>344.74312807759316</v>
      </c>
      <c r="I79" s="36">
        <f t="shared" si="17"/>
        <v>25.855734605819485</v>
      </c>
      <c r="J79" s="36">
        <f t="shared" si="18"/>
        <v>25.855734605819485</v>
      </c>
      <c r="K79" s="2" t="s">
        <v>251</v>
      </c>
      <c r="L79" s="2" t="s">
        <v>252</v>
      </c>
      <c r="M79" s="2" t="s">
        <v>194</v>
      </c>
      <c r="N79" s="2" t="s">
        <v>192</v>
      </c>
      <c r="O79">
        <v>806</v>
      </c>
      <c r="P79" s="1" t="s">
        <v>189</v>
      </c>
      <c r="Q79" t="s">
        <v>201</v>
      </c>
      <c r="R79" t="s">
        <v>201</v>
      </c>
      <c r="S79" t="s">
        <v>201</v>
      </c>
      <c r="T79" t="s">
        <v>201</v>
      </c>
      <c r="U79" t="s">
        <v>201</v>
      </c>
      <c r="V79" t="s">
        <v>201</v>
      </c>
      <c r="W79" t="s">
        <v>201</v>
      </c>
      <c r="X79" t="s">
        <v>201</v>
      </c>
      <c r="Y79" t="s">
        <v>201</v>
      </c>
      <c r="Z79" s="10">
        <v>54.8</v>
      </c>
      <c r="AA79" s="2" t="s">
        <v>207</v>
      </c>
      <c r="AB79">
        <v>2523.58</v>
      </c>
      <c r="AC79" t="s">
        <v>201</v>
      </c>
      <c r="AD79" t="s">
        <v>201</v>
      </c>
      <c r="AE79" t="s">
        <v>201</v>
      </c>
      <c r="AF79" s="1" t="s">
        <v>177</v>
      </c>
      <c r="AG79" s="1" t="s">
        <v>179</v>
      </c>
      <c r="AH79" s="13">
        <v>0.31850000000000001</v>
      </c>
      <c r="AI79" s="10">
        <v>159.36150000000001</v>
      </c>
      <c r="AJ79" s="35">
        <v>-2520</v>
      </c>
      <c r="AK79" t="s">
        <v>201</v>
      </c>
      <c r="AL79" t="s">
        <v>201</v>
      </c>
      <c r="AM79" t="s">
        <v>201</v>
      </c>
      <c r="AN79" t="s">
        <v>201</v>
      </c>
      <c r="AO79" s="1" t="s">
        <v>180</v>
      </c>
      <c r="AP79" t="s">
        <v>201</v>
      </c>
      <c r="AQ79" t="s">
        <v>201</v>
      </c>
      <c r="AR79" t="s">
        <v>201</v>
      </c>
      <c r="AS79" t="s">
        <v>201</v>
      </c>
      <c r="AT79" t="s">
        <v>201</v>
      </c>
      <c r="AU79" t="s">
        <v>201</v>
      </c>
      <c r="AV79" t="s">
        <v>201</v>
      </c>
      <c r="AW79" t="s">
        <v>201</v>
      </c>
      <c r="AX79">
        <v>1.4890000000000001</v>
      </c>
      <c r="AY79">
        <v>0.13</v>
      </c>
      <c r="AZ79" t="s">
        <v>203</v>
      </c>
      <c r="BA79" t="s">
        <v>201</v>
      </c>
      <c r="BB79">
        <v>-0.17199999999999999</v>
      </c>
      <c r="BC79">
        <v>0.24</v>
      </c>
      <c r="BD79" t="s">
        <v>203</v>
      </c>
      <c r="BE79" t="s">
        <v>201</v>
      </c>
      <c r="BF79" s="1" t="s">
        <v>181</v>
      </c>
      <c r="BG79" s="1" t="s">
        <v>182</v>
      </c>
      <c r="BH79">
        <v>0</v>
      </c>
      <c r="BI79" t="s">
        <v>201</v>
      </c>
      <c r="BJ79" t="s">
        <v>201</v>
      </c>
      <c r="BK79" t="s">
        <v>201</v>
      </c>
      <c r="BL79" t="s">
        <v>201</v>
      </c>
      <c r="BM79" t="s">
        <v>201</v>
      </c>
      <c r="BN79" t="s">
        <v>201</v>
      </c>
      <c r="BO79" t="s">
        <v>201</v>
      </c>
      <c r="BP79" t="s">
        <v>201</v>
      </c>
      <c r="BQ79" t="s">
        <v>201</v>
      </c>
      <c r="BR79" t="s">
        <v>201</v>
      </c>
      <c r="BS79" s="1" t="s">
        <v>183</v>
      </c>
      <c r="BT79">
        <v>-25.719000000000001</v>
      </c>
      <c r="BU79" s="1" t="s">
        <v>184</v>
      </c>
      <c r="BV79">
        <v>0.3</v>
      </c>
      <c r="BW79" t="s">
        <v>201</v>
      </c>
      <c r="BX79" t="s">
        <v>202</v>
      </c>
      <c r="BY79">
        <v>4.2</v>
      </c>
      <c r="BZ79" s="4" t="s">
        <v>201</v>
      </c>
      <c r="CA79" s="4" t="s">
        <v>201</v>
      </c>
      <c r="CB79">
        <v>-21.627019800000085</v>
      </c>
      <c r="CC79" t="s">
        <v>201</v>
      </c>
      <c r="CD79" t="s">
        <v>201</v>
      </c>
      <c r="CE79" t="s">
        <v>201</v>
      </c>
      <c r="CF79" t="s">
        <v>201</v>
      </c>
      <c r="CG79">
        <v>35</v>
      </c>
      <c r="CH79">
        <v>1</v>
      </c>
      <c r="CI79" t="s">
        <v>204</v>
      </c>
      <c r="CJ79" s="1" t="s">
        <v>185</v>
      </c>
      <c r="CK79">
        <v>0.16</v>
      </c>
      <c r="CL79">
        <v>0.1</v>
      </c>
      <c r="CM79">
        <v>0.1</v>
      </c>
      <c r="CN79" t="s">
        <v>204</v>
      </c>
      <c r="CO79" s="1" t="s">
        <v>186</v>
      </c>
      <c r="CP79" t="s">
        <v>201</v>
      </c>
      <c r="CQ79" t="s">
        <v>201</v>
      </c>
      <c r="CR79">
        <f t="shared" si="11"/>
        <v>27.530265891360742</v>
      </c>
      <c r="CS79" t="s">
        <v>201</v>
      </c>
      <c r="CT79" t="s">
        <v>201</v>
      </c>
      <c r="CU79" t="s">
        <v>201</v>
      </c>
      <c r="CV79" t="s">
        <v>211</v>
      </c>
      <c r="CW79">
        <v>0.98049652407237631</v>
      </c>
      <c r="CX79" t="s">
        <v>201</v>
      </c>
      <c r="CY79">
        <v>27.959314153186316</v>
      </c>
      <c r="CZ79" t="s">
        <v>201</v>
      </c>
      <c r="DA79" t="s">
        <v>201</v>
      </c>
      <c r="DB79" t="s">
        <v>201</v>
      </c>
      <c r="DC79" s="1" t="s">
        <v>190</v>
      </c>
      <c r="DD79" t="s">
        <v>205</v>
      </c>
      <c r="DE79" t="s">
        <v>201</v>
      </c>
      <c r="DF79" t="s">
        <v>201</v>
      </c>
      <c r="DG79" t="s">
        <v>201</v>
      </c>
      <c r="DH79" t="s">
        <v>201</v>
      </c>
      <c r="DI79">
        <v>27.101217629535171</v>
      </c>
      <c r="DJ79" t="s">
        <v>201</v>
      </c>
      <c r="DK79" t="s">
        <v>201</v>
      </c>
      <c r="DL79" t="s">
        <v>201</v>
      </c>
      <c r="DM79" t="s">
        <v>206</v>
      </c>
      <c r="DN79" t="s">
        <v>201</v>
      </c>
      <c r="DO79" t="s">
        <v>201</v>
      </c>
      <c r="DP79" t="s">
        <v>201</v>
      </c>
      <c r="DQ79" t="s">
        <v>201</v>
      </c>
      <c r="DR79" t="s">
        <v>201</v>
      </c>
      <c r="DS79" t="s">
        <v>201</v>
      </c>
      <c r="DT79" t="s">
        <v>201</v>
      </c>
      <c r="DU79" t="s">
        <v>201</v>
      </c>
      <c r="DV79" t="s">
        <v>201</v>
      </c>
      <c r="DW79" t="s">
        <v>201</v>
      </c>
      <c r="DX79" t="s">
        <v>201</v>
      </c>
      <c r="DY79" t="s">
        <v>201</v>
      </c>
      <c r="DZ79" s="3" t="s">
        <v>201</v>
      </c>
      <c r="EA79" s="3" t="s">
        <v>201</v>
      </c>
      <c r="EB79" t="s">
        <v>201</v>
      </c>
      <c r="EC79" t="s">
        <v>201</v>
      </c>
      <c r="ED79" t="s">
        <v>201</v>
      </c>
      <c r="EE79" t="s">
        <v>201</v>
      </c>
      <c r="EF79" t="s">
        <v>201</v>
      </c>
      <c r="EG79" t="s">
        <v>201</v>
      </c>
      <c r="EH79" t="s">
        <v>201</v>
      </c>
      <c r="EI79" t="s">
        <v>201</v>
      </c>
      <c r="EJ79" t="s">
        <v>201</v>
      </c>
      <c r="EK79" t="s">
        <v>201</v>
      </c>
      <c r="EL79" t="s">
        <v>201</v>
      </c>
      <c r="EM79" t="s">
        <v>201</v>
      </c>
      <c r="EN79" t="s">
        <v>201</v>
      </c>
      <c r="EO79" t="s">
        <v>201</v>
      </c>
      <c r="EP79" t="s">
        <v>201</v>
      </c>
      <c r="EQ79" t="s">
        <v>201</v>
      </c>
      <c r="ER79">
        <v>103.03319999999999</v>
      </c>
      <c r="ES79" t="s">
        <v>201</v>
      </c>
      <c r="ET79" t="s">
        <v>201</v>
      </c>
      <c r="EU79" t="s">
        <v>201</v>
      </c>
      <c r="EV79" s="1" t="s">
        <v>188</v>
      </c>
      <c r="EW79">
        <v>25</v>
      </c>
      <c r="EX79">
        <v>13.680173456610323</v>
      </c>
      <c r="EY79">
        <v>0.1070692180547006</v>
      </c>
      <c r="EZ79">
        <v>0.1070692180547006</v>
      </c>
      <c r="FA79" t="s">
        <v>201</v>
      </c>
      <c r="FB79" s="1" t="s">
        <v>250</v>
      </c>
      <c r="FC79" t="s">
        <v>201</v>
      </c>
      <c r="FD79" t="s">
        <v>201</v>
      </c>
      <c r="FE79" t="s">
        <v>201</v>
      </c>
      <c r="FF79" t="s">
        <v>201</v>
      </c>
      <c r="FG79" t="s">
        <v>217</v>
      </c>
      <c r="FH79">
        <v>344.74312807759316</v>
      </c>
      <c r="FI79">
        <f t="shared" si="19"/>
        <v>25.855734605819485</v>
      </c>
      <c r="FJ79">
        <f t="shared" si="20"/>
        <v>25.855734605819485</v>
      </c>
      <c r="FK79" t="s">
        <v>203</v>
      </c>
      <c r="FL79" t="s">
        <v>216</v>
      </c>
      <c r="FM79" t="s">
        <v>249</v>
      </c>
      <c r="FN79" t="s">
        <v>201</v>
      </c>
      <c r="FO79" t="s">
        <v>201</v>
      </c>
      <c r="FP79" t="s">
        <v>201</v>
      </c>
      <c r="FQ79" t="s">
        <v>201</v>
      </c>
      <c r="FR79" t="s">
        <v>201</v>
      </c>
      <c r="FS79" t="s">
        <v>201</v>
      </c>
      <c r="FT79" t="s">
        <v>199</v>
      </c>
      <c r="FU79" t="s">
        <v>201</v>
      </c>
      <c r="FV79" s="47" t="s">
        <v>349</v>
      </c>
      <c r="FW79" t="s">
        <v>422</v>
      </c>
      <c r="FX79" t="s">
        <v>201</v>
      </c>
      <c r="FY79" t="s">
        <v>248</v>
      </c>
    </row>
    <row r="80" spans="1:181" x14ac:dyDescent="0.15">
      <c r="A80" s="3" t="s">
        <v>258</v>
      </c>
      <c r="B80" s="3" t="s">
        <v>193</v>
      </c>
      <c r="C80">
        <v>2017</v>
      </c>
      <c r="D80" s="22" t="str">
        <f t="shared" si="12"/>
        <v>10.1016/j.epsl.2017.03.016</v>
      </c>
      <c r="E80" s="22">
        <f t="shared" si="13"/>
        <v>2608.4699999999998</v>
      </c>
      <c r="F80" s="22" t="str">
        <f t="shared" si="14"/>
        <v>NA</v>
      </c>
      <c r="G80" s="22" t="str">
        <f t="shared" si="15"/>
        <v>NA</v>
      </c>
      <c r="H80" s="22">
        <f t="shared" si="16"/>
        <v>341.56811841795781</v>
      </c>
      <c r="I80" s="36">
        <f t="shared" si="17"/>
        <v>25.617608881346836</v>
      </c>
      <c r="J80" s="36">
        <f t="shared" si="18"/>
        <v>25.617608881346836</v>
      </c>
      <c r="K80" s="2" t="s">
        <v>251</v>
      </c>
      <c r="L80" s="2" t="s">
        <v>252</v>
      </c>
      <c r="M80" s="2" t="s">
        <v>194</v>
      </c>
      <c r="N80" s="2" t="s">
        <v>192</v>
      </c>
      <c r="O80">
        <v>806</v>
      </c>
      <c r="P80" s="1" t="s">
        <v>189</v>
      </c>
      <c r="Q80" t="s">
        <v>201</v>
      </c>
      <c r="R80" t="s">
        <v>201</v>
      </c>
      <c r="S80" t="s">
        <v>201</v>
      </c>
      <c r="T80" t="s">
        <v>201</v>
      </c>
      <c r="U80" t="s">
        <v>201</v>
      </c>
      <c r="V80" t="s">
        <v>201</v>
      </c>
      <c r="W80" t="s">
        <v>201</v>
      </c>
      <c r="X80" t="s">
        <v>201</v>
      </c>
      <c r="Y80" t="s">
        <v>201</v>
      </c>
      <c r="Z80" s="10">
        <v>57.53</v>
      </c>
      <c r="AA80" s="2" t="s">
        <v>207</v>
      </c>
      <c r="AB80">
        <v>2608.4699999999998</v>
      </c>
      <c r="AC80" t="s">
        <v>201</v>
      </c>
      <c r="AD80" t="s">
        <v>201</v>
      </c>
      <c r="AE80" t="s">
        <v>201</v>
      </c>
      <c r="AF80" s="1" t="s">
        <v>177</v>
      </c>
      <c r="AG80" s="1" t="s">
        <v>179</v>
      </c>
      <c r="AH80" s="13">
        <v>0.31850000000000001</v>
      </c>
      <c r="AI80" s="10">
        <v>159.36150000000001</v>
      </c>
      <c r="AJ80" s="35">
        <v>-2520</v>
      </c>
      <c r="AK80" t="s">
        <v>201</v>
      </c>
      <c r="AL80" t="s">
        <v>201</v>
      </c>
      <c r="AM80" t="s">
        <v>201</v>
      </c>
      <c r="AN80" t="s">
        <v>201</v>
      </c>
      <c r="AO80" s="1" t="s">
        <v>180</v>
      </c>
      <c r="AP80" t="s">
        <v>201</v>
      </c>
      <c r="AQ80" t="s">
        <v>201</v>
      </c>
      <c r="AR80" t="s">
        <v>201</v>
      </c>
      <c r="AS80" t="s">
        <v>201</v>
      </c>
      <c r="AT80" t="s">
        <v>201</v>
      </c>
      <c r="AU80" t="s">
        <v>201</v>
      </c>
      <c r="AV80" t="s">
        <v>201</v>
      </c>
      <c r="AW80" t="s">
        <v>201</v>
      </c>
      <c r="AX80">
        <v>1.891</v>
      </c>
      <c r="AY80">
        <v>0.13</v>
      </c>
      <c r="AZ80" t="s">
        <v>203</v>
      </c>
      <c r="BA80" t="s">
        <v>201</v>
      </c>
      <c r="BB80">
        <v>-1.27</v>
      </c>
      <c r="BC80">
        <v>0.24</v>
      </c>
      <c r="BD80" t="s">
        <v>203</v>
      </c>
      <c r="BE80" t="s">
        <v>201</v>
      </c>
      <c r="BF80" s="1" t="s">
        <v>181</v>
      </c>
      <c r="BG80" s="1" t="s">
        <v>182</v>
      </c>
      <c r="BH80">
        <v>0</v>
      </c>
      <c r="BI80" t="s">
        <v>201</v>
      </c>
      <c r="BJ80" t="s">
        <v>201</v>
      </c>
      <c r="BK80" t="s">
        <v>201</v>
      </c>
      <c r="BL80" t="s">
        <v>201</v>
      </c>
      <c r="BM80" t="s">
        <v>201</v>
      </c>
      <c r="BN80" t="s">
        <v>201</v>
      </c>
      <c r="BO80" t="s">
        <v>201</v>
      </c>
      <c r="BP80" t="s">
        <v>201</v>
      </c>
      <c r="BQ80" t="s">
        <v>201</v>
      </c>
      <c r="BR80" t="s">
        <v>201</v>
      </c>
      <c r="BS80" s="1" t="s">
        <v>183</v>
      </c>
      <c r="BT80">
        <v>-25.34</v>
      </c>
      <c r="BU80" s="1" t="s">
        <v>184</v>
      </c>
      <c r="BV80">
        <v>0.3</v>
      </c>
      <c r="BW80" t="s">
        <v>201</v>
      </c>
      <c r="BX80" t="s">
        <v>202</v>
      </c>
      <c r="BY80">
        <v>4.2</v>
      </c>
      <c r="BZ80" s="4" t="s">
        <v>201</v>
      </c>
      <c r="CA80" s="4" t="s">
        <v>201</v>
      </c>
      <c r="CB80">
        <v>-21.246428000000037</v>
      </c>
      <c r="CC80" t="s">
        <v>201</v>
      </c>
      <c r="CD80" t="s">
        <v>201</v>
      </c>
      <c r="CE80" t="s">
        <v>201</v>
      </c>
      <c r="CF80" t="s">
        <v>201</v>
      </c>
      <c r="CG80">
        <v>35</v>
      </c>
      <c r="CH80">
        <v>1</v>
      </c>
      <c r="CI80" t="s">
        <v>204</v>
      </c>
      <c r="CJ80" s="1" t="s">
        <v>185</v>
      </c>
      <c r="CK80">
        <v>0.16</v>
      </c>
      <c r="CL80">
        <v>0.1</v>
      </c>
      <c r="CM80">
        <v>0.1</v>
      </c>
      <c r="CN80" t="s">
        <v>204</v>
      </c>
      <c r="CO80" s="1" t="s">
        <v>186</v>
      </c>
      <c r="CP80" t="s">
        <v>201</v>
      </c>
      <c r="CQ80" t="s">
        <v>201</v>
      </c>
      <c r="CR80">
        <f t="shared" si="11"/>
        <v>27.199979150577029</v>
      </c>
      <c r="CS80" t="s">
        <v>201</v>
      </c>
      <c r="CT80" t="s">
        <v>201</v>
      </c>
      <c r="CU80" t="s">
        <v>201</v>
      </c>
      <c r="CV80" t="s">
        <v>211</v>
      </c>
      <c r="CW80">
        <v>0.96702048007409502</v>
      </c>
      <c r="CX80" t="s">
        <v>201</v>
      </c>
      <c r="CY80">
        <v>27.556703862693663</v>
      </c>
      <c r="CZ80" t="s">
        <v>201</v>
      </c>
      <c r="DA80" t="s">
        <v>201</v>
      </c>
      <c r="DB80" t="s">
        <v>201</v>
      </c>
      <c r="DC80" s="1" t="s">
        <v>190</v>
      </c>
      <c r="DD80" t="s">
        <v>205</v>
      </c>
      <c r="DE80" t="s">
        <v>201</v>
      </c>
      <c r="DF80" t="s">
        <v>201</v>
      </c>
      <c r="DG80" t="s">
        <v>201</v>
      </c>
      <c r="DH80" t="s">
        <v>201</v>
      </c>
      <c r="DI80">
        <v>26.843254438460395</v>
      </c>
      <c r="DJ80" t="s">
        <v>201</v>
      </c>
      <c r="DK80" t="s">
        <v>201</v>
      </c>
      <c r="DL80" t="s">
        <v>201</v>
      </c>
      <c r="DM80" t="s">
        <v>206</v>
      </c>
      <c r="DN80" t="s">
        <v>201</v>
      </c>
      <c r="DO80" t="s">
        <v>201</v>
      </c>
      <c r="DP80" t="s">
        <v>201</v>
      </c>
      <c r="DQ80" t="s">
        <v>201</v>
      </c>
      <c r="DR80" t="s">
        <v>201</v>
      </c>
      <c r="DS80" t="s">
        <v>201</v>
      </c>
      <c r="DT80" t="s">
        <v>201</v>
      </c>
      <c r="DU80" t="s">
        <v>201</v>
      </c>
      <c r="DV80" t="s">
        <v>201</v>
      </c>
      <c r="DW80" t="s">
        <v>201</v>
      </c>
      <c r="DX80" t="s">
        <v>201</v>
      </c>
      <c r="DY80" t="s">
        <v>201</v>
      </c>
      <c r="DZ80" s="3" t="s">
        <v>201</v>
      </c>
      <c r="EA80" s="3" t="s">
        <v>201</v>
      </c>
      <c r="EB80" t="s">
        <v>201</v>
      </c>
      <c r="EC80" t="s">
        <v>201</v>
      </c>
      <c r="ED80" t="s">
        <v>201</v>
      </c>
      <c r="EE80" t="s">
        <v>201</v>
      </c>
      <c r="EF80" t="s">
        <v>201</v>
      </c>
      <c r="EG80" t="s">
        <v>201</v>
      </c>
      <c r="EH80" t="s">
        <v>201</v>
      </c>
      <c r="EI80" t="s">
        <v>201</v>
      </c>
      <c r="EJ80" t="s">
        <v>201</v>
      </c>
      <c r="EK80" t="s">
        <v>201</v>
      </c>
      <c r="EL80" t="s">
        <v>201</v>
      </c>
      <c r="EM80" t="s">
        <v>201</v>
      </c>
      <c r="EN80" t="s">
        <v>201</v>
      </c>
      <c r="EO80" t="s">
        <v>201</v>
      </c>
      <c r="EP80" t="s">
        <v>201</v>
      </c>
      <c r="EQ80" t="s">
        <v>201</v>
      </c>
      <c r="ER80">
        <v>103.03319999999999</v>
      </c>
      <c r="ES80" t="s">
        <v>201</v>
      </c>
      <c r="ET80" t="s">
        <v>201</v>
      </c>
      <c r="EU80" t="s">
        <v>201</v>
      </c>
      <c r="EV80" s="1" t="s">
        <v>188</v>
      </c>
      <c r="EW80">
        <v>25</v>
      </c>
      <c r="EX80">
        <v>13.684610667880071</v>
      </c>
      <c r="EY80">
        <v>8.9025214755178439E-2</v>
      </c>
      <c r="EZ80">
        <v>8.9025214755178439E-2</v>
      </c>
      <c r="FA80" t="s">
        <v>201</v>
      </c>
      <c r="FB80" s="1" t="s">
        <v>250</v>
      </c>
      <c r="FC80" t="s">
        <v>201</v>
      </c>
      <c r="FD80" t="s">
        <v>201</v>
      </c>
      <c r="FE80" t="s">
        <v>201</v>
      </c>
      <c r="FF80" t="s">
        <v>201</v>
      </c>
      <c r="FG80" t="s">
        <v>217</v>
      </c>
      <c r="FH80">
        <v>341.56811841795781</v>
      </c>
      <c r="FI80">
        <f t="shared" si="19"/>
        <v>25.617608881346836</v>
      </c>
      <c r="FJ80">
        <f t="shared" si="20"/>
        <v>25.617608881346836</v>
      </c>
      <c r="FK80" t="s">
        <v>203</v>
      </c>
      <c r="FL80" t="s">
        <v>216</v>
      </c>
      <c r="FM80" t="s">
        <v>249</v>
      </c>
      <c r="FN80" t="s">
        <v>201</v>
      </c>
      <c r="FO80" t="s">
        <v>201</v>
      </c>
      <c r="FP80" t="s">
        <v>201</v>
      </c>
      <c r="FQ80" t="s">
        <v>201</v>
      </c>
      <c r="FR80" t="s">
        <v>201</v>
      </c>
      <c r="FS80" t="s">
        <v>201</v>
      </c>
      <c r="FT80" t="s">
        <v>199</v>
      </c>
      <c r="FU80" t="s">
        <v>201</v>
      </c>
      <c r="FV80" s="47" t="s">
        <v>350</v>
      </c>
      <c r="FW80" t="s">
        <v>423</v>
      </c>
      <c r="FX80" t="s">
        <v>201</v>
      </c>
      <c r="FY80" t="s">
        <v>248</v>
      </c>
    </row>
    <row r="81" spans="1:181" x14ac:dyDescent="0.15">
      <c r="A81" s="3" t="s">
        <v>258</v>
      </c>
      <c r="B81" s="3" t="s">
        <v>193</v>
      </c>
      <c r="C81">
        <v>2017</v>
      </c>
      <c r="D81" s="22" t="str">
        <f t="shared" si="12"/>
        <v>10.1016/j.epsl.2017.03.016</v>
      </c>
      <c r="E81" s="22">
        <f t="shared" si="13"/>
        <v>2704.96</v>
      </c>
      <c r="F81" s="22" t="str">
        <f t="shared" si="14"/>
        <v>NA</v>
      </c>
      <c r="G81" s="22" t="str">
        <f t="shared" si="15"/>
        <v>NA</v>
      </c>
      <c r="H81" s="22">
        <f t="shared" si="16"/>
        <v>347.02129714605252</v>
      </c>
      <c r="I81" s="36">
        <f t="shared" si="17"/>
        <v>26.026597285953937</v>
      </c>
      <c r="J81" s="36">
        <f t="shared" si="18"/>
        <v>26.026597285953937</v>
      </c>
      <c r="K81" s="2" t="s">
        <v>251</v>
      </c>
      <c r="L81" s="2" t="s">
        <v>252</v>
      </c>
      <c r="M81" s="2" t="s">
        <v>194</v>
      </c>
      <c r="N81" s="2" t="s">
        <v>192</v>
      </c>
      <c r="O81">
        <v>806</v>
      </c>
      <c r="P81" s="1" t="s">
        <v>189</v>
      </c>
      <c r="Q81" t="s">
        <v>201</v>
      </c>
      <c r="R81" t="s">
        <v>201</v>
      </c>
      <c r="S81" t="s">
        <v>201</v>
      </c>
      <c r="T81" t="s">
        <v>201</v>
      </c>
      <c r="U81" t="s">
        <v>201</v>
      </c>
      <c r="V81" t="s">
        <v>201</v>
      </c>
      <c r="W81" t="s">
        <v>201</v>
      </c>
      <c r="X81" t="s">
        <v>201</v>
      </c>
      <c r="Y81" t="s">
        <v>201</v>
      </c>
      <c r="Z81" s="10">
        <v>60.07</v>
      </c>
      <c r="AA81" s="2" t="s">
        <v>207</v>
      </c>
      <c r="AB81">
        <v>2704.96</v>
      </c>
      <c r="AC81" t="s">
        <v>201</v>
      </c>
      <c r="AD81" t="s">
        <v>201</v>
      </c>
      <c r="AE81" t="s">
        <v>201</v>
      </c>
      <c r="AF81" s="1" t="s">
        <v>177</v>
      </c>
      <c r="AG81" s="1" t="s">
        <v>179</v>
      </c>
      <c r="AH81" s="13">
        <v>0.31850000000000001</v>
      </c>
      <c r="AI81" s="10">
        <v>159.36150000000001</v>
      </c>
      <c r="AJ81" s="35">
        <v>-2520</v>
      </c>
      <c r="AK81" t="s">
        <v>201</v>
      </c>
      <c r="AL81" t="s">
        <v>201</v>
      </c>
      <c r="AM81" t="s">
        <v>201</v>
      </c>
      <c r="AN81" t="s">
        <v>201</v>
      </c>
      <c r="AO81" s="1" t="s">
        <v>180</v>
      </c>
      <c r="AP81" t="s">
        <v>201</v>
      </c>
      <c r="AQ81" t="s">
        <v>201</v>
      </c>
      <c r="AR81" t="s">
        <v>201</v>
      </c>
      <c r="AS81" t="s">
        <v>201</v>
      </c>
      <c r="AT81" t="s">
        <v>201</v>
      </c>
      <c r="AU81" t="s">
        <v>201</v>
      </c>
      <c r="AV81" t="s">
        <v>201</v>
      </c>
      <c r="AW81" t="s">
        <v>201</v>
      </c>
      <c r="AX81">
        <v>1.619</v>
      </c>
      <c r="AY81">
        <v>0.13</v>
      </c>
      <c r="AZ81" t="s">
        <v>203</v>
      </c>
      <c r="BA81" t="s">
        <v>201</v>
      </c>
      <c r="BB81">
        <v>-1.212</v>
      </c>
      <c r="BC81">
        <v>0.24</v>
      </c>
      <c r="BD81" t="s">
        <v>203</v>
      </c>
      <c r="BE81" t="s">
        <v>201</v>
      </c>
      <c r="BF81" s="1" t="s">
        <v>181</v>
      </c>
      <c r="BG81" s="1" t="s">
        <v>182</v>
      </c>
      <c r="BH81">
        <v>0</v>
      </c>
      <c r="BI81" t="s">
        <v>201</v>
      </c>
      <c r="BJ81" t="s">
        <v>201</v>
      </c>
      <c r="BK81" t="s">
        <v>201</v>
      </c>
      <c r="BL81" t="s">
        <v>201</v>
      </c>
      <c r="BM81" t="s">
        <v>201</v>
      </c>
      <c r="BN81" t="s">
        <v>201</v>
      </c>
      <c r="BO81" t="s">
        <v>201</v>
      </c>
      <c r="BP81" t="s">
        <v>201</v>
      </c>
      <c r="BQ81" t="s">
        <v>201</v>
      </c>
      <c r="BR81" t="s">
        <v>201</v>
      </c>
      <c r="BS81" s="1" t="s">
        <v>183</v>
      </c>
      <c r="BT81">
        <v>-25.5105</v>
      </c>
      <c r="BU81" s="1" t="s">
        <v>184</v>
      </c>
      <c r="BV81">
        <v>0.3</v>
      </c>
      <c r="BW81" t="s">
        <v>201</v>
      </c>
      <c r="BX81" t="s">
        <v>202</v>
      </c>
      <c r="BY81">
        <v>4.2</v>
      </c>
      <c r="BZ81" s="4" t="s">
        <v>201</v>
      </c>
      <c r="CA81" s="4" t="s">
        <v>201</v>
      </c>
      <c r="CB81">
        <v>-21.417644099999961</v>
      </c>
      <c r="CC81" t="s">
        <v>201</v>
      </c>
      <c r="CD81" t="s">
        <v>201</v>
      </c>
      <c r="CE81" t="s">
        <v>201</v>
      </c>
      <c r="CF81" t="s">
        <v>201</v>
      </c>
      <c r="CG81">
        <v>35</v>
      </c>
      <c r="CH81">
        <v>1</v>
      </c>
      <c r="CI81" t="s">
        <v>204</v>
      </c>
      <c r="CJ81" s="1" t="s">
        <v>185</v>
      </c>
      <c r="CK81">
        <v>0.16</v>
      </c>
      <c r="CL81">
        <v>0.1</v>
      </c>
      <c r="CM81">
        <v>0.1</v>
      </c>
      <c r="CN81" t="s">
        <v>204</v>
      </c>
      <c r="CO81" s="1" t="s">
        <v>186</v>
      </c>
      <c r="CP81" t="s">
        <v>201</v>
      </c>
      <c r="CQ81" t="s">
        <v>201</v>
      </c>
      <c r="CR81">
        <f t="shared" si="11"/>
        <v>27.889552306205683</v>
      </c>
      <c r="CS81" t="s">
        <v>201</v>
      </c>
      <c r="CT81" t="s">
        <v>201</v>
      </c>
      <c r="CU81" t="s">
        <v>201</v>
      </c>
      <c r="CV81" t="s">
        <v>211</v>
      </c>
      <c r="CW81">
        <v>0.99292267371786069</v>
      </c>
      <c r="CX81" t="s">
        <v>201</v>
      </c>
      <c r="CY81">
        <v>28.330557799994807</v>
      </c>
      <c r="CZ81" t="s">
        <v>201</v>
      </c>
      <c r="DA81" t="s">
        <v>201</v>
      </c>
      <c r="DB81" t="s">
        <v>201</v>
      </c>
      <c r="DC81" s="1" t="s">
        <v>190</v>
      </c>
      <c r="DD81" t="s">
        <v>205</v>
      </c>
      <c r="DE81" t="s">
        <v>201</v>
      </c>
      <c r="DF81" t="s">
        <v>201</v>
      </c>
      <c r="DG81" t="s">
        <v>201</v>
      </c>
      <c r="DH81" t="s">
        <v>201</v>
      </c>
      <c r="DI81">
        <v>27.448546812416559</v>
      </c>
      <c r="DJ81" t="s">
        <v>201</v>
      </c>
      <c r="DK81" t="s">
        <v>201</v>
      </c>
      <c r="DL81" t="s">
        <v>201</v>
      </c>
      <c r="DM81" t="s">
        <v>206</v>
      </c>
      <c r="DN81" t="s">
        <v>201</v>
      </c>
      <c r="DO81" t="s">
        <v>201</v>
      </c>
      <c r="DP81" t="s">
        <v>201</v>
      </c>
      <c r="DQ81" t="s">
        <v>201</v>
      </c>
      <c r="DR81" t="s">
        <v>201</v>
      </c>
      <c r="DS81" t="s">
        <v>201</v>
      </c>
      <c r="DT81" t="s">
        <v>201</v>
      </c>
      <c r="DU81" t="s">
        <v>201</v>
      </c>
      <c r="DV81" t="s">
        <v>201</v>
      </c>
      <c r="DW81" t="s">
        <v>201</v>
      </c>
      <c r="DX81" t="s">
        <v>201</v>
      </c>
      <c r="DY81" t="s">
        <v>201</v>
      </c>
      <c r="DZ81" s="3" t="s">
        <v>201</v>
      </c>
      <c r="EA81" s="3" t="s">
        <v>201</v>
      </c>
      <c r="EB81" t="s">
        <v>201</v>
      </c>
      <c r="EC81" t="s">
        <v>201</v>
      </c>
      <c r="ED81" t="s">
        <v>201</v>
      </c>
      <c r="EE81" t="s">
        <v>201</v>
      </c>
      <c r="EF81" t="s">
        <v>201</v>
      </c>
      <c r="EG81" t="s">
        <v>201</v>
      </c>
      <c r="EH81" t="s">
        <v>201</v>
      </c>
      <c r="EI81" t="s">
        <v>201</v>
      </c>
      <c r="EJ81" t="s">
        <v>201</v>
      </c>
      <c r="EK81" t="s">
        <v>201</v>
      </c>
      <c r="EL81" t="s">
        <v>201</v>
      </c>
      <c r="EM81" t="s">
        <v>201</v>
      </c>
      <c r="EN81" t="s">
        <v>201</v>
      </c>
      <c r="EO81" t="s">
        <v>201</v>
      </c>
      <c r="EP81" t="s">
        <v>201</v>
      </c>
      <c r="EQ81" t="s">
        <v>201</v>
      </c>
      <c r="ER81">
        <v>103.03319999999999</v>
      </c>
      <c r="ES81" t="s">
        <v>201</v>
      </c>
      <c r="ET81" t="s">
        <v>201</v>
      </c>
      <c r="EU81" t="s">
        <v>201</v>
      </c>
      <c r="EV81" s="1" t="s">
        <v>188</v>
      </c>
      <c r="EW81">
        <v>25</v>
      </c>
      <c r="EX81">
        <v>13.654783053891562</v>
      </c>
      <c r="EY81">
        <v>0.11004596631480901</v>
      </c>
      <c r="EZ81">
        <v>0.11004596631480901</v>
      </c>
      <c r="FA81" t="s">
        <v>201</v>
      </c>
      <c r="FB81" s="1" t="s">
        <v>250</v>
      </c>
      <c r="FC81" t="s">
        <v>201</v>
      </c>
      <c r="FD81" t="s">
        <v>201</v>
      </c>
      <c r="FE81" t="s">
        <v>201</v>
      </c>
      <c r="FF81" t="s">
        <v>201</v>
      </c>
      <c r="FG81" t="s">
        <v>217</v>
      </c>
      <c r="FH81">
        <v>347.02129714605252</v>
      </c>
      <c r="FI81">
        <f t="shared" si="19"/>
        <v>26.026597285953937</v>
      </c>
      <c r="FJ81">
        <f t="shared" si="20"/>
        <v>26.026597285953937</v>
      </c>
      <c r="FK81" t="s">
        <v>203</v>
      </c>
      <c r="FL81" t="s">
        <v>216</v>
      </c>
      <c r="FM81" t="s">
        <v>249</v>
      </c>
      <c r="FN81" t="s">
        <v>201</v>
      </c>
      <c r="FO81" t="s">
        <v>201</v>
      </c>
      <c r="FP81" t="s">
        <v>201</v>
      </c>
      <c r="FQ81" t="s">
        <v>201</v>
      </c>
      <c r="FR81" t="s">
        <v>201</v>
      </c>
      <c r="FS81" t="s">
        <v>201</v>
      </c>
      <c r="FT81" t="s">
        <v>199</v>
      </c>
      <c r="FU81" t="s">
        <v>201</v>
      </c>
      <c r="FV81" s="47" t="s">
        <v>351</v>
      </c>
      <c r="FW81" t="s">
        <v>424</v>
      </c>
      <c r="FX81" t="s">
        <v>201</v>
      </c>
      <c r="FY81" t="s">
        <v>248</v>
      </c>
    </row>
    <row r="82" spans="1:181" x14ac:dyDescent="0.15">
      <c r="A82" s="3" t="s">
        <v>258</v>
      </c>
      <c r="B82" s="3" t="s">
        <v>193</v>
      </c>
      <c r="C82">
        <v>2017</v>
      </c>
      <c r="D82" s="22" t="str">
        <f t="shared" si="12"/>
        <v>10.1016/j.epsl.2017.03.016</v>
      </c>
      <c r="E82" s="22">
        <f t="shared" si="13"/>
        <v>2804.98</v>
      </c>
      <c r="F82" s="22" t="str">
        <f t="shared" si="14"/>
        <v>NA</v>
      </c>
      <c r="G82" s="22" t="str">
        <f t="shared" si="15"/>
        <v>NA</v>
      </c>
      <c r="H82" s="22">
        <f t="shared" si="16"/>
        <v>380.63476545979768</v>
      </c>
      <c r="I82" s="36">
        <f t="shared" si="17"/>
        <v>28.547607409484826</v>
      </c>
      <c r="J82" s="36">
        <f t="shared" si="18"/>
        <v>28.547607409484826</v>
      </c>
      <c r="K82" s="2" t="s">
        <v>251</v>
      </c>
      <c r="L82" s="2" t="s">
        <v>252</v>
      </c>
      <c r="M82" s="2" t="s">
        <v>194</v>
      </c>
      <c r="N82" s="2" t="s">
        <v>192</v>
      </c>
      <c r="O82">
        <v>806</v>
      </c>
      <c r="P82" s="1" t="s">
        <v>189</v>
      </c>
      <c r="Q82" t="s">
        <v>201</v>
      </c>
      <c r="R82" t="s">
        <v>201</v>
      </c>
      <c r="S82" t="s">
        <v>201</v>
      </c>
      <c r="T82" t="s">
        <v>201</v>
      </c>
      <c r="U82" t="s">
        <v>201</v>
      </c>
      <c r="V82" t="s">
        <v>201</v>
      </c>
      <c r="W82" t="s">
        <v>201</v>
      </c>
      <c r="X82" t="s">
        <v>201</v>
      </c>
      <c r="Y82" t="s">
        <v>201</v>
      </c>
      <c r="Z82" s="10">
        <v>62.7</v>
      </c>
      <c r="AA82" s="2" t="s">
        <v>207</v>
      </c>
      <c r="AB82">
        <v>2804.98</v>
      </c>
      <c r="AC82" t="s">
        <v>201</v>
      </c>
      <c r="AD82" t="s">
        <v>201</v>
      </c>
      <c r="AE82" t="s">
        <v>201</v>
      </c>
      <c r="AF82" s="1" t="s">
        <v>177</v>
      </c>
      <c r="AG82" s="1" t="s">
        <v>179</v>
      </c>
      <c r="AH82" s="13">
        <v>0.31850000000000001</v>
      </c>
      <c r="AI82" s="10">
        <v>159.36150000000001</v>
      </c>
      <c r="AJ82" s="35">
        <v>-2520</v>
      </c>
      <c r="AK82" t="s">
        <v>201</v>
      </c>
      <c r="AL82" t="s">
        <v>201</v>
      </c>
      <c r="AM82" t="s">
        <v>201</v>
      </c>
      <c r="AN82" t="s">
        <v>201</v>
      </c>
      <c r="AO82" s="1" t="s">
        <v>180</v>
      </c>
      <c r="AP82" t="s">
        <v>201</v>
      </c>
      <c r="AQ82" t="s">
        <v>201</v>
      </c>
      <c r="AR82" t="s">
        <v>201</v>
      </c>
      <c r="AS82" t="s">
        <v>201</v>
      </c>
      <c r="AT82" t="s">
        <v>201</v>
      </c>
      <c r="AU82" t="s">
        <v>201</v>
      </c>
      <c r="AV82" t="s">
        <v>201</v>
      </c>
      <c r="AW82" t="s">
        <v>201</v>
      </c>
      <c r="AX82">
        <v>2.1339999999999999</v>
      </c>
      <c r="AY82">
        <v>0.13</v>
      </c>
      <c r="AZ82" t="s">
        <v>203</v>
      </c>
      <c r="BA82" t="s">
        <v>201</v>
      </c>
      <c r="BB82">
        <v>-1.3510000000000002</v>
      </c>
      <c r="BC82">
        <v>0.24</v>
      </c>
      <c r="BD82" t="s">
        <v>203</v>
      </c>
      <c r="BE82" t="s">
        <v>201</v>
      </c>
      <c r="BF82" s="1" t="s">
        <v>181</v>
      </c>
      <c r="BG82" s="1" t="s">
        <v>182</v>
      </c>
      <c r="BH82">
        <v>0</v>
      </c>
      <c r="BI82" t="s">
        <v>201</v>
      </c>
      <c r="BJ82" t="s">
        <v>201</v>
      </c>
      <c r="BK82" t="s">
        <v>201</v>
      </c>
      <c r="BL82" t="s">
        <v>201</v>
      </c>
      <c r="BM82" t="s">
        <v>201</v>
      </c>
      <c r="BN82" t="s">
        <v>201</v>
      </c>
      <c r="BO82" t="s">
        <v>201</v>
      </c>
      <c r="BP82" t="s">
        <v>201</v>
      </c>
      <c r="BQ82" t="s">
        <v>201</v>
      </c>
      <c r="BR82" t="s">
        <v>201</v>
      </c>
      <c r="BS82" s="1" t="s">
        <v>183</v>
      </c>
      <c r="BT82">
        <v>-25.515000000000001</v>
      </c>
      <c r="BU82" s="1" t="s">
        <v>184</v>
      </c>
      <c r="BV82">
        <v>0.3</v>
      </c>
      <c r="BW82" t="s">
        <v>201</v>
      </c>
      <c r="BX82" t="s">
        <v>202</v>
      </c>
      <c r="BY82">
        <v>4.2</v>
      </c>
      <c r="BZ82" s="4" t="s">
        <v>201</v>
      </c>
      <c r="CA82" s="4" t="s">
        <v>201</v>
      </c>
      <c r="CB82">
        <v>-21.422162999999955</v>
      </c>
      <c r="CC82" t="s">
        <v>201</v>
      </c>
      <c r="CD82" t="s">
        <v>201</v>
      </c>
      <c r="CE82" t="s">
        <v>201</v>
      </c>
      <c r="CF82" t="s">
        <v>201</v>
      </c>
      <c r="CG82">
        <v>35</v>
      </c>
      <c r="CH82">
        <v>1</v>
      </c>
      <c r="CI82" t="s">
        <v>204</v>
      </c>
      <c r="CJ82" s="1" t="s">
        <v>185</v>
      </c>
      <c r="CK82">
        <v>0.16</v>
      </c>
      <c r="CL82">
        <v>0.1</v>
      </c>
      <c r="CM82">
        <v>0.1</v>
      </c>
      <c r="CN82" t="s">
        <v>204</v>
      </c>
      <c r="CO82" s="1" t="s">
        <v>186</v>
      </c>
      <c r="CP82" t="s">
        <v>201</v>
      </c>
      <c r="CQ82" t="s">
        <v>201</v>
      </c>
      <c r="CR82">
        <f t="shared" si="11"/>
        <v>28.483434416121845</v>
      </c>
      <c r="CS82" t="s">
        <v>201</v>
      </c>
      <c r="CT82" t="s">
        <v>201</v>
      </c>
      <c r="CU82" t="s">
        <v>201</v>
      </c>
      <c r="CV82" t="s">
        <v>211</v>
      </c>
      <c r="CW82">
        <v>0.96502432017328821</v>
      </c>
      <c r="CX82" t="s">
        <v>201</v>
      </c>
      <c r="CY82">
        <v>27.497066589497159</v>
      </c>
      <c r="CZ82" t="s">
        <v>201</v>
      </c>
      <c r="DA82" t="s">
        <v>201</v>
      </c>
      <c r="DB82" t="s">
        <v>201</v>
      </c>
      <c r="DC82" s="1" t="s">
        <v>190</v>
      </c>
      <c r="DD82" t="s">
        <v>205</v>
      </c>
      <c r="DE82" t="s">
        <v>201</v>
      </c>
      <c r="DF82" t="s">
        <v>201</v>
      </c>
      <c r="DG82" t="s">
        <v>201</v>
      </c>
      <c r="DH82" t="s">
        <v>201</v>
      </c>
      <c r="DI82">
        <v>29.469802242746528</v>
      </c>
      <c r="DJ82" t="s">
        <v>201</v>
      </c>
      <c r="DK82" t="s">
        <v>201</v>
      </c>
      <c r="DL82" t="s">
        <v>201</v>
      </c>
      <c r="DM82" t="s">
        <v>206</v>
      </c>
      <c r="DN82" t="s">
        <v>201</v>
      </c>
      <c r="DO82" t="s">
        <v>201</v>
      </c>
      <c r="DP82" t="s">
        <v>201</v>
      </c>
      <c r="DQ82" t="s">
        <v>201</v>
      </c>
      <c r="DR82" t="s">
        <v>201</v>
      </c>
      <c r="DS82" t="s">
        <v>201</v>
      </c>
      <c r="DT82" t="s">
        <v>201</v>
      </c>
      <c r="DU82" t="s">
        <v>201</v>
      </c>
      <c r="DV82" t="s">
        <v>201</v>
      </c>
      <c r="DW82" t="s">
        <v>201</v>
      </c>
      <c r="DX82" t="s">
        <v>201</v>
      </c>
      <c r="DY82" t="s">
        <v>201</v>
      </c>
      <c r="DZ82" s="3" t="s">
        <v>201</v>
      </c>
      <c r="EA82" s="3" t="s">
        <v>201</v>
      </c>
      <c r="EB82" t="s">
        <v>201</v>
      </c>
      <c r="EC82" t="s">
        <v>201</v>
      </c>
      <c r="ED82" t="s">
        <v>201</v>
      </c>
      <c r="EE82" t="s">
        <v>201</v>
      </c>
      <c r="EF82" t="s">
        <v>201</v>
      </c>
      <c r="EG82" t="s">
        <v>201</v>
      </c>
      <c r="EH82" t="s">
        <v>201</v>
      </c>
      <c r="EI82" t="s">
        <v>201</v>
      </c>
      <c r="EJ82" t="s">
        <v>201</v>
      </c>
      <c r="EK82" t="s">
        <v>201</v>
      </c>
      <c r="EL82" t="s">
        <v>201</v>
      </c>
      <c r="EM82" t="s">
        <v>201</v>
      </c>
      <c r="EN82" t="s">
        <v>201</v>
      </c>
      <c r="EO82" t="s">
        <v>201</v>
      </c>
      <c r="EP82" t="s">
        <v>201</v>
      </c>
      <c r="EQ82" t="s">
        <v>201</v>
      </c>
      <c r="ER82">
        <v>103.03319999999999</v>
      </c>
      <c r="ES82" t="s">
        <v>201</v>
      </c>
      <c r="ET82" t="s">
        <v>201</v>
      </c>
      <c r="EU82" t="s">
        <v>201</v>
      </c>
      <c r="EV82" s="1" t="s">
        <v>188</v>
      </c>
      <c r="EW82">
        <v>25</v>
      </c>
      <c r="EX82">
        <v>14.376835464010584</v>
      </c>
      <c r="EY82">
        <v>0.24627577183111704</v>
      </c>
      <c r="EZ82">
        <v>0.24627577183111704</v>
      </c>
      <c r="FA82" t="s">
        <v>201</v>
      </c>
      <c r="FB82" s="1" t="s">
        <v>250</v>
      </c>
      <c r="FC82" t="s">
        <v>201</v>
      </c>
      <c r="FD82" t="s">
        <v>201</v>
      </c>
      <c r="FE82" t="s">
        <v>201</v>
      </c>
      <c r="FF82" t="s">
        <v>201</v>
      </c>
      <c r="FG82" t="s">
        <v>217</v>
      </c>
      <c r="FH82">
        <v>380.63476545979768</v>
      </c>
      <c r="FI82">
        <f t="shared" si="19"/>
        <v>28.547607409484826</v>
      </c>
      <c r="FJ82">
        <f t="shared" si="20"/>
        <v>28.547607409484826</v>
      </c>
      <c r="FK82" t="s">
        <v>203</v>
      </c>
      <c r="FL82" t="s">
        <v>216</v>
      </c>
      <c r="FM82" t="s">
        <v>249</v>
      </c>
      <c r="FN82" t="s">
        <v>201</v>
      </c>
      <c r="FO82" t="s">
        <v>201</v>
      </c>
      <c r="FP82" t="s">
        <v>201</v>
      </c>
      <c r="FQ82" t="s">
        <v>201</v>
      </c>
      <c r="FR82" t="s">
        <v>201</v>
      </c>
      <c r="FS82" t="s">
        <v>201</v>
      </c>
      <c r="FT82" t="s">
        <v>199</v>
      </c>
      <c r="FU82" t="s">
        <v>201</v>
      </c>
      <c r="FV82" s="47" t="s">
        <v>352</v>
      </c>
      <c r="FW82" t="s">
        <v>425</v>
      </c>
      <c r="FX82" t="s">
        <v>201</v>
      </c>
      <c r="FY82" t="s">
        <v>248</v>
      </c>
    </row>
    <row r="83" spans="1:181" x14ac:dyDescent="0.15">
      <c r="A83" s="3" t="s">
        <v>258</v>
      </c>
      <c r="B83" s="3" t="s">
        <v>193</v>
      </c>
      <c r="C83">
        <v>2017</v>
      </c>
      <c r="D83" s="22" t="str">
        <f t="shared" si="12"/>
        <v>10.1016/j.epsl.2017.03.016</v>
      </c>
      <c r="E83" s="22">
        <f t="shared" si="13"/>
        <v>2898.39</v>
      </c>
      <c r="F83" s="22" t="str">
        <f t="shared" si="14"/>
        <v>NA</v>
      </c>
      <c r="G83" s="22" t="str">
        <f t="shared" si="15"/>
        <v>NA</v>
      </c>
      <c r="H83" s="22">
        <f t="shared" si="16"/>
        <v>370.86551875610814</v>
      </c>
      <c r="I83" s="36">
        <f t="shared" si="17"/>
        <v>27.81491390670811</v>
      </c>
      <c r="J83" s="36">
        <f t="shared" si="18"/>
        <v>27.81491390670811</v>
      </c>
      <c r="K83" s="2" t="s">
        <v>251</v>
      </c>
      <c r="L83" s="2" t="s">
        <v>252</v>
      </c>
      <c r="M83" s="2" t="s">
        <v>194</v>
      </c>
      <c r="N83" s="2" t="s">
        <v>192</v>
      </c>
      <c r="O83">
        <v>806</v>
      </c>
      <c r="P83" s="1" t="s">
        <v>189</v>
      </c>
      <c r="Q83" t="s">
        <v>201</v>
      </c>
      <c r="R83" t="s">
        <v>201</v>
      </c>
      <c r="S83" t="s">
        <v>201</v>
      </c>
      <c r="T83" t="s">
        <v>201</v>
      </c>
      <c r="U83" t="s">
        <v>201</v>
      </c>
      <c r="V83" t="s">
        <v>201</v>
      </c>
      <c r="W83" t="s">
        <v>201</v>
      </c>
      <c r="X83" t="s">
        <v>201</v>
      </c>
      <c r="Y83" t="s">
        <v>201</v>
      </c>
      <c r="Z83" s="10">
        <v>65.400000000000006</v>
      </c>
      <c r="AA83" s="2" t="s">
        <v>207</v>
      </c>
      <c r="AB83">
        <v>2898.39</v>
      </c>
      <c r="AC83" t="s">
        <v>201</v>
      </c>
      <c r="AD83" t="s">
        <v>201</v>
      </c>
      <c r="AE83" t="s">
        <v>201</v>
      </c>
      <c r="AF83" s="1" t="s">
        <v>177</v>
      </c>
      <c r="AG83" s="1" t="s">
        <v>179</v>
      </c>
      <c r="AH83" s="13">
        <v>0.31850000000000001</v>
      </c>
      <c r="AI83" s="10">
        <v>159.36150000000001</v>
      </c>
      <c r="AJ83" s="35">
        <v>-2520</v>
      </c>
      <c r="AK83" t="s">
        <v>201</v>
      </c>
      <c r="AL83" t="s">
        <v>201</v>
      </c>
      <c r="AM83" t="s">
        <v>201</v>
      </c>
      <c r="AN83" t="s">
        <v>201</v>
      </c>
      <c r="AO83" s="1" t="s">
        <v>180</v>
      </c>
      <c r="AP83" t="s">
        <v>201</v>
      </c>
      <c r="AQ83" t="s">
        <v>201</v>
      </c>
      <c r="AR83" t="s">
        <v>201</v>
      </c>
      <c r="AS83" t="s">
        <v>201</v>
      </c>
      <c r="AT83" t="s">
        <v>201</v>
      </c>
      <c r="AU83" t="s">
        <v>201</v>
      </c>
      <c r="AV83" t="s">
        <v>201</v>
      </c>
      <c r="AW83" t="s">
        <v>201</v>
      </c>
      <c r="AX83">
        <v>2.11</v>
      </c>
      <c r="AY83">
        <v>0.13</v>
      </c>
      <c r="AZ83" t="s">
        <v>203</v>
      </c>
      <c r="BA83" t="s">
        <v>201</v>
      </c>
      <c r="BB83">
        <v>-1.4350000000000001</v>
      </c>
      <c r="BC83">
        <v>0.24</v>
      </c>
      <c r="BD83" t="s">
        <v>203</v>
      </c>
      <c r="BE83" t="s">
        <v>201</v>
      </c>
      <c r="BF83" s="1" t="s">
        <v>181</v>
      </c>
      <c r="BG83" s="1" t="s">
        <v>182</v>
      </c>
      <c r="BH83">
        <v>0</v>
      </c>
      <c r="BI83" t="s">
        <v>201</v>
      </c>
      <c r="BJ83" t="s">
        <v>201</v>
      </c>
      <c r="BK83" t="s">
        <v>201</v>
      </c>
      <c r="BL83" t="s">
        <v>201</v>
      </c>
      <c r="BM83" t="s">
        <v>201</v>
      </c>
      <c r="BN83" t="s">
        <v>201</v>
      </c>
      <c r="BO83" t="s">
        <v>201</v>
      </c>
      <c r="BP83" t="s">
        <v>201</v>
      </c>
      <c r="BQ83" t="s">
        <v>201</v>
      </c>
      <c r="BR83" t="s">
        <v>201</v>
      </c>
      <c r="BS83" s="1" t="s">
        <v>183</v>
      </c>
      <c r="BT83">
        <v>-25.666499999999999</v>
      </c>
      <c r="BU83" s="1" t="s">
        <v>184</v>
      </c>
      <c r="BV83">
        <v>0.3</v>
      </c>
      <c r="BW83" t="s">
        <v>201</v>
      </c>
      <c r="BX83" t="s">
        <v>202</v>
      </c>
      <c r="BY83">
        <v>4.2</v>
      </c>
      <c r="BZ83" s="4" t="s">
        <v>201</v>
      </c>
      <c r="CA83" s="4" t="s">
        <v>201</v>
      </c>
      <c r="CB83">
        <v>-21.574299300000007</v>
      </c>
      <c r="CC83" t="s">
        <v>201</v>
      </c>
      <c r="CD83" t="s">
        <v>201</v>
      </c>
      <c r="CE83" t="s">
        <v>201</v>
      </c>
      <c r="CF83" t="s">
        <v>201</v>
      </c>
      <c r="CG83">
        <v>35</v>
      </c>
      <c r="CH83">
        <v>1</v>
      </c>
      <c r="CI83" t="s">
        <v>204</v>
      </c>
      <c r="CJ83" s="1" t="s">
        <v>185</v>
      </c>
      <c r="CK83">
        <v>0.16</v>
      </c>
      <c r="CL83">
        <v>0.1</v>
      </c>
      <c r="CM83">
        <v>0.1</v>
      </c>
      <c r="CN83" t="s">
        <v>204</v>
      </c>
      <c r="CO83" s="1" t="s">
        <v>186</v>
      </c>
      <c r="CP83" t="s">
        <v>201</v>
      </c>
      <c r="CQ83" t="s">
        <v>201</v>
      </c>
      <c r="CR83">
        <f t="shared" si="11"/>
        <v>28.077310643761301</v>
      </c>
      <c r="CS83" t="s">
        <v>201</v>
      </c>
      <c r="CT83" t="s">
        <v>201</v>
      </c>
      <c r="CU83" t="s">
        <v>201</v>
      </c>
      <c r="CV83" t="s">
        <v>211</v>
      </c>
      <c r="CW83">
        <v>0.99458540747737967</v>
      </c>
      <c r="CX83" t="s">
        <v>201</v>
      </c>
      <c r="CY83">
        <v>28.380233633794198</v>
      </c>
      <c r="CZ83" t="s">
        <v>201</v>
      </c>
      <c r="DA83" t="s">
        <v>201</v>
      </c>
      <c r="DB83" t="s">
        <v>201</v>
      </c>
      <c r="DC83" s="1" t="s">
        <v>190</v>
      </c>
      <c r="DD83" t="s">
        <v>205</v>
      </c>
      <c r="DE83" t="s">
        <v>201</v>
      </c>
      <c r="DF83" t="s">
        <v>201</v>
      </c>
      <c r="DG83" t="s">
        <v>201</v>
      </c>
      <c r="DH83" t="s">
        <v>201</v>
      </c>
      <c r="DI83">
        <v>27.774387653728407</v>
      </c>
      <c r="DJ83" t="s">
        <v>201</v>
      </c>
      <c r="DK83" t="s">
        <v>201</v>
      </c>
      <c r="DL83" t="s">
        <v>201</v>
      </c>
      <c r="DM83" t="s">
        <v>206</v>
      </c>
      <c r="DN83" t="s">
        <v>201</v>
      </c>
      <c r="DO83" t="s">
        <v>201</v>
      </c>
      <c r="DP83" t="s">
        <v>201</v>
      </c>
      <c r="DQ83" t="s">
        <v>201</v>
      </c>
      <c r="DR83" t="s">
        <v>201</v>
      </c>
      <c r="DS83" t="s">
        <v>201</v>
      </c>
      <c r="DT83" t="s">
        <v>201</v>
      </c>
      <c r="DU83" t="s">
        <v>201</v>
      </c>
      <c r="DV83" t="s">
        <v>201</v>
      </c>
      <c r="DW83" t="s">
        <v>201</v>
      </c>
      <c r="DX83" t="s">
        <v>201</v>
      </c>
      <c r="DY83" t="s">
        <v>201</v>
      </c>
      <c r="DZ83" s="3" t="s">
        <v>201</v>
      </c>
      <c r="EA83" s="3" t="s">
        <v>201</v>
      </c>
      <c r="EB83" t="s">
        <v>201</v>
      </c>
      <c r="EC83" t="s">
        <v>201</v>
      </c>
      <c r="ED83" t="s">
        <v>201</v>
      </c>
      <c r="EE83" t="s">
        <v>201</v>
      </c>
      <c r="EF83" t="s">
        <v>201</v>
      </c>
      <c r="EG83" t="s">
        <v>201</v>
      </c>
      <c r="EH83" t="s">
        <v>201</v>
      </c>
      <c r="EI83" t="s">
        <v>201</v>
      </c>
      <c r="EJ83" t="s">
        <v>201</v>
      </c>
      <c r="EK83" t="s">
        <v>201</v>
      </c>
      <c r="EL83" t="s">
        <v>201</v>
      </c>
      <c r="EM83" t="s">
        <v>201</v>
      </c>
      <c r="EN83" t="s">
        <v>201</v>
      </c>
      <c r="EO83" t="s">
        <v>201</v>
      </c>
      <c r="EP83" t="s">
        <v>201</v>
      </c>
      <c r="EQ83" t="s">
        <v>201</v>
      </c>
      <c r="ER83">
        <v>103.03319999999999</v>
      </c>
      <c r="ES83" t="s">
        <v>201</v>
      </c>
      <c r="ET83" t="s">
        <v>201</v>
      </c>
      <c r="EU83" t="s">
        <v>201</v>
      </c>
      <c r="EV83" s="1" t="s">
        <v>188</v>
      </c>
      <c r="EW83">
        <v>25</v>
      </c>
      <c r="EX83">
        <v>14.371710910593194</v>
      </c>
      <c r="EY83">
        <v>7.5642876052217645E-2</v>
      </c>
      <c r="EZ83">
        <v>7.5642876052217645E-2</v>
      </c>
      <c r="FA83" t="s">
        <v>201</v>
      </c>
      <c r="FB83" s="1" t="s">
        <v>250</v>
      </c>
      <c r="FC83" t="s">
        <v>201</v>
      </c>
      <c r="FD83" t="s">
        <v>201</v>
      </c>
      <c r="FE83" t="s">
        <v>201</v>
      </c>
      <c r="FF83" t="s">
        <v>201</v>
      </c>
      <c r="FG83" t="s">
        <v>217</v>
      </c>
      <c r="FH83">
        <v>370.86551875610814</v>
      </c>
      <c r="FI83">
        <f t="shared" si="19"/>
        <v>27.81491390670811</v>
      </c>
      <c r="FJ83">
        <f t="shared" si="20"/>
        <v>27.81491390670811</v>
      </c>
      <c r="FK83" t="s">
        <v>203</v>
      </c>
      <c r="FL83" t="s">
        <v>216</v>
      </c>
      <c r="FM83" t="s">
        <v>249</v>
      </c>
      <c r="FN83" t="s">
        <v>201</v>
      </c>
      <c r="FO83" t="s">
        <v>201</v>
      </c>
      <c r="FP83" t="s">
        <v>201</v>
      </c>
      <c r="FQ83" t="s">
        <v>201</v>
      </c>
      <c r="FR83" t="s">
        <v>201</v>
      </c>
      <c r="FS83" t="s">
        <v>201</v>
      </c>
      <c r="FT83" t="s">
        <v>199</v>
      </c>
      <c r="FU83" t="s">
        <v>201</v>
      </c>
      <c r="FV83" s="47" t="s">
        <v>353</v>
      </c>
      <c r="FW83" t="s">
        <v>426</v>
      </c>
      <c r="FX83" t="s">
        <v>201</v>
      </c>
      <c r="FY83" t="s">
        <v>248</v>
      </c>
    </row>
    <row r="84" spans="1:181" x14ac:dyDescent="0.15">
      <c r="A84" s="3" t="s">
        <v>258</v>
      </c>
      <c r="B84" s="3" t="s">
        <v>193</v>
      </c>
      <c r="C84">
        <v>2017</v>
      </c>
      <c r="D84" s="22" t="str">
        <f t="shared" si="12"/>
        <v>10.1016/j.epsl.2017.03.016</v>
      </c>
      <c r="E84" s="22">
        <f t="shared" si="13"/>
        <v>2997.91</v>
      </c>
      <c r="F84" s="22" t="str">
        <f t="shared" si="14"/>
        <v>NA</v>
      </c>
      <c r="G84" s="22" t="str">
        <f t="shared" si="15"/>
        <v>NA</v>
      </c>
      <c r="H84" s="22">
        <f t="shared" si="16"/>
        <v>377.81508801228193</v>
      </c>
      <c r="I84" s="36">
        <f t="shared" si="17"/>
        <v>28.336131600921146</v>
      </c>
      <c r="J84" s="36">
        <f t="shared" si="18"/>
        <v>28.336131600921146</v>
      </c>
      <c r="K84" s="2" t="s">
        <v>251</v>
      </c>
      <c r="L84" s="2" t="s">
        <v>252</v>
      </c>
      <c r="M84" s="2" t="s">
        <v>194</v>
      </c>
      <c r="N84" s="2" t="s">
        <v>192</v>
      </c>
      <c r="O84">
        <v>806</v>
      </c>
      <c r="P84" s="1" t="s">
        <v>189</v>
      </c>
      <c r="Q84" t="s">
        <v>201</v>
      </c>
      <c r="R84" t="s">
        <v>201</v>
      </c>
      <c r="S84" t="s">
        <v>201</v>
      </c>
      <c r="T84" t="s">
        <v>201</v>
      </c>
      <c r="U84" t="s">
        <v>201</v>
      </c>
      <c r="V84" t="s">
        <v>201</v>
      </c>
      <c r="W84" t="s">
        <v>201</v>
      </c>
      <c r="X84" t="s">
        <v>201</v>
      </c>
      <c r="Y84" t="s">
        <v>201</v>
      </c>
      <c r="Z84" s="10">
        <v>68.87</v>
      </c>
      <c r="AA84" s="2" t="s">
        <v>207</v>
      </c>
      <c r="AB84">
        <v>2997.91</v>
      </c>
      <c r="AC84" t="s">
        <v>201</v>
      </c>
      <c r="AD84" t="s">
        <v>201</v>
      </c>
      <c r="AE84" t="s">
        <v>201</v>
      </c>
      <c r="AF84" s="1" t="s">
        <v>177</v>
      </c>
      <c r="AG84" s="1" t="s">
        <v>179</v>
      </c>
      <c r="AH84" s="13">
        <v>0.31850000000000001</v>
      </c>
      <c r="AI84" s="10">
        <v>159.36150000000001</v>
      </c>
      <c r="AJ84" s="35">
        <v>-2520</v>
      </c>
      <c r="AK84" t="s">
        <v>201</v>
      </c>
      <c r="AL84" t="s">
        <v>201</v>
      </c>
      <c r="AM84" t="s">
        <v>201</v>
      </c>
      <c r="AN84" t="s">
        <v>201</v>
      </c>
      <c r="AO84" s="1" t="s">
        <v>180</v>
      </c>
      <c r="AP84" t="s">
        <v>201</v>
      </c>
      <c r="AQ84" t="s">
        <v>201</v>
      </c>
      <c r="AR84" t="s">
        <v>201</v>
      </c>
      <c r="AS84" t="s">
        <v>201</v>
      </c>
      <c r="AT84" t="s">
        <v>201</v>
      </c>
      <c r="AU84" t="s">
        <v>201</v>
      </c>
      <c r="AV84" t="s">
        <v>201</v>
      </c>
      <c r="AW84" t="s">
        <v>201</v>
      </c>
      <c r="AX84">
        <v>2.0339999999999998</v>
      </c>
      <c r="AY84">
        <v>0.13</v>
      </c>
      <c r="AZ84" t="s">
        <v>203</v>
      </c>
      <c r="BA84" t="s">
        <v>201</v>
      </c>
      <c r="BB84">
        <v>-1.407</v>
      </c>
      <c r="BC84">
        <v>0.24</v>
      </c>
      <c r="BD84" t="s">
        <v>203</v>
      </c>
      <c r="BE84" t="s">
        <v>201</v>
      </c>
      <c r="BF84" s="1" t="s">
        <v>181</v>
      </c>
      <c r="BG84" s="1" t="s">
        <v>182</v>
      </c>
      <c r="BH84">
        <v>0</v>
      </c>
      <c r="BI84" t="s">
        <v>201</v>
      </c>
      <c r="BJ84" t="s">
        <v>201</v>
      </c>
      <c r="BK84" t="s">
        <v>201</v>
      </c>
      <c r="BL84" t="s">
        <v>201</v>
      </c>
      <c r="BM84" t="s">
        <v>201</v>
      </c>
      <c r="BN84" t="s">
        <v>201</v>
      </c>
      <c r="BO84" t="s">
        <v>201</v>
      </c>
      <c r="BP84" t="s">
        <v>201</v>
      </c>
      <c r="BQ84" t="s">
        <v>201</v>
      </c>
      <c r="BR84" t="s">
        <v>201</v>
      </c>
      <c r="BS84" s="1" t="s">
        <v>183</v>
      </c>
      <c r="BT84">
        <v>-25.975999999999999</v>
      </c>
      <c r="BU84" s="1" t="s">
        <v>184</v>
      </c>
      <c r="BV84">
        <v>0.3</v>
      </c>
      <c r="BW84" t="s">
        <v>201</v>
      </c>
      <c r="BX84" t="s">
        <v>202</v>
      </c>
      <c r="BY84">
        <v>4.2</v>
      </c>
      <c r="BZ84" s="4" t="s">
        <v>201</v>
      </c>
      <c r="CA84" s="4" t="s">
        <v>201</v>
      </c>
      <c r="CB84">
        <v>-21.885099200000013</v>
      </c>
      <c r="CC84" t="s">
        <v>201</v>
      </c>
      <c r="CD84" t="s">
        <v>201</v>
      </c>
      <c r="CE84" t="s">
        <v>201</v>
      </c>
      <c r="CF84" t="s">
        <v>201</v>
      </c>
      <c r="CG84">
        <v>35</v>
      </c>
      <c r="CH84">
        <v>1</v>
      </c>
      <c r="CI84" t="s">
        <v>204</v>
      </c>
      <c r="CJ84" s="1" t="s">
        <v>185</v>
      </c>
      <c r="CK84">
        <v>0.16</v>
      </c>
      <c r="CL84">
        <v>0.1</v>
      </c>
      <c r="CM84">
        <v>0.1</v>
      </c>
      <c r="CN84" t="s">
        <v>204</v>
      </c>
      <c r="CO84" s="1" t="s">
        <v>186</v>
      </c>
      <c r="CP84" t="s">
        <v>201</v>
      </c>
      <c r="CQ84" t="s">
        <v>201</v>
      </c>
      <c r="CR84">
        <f t="shared" si="11"/>
        <v>28.141879394755698</v>
      </c>
      <c r="CS84" t="s">
        <v>201</v>
      </c>
      <c r="CT84" t="s">
        <v>201</v>
      </c>
      <c r="CU84" t="s">
        <v>201</v>
      </c>
      <c r="CV84" t="s">
        <v>211</v>
      </c>
      <c r="CW84">
        <v>0.99081236347943946</v>
      </c>
      <c r="CX84" t="s">
        <v>201</v>
      </c>
      <c r="CY84">
        <v>28.267510171311734</v>
      </c>
      <c r="CZ84" t="s">
        <v>201</v>
      </c>
      <c r="DA84" t="s">
        <v>201</v>
      </c>
      <c r="DB84" t="s">
        <v>201</v>
      </c>
      <c r="DC84" s="1" t="s">
        <v>190</v>
      </c>
      <c r="DD84" t="s">
        <v>205</v>
      </c>
      <c r="DE84" t="s">
        <v>201</v>
      </c>
      <c r="DF84" t="s">
        <v>201</v>
      </c>
      <c r="DG84" t="s">
        <v>201</v>
      </c>
      <c r="DH84" t="s">
        <v>201</v>
      </c>
      <c r="DI84">
        <v>28.016248618199661</v>
      </c>
      <c r="DJ84" t="s">
        <v>201</v>
      </c>
      <c r="DK84" t="s">
        <v>201</v>
      </c>
      <c r="DL84" t="s">
        <v>201</v>
      </c>
      <c r="DM84" t="s">
        <v>206</v>
      </c>
      <c r="DN84" t="s">
        <v>201</v>
      </c>
      <c r="DO84" t="s">
        <v>201</v>
      </c>
      <c r="DP84" t="s">
        <v>201</v>
      </c>
      <c r="DQ84" t="s">
        <v>201</v>
      </c>
      <c r="DR84" t="s">
        <v>201</v>
      </c>
      <c r="DS84" t="s">
        <v>201</v>
      </c>
      <c r="DT84" t="s">
        <v>201</v>
      </c>
      <c r="DU84" t="s">
        <v>201</v>
      </c>
      <c r="DV84" t="s">
        <v>201</v>
      </c>
      <c r="DW84" t="s">
        <v>201</v>
      </c>
      <c r="DX84" t="s">
        <v>201</v>
      </c>
      <c r="DY84" t="s">
        <v>201</v>
      </c>
      <c r="DZ84" s="3" t="s">
        <v>201</v>
      </c>
      <c r="EA84" s="3" t="s">
        <v>201</v>
      </c>
      <c r="EB84" t="s">
        <v>201</v>
      </c>
      <c r="EC84" t="s">
        <v>201</v>
      </c>
      <c r="ED84" t="s">
        <v>201</v>
      </c>
      <c r="EE84" t="s">
        <v>201</v>
      </c>
      <c r="EF84" t="s">
        <v>201</v>
      </c>
      <c r="EG84" t="s">
        <v>201</v>
      </c>
      <c r="EH84" t="s">
        <v>201</v>
      </c>
      <c r="EI84" t="s">
        <v>201</v>
      </c>
      <c r="EJ84" t="s">
        <v>201</v>
      </c>
      <c r="EK84" t="s">
        <v>201</v>
      </c>
      <c r="EL84" t="s">
        <v>201</v>
      </c>
      <c r="EM84" t="s">
        <v>201</v>
      </c>
      <c r="EN84" t="s">
        <v>201</v>
      </c>
      <c r="EO84" t="s">
        <v>201</v>
      </c>
      <c r="EP84" t="s">
        <v>201</v>
      </c>
      <c r="EQ84" t="s">
        <v>201</v>
      </c>
      <c r="ER84">
        <v>103.03319999999999</v>
      </c>
      <c r="ES84" t="s">
        <v>201</v>
      </c>
      <c r="ET84" t="s">
        <v>201</v>
      </c>
      <c r="EU84" t="s">
        <v>201</v>
      </c>
      <c r="EV84" s="1" t="s">
        <v>188</v>
      </c>
      <c r="EW84">
        <v>25</v>
      </c>
      <c r="EX84">
        <v>14.59503728498146</v>
      </c>
      <c r="EY84">
        <v>3.1378625134248495E-2</v>
      </c>
      <c r="EZ84">
        <v>3.1378625134248495E-2</v>
      </c>
      <c r="FA84" t="s">
        <v>201</v>
      </c>
      <c r="FB84" s="1" t="s">
        <v>250</v>
      </c>
      <c r="FC84" t="s">
        <v>201</v>
      </c>
      <c r="FD84" t="s">
        <v>201</v>
      </c>
      <c r="FE84" t="s">
        <v>201</v>
      </c>
      <c r="FF84" t="s">
        <v>201</v>
      </c>
      <c r="FG84" t="s">
        <v>217</v>
      </c>
      <c r="FH84">
        <v>377.81508801228193</v>
      </c>
      <c r="FI84">
        <f t="shared" si="19"/>
        <v>28.336131600921146</v>
      </c>
      <c r="FJ84">
        <f t="shared" si="20"/>
        <v>28.336131600921146</v>
      </c>
      <c r="FK84" t="s">
        <v>203</v>
      </c>
      <c r="FL84" t="s">
        <v>216</v>
      </c>
      <c r="FM84" t="s">
        <v>249</v>
      </c>
      <c r="FN84" t="s">
        <v>201</v>
      </c>
      <c r="FO84" t="s">
        <v>201</v>
      </c>
      <c r="FP84" t="s">
        <v>201</v>
      </c>
      <c r="FQ84" t="s">
        <v>201</v>
      </c>
      <c r="FR84" t="s">
        <v>201</v>
      </c>
      <c r="FS84" t="s">
        <v>201</v>
      </c>
      <c r="FT84" t="s">
        <v>199</v>
      </c>
      <c r="FU84" t="s">
        <v>201</v>
      </c>
      <c r="FV84" s="47" t="s">
        <v>354</v>
      </c>
      <c r="FW84" t="s">
        <v>427</v>
      </c>
      <c r="FX84" t="s">
        <v>201</v>
      </c>
      <c r="FY84" t="s">
        <v>248</v>
      </c>
    </row>
    <row r="85" spans="1:181" s="14" customFormat="1" x14ac:dyDescent="0.15">
      <c r="A85" s="3" t="s">
        <v>258</v>
      </c>
      <c r="B85" s="3" t="s">
        <v>193</v>
      </c>
      <c r="C85">
        <v>2017</v>
      </c>
      <c r="D85" s="22" t="str">
        <f t="shared" si="12"/>
        <v>10.1016/j.epsl.2017.03.016</v>
      </c>
      <c r="E85" s="22">
        <f t="shared" si="13"/>
        <v>3071.33</v>
      </c>
      <c r="F85" s="22" t="str">
        <f t="shared" si="14"/>
        <v>NA</v>
      </c>
      <c r="G85" s="22" t="str">
        <f t="shared" si="15"/>
        <v>NA</v>
      </c>
      <c r="H85" s="22">
        <f t="shared" si="16"/>
        <v>354.10381079918989</v>
      </c>
      <c r="I85" s="36">
        <f t="shared" si="17"/>
        <v>26.55778580993924</v>
      </c>
      <c r="J85" s="36">
        <f t="shared" si="18"/>
        <v>26.55778580993924</v>
      </c>
      <c r="K85" s="17" t="s">
        <v>251</v>
      </c>
      <c r="L85" s="17" t="s">
        <v>252</v>
      </c>
      <c r="M85" s="17" t="s">
        <v>194</v>
      </c>
      <c r="N85" s="17" t="s">
        <v>192</v>
      </c>
      <c r="O85" s="14">
        <v>806</v>
      </c>
      <c r="P85" s="16" t="s">
        <v>189</v>
      </c>
      <c r="Q85" s="14">
        <v>8</v>
      </c>
      <c r="R85" s="14" t="s">
        <v>208</v>
      </c>
      <c r="S85" s="14" t="s">
        <v>209</v>
      </c>
      <c r="T85" s="14">
        <v>6</v>
      </c>
      <c r="U85" s="14">
        <v>40</v>
      </c>
      <c r="V85" s="14" t="s">
        <v>201</v>
      </c>
      <c r="W85" s="14" t="s">
        <v>201</v>
      </c>
      <c r="X85" s="14" t="s">
        <v>201</v>
      </c>
      <c r="Y85" s="14" t="s">
        <v>201</v>
      </c>
      <c r="Z85" s="18">
        <v>71.430000000000007</v>
      </c>
      <c r="AA85" s="17" t="s">
        <v>207</v>
      </c>
      <c r="AB85" s="14">
        <v>3071.33</v>
      </c>
      <c r="AC85" s="14" t="s">
        <v>201</v>
      </c>
      <c r="AD85" s="14" t="s">
        <v>201</v>
      </c>
      <c r="AE85" s="14" t="s">
        <v>201</v>
      </c>
      <c r="AF85" s="16" t="s">
        <v>177</v>
      </c>
      <c r="AG85" s="16" t="s">
        <v>179</v>
      </c>
      <c r="AH85" s="19">
        <v>0.31850000000000001</v>
      </c>
      <c r="AI85" s="18">
        <v>159.36150000000001</v>
      </c>
      <c r="AJ85" s="14">
        <v>-2520</v>
      </c>
      <c r="AK85" s="14" t="s">
        <v>201</v>
      </c>
      <c r="AL85" s="14" t="s">
        <v>201</v>
      </c>
      <c r="AM85" s="14" t="s">
        <v>201</v>
      </c>
      <c r="AN85" s="14" t="s">
        <v>201</v>
      </c>
      <c r="AO85" s="16" t="s">
        <v>180</v>
      </c>
      <c r="AP85" s="14" t="s">
        <v>201</v>
      </c>
      <c r="AQ85" s="14" t="s">
        <v>201</v>
      </c>
      <c r="AR85" s="14" t="s">
        <v>201</v>
      </c>
      <c r="AS85" s="14" t="s">
        <v>201</v>
      </c>
      <c r="AT85" s="14" t="s">
        <v>201</v>
      </c>
      <c r="AU85" s="14" t="s">
        <v>201</v>
      </c>
      <c r="AV85" s="14" t="s">
        <v>201</v>
      </c>
      <c r="AW85" s="14" t="s">
        <v>201</v>
      </c>
      <c r="AX85" s="14">
        <v>1.988</v>
      </c>
      <c r="AY85" s="14">
        <v>0.13</v>
      </c>
      <c r="AZ85" s="14" t="s">
        <v>203</v>
      </c>
      <c r="BA85" s="14" t="s">
        <v>201</v>
      </c>
      <c r="BB85" s="14">
        <v>-1.2390000000000001</v>
      </c>
      <c r="BC85" s="14">
        <v>0.24</v>
      </c>
      <c r="BD85" s="14" t="s">
        <v>203</v>
      </c>
      <c r="BE85" s="14" t="s">
        <v>201</v>
      </c>
      <c r="BF85" s="16" t="s">
        <v>181</v>
      </c>
      <c r="BG85" s="16" t="s">
        <v>182</v>
      </c>
      <c r="BH85" s="14">
        <v>0</v>
      </c>
      <c r="BI85" s="14" t="s">
        <v>201</v>
      </c>
      <c r="BJ85" s="14" t="s">
        <v>201</v>
      </c>
      <c r="BK85" s="14" t="s">
        <v>201</v>
      </c>
      <c r="BL85" s="14" t="s">
        <v>201</v>
      </c>
      <c r="BM85" s="14" t="s">
        <v>201</v>
      </c>
      <c r="BN85" s="14" t="s">
        <v>201</v>
      </c>
      <c r="BO85" s="14" t="s">
        <v>201</v>
      </c>
      <c r="BP85" s="14" t="s">
        <v>201</v>
      </c>
      <c r="BQ85" s="14" t="s">
        <v>201</v>
      </c>
      <c r="BR85" s="14" t="s">
        <v>201</v>
      </c>
      <c r="BS85" s="16" t="s">
        <v>183</v>
      </c>
      <c r="BT85" s="14">
        <v>-24.71</v>
      </c>
      <c r="BU85" s="16" t="s">
        <v>184</v>
      </c>
      <c r="BV85" s="14">
        <v>0.3</v>
      </c>
      <c r="BW85" s="14" t="s">
        <v>201</v>
      </c>
      <c r="BX85" s="14" t="s">
        <v>202</v>
      </c>
      <c r="BY85" s="14">
        <v>4.2</v>
      </c>
      <c r="BZ85" s="6" t="s">
        <v>201</v>
      </c>
      <c r="CA85" s="6" t="s">
        <v>201</v>
      </c>
      <c r="CB85" s="14">
        <v>-20.613782000000015</v>
      </c>
      <c r="CC85" s="14" t="s">
        <v>201</v>
      </c>
      <c r="CD85" s="14" t="s">
        <v>201</v>
      </c>
      <c r="CE85" s="14" t="s">
        <v>201</v>
      </c>
      <c r="CF85" s="14" t="s">
        <v>201</v>
      </c>
      <c r="CG85" s="14">
        <v>35</v>
      </c>
      <c r="CH85" s="14">
        <v>1</v>
      </c>
      <c r="CI85" s="14" t="s">
        <v>204</v>
      </c>
      <c r="CJ85" s="16" t="s">
        <v>185</v>
      </c>
      <c r="CK85" s="14">
        <v>0.16</v>
      </c>
      <c r="CL85" s="14">
        <v>0.1</v>
      </c>
      <c r="CM85" s="14">
        <v>0.1</v>
      </c>
      <c r="CN85" s="14" t="s">
        <v>204</v>
      </c>
      <c r="CO85" s="16" t="s">
        <v>186</v>
      </c>
      <c r="CP85" s="14" t="s">
        <v>201</v>
      </c>
      <c r="CQ85" s="14" t="s">
        <v>201</v>
      </c>
      <c r="CR85" s="14">
        <f t="shared" si="11"/>
        <v>28.768818767785881</v>
      </c>
      <c r="CS85" s="14" t="s">
        <v>201</v>
      </c>
      <c r="CT85" s="14" t="s">
        <v>201</v>
      </c>
      <c r="CU85" s="14" t="s">
        <v>201</v>
      </c>
      <c r="CV85" s="14" t="s">
        <v>211</v>
      </c>
      <c r="CW85" s="14">
        <v>0.96657881849890659</v>
      </c>
      <c r="CX85" s="14" t="s">
        <v>201</v>
      </c>
      <c r="CY85" s="14">
        <v>27.543508781473335</v>
      </c>
      <c r="CZ85" s="14" t="s">
        <v>201</v>
      </c>
      <c r="DA85" s="14" t="s">
        <v>201</v>
      </c>
      <c r="DB85" s="14" t="s">
        <v>201</v>
      </c>
      <c r="DC85" s="16" t="s">
        <v>190</v>
      </c>
      <c r="DD85" s="14" t="s">
        <v>205</v>
      </c>
      <c r="DE85" s="14" t="s">
        <v>201</v>
      </c>
      <c r="DF85" s="14" t="s">
        <v>201</v>
      </c>
      <c r="DG85" s="14" t="s">
        <v>201</v>
      </c>
      <c r="DH85" s="14" t="s">
        <v>201</v>
      </c>
      <c r="DI85" s="14">
        <v>29.994128754098426</v>
      </c>
      <c r="DJ85" s="14" t="s">
        <v>201</v>
      </c>
      <c r="DK85" s="14" t="s">
        <v>201</v>
      </c>
      <c r="DL85" s="14" t="s">
        <v>201</v>
      </c>
      <c r="DM85" s="14" t="s">
        <v>206</v>
      </c>
      <c r="DN85" s="14" t="s">
        <v>201</v>
      </c>
      <c r="DO85" s="14" t="s">
        <v>201</v>
      </c>
      <c r="DP85" s="14" t="s">
        <v>201</v>
      </c>
      <c r="DQ85" s="14" t="s">
        <v>201</v>
      </c>
      <c r="DR85" s="14" t="s">
        <v>201</v>
      </c>
      <c r="DS85" s="14" t="s">
        <v>201</v>
      </c>
      <c r="DT85" s="14" t="s">
        <v>201</v>
      </c>
      <c r="DU85" s="14" t="s">
        <v>201</v>
      </c>
      <c r="DV85" s="14" t="s">
        <v>201</v>
      </c>
      <c r="DW85" s="14" t="s">
        <v>201</v>
      </c>
      <c r="DX85" s="14">
        <v>2.5170278640000001</v>
      </c>
      <c r="DY85" s="14" t="s">
        <v>201</v>
      </c>
      <c r="DZ85" s="15" t="s">
        <v>201</v>
      </c>
      <c r="EA85" s="21" t="s">
        <v>201</v>
      </c>
      <c r="EB85" s="14" t="s">
        <v>201</v>
      </c>
      <c r="EC85" s="14" t="s">
        <v>201</v>
      </c>
      <c r="ED85" s="14" t="s">
        <v>201</v>
      </c>
      <c r="EE85" s="14" t="s">
        <v>201</v>
      </c>
      <c r="EF85" s="14" t="s">
        <v>201</v>
      </c>
      <c r="EG85" s="14" t="s">
        <v>201</v>
      </c>
      <c r="EH85" s="14" t="s">
        <v>201</v>
      </c>
      <c r="EI85" s="14" t="s">
        <v>201</v>
      </c>
      <c r="EJ85" s="14" t="s">
        <v>201</v>
      </c>
      <c r="EK85" s="14" t="s">
        <v>201</v>
      </c>
      <c r="EL85" s="14" t="s">
        <v>201</v>
      </c>
      <c r="EM85" s="14" t="s">
        <v>201</v>
      </c>
      <c r="EN85" s="14" t="s">
        <v>201</v>
      </c>
      <c r="EO85" s="14" t="s">
        <v>201</v>
      </c>
      <c r="EP85" s="14" t="s">
        <v>201</v>
      </c>
      <c r="EQ85" s="14" t="s">
        <v>201</v>
      </c>
      <c r="ER85" s="14">
        <v>103.03319999999999</v>
      </c>
      <c r="ES85" s="14" t="s">
        <v>201</v>
      </c>
      <c r="ET85" s="14" t="s">
        <v>201</v>
      </c>
      <c r="EU85" s="14" t="s">
        <v>201</v>
      </c>
      <c r="EV85" s="16" t="s">
        <v>188</v>
      </c>
      <c r="EW85" s="14">
        <v>25</v>
      </c>
      <c r="EX85" s="14">
        <v>13.442027258044664</v>
      </c>
      <c r="EY85" s="14">
        <v>0.30563461685817472</v>
      </c>
      <c r="EZ85" s="14">
        <v>0.30563461685817472</v>
      </c>
      <c r="FA85" s="14" t="s">
        <v>201</v>
      </c>
      <c r="FB85" s="16" t="s">
        <v>250</v>
      </c>
      <c r="FC85" s="14" t="s">
        <v>201</v>
      </c>
      <c r="FD85" s="14" t="s">
        <v>201</v>
      </c>
      <c r="FE85" s="14" t="s">
        <v>201</v>
      </c>
      <c r="FF85" s="14" t="s">
        <v>201</v>
      </c>
      <c r="FG85" s="14" t="s">
        <v>217</v>
      </c>
      <c r="FH85" s="14">
        <v>354.10381079918989</v>
      </c>
      <c r="FI85" s="14">
        <f t="shared" si="19"/>
        <v>26.55778580993924</v>
      </c>
      <c r="FJ85" s="14">
        <f t="shared" si="20"/>
        <v>26.55778580993924</v>
      </c>
      <c r="FK85" s="14" t="s">
        <v>203</v>
      </c>
      <c r="FL85" s="14" t="s">
        <v>216</v>
      </c>
      <c r="FM85" s="14" t="s">
        <v>249</v>
      </c>
      <c r="FN85" s="14" t="s">
        <v>201</v>
      </c>
      <c r="FO85" s="14" t="s">
        <v>201</v>
      </c>
      <c r="FP85" s="14" t="s">
        <v>201</v>
      </c>
      <c r="FQ85" s="14" t="s">
        <v>201</v>
      </c>
      <c r="FR85" s="14" t="s">
        <v>201</v>
      </c>
      <c r="FS85" s="14" t="s">
        <v>201</v>
      </c>
      <c r="FT85" s="14" t="s">
        <v>199</v>
      </c>
      <c r="FU85" s="14" t="s">
        <v>201</v>
      </c>
      <c r="FV85" s="46" t="s">
        <v>355</v>
      </c>
      <c r="FW85" s="14" t="s">
        <v>428</v>
      </c>
      <c r="FX85" s="14" t="s">
        <v>201</v>
      </c>
      <c r="FY85" s="14" t="s">
        <v>248</v>
      </c>
    </row>
    <row r="86" spans="1:181" x14ac:dyDescent="0.15">
      <c r="A86" s="3" t="s">
        <v>258</v>
      </c>
      <c r="B86" s="3" t="s">
        <v>193</v>
      </c>
      <c r="C86">
        <v>2017</v>
      </c>
      <c r="D86" s="22" t="str">
        <f t="shared" si="12"/>
        <v>10.1016/j.epsl.2017.03.016</v>
      </c>
      <c r="E86" s="22">
        <f t="shared" si="13"/>
        <v>3171.43</v>
      </c>
      <c r="F86" s="22" t="str">
        <f t="shared" si="14"/>
        <v>NA</v>
      </c>
      <c r="G86" s="22" t="str">
        <f t="shared" si="15"/>
        <v>NA</v>
      </c>
      <c r="H86" s="22">
        <f t="shared" si="16"/>
        <v>320.82627940477778</v>
      </c>
      <c r="I86" s="36">
        <f t="shared" si="17"/>
        <v>24.061970955358333</v>
      </c>
      <c r="J86" s="36">
        <f t="shared" si="18"/>
        <v>24.061970955358333</v>
      </c>
      <c r="K86" s="2" t="s">
        <v>251</v>
      </c>
      <c r="L86" s="2" t="s">
        <v>252</v>
      </c>
      <c r="M86" s="2" t="s">
        <v>194</v>
      </c>
      <c r="N86" s="2" t="s">
        <v>192</v>
      </c>
      <c r="O86">
        <v>806</v>
      </c>
      <c r="P86" s="1" t="s">
        <v>189</v>
      </c>
      <c r="Q86" t="s">
        <v>201</v>
      </c>
      <c r="R86" t="s">
        <v>201</v>
      </c>
      <c r="S86" t="s">
        <v>201</v>
      </c>
      <c r="T86" t="s">
        <v>201</v>
      </c>
      <c r="U86" t="s">
        <v>201</v>
      </c>
      <c r="V86" t="s">
        <v>201</v>
      </c>
      <c r="W86" t="s">
        <v>201</v>
      </c>
      <c r="X86" t="s">
        <v>201</v>
      </c>
      <c r="Y86" t="s">
        <v>201</v>
      </c>
      <c r="Z86" s="10">
        <v>74.92</v>
      </c>
      <c r="AA86" s="2" t="s">
        <v>207</v>
      </c>
      <c r="AB86">
        <v>3171.43</v>
      </c>
      <c r="AC86" t="s">
        <v>201</v>
      </c>
      <c r="AD86" t="s">
        <v>201</v>
      </c>
      <c r="AE86" t="s">
        <v>201</v>
      </c>
      <c r="AF86" s="1" t="s">
        <v>177</v>
      </c>
      <c r="AG86" s="1" t="s">
        <v>179</v>
      </c>
      <c r="AH86" s="13">
        <v>0.31850000000000001</v>
      </c>
      <c r="AI86" s="10">
        <v>159.36150000000001</v>
      </c>
      <c r="AJ86" s="35">
        <v>-2520</v>
      </c>
      <c r="AK86" t="s">
        <v>201</v>
      </c>
      <c r="AL86" t="s">
        <v>201</v>
      </c>
      <c r="AM86" t="s">
        <v>201</v>
      </c>
      <c r="AN86" t="s">
        <v>201</v>
      </c>
      <c r="AO86" s="1" t="s">
        <v>180</v>
      </c>
      <c r="AP86" t="s">
        <v>201</v>
      </c>
      <c r="AQ86" t="s">
        <v>201</v>
      </c>
      <c r="AR86" t="s">
        <v>201</v>
      </c>
      <c r="AS86" t="s">
        <v>201</v>
      </c>
      <c r="AT86" t="s">
        <v>201</v>
      </c>
      <c r="AU86" t="s">
        <v>201</v>
      </c>
      <c r="AV86" t="s">
        <v>201</v>
      </c>
      <c r="AW86" t="s">
        <v>201</v>
      </c>
      <c r="AX86">
        <v>2.0710000000000002</v>
      </c>
      <c r="AY86">
        <v>0.13</v>
      </c>
      <c r="AZ86" t="s">
        <v>203</v>
      </c>
      <c r="BA86" t="s">
        <v>201</v>
      </c>
      <c r="BB86">
        <v>-1.3259999999999998</v>
      </c>
      <c r="BC86">
        <v>0.24</v>
      </c>
      <c r="BD86" t="s">
        <v>203</v>
      </c>
      <c r="BE86" t="s">
        <v>201</v>
      </c>
      <c r="BF86" s="1" t="s">
        <v>181</v>
      </c>
      <c r="BG86" s="1" t="s">
        <v>182</v>
      </c>
      <c r="BH86">
        <v>0</v>
      </c>
      <c r="BI86" t="s">
        <v>201</v>
      </c>
      <c r="BJ86" t="s">
        <v>201</v>
      </c>
      <c r="BK86" t="s">
        <v>201</v>
      </c>
      <c r="BL86" t="s">
        <v>201</v>
      </c>
      <c r="BM86" t="s">
        <v>201</v>
      </c>
      <c r="BN86" t="s">
        <v>201</v>
      </c>
      <c r="BO86" t="s">
        <v>201</v>
      </c>
      <c r="BP86" t="s">
        <v>201</v>
      </c>
      <c r="BQ86" t="s">
        <v>201</v>
      </c>
      <c r="BR86" t="s">
        <v>201</v>
      </c>
      <c r="BS86" s="1" t="s">
        <v>183</v>
      </c>
      <c r="BT86">
        <v>-24.132999999999999</v>
      </c>
      <c r="BU86" s="1" t="s">
        <v>184</v>
      </c>
      <c r="BV86">
        <v>0.3</v>
      </c>
      <c r="BW86" t="s">
        <v>201</v>
      </c>
      <c r="BX86" t="s">
        <v>202</v>
      </c>
      <c r="BY86">
        <v>4.2</v>
      </c>
      <c r="BZ86" s="4" t="s">
        <v>201</v>
      </c>
      <c r="CA86" s="4" t="s">
        <v>201</v>
      </c>
      <c r="CB86">
        <v>-20.034358600000019</v>
      </c>
      <c r="CC86" t="s">
        <v>201</v>
      </c>
      <c r="CD86" t="s">
        <v>201</v>
      </c>
      <c r="CE86" t="s">
        <v>201</v>
      </c>
      <c r="CF86" t="s">
        <v>201</v>
      </c>
      <c r="CG86">
        <v>35</v>
      </c>
      <c r="CH86">
        <v>1</v>
      </c>
      <c r="CI86" t="s">
        <v>204</v>
      </c>
      <c r="CJ86" s="1" t="s">
        <v>185</v>
      </c>
      <c r="CK86">
        <v>0.16</v>
      </c>
      <c r="CL86">
        <v>0.1</v>
      </c>
      <c r="CM86">
        <v>0.1</v>
      </c>
      <c r="CN86" t="s">
        <v>204</v>
      </c>
      <c r="CO86" s="1" t="s">
        <v>186</v>
      </c>
      <c r="CP86" t="s">
        <v>201</v>
      </c>
      <c r="CQ86" t="s">
        <v>201</v>
      </c>
      <c r="CR86">
        <f t="shared" si="11"/>
        <v>28.00631807176979</v>
      </c>
      <c r="CS86" t="s">
        <v>201</v>
      </c>
      <c r="CT86" t="s">
        <v>201</v>
      </c>
      <c r="CU86" t="s">
        <v>201</v>
      </c>
      <c r="CV86" t="s">
        <v>211</v>
      </c>
      <c r="CW86">
        <v>0.99295844709726255</v>
      </c>
      <c r="CX86" t="s">
        <v>201</v>
      </c>
      <c r="CY86">
        <v>28.331626565477819</v>
      </c>
      <c r="CZ86" t="s">
        <v>201</v>
      </c>
      <c r="DA86" t="s">
        <v>201</v>
      </c>
      <c r="DB86" t="s">
        <v>201</v>
      </c>
      <c r="DC86" s="1" t="s">
        <v>190</v>
      </c>
      <c r="DD86" t="s">
        <v>205</v>
      </c>
      <c r="DE86" t="s">
        <v>201</v>
      </c>
      <c r="DF86" t="s">
        <v>201</v>
      </c>
      <c r="DG86" t="s">
        <v>201</v>
      </c>
      <c r="DH86" t="s">
        <v>201</v>
      </c>
      <c r="DI86">
        <v>27.681009578061762</v>
      </c>
      <c r="DJ86" t="s">
        <v>201</v>
      </c>
      <c r="DK86" t="s">
        <v>201</v>
      </c>
      <c r="DL86" t="s">
        <v>201</v>
      </c>
      <c r="DM86" t="s">
        <v>206</v>
      </c>
      <c r="DN86" t="s">
        <v>201</v>
      </c>
      <c r="DO86" t="s">
        <v>201</v>
      </c>
      <c r="DP86" t="s">
        <v>201</v>
      </c>
      <c r="DQ86" t="s">
        <v>201</v>
      </c>
      <c r="DR86" t="s">
        <v>201</v>
      </c>
      <c r="DS86" t="s">
        <v>201</v>
      </c>
      <c r="DT86" t="s">
        <v>201</v>
      </c>
      <c r="DU86" t="s">
        <v>201</v>
      </c>
      <c r="DV86" t="s">
        <v>201</v>
      </c>
      <c r="DW86" t="s">
        <v>201</v>
      </c>
      <c r="DX86" t="s">
        <v>201</v>
      </c>
      <c r="DY86" t="s">
        <v>201</v>
      </c>
      <c r="DZ86" s="3" t="s">
        <v>201</v>
      </c>
      <c r="EA86" s="3" t="s">
        <v>201</v>
      </c>
      <c r="EB86" t="s">
        <v>201</v>
      </c>
      <c r="EC86" t="s">
        <v>201</v>
      </c>
      <c r="ED86" t="s">
        <v>201</v>
      </c>
      <c r="EE86" t="s">
        <v>201</v>
      </c>
      <c r="EF86" t="s">
        <v>201</v>
      </c>
      <c r="EG86" t="s">
        <v>201</v>
      </c>
      <c r="EH86" t="s">
        <v>201</v>
      </c>
      <c r="EI86" t="s">
        <v>201</v>
      </c>
      <c r="EJ86" t="s">
        <v>201</v>
      </c>
      <c r="EK86" t="s">
        <v>201</v>
      </c>
      <c r="EL86" t="s">
        <v>201</v>
      </c>
      <c r="EM86" t="s">
        <v>201</v>
      </c>
      <c r="EN86" t="s">
        <v>201</v>
      </c>
      <c r="EO86" t="s">
        <v>201</v>
      </c>
      <c r="EP86" t="s">
        <v>201</v>
      </c>
      <c r="EQ86" t="s">
        <v>201</v>
      </c>
      <c r="ER86">
        <v>103.03319999999999</v>
      </c>
      <c r="ES86" t="s">
        <v>201</v>
      </c>
      <c r="ET86" t="s">
        <v>201</v>
      </c>
      <c r="EU86" t="s">
        <v>201</v>
      </c>
      <c r="EV86" s="1" t="s">
        <v>188</v>
      </c>
      <c r="EW86">
        <v>25</v>
      </c>
      <c r="EX86">
        <v>12.728151202704874</v>
      </c>
      <c r="EY86">
        <v>8.1101533185190533E-2</v>
      </c>
      <c r="EZ86">
        <v>8.1101533185190533E-2</v>
      </c>
      <c r="FA86" t="s">
        <v>201</v>
      </c>
      <c r="FB86" s="1" t="s">
        <v>250</v>
      </c>
      <c r="FC86" t="s">
        <v>201</v>
      </c>
      <c r="FD86" t="s">
        <v>201</v>
      </c>
      <c r="FE86" t="s">
        <v>201</v>
      </c>
      <c r="FF86" t="s">
        <v>201</v>
      </c>
      <c r="FG86" t="s">
        <v>217</v>
      </c>
      <c r="FH86">
        <v>320.82627940477778</v>
      </c>
      <c r="FI86">
        <f t="shared" si="19"/>
        <v>24.061970955358333</v>
      </c>
      <c r="FJ86">
        <f t="shared" si="20"/>
        <v>24.061970955358333</v>
      </c>
      <c r="FK86" t="s">
        <v>203</v>
      </c>
      <c r="FL86" t="s">
        <v>216</v>
      </c>
      <c r="FM86" t="s">
        <v>249</v>
      </c>
      <c r="FN86" t="s">
        <v>201</v>
      </c>
      <c r="FO86" t="s">
        <v>201</v>
      </c>
      <c r="FP86" t="s">
        <v>201</v>
      </c>
      <c r="FQ86" t="s">
        <v>201</v>
      </c>
      <c r="FR86" t="s">
        <v>201</v>
      </c>
      <c r="FS86" t="s">
        <v>201</v>
      </c>
      <c r="FT86" t="s">
        <v>199</v>
      </c>
      <c r="FU86" t="s">
        <v>201</v>
      </c>
      <c r="FV86" s="47" t="s">
        <v>356</v>
      </c>
      <c r="FW86" t="s">
        <v>429</v>
      </c>
      <c r="FX86" t="s">
        <v>201</v>
      </c>
      <c r="FY86" t="s">
        <v>248</v>
      </c>
    </row>
    <row r="87" spans="1:181" x14ac:dyDescent="0.15">
      <c r="A87" s="3" t="s">
        <v>258</v>
      </c>
      <c r="B87" s="3" t="s">
        <v>193</v>
      </c>
      <c r="C87">
        <v>2017</v>
      </c>
      <c r="D87" s="22" t="str">
        <f t="shared" si="12"/>
        <v>10.1016/j.epsl.2017.03.016</v>
      </c>
      <c r="E87" s="22">
        <f t="shared" si="13"/>
        <v>3245.42</v>
      </c>
      <c r="F87" s="22" t="str">
        <f t="shared" si="14"/>
        <v>NA</v>
      </c>
      <c r="G87" s="22" t="str">
        <f t="shared" si="15"/>
        <v>NA</v>
      </c>
      <c r="H87" s="22">
        <f t="shared" si="16"/>
        <v>334.14594068024519</v>
      </c>
      <c r="I87" s="36">
        <f t="shared" si="17"/>
        <v>25.060945551018388</v>
      </c>
      <c r="J87" s="36">
        <f t="shared" si="18"/>
        <v>25.060945551018388</v>
      </c>
      <c r="K87" s="2" t="s">
        <v>251</v>
      </c>
      <c r="L87" s="2" t="s">
        <v>252</v>
      </c>
      <c r="M87" s="2" t="s">
        <v>194</v>
      </c>
      <c r="N87" s="2" t="s">
        <v>192</v>
      </c>
      <c r="O87">
        <v>806</v>
      </c>
      <c r="P87" s="1" t="s">
        <v>189</v>
      </c>
      <c r="Q87" t="s">
        <v>201</v>
      </c>
      <c r="R87" t="s">
        <v>201</v>
      </c>
      <c r="S87" t="s">
        <v>201</v>
      </c>
      <c r="T87" t="s">
        <v>201</v>
      </c>
      <c r="U87" t="s">
        <v>201</v>
      </c>
      <c r="V87" t="s">
        <v>201</v>
      </c>
      <c r="W87" t="s">
        <v>201</v>
      </c>
      <c r="X87" t="s">
        <v>201</v>
      </c>
      <c r="Y87" t="s">
        <v>201</v>
      </c>
      <c r="Z87" s="10">
        <v>77.5</v>
      </c>
      <c r="AA87" s="2" t="s">
        <v>207</v>
      </c>
      <c r="AB87">
        <v>3245.42</v>
      </c>
      <c r="AC87" t="s">
        <v>201</v>
      </c>
      <c r="AD87" t="s">
        <v>201</v>
      </c>
      <c r="AE87" t="s">
        <v>201</v>
      </c>
      <c r="AF87" s="1" t="s">
        <v>177</v>
      </c>
      <c r="AG87" s="1" t="s">
        <v>179</v>
      </c>
      <c r="AH87" s="13">
        <v>0.31850000000000001</v>
      </c>
      <c r="AI87" s="10">
        <v>159.36150000000001</v>
      </c>
      <c r="AJ87" s="35">
        <v>-2520</v>
      </c>
      <c r="AK87" t="s">
        <v>201</v>
      </c>
      <c r="AL87" t="s">
        <v>201</v>
      </c>
      <c r="AM87" t="s">
        <v>201</v>
      </c>
      <c r="AN87" t="s">
        <v>201</v>
      </c>
      <c r="AO87" s="1" t="s">
        <v>180</v>
      </c>
      <c r="AP87" t="s">
        <v>201</v>
      </c>
      <c r="AQ87" t="s">
        <v>201</v>
      </c>
      <c r="AR87" t="s">
        <v>201</v>
      </c>
      <c r="AS87" t="s">
        <v>201</v>
      </c>
      <c r="AT87" t="s">
        <v>201</v>
      </c>
      <c r="AU87" t="s">
        <v>201</v>
      </c>
      <c r="AV87" t="s">
        <v>201</v>
      </c>
      <c r="AW87" t="s">
        <v>201</v>
      </c>
      <c r="AX87">
        <v>2.04</v>
      </c>
      <c r="AY87">
        <v>0.13</v>
      </c>
      <c r="AZ87" t="s">
        <v>203</v>
      </c>
      <c r="BA87" t="s">
        <v>201</v>
      </c>
      <c r="BB87">
        <v>-1.59</v>
      </c>
      <c r="BC87">
        <v>0.24</v>
      </c>
      <c r="BD87" t="s">
        <v>203</v>
      </c>
      <c r="BE87" t="s">
        <v>201</v>
      </c>
      <c r="BF87" s="1" t="s">
        <v>181</v>
      </c>
      <c r="BG87" s="1" t="s">
        <v>182</v>
      </c>
      <c r="BH87">
        <v>0</v>
      </c>
      <c r="BI87" t="s">
        <v>201</v>
      </c>
      <c r="BJ87" t="s">
        <v>201</v>
      </c>
      <c r="BK87" t="s">
        <v>201</v>
      </c>
      <c r="BL87" t="s">
        <v>201</v>
      </c>
      <c r="BM87" t="s">
        <v>201</v>
      </c>
      <c r="BN87" t="s">
        <v>201</v>
      </c>
      <c r="BO87" t="s">
        <v>201</v>
      </c>
      <c r="BP87" t="s">
        <v>201</v>
      </c>
      <c r="BQ87" t="s">
        <v>201</v>
      </c>
      <c r="BR87" t="s">
        <v>201</v>
      </c>
      <c r="BS87" s="1" t="s">
        <v>183</v>
      </c>
      <c r="BT87">
        <v>-24.4895</v>
      </c>
      <c r="BU87" s="1" t="s">
        <v>184</v>
      </c>
      <c r="BV87">
        <v>0.3</v>
      </c>
      <c r="BW87" t="s">
        <v>201</v>
      </c>
      <c r="BX87" t="s">
        <v>202</v>
      </c>
      <c r="BY87">
        <v>4.2</v>
      </c>
      <c r="BZ87" s="4" t="s">
        <v>201</v>
      </c>
      <c r="CA87" s="4" t="s">
        <v>201</v>
      </c>
      <c r="CB87">
        <v>-20.392355899999984</v>
      </c>
      <c r="CC87" t="s">
        <v>201</v>
      </c>
      <c r="CD87" t="s">
        <v>201</v>
      </c>
      <c r="CE87" t="s">
        <v>201</v>
      </c>
      <c r="CF87" t="s">
        <v>201</v>
      </c>
      <c r="CG87">
        <v>35</v>
      </c>
      <c r="CH87">
        <v>1</v>
      </c>
      <c r="CI87" t="s">
        <v>204</v>
      </c>
      <c r="CJ87" s="1" t="s">
        <v>185</v>
      </c>
      <c r="CK87">
        <v>0.16</v>
      </c>
      <c r="CL87">
        <v>0.1</v>
      </c>
      <c r="CM87">
        <v>0.1</v>
      </c>
      <c r="CN87" t="s">
        <v>204</v>
      </c>
      <c r="CO87" s="1" t="s">
        <v>186</v>
      </c>
      <c r="CP87" t="s">
        <v>201</v>
      </c>
      <c r="CQ87" t="s">
        <v>201</v>
      </c>
      <c r="CR87">
        <f t="shared" si="11"/>
        <v>28.550916009832186</v>
      </c>
      <c r="CS87" t="s">
        <v>201</v>
      </c>
      <c r="CT87" t="s">
        <v>201</v>
      </c>
      <c r="CU87" t="s">
        <v>201</v>
      </c>
      <c r="CV87" t="s">
        <v>211</v>
      </c>
      <c r="CW87">
        <v>0.99490972151384727</v>
      </c>
      <c r="CX87" t="s">
        <v>201</v>
      </c>
      <c r="CY87">
        <v>28.389922839947701</v>
      </c>
      <c r="CZ87" t="s">
        <v>201</v>
      </c>
      <c r="DA87" t="s">
        <v>201</v>
      </c>
      <c r="DB87" t="s">
        <v>201</v>
      </c>
      <c r="DC87" s="1" t="s">
        <v>190</v>
      </c>
      <c r="DD87" t="s">
        <v>205</v>
      </c>
      <c r="DE87" t="s">
        <v>201</v>
      </c>
      <c r="DF87" t="s">
        <v>201</v>
      </c>
      <c r="DG87" t="s">
        <v>201</v>
      </c>
      <c r="DH87" t="s">
        <v>201</v>
      </c>
      <c r="DI87">
        <v>28.71190917971667</v>
      </c>
      <c r="DJ87" t="s">
        <v>201</v>
      </c>
      <c r="DK87" t="s">
        <v>201</v>
      </c>
      <c r="DL87" t="s">
        <v>201</v>
      </c>
      <c r="DM87" t="s">
        <v>206</v>
      </c>
      <c r="DN87" t="s">
        <v>201</v>
      </c>
      <c r="DO87" t="s">
        <v>201</v>
      </c>
      <c r="DP87" t="s">
        <v>201</v>
      </c>
      <c r="DQ87" t="s">
        <v>201</v>
      </c>
      <c r="DR87" t="s">
        <v>201</v>
      </c>
      <c r="DS87" t="s">
        <v>201</v>
      </c>
      <c r="DT87" t="s">
        <v>201</v>
      </c>
      <c r="DU87" t="s">
        <v>201</v>
      </c>
      <c r="DV87" t="s">
        <v>201</v>
      </c>
      <c r="DW87" t="s">
        <v>201</v>
      </c>
      <c r="DX87" t="s">
        <v>201</v>
      </c>
      <c r="DY87" t="s">
        <v>201</v>
      </c>
      <c r="DZ87" s="3" t="s">
        <v>201</v>
      </c>
      <c r="EA87" s="3" t="s">
        <v>201</v>
      </c>
      <c r="EB87" t="s">
        <v>201</v>
      </c>
      <c r="EC87" t="s">
        <v>201</v>
      </c>
      <c r="ED87" t="s">
        <v>201</v>
      </c>
      <c r="EE87" t="s">
        <v>201</v>
      </c>
      <c r="EF87" t="s">
        <v>201</v>
      </c>
      <c r="EG87" t="s">
        <v>201</v>
      </c>
      <c r="EH87" t="s">
        <v>201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201</v>
      </c>
      <c r="ER87">
        <v>103.03319999999999</v>
      </c>
      <c r="ES87" t="s">
        <v>201</v>
      </c>
      <c r="ET87" t="s">
        <v>201</v>
      </c>
      <c r="EU87" t="s">
        <v>201</v>
      </c>
      <c r="EV87" s="1" t="s">
        <v>188</v>
      </c>
      <c r="EW87">
        <v>25</v>
      </c>
      <c r="EX87">
        <v>13.111087812456956</v>
      </c>
      <c r="EY87">
        <v>4.0150304599695374E-2</v>
      </c>
      <c r="EZ87">
        <v>4.0150304599695374E-2</v>
      </c>
      <c r="FA87" t="s">
        <v>201</v>
      </c>
      <c r="FB87" s="1" t="s">
        <v>250</v>
      </c>
      <c r="FC87" t="s">
        <v>201</v>
      </c>
      <c r="FD87" t="s">
        <v>201</v>
      </c>
      <c r="FE87" t="s">
        <v>201</v>
      </c>
      <c r="FF87" t="s">
        <v>201</v>
      </c>
      <c r="FG87" t="s">
        <v>217</v>
      </c>
      <c r="FH87">
        <v>334.14594068024519</v>
      </c>
      <c r="FI87">
        <f t="shared" si="19"/>
        <v>25.060945551018388</v>
      </c>
      <c r="FJ87">
        <f t="shared" si="20"/>
        <v>25.060945551018388</v>
      </c>
      <c r="FK87" t="s">
        <v>203</v>
      </c>
      <c r="FL87" t="s">
        <v>216</v>
      </c>
      <c r="FM87" t="s">
        <v>249</v>
      </c>
      <c r="FN87" t="s">
        <v>201</v>
      </c>
      <c r="FO87" t="s">
        <v>201</v>
      </c>
      <c r="FP87" t="s">
        <v>201</v>
      </c>
      <c r="FQ87" t="s">
        <v>201</v>
      </c>
      <c r="FR87" t="s">
        <v>201</v>
      </c>
      <c r="FS87" t="s">
        <v>201</v>
      </c>
      <c r="FT87" t="s">
        <v>199</v>
      </c>
      <c r="FU87" t="s">
        <v>201</v>
      </c>
      <c r="FV87" s="47" t="s">
        <v>357</v>
      </c>
      <c r="FW87" t="s">
        <v>430</v>
      </c>
      <c r="FX87" t="s">
        <v>201</v>
      </c>
      <c r="FY87" t="s">
        <v>248</v>
      </c>
    </row>
    <row r="88" spans="1:181" x14ac:dyDescent="0.15">
      <c r="A88" s="3" t="s">
        <v>258</v>
      </c>
      <c r="B88" s="3" t="s">
        <v>193</v>
      </c>
      <c r="C88">
        <v>2017</v>
      </c>
      <c r="D88" s="22" t="str">
        <f t="shared" si="12"/>
        <v>10.1016/j.epsl.2017.03.016</v>
      </c>
      <c r="E88" s="22">
        <f t="shared" si="13"/>
        <v>3454.79</v>
      </c>
      <c r="F88" s="22" t="str">
        <f t="shared" si="14"/>
        <v>NA</v>
      </c>
      <c r="G88" s="22" t="str">
        <f t="shared" si="15"/>
        <v>NA</v>
      </c>
      <c r="H88" s="22">
        <f t="shared" si="16"/>
        <v>369.36530080636521</v>
      </c>
      <c r="I88" s="36">
        <f t="shared" si="17"/>
        <v>27.70239756047739</v>
      </c>
      <c r="J88" s="36">
        <f t="shared" si="18"/>
        <v>27.70239756047739</v>
      </c>
      <c r="K88" s="2" t="s">
        <v>251</v>
      </c>
      <c r="L88" s="2" t="s">
        <v>252</v>
      </c>
      <c r="M88" s="2" t="s">
        <v>194</v>
      </c>
      <c r="N88" s="2" t="s">
        <v>192</v>
      </c>
      <c r="O88">
        <v>806</v>
      </c>
      <c r="P88" s="1" t="s">
        <v>189</v>
      </c>
      <c r="Q88" t="s">
        <v>201</v>
      </c>
      <c r="R88" t="s">
        <v>201</v>
      </c>
      <c r="S88" t="s">
        <v>201</v>
      </c>
      <c r="T88" t="s">
        <v>201</v>
      </c>
      <c r="U88" t="s">
        <v>201</v>
      </c>
      <c r="V88" t="s">
        <v>201</v>
      </c>
      <c r="W88" t="s">
        <v>201</v>
      </c>
      <c r="X88" t="s">
        <v>201</v>
      </c>
      <c r="Y88" t="s">
        <v>201</v>
      </c>
      <c r="Z88" s="10">
        <v>84.8</v>
      </c>
      <c r="AA88" s="2" t="s">
        <v>207</v>
      </c>
      <c r="AB88">
        <v>3454.79</v>
      </c>
      <c r="AC88" t="s">
        <v>201</v>
      </c>
      <c r="AD88" t="s">
        <v>201</v>
      </c>
      <c r="AE88" t="s">
        <v>201</v>
      </c>
      <c r="AF88" s="1" t="s">
        <v>177</v>
      </c>
      <c r="AG88" s="1" t="s">
        <v>179</v>
      </c>
      <c r="AH88" s="13">
        <v>0.31850000000000001</v>
      </c>
      <c r="AI88" s="10">
        <v>159.36150000000001</v>
      </c>
      <c r="AJ88" s="35">
        <v>-2520</v>
      </c>
      <c r="AK88" t="s">
        <v>201</v>
      </c>
      <c r="AL88" t="s">
        <v>201</v>
      </c>
      <c r="AM88" t="s">
        <v>201</v>
      </c>
      <c r="AN88" t="s">
        <v>201</v>
      </c>
      <c r="AO88" s="1" t="s">
        <v>180</v>
      </c>
      <c r="AP88" t="s">
        <v>201</v>
      </c>
      <c r="AQ88" t="s">
        <v>201</v>
      </c>
      <c r="AR88" t="s">
        <v>201</v>
      </c>
      <c r="AS88" t="s">
        <v>201</v>
      </c>
      <c r="AT88" t="s">
        <v>201</v>
      </c>
      <c r="AU88" t="s">
        <v>201</v>
      </c>
      <c r="AV88" t="s">
        <v>201</v>
      </c>
      <c r="AW88" t="s">
        <v>201</v>
      </c>
      <c r="AX88">
        <v>1.78</v>
      </c>
      <c r="AY88">
        <v>0.13</v>
      </c>
      <c r="AZ88" t="s">
        <v>203</v>
      </c>
      <c r="BA88" t="s">
        <v>201</v>
      </c>
      <c r="BB88">
        <v>-1.5090000000000001</v>
      </c>
      <c r="BC88">
        <v>0.24</v>
      </c>
      <c r="BD88" t="s">
        <v>203</v>
      </c>
      <c r="BE88" t="s">
        <v>201</v>
      </c>
      <c r="BF88" s="1" t="s">
        <v>181</v>
      </c>
      <c r="BG88" s="1" t="s">
        <v>182</v>
      </c>
      <c r="BH88">
        <v>0</v>
      </c>
      <c r="BI88" t="s">
        <v>201</v>
      </c>
      <c r="BJ88" t="s">
        <v>201</v>
      </c>
      <c r="BK88" t="s">
        <v>201</v>
      </c>
      <c r="BL88" t="s">
        <v>201</v>
      </c>
      <c r="BM88" t="s">
        <v>201</v>
      </c>
      <c r="BN88" t="s">
        <v>201</v>
      </c>
      <c r="BO88" t="s">
        <v>201</v>
      </c>
      <c r="BP88" t="s">
        <v>201</v>
      </c>
      <c r="BQ88" t="s">
        <v>201</v>
      </c>
      <c r="BR88" t="s">
        <v>201</v>
      </c>
      <c r="BS88" s="1" t="s">
        <v>183</v>
      </c>
      <c r="BT88">
        <v>-25.542999999999999</v>
      </c>
      <c r="BU88" s="1" t="s">
        <v>184</v>
      </c>
      <c r="BV88">
        <v>0.3</v>
      </c>
      <c r="BW88" t="s">
        <v>201</v>
      </c>
      <c r="BX88" t="s">
        <v>202</v>
      </c>
      <c r="BY88">
        <v>4.2</v>
      </c>
      <c r="BZ88" s="4" t="s">
        <v>201</v>
      </c>
      <c r="CA88" s="4" t="s">
        <v>201</v>
      </c>
      <c r="CB88">
        <v>-21.450280600000042</v>
      </c>
      <c r="CC88" t="s">
        <v>201</v>
      </c>
      <c r="CD88" t="s">
        <v>201</v>
      </c>
      <c r="CE88" t="s">
        <v>201</v>
      </c>
      <c r="CF88" t="s">
        <v>201</v>
      </c>
      <c r="CG88">
        <v>35</v>
      </c>
      <c r="CH88">
        <v>1</v>
      </c>
      <c r="CI88" t="s">
        <v>204</v>
      </c>
      <c r="CJ88" s="1" t="s">
        <v>185</v>
      </c>
      <c r="CK88">
        <v>0.16</v>
      </c>
      <c r="CL88">
        <v>0.1</v>
      </c>
      <c r="CM88">
        <v>0.1</v>
      </c>
      <c r="CN88" t="s">
        <v>204</v>
      </c>
      <c r="CO88" s="1" t="s">
        <v>186</v>
      </c>
      <c r="CP88" t="s">
        <v>201</v>
      </c>
      <c r="CQ88" t="s">
        <v>201</v>
      </c>
      <c r="CR88">
        <f t="shared" si="11"/>
        <v>29.003854035778669</v>
      </c>
      <c r="CS88" t="s">
        <v>201</v>
      </c>
      <c r="CT88" t="s">
        <v>201</v>
      </c>
      <c r="CU88" t="s">
        <v>201</v>
      </c>
      <c r="CV88" t="s">
        <v>211</v>
      </c>
      <c r="CW88">
        <v>0.99613609009336335</v>
      </c>
      <c r="CX88" t="s">
        <v>201</v>
      </c>
      <c r="CY88">
        <v>28.426561827629325</v>
      </c>
      <c r="CZ88" t="s">
        <v>201</v>
      </c>
      <c r="DA88" t="s">
        <v>201</v>
      </c>
      <c r="DB88" t="s">
        <v>201</v>
      </c>
      <c r="DC88" s="1" t="s">
        <v>190</v>
      </c>
      <c r="DD88" t="s">
        <v>205</v>
      </c>
      <c r="DE88" t="s">
        <v>201</v>
      </c>
      <c r="DF88" t="s">
        <v>201</v>
      </c>
      <c r="DG88" t="s">
        <v>201</v>
      </c>
      <c r="DH88" t="s">
        <v>201</v>
      </c>
      <c r="DI88">
        <v>29.581146243928014</v>
      </c>
      <c r="DJ88" t="s">
        <v>201</v>
      </c>
      <c r="DK88" t="s">
        <v>201</v>
      </c>
      <c r="DL88" t="s">
        <v>201</v>
      </c>
      <c r="DM88" t="s">
        <v>206</v>
      </c>
      <c r="DN88" t="s">
        <v>201</v>
      </c>
      <c r="DO88" t="s">
        <v>201</v>
      </c>
      <c r="DP88" t="s">
        <v>201</v>
      </c>
      <c r="DQ88" t="s">
        <v>201</v>
      </c>
      <c r="DR88" t="s">
        <v>201</v>
      </c>
      <c r="DS88" t="s">
        <v>201</v>
      </c>
      <c r="DT88" t="s">
        <v>201</v>
      </c>
      <c r="DU88" t="s">
        <v>201</v>
      </c>
      <c r="DV88" t="s">
        <v>201</v>
      </c>
      <c r="DW88" t="s">
        <v>201</v>
      </c>
      <c r="DX88" t="s">
        <v>201</v>
      </c>
      <c r="DY88" t="s">
        <v>201</v>
      </c>
      <c r="DZ88" s="3" t="s">
        <v>201</v>
      </c>
      <c r="EA88" s="3" t="s">
        <v>201</v>
      </c>
      <c r="EB88" t="s">
        <v>201</v>
      </c>
      <c r="EC88" t="s">
        <v>201</v>
      </c>
      <c r="ED88" t="s">
        <v>201</v>
      </c>
      <c r="EE88" t="s">
        <v>201</v>
      </c>
      <c r="EF88" t="s">
        <v>201</v>
      </c>
      <c r="EG88" t="s">
        <v>201</v>
      </c>
      <c r="EH88" t="s">
        <v>201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201</v>
      </c>
      <c r="ER88">
        <v>103.03319999999999</v>
      </c>
      <c r="ES88" t="s">
        <v>201</v>
      </c>
      <c r="ET88" t="s">
        <v>201</v>
      </c>
      <c r="EU88" t="s">
        <v>201</v>
      </c>
      <c r="EV88" s="1" t="s">
        <v>188</v>
      </c>
      <c r="EW88">
        <v>25</v>
      </c>
      <c r="EX88">
        <v>14.024466950665726</v>
      </c>
      <c r="EY88">
        <v>0.14408722889824865</v>
      </c>
      <c r="EZ88">
        <v>0.14408722889824865</v>
      </c>
      <c r="FA88" t="s">
        <v>201</v>
      </c>
      <c r="FB88" s="1" t="s">
        <v>250</v>
      </c>
      <c r="FC88" t="s">
        <v>201</v>
      </c>
      <c r="FD88" t="s">
        <v>201</v>
      </c>
      <c r="FE88" t="s">
        <v>201</v>
      </c>
      <c r="FF88" t="s">
        <v>201</v>
      </c>
      <c r="FG88" t="s">
        <v>217</v>
      </c>
      <c r="FH88">
        <v>369.36530080636521</v>
      </c>
      <c r="FI88">
        <f t="shared" si="19"/>
        <v>27.70239756047739</v>
      </c>
      <c r="FJ88">
        <f t="shared" si="20"/>
        <v>27.70239756047739</v>
      </c>
      <c r="FK88" t="s">
        <v>203</v>
      </c>
      <c r="FL88" t="s">
        <v>216</v>
      </c>
      <c r="FM88" t="s">
        <v>249</v>
      </c>
      <c r="FN88" t="s">
        <v>201</v>
      </c>
      <c r="FO88" t="s">
        <v>201</v>
      </c>
      <c r="FP88" t="s">
        <v>201</v>
      </c>
      <c r="FQ88" t="s">
        <v>201</v>
      </c>
      <c r="FR88" t="s">
        <v>201</v>
      </c>
      <c r="FS88" t="s">
        <v>201</v>
      </c>
      <c r="FT88" t="s">
        <v>199</v>
      </c>
      <c r="FU88" t="s">
        <v>201</v>
      </c>
      <c r="FV88" s="47" t="s">
        <v>358</v>
      </c>
      <c r="FW88" t="s">
        <v>431</v>
      </c>
      <c r="FX88" t="s">
        <v>201</v>
      </c>
      <c r="FY88" t="s">
        <v>248</v>
      </c>
    </row>
    <row r="89" spans="1:181" s="14" customFormat="1" x14ac:dyDescent="0.15">
      <c r="A89" s="3" t="s">
        <v>258</v>
      </c>
      <c r="B89" s="3" t="s">
        <v>193</v>
      </c>
      <c r="C89">
        <v>2017</v>
      </c>
      <c r="D89" s="22" t="str">
        <f t="shared" si="12"/>
        <v>10.1016/j.epsl.2017.03.016</v>
      </c>
      <c r="E89" s="22">
        <f t="shared" si="13"/>
        <v>3540.83</v>
      </c>
      <c r="F89" s="22" t="str">
        <f t="shared" si="14"/>
        <v>NA</v>
      </c>
      <c r="G89" s="22" t="str">
        <f t="shared" si="15"/>
        <v>NA</v>
      </c>
      <c r="H89" s="22">
        <f t="shared" si="16"/>
        <v>332.22485787511988</v>
      </c>
      <c r="I89" s="36">
        <f t="shared" si="17"/>
        <v>24.916864340633989</v>
      </c>
      <c r="J89" s="36">
        <f t="shared" si="18"/>
        <v>24.916864340633989</v>
      </c>
      <c r="K89" s="17" t="s">
        <v>251</v>
      </c>
      <c r="L89" s="17" t="s">
        <v>252</v>
      </c>
      <c r="M89" s="17" t="s">
        <v>194</v>
      </c>
      <c r="N89" s="17" t="s">
        <v>192</v>
      </c>
      <c r="O89" s="14">
        <v>806</v>
      </c>
      <c r="P89" s="16" t="s">
        <v>189</v>
      </c>
      <c r="Q89" s="14">
        <v>10</v>
      </c>
      <c r="R89" s="14" t="s">
        <v>208</v>
      </c>
      <c r="S89" s="14" t="s">
        <v>209</v>
      </c>
      <c r="T89" s="14">
        <v>4</v>
      </c>
      <c r="U89" s="14">
        <v>85</v>
      </c>
      <c r="V89" s="14" t="s">
        <v>201</v>
      </c>
      <c r="W89" s="14" t="s">
        <v>201</v>
      </c>
      <c r="X89" s="14" t="s">
        <v>201</v>
      </c>
      <c r="Y89" s="14" t="s">
        <v>201</v>
      </c>
      <c r="Z89" s="18">
        <v>87.8</v>
      </c>
      <c r="AA89" s="17" t="s">
        <v>207</v>
      </c>
      <c r="AB89" s="14">
        <v>3540.83</v>
      </c>
      <c r="AC89" s="14" t="s">
        <v>201</v>
      </c>
      <c r="AD89" s="14" t="s">
        <v>201</v>
      </c>
      <c r="AE89" s="14" t="s">
        <v>201</v>
      </c>
      <c r="AF89" s="16" t="s">
        <v>177</v>
      </c>
      <c r="AG89" s="16" t="s">
        <v>179</v>
      </c>
      <c r="AH89" s="19">
        <v>0.31850000000000001</v>
      </c>
      <c r="AI89" s="18">
        <v>159.36150000000001</v>
      </c>
      <c r="AJ89" s="14">
        <v>-2520</v>
      </c>
      <c r="AK89" s="14" t="s">
        <v>201</v>
      </c>
      <c r="AL89" s="14" t="s">
        <v>201</v>
      </c>
      <c r="AM89" s="14" t="s">
        <v>201</v>
      </c>
      <c r="AN89" s="14" t="s">
        <v>201</v>
      </c>
      <c r="AO89" s="16" t="s">
        <v>180</v>
      </c>
      <c r="AP89" s="14" t="s">
        <v>201</v>
      </c>
      <c r="AQ89" s="14" t="s">
        <v>201</v>
      </c>
      <c r="AR89" s="14" t="s">
        <v>201</v>
      </c>
      <c r="AS89" s="14" t="s">
        <v>201</v>
      </c>
      <c r="AT89" s="14" t="s">
        <v>201</v>
      </c>
      <c r="AU89" s="14" t="s">
        <v>201</v>
      </c>
      <c r="AV89" s="14" t="s">
        <v>201</v>
      </c>
      <c r="AW89" s="14" t="s">
        <v>201</v>
      </c>
      <c r="AX89" s="14">
        <v>1.7709999999999999</v>
      </c>
      <c r="AY89" s="14">
        <v>0.13</v>
      </c>
      <c r="AZ89" s="14" t="s">
        <v>203</v>
      </c>
      <c r="BA89" s="14" t="s">
        <v>201</v>
      </c>
      <c r="BB89" s="14">
        <v>-1.3120000000000001</v>
      </c>
      <c r="BC89" s="14">
        <v>0.24</v>
      </c>
      <c r="BD89" s="14" t="s">
        <v>203</v>
      </c>
      <c r="BE89" s="14" t="s">
        <v>201</v>
      </c>
      <c r="BF89" s="16" t="s">
        <v>181</v>
      </c>
      <c r="BG89" s="16" t="s">
        <v>182</v>
      </c>
      <c r="BH89" s="14">
        <v>0</v>
      </c>
      <c r="BI89" s="14" t="s">
        <v>201</v>
      </c>
      <c r="BJ89" s="14" t="s">
        <v>201</v>
      </c>
      <c r="BK89" s="14" t="s">
        <v>201</v>
      </c>
      <c r="BL89" s="14" t="s">
        <v>201</v>
      </c>
      <c r="BM89" s="14" t="s">
        <v>201</v>
      </c>
      <c r="BN89" s="14" t="s">
        <v>201</v>
      </c>
      <c r="BO89" s="14" t="s">
        <v>201</v>
      </c>
      <c r="BP89" s="14" t="s">
        <v>201</v>
      </c>
      <c r="BQ89" s="14" t="s">
        <v>201</v>
      </c>
      <c r="BR89" s="14" t="s">
        <v>201</v>
      </c>
      <c r="BS89" s="16" t="s">
        <v>183</v>
      </c>
      <c r="BT89" s="14">
        <v>-24.899500000000003</v>
      </c>
      <c r="BU89" s="16" t="s">
        <v>184</v>
      </c>
      <c r="BV89" s="14">
        <v>0.3</v>
      </c>
      <c r="BW89" s="14" t="s">
        <v>201</v>
      </c>
      <c r="BX89" s="14" t="s">
        <v>202</v>
      </c>
      <c r="BY89" s="14">
        <v>4.2</v>
      </c>
      <c r="BZ89" s="6" t="s">
        <v>201</v>
      </c>
      <c r="CA89" s="6" t="s">
        <v>201</v>
      </c>
      <c r="CB89" s="14">
        <v>-20.804077900000038</v>
      </c>
      <c r="CC89" s="14" t="s">
        <v>201</v>
      </c>
      <c r="CD89" s="14" t="s">
        <v>201</v>
      </c>
      <c r="CE89" s="14" t="s">
        <v>201</v>
      </c>
      <c r="CF89" s="14" t="s">
        <v>201</v>
      </c>
      <c r="CG89" s="14">
        <v>35</v>
      </c>
      <c r="CH89" s="14">
        <v>1</v>
      </c>
      <c r="CI89" s="14" t="s">
        <v>204</v>
      </c>
      <c r="CJ89" s="16" t="s">
        <v>185</v>
      </c>
      <c r="CK89" s="14">
        <v>0.16</v>
      </c>
      <c r="CL89" s="14">
        <v>0.1</v>
      </c>
      <c r="CM89" s="14">
        <v>0.1</v>
      </c>
      <c r="CN89" s="14" t="s">
        <v>204</v>
      </c>
      <c r="CO89" s="16" t="s">
        <v>186</v>
      </c>
      <c r="CP89" s="14" t="s">
        <v>201</v>
      </c>
      <c r="CQ89" s="14" t="s">
        <v>201</v>
      </c>
      <c r="CR89" s="14">
        <f t="shared" si="11"/>
        <v>27.593717723120562</v>
      </c>
      <c r="CS89" s="14" t="s">
        <v>201</v>
      </c>
      <c r="CT89" s="14" t="s">
        <v>201</v>
      </c>
      <c r="CU89" s="14" t="s">
        <v>201</v>
      </c>
      <c r="CV89" s="14" t="s">
        <v>211</v>
      </c>
      <c r="CW89" s="14">
        <v>0.98963886369196385</v>
      </c>
      <c r="CX89" s="14" t="s">
        <v>201</v>
      </c>
      <c r="CY89" s="14">
        <v>28.232450691661114</v>
      </c>
      <c r="CZ89" s="14" t="s">
        <v>201</v>
      </c>
      <c r="DA89" s="14" t="s">
        <v>201</v>
      </c>
      <c r="DB89" s="14" t="s">
        <v>201</v>
      </c>
      <c r="DC89" s="16" t="s">
        <v>190</v>
      </c>
      <c r="DD89" s="14" t="s">
        <v>205</v>
      </c>
      <c r="DE89" s="14" t="s">
        <v>201</v>
      </c>
      <c r="DF89" s="14" t="s">
        <v>201</v>
      </c>
      <c r="DG89" s="14" t="s">
        <v>201</v>
      </c>
      <c r="DH89" s="14" t="s">
        <v>201</v>
      </c>
      <c r="DI89" s="14">
        <v>26.954984754580007</v>
      </c>
      <c r="DJ89" s="14" t="s">
        <v>201</v>
      </c>
      <c r="DK89" s="14" t="s">
        <v>201</v>
      </c>
      <c r="DL89" s="14" t="s">
        <v>201</v>
      </c>
      <c r="DM89" s="14" t="s">
        <v>206</v>
      </c>
      <c r="DN89" s="14" t="s">
        <v>201</v>
      </c>
      <c r="DO89" s="14" t="s">
        <v>201</v>
      </c>
      <c r="DP89" s="14" t="s">
        <v>201</v>
      </c>
      <c r="DQ89" s="14" t="s">
        <v>201</v>
      </c>
      <c r="DR89" s="14" t="s">
        <v>201</v>
      </c>
      <c r="DS89" s="14" t="s">
        <v>201</v>
      </c>
      <c r="DT89" s="14" t="s">
        <v>201</v>
      </c>
      <c r="DU89" s="14" t="s">
        <v>201</v>
      </c>
      <c r="DV89" s="14" t="s">
        <v>201</v>
      </c>
      <c r="DW89" s="14" t="s">
        <v>201</v>
      </c>
      <c r="DX89" s="14">
        <v>3.085173502</v>
      </c>
      <c r="DY89" s="14" t="s">
        <v>201</v>
      </c>
      <c r="DZ89" s="15" t="s">
        <v>201</v>
      </c>
      <c r="EA89" s="21" t="s">
        <v>201</v>
      </c>
      <c r="EB89" s="14" t="s">
        <v>201</v>
      </c>
      <c r="EC89" s="14" t="s">
        <v>201</v>
      </c>
      <c r="ED89" s="14" t="s">
        <v>201</v>
      </c>
      <c r="EE89" s="14" t="s">
        <v>201</v>
      </c>
      <c r="EF89" s="14" t="s">
        <v>201</v>
      </c>
      <c r="EG89" s="14" t="s">
        <v>201</v>
      </c>
      <c r="EH89" s="14" t="s">
        <v>201</v>
      </c>
      <c r="EI89" s="14" t="s">
        <v>201</v>
      </c>
      <c r="EJ89" s="14" t="s">
        <v>201</v>
      </c>
      <c r="EK89" s="14" t="s">
        <v>201</v>
      </c>
      <c r="EL89" s="14" t="s">
        <v>201</v>
      </c>
      <c r="EM89" s="14" t="s">
        <v>201</v>
      </c>
      <c r="EN89" s="14" t="s">
        <v>201</v>
      </c>
      <c r="EO89" s="14" t="s">
        <v>201</v>
      </c>
      <c r="EP89" s="14" t="s">
        <v>201</v>
      </c>
      <c r="EQ89" s="14" t="s">
        <v>201</v>
      </c>
      <c r="ER89" s="14">
        <v>103.03319999999999</v>
      </c>
      <c r="ES89" s="14" t="s">
        <v>201</v>
      </c>
      <c r="ET89" s="14" t="s">
        <v>201</v>
      </c>
      <c r="EU89" s="14" t="s">
        <v>201</v>
      </c>
      <c r="EV89" s="16" t="s">
        <v>188</v>
      </c>
      <c r="EW89" s="14">
        <v>25</v>
      </c>
      <c r="EX89" s="14">
        <v>13.177035008619553</v>
      </c>
      <c r="EY89" s="14">
        <v>0.15931183726514142</v>
      </c>
      <c r="EZ89" s="14">
        <v>0.15931183726514142</v>
      </c>
      <c r="FA89" s="14" t="s">
        <v>201</v>
      </c>
      <c r="FB89" s="16" t="s">
        <v>250</v>
      </c>
      <c r="FC89" s="14" t="s">
        <v>201</v>
      </c>
      <c r="FD89" s="14" t="s">
        <v>201</v>
      </c>
      <c r="FE89" s="14" t="s">
        <v>201</v>
      </c>
      <c r="FF89" s="14" t="s">
        <v>201</v>
      </c>
      <c r="FG89" s="14" t="s">
        <v>217</v>
      </c>
      <c r="FH89" s="14">
        <v>332.22485787511988</v>
      </c>
      <c r="FI89" s="14">
        <f t="shared" si="19"/>
        <v>24.916864340633989</v>
      </c>
      <c r="FJ89" s="14">
        <f t="shared" si="20"/>
        <v>24.916864340633989</v>
      </c>
      <c r="FK89" s="14" t="s">
        <v>203</v>
      </c>
      <c r="FL89" s="14" t="s">
        <v>216</v>
      </c>
      <c r="FM89" s="14" t="s">
        <v>249</v>
      </c>
      <c r="FN89" s="14" t="s">
        <v>201</v>
      </c>
      <c r="FO89" s="14" t="s">
        <v>201</v>
      </c>
      <c r="FP89" s="14" t="s">
        <v>201</v>
      </c>
      <c r="FQ89" s="14" t="s">
        <v>201</v>
      </c>
      <c r="FR89" s="14" t="s">
        <v>201</v>
      </c>
      <c r="FS89" s="14" t="s">
        <v>201</v>
      </c>
      <c r="FT89" s="14" t="s">
        <v>199</v>
      </c>
      <c r="FU89" s="14" t="s">
        <v>201</v>
      </c>
      <c r="FV89" s="46" t="s">
        <v>359</v>
      </c>
      <c r="FW89" s="14" t="s">
        <v>432</v>
      </c>
      <c r="FX89" s="14" t="s">
        <v>201</v>
      </c>
      <c r="FY89" s="14" t="s">
        <v>248</v>
      </c>
    </row>
    <row r="90" spans="1:181" x14ac:dyDescent="0.15">
      <c r="A90" s="3" t="s">
        <v>258</v>
      </c>
      <c r="B90" s="3" t="s">
        <v>193</v>
      </c>
      <c r="C90">
        <v>2017</v>
      </c>
      <c r="D90" s="22" t="str">
        <f t="shared" si="12"/>
        <v>10.1016/j.epsl.2017.03.016</v>
      </c>
      <c r="E90" s="22">
        <f t="shared" si="13"/>
        <v>3746.55</v>
      </c>
      <c r="F90" s="22" t="str">
        <f t="shared" si="14"/>
        <v>NA</v>
      </c>
      <c r="G90" s="22" t="str">
        <f t="shared" si="15"/>
        <v>NA</v>
      </c>
      <c r="H90" s="22">
        <f t="shared" si="16"/>
        <v>366.43702967256286</v>
      </c>
      <c r="I90" s="36">
        <f t="shared" si="17"/>
        <v>27.482777225442213</v>
      </c>
      <c r="J90" s="36">
        <f t="shared" si="18"/>
        <v>27.482777225442213</v>
      </c>
      <c r="K90" s="2" t="s">
        <v>251</v>
      </c>
      <c r="L90" s="2" t="s">
        <v>252</v>
      </c>
      <c r="M90" s="2" t="s">
        <v>194</v>
      </c>
      <c r="N90" s="2" t="s">
        <v>192</v>
      </c>
      <c r="O90">
        <v>806</v>
      </c>
      <c r="P90" s="1" t="s">
        <v>189</v>
      </c>
      <c r="Q90" t="s">
        <v>201</v>
      </c>
      <c r="R90" t="s">
        <v>201</v>
      </c>
      <c r="S90" t="s">
        <v>201</v>
      </c>
      <c r="T90" t="s">
        <v>201</v>
      </c>
      <c r="U90" t="s">
        <v>201</v>
      </c>
      <c r="V90" t="s">
        <v>201</v>
      </c>
      <c r="W90" t="s">
        <v>201</v>
      </c>
      <c r="X90" t="s">
        <v>201</v>
      </c>
      <c r="Y90" t="s">
        <v>201</v>
      </c>
      <c r="Z90" s="10">
        <v>95.07</v>
      </c>
      <c r="AA90" s="2" t="s">
        <v>207</v>
      </c>
      <c r="AB90">
        <v>3746.55</v>
      </c>
      <c r="AC90" t="s">
        <v>201</v>
      </c>
      <c r="AD90" t="s">
        <v>201</v>
      </c>
      <c r="AE90" t="s">
        <v>201</v>
      </c>
      <c r="AF90" s="1" t="s">
        <v>177</v>
      </c>
      <c r="AG90" s="1" t="s">
        <v>179</v>
      </c>
      <c r="AH90" s="13">
        <v>0.31850000000000001</v>
      </c>
      <c r="AI90" s="10">
        <v>159.36150000000001</v>
      </c>
      <c r="AJ90" s="35">
        <v>-2520</v>
      </c>
      <c r="AK90" t="s">
        <v>201</v>
      </c>
      <c r="AL90" t="s">
        <v>201</v>
      </c>
      <c r="AM90" t="s">
        <v>201</v>
      </c>
      <c r="AN90" t="s">
        <v>201</v>
      </c>
      <c r="AO90" s="1" t="s">
        <v>180</v>
      </c>
      <c r="AP90" t="s">
        <v>201</v>
      </c>
      <c r="AQ90" t="s">
        <v>201</v>
      </c>
      <c r="AR90" t="s">
        <v>201</v>
      </c>
      <c r="AS90" t="s">
        <v>201</v>
      </c>
      <c r="AT90" t="s">
        <v>201</v>
      </c>
      <c r="AU90" t="s">
        <v>201</v>
      </c>
      <c r="AV90" t="s">
        <v>201</v>
      </c>
      <c r="AW90" t="s">
        <v>201</v>
      </c>
      <c r="AX90">
        <v>1.6119999999999999</v>
      </c>
      <c r="AY90">
        <v>0.13</v>
      </c>
      <c r="AZ90" t="s">
        <v>203</v>
      </c>
      <c r="BA90" t="s">
        <v>201</v>
      </c>
      <c r="BB90">
        <v>-1.526</v>
      </c>
      <c r="BC90">
        <v>0.24</v>
      </c>
      <c r="BD90" t="s">
        <v>203</v>
      </c>
      <c r="BE90" t="s">
        <v>201</v>
      </c>
      <c r="BF90" s="1" t="s">
        <v>181</v>
      </c>
      <c r="BG90" s="1" t="s">
        <v>182</v>
      </c>
      <c r="BH90">
        <v>0</v>
      </c>
      <c r="BI90" t="s">
        <v>201</v>
      </c>
      <c r="BJ90" t="s">
        <v>201</v>
      </c>
      <c r="BK90" t="s">
        <v>201</v>
      </c>
      <c r="BL90" t="s">
        <v>201</v>
      </c>
      <c r="BM90" t="s">
        <v>201</v>
      </c>
      <c r="BN90" t="s">
        <v>201</v>
      </c>
      <c r="BO90" t="s">
        <v>201</v>
      </c>
      <c r="BP90" t="s">
        <v>201</v>
      </c>
      <c r="BQ90" t="s">
        <v>201</v>
      </c>
      <c r="BR90" t="s">
        <v>201</v>
      </c>
      <c r="BS90" s="1" t="s">
        <v>183</v>
      </c>
      <c r="BT90">
        <v>-25.8035</v>
      </c>
      <c r="BU90" s="1" t="s">
        <v>184</v>
      </c>
      <c r="BV90">
        <v>0.3</v>
      </c>
      <c r="BW90" t="s">
        <v>201</v>
      </c>
      <c r="BX90" t="s">
        <v>202</v>
      </c>
      <c r="BY90">
        <v>4.2</v>
      </c>
      <c r="BZ90" s="4" t="s">
        <v>201</v>
      </c>
      <c r="CA90" s="4" t="s">
        <v>201</v>
      </c>
      <c r="CB90">
        <v>-21.711874699999953</v>
      </c>
      <c r="CC90" t="s">
        <v>201</v>
      </c>
      <c r="CD90" t="s">
        <v>201</v>
      </c>
      <c r="CE90" t="s">
        <v>201</v>
      </c>
      <c r="CF90" t="s">
        <v>201</v>
      </c>
      <c r="CG90">
        <v>35</v>
      </c>
      <c r="CH90">
        <v>1</v>
      </c>
      <c r="CI90" t="s">
        <v>204</v>
      </c>
      <c r="CJ90" s="1" t="s">
        <v>185</v>
      </c>
      <c r="CK90">
        <v>0.16</v>
      </c>
      <c r="CL90">
        <v>0.1</v>
      </c>
      <c r="CM90">
        <v>0.1</v>
      </c>
      <c r="CN90" t="s">
        <v>204</v>
      </c>
      <c r="CO90" s="1" t="s">
        <v>186</v>
      </c>
      <c r="CP90" t="s">
        <v>201</v>
      </c>
      <c r="CQ90" t="s">
        <v>201</v>
      </c>
      <c r="CR90">
        <f t="shared" si="11"/>
        <v>28.74406844792734</v>
      </c>
      <c r="CS90" t="s">
        <v>201</v>
      </c>
      <c r="CT90" t="s">
        <v>201</v>
      </c>
      <c r="CU90" t="s">
        <v>201</v>
      </c>
      <c r="CV90" t="s">
        <v>211</v>
      </c>
      <c r="CW90">
        <v>0.99380455731916451</v>
      </c>
      <c r="CX90" t="s">
        <v>201</v>
      </c>
      <c r="CY90">
        <v>28.35690495446736</v>
      </c>
      <c r="CZ90" t="s">
        <v>201</v>
      </c>
      <c r="DA90" t="s">
        <v>201</v>
      </c>
      <c r="DB90" t="s">
        <v>201</v>
      </c>
      <c r="DC90" s="1" t="s">
        <v>190</v>
      </c>
      <c r="DD90" t="s">
        <v>205</v>
      </c>
      <c r="DE90" t="s">
        <v>201</v>
      </c>
      <c r="DF90" t="s">
        <v>201</v>
      </c>
      <c r="DG90" t="s">
        <v>201</v>
      </c>
      <c r="DH90" t="s">
        <v>201</v>
      </c>
      <c r="DI90">
        <v>29.13123194138732</v>
      </c>
      <c r="DJ90" t="s">
        <v>201</v>
      </c>
      <c r="DK90" t="s">
        <v>201</v>
      </c>
      <c r="DL90" t="s">
        <v>201</v>
      </c>
      <c r="DM90" t="s">
        <v>206</v>
      </c>
      <c r="DN90" t="s">
        <v>201</v>
      </c>
      <c r="DO90" t="s">
        <v>201</v>
      </c>
      <c r="DP90" t="s">
        <v>201</v>
      </c>
      <c r="DQ90" t="s">
        <v>201</v>
      </c>
      <c r="DR90" t="s">
        <v>201</v>
      </c>
      <c r="DS90" t="s">
        <v>201</v>
      </c>
      <c r="DT90" t="s">
        <v>201</v>
      </c>
      <c r="DU90" t="s">
        <v>201</v>
      </c>
      <c r="DV90" t="s">
        <v>201</v>
      </c>
      <c r="DW90" t="s">
        <v>201</v>
      </c>
      <c r="DX90" t="s">
        <v>201</v>
      </c>
      <c r="DY90" t="s">
        <v>201</v>
      </c>
      <c r="DZ90" s="3" t="s">
        <v>201</v>
      </c>
      <c r="EA90" s="3" t="s">
        <v>201</v>
      </c>
      <c r="EB90" t="s">
        <v>201</v>
      </c>
      <c r="EC90" t="s">
        <v>201</v>
      </c>
      <c r="ED90" t="s">
        <v>201</v>
      </c>
      <c r="EE90" t="s">
        <v>201</v>
      </c>
      <c r="EF90" t="s">
        <v>201</v>
      </c>
      <c r="EG90" t="s">
        <v>201</v>
      </c>
      <c r="EH90" t="s">
        <v>201</v>
      </c>
      <c r="EI90" t="s">
        <v>201</v>
      </c>
      <c r="EJ90" t="s">
        <v>201</v>
      </c>
      <c r="EK90" t="s">
        <v>201</v>
      </c>
      <c r="EL90" t="s">
        <v>201</v>
      </c>
      <c r="EM90" t="s">
        <v>201</v>
      </c>
      <c r="EN90" t="s">
        <v>201</v>
      </c>
      <c r="EO90" t="s">
        <v>201</v>
      </c>
      <c r="EP90" t="s">
        <v>201</v>
      </c>
      <c r="EQ90" t="s">
        <v>201</v>
      </c>
      <c r="ER90">
        <v>103.03319999999999</v>
      </c>
      <c r="ES90" t="s">
        <v>201</v>
      </c>
      <c r="ET90" t="s">
        <v>201</v>
      </c>
      <c r="EU90" t="s">
        <v>201</v>
      </c>
      <c r="EV90" s="1" t="s">
        <v>188</v>
      </c>
      <c r="EW90">
        <v>25</v>
      </c>
      <c r="EX90">
        <v>14.051759162077238</v>
      </c>
      <c r="EY90">
        <v>9.6640217656318583E-2</v>
      </c>
      <c r="EZ90">
        <v>9.6640217656318583E-2</v>
      </c>
      <c r="FA90" t="s">
        <v>201</v>
      </c>
      <c r="FB90" s="1" t="s">
        <v>250</v>
      </c>
      <c r="FC90" t="s">
        <v>201</v>
      </c>
      <c r="FD90" t="s">
        <v>201</v>
      </c>
      <c r="FE90" t="s">
        <v>201</v>
      </c>
      <c r="FF90" t="s">
        <v>201</v>
      </c>
      <c r="FG90" t="s">
        <v>217</v>
      </c>
      <c r="FH90">
        <v>366.43702967256286</v>
      </c>
      <c r="FI90">
        <f t="shared" si="19"/>
        <v>27.482777225442213</v>
      </c>
      <c r="FJ90">
        <f t="shared" si="20"/>
        <v>27.482777225442213</v>
      </c>
      <c r="FK90" t="s">
        <v>203</v>
      </c>
      <c r="FL90" t="s">
        <v>216</v>
      </c>
      <c r="FM90" t="s">
        <v>249</v>
      </c>
      <c r="FN90" t="s">
        <v>201</v>
      </c>
      <c r="FO90" t="s">
        <v>201</v>
      </c>
      <c r="FP90" t="s">
        <v>201</v>
      </c>
      <c r="FQ90" t="s">
        <v>201</v>
      </c>
      <c r="FR90" t="s">
        <v>201</v>
      </c>
      <c r="FS90" t="s">
        <v>201</v>
      </c>
      <c r="FT90" t="s">
        <v>199</v>
      </c>
      <c r="FU90" t="s">
        <v>201</v>
      </c>
      <c r="FV90" s="47" t="s">
        <v>360</v>
      </c>
      <c r="FW90" t="s">
        <v>433</v>
      </c>
      <c r="FX90" t="s">
        <v>201</v>
      </c>
      <c r="FY90" t="s">
        <v>248</v>
      </c>
    </row>
    <row r="91" spans="1:181" x14ac:dyDescent="0.15">
      <c r="A91" s="3" t="s">
        <v>258</v>
      </c>
      <c r="B91" s="3" t="s">
        <v>193</v>
      </c>
      <c r="C91">
        <v>2017</v>
      </c>
      <c r="D91" s="22" t="str">
        <f t="shared" si="12"/>
        <v>10.1016/j.epsl.2017.03.016</v>
      </c>
      <c r="E91" s="22">
        <f t="shared" si="13"/>
        <v>3947.77</v>
      </c>
      <c r="F91" s="22" t="str">
        <f t="shared" si="14"/>
        <v>NA</v>
      </c>
      <c r="G91" s="22" t="str">
        <f t="shared" si="15"/>
        <v>NA</v>
      </c>
      <c r="H91" s="22">
        <f t="shared" si="16"/>
        <v>384.09625855408194</v>
      </c>
      <c r="I91" s="36">
        <f t="shared" si="17"/>
        <v>28.807219391556146</v>
      </c>
      <c r="J91" s="36">
        <f t="shared" si="18"/>
        <v>28.807219391556146</v>
      </c>
      <c r="K91" s="2" t="s">
        <v>251</v>
      </c>
      <c r="L91" s="2" t="s">
        <v>252</v>
      </c>
      <c r="M91" s="2" t="s">
        <v>194</v>
      </c>
      <c r="N91" s="2" t="s">
        <v>192</v>
      </c>
      <c r="O91">
        <v>806</v>
      </c>
      <c r="P91" s="1" t="s">
        <v>189</v>
      </c>
      <c r="Q91" t="s">
        <v>201</v>
      </c>
      <c r="R91" t="s">
        <v>201</v>
      </c>
      <c r="S91" t="s">
        <v>201</v>
      </c>
      <c r="T91" t="s">
        <v>201</v>
      </c>
      <c r="U91" t="s">
        <v>201</v>
      </c>
      <c r="V91" t="s">
        <v>201</v>
      </c>
      <c r="W91" t="s">
        <v>201</v>
      </c>
      <c r="X91" t="s">
        <v>201</v>
      </c>
      <c r="Y91" t="s">
        <v>201</v>
      </c>
      <c r="Z91" s="10">
        <v>104.9</v>
      </c>
      <c r="AA91" s="2" t="s">
        <v>207</v>
      </c>
      <c r="AB91">
        <v>3947.77</v>
      </c>
      <c r="AC91" t="s">
        <v>201</v>
      </c>
      <c r="AD91" t="s">
        <v>201</v>
      </c>
      <c r="AE91" t="s">
        <v>201</v>
      </c>
      <c r="AF91" s="1" t="s">
        <v>177</v>
      </c>
      <c r="AG91" s="1" t="s">
        <v>179</v>
      </c>
      <c r="AH91" s="13">
        <v>0.31850000000000001</v>
      </c>
      <c r="AI91" s="10">
        <v>159.36150000000001</v>
      </c>
      <c r="AJ91" s="35">
        <v>-2520</v>
      </c>
      <c r="AK91" t="s">
        <v>201</v>
      </c>
      <c r="AL91" t="s">
        <v>201</v>
      </c>
      <c r="AM91" t="s">
        <v>201</v>
      </c>
      <c r="AN91" t="s">
        <v>201</v>
      </c>
      <c r="AO91" s="1" t="s">
        <v>180</v>
      </c>
      <c r="AP91" t="s">
        <v>201</v>
      </c>
      <c r="AQ91" t="s">
        <v>201</v>
      </c>
      <c r="AR91" t="s">
        <v>201</v>
      </c>
      <c r="AS91" t="s">
        <v>201</v>
      </c>
      <c r="AT91" t="s">
        <v>201</v>
      </c>
      <c r="AU91" t="s">
        <v>201</v>
      </c>
      <c r="AV91" t="s">
        <v>201</v>
      </c>
      <c r="AW91" t="s">
        <v>201</v>
      </c>
      <c r="AX91">
        <v>2.0750000000000002</v>
      </c>
      <c r="AY91">
        <v>0.13</v>
      </c>
      <c r="AZ91" t="s">
        <v>203</v>
      </c>
      <c r="BA91" t="s">
        <v>201</v>
      </c>
      <c r="BB91">
        <v>-1.5589999999999999</v>
      </c>
      <c r="BC91">
        <v>0.24</v>
      </c>
      <c r="BD91" t="s">
        <v>203</v>
      </c>
      <c r="BE91" t="s">
        <v>201</v>
      </c>
      <c r="BF91" s="1" t="s">
        <v>181</v>
      </c>
      <c r="BG91" s="1" t="s">
        <v>182</v>
      </c>
      <c r="BH91">
        <v>0</v>
      </c>
      <c r="BI91" t="s">
        <v>201</v>
      </c>
      <c r="BJ91" t="s">
        <v>201</v>
      </c>
      <c r="BK91" t="s">
        <v>201</v>
      </c>
      <c r="BL91" t="s">
        <v>201</v>
      </c>
      <c r="BM91" t="s">
        <v>201</v>
      </c>
      <c r="BN91" t="s">
        <v>201</v>
      </c>
      <c r="BO91" t="s">
        <v>201</v>
      </c>
      <c r="BP91" t="s">
        <v>201</v>
      </c>
      <c r="BQ91" t="s">
        <v>201</v>
      </c>
      <c r="BR91" t="s">
        <v>201</v>
      </c>
      <c r="BS91" s="1" t="s">
        <v>183</v>
      </c>
      <c r="BT91">
        <v>-25.623000000000001</v>
      </c>
      <c r="BU91" s="1" t="s">
        <v>184</v>
      </c>
      <c r="BV91">
        <v>0.3</v>
      </c>
      <c r="BW91" t="s">
        <v>201</v>
      </c>
      <c r="BX91" t="s">
        <v>202</v>
      </c>
      <c r="BY91">
        <v>4.2</v>
      </c>
      <c r="BZ91" s="4" t="s">
        <v>201</v>
      </c>
      <c r="CA91" s="4" t="s">
        <v>201</v>
      </c>
      <c r="CB91">
        <v>-21.53061660000003</v>
      </c>
      <c r="CC91" t="s">
        <v>201</v>
      </c>
      <c r="CD91" t="s">
        <v>201</v>
      </c>
      <c r="CE91" t="s">
        <v>201</v>
      </c>
      <c r="CF91" t="s">
        <v>201</v>
      </c>
      <c r="CG91">
        <v>35</v>
      </c>
      <c r="CH91">
        <v>1</v>
      </c>
      <c r="CI91" t="s">
        <v>204</v>
      </c>
      <c r="CJ91" s="1" t="s">
        <v>185</v>
      </c>
      <c r="CK91">
        <v>0.16</v>
      </c>
      <c r="CL91">
        <v>0.1</v>
      </c>
      <c r="CM91">
        <v>0.1</v>
      </c>
      <c r="CN91" t="s">
        <v>204</v>
      </c>
      <c r="CO91" s="1" t="s">
        <v>186</v>
      </c>
      <c r="CP91" t="s">
        <v>201</v>
      </c>
      <c r="CQ91" t="s">
        <v>201</v>
      </c>
      <c r="CR91">
        <f t="shared" si="11"/>
        <v>28.644678788017671</v>
      </c>
      <c r="CS91" t="s">
        <v>201</v>
      </c>
      <c r="CT91" t="s">
        <v>201</v>
      </c>
      <c r="CU91" t="s">
        <v>201</v>
      </c>
      <c r="CV91" t="s">
        <v>211</v>
      </c>
      <c r="CW91">
        <v>0.97135309216778354</v>
      </c>
      <c r="CX91" t="s">
        <v>201</v>
      </c>
      <c r="CY91">
        <v>27.686144981604702</v>
      </c>
      <c r="CZ91" t="s">
        <v>201</v>
      </c>
      <c r="DA91" t="s">
        <v>201</v>
      </c>
      <c r="DB91" t="s">
        <v>201</v>
      </c>
      <c r="DC91" s="1" t="s">
        <v>190</v>
      </c>
      <c r="DD91" t="s">
        <v>205</v>
      </c>
      <c r="DE91" t="s">
        <v>201</v>
      </c>
      <c r="DF91" t="s">
        <v>201</v>
      </c>
      <c r="DG91" t="s">
        <v>201</v>
      </c>
      <c r="DH91" t="s">
        <v>201</v>
      </c>
      <c r="DI91">
        <v>29.603212594430637</v>
      </c>
      <c r="DJ91" t="s">
        <v>201</v>
      </c>
      <c r="DK91" t="s">
        <v>201</v>
      </c>
      <c r="DL91" t="s">
        <v>201</v>
      </c>
      <c r="DM91" t="s">
        <v>206</v>
      </c>
      <c r="DN91" t="s">
        <v>201</v>
      </c>
      <c r="DO91" t="s">
        <v>201</v>
      </c>
      <c r="DP91" t="s">
        <v>201</v>
      </c>
      <c r="DQ91" t="s">
        <v>201</v>
      </c>
      <c r="DR91" t="s">
        <v>201</v>
      </c>
      <c r="DS91" t="s">
        <v>201</v>
      </c>
      <c r="DT91" t="s">
        <v>201</v>
      </c>
      <c r="DU91" t="s">
        <v>201</v>
      </c>
      <c r="DV91" t="s">
        <v>201</v>
      </c>
      <c r="DW91" t="s">
        <v>201</v>
      </c>
      <c r="DX91" t="s">
        <v>201</v>
      </c>
      <c r="DY91" t="s">
        <v>201</v>
      </c>
      <c r="DZ91" s="3" t="s">
        <v>201</v>
      </c>
      <c r="EA91" s="3" t="s">
        <v>201</v>
      </c>
      <c r="EB91" t="s">
        <v>201</v>
      </c>
      <c r="EC91" t="s">
        <v>201</v>
      </c>
      <c r="ED91" t="s">
        <v>201</v>
      </c>
      <c r="EE91" t="s">
        <v>201</v>
      </c>
      <c r="EF91" t="s">
        <v>201</v>
      </c>
      <c r="EG91" t="s">
        <v>201</v>
      </c>
      <c r="EH91" t="s">
        <v>201</v>
      </c>
      <c r="EI91" t="s">
        <v>201</v>
      </c>
      <c r="EJ91" t="s">
        <v>201</v>
      </c>
      <c r="EK91" t="s">
        <v>201</v>
      </c>
      <c r="EL91" t="s">
        <v>201</v>
      </c>
      <c r="EM91" t="s">
        <v>201</v>
      </c>
      <c r="EN91" t="s">
        <v>201</v>
      </c>
      <c r="EO91" t="s">
        <v>201</v>
      </c>
      <c r="EP91" t="s">
        <v>201</v>
      </c>
      <c r="EQ91" t="s">
        <v>201</v>
      </c>
      <c r="ER91">
        <v>103.03319999999999</v>
      </c>
      <c r="ES91" t="s">
        <v>201</v>
      </c>
      <c r="ET91" t="s">
        <v>201</v>
      </c>
      <c r="EU91" t="s">
        <v>201</v>
      </c>
      <c r="EV91" s="1" t="s">
        <v>188</v>
      </c>
      <c r="EW91">
        <v>25</v>
      </c>
      <c r="EX91">
        <v>14.440017796304883</v>
      </c>
      <c r="EY91">
        <v>0.23933781972274026</v>
      </c>
      <c r="EZ91">
        <v>0.23933781972274026</v>
      </c>
      <c r="FA91" t="s">
        <v>201</v>
      </c>
      <c r="FB91" s="1" t="s">
        <v>250</v>
      </c>
      <c r="FC91" t="s">
        <v>201</v>
      </c>
      <c r="FD91" t="s">
        <v>201</v>
      </c>
      <c r="FE91" t="s">
        <v>201</v>
      </c>
      <c r="FF91" t="s">
        <v>201</v>
      </c>
      <c r="FG91" t="s">
        <v>217</v>
      </c>
      <c r="FH91">
        <v>384.09625855408194</v>
      </c>
      <c r="FI91">
        <f t="shared" si="19"/>
        <v>28.807219391556146</v>
      </c>
      <c r="FJ91">
        <f t="shared" si="20"/>
        <v>28.807219391556146</v>
      </c>
      <c r="FK91" t="s">
        <v>203</v>
      </c>
      <c r="FL91" t="s">
        <v>216</v>
      </c>
      <c r="FM91" t="s">
        <v>249</v>
      </c>
      <c r="FN91" t="s">
        <v>201</v>
      </c>
      <c r="FO91" t="s">
        <v>201</v>
      </c>
      <c r="FP91" t="s">
        <v>201</v>
      </c>
      <c r="FQ91" t="s">
        <v>201</v>
      </c>
      <c r="FR91" t="s">
        <v>201</v>
      </c>
      <c r="FS91" t="s">
        <v>201</v>
      </c>
      <c r="FT91" t="s">
        <v>199</v>
      </c>
      <c r="FU91" t="s">
        <v>201</v>
      </c>
      <c r="FV91" s="47" t="s">
        <v>361</v>
      </c>
      <c r="FW91" t="s">
        <v>434</v>
      </c>
      <c r="FX91" t="s">
        <v>201</v>
      </c>
      <c r="FY91" t="s">
        <v>248</v>
      </c>
    </row>
    <row r="92" spans="1:181" x14ac:dyDescent="0.15">
      <c r="A92" s="3" t="s">
        <v>258</v>
      </c>
      <c r="B92" s="3" t="s">
        <v>193</v>
      </c>
      <c r="C92">
        <v>2017</v>
      </c>
      <c r="D92" s="22" t="str">
        <f t="shared" si="12"/>
        <v>10.1016/j.epsl.2017.03.016</v>
      </c>
      <c r="E92" s="22">
        <f t="shared" si="13"/>
        <v>4105.3900000000003</v>
      </c>
      <c r="F92" s="22" t="str">
        <f t="shared" si="14"/>
        <v>NA</v>
      </c>
      <c r="G92" s="22" t="str">
        <f t="shared" si="15"/>
        <v>NA</v>
      </c>
      <c r="H92" s="22">
        <f t="shared" si="16"/>
        <v>352.74808034713686</v>
      </c>
      <c r="I92" s="36">
        <f t="shared" si="17"/>
        <v>26.456106026035265</v>
      </c>
      <c r="J92" s="36">
        <f t="shared" si="18"/>
        <v>26.456106026035265</v>
      </c>
      <c r="K92" s="2" t="s">
        <v>251</v>
      </c>
      <c r="L92" s="2" t="s">
        <v>252</v>
      </c>
      <c r="M92" s="2" t="s">
        <v>194</v>
      </c>
      <c r="N92" s="2" t="s">
        <v>192</v>
      </c>
      <c r="O92">
        <v>806</v>
      </c>
      <c r="P92" s="1" t="s">
        <v>189</v>
      </c>
      <c r="Q92" t="s">
        <v>201</v>
      </c>
      <c r="R92" t="s">
        <v>201</v>
      </c>
      <c r="S92" t="s">
        <v>201</v>
      </c>
      <c r="T92" t="s">
        <v>201</v>
      </c>
      <c r="U92" t="s">
        <v>201</v>
      </c>
      <c r="V92" t="s">
        <v>201</v>
      </c>
      <c r="W92" t="s">
        <v>201</v>
      </c>
      <c r="X92" t="s">
        <v>201</v>
      </c>
      <c r="Y92" t="s">
        <v>201</v>
      </c>
      <c r="Z92" s="10">
        <v>112.6</v>
      </c>
      <c r="AA92" s="2" t="s">
        <v>207</v>
      </c>
      <c r="AB92">
        <v>4105.3900000000003</v>
      </c>
      <c r="AC92" t="s">
        <v>201</v>
      </c>
      <c r="AD92" t="s">
        <v>201</v>
      </c>
      <c r="AE92" t="s">
        <v>201</v>
      </c>
      <c r="AF92" s="1" t="s">
        <v>177</v>
      </c>
      <c r="AG92" s="1" t="s">
        <v>179</v>
      </c>
      <c r="AH92" s="13">
        <v>0.31850000000000001</v>
      </c>
      <c r="AI92" s="10">
        <v>159.36150000000001</v>
      </c>
      <c r="AJ92" s="35">
        <v>-2520</v>
      </c>
      <c r="AK92" t="s">
        <v>201</v>
      </c>
      <c r="AL92" t="s">
        <v>201</v>
      </c>
      <c r="AM92" t="s">
        <v>201</v>
      </c>
      <c r="AN92" t="s">
        <v>201</v>
      </c>
      <c r="AO92" s="1" t="s">
        <v>180</v>
      </c>
      <c r="AP92" t="s">
        <v>201</v>
      </c>
      <c r="AQ92" t="s">
        <v>201</v>
      </c>
      <c r="AR92" t="s">
        <v>201</v>
      </c>
      <c r="AS92" t="s">
        <v>201</v>
      </c>
      <c r="AT92" t="s">
        <v>201</v>
      </c>
      <c r="AU92" t="s">
        <v>201</v>
      </c>
      <c r="AV92" t="s">
        <v>201</v>
      </c>
      <c r="AW92" t="s">
        <v>201</v>
      </c>
      <c r="AX92">
        <v>2.2759999999999998</v>
      </c>
      <c r="AY92">
        <v>0.13</v>
      </c>
      <c r="AZ92" t="s">
        <v>203</v>
      </c>
      <c r="BA92" t="s">
        <v>201</v>
      </c>
      <c r="BB92">
        <v>-1.5129999999999999</v>
      </c>
      <c r="BC92">
        <v>0.24</v>
      </c>
      <c r="BD92" t="s">
        <v>203</v>
      </c>
      <c r="BE92" t="s">
        <v>201</v>
      </c>
      <c r="BF92" s="1" t="s">
        <v>181</v>
      </c>
      <c r="BG92" s="1" t="s">
        <v>182</v>
      </c>
      <c r="BH92">
        <v>0</v>
      </c>
      <c r="BI92" t="s">
        <v>201</v>
      </c>
      <c r="BJ92" t="s">
        <v>201</v>
      </c>
      <c r="BK92" t="s">
        <v>201</v>
      </c>
      <c r="BL92" t="s">
        <v>201</v>
      </c>
      <c r="BM92" t="s">
        <v>201</v>
      </c>
      <c r="BN92" t="s">
        <v>201</v>
      </c>
      <c r="BO92" t="s">
        <v>201</v>
      </c>
      <c r="BP92" t="s">
        <v>201</v>
      </c>
      <c r="BQ92" t="s">
        <v>201</v>
      </c>
      <c r="BR92" t="s">
        <v>201</v>
      </c>
      <c r="BS92" s="1" t="s">
        <v>183</v>
      </c>
      <c r="BT92">
        <v>-24.957999999999998</v>
      </c>
      <c r="BU92" s="1" t="s">
        <v>184</v>
      </c>
      <c r="BV92">
        <v>0.3</v>
      </c>
      <c r="BW92" t="s">
        <v>201</v>
      </c>
      <c r="BX92" t="s">
        <v>202</v>
      </c>
      <c r="BY92">
        <v>4.2</v>
      </c>
      <c r="BZ92" s="4" t="s">
        <v>201</v>
      </c>
      <c r="CA92" s="4" t="s">
        <v>201</v>
      </c>
      <c r="CB92">
        <v>-20.862823599999956</v>
      </c>
      <c r="CC92" t="s">
        <v>201</v>
      </c>
      <c r="CD92" t="s">
        <v>201</v>
      </c>
      <c r="CE92" t="s">
        <v>201</v>
      </c>
      <c r="CF92" t="s">
        <v>201</v>
      </c>
      <c r="CG92">
        <v>35</v>
      </c>
      <c r="CH92">
        <v>1</v>
      </c>
      <c r="CI92" t="s">
        <v>204</v>
      </c>
      <c r="CJ92" s="1" t="s">
        <v>185</v>
      </c>
      <c r="CK92">
        <v>0.16</v>
      </c>
      <c r="CL92">
        <v>0.1</v>
      </c>
      <c r="CM92">
        <v>0.1</v>
      </c>
      <c r="CN92" t="s">
        <v>204</v>
      </c>
      <c r="CO92" s="1" t="s">
        <v>186</v>
      </c>
      <c r="CP92" t="s">
        <v>201</v>
      </c>
      <c r="CQ92" t="s">
        <v>201</v>
      </c>
      <c r="CR92">
        <f t="shared" si="11"/>
        <v>27.899024118972296</v>
      </c>
      <c r="CS92" t="s">
        <v>201</v>
      </c>
      <c r="CT92" t="s">
        <v>201</v>
      </c>
      <c r="CU92" t="s">
        <v>201</v>
      </c>
      <c r="CV92" t="s">
        <v>211</v>
      </c>
      <c r="CW92">
        <v>0.99509424905550503</v>
      </c>
      <c r="CX92" t="s">
        <v>201</v>
      </c>
      <c r="CY92">
        <v>28.395435784782268</v>
      </c>
      <c r="CZ92" t="s">
        <v>201</v>
      </c>
      <c r="DA92" t="s">
        <v>201</v>
      </c>
      <c r="DB92" t="s">
        <v>201</v>
      </c>
      <c r="DC92" s="1" t="s">
        <v>190</v>
      </c>
      <c r="DD92" t="s">
        <v>205</v>
      </c>
      <c r="DE92" t="s">
        <v>201</v>
      </c>
      <c r="DF92" t="s">
        <v>201</v>
      </c>
      <c r="DG92" t="s">
        <v>201</v>
      </c>
      <c r="DH92" t="s">
        <v>201</v>
      </c>
      <c r="DI92">
        <v>27.402612453162323</v>
      </c>
      <c r="DJ92" t="s">
        <v>201</v>
      </c>
      <c r="DK92" t="s">
        <v>201</v>
      </c>
      <c r="DL92" t="s">
        <v>201</v>
      </c>
      <c r="DM92" t="s">
        <v>206</v>
      </c>
      <c r="DN92" t="s">
        <v>201</v>
      </c>
      <c r="DO92" t="s">
        <v>201</v>
      </c>
      <c r="DP92" t="s">
        <v>201</v>
      </c>
      <c r="DQ92" t="s">
        <v>201</v>
      </c>
      <c r="DR92" t="s">
        <v>201</v>
      </c>
      <c r="DS92" t="s">
        <v>201</v>
      </c>
      <c r="DT92" t="s">
        <v>201</v>
      </c>
      <c r="DU92" t="s">
        <v>201</v>
      </c>
      <c r="DV92" t="s">
        <v>201</v>
      </c>
      <c r="DW92" t="s">
        <v>201</v>
      </c>
      <c r="DX92" t="s">
        <v>201</v>
      </c>
      <c r="DY92" t="s">
        <v>201</v>
      </c>
      <c r="DZ92" s="3" t="s">
        <v>201</v>
      </c>
      <c r="EA92" s="3" t="s">
        <v>201</v>
      </c>
      <c r="EB92" t="s">
        <v>201</v>
      </c>
      <c r="EC92" t="s">
        <v>201</v>
      </c>
      <c r="ED92" t="s">
        <v>201</v>
      </c>
      <c r="EE92" t="s">
        <v>201</v>
      </c>
      <c r="EF92" t="s">
        <v>201</v>
      </c>
      <c r="EG92" t="s">
        <v>201</v>
      </c>
      <c r="EH92" t="s">
        <v>201</v>
      </c>
      <c r="EI92" t="s">
        <v>201</v>
      </c>
      <c r="EJ92" t="s">
        <v>201</v>
      </c>
      <c r="EK92" t="s">
        <v>201</v>
      </c>
      <c r="EL92" t="s">
        <v>201</v>
      </c>
      <c r="EM92" t="s">
        <v>201</v>
      </c>
      <c r="EN92" t="s">
        <v>201</v>
      </c>
      <c r="EO92" t="s">
        <v>201</v>
      </c>
      <c r="EP92" t="s">
        <v>201</v>
      </c>
      <c r="EQ92" t="s">
        <v>201</v>
      </c>
      <c r="ER92">
        <v>103.03319999999999</v>
      </c>
      <c r="ES92" t="s">
        <v>201</v>
      </c>
      <c r="ET92" t="s">
        <v>201</v>
      </c>
      <c r="EU92" t="s">
        <v>201</v>
      </c>
      <c r="EV92" s="1" t="s">
        <v>188</v>
      </c>
      <c r="EW92">
        <v>25</v>
      </c>
      <c r="EX92">
        <v>13.821812196006977</v>
      </c>
      <c r="EY92">
        <v>0.12389114556765612</v>
      </c>
      <c r="EZ92">
        <v>0.12389114556765612</v>
      </c>
      <c r="FA92" t="s">
        <v>201</v>
      </c>
      <c r="FB92" s="1" t="s">
        <v>250</v>
      </c>
      <c r="FC92" t="s">
        <v>201</v>
      </c>
      <c r="FD92" t="s">
        <v>201</v>
      </c>
      <c r="FE92" t="s">
        <v>201</v>
      </c>
      <c r="FF92" t="s">
        <v>201</v>
      </c>
      <c r="FG92" t="s">
        <v>217</v>
      </c>
      <c r="FH92">
        <v>352.74808034713686</v>
      </c>
      <c r="FI92">
        <f t="shared" si="19"/>
        <v>26.456106026035265</v>
      </c>
      <c r="FJ92">
        <f t="shared" si="20"/>
        <v>26.456106026035265</v>
      </c>
      <c r="FK92" t="s">
        <v>203</v>
      </c>
      <c r="FL92" t="s">
        <v>216</v>
      </c>
      <c r="FM92" t="s">
        <v>249</v>
      </c>
      <c r="FN92" t="s">
        <v>201</v>
      </c>
      <c r="FO92" t="s">
        <v>201</v>
      </c>
      <c r="FP92" t="s">
        <v>201</v>
      </c>
      <c r="FQ92" t="s">
        <v>201</v>
      </c>
      <c r="FR92" t="s">
        <v>201</v>
      </c>
      <c r="FS92" t="s">
        <v>201</v>
      </c>
      <c r="FT92" t="s">
        <v>199</v>
      </c>
      <c r="FU92" t="s">
        <v>201</v>
      </c>
      <c r="FV92" s="47" t="s">
        <v>362</v>
      </c>
      <c r="FW92" t="s">
        <v>435</v>
      </c>
      <c r="FX92" t="s">
        <v>201</v>
      </c>
      <c r="FY92" t="s">
        <v>248</v>
      </c>
    </row>
    <row r="93" spans="1:181" x14ac:dyDescent="0.15">
      <c r="A93" s="3" t="s">
        <v>258</v>
      </c>
      <c r="B93" s="3" t="s">
        <v>193</v>
      </c>
      <c r="C93">
        <v>2017</v>
      </c>
      <c r="D93" s="22" t="str">
        <f t="shared" si="12"/>
        <v>10.1016/j.epsl.2017.03.016</v>
      </c>
      <c r="E93" s="22">
        <f t="shared" si="13"/>
        <v>4255.43</v>
      </c>
      <c r="F93" s="22" t="str">
        <f t="shared" si="14"/>
        <v>NA</v>
      </c>
      <c r="G93" s="22" t="str">
        <f t="shared" si="15"/>
        <v>NA</v>
      </c>
      <c r="H93" s="22">
        <f t="shared" si="16"/>
        <v>329.49688828109294</v>
      </c>
      <c r="I93" s="36">
        <f t="shared" si="17"/>
        <v>24.712266621081969</v>
      </c>
      <c r="J93" s="36">
        <f t="shared" si="18"/>
        <v>24.712266621081969</v>
      </c>
      <c r="K93" s="2" t="s">
        <v>251</v>
      </c>
      <c r="L93" s="2" t="s">
        <v>252</v>
      </c>
      <c r="M93" s="2" t="s">
        <v>194</v>
      </c>
      <c r="N93" s="2" t="s">
        <v>192</v>
      </c>
      <c r="O93">
        <v>806</v>
      </c>
      <c r="P93" s="1" t="s">
        <v>189</v>
      </c>
      <c r="Q93" t="s">
        <v>201</v>
      </c>
      <c r="R93" t="s">
        <v>201</v>
      </c>
      <c r="S93" t="s">
        <v>201</v>
      </c>
      <c r="T93" t="s">
        <v>201</v>
      </c>
      <c r="U93" t="s">
        <v>201</v>
      </c>
      <c r="V93" t="s">
        <v>201</v>
      </c>
      <c r="W93" t="s">
        <v>201</v>
      </c>
      <c r="X93" t="s">
        <v>201</v>
      </c>
      <c r="Y93" t="s">
        <v>201</v>
      </c>
      <c r="Z93" s="10">
        <v>119.93</v>
      </c>
      <c r="AA93" s="2" t="s">
        <v>207</v>
      </c>
      <c r="AB93">
        <v>4255.43</v>
      </c>
      <c r="AC93" t="s">
        <v>201</v>
      </c>
      <c r="AD93" t="s">
        <v>201</v>
      </c>
      <c r="AE93" t="s">
        <v>201</v>
      </c>
      <c r="AF93" s="1" t="s">
        <v>177</v>
      </c>
      <c r="AG93" s="1" t="s">
        <v>179</v>
      </c>
      <c r="AH93" s="13">
        <v>0.31850000000000001</v>
      </c>
      <c r="AI93" s="10">
        <v>159.36150000000001</v>
      </c>
      <c r="AJ93" s="35">
        <v>-2520</v>
      </c>
      <c r="AK93" t="s">
        <v>201</v>
      </c>
      <c r="AL93" t="s">
        <v>201</v>
      </c>
      <c r="AM93" t="s">
        <v>201</v>
      </c>
      <c r="AN93" t="s">
        <v>201</v>
      </c>
      <c r="AO93" s="1" t="s">
        <v>180</v>
      </c>
      <c r="AP93" t="s">
        <v>201</v>
      </c>
      <c r="AQ93" t="s">
        <v>201</v>
      </c>
      <c r="AR93" t="s">
        <v>201</v>
      </c>
      <c r="AS93" t="s">
        <v>201</v>
      </c>
      <c r="AT93" t="s">
        <v>201</v>
      </c>
      <c r="AU93" t="s">
        <v>201</v>
      </c>
      <c r="AV93" t="s">
        <v>201</v>
      </c>
      <c r="AW93" t="s">
        <v>201</v>
      </c>
      <c r="AX93">
        <v>1.69</v>
      </c>
      <c r="AY93">
        <v>0.13</v>
      </c>
      <c r="AZ93" t="s">
        <v>203</v>
      </c>
      <c r="BA93" t="s">
        <v>201</v>
      </c>
      <c r="BB93">
        <v>-1.464</v>
      </c>
      <c r="BC93">
        <v>0.24</v>
      </c>
      <c r="BD93" t="s">
        <v>203</v>
      </c>
      <c r="BE93" t="s">
        <v>201</v>
      </c>
      <c r="BF93" s="1" t="s">
        <v>181</v>
      </c>
      <c r="BG93" s="1" t="s">
        <v>182</v>
      </c>
      <c r="BH93">
        <v>0</v>
      </c>
      <c r="BI93" t="s">
        <v>201</v>
      </c>
      <c r="BJ93" t="s">
        <v>201</v>
      </c>
      <c r="BK93" t="s">
        <v>201</v>
      </c>
      <c r="BL93" t="s">
        <v>201</v>
      </c>
      <c r="BM93" t="s">
        <v>201</v>
      </c>
      <c r="BN93" t="s">
        <v>201</v>
      </c>
      <c r="BO93" t="s">
        <v>201</v>
      </c>
      <c r="BP93" t="s">
        <v>201</v>
      </c>
      <c r="BQ93" t="s">
        <v>201</v>
      </c>
      <c r="BR93" t="s">
        <v>201</v>
      </c>
      <c r="BS93" s="1" t="s">
        <v>183</v>
      </c>
      <c r="BT93">
        <v>-24.875999999999998</v>
      </c>
      <c r="BU93" s="1" t="s">
        <v>184</v>
      </c>
      <c r="BV93">
        <v>0.3</v>
      </c>
      <c r="BW93" t="s">
        <v>201</v>
      </c>
      <c r="BX93" t="s">
        <v>202</v>
      </c>
      <c r="BY93">
        <v>4.2</v>
      </c>
      <c r="BZ93" s="4" t="s">
        <v>201</v>
      </c>
      <c r="CA93" s="4" t="s">
        <v>201</v>
      </c>
      <c r="CB93">
        <v>-20.780479199999945</v>
      </c>
      <c r="CC93" t="s">
        <v>201</v>
      </c>
      <c r="CD93" t="s">
        <v>201</v>
      </c>
      <c r="CE93" t="s">
        <v>201</v>
      </c>
      <c r="CF93" t="s">
        <v>201</v>
      </c>
      <c r="CG93">
        <v>35</v>
      </c>
      <c r="CH93">
        <v>1</v>
      </c>
      <c r="CI93" t="s">
        <v>204</v>
      </c>
      <c r="CJ93" s="1" t="s">
        <v>185</v>
      </c>
      <c r="CK93">
        <v>0.16</v>
      </c>
      <c r="CL93">
        <v>0.1</v>
      </c>
      <c r="CM93">
        <v>0.1</v>
      </c>
      <c r="CN93" t="s">
        <v>204</v>
      </c>
      <c r="CO93" s="1" t="s">
        <v>186</v>
      </c>
      <c r="CP93" t="s">
        <v>201</v>
      </c>
      <c r="CQ93" t="s">
        <v>201</v>
      </c>
      <c r="CR93">
        <f t="shared" si="11"/>
        <v>28.190108894002073</v>
      </c>
      <c r="CS93" t="s">
        <v>201</v>
      </c>
      <c r="CT93" t="s">
        <v>201</v>
      </c>
      <c r="CU93" t="s">
        <v>201</v>
      </c>
      <c r="CV93" t="s">
        <v>211</v>
      </c>
      <c r="CW93">
        <v>0.98541420328370333</v>
      </c>
      <c r="CX93" t="s">
        <v>201</v>
      </c>
      <c r="CY93">
        <v>28.106234737303922</v>
      </c>
      <c r="CZ93" t="s">
        <v>201</v>
      </c>
      <c r="DA93" t="s">
        <v>201</v>
      </c>
      <c r="DB93" t="s">
        <v>201</v>
      </c>
      <c r="DC93" s="1" t="s">
        <v>190</v>
      </c>
      <c r="DD93" t="s">
        <v>205</v>
      </c>
      <c r="DE93" t="s">
        <v>201</v>
      </c>
      <c r="DF93" t="s">
        <v>201</v>
      </c>
      <c r="DG93" t="s">
        <v>201</v>
      </c>
      <c r="DH93" t="s">
        <v>201</v>
      </c>
      <c r="DI93">
        <v>28.273983050700227</v>
      </c>
      <c r="DJ93" t="s">
        <v>201</v>
      </c>
      <c r="DK93" t="s">
        <v>201</v>
      </c>
      <c r="DL93" t="s">
        <v>201</v>
      </c>
      <c r="DM93" t="s">
        <v>206</v>
      </c>
      <c r="DN93" t="s">
        <v>201</v>
      </c>
      <c r="DO93" t="s">
        <v>201</v>
      </c>
      <c r="DP93" t="s">
        <v>201</v>
      </c>
      <c r="DQ93" t="s">
        <v>201</v>
      </c>
      <c r="DR93" t="s">
        <v>201</v>
      </c>
      <c r="DS93" t="s">
        <v>201</v>
      </c>
      <c r="DT93" t="s">
        <v>201</v>
      </c>
      <c r="DU93" t="s">
        <v>201</v>
      </c>
      <c r="DV93" t="s">
        <v>201</v>
      </c>
      <c r="DW93" t="s">
        <v>201</v>
      </c>
      <c r="DX93" t="s">
        <v>201</v>
      </c>
      <c r="DY93" t="s">
        <v>201</v>
      </c>
      <c r="DZ93" s="3" t="s">
        <v>201</v>
      </c>
      <c r="EA93" s="3" t="s">
        <v>201</v>
      </c>
      <c r="EB93" t="s">
        <v>201</v>
      </c>
      <c r="EC93" t="s">
        <v>201</v>
      </c>
      <c r="ED93" t="s">
        <v>201</v>
      </c>
      <c r="EE93" t="s">
        <v>201</v>
      </c>
      <c r="EF93" t="s">
        <v>201</v>
      </c>
      <c r="EG93" t="s">
        <v>201</v>
      </c>
      <c r="EH93" t="s">
        <v>201</v>
      </c>
      <c r="EI93" t="s">
        <v>201</v>
      </c>
      <c r="EJ93" t="s">
        <v>201</v>
      </c>
      <c r="EK93" t="s">
        <v>201</v>
      </c>
      <c r="EL93" t="s">
        <v>201</v>
      </c>
      <c r="EM93" t="s">
        <v>201</v>
      </c>
      <c r="EN93" t="s">
        <v>201</v>
      </c>
      <c r="EO93" t="s">
        <v>201</v>
      </c>
      <c r="EP93" t="s">
        <v>201</v>
      </c>
      <c r="EQ93" t="s">
        <v>201</v>
      </c>
      <c r="ER93">
        <v>103.03319999999999</v>
      </c>
      <c r="ES93" t="s">
        <v>201</v>
      </c>
      <c r="ET93" t="s">
        <v>201</v>
      </c>
      <c r="EU93" t="s">
        <v>201</v>
      </c>
      <c r="EV93" s="1" t="s">
        <v>188</v>
      </c>
      <c r="EW93">
        <v>25</v>
      </c>
      <c r="EX93">
        <v>13.067397151126814</v>
      </c>
      <c r="EY93">
        <v>2.0917589219848765E-2</v>
      </c>
      <c r="EZ93">
        <v>2.0917589219848765E-2</v>
      </c>
      <c r="FA93" t="s">
        <v>201</v>
      </c>
      <c r="FB93" s="1" t="s">
        <v>250</v>
      </c>
      <c r="FC93" t="s">
        <v>201</v>
      </c>
      <c r="FD93" t="s">
        <v>201</v>
      </c>
      <c r="FE93" t="s">
        <v>201</v>
      </c>
      <c r="FF93" t="s">
        <v>201</v>
      </c>
      <c r="FG93" t="s">
        <v>217</v>
      </c>
      <c r="FH93">
        <v>329.49688828109294</v>
      </c>
      <c r="FI93">
        <f t="shared" si="19"/>
        <v>24.712266621081969</v>
      </c>
      <c r="FJ93">
        <f t="shared" si="20"/>
        <v>24.712266621081969</v>
      </c>
      <c r="FK93" t="s">
        <v>203</v>
      </c>
      <c r="FL93" t="s">
        <v>216</v>
      </c>
      <c r="FM93" t="s">
        <v>249</v>
      </c>
      <c r="FN93" t="s">
        <v>201</v>
      </c>
      <c r="FO93" t="s">
        <v>201</v>
      </c>
      <c r="FP93" t="s">
        <v>201</v>
      </c>
      <c r="FQ93" t="s">
        <v>201</v>
      </c>
      <c r="FR93" t="s">
        <v>201</v>
      </c>
      <c r="FS93" t="s">
        <v>201</v>
      </c>
      <c r="FT93" t="s">
        <v>199</v>
      </c>
      <c r="FU93" t="s">
        <v>201</v>
      </c>
      <c r="FV93" s="47" t="s">
        <v>363</v>
      </c>
      <c r="FW93" t="s">
        <v>436</v>
      </c>
      <c r="FX93" t="s">
        <v>201</v>
      </c>
      <c r="FY93" t="s">
        <v>248</v>
      </c>
    </row>
    <row r="94" spans="1:181" x14ac:dyDescent="0.15">
      <c r="A94" s="3" t="s">
        <v>258</v>
      </c>
      <c r="B94" s="3" t="s">
        <v>193</v>
      </c>
      <c r="C94">
        <v>2017</v>
      </c>
      <c r="D94" s="22" t="str">
        <f t="shared" si="12"/>
        <v>10.1016/j.epsl.2017.03.016</v>
      </c>
      <c r="E94" s="22">
        <f t="shared" si="13"/>
        <v>4437</v>
      </c>
      <c r="F94" s="22" t="str">
        <f t="shared" si="14"/>
        <v>NA</v>
      </c>
      <c r="G94" s="22" t="str">
        <f t="shared" si="15"/>
        <v>NA</v>
      </c>
      <c r="H94" s="22">
        <f t="shared" si="16"/>
        <v>361.86825199678918</v>
      </c>
      <c r="I94" s="36">
        <f t="shared" si="17"/>
        <v>27.140118899759187</v>
      </c>
      <c r="J94" s="36">
        <f t="shared" si="18"/>
        <v>27.140118899759187</v>
      </c>
      <c r="K94" s="2" t="s">
        <v>251</v>
      </c>
      <c r="L94" s="2" t="s">
        <v>252</v>
      </c>
      <c r="M94" s="2" t="s">
        <v>194</v>
      </c>
      <c r="N94" s="2" t="s">
        <v>192</v>
      </c>
      <c r="O94">
        <v>806</v>
      </c>
      <c r="P94" s="1" t="s">
        <v>189</v>
      </c>
      <c r="Q94" t="s">
        <v>201</v>
      </c>
      <c r="R94" t="s">
        <v>201</v>
      </c>
      <c r="S94" t="s">
        <v>201</v>
      </c>
      <c r="T94" t="s">
        <v>201</v>
      </c>
      <c r="U94" t="s">
        <v>201</v>
      </c>
      <c r="V94" t="s">
        <v>201</v>
      </c>
      <c r="W94" t="s">
        <v>201</v>
      </c>
      <c r="X94" t="s">
        <v>201</v>
      </c>
      <c r="Y94" t="s">
        <v>201</v>
      </c>
      <c r="Z94" s="10">
        <v>128.80000000000001</v>
      </c>
      <c r="AA94" s="2" t="s">
        <v>207</v>
      </c>
      <c r="AB94">
        <v>4437</v>
      </c>
      <c r="AC94" t="s">
        <v>201</v>
      </c>
      <c r="AD94" t="s">
        <v>201</v>
      </c>
      <c r="AE94" t="s">
        <v>201</v>
      </c>
      <c r="AF94" s="1" t="s">
        <v>177</v>
      </c>
      <c r="AG94" s="1" t="s">
        <v>179</v>
      </c>
      <c r="AH94" s="13">
        <v>0.31850000000000001</v>
      </c>
      <c r="AI94" s="10">
        <v>159.36150000000001</v>
      </c>
      <c r="AJ94" s="35">
        <v>-2520</v>
      </c>
      <c r="AK94" t="s">
        <v>201</v>
      </c>
      <c r="AL94" t="s">
        <v>201</v>
      </c>
      <c r="AM94" t="s">
        <v>201</v>
      </c>
      <c r="AN94" t="s">
        <v>201</v>
      </c>
      <c r="AO94" s="1" t="s">
        <v>180</v>
      </c>
      <c r="AP94" t="s">
        <v>201</v>
      </c>
      <c r="AQ94" t="s">
        <v>201</v>
      </c>
      <c r="AR94" t="s">
        <v>201</v>
      </c>
      <c r="AS94" t="s">
        <v>201</v>
      </c>
      <c r="AT94" t="s">
        <v>201</v>
      </c>
      <c r="AU94" t="s">
        <v>201</v>
      </c>
      <c r="AV94" t="s">
        <v>201</v>
      </c>
      <c r="AW94" t="s">
        <v>201</v>
      </c>
      <c r="AX94">
        <v>2.044</v>
      </c>
      <c r="AY94">
        <v>0.13</v>
      </c>
      <c r="AZ94" t="s">
        <v>203</v>
      </c>
      <c r="BA94" t="s">
        <v>201</v>
      </c>
      <c r="BB94">
        <v>-1.1539999999999999</v>
      </c>
      <c r="BC94">
        <v>0.24</v>
      </c>
      <c r="BD94" t="s">
        <v>203</v>
      </c>
      <c r="BE94" t="s">
        <v>201</v>
      </c>
      <c r="BF94" s="1" t="s">
        <v>181</v>
      </c>
      <c r="BG94" s="1" t="s">
        <v>182</v>
      </c>
      <c r="BH94">
        <v>0</v>
      </c>
      <c r="BI94" t="s">
        <v>201</v>
      </c>
      <c r="BJ94" t="s">
        <v>201</v>
      </c>
      <c r="BK94" t="s">
        <v>201</v>
      </c>
      <c r="BL94" t="s">
        <v>201</v>
      </c>
      <c r="BM94" t="s">
        <v>201</v>
      </c>
      <c r="BN94" t="s">
        <v>201</v>
      </c>
      <c r="BO94" t="s">
        <v>201</v>
      </c>
      <c r="BP94" t="s">
        <v>201</v>
      </c>
      <c r="BQ94" t="s">
        <v>201</v>
      </c>
      <c r="BR94" t="s">
        <v>201</v>
      </c>
      <c r="BS94" s="1" t="s">
        <v>183</v>
      </c>
      <c r="BT94">
        <v>-25.423999999999999</v>
      </c>
      <c r="BU94" s="1" t="s">
        <v>184</v>
      </c>
      <c r="BV94">
        <v>0.3</v>
      </c>
      <c r="BW94" t="s">
        <v>201</v>
      </c>
      <c r="BX94" t="s">
        <v>202</v>
      </c>
      <c r="BY94">
        <v>4.2</v>
      </c>
      <c r="BZ94" s="4" t="s">
        <v>201</v>
      </c>
      <c r="CA94" s="4" t="s">
        <v>201</v>
      </c>
      <c r="CB94">
        <v>-21.330780799999957</v>
      </c>
      <c r="CC94" t="s">
        <v>201</v>
      </c>
      <c r="CD94" t="s">
        <v>201</v>
      </c>
      <c r="CE94" t="s">
        <v>201</v>
      </c>
      <c r="CF94" t="s">
        <v>201</v>
      </c>
      <c r="CG94">
        <v>35</v>
      </c>
      <c r="CH94">
        <v>1</v>
      </c>
      <c r="CI94" t="s">
        <v>204</v>
      </c>
      <c r="CJ94" s="1" t="s">
        <v>185</v>
      </c>
      <c r="CK94">
        <v>0.16</v>
      </c>
      <c r="CL94">
        <v>0.1</v>
      </c>
      <c r="CM94">
        <v>0.1</v>
      </c>
      <c r="CN94" t="s">
        <v>204</v>
      </c>
      <c r="CO94" s="1" t="s">
        <v>186</v>
      </c>
      <c r="CP94" t="s">
        <v>201</v>
      </c>
      <c r="CQ94" t="s">
        <v>201</v>
      </c>
      <c r="CR94">
        <f t="shared" si="11"/>
        <v>28.399769619336418</v>
      </c>
      <c r="CS94" t="s">
        <v>201</v>
      </c>
      <c r="CT94" t="s">
        <v>201</v>
      </c>
      <c r="CU94" t="s">
        <v>201</v>
      </c>
      <c r="CV94" t="s">
        <v>211</v>
      </c>
      <c r="CW94">
        <v>0.99048410312476842</v>
      </c>
      <c r="CX94" t="s">
        <v>201</v>
      </c>
      <c r="CY94">
        <v>28.257703064955582</v>
      </c>
      <c r="CZ94" t="s">
        <v>201</v>
      </c>
      <c r="DA94" t="s">
        <v>201</v>
      </c>
      <c r="DB94" t="s">
        <v>201</v>
      </c>
      <c r="DC94" s="1" t="s">
        <v>190</v>
      </c>
      <c r="DD94" t="s">
        <v>205</v>
      </c>
      <c r="DE94" t="s">
        <v>201</v>
      </c>
      <c r="DF94" t="s">
        <v>201</v>
      </c>
      <c r="DG94" t="s">
        <v>201</v>
      </c>
      <c r="DH94" t="s">
        <v>201</v>
      </c>
      <c r="DI94">
        <v>28.541836173717257</v>
      </c>
      <c r="DJ94" t="s">
        <v>201</v>
      </c>
      <c r="DK94" t="s">
        <v>201</v>
      </c>
      <c r="DL94" t="s">
        <v>201</v>
      </c>
      <c r="DM94" t="s">
        <v>206</v>
      </c>
      <c r="DN94" t="s">
        <v>201</v>
      </c>
      <c r="DO94" t="s">
        <v>201</v>
      </c>
      <c r="DP94" t="s">
        <v>201</v>
      </c>
      <c r="DQ94" t="s">
        <v>201</v>
      </c>
      <c r="DR94" t="s">
        <v>201</v>
      </c>
      <c r="DS94" t="s">
        <v>201</v>
      </c>
      <c r="DT94" t="s">
        <v>201</v>
      </c>
      <c r="DU94" t="s">
        <v>201</v>
      </c>
      <c r="DV94" t="s">
        <v>201</v>
      </c>
      <c r="DW94" t="s">
        <v>201</v>
      </c>
      <c r="DX94" t="s">
        <v>201</v>
      </c>
      <c r="DY94" t="s">
        <v>201</v>
      </c>
      <c r="DZ94" s="3" t="s">
        <v>201</v>
      </c>
      <c r="EA94" s="3" t="s">
        <v>201</v>
      </c>
      <c r="EB94" t="s">
        <v>201</v>
      </c>
      <c r="EC94" t="s">
        <v>201</v>
      </c>
      <c r="ED94" t="s">
        <v>201</v>
      </c>
      <c r="EE94" t="s">
        <v>201</v>
      </c>
      <c r="EF94" t="s">
        <v>201</v>
      </c>
      <c r="EG94" t="s">
        <v>201</v>
      </c>
      <c r="EH94" t="s">
        <v>201</v>
      </c>
      <c r="EI94" t="s">
        <v>201</v>
      </c>
      <c r="EJ94" t="s">
        <v>201</v>
      </c>
      <c r="EK94" t="s">
        <v>201</v>
      </c>
      <c r="EL94" t="s">
        <v>201</v>
      </c>
      <c r="EM94" t="s">
        <v>201</v>
      </c>
      <c r="EN94" t="s">
        <v>201</v>
      </c>
      <c r="EO94" t="s">
        <v>201</v>
      </c>
      <c r="EP94" t="s">
        <v>201</v>
      </c>
      <c r="EQ94" t="s">
        <v>201</v>
      </c>
      <c r="ER94">
        <v>103.03319999999999</v>
      </c>
      <c r="ES94" t="s">
        <v>201</v>
      </c>
      <c r="ET94" t="s">
        <v>201</v>
      </c>
      <c r="EU94" t="s">
        <v>201</v>
      </c>
      <c r="EV94" s="1" t="s">
        <v>188</v>
      </c>
      <c r="EW94">
        <v>25</v>
      </c>
      <c r="EX94">
        <v>14.065777414060898</v>
      </c>
      <c r="EY94">
        <v>3.5464209306557137E-2</v>
      </c>
      <c r="EZ94">
        <v>3.5464209306557137E-2</v>
      </c>
      <c r="FA94" t="s">
        <v>201</v>
      </c>
      <c r="FB94" s="1" t="s">
        <v>250</v>
      </c>
      <c r="FC94" t="s">
        <v>201</v>
      </c>
      <c r="FD94" t="s">
        <v>201</v>
      </c>
      <c r="FE94" t="s">
        <v>201</v>
      </c>
      <c r="FF94" t="s">
        <v>201</v>
      </c>
      <c r="FG94" t="s">
        <v>217</v>
      </c>
      <c r="FH94">
        <v>361.86825199678918</v>
      </c>
      <c r="FI94">
        <f t="shared" si="19"/>
        <v>27.140118899759187</v>
      </c>
      <c r="FJ94">
        <f t="shared" si="20"/>
        <v>27.140118899759187</v>
      </c>
      <c r="FK94" t="s">
        <v>203</v>
      </c>
      <c r="FL94" t="s">
        <v>216</v>
      </c>
      <c r="FM94" t="s">
        <v>249</v>
      </c>
      <c r="FN94" t="s">
        <v>201</v>
      </c>
      <c r="FO94" t="s">
        <v>201</v>
      </c>
      <c r="FP94" t="s">
        <v>201</v>
      </c>
      <c r="FQ94" t="s">
        <v>201</v>
      </c>
      <c r="FR94" t="s">
        <v>201</v>
      </c>
      <c r="FS94" t="s">
        <v>201</v>
      </c>
      <c r="FT94" t="s">
        <v>199</v>
      </c>
      <c r="FU94" t="s">
        <v>201</v>
      </c>
      <c r="FV94" s="47" t="s">
        <v>364</v>
      </c>
      <c r="FW94" t="s">
        <v>437</v>
      </c>
      <c r="FX94" t="s">
        <v>201</v>
      </c>
      <c r="FY94" t="s">
        <v>248</v>
      </c>
    </row>
    <row r="95" spans="1:181" x14ac:dyDescent="0.15">
      <c r="A95" s="3" t="s">
        <v>258</v>
      </c>
      <c r="B95" s="3" t="s">
        <v>193</v>
      </c>
      <c r="C95">
        <v>2017</v>
      </c>
      <c r="D95" s="22" t="str">
        <f t="shared" si="12"/>
        <v>10.1016/j.epsl.2017.03.016</v>
      </c>
      <c r="E95" s="22">
        <f t="shared" si="13"/>
        <v>4592.58</v>
      </c>
      <c r="F95" s="22" t="str">
        <f t="shared" si="14"/>
        <v>NA</v>
      </c>
      <c r="G95" s="22" t="str">
        <f t="shared" si="15"/>
        <v>NA</v>
      </c>
      <c r="H95" s="22">
        <f t="shared" si="16"/>
        <v>357.03708982779369</v>
      </c>
      <c r="I95" s="36">
        <f t="shared" si="17"/>
        <v>26.777781737084528</v>
      </c>
      <c r="J95" s="36">
        <f t="shared" si="18"/>
        <v>26.777781737084528</v>
      </c>
      <c r="K95" s="2" t="s">
        <v>251</v>
      </c>
      <c r="L95" s="2" t="s">
        <v>252</v>
      </c>
      <c r="M95" s="2" t="s">
        <v>194</v>
      </c>
      <c r="N95" s="2" t="s">
        <v>192</v>
      </c>
      <c r="O95">
        <v>806</v>
      </c>
      <c r="P95" s="1" t="s">
        <v>189</v>
      </c>
      <c r="Q95" t="s">
        <v>201</v>
      </c>
      <c r="R95" t="s">
        <v>201</v>
      </c>
      <c r="S95" t="s">
        <v>201</v>
      </c>
      <c r="T95" t="s">
        <v>201</v>
      </c>
      <c r="U95" t="s">
        <v>201</v>
      </c>
      <c r="V95" t="s">
        <v>201</v>
      </c>
      <c r="W95" t="s">
        <v>201</v>
      </c>
      <c r="X95" t="s">
        <v>201</v>
      </c>
      <c r="Y95" t="s">
        <v>201</v>
      </c>
      <c r="Z95" s="10">
        <v>136.4</v>
      </c>
      <c r="AA95" s="2" t="s">
        <v>207</v>
      </c>
      <c r="AB95">
        <v>4592.58</v>
      </c>
      <c r="AC95" t="s">
        <v>201</v>
      </c>
      <c r="AD95" t="s">
        <v>201</v>
      </c>
      <c r="AE95" t="s">
        <v>201</v>
      </c>
      <c r="AF95" s="1" t="s">
        <v>177</v>
      </c>
      <c r="AG95" s="1" t="s">
        <v>179</v>
      </c>
      <c r="AH95" s="13">
        <v>0.31850000000000001</v>
      </c>
      <c r="AI95" s="10">
        <v>159.36150000000001</v>
      </c>
      <c r="AJ95" s="35">
        <v>-2520</v>
      </c>
      <c r="AK95" t="s">
        <v>201</v>
      </c>
      <c r="AL95" t="s">
        <v>201</v>
      </c>
      <c r="AM95" t="s">
        <v>201</v>
      </c>
      <c r="AN95" t="s">
        <v>201</v>
      </c>
      <c r="AO95" s="1" t="s">
        <v>180</v>
      </c>
      <c r="AP95" t="s">
        <v>201</v>
      </c>
      <c r="AQ95" t="s">
        <v>201</v>
      </c>
      <c r="AR95" t="s">
        <v>201</v>
      </c>
      <c r="AS95" t="s">
        <v>201</v>
      </c>
      <c r="AT95" t="s">
        <v>201</v>
      </c>
      <c r="AU95" t="s">
        <v>201</v>
      </c>
      <c r="AV95" t="s">
        <v>201</v>
      </c>
      <c r="AW95" t="s">
        <v>201</v>
      </c>
      <c r="AX95">
        <v>2.101</v>
      </c>
      <c r="AY95">
        <v>0.13</v>
      </c>
      <c r="AZ95" t="s">
        <v>203</v>
      </c>
      <c r="BA95" t="s">
        <v>201</v>
      </c>
      <c r="BB95">
        <v>-1.254</v>
      </c>
      <c r="BC95">
        <v>0.24</v>
      </c>
      <c r="BD95" t="s">
        <v>203</v>
      </c>
      <c r="BE95" t="s">
        <v>201</v>
      </c>
      <c r="BF95" s="1" t="s">
        <v>181</v>
      </c>
      <c r="BG95" s="1" t="s">
        <v>182</v>
      </c>
      <c r="BH95">
        <v>0</v>
      </c>
      <c r="BI95" t="s">
        <v>201</v>
      </c>
      <c r="BJ95" t="s">
        <v>201</v>
      </c>
      <c r="BK95" t="s">
        <v>201</v>
      </c>
      <c r="BL95" t="s">
        <v>201</v>
      </c>
      <c r="BM95" t="s">
        <v>201</v>
      </c>
      <c r="BN95" t="s">
        <v>201</v>
      </c>
      <c r="BO95" t="s">
        <v>201</v>
      </c>
      <c r="BP95" t="s">
        <v>201</v>
      </c>
      <c r="BQ95" t="s">
        <v>201</v>
      </c>
      <c r="BR95" t="s">
        <v>201</v>
      </c>
      <c r="BS95" s="1" t="s">
        <v>183</v>
      </c>
      <c r="BT95">
        <v>-25.254999999999999</v>
      </c>
      <c r="BU95" s="1" t="s">
        <v>184</v>
      </c>
      <c r="BV95">
        <v>0.3</v>
      </c>
      <c r="BW95" t="s">
        <v>201</v>
      </c>
      <c r="BX95" t="s">
        <v>202</v>
      </c>
      <c r="BY95">
        <v>4.2</v>
      </c>
      <c r="BZ95" s="4" t="s">
        <v>201</v>
      </c>
      <c r="CA95" s="4" t="s">
        <v>201</v>
      </c>
      <c r="CB95">
        <v>-21.161070999999993</v>
      </c>
      <c r="CC95" t="s">
        <v>201</v>
      </c>
      <c r="CD95" t="s">
        <v>201</v>
      </c>
      <c r="CE95" t="s">
        <v>201</v>
      </c>
      <c r="CF95" t="s">
        <v>201</v>
      </c>
      <c r="CG95">
        <v>35</v>
      </c>
      <c r="CH95">
        <v>1</v>
      </c>
      <c r="CI95" t="s">
        <v>204</v>
      </c>
      <c r="CJ95" s="1" t="s">
        <v>185</v>
      </c>
      <c r="CK95">
        <v>0.16</v>
      </c>
      <c r="CL95">
        <v>0.1</v>
      </c>
      <c r="CM95">
        <v>0.1</v>
      </c>
      <c r="CN95" t="s">
        <v>204</v>
      </c>
      <c r="CO95" s="1" t="s">
        <v>186</v>
      </c>
      <c r="CP95" t="s">
        <v>201</v>
      </c>
      <c r="CQ95" t="s">
        <v>201</v>
      </c>
      <c r="CR95">
        <f t="shared" si="11"/>
        <v>28.431775101208373</v>
      </c>
      <c r="CS95" t="s">
        <v>201</v>
      </c>
      <c r="CT95" t="s">
        <v>201</v>
      </c>
      <c r="CU95" t="s">
        <v>201</v>
      </c>
      <c r="CV95" t="s">
        <v>211</v>
      </c>
      <c r="CW95">
        <v>0.99572723662709306</v>
      </c>
      <c r="CX95" t="s">
        <v>201</v>
      </c>
      <c r="CY95">
        <v>28.414346921471033</v>
      </c>
      <c r="CZ95" t="s">
        <v>201</v>
      </c>
      <c r="DA95" t="s">
        <v>201</v>
      </c>
      <c r="DB95" t="s">
        <v>201</v>
      </c>
      <c r="DC95" s="1" t="s">
        <v>190</v>
      </c>
      <c r="DD95" t="s">
        <v>205</v>
      </c>
      <c r="DE95" t="s">
        <v>201</v>
      </c>
      <c r="DF95" t="s">
        <v>201</v>
      </c>
      <c r="DG95" t="s">
        <v>201</v>
      </c>
      <c r="DH95" t="s">
        <v>201</v>
      </c>
      <c r="DI95">
        <v>28.44920328094571</v>
      </c>
      <c r="DJ95" t="s">
        <v>201</v>
      </c>
      <c r="DK95" t="s">
        <v>201</v>
      </c>
      <c r="DL95" t="s">
        <v>201</v>
      </c>
      <c r="DM95" t="s">
        <v>206</v>
      </c>
      <c r="DN95" t="s">
        <v>201</v>
      </c>
      <c r="DO95" t="s">
        <v>201</v>
      </c>
      <c r="DP95" t="s">
        <v>201</v>
      </c>
      <c r="DQ95" t="s">
        <v>201</v>
      </c>
      <c r="DR95" t="s">
        <v>201</v>
      </c>
      <c r="DS95" t="s">
        <v>201</v>
      </c>
      <c r="DT95" t="s">
        <v>201</v>
      </c>
      <c r="DU95" t="s">
        <v>201</v>
      </c>
      <c r="DV95" t="s">
        <v>201</v>
      </c>
      <c r="DW95" t="s">
        <v>201</v>
      </c>
      <c r="DX95" t="s">
        <v>201</v>
      </c>
      <c r="DY95" t="s">
        <v>201</v>
      </c>
      <c r="DZ95" s="3" t="s">
        <v>201</v>
      </c>
      <c r="EA95" s="3" t="s">
        <v>201</v>
      </c>
      <c r="EB95" t="s">
        <v>201</v>
      </c>
      <c r="EC95" t="s">
        <v>201</v>
      </c>
      <c r="ED95" t="s">
        <v>201</v>
      </c>
      <c r="EE95" t="s">
        <v>201</v>
      </c>
      <c r="EF95" t="s">
        <v>201</v>
      </c>
      <c r="EG95" t="s">
        <v>201</v>
      </c>
      <c r="EH95" t="s">
        <v>201</v>
      </c>
      <c r="EI95" t="s">
        <v>201</v>
      </c>
      <c r="EJ95" t="s">
        <v>201</v>
      </c>
      <c r="EK95" t="s">
        <v>201</v>
      </c>
      <c r="EL95" t="s">
        <v>201</v>
      </c>
      <c r="EM95" t="s">
        <v>201</v>
      </c>
      <c r="EN95" t="s">
        <v>201</v>
      </c>
      <c r="EO95" t="s">
        <v>201</v>
      </c>
      <c r="EP95" t="s">
        <v>201</v>
      </c>
      <c r="EQ95" t="s">
        <v>201</v>
      </c>
      <c r="ER95">
        <v>103.03319999999999</v>
      </c>
      <c r="ES95" t="s">
        <v>201</v>
      </c>
      <c r="ET95" t="s">
        <v>201</v>
      </c>
      <c r="EU95" t="s">
        <v>201</v>
      </c>
      <c r="EV95" s="1" t="s">
        <v>188</v>
      </c>
      <c r="EW95">
        <v>25</v>
      </c>
      <c r="EX95">
        <v>13.942041057246168</v>
      </c>
      <c r="EY95">
        <v>4.3501341451257503E-3</v>
      </c>
      <c r="EZ95">
        <v>4.3501341451257503E-3</v>
      </c>
      <c r="FA95" t="s">
        <v>201</v>
      </c>
      <c r="FB95" s="1" t="s">
        <v>250</v>
      </c>
      <c r="FC95" t="s">
        <v>201</v>
      </c>
      <c r="FD95" t="s">
        <v>201</v>
      </c>
      <c r="FE95" t="s">
        <v>201</v>
      </c>
      <c r="FF95" t="s">
        <v>201</v>
      </c>
      <c r="FG95" t="s">
        <v>217</v>
      </c>
      <c r="FH95">
        <v>357.03708982779369</v>
      </c>
      <c r="FI95">
        <f t="shared" si="19"/>
        <v>26.777781737084528</v>
      </c>
      <c r="FJ95">
        <f t="shared" si="20"/>
        <v>26.777781737084528</v>
      </c>
      <c r="FK95" t="s">
        <v>203</v>
      </c>
      <c r="FL95" t="s">
        <v>216</v>
      </c>
      <c r="FM95" t="s">
        <v>249</v>
      </c>
      <c r="FN95" t="s">
        <v>201</v>
      </c>
      <c r="FO95" t="s">
        <v>201</v>
      </c>
      <c r="FP95" t="s">
        <v>201</v>
      </c>
      <c r="FQ95" t="s">
        <v>201</v>
      </c>
      <c r="FR95" t="s">
        <v>201</v>
      </c>
      <c r="FS95" t="s">
        <v>201</v>
      </c>
      <c r="FT95" t="s">
        <v>199</v>
      </c>
      <c r="FU95" t="s">
        <v>201</v>
      </c>
      <c r="FV95" s="47" t="s">
        <v>365</v>
      </c>
      <c r="FW95" t="s">
        <v>438</v>
      </c>
      <c r="FX95" t="s">
        <v>201</v>
      </c>
      <c r="FY95" t="s">
        <v>248</v>
      </c>
    </row>
    <row r="96" spans="1:181" x14ac:dyDescent="0.15">
      <c r="A96" s="3" t="s">
        <v>258</v>
      </c>
      <c r="B96" s="3" t="s">
        <v>193</v>
      </c>
      <c r="C96">
        <v>2017</v>
      </c>
      <c r="D96" s="22" t="str">
        <f t="shared" si="12"/>
        <v>10.1016/j.epsl.2017.03.016</v>
      </c>
      <c r="E96" s="22">
        <f t="shared" si="13"/>
        <v>4752.8599999999997</v>
      </c>
      <c r="F96" s="22" t="str">
        <f t="shared" si="14"/>
        <v>NA</v>
      </c>
      <c r="G96" s="22" t="str">
        <f t="shared" si="15"/>
        <v>NA</v>
      </c>
      <c r="H96" s="22">
        <f t="shared" si="16"/>
        <v>396.49415289418641</v>
      </c>
      <c r="I96" s="36">
        <f t="shared" si="17"/>
        <v>29.737061467063981</v>
      </c>
      <c r="J96" s="36">
        <f t="shared" si="18"/>
        <v>29.737061467063981</v>
      </c>
      <c r="K96" s="2" t="s">
        <v>251</v>
      </c>
      <c r="L96" s="2" t="s">
        <v>252</v>
      </c>
      <c r="M96" s="2" t="s">
        <v>194</v>
      </c>
      <c r="N96" s="2" t="s">
        <v>192</v>
      </c>
      <c r="O96">
        <v>806</v>
      </c>
      <c r="P96" s="1" t="s">
        <v>189</v>
      </c>
      <c r="Q96" t="s">
        <v>201</v>
      </c>
      <c r="R96" t="s">
        <v>201</v>
      </c>
      <c r="S96" t="s">
        <v>201</v>
      </c>
      <c r="T96" t="s">
        <v>201</v>
      </c>
      <c r="U96" t="s">
        <v>201</v>
      </c>
      <c r="V96" t="s">
        <v>201</v>
      </c>
      <c r="W96" t="s">
        <v>201</v>
      </c>
      <c r="X96" t="s">
        <v>201</v>
      </c>
      <c r="Y96" t="s">
        <v>201</v>
      </c>
      <c r="Z96" s="10">
        <v>144.22999999999999</v>
      </c>
      <c r="AA96" s="2" t="s">
        <v>207</v>
      </c>
      <c r="AB96">
        <v>4752.8599999999997</v>
      </c>
      <c r="AC96" t="s">
        <v>201</v>
      </c>
      <c r="AD96" t="s">
        <v>201</v>
      </c>
      <c r="AE96" t="s">
        <v>201</v>
      </c>
      <c r="AF96" s="1" t="s">
        <v>177</v>
      </c>
      <c r="AG96" s="1" t="s">
        <v>179</v>
      </c>
      <c r="AH96" s="13">
        <v>0.31850000000000001</v>
      </c>
      <c r="AI96" s="10">
        <v>159.36150000000001</v>
      </c>
      <c r="AJ96" s="35">
        <v>-2520</v>
      </c>
      <c r="AK96" t="s">
        <v>201</v>
      </c>
      <c r="AL96" t="s">
        <v>201</v>
      </c>
      <c r="AM96" t="s">
        <v>201</v>
      </c>
      <c r="AN96" t="s">
        <v>201</v>
      </c>
      <c r="AO96" s="1" t="s">
        <v>180</v>
      </c>
      <c r="AP96" t="s">
        <v>201</v>
      </c>
      <c r="AQ96" t="s">
        <v>201</v>
      </c>
      <c r="AR96" t="s">
        <v>201</v>
      </c>
      <c r="AS96" t="s">
        <v>201</v>
      </c>
      <c r="AT96" t="s">
        <v>201</v>
      </c>
      <c r="AU96" t="s">
        <v>201</v>
      </c>
      <c r="AV96" t="s">
        <v>201</v>
      </c>
      <c r="AW96" t="s">
        <v>201</v>
      </c>
      <c r="AX96">
        <v>1.4</v>
      </c>
      <c r="AY96">
        <v>0.13</v>
      </c>
      <c r="AZ96" t="s">
        <v>203</v>
      </c>
      <c r="BA96" t="s">
        <v>201</v>
      </c>
      <c r="BB96">
        <v>-1.4520000000000002</v>
      </c>
      <c r="BC96">
        <v>0.24</v>
      </c>
      <c r="BD96" t="s">
        <v>203</v>
      </c>
      <c r="BE96" t="s">
        <v>201</v>
      </c>
      <c r="BF96" s="1" t="s">
        <v>181</v>
      </c>
      <c r="BG96" s="1" t="s">
        <v>182</v>
      </c>
      <c r="BH96">
        <v>0</v>
      </c>
      <c r="BI96" t="s">
        <v>201</v>
      </c>
      <c r="BJ96" t="s">
        <v>201</v>
      </c>
      <c r="BK96" t="s">
        <v>201</v>
      </c>
      <c r="BL96" t="s">
        <v>201</v>
      </c>
      <c r="BM96" t="s">
        <v>201</v>
      </c>
      <c r="BN96" t="s">
        <v>201</v>
      </c>
      <c r="BO96" t="s">
        <v>201</v>
      </c>
      <c r="BP96" t="s">
        <v>201</v>
      </c>
      <c r="BQ96" t="s">
        <v>201</v>
      </c>
      <c r="BR96" t="s">
        <v>201</v>
      </c>
      <c r="BS96" s="1" t="s">
        <v>183</v>
      </c>
      <c r="BT96">
        <v>-26.235999999999997</v>
      </c>
      <c r="BU96" s="1" t="s">
        <v>184</v>
      </c>
      <c r="BV96">
        <v>0.3</v>
      </c>
      <c r="BW96" t="s">
        <v>201</v>
      </c>
      <c r="BX96" t="s">
        <v>202</v>
      </c>
      <c r="BY96">
        <v>4.2</v>
      </c>
      <c r="BZ96" s="4" t="s">
        <v>201</v>
      </c>
      <c r="CA96" s="4" t="s">
        <v>201</v>
      </c>
      <c r="CB96">
        <v>-22.146191199999976</v>
      </c>
      <c r="CC96" t="s">
        <v>201</v>
      </c>
      <c r="CD96" t="s">
        <v>201</v>
      </c>
      <c r="CE96" t="s">
        <v>201</v>
      </c>
      <c r="CF96" t="s">
        <v>201</v>
      </c>
      <c r="CG96">
        <v>35</v>
      </c>
      <c r="CH96">
        <v>1</v>
      </c>
      <c r="CI96" t="s">
        <v>204</v>
      </c>
      <c r="CJ96" s="1" t="s">
        <v>185</v>
      </c>
      <c r="CK96">
        <v>0.16</v>
      </c>
      <c r="CL96">
        <v>0.1</v>
      </c>
      <c r="CM96">
        <v>0.1</v>
      </c>
      <c r="CN96" t="s">
        <v>204</v>
      </c>
      <c r="CO96" s="1" t="s">
        <v>186</v>
      </c>
      <c r="CP96" t="s">
        <v>201</v>
      </c>
      <c r="CQ96" t="s">
        <v>201</v>
      </c>
      <c r="CR96">
        <f t="shared" si="11"/>
        <v>29.578492306512395</v>
      </c>
      <c r="CS96" t="s">
        <v>201</v>
      </c>
      <c r="CT96" t="s">
        <v>201</v>
      </c>
      <c r="CU96" t="s">
        <v>201</v>
      </c>
      <c r="CV96" t="s">
        <v>211</v>
      </c>
      <c r="CW96">
        <v>0.99259047672661693</v>
      </c>
      <c r="CX96" t="s">
        <v>201</v>
      </c>
      <c r="CY96">
        <v>28.320633082684409</v>
      </c>
      <c r="CZ96" t="s">
        <v>201</v>
      </c>
      <c r="DA96" t="s">
        <v>201</v>
      </c>
      <c r="DB96" t="s">
        <v>201</v>
      </c>
      <c r="DC96" s="1" t="s">
        <v>190</v>
      </c>
      <c r="DD96" t="s">
        <v>205</v>
      </c>
      <c r="DE96" t="s">
        <v>201</v>
      </c>
      <c r="DF96" t="s">
        <v>201</v>
      </c>
      <c r="DG96" t="s">
        <v>201</v>
      </c>
      <c r="DH96" t="s">
        <v>201</v>
      </c>
      <c r="DI96">
        <v>30.83635153034038</v>
      </c>
      <c r="DJ96" t="s">
        <v>201</v>
      </c>
      <c r="DK96" t="s">
        <v>201</v>
      </c>
      <c r="DL96" t="s">
        <v>201</v>
      </c>
      <c r="DM96" t="s">
        <v>206</v>
      </c>
      <c r="DN96" t="s">
        <v>201</v>
      </c>
      <c r="DO96" t="s">
        <v>201</v>
      </c>
      <c r="DP96" t="s">
        <v>201</v>
      </c>
      <c r="DQ96" t="s">
        <v>201</v>
      </c>
      <c r="DR96" t="s">
        <v>201</v>
      </c>
      <c r="DS96" t="s">
        <v>201</v>
      </c>
      <c r="DT96" t="s">
        <v>201</v>
      </c>
      <c r="DU96" t="s">
        <v>201</v>
      </c>
      <c r="DV96" t="s">
        <v>201</v>
      </c>
      <c r="DW96" t="s">
        <v>201</v>
      </c>
      <c r="DX96" t="s">
        <v>201</v>
      </c>
      <c r="DY96" t="s">
        <v>201</v>
      </c>
      <c r="DZ96" s="3" t="s">
        <v>201</v>
      </c>
      <c r="EA96" s="3" t="s">
        <v>201</v>
      </c>
      <c r="EB96" t="s">
        <v>201</v>
      </c>
      <c r="EC96" t="s">
        <v>201</v>
      </c>
      <c r="ED96" t="s">
        <v>201</v>
      </c>
      <c r="EE96" t="s">
        <v>201</v>
      </c>
      <c r="EF96" t="s">
        <v>201</v>
      </c>
      <c r="EG96" t="s">
        <v>201</v>
      </c>
      <c r="EH96" t="s">
        <v>201</v>
      </c>
      <c r="EI96" t="s">
        <v>201</v>
      </c>
      <c r="EJ96" t="s">
        <v>201</v>
      </c>
      <c r="EK96" t="s">
        <v>201</v>
      </c>
      <c r="EL96" t="s">
        <v>201</v>
      </c>
      <c r="EM96" t="s">
        <v>201</v>
      </c>
      <c r="EN96" t="s">
        <v>201</v>
      </c>
      <c r="EO96" t="s">
        <v>201</v>
      </c>
      <c r="EP96" t="s">
        <v>201</v>
      </c>
      <c r="EQ96" t="s">
        <v>201</v>
      </c>
      <c r="ER96">
        <v>103.03319999999999</v>
      </c>
      <c r="ES96" t="s">
        <v>201</v>
      </c>
      <c r="ET96" t="s">
        <v>201</v>
      </c>
      <c r="EU96" t="s">
        <v>201</v>
      </c>
      <c r="EV96" s="1" t="s">
        <v>188</v>
      </c>
      <c r="EW96">
        <v>25</v>
      </c>
      <c r="EX96">
        <v>14.478052643955186</v>
      </c>
      <c r="EY96">
        <v>0.31404640059573552</v>
      </c>
      <c r="EZ96">
        <v>0.31404640059573552</v>
      </c>
      <c r="FA96" t="s">
        <v>201</v>
      </c>
      <c r="FB96" s="1" t="s">
        <v>250</v>
      </c>
      <c r="FC96" t="s">
        <v>201</v>
      </c>
      <c r="FD96" t="s">
        <v>201</v>
      </c>
      <c r="FE96" t="s">
        <v>201</v>
      </c>
      <c r="FF96" t="s">
        <v>201</v>
      </c>
      <c r="FG96" t="s">
        <v>217</v>
      </c>
      <c r="FH96">
        <v>396.49415289418641</v>
      </c>
      <c r="FI96">
        <f t="shared" si="19"/>
        <v>29.737061467063981</v>
      </c>
      <c r="FJ96">
        <f t="shared" si="20"/>
        <v>29.737061467063981</v>
      </c>
      <c r="FK96" t="s">
        <v>203</v>
      </c>
      <c r="FL96" t="s">
        <v>216</v>
      </c>
      <c r="FM96" t="s">
        <v>249</v>
      </c>
      <c r="FN96" t="s">
        <v>201</v>
      </c>
      <c r="FO96" t="s">
        <v>201</v>
      </c>
      <c r="FP96" t="s">
        <v>201</v>
      </c>
      <c r="FQ96" t="s">
        <v>201</v>
      </c>
      <c r="FR96" t="s">
        <v>201</v>
      </c>
      <c r="FS96" t="s">
        <v>201</v>
      </c>
      <c r="FT96" t="s">
        <v>199</v>
      </c>
      <c r="FU96" t="s">
        <v>201</v>
      </c>
      <c r="FV96" s="47" t="s">
        <v>366</v>
      </c>
      <c r="FW96" t="s">
        <v>439</v>
      </c>
      <c r="FX96" t="s">
        <v>201</v>
      </c>
      <c r="FY96" t="s">
        <v>248</v>
      </c>
    </row>
    <row r="97" spans="1:181" x14ac:dyDescent="0.15">
      <c r="A97" s="3" t="s">
        <v>258</v>
      </c>
      <c r="B97" s="3" t="s">
        <v>193</v>
      </c>
      <c r="C97">
        <v>2017</v>
      </c>
      <c r="D97" s="22" t="str">
        <f t="shared" si="12"/>
        <v>10.1016/j.epsl.2017.03.016</v>
      </c>
      <c r="E97" s="22">
        <f t="shared" si="13"/>
        <v>4940.09</v>
      </c>
      <c r="F97" s="22" t="str">
        <f t="shared" si="14"/>
        <v>NA</v>
      </c>
      <c r="G97" s="22" t="str">
        <f t="shared" si="15"/>
        <v>NA</v>
      </c>
      <c r="H97" s="22">
        <f t="shared" si="16"/>
        <v>362.7966413168291</v>
      </c>
      <c r="I97" s="36">
        <f t="shared" si="17"/>
        <v>27.20974809876218</v>
      </c>
      <c r="J97" s="36">
        <f t="shared" si="18"/>
        <v>27.20974809876218</v>
      </c>
      <c r="K97" s="2" t="s">
        <v>251</v>
      </c>
      <c r="L97" s="2" t="s">
        <v>252</v>
      </c>
      <c r="M97" s="2" t="s">
        <v>194</v>
      </c>
      <c r="N97" s="2" t="s">
        <v>192</v>
      </c>
      <c r="O97">
        <v>806</v>
      </c>
      <c r="P97" s="1" t="s">
        <v>189</v>
      </c>
      <c r="Q97" t="s">
        <v>201</v>
      </c>
      <c r="R97" t="s">
        <v>201</v>
      </c>
      <c r="S97" t="s">
        <v>201</v>
      </c>
      <c r="T97" t="s">
        <v>201</v>
      </c>
      <c r="U97" t="s">
        <v>201</v>
      </c>
      <c r="V97" t="s">
        <v>201</v>
      </c>
      <c r="W97" t="s">
        <v>201</v>
      </c>
      <c r="X97" t="s">
        <v>201</v>
      </c>
      <c r="Y97" t="s">
        <v>201</v>
      </c>
      <c r="Z97" s="10">
        <v>151.80000000000001</v>
      </c>
      <c r="AA97" s="2" t="s">
        <v>207</v>
      </c>
      <c r="AB97">
        <v>4940.09</v>
      </c>
      <c r="AC97" t="s">
        <v>201</v>
      </c>
      <c r="AD97" t="s">
        <v>201</v>
      </c>
      <c r="AE97" t="s">
        <v>201</v>
      </c>
      <c r="AF97" s="1" t="s">
        <v>177</v>
      </c>
      <c r="AG97" s="1" t="s">
        <v>179</v>
      </c>
      <c r="AH97" s="13">
        <v>0.31850000000000001</v>
      </c>
      <c r="AI97" s="10">
        <v>159.36150000000001</v>
      </c>
      <c r="AJ97" s="35">
        <v>-2520</v>
      </c>
      <c r="AK97" t="s">
        <v>201</v>
      </c>
      <c r="AL97" t="s">
        <v>201</v>
      </c>
      <c r="AM97" t="s">
        <v>201</v>
      </c>
      <c r="AN97" t="s">
        <v>201</v>
      </c>
      <c r="AO97" s="1" t="s">
        <v>180</v>
      </c>
      <c r="AP97" t="s">
        <v>201</v>
      </c>
      <c r="AQ97" t="s">
        <v>201</v>
      </c>
      <c r="AR97" t="s">
        <v>201</v>
      </c>
      <c r="AS97" t="s">
        <v>201</v>
      </c>
      <c r="AT97" t="s">
        <v>201</v>
      </c>
      <c r="AU97" t="s">
        <v>201</v>
      </c>
      <c r="AV97" t="s">
        <v>201</v>
      </c>
      <c r="AW97" t="s">
        <v>201</v>
      </c>
      <c r="AX97">
        <v>2.0089999999999999</v>
      </c>
      <c r="AY97">
        <v>0.13</v>
      </c>
      <c r="AZ97" t="s">
        <v>203</v>
      </c>
      <c r="BA97" t="s">
        <v>201</v>
      </c>
      <c r="BB97">
        <v>-1.117</v>
      </c>
      <c r="BC97">
        <v>0.24</v>
      </c>
      <c r="BD97" t="s">
        <v>203</v>
      </c>
      <c r="BE97" t="s">
        <v>201</v>
      </c>
      <c r="BF97" s="1" t="s">
        <v>181</v>
      </c>
      <c r="BG97" s="1" t="s">
        <v>182</v>
      </c>
      <c r="BH97">
        <v>0</v>
      </c>
      <c r="BI97" t="s">
        <v>201</v>
      </c>
      <c r="BJ97" t="s">
        <v>201</v>
      </c>
      <c r="BK97" t="s">
        <v>201</v>
      </c>
      <c r="BL97" t="s">
        <v>201</v>
      </c>
      <c r="BM97" t="s">
        <v>201</v>
      </c>
      <c r="BN97" t="s">
        <v>201</v>
      </c>
      <c r="BO97" t="s">
        <v>201</v>
      </c>
      <c r="BP97" t="s">
        <v>201</v>
      </c>
      <c r="BQ97" t="s">
        <v>201</v>
      </c>
      <c r="BR97" t="s">
        <v>201</v>
      </c>
      <c r="BS97" s="1" t="s">
        <v>183</v>
      </c>
      <c r="BT97">
        <v>-25.8125</v>
      </c>
      <c r="BU97" s="1" t="s">
        <v>184</v>
      </c>
      <c r="BV97">
        <v>0.3</v>
      </c>
      <c r="BW97" t="s">
        <v>201</v>
      </c>
      <c r="BX97" t="s">
        <v>202</v>
      </c>
      <c r="BY97">
        <v>4.2</v>
      </c>
      <c r="BZ97" s="4" t="s">
        <v>201</v>
      </c>
      <c r="CA97" s="4" t="s">
        <v>201</v>
      </c>
      <c r="CB97">
        <v>-21.720912500000054</v>
      </c>
      <c r="CC97" t="s">
        <v>201</v>
      </c>
      <c r="CD97" t="s">
        <v>201</v>
      </c>
      <c r="CE97" t="s">
        <v>201</v>
      </c>
      <c r="CF97" t="s">
        <v>201</v>
      </c>
      <c r="CG97">
        <v>35</v>
      </c>
      <c r="CH97">
        <v>1</v>
      </c>
      <c r="CI97" t="s">
        <v>204</v>
      </c>
      <c r="CJ97" s="1" t="s">
        <v>185</v>
      </c>
      <c r="CK97">
        <v>0.16</v>
      </c>
      <c r="CL97">
        <v>0.1</v>
      </c>
      <c r="CM97">
        <v>0.1</v>
      </c>
      <c r="CN97" t="s">
        <v>204</v>
      </c>
      <c r="CO97" s="1" t="s">
        <v>186</v>
      </c>
      <c r="CP97" t="s">
        <v>201</v>
      </c>
      <c r="CQ97" t="s">
        <v>201</v>
      </c>
      <c r="CR97">
        <f t="shared" si="11"/>
        <v>27.582126861317221</v>
      </c>
      <c r="CS97" t="s">
        <v>201</v>
      </c>
      <c r="CT97" t="s">
        <v>201</v>
      </c>
      <c r="CU97" t="s">
        <v>201</v>
      </c>
      <c r="CV97" t="s">
        <v>211</v>
      </c>
      <c r="CW97">
        <v>0.97041391359131057</v>
      </c>
      <c r="CX97" t="s">
        <v>201</v>
      </c>
      <c r="CY97">
        <v>27.658086082453995</v>
      </c>
      <c r="CZ97" t="s">
        <v>201</v>
      </c>
      <c r="DA97" t="s">
        <v>201</v>
      </c>
      <c r="DB97" t="s">
        <v>201</v>
      </c>
      <c r="DC97" s="1" t="s">
        <v>190</v>
      </c>
      <c r="DD97" t="s">
        <v>205</v>
      </c>
      <c r="DE97" t="s">
        <v>201</v>
      </c>
      <c r="DF97" t="s">
        <v>201</v>
      </c>
      <c r="DG97" t="s">
        <v>201</v>
      </c>
      <c r="DH97" t="s">
        <v>201</v>
      </c>
      <c r="DI97">
        <v>27.506167640180443</v>
      </c>
      <c r="DJ97" t="s">
        <v>201</v>
      </c>
      <c r="DK97" t="s">
        <v>201</v>
      </c>
      <c r="DL97" t="s">
        <v>201</v>
      </c>
      <c r="DM97" t="s">
        <v>206</v>
      </c>
      <c r="DN97" t="s">
        <v>201</v>
      </c>
      <c r="DO97" t="s">
        <v>201</v>
      </c>
      <c r="DP97" t="s">
        <v>201</v>
      </c>
      <c r="DQ97" t="s">
        <v>201</v>
      </c>
      <c r="DR97" t="s">
        <v>201</v>
      </c>
      <c r="DS97" t="s">
        <v>201</v>
      </c>
      <c r="DT97" t="s">
        <v>201</v>
      </c>
      <c r="DU97" t="s">
        <v>201</v>
      </c>
      <c r="DV97" t="s">
        <v>201</v>
      </c>
      <c r="DW97" t="s">
        <v>201</v>
      </c>
      <c r="DX97" t="s">
        <v>201</v>
      </c>
      <c r="DY97" t="s">
        <v>201</v>
      </c>
      <c r="DZ97" s="3" t="s">
        <v>201</v>
      </c>
      <c r="EA97" s="3" t="s">
        <v>201</v>
      </c>
      <c r="EB97" t="s">
        <v>201</v>
      </c>
      <c r="EC97" t="s">
        <v>201</v>
      </c>
      <c r="ED97" t="s">
        <v>201</v>
      </c>
      <c r="EE97" t="s">
        <v>201</v>
      </c>
      <c r="EF97" t="s">
        <v>201</v>
      </c>
      <c r="EG97" t="s">
        <v>201</v>
      </c>
      <c r="EH97" t="s">
        <v>201</v>
      </c>
      <c r="EI97" t="s">
        <v>201</v>
      </c>
      <c r="EJ97" t="s">
        <v>201</v>
      </c>
      <c r="EK97" t="s">
        <v>201</v>
      </c>
      <c r="EL97" t="s">
        <v>201</v>
      </c>
      <c r="EM97" t="s">
        <v>201</v>
      </c>
      <c r="EN97" t="s">
        <v>201</v>
      </c>
      <c r="EO97" t="s">
        <v>201</v>
      </c>
      <c r="EP97" t="s">
        <v>201</v>
      </c>
      <c r="EQ97" t="s">
        <v>201</v>
      </c>
      <c r="ER97">
        <v>103.03319999999999</v>
      </c>
      <c r="ES97" t="s">
        <v>201</v>
      </c>
      <c r="ET97" t="s">
        <v>201</v>
      </c>
      <c r="EU97" t="s">
        <v>201</v>
      </c>
      <c r="EV97" s="1" t="s">
        <v>188</v>
      </c>
      <c r="EW97">
        <v>25</v>
      </c>
      <c r="EX97">
        <v>14.320735083295233</v>
      </c>
      <c r="EY97">
        <v>1.8968358400650587E-2</v>
      </c>
      <c r="EZ97">
        <v>1.8968358400650587E-2</v>
      </c>
      <c r="FA97" t="s">
        <v>201</v>
      </c>
      <c r="FB97" s="1" t="s">
        <v>250</v>
      </c>
      <c r="FC97" t="s">
        <v>201</v>
      </c>
      <c r="FD97" t="s">
        <v>201</v>
      </c>
      <c r="FE97" t="s">
        <v>201</v>
      </c>
      <c r="FF97" t="s">
        <v>201</v>
      </c>
      <c r="FG97" t="s">
        <v>217</v>
      </c>
      <c r="FH97">
        <v>362.7966413168291</v>
      </c>
      <c r="FI97">
        <f t="shared" si="19"/>
        <v>27.20974809876218</v>
      </c>
      <c r="FJ97">
        <f t="shared" si="20"/>
        <v>27.20974809876218</v>
      </c>
      <c r="FK97" t="s">
        <v>203</v>
      </c>
      <c r="FL97" t="s">
        <v>216</v>
      </c>
      <c r="FM97" t="s">
        <v>249</v>
      </c>
      <c r="FN97" t="s">
        <v>201</v>
      </c>
      <c r="FO97" t="s">
        <v>201</v>
      </c>
      <c r="FP97" t="s">
        <v>201</v>
      </c>
      <c r="FQ97" t="s">
        <v>201</v>
      </c>
      <c r="FR97" t="s">
        <v>201</v>
      </c>
      <c r="FS97" t="s">
        <v>201</v>
      </c>
      <c r="FT97" t="s">
        <v>199</v>
      </c>
      <c r="FU97" t="s">
        <v>201</v>
      </c>
      <c r="FV97" s="47" t="s">
        <v>367</v>
      </c>
      <c r="FW97" t="s">
        <v>440</v>
      </c>
      <c r="FX97" t="s">
        <v>201</v>
      </c>
      <c r="FY97" t="s">
        <v>248</v>
      </c>
    </row>
    <row r="98" spans="1:181" x14ac:dyDescent="0.15">
      <c r="A98" s="3" t="s">
        <v>258</v>
      </c>
      <c r="B98" s="3" t="s">
        <v>193</v>
      </c>
      <c r="C98">
        <v>2017</v>
      </c>
      <c r="D98" s="22" t="str">
        <f t="shared" si="12"/>
        <v>10.1016/j.epsl.2017.03.016</v>
      </c>
      <c r="E98" s="22">
        <f t="shared" si="13"/>
        <v>5133.46</v>
      </c>
      <c r="F98" s="22" t="str">
        <f t="shared" si="14"/>
        <v>NA</v>
      </c>
      <c r="G98" s="22" t="str">
        <f t="shared" si="15"/>
        <v>NA</v>
      </c>
      <c r="H98" s="22">
        <f t="shared" si="16"/>
        <v>297.18112844933074</v>
      </c>
      <c r="I98" s="36">
        <f t="shared" si="17"/>
        <v>22.288584633699806</v>
      </c>
      <c r="J98" s="36">
        <f t="shared" si="18"/>
        <v>22.288584633699806</v>
      </c>
      <c r="K98" s="2" t="s">
        <v>251</v>
      </c>
      <c r="L98" s="2" t="s">
        <v>252</v>
      </c>
      <c r="M98" s="2" t="s">
        <v>194</v>
      </c>
      <c r="N98" s="2" t="s">
        <v>192</v>
      </c>
      <c r="O98">
        <v>806</v>
      </c>
      <c r="P98" s="1" t="s">
        <v>189</v>
      </c>
      <c r="Q98" t="s">
        <v>201</v>
      </c>
      <c r="R98" t="s">
        <v>201</v>
      </c>
      <c r="S98" t="s">
        <v>201</v>
      </c>
      <c r="T98" t="s">
        <v>201</v>
      </c>
      <c r="U98" t="s">
        <v>201</v>
      </c>
      <c r="V98" t="s">
        <v>201</v>
      </c>
      <c r="W98" t="s">
        <v>201</v>
      </c>
      <c r="X98" t="s">
        <v>201</v>
      </c>
      <c r="Y98" t="s">
        <v>201</v>
      </c>
      <c r="Z98" s="10">
        <v>158.47499999999999</v>
      </c>
      <c r="AA98" s="2" t="s">
        <v>207</v>
      </c>
      <c r="AB98">
        <v>5133.46</v>
      </c>
      <c r="AC98" t="s">
        <v>201</v>
      </c>
      <c r="AD98" t="s">
        <v>201</v>
      </c>
      <c r="AE98" t="s">
        <v>201</v>
      </c>
      <c r="AF98" s="1" t="s">
        <v>177</v>
      </c>
      <c r="AG98" s="1" t="s">
        <v>179</v>
      </c>
      <c r="AH98" s="13">
        <v>0.31850000000000001</v>
      </c>
      <c r="AI98" s="10">
        <v>159.36150000000001</v>
      </c>
      <c r="AJ98" s="35">
        <v>-2520</v>
      </c>
      <c r="AK98" t="s">
        <v>201</v>
      </c>
      <c r="AL98" t="s">
        <v>201</v>
      </c>
      <c r="AM98" t="s">
        <v>201</v>
      </c>
      <c r="AN98" t="s">
        <v>201</v>
      </c>
      <c r="AO98" s="1" t="s">
        <v>180</v>
      </c>
      <c r="AP98" t="s">
        <v>201</v>
      </c>
      <c r="AQ98" t="s">
        <v>201</v>
      </c>
      <c r="AR98" t="s">
        <v>201</v>
      </c>
      <c r="AS98" t="s">
        <v>201</v>
      </c>
      <c r="AT98" t="s">
        <v>201</v>
      </c>
      <c r="AU98" t="s">
        <v>201</v>
      </c>
      <c r="AV98" t="s">
        <v>201</v>
      </c>
      <c r="AW98" t="s">
        <v>201</v>
      </c>
      <c r="AX98">
        <v>2.2907650892361682</v>
      </c>
      <c r="AY98">
        <v>0.13</v>
      </c>
      <c r="AZ98" t="s">
        <v>203</v>
      </c>
      <c r="BA98" t="s">
        <v>201</v>
      </c>
      <c r="BB98">
        <v>-1.3345550677752733</v>
      </c>
      <c r="BC98">
        <v>0.24</v>
      </c>
      <c r="BD98" t="s">
        <v>203</v>
      </c>
      <c r="BE98" t="s">
        <v>201</v>
      </c>
      <c r="BF98" s="1" t="s">
        <v>181</v>
      </c>
      <c r="BG98" s="1" t="s">
        <v>182</v>
      </c>
      <c r="BH98">
        <v>0</v>
      </c>
      <c r="BI98" t="s">
        <v>201</v>
      </c>
      <c r="BJ98" t="s">
        <v>201</v>
      </c>
      <c r="BK98" t="s">
        <v>201</v>
      </c>
      <c r="BL98" t="s">
        <v>201</v>
      </c>
      <c r="BM98" t="s">
        <v>201</v>
      </c>
      <c r="BN98" t="s">
        <v>201</v>
      </c>
      <c r="BO98" t="s">
        <v>201</v>
      </c>
      <c r="BP98" t="s">
        <v>201</v>
      </c>
      <c r="BQ98" t="s">
        <v>201</v>
      </c>
      <c r="BR98" t="s">
        <v>201</v>
      </c>
      <c r="BS98" s="1" t="s">
        <v>183</v>
      </c>
      <c r="BT98">
        <v>-22.72025</v>
      </c>
      <c r="BU98" s="1" t="s">
        <v>184</v>
      </c>
      <c r="BV98">
        <v>0.3</v>
      </c>
      <c r="BW98" t="s">
        <v>201</v>
      </c>
      <c r="BX98" t="s">
        <v>202</v>
      </c>
      <c r="BY98">
        <v>4.2</v>
      </c>
      <c r="BZ98" s="4" t="s">
        <v>201</v>
      </c>
      <c r="CA98" s="4" t="s">
        <v>201</v>
      </c>
      <c r="CB98">
        <v>-18.615675049999936</v>
      </c>
      <c r="CC98" t="s">
        <v>201</v>
      </c>
      <c r="CD98" t="s">
        <v>201</v>
      </c>
      <c r="CE98" t="s">
        <v>201</v>
      </c>
      <c r="CF98" t="s">
        <v>201</v>
      </c>
      <c r="CG98">
        <v>35</v>
      </c>
      <c r="CH98">
        <v>1</v>
      </c>
      <c r="CI98" t="s">
        <v>204</v>
      </c>
      <c r="CJ98" s="1" t="s">
        <v>185</v>
      </c>
      <c r="CK98">
        <v>0.16</v>
      </c>
      <c r="CL98">
        <v>0.1</v>
      </c>
      <c r="CM98">
        <v>0.1</v>
      </c>
      <c r="CN98" t="s">
        <v>204</v>
      </c>
      <c r="CO98" s="1" t="s">
        <v>186</v>
      </c>
      <c r="CP98" t="s">
        <v>201</v>
      </c>
      <c r="CQ98" t="s">
        <v>201</v>
      </c>
      <c r="CR98">
        <f t="shared" si="11"/>
        <v>28.713578021314582</v>
      </c>
      <c r="CS98" t="s">
        <v>201</v>
      </c>
      <c r="CT98" t="s">
        <v>201</v>
      </c>
      <c r="CU98" t="s">
        <v>201</v>
      </c>
      <c r="CV98" t="s">
        <v>211</v>
      </c>
      <c r="CW98">
        <v>1</v>
      </c>
      <c r="CX98" t="s">
        <v>201</v>
      </c>
      <c r="CY98">
        <v>28.542000000000002</v>
      </c>
      <c r="CZ98" t="s">
        <v>201</v>
      </c>
      <c r="DA98" t="s">
        <v>201</v>
      </c>
      <c r="DB98" t="s">
        <v>201</v>
      </c>
      <c r="DC98" s="1" t="s">
        <v>190</v>
      </c>
      <c r="DD98" t="s">
        <v>205</v>
      </c>
      <c r="DE98" t="s">
        <v>201</v>
      </c>
      <c r="DF98" t="s">
        <v>201</v>
      </c>
      <c r="DG98" t="s">
        <v>201</v>
      </c>
      <c r="DH98" t="s">
        <v>201</v>
      </c>
      <c r="DI98">
        <v>28.885156042629163</v>
      </c>
      <c r="DJ98" t="s">
        <v>201</v>
      </c>
      <c r="DK98" t="s">
        <v>201</v>
      </c>
      <c r="DL98" t="s">
        <v>201</v>
      </c>
      <c r="DM98" t="s">
        <v>206</v>
      </c>
      <c r="DN98" t="s">
        <v>201</v>
      </c>
      <c r="DO98" t="s">
        <v>201</v>
      </c>
      <c r="DP98" t="s">
        <v>201</v>
      </c>
      <c r="DQ98" t="s">
        <v>201</v>
      </c>
      <c r="DR98" t="s">
        <v>201</v>
      </c>
      <c r="DS98" t="s">
        <v>201</v>
      </c>
      <c r="DT98" t="s">
        <v>201</v>
      </c>
      <c r="DU98" t="s">
        <v>201</v>
      </c>
      <c r="DV98" t="s">
        <v>201</v>
      </c>
      <c r="DW98" t="s">
        <v>201</v>
      </c>
      <c r="DX98" t="s">
        <v>201</v>
      </c>
      <c r="DY98" t="s">
        <v>201</v>
      </c>
      <c r="DZ98" s="3" t="s">
        <v>201</v>
      </c>
      <c r="EA98" s="3" t="s">
        <v>201</v>
      </c>
      <c r="EB98" t="s">
        <v>201</v>
      </c>
      <c r="EC98" t="s">
        <v>201</v>
      </c>
      <c r="ED98" t="s">
        <v>201</v>
      </c>
      <c r="EE98" t="s">
        <v>201</v>
      </c>
      <c r="EF98" t="s">
        <v>201</v>
      </c>
      <c r="EG98" t="s">
        <v>201</v>
      </c>
      <c r="EH98" t="s">
        <v>201</v>
      </c>
      <c r="EI98" t="s">
        <v>201</v>
      </c>
      <c r="EJ98" t="s">
        <v>201</v>
      </c>
      <c r="EK98" t="s">
        <v>201</v>
      </c>
      <c r="EL98" t="s">
        <v>201</v>
      </c>
      <c r="EM98" t="s">
        <v>201</v>
      </c>
      <c r="EN98" t="s">
        <v>201</v>
      </c>
      <c r="EO98" t="s">
        <v>201</v>
      </c>
      <c r="EP98" t="s">
        <v>201</v>
      </c>
      <c r="EQ98" t="s">
        <v>201</v>
      </c>
      <c r="ER98">
        <v>103.03319999999999</v>
      </c>
      <c r="ES98" t="s">
        <v>201</v>
      </c>
      <c r="ET98" t="s">
        <v>201</v>
      </c>
      <c r="EU98" t="s">
        <v>201</v>
      </c>
      <c r="EV98" s="1" t="s">
        <v>188</v>
      </c>
      <c r="EW98">
        <v>25</v>
      </c>
      <c r="EX98">
        <v>11.577803997096403</v>
      </c>
      <c r="EY98">
        <v>4.2724523396486802E-2</v>
      </c>
      <c r="EZ98">
        <v>4.2724523396486802E-2</v>
      </c>
      <c r="FA98" t="s">
        <v>201</v>
      </c>
      <c r="FB98" s="1" t="s">
        <v>250</v>
      </c>
      <c r="FC98" t="s">
        <v>201</v>
      </c>
      <c r="FD98" t="s">
        <v>201</v>
      </c>
      <c r="FE98" t="s">
        <v>201</v>
      </c>
      <c r="FF98" t="s">
        <v>201</v>
      </c>
      <c r="FG98" t="s">
        <v>217</v>
      </c>
      <c r="FH98">
        <v>297.18112844933074</v>
      </c>
      <c r="FI98">
        <f t="shared" si="19"/>
        <v>22.288584633699806</v>
      </c>
      <c r="FJ98">
        <f t="shared" si="20"/>
        <v>22.288584633699806</v>
      </c>
      <c r="FK98" t="s">
        <v>203</v>
      </c>
      <c r="FL98" t="s">
        <v>216</v>
      </c>
      <c r="FM98" t="s">
        <v>249</v>
      </c>
      <c r="FN98" t="s">
        <v>201</v>
      </c>
      <c r="FO98" t="s">
        <v>201</v>
      </c>
      <c r="FP98" t="s">
        <v>201</v>
      </c>
      <c r="FQ98" t="s">
        <v>201</v>
      </c>
      <c r="FR98" t="s">
        <v>201</v>
      </c>
      <c r="FS98" t="s">
        <v>201</v>
      </c>
      <c r="FT98" t="s">
        <v>199</v>
      </c>
      <c r="FU98" t="s">
        <v>201</v>
      </c>
      <c r="FV98" s="47" t="s">
        <v>368</v>
      </c>
      <c r="FW98" t="s">
        <v>201</v>
      </c>
      <c r="FX98" t="s">
        <v>201</v>
      </c>
      <c r="FY98" t="s">
        <v>247</v>
      </c>
    </row>
    <row r="99" spans="1:181" x14ac:dyDescent="0.15">
      <c r="A99" s="3" t="s">
        <v>258</v>
      </c>
      <c r="B99" s="3" t="s">
        <v>193</v>
      </c>
      <c r="C99">
        <v>2017</v>
      </c>
      <c r="D99" s="22" t="str">
        <f t="shared" si="12"/>
        <v>10.1016/j.epsl.2017.03.016</v>
      </c>
      <c r="E99" s="22">
        <f t="shared" si="13"/>
        <v>5262.12</v>
      </c>
      <c r="F99" s="22" t="str">
        <f t="shared" si="14"/>
        <v>NA</v>
      </c>
      <c r="G99" s="22" t="str">
        <f t="shared" si="15"/>
        <v>NA</v>
      </c>
      <c r="H99" s="22">
        <f t="shared" si="16"/>
        <v>361.99282360295808</v>
      </c>
      <c r="I99" s="36">
        <f t="shared" si="17"/>
        <v>27.149461770221855</v>
      </c>
      <c r="J99" s="36">
        <f t="shared" si="18"/>
        <v>27.149461770221855</v>
      </c>
      <c r="K99" s="2" t="s">
        <v>251</v>
      </c>
      <c r="L99" s="2" t="s">
        <v>252</v>
      </c>
      <c r="M99" s="2" t="s">
        <v>194</v>
      </c>
      <c r="N99" s="2" t="s">
        <v>192</v>
      </c>
      <c r="O99">
        <v>806</v>
      </c>
      <c r="P99" s="1" t="s">
        <v>189</v>
      </c>
      <c r="Q99" t="s">
        <v>201</v>
      </c>
      <c r="R99" t="s">
        <v>201</v>
      </c>
      <c r="S99" t="s">
        <v>201</v>
      </c>
      <c r="T99" t="s">
        <v>201</v>
      </c>
      <c r="U99" t="s">
        <v>201</v>
      </c>
      <c r="V99" t="s">
        <v>201</v>
      </c>
      <c r="W99" t="s">
        <v>201</v>
      </c>
      <c r="X99" t="s">
        <v>201</v>
      </c>
      <c r="Y99" t="s">
        <v>201</v>
      </c>
      <c r="Z99" s="10">
        <v>160.47499999999999</v>
      </c>
      <c r="AA99" s="2" t="s">
        <v>207</v>
      </c>
      <c r="AB99">
        <v>5262.12</v>
      </c>
      <c r="AC99" t="s">
        <v>201</v>
      </c>
      <c r="AD99" t="s">
        <v>201</v>
      </c>
      <c r="AE99" t="s">
        <v>201</v>
      </c>
      <c r="AF99" s="1" t="s">
        <v>177</v>
      </c>
      <c r="AG99" s="1" t="s">
        <v>179</v>
      </c>
      <c r="AH99" s="13">
        <v>0.31850000000000001</v>
      </c>
      <c r="AI99" s="10">
        <v>159.36150000000001</v>
      </c>
      <c r="AJ99" s="35">
        <v>-2520</v>
      </c>
      <c r="AK99" t="s">
        <v>201</v>
      </c>
      <c r="AL99" t="s">
        <v>201</v>
      </c>
      <c r="AM99" t="s">
        <v>201</v>
      </c>
      <c r="AN99" t="s">
        <v>201</v>
      </c>
      <c r="AO99" s="1" t="s">
        <v>180</v>
      </c>
      <c r="AP99" t="s">
        <v>201</v>
      </c>
      <c r="AQ99" t="s">
        <v>201</v>
      </c>
      <c r="AR99" t="s">
        <v>201</v>
      </c>
      <c r="AS99" t="s">
        <v>201</v>
      </c>
      <c r="AT99" t="s">
        <v>201</v>
      </c>
      <c r="AU99" t="s">
        <v>201</v>
      </c>
      <c r="AV99" t="s">
        <v>201</v>
      </c>
      <c r="AW99" t="s">
        <v>201</v>
      </c>
      <c r="AX99">
        <v>2.8440707697893624</v>
      </c>
      <c r="AY99">
        <v>0.13</v>
      </c>
      <c r="AZ99" t="s">
        <v>203</v>
      </c>
      <c r="BA99" t="s">
        <v>201</v>
      </c>
      <c r="BB99">
        <v>-0.78911309318969491</v>
      </c>
      <c r="BC99">
        <v>0.24</v>
      </c>
      <c r="BD99" t="s">
        <v>203</v>
      </c>
      <c r="BE99" t="s">
        <v>201</v>
      </c>
      <c r="BF99" s="1" t="s">
        <v>181</v>
      </c>
      <c r="BG99" s="1" t="s">
        <v>182</v>
      </c>
      <c r="BH99">
        <v>0</v>
      </c>
      <c r="BI99" t="s">
        <v>201</v>
      </c>
      <c r="BJ99" t="s">
        <v>201</v>
      </c>
      <c r="BK99" t="s">
        <v>201</v>
      </c>
      <c r="BL99" t="s">
        <v>201</v>
      </c>
      <c r="BM99" t="s">
        <v>201</v>
      </c>
      <c r="BN99" t="s">
        <v>201</v>
      </c>
      <c r="BO99" t="s">
        <v>201</v>
      </c>
      <c r="BP99" t="s">
        <v>201</v>
      </c>
      <c r="BQ99" t="s">
        <v>201</v>
      </c>
      <c r="BR99" t="s">
        <v>201</v>
      </c>
      <c r="BS99" s="1" t="s">
        <v>183</v>
      </c>
      <c r="BT99">
        <v>-24.217026310543204</v>
      </c>
      <c r="BU99" s="1" t="s">
        <v>184</v>
      </c>
      <c r="BV99">
        <v>0.3</v>
      </c>
      <c r="BW99" t="s">
        <v>201</v>
      </c>
      <c r="BX99" t="s">
        <v>202</v>
      </c>
      <c r="BY99">
        <v>4.2</v>
      </c>
      <c r="BZ99" s="4" t="s">
        <v>201</v>
      </c>
      <c r="CA99" s="4" t="s">
        <v>201</v>
      </c>
      <c r="CB99">
        <v>-20.118737821047603</v>
      </c>
      <c r="CC99" t="s">
        <v>201</v>
      </c>
      <c r="CD99" t="s">
        <v>201</v>
      </c>
      <c r="CE99" t="s">
        <v>201</v>
      </c>
      <c r="CF99" t="s">
        <v>201</v>
      </c>
      <c r="CG99">
        <v>35</v>
      </c>
      <c r="CH99">
        <v>1</v>
      </c>
      <c r="CI99" t="s">
        <v>204</v>
      </c>
      <c r="CJ99" s="1" t="s">
        <v>185</v>
      </c>
      <c r="CK99">
        <v>0.16</v>
      </c>
      <c r="CL99">
        <v>0.1</v>
      </c>
      <c r="CM99">
        <v>0.1</v>
      </c>
      <c r="CN99" t="s">
        <v>204</v>
      </c>
      <c r="CO99" s="1" t="s">
        <v>186</v>
      </c>
      <c r="CP99" t="s">
        <v>201</v>
      </c>
      <c r="CQ99" t="s">
        <v>201</v>
      </c>
      <c r="CR99">
        <f t="shared" si="11"/>
        <v>29.019169913872492</v>
      </c>
      <c r="CS99" t="s">
        <v>201</v>
      </c>
      <c r="CT99" t="s">
        <v>201</v>
      </c>
      <c r="CU99" t="s">
        <v>201</v>
      </c>
      <c r="CV99" t="s">
        <v>211</v>
      </c>
      <c r="CW99">
        <v>1</v>
      </c>
      <c r="CX99" t="s">
        <v>201</v>
      </c>
      <c r="CY99">
        <v>28.542000000000002</v>
      </c>
      <c r="CZ99" t="s">
        <v>201</v>
      </c>
      <c r="DA99" t="s">
        <v>201</v>
      </c>
      <c r="DB99" t="s">
        <v>201</v>
      </c>
      <c r="DC99" s="1" t="s">
        <v>190</v>
      </c>
      <c r="DD99" t="s">
        <v>205</v>
      </c>
      <c r="DE99" t="s">
        <v>201</v>
      </c>
      <c r="DF99" t="s">
        <v>201</v>
      </c>
      <c r="DG99" t="s">
        <v>201</v>
      </c>
      <c r="DH99" t="s">
        <v>201</v>
      </c>
      <c r="DI99">
        <v>29.496339827744983</v>
      </c>
      <c r="DJ99" t="s">
        <v>201</v>
      </c>
      <c r="DK99" t="s">
        <v>201</v>
      </c>
      <c r="DL99" t="s">
        <v>201</v>
      </c>
      <c r="DM99" t="s">
        <v>206</v>
      </c>
      <c r="DN99" t="s">
        <v>201</v>
      </c>
      <c r="DO99" t="s">
        <v>201</v>
      </c>
      <c r="DP99" t="s">
        <v>201</v>
      </c>
      <c r="DQ99" t="s">
        <v>201</v>
      </c>
      <c r="DR99" t="s">
        <v>201</v>
      </c>
      <c r="DS99" t="s">
        <v>201</v>
      </c>
      <c r="DT99" t="s">
        <v>201</v>
      </c>
      <c r="DU99" t="s">
        <v>201</v>
      </c>
      <c r="DV99" t="s">
        <v>201</v>
      </c>
      <c r="DW99" t="s">
        <v>201</v>
      </c>
      <c r="DX99" t="s">
        <v>201</v>
      </c>
      <c r="DY99" t="s">
        <v>201</v>
      </c>
      <c r="DZ99" s="3" t="s">
        <v>201</v>
      </c>
      <c r="EA99" s="3" t="s">
        <v>201</v>
      </c>
      <c r="EB99" t="s">
        <v>201</v>
      </c>
      <c r="EC99" t="s">
        <v>201</v>
      </c>
      <c r="ED99" t="s">
        <v>201</v>
      </c>
      <c r="EE99" t="s">
        <v>201</v>
      </c>
      <c r="EF99" t="s">
        <v>201</v>
      </c>
      <c r="EG99" t="s">
        <v>201</v>
      </c>
      <c r="EH99" t="s">
        <v>201</v>
      </c>
      <c r="EI99" t="s">
        <v>201</v>
      </c>
      <c r="EJ99" t="s">
        <v>201</v>
      </c>
      <c r="EK99" t="s">
        <v>201</v>
      </c>
      <c r="EL99" t="s">
        <v>201</v>
      </c>
      <c r="EM99" t="s">
        <v>201</v>
      </c>
      <c r="EN99" t="s">
        <v>201</v>
      </c>
      <c r="EO99" t="s">
        <v>201</v>
      </c>
      <c r="EP99" t="s">
        <v>201</v>
      </c>
      <c r="EQ99" t="s">
        <v>201</v>
      </c>
      <c r="ER99">
        <v>103.03319999999999</v>
      </c>
      <c r="ES99" t="s">
        <v>201</v>
      </c>
      <c r="ET99" t="s">
        <v>201</v>
      </c>
      <c r="EU99" t="s">
        <v>201</v>
      </c>
      <c r="EV99" s="1" t="s">
        <v>188</v>
      </c>
      <c r="EW99">
        <v>25</v>
      </c>
      <c r="EX99">
        <v>13.822893060476016</v>
      </c>
      <c r="EY99">
        <v>0.11907515135756164</v>
      </c>
      <c r="EZ99">
        <v>0.11907515135756164</v>
      </c>
      <c r="FA99" t="s">
        <v>201</v>
      </c>
      <c r="FB99" s="1" t="s">
        <v>250</v>
      </c>
      <c r="FC99" t="s">
        <v>201</v>
      </c>
      <c r="FD99" t="s">
        <v>201</v>
      </c>
      <c r="FE99" t="s">
        <v>201</v>
      </c>
      <c r="FF99" t="s">
        <v>201</v>
      </c>
      <c r="FG99" t="s">
        <v>217</v>
      </c>
      <c r="FH99">
        <v>361.99282360295808</v>
      </c>
      <c r="FI99">
        <f t="shared" si="19"/>
        <v>27.149461770221855</v>
      </c>
      <c r="FJ99">
        <f t="shared" si="20"/>
        <v>27.149461770221855</v>
      </c>
      <c r="FK99" t="s">
        <v>203</v>
      </c>
      <c r="FL99" t="s">
        <v>216</v>
      </c>
      <c r="FM99" t="s">
        <v>249</v>
      </c>
      <c r="FN99" t="s">
        <v>201</v>
      </c>
      <c r="FO99" t="s">
        <v>201</v>
      </c>
      <c r="FP99" t="s">
        <v>201</v>
      </c>
      <c r="FQ99" t="s">
        <v>201</v>
      </c>
      <c r="FR99" t="s">
        <v>201</v>
      </c>
      <c r="FS99" t="s">
        <v>201</v>
      </c>
      <c r="FT99" t="s">
        <v>199</v>
      </c>
      <c r="FU99" t="s">
        <v>201</v>
      </c>
      <c r="FV99" s="47" t="s">
        <v>369</v>
      </c>
      <c r="FW99" t="s">
        <v>201</v>
      </c>
      <c r="FX99" t="s">
        <v>201</v>
      </c>
      <c r="FY99" t="s">
        <v>247</v>
      </c>
    </row>
    <row r="100" spans="1:181" x14ac:dyDescent="0.15">
      <c r="A100" s="3" t="s">
        <v>258</v>
      </c>
      <c r="B100" s="3" t="s">
        <v>193</v>
      </c>
      <c r="C100">
        <v>2017</v>
      </c>
      <c r="D100" s="22" t="str">
        <f t="shared" si="12"/>
        <v>10.1016/j.epsl.2017.03.016</v>
      </c>
      <c r="E100" s="22">
        <f t="shared" si="13"/>
        <v>5564.97</v>
      </c>
      <c r="F100" s="22" t="str">
        <f t="shared" si="14"/>
        <v>NA</v>
      </c>
      <c r="G100" s="22" t="str">
        <f t="shared" si="15"/>
        <v>NA</v>
      </c>
      <c r="H100" s="22">
        <f t="shared" si="16"/>
        <v>323.14658991315645</v>
      </c>
      <c r="I100" s="36">
        <f t="shared" si="17"/>
        <v>24.235994243486733</v>
      </c>
      <c r="J100" s="36">
        <f t="shared" si="18"/>
        <v>24.235994243486733</v>
      </c>
      <c r="K100" s="2" t="s">
        <v>251</v>
      </c>
      <c r="L100" s="2" t="s">
        <v>252</v>
      </c>
      <c r="M100" s="2" t="s">
        <v>194</v>
      </c>
      <c r="N100" s="2" t="s">
        <v>192</v>
      </c>
      <c r="O100">
        <v>806</v>
      </c>
      <c r="P100" s="1" t="s">
        <v>189</v>
      </c>
      <c r="Q100" t="s">
        <v>201</v>
      </c>
      <c r="R100" t="s">
        <v>201</v>
      </c>
      <c r="S100" t="s">
        <v>201</v>
      </c>
      <c r="T100" t="s">
        <v>201</v>
      </c>
      <c r="U100" t="s">
        <v>201</v>
      </c>
      <c r="V100" t="s">
        <v>201</v>
      </c>
      <c r="W100" t="s">
        <v>201</v>
      </c>
      <c r="X100" t="s">
        <v>201</v>
      </c>
      <c r="Y100" t="s">
        <v>201</v>
      </c>
      <c r="Z100" s="10">
        <v>164.97499999999999</v>
      </c>
      <c r="AA100" s="2" t="s">
        <v>207</v>
      </c>
      <c r="AB100">
        <v>5564.97</v>
      </c>
      <c r="AC100" t="s">
        <v>201</v>
      </c>
      <c r="AD100" t="s">
        <v>201</v>
      </c>
      <c r="AE100" t="s">
        <v>201</v>
      </c>
      <c r="AF100" s="1" t="s">
        <v>177</v>
      </c>
      <c r="AG100" s="1" t="s">
        <v>179</v>
      </c>
      <c r="AH100" s="13">
        <v>0.31850000000000001</v>
      </c>
      <c r="AI100" s="10">
        <v>159.36150000000001</v>
      </c>
      <c r="AJ100" s="35">
        <v>-2520</v>
      </c>
      <c r="AK100" t="s">
        <v>201</v>
      </c>
      <c r="AL100" t="s">
        <v>201</v>
      </c>
      <c r="AM100" t="s">
        <v>201</v>
      </c>
      <c r="AN100" t="s">
        <v>201</v>
      </c>
      <c r="AO100" s="1" t="s">
        <v>180</v>
      </c>
      <c r="AP100" t="s">
        <v>201</v>
      </c>
      <c r="AQ100" t="s">
        <v>201</v>
      </c>
      <c r="AR100" t="s">
        <v>201</v>
      </c>
      <c r="AS100" t="s">
        <v>201</v>
      </c>
      <c r="AT100" t="s">
        <v>201</v>
      </c>
      <c r="AU100" t="s">
        <v>201</v>
      </c>
      <c r="AV100" t="s">
        <v>201</v>
      </c>
      <c r="AW100" t="s">
        <v>201</v>
      </c>
      <c r="AX100">
        <v>2.4957570093371961</v>
      </c>
      <c r="AY100">
        <v>0.13</v>
      </c>
      <c r="AZ100" t="s">
        <v>203</v>
      </c>
      <c r="BA100" t="s">
        <v>201</v>
      </c>
      <c r="BB100">
        <v>-1.2363840862347202</v>
      </c>
      <c r="BC100">
        <v>0.24</v>
      </c>
      <c r="BD100" t="s">
        <v>203</v>
      </c>
      <c r="BE100" t="s">
        <v>201</v>
      </c>
      <c r="BF100" s="1" t="s">
        <v>181</v>
      </c>
      <c r="BG100" s="1" t="s">
        <v>182</v>
      </c>
      <c r="BH100">
        <v>0</v>
      </c>
      <c r="BI100" t="s">
        <v>201</v>
      </c>
      <c r="BJ100" t="s">
        <v>201</v>
      </c>
      <c r="BK100" t="s">
        <v>201</v>
      </c>
      <c r="BL100" t="s">
        <v>201</v>
      </c>
      <c r="BM100" t="s">
        <v>201</v>
      </c>
      <c r="BN100" t="s">
        <v>201</v>
      </c>
      <c r="BO100" t="s">
        <v>201</v>
      </c>
      <c r="BP100" t="s">
        <v>201</v>
      </c>
      <c r="BQ100" t="s">
        <v>201</v>
      </c>
      <c r="BR100" t="s">
        <v>201</v>
      </c>
      <c r="BS100" s="1" t="s">
        <v>183</v>
      </c>
      <c r="BT100">
        <v>-23.350098799999998</v>
      </c>
      <c r="BU100" s="1" t="s">
        <v>184</v>
      </c>
      <c r="BV100">
        <v>0.3</v>
      </c>
      <c r="BW100" t="s">
        <v>201</v>
      </c>
      <c r="BX100" t="s">
        <v>202</v>
      </c>
      <c r="BY100">
        <v>4.2</v>
      </c>
      <c r="BZ100" s="4" t="s">
        <v>201</v>
      </c>
      <c r="CA100" s="4" t="s">
        <v>201</v>
      </c>
      <c r="CB100">
        <v>-19.248169214959944</v>
      </c>
      <c r="CC100" t="s">
        <v>201</v>
      </c>
      <c r="CD100" t="s">
        <v>201</v>
      </c>
      <c r="CE100" t="s">
        <v>201</v>
      </c>
      <c r="CF100" t="s">
        <v>201</v>
      </c>
      <c r="CG100">
        <v>35</v>
      </c>
      <c r="CH100">
        <v>1</v>
      </c>
      <c r="CI100" t="s">
        <v>204</v>
      </c>
      <c r="CJ100" s="1" t="s">
        <v>185</v>
      </c>
      <c r="CK100">
        <v>0.16</v>
      </c>
      <c r="CL100">
        <v>0.1</v>
      </c>
      <c r="CM100">
        <v>0.1</v>
      </c>
      <c r="CN100" t="s">
        <v>204</v>
      </c>
      <c r="CO100" s="1" t="s">
        <v>186</v>
      </c>
      <c r="CP100" t="s">
        <v>201</v>
      </c>
      <c r="CQ100" t="s">
        <v>201</v>
      </c>
      <c r="CR100">
        <f t="shared" ref="CR100:CR105" si="21">AVERAGE(CY100,DI100)</f>
        <v>28.95220958429227</v>
      </c>
      <c r="CS100" t="s">
        <v>201</v>
      </c>
      <c r="CT100" t="s">
        <v>201</v>
      </c>
      <c r="CU100" t="s">
        <v>201</v>
      </c>
      <c r="CV100" t="s">
        <v>211</v>
      </c>
      <c r="CW100">
        <v>1</v>
      </c>
      <c r="CX100" t="s">
        <v>201</v>
      </c>
      <c r="CY100">
        <v>28.542000000000002</v>
      </c>
      <c r="CZ100" t="s">
        <v>201</v>
      </c>
      <c r="DA100" t="s">
        <v>201</v>
      </c>
      <c r="DB100" t="s">
        <v>201</v>
      </c>
      <c r="DC100" s="1" t="s">
        <v>190</v>
      </c>
      <c r="DD100" t="s">
        <v>205</v>
      </c>
      <c r="DE100" t="s">
        <v>201</v>
      </c>
      <c r="DF100" t="s">
        <v>201</v>
      </c>
      <c r="DG100" t="s">
        <v>201</v>
      </c>
      <c r="DH100" t="s">
        <v>201</v>
      </c>
      <c r="DI100">
        <v>29.362419168584537</v>
      </c>
      <c r="DJ100" t="s">
        <v>201</v>
      </c>
      <c r="DK100" t="s">
        <v>201</v>
      </c>
      <c r="DL100" t="s">
        <v>201</v>
      </c>
      <c r="DM100" t="s">
        <v>206</v>
      </c>
      <c r="DN100" t="s">
        <v>201</v>
      </c>
      <c r="DO100" t="s">
        <v>201</v>
      </c>
      <c r="DP100" t="s">
        <v>201</v>
      </c>
      <c r="DQ100" t="s">
        <v>201</v>
      </c>
      <c r="DR100" t="s">
        <v>201</v>
      </c>
      <c r="DS100" t="s">
        <v>201</v>
      </c>
      <c r="DT100" t="s">
        <v>201</v>
      </c>
      <c r="DU100" t="s">
        <v>201</v>
      </c>
      <c r="DV100" t="s">
        <v>201</v>
      </c>
      <c r="DW100" t="s">
        <v>201</v>
      </c>
      <c r="DX100" t="s">
        <v>201</v>
      </c>
      <c r="DY100" t="s">
        <v>201</v>
      </c>
      <c r="DZ100" s="3" t="s">
        <v>201</v>
      </c>
      <c r="EA100" s="3" t="s">
        <v>201</v>
      </c>
      <c r="EB100" t="s">
        <v>201</v>
      </c>
      <c r="EC100" t="s">
        <v>201</v>
      </c>
      <c r="ED100" t="s">
        <v>201</v>
      </c>
      <c r="EE100" t="s">
        <v>201</v>
      </c>
      <c r="EF100" t="s">
        <v>201</v>
      </c>
      <c r="EG100" t="s">
        <v>201</v>
      </c>
      <c r="EH100" t="s">
        <v>201</v>
      </c>
      <c r="EI100" t="s">
        <v>201</v>
      </c>
      <c r="EJ100" t="s">
        <v>201</v>
      </c>
      <c r="EK100" t="s">
        <v>201</v>
      </c>
      <c r="EL100" t="s">
        <v>201</v>
      </c>
      <c r="EM100" t="s">
        <v>201</v>
      </c>
      <c r="EN100" t="s">
        <v>201</v>
      </c>
      <c r="EO100" t="s">
        <v>201</v>
      </c>
      <c r="EP100" t="s">
        <v>201</v>
      </c>
      <c r="EQ100" t="s">
        <v>201</v>
      </c>
      <c r="ER100">
        <v>103.03319999999999</v>
      </c>
      <c r="ES100" t="s">
        <v>201</v>
      </c>
      <c r="ET100" t="s">
        <v>201</v>
      </c>
      <c r="EU100" t="s">
        <v>201</v>
      </c>
      <c r="EV100" s="1" t="s">
        <v>188</v>
      </c>
      <c r="EW100">
        <v>25</v>
      </c>
      <c r="EX100">
        <v>12.51809305895879</v>
      </c>
      <c r="EY100">
        <v>0.10223538025955214</v>
      </c>
      <c r="EZ100">
        <v>0.10223538025955214</v>
      </c>
      <c r="FA100" t="s">
        <v>201</v>
      </c>
      <c r="FB100" s="1" t="s">
        <v>250</v>
      </c>
      <c r="FC100" t="s">
        <v>201</v>
      </c>
      <c r="FD100" t="s">
        <v>201</v>
      </c>
      <c r="FE100" t="s">
        <v>201</v>
      </c>
      <c r="FF100" t="s">
        <v>201</v>
      </c>
      <c r="FG100" t="s">
        <v>217</v>
      </c>
      <c r="FH100">
        <v>323.14658991315645</v>
      </c>
      <c r="FI100">
        <f t="shared" si="19"/>
        <v>24.235994243486733</v>
      </c>
      <c r="FJ100">
        <f t="shared" si="20"/>
        <v>24.235994243486733</v>
      </c>
      <c r="FK100" t="s">
        <v>203</v>
      </c>
      <c r="FL100" t="s">
        <v>216</v>
      </c>
      <c r="FM100" t="s">
        <v>249</v>
      </c>
      <c r="FN100" t="s">
        <v>201</v>
      </c>
      <c r="FO100" t="s">
        <v>201</v>
      </c>
      <c r="FP100" t="s">
        <v>201</v>
      </c>
      <c r="FQ100" t="s">
        <v>201</v>
      </c>
      <c r="FR100" t="s">
        <v>201</v>
      </c>
      <c r="FS100" t="s">
        <v>201</v>
      </c>
      <c r="FT100" t="s">
        <v>199</v>
      </c>
      <c r="FU100" t="s">
        <v>201</v>
      </c>
      <c r="FV100" s="47" t="s">
        <v>370</v>
      </c>
      <c r="FW100" t="s">
        <v>201</v>
      </c>
      <c r="FX100" t="s">
        <v>201</v>
      </c>
      <c r="FY100" t="s">
        <v>247</v>
      </c>
    </row>
    <row r="101" spans="1:181" x14ac:dyDescent="0.15">
      <c r="A101" s="3" t="s">
        <v>258</v>
      </c>
      <c r="B101" s="3" t="s">
        <v>193</v>
      </c>
      <c r="C101">
        <v>2017</v>
      </c>
      <c r="D101" s="22" t="str">
        <f t="shared" si="12"/>
        <v>10.1016/j.epsl.2017.03.016</v>
      </c>
      <c r="E101" s="22">
        <f t="shared" si="13"/>
        <v>5855.39</v>
      </c>
      <c r="F101" s="22" t="str">
        <f t="shared" si="14"/>
        <v>NA</v>
      </c>
      <c r="G101" s="22" t="str">
        <f t="shared" si="15"/>
        <v>NA</v>
      </c>
      <c r="H101" s="22">
        <f t="shared" si="16"/>
        <v>354.82388298615871</v>
      </c>
      <c r="I101" s="36">
        <f t="shared" si="17"/>
        <v>26.611791223961902</v>
      </c>
      <c r="J101" s="36">
        <f t="shared" si="18"/>
        <v>26.611791223961902</v>
      </c>
      <c r="K101" s="2" t="s">
        <v>251</v>
      </c>
      <c r="L101" s="2" t="s">
        <v>252</v>
      </c>
      <c r="M101" s="2" t="s">
        <v>194</v>
      </c>
      <c r="N101" s="2" t="s">
        <v>192</v>
      </c>
      <c r="O101">
        <v>806</v>
      </c>
      <c r="P101" s="1" t="s">
        <v>189</v>
      </c>
      <c r="Q101" t="s">
        <v>201</v>
      </c>
      <c r="R101" t="s">
        <v>201</v>
      </c>
      <c r="S101" t="s">
        <v>201</v>
      </c>
      <c r="T101" t="s">
        <v>201</v>
      </c>
      <c r="U101" t="s">
        <v>201</v>
      </c>
      <c r="V101" t="s">
        <v>201</v>
      </c>
      <c r="W101" t="s">
        <v>201</v>
      </c>
      <c r="X101" t="s">
        <v>201</v>
      </c>
      <c r="Y101" t="s">
        <v>201</v>
      </c>
      <c r="Z101" s="10">
        <v>171.97499999999999</v>
      </c>
      <c r="AA101" s="2" t="s">
        <v>207</v>
      </c>
      <c r="AB101">
        <v>5855.39</v>
      </c>
      <c r="AC101" t="s">
        <v>201</v>
      </c>
      <c r="AD101" t="s">
        <v>201</v>
      </c>
      <c r="AE101" t="s">
        <v>201</v>
      </c>
      <c r="AF101" s="1" t="s">
        <v>177</v>
      </c>
      <c r="AG101" s="1" t="s">
        <v>179</v>
      </c>
      <c r="AH101" s="13">
        <v>0.31850000000000001</v>
      </c>
      <c r="AI101" s="10">
        <v>159.36150000000001</v>
      </c>
      <c r="AJ101" s="35">
        <v>-2520</v>
      </c>
      <c r="AK101" t="s">
        <v>201</v>
      </c>
      <c r="AL101" t="s">
        <v>201</v>
      </c>
      <c r="AM101" t="s">
        <v>201</v>
      </c>
      <c r="AN101" t="s">
        <v>201</v>
      </c>
      <c r="AO101" s="1" t="s">
        <v>180</v>
      </c>
      <c r="AP101" t="s">
        <v>201</v>
      </c>
      <c r="AQ101" t="s">
        <v>201</v>
      </c>
      <c r="AR101" t="s">
        <v>201</v>
      </c>
      <c r="AS101" t="s">
        <v>201</v>
      </c>
      <c r="AT101" t="s">
        <v>201</v>
      </c>
      <c r="AU101" t="s">
        <v>201</v>
      </c>
      <c r="AV101" t="s">
        <v>201</v>
      </c>
      <c r="AW101" t="s">
        <v>201</v>
      </c>
      <c r="AX101">
        <v>2.7040552507301752</v>
      </c>
      <c r="AY101">
        <v>0.13</v>
      </c>
      <c r="AZ101" t="s">
        <v>203</v>
      </c>
      <c r="BA101" t="s">
        <v>201</v>
      </c>
      <c r="BB101">
        <v>-2.2159504304275788</v>
      </c>
      <c r="BC101">
        <v>0.24</v>
      </c>
      <c r="BD101" t="s">
        <v>203</v>
      </c>
      <c r="BE101" t="s">
        <v>201</v>
      </c>
      <c r="BF101" s="1" t="s">
        <v>181</v>
      </c>
      <c r="BG101" s="1" t="s">
        <v>182</v>
      </c>
      <c r="BH101">
        <v>0</v>
      </c>
      <c r="BI101" t="s">
        <v>201</v>
      </c>
      <c r="BJ101" t="s">
        <v>201</v>
      </c>
      <c r="BK101" t="s">
        <v>201</v>
      </c>
      <c r="BL101" t="s">
        <v>201</v>
      </c>
      <c r="BM101" t="s">
        <v>201</v>
      </c>
      <c r="BN101" t="s">
        <v>201</v>
      </c>
      <c r="BO101" t="s">
        <v>201</v>
      </c>
      <c r="BP101" t="s">
        <v>201</v>
      </c>
      <c r="BQ101" t="s">
        <v>201</v>
      </c>
      <c r="BR101" t="s">
        <v>201</v>
      </c>
      <c r="BS101" s="1" t="s">
        <v>183</v>
      </c>
      <c r="BT101">
        <v>-24.170157799999998</v>
      </c>
      <c r="BU101" s="1" t="s">
        <v>184</v>
      </c>
      <c r="BV101">
        <v>0.3</v>
      </c>
      <c r="BW101" t="s">
        <v>201</v>
      </c>
      <c r="BX101" t="s">
        <v>202</v>
      </c>
      <c r="BY101">
        <v>4.2</v>
      </c>
      <c r="BZ101" s="4" t="s">
        <v>201</v>
      </c>
      <c r="CA101" s="4" t="s">
        <v>201</v>
      </c>
      <c r="CB101">
        <v>-20.071672462760034</v>
      </c>
      <c r="CC101" t="s">
        <v>201</v>
      </c>
      <c r="CD101" t="s">
        <v>201</v>
      </c>
      <c r="CE101" t="s">
        <v>201</v>
      </c>
      <c r="CF101" t="s">
        <v>201</v>
      </c>
      <c r="CG101">
        <v>35</v>
      </c>
      <c r="CH101">
        <v>1</v>
      </c>
      <c r="CI101" t="s">
        <v>204</v>
      </c>
      <c r="CJ101" s="1" t="s">
        <v>185</v>
      </c>
      <c r="CK101">
        <v>0.16</v>
      </c>
      <c r="CL101">
        <v>0.1</v>
      </c>
      <c r="CM101">
        <v>0.1</v>
      </c>
      <c r="CN101" t="s">
        <v>204</v>
      </c>
      <c r="CO101" s="1" t="s">
        <v>186</v>
      </c>
      <c r="CP101" t="s">
        <v>201</v>
      </c>
      <c r="CQ101" t="s">
        <v>201</v>
      </c>
      <c r="CR101">
        <f t="shared" si="21"/>
        <v>28.992221823448411</v>
      </c>
      <c r="CS101" t="s">
        <v>201</v>
      </c>
      <c r="CT101" t="s">
        <v>201</v>
      </c>
      <c r="CU101" t="s">
        <v>201</v>
      </c>
      <c r="CV101" t="s">
        <v>211</v>
      </c>
      <c r="CW101">
        <v>1</v>
      </c>
      <c r="CX101" t="s">
        <v>201</v>
      </c>
      <c r="CY101">
        <v>28.542000000000002</v>
      </c>
      <c r="CZ101" t="s">
        <v>201</v>
      </c>
      <c r="DA101" t="s">
        <v>201</v>
      </c>
      <c r="DB101" t="s">
        <v>201</v>
      </c>
      <c r="DC101" s="1" t="s">
        <v>190</v>
      </c>
      <c r="DD101" t="s">
        <v>205</v>
      </c>
      <c r="DE101" t="s">
        <v>201</v>
      </c>
      <c r="DF101" t="s">
        <v>201</v>
      </c>
      <c r="DG101" t="s">
        <v>201</v>
      </c>
      <c r="DH101" t="s">
        <v>201</v>
      </c>
      <c r="DI101">
        <v>29.44244364689682</v>
      </c>
      <c r="DJ101" t="s">
        <v>201</v>
      </c>
      <c r="DK101" t="s">
        <v>201</v>
      </c>
      <c r="DL101" t="s">
        <v>201</v>
      </c>
      <c r="DM101" t="s">
        <v>206</v>
      </c>
      <c r="DN101" t="s">
        <v>201</v>
      </c>
      <c r="DO101" t="s">
        <v>201</v>
      </c>
      <c r="DP101" t="s">
        <v>201</v>
      </c>
      <c r="DQ101" t="s">
        <v>201</v>
      </c>
      <c r="DR101" t="s">
        <v>201</v>
      </c>
      <c r="DS101" t="s">
        <v>201</v>
      </c>
      <c r="DT101" t="s">
        <v>201</v>
      </c>
      <c r="DU101" t="s">
        <v>201</v>
      </c>
      <c r="DV101" t="s">
        <v>201</v>
      </c>
      <c r="DW101" t="s">
        <v>201</v>
      </c>
      <c r="DX101" t="s">
        <v>201</v>
      </c>
      <c r="DY101" t="s">
        <v>201</v>
      </c>
      <c r="DZ101" s="3" t="s">
        <v>201</v>
      </c>
      <c r="EA101" s="3" t="s">
        <v>201</v>
      </c>
      <c r="EB101" t="s">
        <v>201</v>
      </c>
      <c r="EC101" t="s">
        <v>201</v>
      </c>
      <c r="ED101" t="s">
        <v>201</v>
      </c>
      <c r="EE101" t="s">
        <v>201</v>
      </c>
      <c r="EF101" t="s">
        <v>201</v>
      </c>
      <c r="EG101" t="s">
        <v>201</v>
      </c>
      <c r="EH101" t="s">
        <v>201</v>
      </c>
      <c r="EI101" t="s">
        <v>201</v>
      </c>
      <c r="EJ101" t="s">
        <v>201</v>
      </c>
      <c r="EK101" t="s">
        <v>201</v>
      </c>
      <c r="EL101" t="s">
        <v>201</v>
      </c>
      <c r="EM101" t="s">
        <v>201</v>
      </c>
      <c r="EN101" t="s">
        <v>201</v>
      </c>
      <c r="EO101" t="s">
        <v>201</v>
      </c>
      <c r="EP101" t="s">
        <v>201</v>
      </c>
      <c r="EQ101" t="s">
        <v>201</v>
      </c>
      <c r="ER101">
        <v>103.03319999999999</v>
      </c>
      <c r="ES101" t="s">
        <v>201</v>
      </c>
      <c r="ET101" t="s">
        <v>201</v>
      </c>
      <c r="EU101" t="s">
        <v>201</v>
      </c>
      <c r="EV101" s="1" t="s">
        <v>188</v>
      </c>
      <c r="EW101">
        <v>25</v>
      </c>
      <c r="EX101">
        <v>13.611301284089938</v>
      </c>
      <c r="EY101">
        <v>0.11232764344848434</v>
      </c>
      <c r="EZ101">
        <v>0.11232764344848434</v>
      </c>
      <c r="FA101" t="s">
        <v>201</v>
      </c>
      <c r="FB101" s="1" t="s">
        <v>250</v>
      </c>
      <c r="FC101" t="s">
        <v>201</v>
      </c>
      <c r="FD101" t="s">
        <v>201</v>
      </c>
      <c r="FE101" t="s">
        <v>201</v>
      </c>
      <c r="FF101" t="s">
        <v>201</v>
      </c>
      <c r="FG101" t="s">
        <v>217</v>
      </c>
      <c r="FH101">
        <v>354.82388298615871</v>
      </c>
      <c r="FI101">
        <f t="shared" si="19"/>
        <v>26.611791223961902</v>
      </c>
      <c r="FJ101">
        <f t="shared" si="20"/>
        <v>26.611791223961902</v>
      </c>
      <c r="FK101" t="s">
        <v>203</v>
      </c>
      <c r="FL101" t="s">
        <v>216</v>
      </c>
      <c r="FM101" t="s">
        <v>249</v>
      </c>
      <c r="FN101" t="s">
        <v>201</v>
      </c>
      <c r="FO101" t="s">
        <v>201</v>
      </c>
      <c r="FP101" t="s">
        <v>201</v>
      </c>
      <c r="FQ101" t="s">
        <v>201</v>
      </c>
      <c r="FR101" t="s">
        <v>201</v>
      </c>
      <c r="FS101" t="s">
        <v>201</v>
      </c>
      <c r="FT101" t="s">
        <v>199</v>
      </c>
      <c r="FU101" t="s">
        <v>201</v>
      </c>
      <c r="FV101" s="47" t="s">
        <v>371</v>
      </c>
      <c r="FW101" t="s">
        <v>201</v>
      </c>
      <c r="FX101" t="s">
        <v>201</v>
      </c>
      <c r="FY101" t="s">
        <v>247</v>
      </c>
    </row>
    <row r="102" spans="1:181" x14ac:dyDescent="0.15">
      <c r="A102" s="3" t="s">
        <v>258</v>
      </c>
      <c r="B102" s="3" t="s">
        <v>193</v>
      </c>
      <c r="C102">
        <v>2017</v>
      </c>
      <c r="D102" s="22" t="str">
        <f t="shared" si="12"/>
        <v>10.1016/j.epsl.2017.03.016</v>
      </c>
      <c r="E102" s="22">
        <f t="shared" si="13"/>
        <v>6034.79</v>
      </c>
      <c r="F102" s="22" t="str">
        <f t="shared" si="14"/>
        <v>NA</v>
      </c>
      <c r="G102" s="22" t="str">
        <f t="shared" si="15"/>
        <v>NA</v>
      </c>
      <c r="H102" s="22">
        <f t="shared" si="16"/>
        <v>325.88605224915068</v>
      </c>
      <c r="I102" s="36">
        <f t="shared" si="17"/>
        <v>24.4414539186863</v>
      </c>
      <c r="J102" s="36">
        <f t="shared" si="18"/>
        <v>24.4414539186863</v>
      </c>
      <c r="K102" s="2" t="s">
        <v>251</v>
      </c>
      <c r="L102" s="2" t="s">
        <v>252</v>
      </c>
      <c r="M102" s="2" t="s">
        <v>194</v>
      </c>
      <c r="N102" s="2" t="s">
        <v>192</v>
      </c>
      <c r="O102">
        <v>806</v>
      </c>
      <c r="P102" s="1" t="s">
        <v>189</v>
      </c>
      <c r="Q102" t="s">
        <v>201</v>
      </c>
      <c r="R102" t="s">
        <v>201</v>
      </c>
      <c r="S102" t="s">
        <v>201</v>
      </c>
      <c r="T102" t="s">
        <v>201</v>
      </c>
      <c r="U102" t="s">
        <v>201</v>
      </c>
      <c r="V102" t="s">
        <v>201</v>
      </c>
      <c r="W102" t="s">
        <v>201</v>
      </c>
      <c r="X102" t="s">
        <v>201</v>
      </c>
      <c r="Y102" t="s">
        <v>201</v>
      </c>
      <c r="Z102" s="10">
        <v>179.47499999999999</v>
      </c>
      <c r="AA102" s="2" t="s">
        <v>207</v>
      </c>
      <c r="AB102">
        <v>6034.79</v>
      </c>
      <c r="AC102" t="s">
        <v>201</v>
      </c>
      <c r="AD102" t="s">
        <v>201</v>
      </c>
      <c r="AE102" t="s">
        <v>201</v>
      </c>
      <c r="AF102" s="1" t="s">
        <v>177</v>
      </c>
      <c r="AG102" s="1" t="s">
        <v>179</v>
      </c>
      <c r="AH102" s="13">
        <v>0.31850000000000001</v>
      </c>
      <c r="AI102" s="10">
        <v>159.36150000000001</v>
      </c>
      <c r="AJ102" s="35">
        <v>-2520</v>
      </c>
      <c r="AK102" t="s">
        <v>201</v>
      </c>
      <c r="AL102" t="s">
        <v>201</v>
      </c>
      <c r="AM102" t="s">
        <v>201</v>
      </c>
      <c r="AN102" t="s">
        <v>201</v>
      </c>
      <c r="AO102" s="1" t="s">
        <v>180</v>
      </c>
      <c r="AP102" t="s">
        <v>201</v>
      </c>
      <c r="AQ102" t="s">
        <v>201</v>
      </c>
      <c r="AR102" t="s">
        <v>201</v>
      </c>
      <c r="AS102" t="s">
        <v>201</v>
      </c>
      <c r="AT102" t="s">
        <v>201</v>
      </c>
      <c r="AU102" t="s">
        <v>201</v>
      </c>
      <c r="AV102" t="s">
        <v>201</v>
      </c>
      <c r="AW102" t="s">
        <v>201</v>
      </c>
      <c r="AX102">
        <v>2.5223513327724625</v>
      </c>
      <c r="AY102">
        <v>0.13</v>
      </c>
      <c r="AZ102" t="s">
        <v>203</v>
      </c>
      <c r="BA102" t="s">
        <v>201</v>
      </c>
      <c r="BB102">
        <v>-1.1459296010597997</v>
      </c>
      <c r="BC102">
        <v>0.24</v>
      </c>
      <c r="BD102" t="s">
        <v>203</v>
      </c>
      <c r="BE102" t="s">
        <v>201</v>
      </c>
      <c r="BF102" s="1" t="s">
        <v>181</v>
      </c>
      <c r="BG102" s="1" t="s">
        <v>182</v>
      </c>
      <c r="BH102">
        <v>0</v>
      </c>
      <c r="BI102" t="s">
        <v>201</v>
      </c>
      <c r="BJ102" t="s">
        <v>201</v>
      </c>
      <c r="BK102" t="s">
        <v>201</v>
      </c>
      <c r="BL102" t="s">
        <v>201</v>
      </c>
      <c r="BM102" t="s">
        <v>201</v>
      </c>
      <c r="BN102" t="s">
        <v>201</v>
      </c>
      <c r="BO102" t="s">
        <v>201</v>
      </c>
      <c r="BP102" t="s">
        <v>201</v>
      </c>
      <c r="BQ102" t="s">
        <v>201</v>
      </c>
      <c r="BR102" t="s">
        <v>201</v>
      </c>
      <c r="BS102" s="1" t="s">
        <v>183</v>
      </c>
      <c r="BT102">
        <v>-23.466510599999999</v>
      </c>
      <c r="BU102" s="1" t="s">
        <v>184</v>
      </c>
      <c r="BV102">
        <v>0.3</v>
      </c>
      <c r="BW102" t="s">
        <v>201</v>
      </c>
      <c r="BX102" t="s">
        <v>202</v>
      </c>
      <c r="BY102">
        <v>4.2</v>
      </c>
      <c r="BZ102" s="4" t="s">
        <v>201</v>
      </c>
      <c r="CA102" s="4" t="s">
        <v>201</v>
      </c>
      <c r="CB102">
        <v>-19.365069944519973</v>
      </c>
      <c r="CC102" t="s">
        <v>201</v>
      </c>
      <c r="CD102" t="s">
        <v>201</v>
      </c>
      <c r="CE102" t="s">
        <v>201</v>
      </c>
      <c r="CF102" t="s">
        <v>201</v>
      </c>
      <c r="CG102">
        <v>35</v>
      </c>
      <c r="CH102">
        <v>1</v>
      </c>
      <c r="CI102" t="s">
        <v>204</v>
      </c>
      <c r="CJ102" s="1" t="s">
        <v>185</v>
      </c>
      <c r="CK102">
        <v>0.16</v>
      </c>
      <c r="CL102">
        <v>0.1</v>
      </c>
      <c r="CM102">
        <v>0.1</v>
      </c>
      <c r="CN102" t="s">
        <v>204</v>
      </c>
      <c r="CO102" s="1" t="s">
        <v>186</v>
      </c>
      <c r="CP102" t="s">
        <v>201</v>
      </c>
      <c r="CQ102" t="s">
        <v>201</v>
      </c>
      <c r="CR102">
        <f t="shared" si="21"/>
        <v>28.897089597363397</v>
      </c>
      <c r="CS102" t="s">
        <v>201</v>
      </c>
      <c r="CT102" t="s">
        <v>201</v>
      </c>
      <c r="CU102" t="s">
        <v>201</v>
      </c>
      <c r="CV102" t="s">
        <v>211</v>
      </c>
      <c r="CW102">
        <v>1</v>
      </c>
      <c r="CX102" t="s">
        <v>201</v>
      </c>
      <c r="CY102">
        <v>28.542000000000002</v>
      </c>
      <c r="CZ102" t="s">
        <v>201</v>
      </c>
      <c r="DA102" t="s">
        <v>201</v>
      </c>
      <c r="DB102" t="s">
        <v>201</v>
      </c>
      <c r="DC102" s="1" t="s">
        <v>190</v>
      </c>
      <c r="DD102" t="s">
        <v>205</v>
      </c>
      <c r="DE102" t="s">
        <v>201</v>
      </c>
      <c r="DF102" t="s">
        <v>201</v>
      </c>
      <c r="DG102" t="s">
        <v>201</v>
      </c>
      <c r="DH102" t="s">
        <v>201</v>
      </c>
      <c r="DI102">
        <v>29.252179194726793</v>
      </c>
      <c r="DJ102" t="s">
        <v>201</v>
      </c>
      <c r="DK102" t="s">
        <v>201</v>
      </c>
      <c r="DL102" t="s">
        <v>201</v>
      </c>
      <c r="DM102" t="s">
        <v>206</v>
      </c>
      <c r="DN102" t="s">
        <v>201</v>
      </c>
      <c r="DO102" t="s">
        <v>201</v>
      </c>
      <c r="DP102" t="s">
        <v>201</v>
      </c>
      <c r="DQ102" t="s">
        <v>201</v>
      </c>
      <c r="DR102" t="s">
        <v>201</v>
      </c>
      <c r="DS102" t="s">
        <v>201</v>
      </c>
      <c r="DT102" t="s">
        <v>201</v>
      </c>
      <c r="DU102" t="s">
        <v>201</v>
      </c>
      <c r="DV102" t="s">
        <v>201</v>
      </c>
      <c r="DW102" t="s">
        <v>201</v>
      </c>
      <c r="DX102" t="s">
        <v>201</v>
      </c>
      <c r="DY102" t="s">
        <v>201</v>
      </c>
      <c r="DZ102" s="3" t="s">
        <v>201</v>
      </c>
      <c r="EA102" s="3" t="s">
        <v>201</v>
      </c>
      <c r="EB102" t="s">
        <v>201</v>
      </c>
      <c r="EC102" t="s">
        <v>201</v>
      </c>
      <c r="ED102" t="s">
        <v>201</v>
      </c>
      <c r="EE102" t="s">
        <v>201</v>
      </c>
      <c r="EF102" t="s">
        <v>201</v>
      </c>
      <c r="EG102" t="s">
        <v>201</v>
      </c>
      <c r="EH102" t="s">
        <v>201</v>
      </c>
      <c r="EI102" t="s">
        <v>201</v>
      </c>
      <c r="EJ102" t="s">
        <v>201</v>
      </c>
      <c r="EK102" t="s">
        <v>201</v>
      </c>
      <c r="EL102" t="s">
        <v>201</v>
      </c>
      <c r="EM102" t="s">
        <v>201</v>
      </c>
      <c r="EN102" t="s">
        <v>201</v>
      </c>
      <c r="EO102" t="s">
        <v>201</v>
      </c>
      <c r="EP102" t="s">
        <v>201</v>
      </c>
      <c r="EQ102" t="s">
        <v>201</v>
      </c>
      <c r="ER102">
        <v>103.03319999999999</v>
      </c>
      <c r="ES102" t="s">
        <v>201</v>
      </c>
      <c r="ET102" t="s">
        <v>201</v>
      </c>
      <c r="EU102" t="s">
        <v>201</v>
      </c>
      <c r="EV102" s="1" t="s">
        <v>188</v>
      </c>
      <c r="EW102">
        <v>25</v>
      </c>
      <c r="EX102">
        <v>12.654696801710941</v>
      </c>
      <c r="EY102">
        <v>8.8511033160099117E-2</v>
      </c>
      <c r="EZ102">
        <v>8.8511033160099117E-2</v>
      </c>
      <c r="FA102" t="s">
        <v>201</v>
      </c>
      <c r="FB102" s="1" t="s">
        <v>250</v>
      </c>
      <c r="FC102" t="s">
        <v>201</v>
      </c>
      <c r="FD102" t="s">
        <v>201</v>
      </c>
      <c r="FE102" t="s">
        <v>201</v>
      </c>
      <c r="FF102" t="s">
        <v>201</v>
      </c>
      <c r="FG102" t="s">
        <v>217</v>
      </c>
      <c r="FH102">
        <v>325.88605224915068</v>
      </c>
      <c r="FI102">
        <f t="shared" si="19"/>
        <v>24.4414539186863</v>
      </c>
      <c r="FJ102">
        <f t="shared" si="20"/>
        <v>24.4414539186863</v>
      </c>
      <c r="FK102" t="s">
        <v>203</v>
      </c>
      <c r="FL102" t="s">
        <v>216</v>
      </c>
      <c r="FM102" t="s">
        <v>249</v>
      </c>
      <c r="FN102" t="s">
        <v>201</v>
      </c>
      <c r="FO102" t="s">
        <v>201</v>
      </c>
      <c r="FP102" t="s">
        <v>201</v>
      </c>
      <c r="FQ102" t="s">
        <v>201</v>
      </c>
      <c r="FR102" t="s">
        <v>201</v>
      </c>
      <c r="FS102" t="s">
        <v>201</v>
      </c>
      <c r="FT102" t="s">
        <v>199</v>
      </c>
      <c r="FU102" t="s">
        <v>201</v>
      </c>
      <c r="FV102" s="47" t="s">
        <v>372</v>
      </c>
      <c r="FW102" t="s">
        <v>201</v>
      </c>
      <c r="FX102" t="s">
        <v>201</v>
      </c>
      <c r="FY102" t="s">
        <v>247</v>
      </c>
    </row>
    <row r="103" spans="1:181" x14ac:dyDescent="0.15">
      <c r="A103" s="3" t="s">
        <v>258</v>
      </c>
      <c r="B103" s="3" t="s">
        <v>193</v>
      </c>
      <c r="C103">
        <v>2017</v>
      </c>
      <c r="D103" s="22" t="str">
        <f t="shared" si="12"/>
        <v>10.1016/j.epsl.2017.03.016</v>
      </c>
      <c r="E103" s="22">
        <f t="shared" si="13"/>
        <v>6190.27</v>
      </c>
      <c r="F103" s="22" t="str">
        <f t="shared" si="14"/>
        <v>NA</v>
      </c>
      <c r="G103" s="22" t="str">
        <f t="shared" si="15"/>
        <v>NA</v>
      </c>
      <c r="H103" s="22">
        <f t="shared" si="16"/>
        <v>385.59343013747304</v>
      </c>
      <c r="I103" s="36">
        <f t="shared" si="17"/>
        <v>28.919507260310475</v>
      </c>
      <c r="J103" s="36">
        <f t="shared" si="18"/>
        <v>28.919507260310475</v>
      </c>
      <c r="K103" s="2" t="s">
        <v>251</v>
      </c>
      <c r="L103" s="2" t="s">
        <v>252</v>
      </c>
      <c r="M103" s="2" t="s">
        <v>194</v>
      </c>
      <c r="N103" s="2" t="s">
        <v>192</v>
      </c>
      <c r="O103">
        <v>806</v>
      </c>
      <c r="P103" s="1" t="s">
        <v>189</v>
      </c>
      <c r="Q103" t="s">
        <v>201</v>
      </c>
      <c r="R103" t="s">
        <v>201</v>
      </c>
      <c r="S103" t="s">
        <v>201</v>
      </c>
      <c r="T103" t="s">
        <v>201</v>
      </c>
      <c r="U103" t="s">
        <v>201</v>
      </c>
      <c r="V103" t="s">
        <v>201</v>
      </c>
      <c r="W103" t="s">
        <v>201</v>
      </c>
      <c r="X103" t="s">
        <v>201</v>
      </c>
      <c r="Y103" t="s">
        <v>201</v>
      </c>
      <c r="Z103" s="10">
        <v>185.97499999999999</v>
      </c>
      <c r="AA103" s="2" t="s">
        <v>207</v>
      </c>
      <c r="AB103">
        <v>6190.27</v>
      </c>
      <c r="AC103" t="s">
        <v>201</v>
      </c>
      <c r="AD103" t="s">
        <v>201</v>
      </c>
      <c r="AE103" t="s">
        <v>201</v>
      </c>
      <c r="AF103" s="1" t="s">
        <v>177</v>
      </c>
      <c r="AG103" s="1" t="s">
        <v>179</v>
      </c>
      <c r="AH103" s="13">
        <v>0.31850000000000001</v>
      </c>
      <c r="AI103" s="10">
        <v>159.36150000000001</v>
      </c>
      <c r="AJ103" s="35">
        <v>-2520</v>
      </c>
      <c r="AK103" t="s">
        <v>201</v>
      </c>
      <c r="AL103" t="s">
        <v>201</v>
      </c>
      <c r="AM103" t="s">
        <v>201</v>
      </c>
      <c r="AN103" t="s">
        <v>201</v>
      </c>
      <c r="AO103" s="1" t="s">
        <v>180</v>
      </c>
      <c r="AP103" t="s">
        <v>201</v>
      </c>
      <c r="AQ103" t="s">
        <v>201</v>
      </c>
      <c r="AR103" t="s">
        <v>201</v>
      </c>
      <c r="AS103" t="s">
        <v>201</v>
      </c>
      <c r="AT103" t="s">
        <v>201</v>
      </c>
      <c r="AU103" t="s">
        <v>201</v>
      </c>
      <c r="AV103" t="s">
        <v>201</v>
      </c>
      <c r="AW103" t="s">
        <v>201</v>
      </c>
      <c r="AX103">
        <v>2.388804703197529</v>
      </c>
      <c r="AY103">
        <v>0.13</v>
      </c>
      <c r="AZ103" t="s">
        <v>203</v>
      </c>
      <c r="BA103" t="s">
        <v>201</v>
      </c>
      <c r="BB103">
        <v>-1.1026314825637475</v>
      </c>
      <c r="BC103">
        <v>0.24</v>
      </c>
      <c r="BD103" t="s">
        <v>203</v>
      </c>
      <c r="BE103" t="s">
        <v>201</v>
      </c>
      <c r="BF103" s="1" t="s">
        <v>181</v>
      </c>
      <c r="BG103" s="1" t="s">
        <v>182</v>
      </c>
      <c r="BH103">
        <v>0</v>
      </c>
      <c r="BI103" t="s">
        <v>201</v>
      </c>
      <c r="BJ103" t="s">
        <v>201</v>
      </c>
      <c r="BK103" t="s">
        <v>201</v>
      </c>
      <c r="BL103" t="s">
        <v>201</v>
      </c>
      <c r="BM103" t="s">
        <v>201</v>
      </c>
      <c r="BN103" t="s">
        <v>201</v>
      </c>
      <c r="BO103" t="s">
        <v>201</v>
      </c>
      <c r="BP103" t="s">
        <v>201</v>
      </c>
      <c r="BQ103" t="s">
        <v>201</v>
      </c>
      <c r="BR103" t="s">
        <v>201</v>
      </c>
      <c r="BS103" s="1" t="s">
        <v>183</v>
      </c>
      <c r="BT103">
        <v>-25.17514128359587</v>
      </c>
      <c r="BU103" s="1" t="s">
        <v>184</v>
      </c>
      <c r="BV103">
        <v>0.3</v>
      </c>
      <c r="BW103" t="s">
        <v>201</v>
      </c>
      <c r="BX103" t="s">
        <v>202</v>
      </c>
      <c r="BY103">
        <v>4.2</v>
      </c>
      <c r="BZ103" s="4" t="s">
        <v>201</v>
      </c>
      <c r="CA103" s="4" t="s">
        <v>201</v>
      </c>
      <c r="CB103">
        <v>-21.080876876986963</v>
      </c>
      <c r="CC103" t="s">
        <v>201</v>
      </c>
      <c r="CD103" t="s">
        <v>201</v>
      </c>
      <c r="CE103" t="s">
        <v>201</v>
      </c>
      <c r="CF103" t="s">
        <v>201</v>
      </c>
      <c r="CG103">
        <v>35</v>
      </c>
      <c r="CH103">
        <v>1</v>
      </c>
      <c r="CI103" t="s">
        <v>204</v>
      </c>
      <c r="CJ103" s="1" t="s">
        <v>185</v>
      </c>
      <c r="CK103">
        <v>0.16</v>
      </c>
      <c r="CL103">
        <v>0.1</v>
      </c>
      <c r="CM103">
        <v>0.1</v>
      </c>
      <c r="CN103" t="s">
        <v>204</v>
      </c>
      <c r="CO103" s="1" t="s">
        <v>186</v>
      </c>
      <c r="CP103" t="s">
        <v>201</v>
      </c>
      <c r="CQ103" t="s">
        <v>201</v>
      </c>
      <c r="CR103">
        <f t="shared" si="21"/>
        <v>29.285397071825976</v>
      </c>
      <c r="CS103" t="s">
        <v>201</v>
      </c>
      <c r="CT103" t="s">
        <v>201</v>
      </c>
      <c r="CU103" t="s">
        <v>201</v>
      </c>
      <c r="CV103" t="s">
        <v>211</v>
      </c>
      <c r="CW103">
        <v>1</v>
      </c>
      <c r="CX103" t="s">
        <v>201</v>
      </c>
      <c r="CY103">
        <v>28.542000000000002</v>
      </c>
      <c r="CZ103" t="s">
        <v>201</v>
      </c>
      <c r="DA103" t="s">
        <v>201</v>
      </c>
      <c r="DB103" t="s">
        <v>201</v>
      </c>
      <c r="DC103" s="1" t="s">
        <v>190</v>
      </c>
      <c r="DD103" t="s">
        <v>205</v>
      </c>
      <c r="DE103" t="s">
        <v>201</v>
      </c>
      <c r="DF103" t="s">
        <v>201</v>
      </c>
      <c r="DG103" t="s">
        <v>201</v>
      </c>
      <c r="DH103" t="s">
        <v>201</v>
      </c>
      <c r="DI103">
        <v>30.028794143651954</v>
      </c>
      <c r="DJ103" t="s">
        <v>201</v>
      </c>
      <c r="DK103" t="s">
        <v>201</v>
      </c>
      <c r="DL103" t="s">
        <v>201</v>
      </c>
      <c r="DM103" t="s">
        <v>206</v>
      </c>
      <c r="DN103" t="s">
        <v>201</v>
      </c>
      <c r="DO103" t="s">
        <v>201</v>
      </c>
      <c r="DP103" t="s">
        <v>201</v>
      </c>
      <c r="DQ103" t="s">
        <v>201</v>
      </c>
      <c r="DR103" t="s">
        <v>201</v>
      </c>
      <c r="DS103" t="s">
        <v>201</v>
      </c>
      <c r="DT103" t="s">
        <v>201</v>
      </c>
      <c r="DU103" t="s">
        <v>201</v>
      </c>
      <c r="DV103" t="s">
        <v>201</v>
      </c>
      <c r="DW103" t="s">
        <v>201</v>
      </c>
      <c r="DX103" t="s">
        <v>201</v>
      </c>
      <c r="DY103" t="s">
        <v>201</v>
      </c>
      <c r="DZ103" s="3" t="s">
        <v>201</v>
      </c>
      <c r="EA103" s="3" t="s">
        <v>201</v>
      </c>
      <c r="EB103" t="s">
        <v>201</v>
      </c>
      <c r="EC103" t="s">
        <v>201</v>
      </c>
      <c r="ED103" t="s">
        <v>201</v>
      </c>
      <c r="EE103" t="s">
        <v>201</v>
      </c>
      <c r="EF103" t="s">
        <v>201</v>
      </c>
      <c r="EG103" t="s">
        <v>201</v>
      </c>
      <c r="EH103" t="s">
        <v>201</v>
      </c>
      <c r="EI103" t="s">
        <v>201</v>
      </c>
      <c r="EJ103" t="s">
        <v>201</v>
      </c>
      <c r="EK103" t="s">
        <v>201</v>
      </c>
      <c r="EL103" t="s">
        <v>201</v>
      </c>
      <c r="EM103" t="s">
        <v>201</v>
      </c>
      <c r="EN103" t="s">
        <v>201</v>
      </c>
      <c r="EO103" t="s">
        <v>201</v>
      </c>
      <c r="EP103" t="s">
        <v>201</v>
      </c>
      <c r="EQ103" t="s">
        <v>201</v>
      </c>
      <c r="ER103">
        <v>103.03319999999999</v>
      </c>
      <c r="ES103" t="s">
        <v>201</v>
      </c>
      <c r="ET103" t="s">
        <v>201</v>
      </c>
      <c r="EU103" t="s">
        <v>201</v>
      </c>
      <c r="EV103" s="1" t="s">
        <v>188</v>
      </c>
      <c r="EW103">
        <v>25</v>
      </c>
      <c r="EX103">
        <v>14.377473130669394</v>
      </c>
      <c r="EY103">
        <v>0.18560093160857605</v>
      </c>
      <c r="EZ103">
        <v>0.18560093160857605</v>
      </c>
      <c r="FA103" t="s">
        <v>201</v>
      </c>
      <c r="FB103" s="1" t="s">
        <v>250</v>
      </c>
      <c r="FC103" t="s">
        <v>201</v>
      </c>
      <c r="FD103" t="s">
        <v>201</v>
      </c>
      <c r="FE103" t="s">
        <v>201</v>
      </c>
      <c r="FF103" t="s">
        <v>201</v>
      </c>
      <c r="FG103" t="s">
        <v>217</v>
      </c>
      <c r="FH103">
        <v>385.59343013747304</v>
      </c>
      <c r="FI103">
        <f t="shared" si="19"/>
        <v>28.919507260310475</v>
      </c>
      <c r="FJ103">
        <f t="shared" si="20"/>
        <v>28.919507260310475</v>
      </c>
      <c r="FK103" t="s">
        <v>203</v>
      </c>
      <c r="FL103" t="s">
        <v>216</v>
      </c>
      <c r="FM103" t="s">
        <v>249</v>
      </c>
      <c r="FN103" t="s">
        <v>201</v>
      </c>
      <c r="FO103" t="s">
        <v>201</v>
      </c>
      <c r="FP103" t="s">
        <v>201</v>
      </c>
      <c r="FQ103" t="s">
        <v>201</v>
      </c>
      <c r="FR103" t="s">
        <v>201</v>
      </c>
      <c r="FS103" t="s">
        <v>201</v>
      </c>
      <c r="FT103" t="s">
        <v>199</v>
      </c>
      <c r="FU103" t="s">
        <v>201</v>
      </c>
      <c r="FV103" s="47" t="s">
        <v>373</v>
      </c>
      <c r="FW103" t="s">
        <v>201</v>
      </c>
      <c r="FX103" t="s">
        <v>201</v>
      </c>
      <c r="FY103" t="s">
        <v>247</v>
      </c>
    </row>
    <row r="104" spans="1:181" x14ac:dyDescent="0.15">
      <c r="A104" s="3" t="s">
        <v>258</v>
      </c>
      <c r="B104" s="3" t="s">
        <v>193</v>
      </c>
      <c r="C104">
        <v>2017</v>
      </c>
      <c r="D104" s="22" t="str">
        <f t="shared" si="12"/>
        <v>10.1016/j.epsl.2017.03.016</v>
      </c>
      <c r="E104" s="22">
        <f t="shared" si="13"/>
        <v>6369.67</v>
      </c>
      <c r="F104" s="22" t="str">
        <f t="shared" si="14"/>
        <v>NA</v>
      </c>
      <c r="G104" s="22" t="str">
        <f t="shared" si="15"/>
        <v>NA</v>
      </c>
      <c r="H104" s="22">
        <f t="shared" si="16"/>
        <v>380.51668496854177</v>
      </c>
      <c r="I104" s="36">
        <f t="shared" si="17"/>
        <v>28.538751372640633</v>
      </c>
      <c r="J104" s="36">
        <f t="shared" si="18"/>
        <v>28.538751372640633</v>
      </c>
      <c r="K104" s="2" t="s">
        <v>251</v>
      </c>
      <c r="L104" s="2" t="s">
        <v>252</v>
      </c>
      <c r="M104" s="2" t="s">
        <v>194</v>
      </c>
      <c r="N104" s="2" t="s">
        <v>192</v>
      </c>
      <c r="O104">
        <v>806</v>
      </c>
      <c r="P104" s="1" t="s">
        <v>189</v>
      </c>
      <c r="Q104" t="s">
        <v>201</v>
      </c>
      <c r="R104" t="s">
        <v>201</v>
      </c>
      <c r="S104" t="s">
        <v>201</v>
      </c>
      <c r="T104" t="s">
        <v>201</v>
      </c>
      <c r="U104" t="s">
        <v>201</v>
      </c>
      <c r="V104" t="s">
        <v>201</v>
      </c>
      <c r="W104" t="s">
        <v>201</v>
      </c>
      <c r="X104" t="s">
        <v>201</v>
      </c>
      <c r="Y104" t="s">
        <v>201</v>
      </c>
      <c r="Z104" s="10">
        <v>193.47499999999999</v>
      </c>
      <c r="AA104" s="2" t="s">
        <v>207</v>
      </c>
      <c r="AB104">
        <v>6369.67</v>
      </c>
      <c r="AC104" t="s">
        <v>201</v>
      </c>
      <c r="AD104" t="s">
        <v>201</v>
      </c>
      <c r="AE104" t="s">
        <v>201</v>
      </c>
      <c r="AF104" s="1" t="s">
        <v>177</v>
      </c>
      <c r="AG104" s="1" t="s">
        <v>179</v>
      </c>
      <c r="AH104" s="13">
        <v>0.31850000000000001</v>
      </c>
      <c r="AI104" s="10">
        <v>159.36150000000001</v>
      </c>
      <c r="AJ104" s="35">
        <v>-2520</v>
      </c>
      <c r="AK104" t="s">
        <v>201</v>
      </c>
      <c r="AL104" t="s">
        <v>201</v>
      </c>
      <c r="AM104" t="s">
        <v>201</v>
      </c>
      <c r="AN104" t="s">
        <v>201</v>
      </c>
      <c r="AO104" s="1" t="s">
        <v>180</v>
      </c>
      <c r="AP104" t="s">
        <v>201</v>
      </c>
      <c r="AQ104" t="s">
        <v>201</v>
      </c>
      <c r="AR104" t="s">
        <v>201</v>
      </c>
      <c r="AS104" t="s">
        <v>201</v>
      </c>
      <c r="AT104" t="s">
        <v>201</v>
      </c>
      <c r="AU104" t="s">
        <v>201</v>
      </c>
      <c r="AV104" t="s">
        <v>201</v>
      </c>
      <c r="AW104" t="s">
        <v>201</v>
      </c>
      <c r="AX104">
        <v>2.5562770642898829</v>
      </c>
      <c r="AY104">
        <v>0.13</v>
      </c>
      <c r="AZ104" t="s">
        <v>203</v>
      </c>
      <c r="BA104" t="s">
        <v>201</v>
      </c>
      <c r="BB104">
        <v>-0.6223510328435149</v>
      </c>
      <c r="BC104">
        <v>0.24</v>
      </c>
      <c r="BD104" t="s">
        <v>203</v>
      </c>
      <c r="BE104" t="s">
        <v>201</v>
      </c>
      <c r="BF104" s="1" t="s">
        <v>181</v>
      </c>
      <c r="BG104" s="1" t="s">
        <v>182</v>
      </c>
      <c r="BH104">
        <v>0</v>
      </c>
      <c r="BI104" t="s">
        <v>201</v>
      </c>
      <c r="BJ104" t="s">
        <v>201</v>
      </c>
      <c r="BK104" t="s">
        <v>201</v>
      </c>
      <c r="BL104" t="s">
        <v>201</v>
      </c>
      <c r="BM104" t="s">
        <v>201</v>
      </c>
      <c r="BN104" t="s">
        <v>201</v>
      </c>
      <c r="BO104" t="s">
        <v>201</v>
      </c>
      <c r="BP104" t="s">
        <v>201</v>
      </c>
      <c r="BQ104" t="s">
        <v>201</v>
      </c>
      <c r="BR104" t="s">
        <v>201</v>
      </c>
      <c r="BS104" s="1" t="s">
        <v>183</v>
      </c>
      <c r="BT104">
        <v>-24.795665058838615</v>
      </c>
      <c r="BU104" s="1" t="s">
        <v>184</v>
      </c>
      <c r="BV104">
        <v>0.3</v>
      </c>
      <c r="BW104" t="s">
        <v>201</v>
      </c>
      <c r="BX104" t="s">
        <v>202</v>
      </c>
      <c r="BY104">
        <v>4.2</v>
      </c>
      <c r="BZ104" s="4" t="s">
        <v>201</v>
      </c>
      <c r="CA104" s="4" t="s">
        <v>201</v>
      </c>
      <c r="CB104">
        <v>-20.699806852085771</v>
      </c>
      <c r="CC104" t="s">
        <v>201</v>
      </c>
      <c r="CD104" t="s">
        <v>201</v>
      </c>
      <c r="CE104" t="s">
        <v>201</v>
      </c>
      <c r="CF104" t="s">
        <v>201</v>
      </c>
      <c r="CG104">
        <v>35</v>
      </c>
      <c r="CH104">
        <v>1</v>
      </c>
      <c r="CI104" t="s">
        <v>204</v>
      </c>
      <c r="CJ104" s="1" t="s">
        <v>185</v>
      </c>
      <c r="CK104">
        <v>0.16</v>
      </c>
      <c r="CL104">
        <v>0.1</v>
      </c>
      <c r="CM104">
        <v>0.1</v>
      </c>
      <c r="CN104" t="s">
        <v>204</v>
      </c>
      <c r="CO104" s="1" t="s">
        <v>186</v>
      </c>
      <c r="CP104" t="s">
        <v>201</v>
      </c>
      <c r="CQ104" t="s">
        <v>201</v>
      </c>
      <c r="CR104">
        <f t="shared" si="21"/>
        <v>29.374285390633457</v>
      </c>
      <c r="CS104" t="s">
        <v>201</v>
      </c>
      <c r="CT104" t="s">
        <v>201</v>
      </c>
      <c r="CU104" t="s">
        <v>201</v>
      </c>
      <c r="CV104" t="s">
        <v>211</v>
      </c>
      <c r="CW104">
        <v>1</v>
      </c>
      <c r="CX104" t="s">
        <v>201</v>
      </c>
      <c r="CY104">
        <v>28.542000000000002</v>
      </c>
      <c r="CZ104" t="s">
        <v>201</v>
      </c>
      <c r="DA104" t="s">
        <v>201</v>
      </c>
      <c r="DB104" t="s">
        <v>201</v>
      </c>
      <c r="DC104" s="1" t="s">
        <v>190</v>
      </c>
      <c r="DD104" t="s">
        <v>205</v>
      </c>
      <c r="DE104" t="s">
        <v>201</v>
      </c>
      <c r="DF104" t="s">
        <v>201</v>
      </c>
      <c r="DG104" t="s">
        <v>201</v>
      </c>
      <c r="DH104" t="s">
        <v>201</v>
      </c>
      <c r="DI104">
        <v>30.206570781266912</v>
      </c>
      <c r="DJ104" t="s">
        <v>201</v>
      </c>
      <c r="DK104" t="s">
        <v>201</v>
      </c>
      <c r="DL104" t="s">
        <v>201</v>
      </c>
      <c r="DM104" t="s">
        <v>206</v>
      </c>
      <c r="DN104" t="s">
        <v>201</v>
      </c>
      <c r="DO104" t="s">
        <v>201</v>
      </c>
      <c r="DP104" t="s">
        <v>201</v>
      </c>
      <c r="DQ104" t="s">
        <v>201</v>
      </c>
      <c r="DR104" t="s">
        <v>201</v>
      </c>
      <c r="DS104" t="s">
        <v>201</v>
      </c>
      <c r="DT104" t="s">
        <v>201</v>
      </c>
      <c r="DU104" t="s">
        <v>201</v>
      </c>
      <c r="DV104" t="s">
        <v>201</v>
      </c>
      <c r="DW104" t="s">
        <v>201</v>
      </c>
      <c r="DX104" t="s">
        <v>201</v>
      </c>
      <c r="DY104" t="s">
        <v>201</v>
      </c>
      <c r="DZ104" s="3" t="s">
        <v>201</v>
      </c>
      <c r="EA104" s="3" t="s">
        <v>201</v>
      </c>
      <c r="EB104" t="s">
        <v>201</v>
      </c>
      <c r="EC104" t="s">
        <v>201</v>
      </c>
      <c r="ED104" t="s">
        <v>201</v>
      </c>
      <c r="EE104" t="s">
        <v>201</v>
      </c>
      <c r="EF104" t="s">
        <v>201</v>
      </c>
      <c r="EG104" t="s">
        <v>201</v>
      </c>
      <c r="EH104" t="s">
        <v>201</v>
      </c>
      <c r="EI104" t="s">
        <v>201</v>
      </c>
      <c r="EJ104" t="s">
        <v>201</v>
      </c>
      <c r="EK104" t="s">
        <v>201</v>
      </c>
      <c r="EL104" t="s">
        <v>201</v>
      </c>
      <c r="EM104" t="s">
        <v>201</v>
      </c>
      <c r="EN104" t="s">
        <v>201</v>
      </c>
      <c r="EO104" t="s">
        <v>201</v>
      </c>
      <c r="EP104" t="s">
        <v>201</v>
      </c>
      <c r="EQ104" t="s">
        <v>201</v>
      </c>
      <c r="ER104">
        <v>103.03319999999999</v>
      </c>
      <c r="ES104" t="s">
        <v>201</v>
      </c>
      <c r="ET104" t="s">
        <v>201</v>
      </c>
      <c r="EU104" t="s">
        <v>201</v>
      </c>
      <c r="EV104" s="1" t="s">
        <v>188</v>
      </c>
      <c r="EW104">
        <v>25</v>
      </c>
      <c r="EX104">
        <v>14.191874664182036</v>
      </c>
      <c r="EY104">
        <v>0.20775110947979236</v>
      </c>
      <c r="EZ104">
        <v>0.20775110947979236</v>
      </c>
      <c r="FA104" t="s">
        <v>201</v>
      </c>
      <c r="FB104" s="1" t="s">
        <v>250</v>
      </c>
      <c r="FC104" t="s">
        <v>201</v>
      </c>
      <c r="FD104" t="s">
        <v>201</v>
      </c>
      <c r="FE104" t="s">
        <v>201</v>
      </c>
      <c r="FF104" t="s">
        <v>201</v>
      </c>
      <c r="FG104" t="s">
        <v>217</v>
      </c>
      <c r="FH104">
        <v>380.51668496854177</v>
      </c>
      <c r="FI104">
        <f t="shared" si="19"/>
        <v>28.538751372640633</v>
      </c>
      <c r="FJ104">
        <f t="shared" si="20"/>
        <v>28.538751372640633</v>
      </c>
      <c r="FK104" t="s">
        <v>203</v>
      </c>
      <c r="FL104" t="s">
        <v>216</v>
      </c>
      <c r="FM104" t="s">
        <v>249</v>
      </c>
      <c r="FN104" t="s">
        <v>201</v>
      </c>
      <c r="FO104" t="s">
        <v>201</v>
      </c>
      <c r="FP104" t="s">
        <v>201</v>
      </c>
      <c r="FQ104" t="s">
        <v>201</v>
      </c>
      <c r="FR104" t="s">
        <v>201</v>
      </c>
      <c r="FS104" t="s">
        <v>201</v>
      </c>
      <c r="FT104" t="s">
        <v>199</v>
      </c>
      <c r="FU104" t="s">
        <v>201</v>
      </c>
      <c r="FV104" s="47" t="s">
        <v>374</v>
      </c>
      <c r="FW104" t="s">
        <v>201</v>
      </c>
      <c r="FX104" t="s">
        <v>201</v>
      </c>
      <c r="FY104" t="s">
        <v>247</v>
      </c>
    </row>
    <row r="105" spans="1:181" x14ac:dyDescent="0.15">
      <c r="A105" s="3" t="s">
        <v>258</v>
      </c>
      <c r="B105" s="3" t="s">
        <v>193</v>
      </c>
      <c r="C105">
        <v>2017</v>
      </c>
      <c r="D105" s="22" t="str">
        <f t="shared" si="12"/>
        <v>10.1016/j.epsl.2017.03.016</v>
      </c>
      <c r="E105" s="22">
        <f t="shared" si="13"/>
        <v>6525.15</v>
      </c>
      <c r="F105" s="22" t="str">
        <f t="shared" si="14"/>
        <v>NA</v>
      </c>
      <c r="G105" s="22" t="str">
        <f t="shared" si="15"/>
        <v>NA</v>
      </c>
      <c r="H105" s="22">
        <f t="shared" si="16"/>
        <v>288.21164944281941</v>
      </c>
      <c r="I105" s="36">
        <f t="shared" si="17"/>
        <v>21.615873708211456</v>
      </c>
      <c r="J105" s="36">
        <f t="shared" si="18"/>
        <v>21.615873708211456</v>
      </c>
      <c r="K105" s="2" t="s">
        <v>251</v>
      </c>
      <c r="L105" s="2" t="s">
        <v>252</v>
      </c>
      <c r="M105" s="2" t="s">
        <v>194</v>
      </c>
      <c r="N105" s="2" t="s">
        <v>192</v>
      </c>
      <c r="O105">
        <v>806</v>
      </c>
      <c r="P105" s="1" t="s">
        <v>189</v>
      </c>
      <c r="Q105" t="s">
        <v>201</v>
      </c>
      <c r="R105" t="s">
        <v>201</v>
      </c>
      <c r="S105" t="s">
        <v>201</v>
      </c>
      <c r="T105" t="s">
        <v>201</v>
      </c>
      <c r="U105" t="s">
        <v>201</v>
      </c>
      <c r="V105" t="s">
        <v>201</v>
      </c>
      <c r="W105" t="s">
        <v>201</v>
      </c>
      <c r="X105" t="s">
        <v>201</v>
      </c>
      <c r="Y105" t="s">
        <v>201</v>
      </c>
      <c r="Z105" s="10">
        <v>199.97499999999999</v>
      </c>
      <c r="AA105" s="2" t="s">
        <v>207</v>
      </c>
      <c r="AB105">
        <v>6525.15</v>
      </c>
      <c r="AC105" t="s">
        <v>201</v>
      </c>
      <c r="AD105" t="s">
        <v>201</v>
      </c>
      <c r="AE105" t="s">
        <v>201</v>
      </c>
      <c r="AF105" s="1" t="s">
        <v>177</v>
      </c>
      <c r="AG105" s="1" t="s">
        <v>179</v>
      </c>
      <c r="AH105" s="13">
        <v>0.31850000000000001</v>
      </c>
      <c r="AI105" s="10">
        <v>159.36150000000001</v>
      </c>
      <c r="AJ105" s="35">
        <v>-2520</v>
      </c>
      <c r="AK105" t="s">
        <v>201</v>
      </c>
      <c r="AL105" t="s">
        <v>201</v>
      </c>
      <c r="AM105" t="s">
        <v>201</v>
      </c>
      <c r="AN105" t="s">
        <v>201</v>
      </c>
      <c r="AO105" s="1" t="s">
        <v>180</v>
      </c>
      <c r="AP105" t="s">
        <v>201</v>
      </c>
      <c r="AQ105" t="s">
        <v>201</v>
      </c>
      <c r="AR105" t="s">
        <v>201</v>
      </c>
      <c r="AS105" t="s">
        <v>201</v>
      </c>
      <c r="AT105" t="s">
        <v>201</v>
      </c>
      <c r="AU105" t="s">
        <v>201</v>
      </c>
      <c r="AV105" t="s">
        <v>201</v>
      </c>
      <c r="AW105" t="s">
        <v>201</v>
      </c>
      <c r="AX105">
        <v>2.0312907443677566</v>
      </c>
      <c r="AY105">
        <v>0.13</v>
      </c>
      <c r="AZ105" t="s">
        <v>203</v>
      </c>
      <c r="BA105" t="s">
        <v>201</v>
      </c>
      <c r="BB105">
        <v>-0.92558076039672355</v>
      </c>
      <c r="BC105">
        <v>0.24</v>
      </c>
      <c r="BD105" t="s">
        <v>203</v>
      </c>
      <c r="BE105" t="s">
        <v>201</v>
      </c>
      <c r="BF105" s="1" t="s">
        <v>181</v>
      </c>
      <c r="BG105" s="1" t="s">
        <v>182</v>
      </c>
      <c r="BH105">
        <v>0</v>
      </c>
      <c r="BI105" t="s">
        <v>201</v>
      </c>
      <c r="BJ105" t="s">
        <v>201</v>
      </c>
      <c r="BK105" t="s">
        <v>201</v>
      </c>
      <c r="BL105" t="s">
        <v>201</v>
      </c>
      <c r="BM105" t="s">
        <v>201</v>
      </c>
      <c r="BN105" t="s">
        <v>201</v>
      </c>
      <c r="BO105" t="s">
        <v>201</v>
      </c>
      <c r="BP105" t="s">
        <v>201</v>
      </c>
      <c r="BQ105" t="s">
        <v>201</v>
      </c>
      <c r="BR105" t="s">
        <v>201</v>
      </c>
      <c r="BS105" s="1" t="s">
        <v>183</v>
      </c>
      <c r="BT105">
        <v>-22.115281866281862</v>
      </c>
      <c r="BU105" s="1" t="s">
        <v>184</v>
      </c>
      <c r="BV105">
        <v>0.3</v>
      </c>
      <c r="BW105" t="s">
        <v>201</v>
      </c>
      <c r="BX105" t="s">
        <v>202</v>
      </c>
      <c r="BY105">
        <v>4.2</v>
      </c>
      <c r="BZ105" s="4" t="s">
        <v>201</v>
      </c>
      <c r="CA105" s="4" t="s">
        <v>201</v>
      </c>
      <c r="CB105">
        <v>-18.00816605012028</v>
      </c>
      <c r="CC105" t="s">
        <v>201</v>
      </c>
      <c r="CD105" t="s">
        <v>201</v>
      </c>
      <c r="CE105" t="s">
        <v>201</v>
      </c>
      <c r="CF105" t="s">
        <v>201</v>
      </c>
      <c r="CG105">
        <v>35</v>
      </c>
      <c r="CH105">
        <v>1</v>
      </c>
      <c r="CI105" t="s">
        <v>204</v>
      </c>
      <c r="CJ105" s="1" t="s">
        <v>185</v>
      </c>
      <c r="CK105">
        <v>0.16</v>
      </c>
      <c r="CL105">
        <v>0.1</v>
      </c>
      <c r="CM105">
        <v>0.1</v>
      </c>
      <c r="CN105" t="s">
        <v>204</v>
      </c>
      <c r="CO105" s="1" t="s">
        <v>186</v>
      </c>
      <c r="CP105" t="s">
        <v>201</v>
      </c>
      <c r="CQ105" t="s">
        <v>201</v>
      </c>
      <c r="CR105">
        <f t="shared" si="21"/>
        <v>29.266336925331476</v>
      </c>
      <c r="CS105" t="s">
        <v>201</v>
      </c>
      <c r="CT105" t="s">
        <v>201</v>
      </c>
      <c r="CU105" t="s">
        <v>201</v>
      </c>
      <c r="CV105" t="s">
        <v>211</v>
      </c>
      <c r="CW105">
        <v>1</v>
      </c>
      <c r="CX105" t="s">
        <v>201</v>
      </c>
      <c r="CY105">
        <v>28.542000000000002</v>
      </c>
      <c r="CZ105" t="s">
        <v>201</v>
      </c>
      <c r="DA105" t="s">
        <v>201</v>
      </c>
      <c r="DB105" t="s">
        <v>201</v>
      </c>
      <c r="DC105" s="1" t="s">
        <v>190</v>
      </c>
      <c r="DD105" t="s">
        <v>205</v>
      </c>
      <c r="DE105" t="s">
        <v>201</v>
      </c>
      <c r="DF105" t="s">
        <v>201</v>
      </c>
      <c r="DG105" t="s">
        <v>201</v>
      </c>
      <c r="DH105" t="s">
        <v>201</v>
      </c>
      <c r="DI105">
        <v>29.990673850662951</v>
      </c>
      <c r="DJ105" t="s">
        <v>201</v>
      </c>
      <c r="DK105" t="s">
        <v>201</v>
      </c>
      <c r="DL105" t="s">
        <v>201</v>
      </c>
      <c r="DM105" t="s">
        <v>206</v>
      </c>
      <c r="DN105" t="s">
        <v>201</v>
      </c>
      <c r="DO105" t="s">
        <v>201</v>
      </c>
      <c r="DP105" t="s">
        <v>201</v>
      </c>
      <c r="DQ105" t="s">
        <v>201</v>
      </c>
      <c r="DR105" t="s">
        <v>201</v>
      </c>
      <c r="DS105" t="s">
        <v>201</v>
      </c>
      <c r="DT105" t="s">
        <v>201</v>
      </c>
      <c r="DU105" t="s">
        <v>201</v>
      </c>
      <c r="DV105" t="s">
        <v>201</v>
      </c>
      <c r="DW105" t="s">
        <v>201</v>
      </c>
      <c r="DX105" t="s">
        <v>201</v>
      </c>
      <c r="DY105" t="s">
        <v>201</v>
      </c>
      <c r="DZ105" s="3" t="s">
        <v>201</v>
      </c>
      <c r="EA105" s="3" t="s">
        <v>201</v>
      </c>
      <c r="EB105" t="s">
        <v>201</v>
      </c>
      <c r="EC105" t="s">
        <v>201</v>
      </c>
      <c r="ED105" t="s">
        <v>201</v>
      </c>
      <c r="EE105" t="s">
        <v>201</v>
      </c>
      <c r="EF105" t="s">
        <v>201</v>
      </c>
      <c r="EG105" t="s">
        <v>201</v>
      </c>
      <c r="EH105" t="s">
        <v>201</v>
      </c>
      <c r="EI105" t="s">
        <v>201</v>
      </c>
      <c r="EJ105" t="s">
        <v>201</v>
      </c>
      <c r="EK105" t="s">
        <v>201</v>
      </c>
      <c r="EL105" t="s">
        <v>201</v>
      </c>
      <c r="EM105" t="s">
        <v>201</v>
      </c>
      <c r="EN105" t="s">
        <v>201</v>
      </c>
      <c r="EO105" t="s">
        <v>201</v>
      </c>
      <c r="EP105" t="s">
        <v>201</v>
      </c>
      <c r="EQ105" t="s">
        <v>201</v>
      </c>
      <c r="ER105">
        <v>103.03319999999999</v>
      </c>
      <c r="ES105" t="s">
        <v>201</v>
      </c>
      <c r="ET105" t="s">
        <v>201</v>
      </c>
      <c r="EU105" t="s">
        <v>201</v>
      </c>
      <c r="EV105" s="1" t="s">
        <v>188</v>
      </c>
      <c r="EW105">
        <v>25</v>
      </c>
      <c r="EX105">
        <v>10.800720144621412</v>
      </c>
      <c r="EY105">
        <v>0.18020538159646549</v>
      </c>
      <c r="EZ105">
        <v>0.18020538159646549</v>
      </c>
      <c r="FA105" t="s">
        <v>201</v>
      </c>
      <c r="FB105" s="1" t="s">
        <v>250</v>
      </c>
      <c r="FC105" t="s">
        <v>201</v>
      </c>
      <c r="FD105" t="s">
        <v>201</v>
      </c>
      <c r="FE105" t="s">
        <v>201</v>
      </c>
      <c r="FF105" t="s">
        <v>201</v>
      </c>
      <c r="FG105" t="s">
        <v>217</v>
      </c>
      <c r="FH105">
        <v>288.21164944281941</v>
      </c>
      <c r="FI105">
        <f t="shared" si="19"/>
        <v>21.615873708211456</v>
      </c>
      <c r="FJ105">
        <f t="shared" si="20"/>
        <v>21.615873708211456</v>
      </c>
      <c r="FK105" t="s">
        <v>203</v>
      </c>
      <c r="FL105" t="s">
        <v>216</v>
      </c>
      <c r="FM105" t="s">
        <v>249</v>
      </c>
      <c r="FN105" t="s">
        <v>201</v>
      </c>
      <c r="FO105" t="s">
        <v>201</v>
      </c>
      <c r="FP105" t="s">
        <v>201</v>
      </c>
      <c r="FQ105" t="s">
        <v>201</v>
      </c>
      <c r="FR105" t="s">
        <v>201</v>
      </c>
      <c r="FS105" t="s">
        <v>201</v>
      </c>
      <c r="FT105" t="s">
        <v>199</v>
      </c>
      <c r="FU105" t="s">
        <v>201</v>
      </c>
      <c r="FV105" s="47" t="s">
        <v>375</v>
      </c>
      <c r="FW105" t="s">
        <v>201</v>
      </c>
      <c r="FX105" t="s">
        <v>201</v>
      </c>
      <c r="FY105" t="s">
        <v>247</v>
      </c>
    </row>
    <row r="106" spans="1:181" s="6" customFormat="1" x14ac:dyDescent="0.15">
      <c r="A106" s="3" t="s">
        <v>258</v>
      </c>
      <c r="B106" s="3" t="s">
        <v>193</v>
      </c>
      <c r="C106">
        <v>2017</v>
      </c>
      <c r="D106" s="22" t="str">
        <f t="shared" si="12"/>
        <v>10.1016/j.epsl.2017.03.016</v>
      </c>
      <c r="E106" s="22">
        <f t="shared" si="13"/>
        <v>425.17</v>
      </c>
      <c r="F106" s="22" t="str">
        <f t="shared" si="14"/>
        <v>NA</v>
      </c>
      <c r="G106" s="22" t="str">
        <f t="shared" si="15"/>
        <v>NA</v>
      </c>
      <c r="H106" s="22" t="str">
        <f t="shared" si="16"/>
        <v>NA</v>
      </c>
      <c r="I106" s="36" t="str">
        <f t="shared" si="17"/>
        <v>NA</v>
      </c>
      <c r="J106" s="36" t="str">
        <f t="shared" si="18"/>
        <v>NA</v>
      </c>
      <c r="K106" s="17" t="s">
        <v>251</v>
      </c>
      <c r="L106" s="17" t="s">
        <v>252</v>
      </c>
      <c r="M106" s="17" t="s">
        <v>194</v>
      </c>
      <c r="N106" s="17" t="s">
        <v>192</v>
      </c>
      <c r="O106" s="6">
        <v>850</v>
      </c>
      <c r="P106" s="7" t="s">
        <v>189</v>
      </c>
      <c r="Q106" s="6">
        <v>1</v>
      </c>
      <c r="R106" s="6" t="s">
        <v>208</v>
      </c>
      <c r="S106" s="6" t="s">
        <v>209</v>
      </c>
      <c r="T106" s="6">
        <v>5</v>
      </c>
      <c r="U106" s="6" t="s">
        <v>201</v>
      </c>
      <c r="V106" s="6" t="s">
        <v>201</v>
      </c>
      <c r="W106" s="6" t="s">
        <v>201</v>
      </c>
      <c r="X106" s="6" t="s">
        <v>201</v>
      </c>
      <c r="Y106" s="6" t="s">
        <v>201</v>
      </c>
      <c r="Z106" s="8">
        <v>9.0749999999999993</v>
      </c>
      <c r="AA106" s="6" t="s">
        <v>207</v>
      </c>
      <c r="AB106" s="6">
        <v>425.17</v>
      </c>
      <c r="AC106" s="6" t="s">
        <v>201</v>
      </c>
      <c r="AD106" s="6" t="s">
        <v>201</v>
      </c>
      <c r="AE106" s="6" t="s">
        <v>201</v>
      </c>
      <c r="AF106" s="7" t="s">
        <v>176</v>
      </c>
      <c r="AG106" s="7" t="s">
        <v>178</v>
      </c>
      <c r="AH106" s="11">
        <v>1.2971666666666666</v>
      </c>
      <c r="AI106" s="8">
        <v>-110.5215</v>
      </c>
      <c r="AJ106" s="6">
        <v>-4197</v>
      </c>
      <c r="AK106" s="6" t="s">
        <v>201</v>
      </c>
      <c r="AL106" s="6" t="s">
        <v>201</v>
      </c>
      <c r="AM106" s="6" t="s">
        <v>201</v>
      </c>
      <c r="AN106" s="6" t="s">
        <v>201</v>
      </c>
      <c r="AO106" s="7" t="s">
        <v>180</v>
      </c>
      <c r="AP106" s="6" t="s">
        <v>201</v>
      </c>
      <c r="AQ106" s="6" t="s">
        <v>201</v>
      </c>
      <c r="AR106" s="6" t="s">
        <v>201</v>
      </c>
      <c r="AS106" s="6" t="s">
        <v>201</v>
      </c>
      <c r="AT106" s="6" t="s">
        <v>201</v>
      </c>
      <c r="AU106" s="6" t="s">
        <v>201</v>
      </c>
      <c r="AV106" s="6" t="s">
        <v>201</v>
      </c>
      <c r="AW106" s="6" t="s">
        <v>201</v>
      </c>
      <c r="AX106" s="6" t="s">
        <v>201</v>
      </c>
      <c r="AY106" s="6" t="s">
        <v>201</v>
      </c>
      <c r="AZ106" s="6" t="s">
        <v>201</v>
      </c>
      <c r="BA106" s="6" t="s">
        <v>201</v>
      </c>
      <c r="BB106" s="6" t="s">
        <v>201</v>
      </c>
      <c r="BC106" s="6" t="s">
        <v>201</v>
      </c>
      <c r="BD106" s="6" t="s">
        <v>201</v>
      </c>
      <c r="BE106" s="6" t="s">
        <v>201</v>
      </c>
      <c r="BF106" s="6" t="s">
        <v>201</v>
      </c>
      <c r="BG106" s="6" t="s">
        <v>201</v>
      </c>
      <c r="BH106" s="6" t="s">
        <v>201</v>
      </c>
      <c r="BI106" s="6" t="s">
        <v>201</v>
      </c>
      <c r="BJ106" s="6" t="s">
        <v>201</v>
      </c>
      <c r="BK106" s="6" t="s">
        <v>201</v>
      </c>
      <c r="BL106" s="6" t="s">
        <v>201</v>
      </c>
      <c r="BM106" s="6" t="s">
        <v>201</v>
      </c>
      <c r="BN106" s="6" t="s">
        <v>201</v>
      </c>
      <c r="BO106" s="6" t="s">
        <v>201</v>
      </c>
      <c r="BP106" s="6" t="s">
        <v>201</v>
      </c>
      <c r="BQ106" s="6" t="s">
        <v>201</v>
      </c>
      <c r="BR106" s="6" t="s">
        <v>201</v>
      </c>
      <c r="BS106" s="6" t="s">
        <v>201</v>
      </c>
      <c r="BT106" s="6" t="s">
        <v>201</v>
      </c>
      <c r="BU106" s="6" t="s">
        <v>201</v>
      </c>
      <c r="BV106" s="6" t="s">
        <v>201</v>
      </c>
      <c r="BW106" s="6" t="s">
        <v>201</v>
      </c>
      <c r="BX106" s="6" t="s">
        <v>201</v>
      </c>
      <c r="BY106" s="6" t="s">
        <v>201</v>
      </c>
      <c r="BZ106" s="6" t="s">
        <v>201</v>
      </c>
      <c r="CA106" s="6" t="s">
        <v>201</v>
      </c>
      <c r="CB106" s="6" t="s">
        <v>201</v>
      </c>
      <c r="CC106" s="6" t="s">
        <v>201</v>
      </c>
      <c r="CD106" s="6" t="s">
        <v>201</v>
      </c>
      <c r="CE106" s="6" t="s">
        <v>201</v>
      </c>
      <c r="CF106" s="6" t="s">
        <v>201</v>
      </c>
      <c r="CG106" s="6" t="s">
        <v>201</v>
      </c>
      <c r="CH106" s="6" t="s">
        <v>201</v>
      </c>
      <c r="CI106" s="6" t="s">
        <v>201</v>
      </c>
      <c r="CJ106" s="6" t="s">
        <v>201</v>
      </c>
      <c r="CK106" s="6" t="s">
        <v>201</v>
      </c>
      <c r="CL106" s="6" t="s">
        <v>201</v>
      </c>
      <c r="CM106" s="6" t="s">
        <v>201</v>
      </c>
      <c r="CN106" s="6" t="s">
        <v>201</v>
      </c>
      <c r="CO106" s="6" t="s">
        <v>201</v>
      </c>
      <c r="CP106" s="6" t="s">
        <v>201</v>
      </c>
      <c r="CQ106" s="6" t="s">
        <v>201</v>
      </c>
      <c r="CR106" s="6" t="s">
        <v>201</v>
      </c>
      <c r="CS106" s="6" t="s">
        <v>201</v>
      </c>
      <c r="CT106" s="6" t="s">
        <v>201</v>
      </c>
      <c r="CU106" s="6" t="s">
        <v>201</v>
      </c>
      <c r="CV106" s="6" t="s">
        <v>201</v>
      </c>
      <c r="CW106" s="6" t="s">
        <v>201</v>
      </c>
      <c r="CX106" s="6" t="s">
        <v>201</v>
      </c>
      <c r="CY106" s="6" t="s">
        <v>201</v>
      </c>
      <c r="CZ106" s="6" t="s">
        <v>201</v>
      </c>
      <c r="DA106" s="6" t="s">
        <v>201</v>
      </c>
      <c r="DB106" s="6" t="s">
        <v>201</v>
      </c>
      <c r="DC106" s="6" t="s">
        <v>201</v>
      </c>
      <c r="DD106" s="6" t="s">
        <v>201</v>
      </c>
      <c r="DE106" s="6" t="s">
        <v>201</v>
      </c>
      <c r="DF106" s="6" t="s">
        <v>201</v>
      </c>
      <c r="DG106" s="6" t="s">
        <v>201</v>
      </c>
      <c r="DH106" s="6" t="s">
        <v>201</v>
      </c>
      <c r="DI106" s="6" t="s">
        <v>201</v>
      </c>
      <c r="DJ106" s="6" t="s">
        <v>201</v>
      </c>
      <c r="DK106" s="6" t="s">
        <v>201</v>
      </c>
      <c r="DL106" s="6" t="s">
        <v>201</v>
      </c>
      <c r="DM106" s="6" t="s">
        <v>201</v>
      </c>
      <c r="DN106" s="6" t="s">
        <v>201</v>
      </c>
      <c r="DO106" s="6" t="s">
        <v>201</v>
      </c>
      <c r="DP106" s="6" t="s">
        <v>201</v>
      </c>
      <c r="DQ106" s="6" t="s">
        <v>201</v>
      </c>
      <c r="DR106" s="6" t="s">
        <v>201</v>
      </c>
      <c r="DS106" s="6" t="s">
        <v>201</v>
      </c>
      <c r="DT106" s="6" t="s">
        <v>201</v>
      </c>
      <c r="DU106" s="6" t="s">
        <v>201</v>
      </c>
      <c r="DV106" s="6" t="s">
        <v>201</v>
      </c>
      <c r="DW106" s="6" t="s">
        <v>201</v>
      </c>
      <c r="DX106" s="6">
        <v>1.9666666666666666</v>
      </c>
      <c r="DY106" s="6" t="s">
        <v>201</v>
      </c>
      <c r="DZ106" s="6" t="s">
        <v>201</v>
      </c>
      <c r="EA106" s="6" t="s">
        <v>201</v>
      </c>
      <c r="EB106" s="6" t="s">
        <v>201</v>
      </c>
      <c r="EC106" s="6" t="s">
        <v>201</v>
      </c>
      <c r="ED106" s="6" t="s">
        <v>201</v>
      </c>
      <c r="EE106" s="6" t="s">
        <v>201</v>
      </c>
      <c r="EF106" s="6" t="s">
        <v>201</v>
      </c>
      <c r="EG106" s="6" t="s">
        <v>201</v>
      </c>
      <c r="EH106" s="6" t="s">
        <v>201</v>
      </c>
      <c r="EI106" s="6" t="s">
        <v>201</v>
      </c>
      <c r="EJ106" s="6" t="s">
        <v>201</v>
      </c>
      <c r="EK106" s="6" t="s">
        <v>201</v>
      </c>
      <c r="EL106" s="6" t="s">
        <v>201</v>
      </c>
      <c r="EM106" s="6" t="s">
        <v>201</v>
      </c>
      <c r="EN106" s="6" t="s">
        <v>201</v>
      </c>
      <c r="EO106" s="6" t="s">
        <v>201</v>
      </c>
      <c r="EP106" s="6" t="s">
        <v>201</v>
      </c>
      <c r="EQ106" s="6" t="s">
        <v>201</v>
      </c>
      <c r="ER106" s="6" t="s">
        <v>201</v>
      </c>
      <c r="ES106" s="6" t="s">
        <v>201</v>
      </c>
      <c r="ET106" s="6" t="s">
        <v>201</v>
      </c>
      <c r="EU106" s="6" t="s">
        <v>201</v>
      </c>
      <c r="EV106" s="6" t="s">
        <v>201</v>
      </c>
      <c r="EW106" s="6" t="s">
        <v>201</v>
      </c>
      <c r="EX106" s="6" t="s">
        <v>201</v>
      </c>
      <c r="EY106" s="6" t="s">
        <v>201</v>
      </c>
      <c r="EZ106" s="6" t="s">
        <v>201</v>
      </c>
      <c r="FA106" s="6" t="s">
        <v>201</v>
      </c>
      <c r="FB106" s="6" t="s">
        <v>201</v>
      </c>
      <c r="FC106" s="6" t="s">
        <v>201</v>
      </c>
      <c r="FD106" s="6" t="s">
        <v>201</v>
      </c>
      <c r="FE106" s="6" t="s">
        <v>201</v>
      </c>
      <c r="FF106" s="6" t="s">
        <v>201</v>
      </c>
      <c r="FG106" s="6" t="s">
        <v>201</v>
      </c>
      <c r="FH106" s="6" t="s">
        <v>201</v>
      </c>
      <c r="FI106" s="6" t="s">
        <v>201</v>
      </c>
      <c r="FJ106" s="6" t="s">
        <v>201</v>
      </c>
      <c r="FK106" s="6" t="s">
        <v>201</v>
      </c>
      <c r="FL106" s="6" t="s">
        <v>201</v>
      </c>
      <c r="FM106" s="6" t="s">
        <v>201</v>
      </c>
      <c r="FN106" s="6" t="s">
        <v>201</v>
      </c>
      <c r="FO106" s="6" t="s">
        <v>201</v>
      </c>
      <c r="FP106" s="6" t="s">
        <v>201</v>
      </c>
      <c r="FQ106" s="6" t="s">
        <v>201</v>
      </c>
      <c r="FR106" s="6" t="s">
        <v>201</v>
      </c>
      <c r="FS106" s="6" t="s">
        <v>201</v>
      </c>
      <c r="FT106" s="6" t="s">
        <v>200</v>
      </c>
      <c r="FU106" s="6" t="s">
        <v>212</v>
      </c>
      <c r="FV106" s="46" t="s">
        <v>376</v>
      </c>
      <c r="FW106" s="6" t="s">
        <v>201</v>
      </c>
      <c r="FX106" s="6" t="s">
        <v>201</v>
      </c>
      <c r="FY106" s="6" t="s">
        <v>201</v>
      </c>
    </row>
    <row r="107" spans="1:181" s="14" customFormat="1" x14ac:dyDescent="0.15">
      <c r="A107" s="3" t="s">
        <v>258</v>
      </c>
      <c r="B107" s="3" t="s">
        <v>193</v>
      </c>
      <c r="C107">
        <v>2017</v>
      </c>
      <c r="D107" s="22" t="str">
        <f t="shared" si="12"/>
        <v>10.1016/j.epsl.2017.03.016</v>
      </c>
      <c r="E107" s="22">
        <f t="shared" si="13"/>
        <v>1476.48</v>
      </c>
      <c r="F107" s="22" t="str">
        <f t="shared" si="14"/>
        <v>NA</v>
      </c>
      <c r="G107" s="22" t="str">
        <f t="shared" si="15"/>
        <v>NA</v>
      </c>
      <c r="H107" s="22" t="str">
        <f t="shared" si="16"/>
        <v>NA</v>
      </c>
      <c r="I107" s="36" t="str">
        <f t="shared" si="17"/>
        <v>NA</v>
      </c>
      <c r="J107" s="36" t="str">
        <f t="shared" si="18"/>
        <v>NA</v>
      </c>
      <c r="K107" s="17" t="s">
        <v>251</v>
      </c>
      <c r="L107" s="17" t="s">
        <v>252</v>
      </c>
      <c r="M107" s="17" t="s">
        <v>194</v>
      </c>
      <c r="N107" s="17" t="s">
        <v>192</v>
      </c>
      <c r="O107" s="14">
        <v>806</v>
      </c>
      <c r="P107" s="16" t="s">
        <v>189</v>
      </c>
      <c r="Q107" s="16">
        <v>4</v>
      </c>
      <c r="R107" s="14" t="s">
        <v>208</v>
      </c>
      <c r="S107" s="14" t="s">
        <v>209</v>
      </c>
      <c r="T107" s="14">
        <v>4</v>
      </c>
      <c r="U107" s="14">
        <v>29</v>
      </c>
      <c r="V107" s="14" t="s">
        <v>201</v>
      </c>
      <c r="W107" s="14" t="s">
        <v>201</v>
      </c>
      <c r="X107" s="14" t="s">
        <v>201</v>
      </c>
      <c r="Y107" s="14" t="s">
        <v>201</v>
      </c>
      <c r="Z107" s="20">
        <v>31.49</v>
      </c>
      <c r="AA107" s="17" t="s">
        <v>207</v>
      </c>
      <c r="AB107" s="14">
        <v>1476.48</v>
      </c>
      <c r="AC107" s="14" t="s">
        <v>201</v>
      </c>
      <c r="AD107" s="14" t="s">
        <v>201</v>
      </c>
      <c r="AE107" s="14" t="s">
        <v>201</v>
      </c>
      <c r="AF107" s="16" t="s">
        <v>177</v>
      </c>
      <c r="AG107" s="16" t="s">
        <v>179</v>
      </c>
      <c r="AH107" s="19">
        <v>0.31850000000000001</v>
      </c>
      <c r="AI107" s="18">
        <v>159.36150000000001</v>
      </c>
      <c r="AJ107" s="35">
        <v>-2520</v>
      </c>
      <c r="AK107" s="14" t="s">
        <v>201</v>
      </c>
      <c r="AL107" s="14" t="s">
        <v>201</v>
      </c>
      <c r="AM107" s="14" t="s">
        <v>201</v>
      </c>
      <c r="AN107" s="14" t="s">
        <v>201</v>
      </c>
      <c r="AO107" s="16" t="s">
        <v>180</v>
      </c>
      <c r="AP107" s="14" t="s">
        <v>201</v>
      </c>
      <c r="AQ107" s="14" t="s">
        <v>201</v>
      </c>
      <c r="AR107" s="14" t="s">
        <v>201</v>
      </c>
      <c r="AS107" s="14" t="s">
        <v>201</v>
      </c>
      <c r="AT107" s="14" t="s">
        <v>201</v>
      </c>
      <c r="AU107" s="14" t="s">
        <v>201</v>
      </c>
      <c r="AV107" s="14" t="s">
        <v>201</v>
      </c>
      <c r="AW107" s="14" t="s">
        <v>201</v>
      </c>
      <c r="AX107" s="14" t="s">
        <v>201</v>
      </c>
      <c r="AY107" s="14" t="s">
        <v>201</v>
      </c>
      <c r="AZ107" s="14" t="s">
        <v>201</v>
      </c>
      <c r="BA107" s="14" t="s">
        <v>201</v>
      </c>
      <c r="BB107" s="14" t="s">
        <v>201</v>
      </c>
      <c r="BC107" s="14" t="s">
        <v>201</v>
      </c>
      <c r="BD107" s="14" t="s">
        <v>201</v>
      </c>
      <c r="BE107" s="14" t="s">
        <v>201</v>
      </c>
      <c r="BF107" s="14" t="s">
        <v>201</v>
      </c>
      <c r="BG107" s="14" t="s">
        <v>201</v>
      </c>
      <c r="BH107" s="14" t="s">
        <v>201</v>
      </c>
      <c r="BI107" s="14" t="s">
        <v>201</v>
      </c>
      <c r="BJ107" s="14" t="s">
        <v>201</v>
      </c>
      <c r="BK107" s="14" t="s">
        <v>201</v>
      </c>
      <c r="BL107" s="14" t="s">
        <v>201</v>
      </c>
      <c r="BM107" s="14" t="s">
        <v>201</v>
      </c>
      <c r="BN107" s="14" t="s">
        <v>201</v>
      </c>
      <c r="BO107" s="14" t="s">
        <v>201</v>
      </c>
      <c r="BP107" s="14" t="s">
        <v>201</v>
      </c>
      <c r="BQ107" s="14" t="s">
        <v>201</v>
      </c>
      <c r="BR107" s="14" t="s">
        <v>201</v>
      </c>
      <c r="BS107" s="14" t="s">
        <v>201</v>
      </c>
      <c r="BT107" s="14" t="s">
        <v>201</v>
      </c>
      <c r="BU107" s="14" t="s">
        <v>201</v>
      </c>
      <c r="BV107" s="14" t="s">
        <v>201</v>
      </c>
      <c r="BW107" s="14" t="s">
        <v>201</v>
      </c>
      <c r="BX107" s="14" t="s">
        <v>201</v>
      </c>
      <c r="BY107" s="14" t="s">
        <v>201</v>
      </c>
      <c r="BZ107" s="14" t="s">
        <v>201</v>
      </c>
      <c r="CA107" s="14" t="s">
        <v>201</v>
      </c>
      <c r="CB107" s="14" t="s">
        <v>201</v>
      </c>
      <c r="CC107" s="14" t="s">
        <v>201</v>
      </c>
      <c r="CD107" s="14" t="s">
        <v>201</v>
      </c>
      <c r="CE107" s="14" t="s">
        <v>201</v>
      </c>
      <c r="CF107" s="14" t="s">
        <v>201</v>
      </c>
      <c r="CG107" s="14" t="s">
        <v>201</v>
      </c>
      <c r="CH107" s="14" t="s">
        <v>201</v>
      </c>
      <c r="CI107" s="14" t="s">
        <v>201</v>
      </c>
      <c r="CJ107" s="14" t="s">
        <v>201</v>
      </c>
      <c r="CK107" s="14" t="s">
        <v>201</v>
      </c>
      <c r="CL107" s="14" t="s">
        <v>201</v>
      </c>
      <c r="CM107" s="14" t="s">
        <v>201</v>
      </c>
      <c r="CN107" s="14" t="s">
        <v>201</v>
      </c>
      <c r="CO107" s="14" t="s">
        <v>201</v>
      </c>
      <c r="CP107" s="14" t="s">
        <v>201</v>
      </c>
      <c r="CQ107" s="14" t="s">
        <v>201</v>
      </c>
      <c r="CR107" s="14" t="s">
        <v>201</v>
      </c>
      <c r="CS107" s="14" t="s">
        <v>201</v>
      </c>
      <c r="CT107" s="14" t="s">
        <v>201</v>
      </c>
      <c r="CU107" s="14" t="s">
        <v>201</v>
      </c>
      <c r="CV107" s="14" t="s">
        <v>201</v>
      </c>
      <c r="CW107" s="14" t="s">
        <v>201</v>
      </c>
      <c r="CX107" s="14" t="s">
        <v>201</v>
      </c>
      <c r="CY107" s="14" t="s">
        <v>201</v>
      </c>
      <c r="CZ107" s="14" t="s">
        <v>201</v>
      </c>
      <c r="DA107" s="14" t="s">
        <v>201</v>
      </c>
      <c r="DB107" s="14" t="s">
        <v>201</v>
      </c>
      <c r="DC107" s="14" t="s">
        <v>201</v>
      </c>
      <c r="DD107" s="14" t="s">
        <v>201</v>
      </c>
      <c r="DE107" s="14" t="s">
        <v>201</v>
      </c>
      <c r="DF107" s="14" t="s">
        <v>201</v>
      </c>
      <c r="DG107" s="14" t="s">
        <v>201</v>
      </c>
      <c r="DH107" s="14" t="s">
        <v>201</v>
      </c>
      <c r="DI107" s="14" t="s">
        <v>201</v>
      </c>
      <c r="DJ107" s="14" t="s">
        <v>201</v>
      </c>
      <c r="DK107" s="14" t="s">
        <v>201</v>
      </c>
      <c r="DL107" s="14" t="s">
        <v>201</v>
      </c>
      <c r="DM107" s="14" t="s">
        <v>201</v>
      </c>
      <c r="DN107" s="14" t="s">
        <v>201</v>
      </c>
      <c r="DO107" s="14" t="s">
        <v>201</v>
      </c>
      <c r="DP107" s="14" t="s">
        <v>201</v>
      </c>
      <c r="DQ107" s="14" t="s">
        <v>201</v>
      </c>
      <c r="DR107" s="14" t="s">
        <v>201</v>
      </c>
      <c r="DS107" s="14" t="s">
        <v>201</v>
      </c>
      <c r="DT107" s="14" t="s">
        <v>201</v>
      </c>
      <c r="DU107" s="14" t="s">
        <v>201</v>
      </c>
      <c r="DV107" s="14" t="s">
        <v>201</v>
      </c>
      <c r="DW107" s="14" t="s">
        <v>201</v>
      </c>
      <c r="DX107" s="14">
        <v>2.4846625769999999</v>
      </c>
      <c r="DY107" s="14" t="s">
        <v>201</v>
      </c>
      <c r="DZ107" s="15" t="s">
        <v>201</v>
      </c>
      <c r="EA107" s="21" t="s">
        <v>201</v>
      </c>
      <c r="EB107" s="14" t="s">
        <v>201</v>
      </c>
      <c r="EC107" s="14" t="s">
        <v>201</v>
      </c>
      <c r="ED107" s="14" t="s">
        <v>201</v>
      </c>
      <c r="EE107" s="14" t="s">
        <v>201</v>
      </c>
      <c r="EF107" s="14" t="s">
        <v>201</v>
      </c>
      <c r="EG107" s="14" t="s">
        <v>201</v>
      </c>
      <c r="EH107" s="14" t="s">
        <v>201</v>
      </c>
      <c r="EI107" s="14" t="s">
        <v>201</v>
      </c>
      <c r="EJ107" s="14" t="s">
        <v>201</v>
      </c>
      <c r="EK107" s="14" t="s">
        <v>201</v>
      </c>
      <c r="EL107" s="14" t="s">
        <v>201</v>
      </c>
      <c r="EM107" s="14" t="s">
        <v>201</v>
      </c>
      <c r="EN107" s="14" t="s">
        <v>201</v>
      </c>
      <c r="EO107" s="14" t="s">
        <v>201</v>
      </c>
      <c r="EP107" s="14" t="s">
        <v>201</v>
      </c>
      <c r="EQ107" s="14" t="s">
        <v>201</v>
      </c>
      <c r="ER107" s="14" t="s">
        <v>201</v>
      </c>
      <c r="ES107" s="14" t="s">
        <v>201</v>
      </c>
      <c r="ET107" s="14" t="s">
        <v>201</v>
      </c>
      <c r="EU107" s="14" t="s">
        <v>201</v>
      </c>
      <c r="EV107" s="14" t="s">
        <v>201</v>
      </c>
      <c r="EW107" s="14" t="s">
        <v>201</v>
      </c>
      <c r="EX107" s="14" t="s">
        <v>201</v>
      </c>
      <c r="EY107" s="14" t="s">
        <v>201</v>
      </c>
      <c r="EZ107" s="14" t="s">
        <v>201</v>
      </c>
      <c r="FA107" s="14" t="s">
        <v>201</v>
      </c>
      <c r="FB107" s="14" t="s">
        <v>201</v>
      </c>
      <c r="FC107" s="14" t="s">
        <v>201</v>
      </c>
      <c r="FD107" s="14" t="s">
        <v>201</v>
      </c>
      <c r="FE107" s="14" t="s">
        <v>201</v>
      </c>
      <c r="FF107" s="14" t="s">
        <v>201</v>
      </c>
      <c r="FG107" s="14" t="s">
        <v>201</v>
      </c>
      <c r="FH107" s="14" t="s">
        <v>201</v>
      </c>
      <c r="FI107" s="14" t="s">
        <v>201</v>
      </c>
      <c r="FJ107" s="14" t="s">
        <v>201</v>
      </c>
      <c r="FK107" s="14" t="s">
        <v>201</v>
      </c>
      <c r="FL107" s="14" t="s">
        <v>201</v>
      </c>
      <c r="FM107" s="14" t="s">
        <v>201</v>
      </c>
      <c r="FN107" s="14" t="s">
        <v>201</v>
      </c>
      <c r="FO107" s="14" t="s">
        <v>201</v>
      </c>
      <c r="FP107" s="14" t="s">
        <v>201</v>
      </c>
      <c r="FQ107" s="14" t="s">
        <v>201</v>
      </c>
      <c r="FR107" s="14" t="s">
        <v>201</v>
      </c>
      <c r="FS107" s="14" t="s">
        <v>201</v>
      </c>
      <c r="FT107" s="15" t="s">
        <v>200</v>
      </c>
      <c r="FU107" s="15" t="s">
        <v>237</v>
      </c>
      <c r="FV107" s="46" t="s">
        <v>377</v>
      </c>
      <c r="FW107" s="14" t="s">
        <v>201</v>
      </c>
      <c r="FX107" s="14" t="s">
        <v>201</v>
      </c>
      <c r="FY107" s="14" t="s">
        <v>201</v>
      </c>
    </row>
    <row r="108" spans="1:181" s="14" customFormat="1" x14ac:dyDescent="0.15">
      <c r="A108" s="3" t="s">
        <v>258</v>
      </c>
      <c r="B108" s="3" t="s">
        <v>193</v>
      </c>
      <c r="C108">
        <v>2017</v>
      </c>
      <c r="D108" s="22" t="str">
        <f t="shared" si="12"/>
        <v>10.1016/j.epsl.2017.03.016</v>
      </c>
      <c r="E108" s="22">
        <f t="shared" si="13"/>
        <v>3890.45</v>
      </c>
      <c r="F108" s="22" t="str">
        <f t="shared" si="14"/>
        <v>NA</v>
      </c>
      <c r="G108" s="22" t="str">
        <f t="shared" si="15"/>
        <v>NA</v>
      </c>
      <c r="H108" s="22" t="str">
        <f t="shared" si="16"/>
        <v>NA</v>
      </c>
      <c r="I108" s="36" t="str">
        <f t="shared" si="17"/>
        <v>NA</v>
      </c>
      <c r="J108" s="36" t="str">
        <f t="shared" si="18"/>
        <v>NA</v>
      </c>
      <c r="K108" s="17" t="s">
        <v>251</v>
      </c>
      <c r="L108" s="17" t="s">
        <v>252</v>
      </c>
      <c r="M108" s="17" t="s">
        <v>194</v>
      </c>
      <c r="N108" s="17" t="s">
        <v>192</v>
      </c>
      <c r="O108" s="14">
        <v>806</v>
      </c>
      <c r="P108" s="16" t="s">
        <v>189</v>
      </c>
      <c r="Q108" s="16">
        <v>12</v>
      </c>
      <c r="R108" s="14" t="s">
        <v>208</v>
      </c>
      <c r="S108" s="14" t="s">
        <v>209</v>
      </c>
      <c r="T108" s="14">
        <v>1</v>
      </c>
      <c r="U108" s="14">
        <v>60</v>
      </c>
      <c r="V108" s="14" t="s">
        <v>201</v>
      </c>
      <c r="W108" s="14" t="s">
        <v>201</v>
      </c>
      <c r="X108" s="14" t="s">
        <v>201</v>
      </c>
      <c r="Y108" s="14" t="s">
        <v>201</v>
      </c>
      <c r="Z108" s="20">
        <v>102.1</v>
      </c>
      <c r="AA108" s="17" t="s">
        <v>207</v>
      </c>
      <c r="AB108" s="14">
        <v>3890.45</v>
      </c>
      <c r="AC108" s="14" t="s">
        <v>201</v>
      </c>
      <c r="AD108" s="14" t="s">
        <v>201</v>
      </c>
      <c r="AE108" s="14" t="s">
        <v>201</v>
      </c>
      <c r="AF108" s="16" t="s">
        <v>177</v>
      </c>
      <c r="AG108" s="16" t="s">
        <v>179</v>
      </c>
      <c r="AH108" s="19">
        <v>0.31850000000000001</v>
      </c>
      <c r="AI108" s="18">
        <v>159.36150000000001</v>
      </c>
      <c r="AJ108" s="35">
        <v>-2520</v>
      </c>
      <c r="AK108" s="14" t="s">
        <v>201</v>
      </c>
      <c r="AL108" s="14" t="s">
        <v>201</v>
      </c>
      <c r="AM108" s="14" t="s">
        <v>201</v>
      </c>
      <c r="AN108" s="14" t="s">
        <v>201</v>
      </c>
      <c r="AO108" s="16" t="s">
        <v>180</v>
      </c>
      <c r="AP108" s="14" t="s">
        <v>201</v>
      </c>
      <c r="AQ108" s="14" t="s">
        <v>201</v>
      </c>
      <c r="AR108" s="14" t="s">
        <v>201</v>
      </c>
      <c r="AS108" s="14" t="s">
        <v>201</v>
      </c>
      <c r="AT108" s="14" t="s">
        <v>201</v>
      </c>
      <c r="AU108" s="14" t="s">
        <v>201</v>
      </c>
      <c r="AV108" s="14" t="s">
        <v>201</v>
      </c>
      <c r="AW108" s="14" t="s">
        <v>201</v>
      </c>
      <c r="AX108" s="14" t="s">
        <v>201</v>
      </c>
      <c r="AY108" s="14" t="s">
        <v>201</v>
      </c>
      <c r="AZ108" s="14" t="s">
        <v>201</v>
      </c>
      <c r="BA108" s="14" t="s">
        <v>201</v>
      </c>
      <c r="BB108" s="14" t="s">
        <v>201</v>
      </c>
      <c r="BC108" s="14" t="s">
        <v>201</v>
      </c>
      <c r="BD108" s="14" t="s">
        <v>201</v>
      </c>
      <c r="BE108" s="14" t="s">
        <v>201</v>
      </c>
      <c r="BF108" s="14" t="s">
        <v>201</v>
      </c>
      <c r="BG108" s="14" t="s">
        <v>201</v>
      </c>
      <c r="BH108" s="14" t="s">
        <v>201</v>
      </c>
      <c r="BI108" s="14" t="s">
        <v>201</v>
      </c>
      <c r="BJ108" s="14" t="s">
        <v>201</v>
      </c>
      <c r="BK108" s="14" t="s">
        <v>201</v>
      </c>
      <c r="BL108" s="14" t="s">
        <v>201</v>
      </c>
      <c r="BM108" s="14" t="s">
        <v>201</v>
      </c>
      <c r="BN108" s="14" t="s">
        <v>201</v>
      </c>
      <c r="BO108" s="14" t="s">
        <v>201</v>
      </c>
      <c r="BP108" s="14" t="s">
        <v>201</v>
      </c>
      <c r="BQ108" s="14" t="s">
        <v>201</v>
      </c>
      <c r="BR108" s="14" t="s">
        <v>201</v>
      </c>
      <c r="BS108" s="14" t="s">
        <v>201</v>
      </c>
      <c r="BT108" s="14" t="s">
        <v>201</v>
      </c>
      <c r="BU108" s="14" t="s">
        <v>201</v>
      </c>
      <c r="BV108" s="14" t="s">
        <v>201</v>
      </c>
      <c r="BW108" s="14" t="s">
        <v>201</v>
      </c>
      <c r="BX108" s="14" t="s">
        <v>201</v>
      </c>
      <c r="BY108" s="14" t="s">
        <v>201</v>
      </c>
      <c r="BZ108" s="14" t="s">
        <v>201</v>
      </c>
      <c r="CA108" s="14" t="s">
        <v>201</v>
      </c>
      <c r="CB108" s="14" t="s">
        <v>201</v>
      </c>
      <c r="CC108" s="14" t="s">
        <v>201</v>
      </c>
      <c r="CD108" s="14" t="s">
        <v>201</v>
      </c>
      <c r="CE108" s="14" t="s">
        <v>201</v>
      </c>
      <c r="CF108" s="14" t="s">
        <v>201</v>
      </c>
      <c r="CG108" s="14" t="s">
        <v>201</v>
      </c>
      <c r="CH108" s="14" t="s">
        <v>201</v>
      </c>
      <c r="CI108" s="14" t="s">
        <v>201</v>
      </c>
      <c r="CJ108" s="14" t="s">
        <v>201</v>
      </c>
      <c r="CK108" s="14" t="s">
        <v>201</v>
      </c>
      <c r="CL108" s="14" t="s">
        <v>201</v>
      </c>
      <c r="CM108" s="14" t="s">
        <v>201</v>
      </c>
      <c r="CN108" s="14" t="s">
        <v>201</v>
      </c>
      <c r="CO108" s="14" t="s">
        <v>201</v>
      </c>
      <c r="CP108" s="14" t="s">
        <v>201</v>
      </c>
      <c r="CQ108" s="14" t="s">
        <v>201</v>
      </c>
      <c r="CR108" s="14" t="s">
        <v>201</v>
      </c>
      <c r="CS108" s="14" t="s">
        <v>201</v>
      </c>
      <c r="CT108" s="14" t="s">
        <v>201</v>
      </c>
      <c r="CU108" s="14" t="s">
        <v>201</v>
      </c>
      <c r="CV108" s="14" t="s">
        <v>201</v>
      </c>
      <c r="CW108" s="14" t="s">
        <v>201</v>
      </c>
      <c r="CX108" s="14" t="s">
        <v>201</v>
      </c>
      <c r="CY108" s="14" t="s">
        <v>201</v>
      </c>
      <c r="CZ108" s="14" t="s">
        <v>201</v>
      </c>
      <c r="DA108" s="14" t="s">
        <v>201</v>
      </c>
      <c r="DB108" s="14" t="s">
        <v>201</v>
      </c>
      <c r="DC108" s="14" t="s">
        <v>201</v>
      </c>
      <c r="DD108" s="14" t="s">
        <v>201</v>
      </c>
      <c r="DE108" s="14" t="s">
        <v>201</v>
      </c>
      <c r="DF108" s="14" t="s">
        <v>201</v>
      </c>
      <c r="DG108" s="14" t="s">
        <v>201</v>
      </c>
      <c r="DH108" s="14" t="s">
        <v>201</v>
      </c>
      <c r="DI108" s="14" t="s">
        <v>201</v>
      </c>
      <c r="DJ108" s="14" t="s">
        <v>201</v>
      </c>
      <c r="DK108" s="14" t="s">
        <v>201</v>
      </c>
      <c r="DL108" s="14" t="s">
        <v>201</v>
      </c>
      <c r="DM108" s="14" t="s">
        <v>201</v>
      </c>
      <c r="DN108" s="14" t="s">
        <v>201</v>
      </c>
      <c r="DO108" s="14" t="s">
        <v>201</v>
      </c>
      <c r="DP108" s="14" t="s">
        <v>201</v>
      </c>
      <c r="DQ108" s="14" t="s">
        <v>201</v>
      </c>
      <c r="DR108" s="14" t="s">
        <v>201</v>
      </c>
      <c r="DS108" s="14" t="s">
        <v>201</v>
      </c>
      <c r="DT108" s="14" t="s">
        <v>201</v>
      </c>
      <c r="DU108" s="14" t="s">
        <v>201</v>
      </c>
      <c r="DV108" s="14" t="s">
        <v>201</v>
      </c>
      <c r="DW108" s="14" t="s">
        <v>201</v>
      </c>
      <c r="DX108" s="14">
        <v>3.4210526315789473</v>
      </c>
      <c r="DY108" s="14">
        <v>0.83624634308468682</v>
      </c>
      <c r="DZ108" s="14">
        <v>0.83624634308468682</v>
      </c>
      <c r="EA108" s="21" t="s">
        <v>203</v>
      </c>
      <c r="EB108" s="14" t="s">
        <v>201</v>
      </c>
      <c r="EC108" s="14" t="s">
        <v>201</v>
      </c>
      <c r="ED108" s="14" t="s">
        <v>201</v>
      </c>
      <c r="EE108" s="14" t="s">
        <v>201</v>
      </c>
      <c r="EF108" s="14" t="s">
        <v>201</v>
      </c>
      <c r="EG108" s="14" t="s">
        <v>201</v>
      </c>
      <c r="EH108" s="14" t="s">
        <v>201</v>
      </c>
      <c r="EI108" s="14" t="s">
        <v>201</v>
      </c>
      <c r="EJ108" s="14" t="s">
        <v>201</v>
      </c>
      <c r="EK108" s="14" t="s">
        <v>201</v>
      </c>
      <c r="EL108" s="14" t="s">
        <v>201</v>
      </c>
      <c r="EM108" s="14" t="s">
        <v>201</v>
      </c>
      <c r="EN108" s="14" t="s">
        <v>201</v>
      </c>
      <c r="EO108" s="14" t="s">
        <v>201</v>
      </c>
      <c r="EP108" s="14" t="s">
        <v>201</v>
      </c>
      <c r="EQ108" s="14" t="s">
        <v>201</v>
      </c>
      <c r="ER108" s="14" t="s">
        <v>201</v>
      </c>
      <c r="ES108" s="14" t="s">
        <v>201</v>
      </c>
      <c r="ET108" s="14" t="s">
        <v>201</v>
      </c>
      <c r="EU108" s="14" t="s">
        <v>201</v>
      </c>
      <c r="EV108" s="14" t="s">
        <v>201</v>
      </c>
      <c r="EW108" s="14" t="s">
        <v>201</v>
      </c>
      <c r="EX108" s="14" t="s">
        <v>201</v>
      </c>
      <c r="EY108" s="14" t="s">
        <v>201</v>
      </c>
      <c r="EZ108" s="14" t="s">
        <v>201</v>
      </c>
      <c r="FA108" s="14" t="s">
        <v>201</v>
      </c>
      <c r="FB108" s="14" t="s">
        <v>201</v>
      </c>
      <c r="FC108" s="14" t="s">
        <v>201</v>
      </c>
      <c r="FD108" s="14" t="s">
        <v>201</v>
      </c>
      <c r="FE108" s="14" t="s">
        <v>201</v>
      </c>
      <c r="FF108" s="14" t="s">
        <v>201</v>
      </c>
      <c r="FG108" s="14" t="s">
        <v>201</v>
      </c>
      <c r="FH108" s="14" t="s">
        <v>201</v>
      </c>
      <c r="FI108" s="14" t="s">
        <v>201</v>
      </c>
      <c r="FJ108" s="14" t="s">
        <v>201</v>
      </c>
      <c r="FK108" s="14" t="s">
        <v>201</v>
      </c>
      <c r="FL108" s="14" t="s">
        <v>201</v>
      </c>
      <c r="FM108" s="14" t="s">
        <v>201</v>
      </c>
      <c r="FN108" s="14" t="s">
        <v>201</v>
      </c>
      <c r="FO108" s="14" t="s">
        <v>201</v>
      </c>
      <c r="FP108" s="14" t="s">
        <v>201</v>
      </c>
      <c r="FQ108" s="14" t="s">
        <v>201</v>
      </c>
      <c r="FR108" s="14" t="s">
        <v>201</v>
      </c>
      <c r="FS108" s="14" t="s">
        <v>201</v>
      </c>
      <c r="FT108" s="15" t="s">
        <v>200</v>
      </c>
      <c r="FU108" s="15" t="s">
        <v>237</v>
      </c>
      <c r="FV108" s="46" t="s">
        <v>378</v>
      </c>
      <c r="FW108" s="14" t="s">
        <v>201</v>
      </c>
      <c r="FX108" s="14" t="s">
        <v>201</v>
      </c>
      <c r="FY108" s="14" t="s">
        <v>201</v>
      </c>
    </row>
    <row r="109" spans="1:181" s="14" customFormat="1" x14ac:dyDescent="0.15">
      <c r="A109" s="3" t="s">
        <v>258</v>
      </c>
      <c r="B109" s="3" t="s">
        <v>193</v>
      </c>
      <c r="C109">
        <v>2017</v>
      </c>
      <c r="D109" s="22" t="str">
        <f t="shared" si="12"/>
        <v>10.1016/j.epsl.2017.03.016</v>
      </c>
      <c r="E109" s="22">
        <f t="shared" si="13"/>
        <v>4048.07</v>
      </c>
      <c r="F109" s="22" t="str">
        <f t="shared" si="14"/>
        <v>NA</v>
      </c>
      <c r="G109" s="22" t="str">
        <f t="shared" si="15"/>
        <v>NA</v>
      </c>
      <c r="H109" s="22" t="str">
        <f t="shared" si="16"/>
        <v>NA</v>
      </c>
      <c r="I109" s="36" t="str">
        <f t="shared" si="17"/>
        <v>NA</v>
      </c>
      <c r="J109" s="36" t="str">
        <f t="shared" si="18"/>
        <v>NA</v>
      </c>
      <c r="K109" s="17" t="s">
        <v>251</v>
      </c>
      <c r="L109" s="17" t="s">
        <v>252</v>
      </c>
      <c r="M109" s="17" t="s">
        <v>194</v>
      </c>
      <c r="N109" s="17" t="s">
        <v>192</v>
      </c>
      <c r="O109" s="14">
        <v>806</v>
      </c>
      <c r="P109" s="16" t="s">
        <v>189</v>
      </c>
      <c r="Q109" s="16">
        <v>12</v>
      </c>
      <c r="R109" s="14" t="s">
        <v>208</v>
      </c>
      <c r="S109" s="14" t="s">
        <v>209</v>
      </c>
      <c r="T109" s="14">
        <v>6</v>
      </c>
      <c r="U109" s="14">
        <v>80</v>
      </c>
      <c r="V109" s="14" t="s">
        <v>201</v>
      </c>
      <c r="W109" s="14" t="s">
        <v>201</v>
      </c>
      <c r="X109" s="14" t="s">
        <v>201</v>
      </c>
      <c r="Y109" s="14" t="s">
        <v>201</v>
      </c>
      <c r="Z109" s="20">
        <v>109.8</v>
      </c>
      <c r="AA109" s="17" t="s">
        <v>207</v>
      </c>
      <c r="AB109" s="14">
        <v>4048.07</v>
      </c>
      <c r="AC109" s="14" t="s">
        <v>201</v>
      </c>
      <c r="AD109" s="14" t="s">
        <v>201</v>
      </c>
      <c r="AE109" s="14" t="s">
        <v>201</v>
      </c>
      <c r="AF109" s="16" t="s">
        <v>177</v>
      </c>
      <c r="AG109" s="16" t="s">
        <v>179</v>
      </c>
      <c r="AH109" s="19">
        <v>0.31850000000000001</v>
      </c>
      <c r="AI109" s="18">
        <v>159.36150000000001</v>
      </c>
      <c r="AJ109" s="35">
        <v>-2520</v>
      </c>
      <c r="AK109" s="14" t="s">
        <v>201</v>
      </c>
      <c r="AL109" s="14" t="s">
        <v>201</v>
      </c>
      <c r="AM109" s="14" t="s">
        <v>201</v>
      </c>
      <c r="AN109" s="14" t="s">
        <v>201</v>
      </c>
      <c r="AO109" s="16" t="s">
        <v>180</v>
      </c>
      <c r="AP109" s="14" t="s">
        <v>201</v>
      </c>
      <c r="AQ109" s="14" t="s">
        <v>201</v>
      </c>
      <c r="AR109" s="14" t="s">
        <v>201</v>
      </c>
      <c r="AS109" s="14" t="s">
        <v>201</v>
      </c>
      <c r="AT109" s="14" t="s">
        <v>201</v>
      </c>
      <c r="AU109" s="14" t="s">
        <v>201</v>
      </c>
      <c r="AV109" s="14" t="s">
        <v>201</v>
      </c>
      <c r="AW109" s="14" t="s">
        <v>201</v>
      </c>
      <c r="AX109" s="14" t="s">
        <v>201</v>
      </c>
      <c r="AY109" s="14" t="s">
        <v>201</v>
      </c>
      <c r="AZ109" s="14" t="s">
        <v>201</v>
      </c>
      <c r="BA109" s="14" t="s">
        <v>201</v>
      </c>
      <c r="BB109" s="14" t="s">
        <v>201</v>
      </c>
      <c r="BC109" s="14" t="s">
        <v>201</v>
      </c>
      <c r="BD109" s="14" t="s">
        <v>201</v>
      </c>
      <c r="BE109" s="14" t="s">
        <v>201</v>
      </c>
      <c r="BF109" s="14" t="s">
        <v>201</v>
      </c>
      <c r="BG109" s="14" t="s">
        <v>201</v>
      </c>
      <c r="BH109" s="14" t="s">
        <v>201</v>
      </c>
      <c r="BI109" s="14" t="s">
        <v>201</v>
      </c>
      <c r="BJ109" s="14" t="s">
        <v>201</v>
      </c>
      <c r="BK109" s="14" t="s">
        <v>201</v>
      </c>
      <c r="BL109" s="14" t="s">
        <v>201</v>
      </c>
      <c r="BM109" s="14" t="s">
        <v>201</v>
      </c>
      <c r="BN109" s="14" t="s">
        <v>201</v>
      </c>
      <c r="BO109" s="14" t="s">
        <v>201</v>
      </c>
      <c r="BP109" s="14" t="s">
        <v>201</v>
      </c>
      <c r="BQ109" s="14" t="s">
        <v>201</v>
      </c>
      <c r="BR109" s="14" t="s">
        <v>201</v>
      </c>
      <c r="BS109" s="14" t="s">
        <v>201</v>
      </c>
      <c r="BT109" s="14" t="s">
        <v>201</v>
      </c>
      <c r="BU109" s="14" t="s">
        <v>201</v>
      </c>
      <c r="BV109" s="14" t="s">
        <v>201</v>
      </c>
      <c r="BW109" s="14" t="s">
        <v>201</v>
      </c>
      <c r="BX109" s="14" t="s">
        <v>201</v>
      </c>
      <c r="BY109" s="14" t="s">
        <v>201</v>
      </c>
      <c r="BZ109" s="14" t="s">
        <v>201</v>
      </c>
      <c r="CA109" s="14" t="s">
        <v>201</v>
      </c>
      <c r="CB109" s="14" t="s">
        <v>201</v>
      </c>
      <c r="CC109" s="14" t="s">
        <v>201</v>
      </c>
      <c r="CD109" s="14" t="s">
        <v>201</v>
      </c>
      <c r="CE109" s="14" t="s">
        <v>201</v>
      </c>
      <c r="CF109" s="14" t="s">
        <v>201</v>
      </c>
      <c r="CG109" s="14" t="s">
        <v>201</v>
      </c>
      <c r="CH109" s="14" t="s">
        <v>201</v>
      </c>
      <c r="CI109" s="14" t="s">
        <v>201</v>
      </c>
      <c r="CJ109" s="14" t="s">
        <v>201</v>
      </c>
      <c r="CK109" s="14" t="s">
        <v>201</v>
      </c>
      <c r="CL109" s="14" t="s">
        <v>201</v>
      </c>
      <c r="CM109" s="14" t="s">
        <v>201</v>
      </c>
      <c r="CN109" s="14" t="s">
        <v>201</v>
      </c>
      <c r="CO109" s="14" t="s">
        <v>201</v>
      </c>
      <c r="CP109" s="14" t="s">
        <v>201</v>
      </c>
      <c r="CQ109" s="14" t="s">
        <v>201</v>
      </c>
      <c r="CR109" s="14" t="s">
        <v>201</v>
      </c>
      <c r="CS109" s="14" t="s">
        <v>201</v>
      </c>
      <c r="CT109" s="14" t="s">
        <v>201</v>
      </c>
      <c r="CU109" s="14" t="s">
        <v>201</v>
      </c>
      <c r="CV109" s="14" t="s">
        <v>201</v>
      </c>
      <c r="CW109" s="14" t="s">
        <v>201</v>
      </c>
      <c r="CX109" s="14" t="s">
        <v>201</v>
      </c>
      <c r="CY109" s="14" t="s">
        <v>201</v>
      </c>
      <c r="CZ109" s="14" t="s">
        <v>201</v>
      </c>
      <c r="DA109" s="14" t="s">
        <v>201</v>
      </c>
      <c r="DB109" s="14" t="s">
        <v>201</v>
      </c>
      <c r="DC109" s="14" t="s">
        <v>201</v>
      </c>
      <c r="DD109" s="14" t="s">
        <v>201</v>
      </c>
      <c r="DE109" s="14" t="s">
        <v>201</v>
      </c>
      <c r="DF109" s="14" t="s">
        <v>201</v>
      </c>
      <c r="DG109" s="14" t="s">
        <v>201</v>
      </c>
      <c r="DH109" s="14" t="s">
        <v>201</v>
      </c>
      <c r="DI109" s="14" t="s">
        <v>201</v>
      </c>
      <c r="DJ109" s="14" t="s">
        <v>201</v>
      </c>
      <c r="DK109" s="14" t="s">
        <v>201</v>
      </c>
      <c r="DL109" s="14" t="s">
        <v>201</v>
      </c>
      <c r="DM109" s="14" t="s">
        <v>201</v>
      </c>
      <c r="DN109" s="14" t="s">
        <v>201</v>
      </c>
      <c r="DO109" s="14" t="s">
        <v>201</v>
      </c>
      <c r="DP109" s="14" t="s">
        <v>201</v>
      </c>
      <c r="DQ109" s="14" t="s">
        <v>201</v>
      </c>
      <c r="DR109" s="14" t="s">
        <v>201</v>
      </c>
      <c r="DS109" s="14" t="s">
        <v>201</v>
      </c>
      <c r="DT109" s="14" t="s">
        <v>201</v>
      </c>
      <c r="DU109" s="14" t="s">
        <v>201</v>
      </c>
      <c r="DV109" s="14" t="s">
        <v>201</v>
      </c>
      <c r="DW109" s="14" t="s">
        <v>201</v>
      </c>
      <c r="DX109" s="14">
        <v>3.975609756097561</v>
      </c>
      <c r="DY109" s="14">
        <v>1.7433098146406314</v>
      </c>
      <c r="DZ109" s="14">
        <v>1.7433098146406314</v>
      </c>
      <c r="EA109" s="21" t="s">
        <v>203</v>
      </c>
      <c r="EB109" s="14" t="s">
        <v>201</v>
      </c>
      <c r="EC109" s="14" t="s">
        <v>201</v>
      </c>
      <c r="ED109" s="14" t="s">
        <v>201</v>
      </c>
      <c r="EE109" s="14" t="s">
        <v>201</v>
      </c>
      <c r="EF109" s="14" t="s">
        <v>201</v>
      </c>
      <c r="EG109" s="14" t="s">
        <v>201</v>
      </c>
      <c r="EH109" s="14" t="s">
        <v>201</v>
      </c>
      <c r="EI109" s="14" t="s">
        <v>201</v>
      </c>
      <c r="EJ109" s="14" t="s">
        <v>201</v>
      </c>
      <c r="EK109" s="14" t="s">
        <v>201</v>
      </c>
      <c r="EL109" s="14" t="s">
        <v>201</v>
      </c>
      <c r="EM109" s="14" t="s">
        <v>201</v>
      </c>
      <c r="EN109" s="14" t="s">
        <v>201</v>
      </c>
      <c r="EO109" s="14" t="s">
        <v>201</v>
      </c>
      <c r="EP109" s="14" t="s">
        <v>201</v>
      </c>
      <c r="EQ109" s="14" t="s">
        <v>201</v>
      </c>
      <c r="ER109" s="14" t="s">
        <v>201</v>
      </c>
      <c r="ES109" s="14" t="s">
        <v>201</v>
      </c>
      <c r="ET109" s="14" t="s">
        <v>201</v>
      </c>
      <c r="EU109" s="14" t="s">
        <v>201</v>
      </c>
      <c r="EV109" s="14" t="s">
        <v>201</v>
      </c>
      <c r="EW109" s="14" t="s">
        <v>201</v>
      </c>
      <c r="EX109" s="14" t="s">
        <v>201</v>
      </c>
      <c r="EY109" s="14" t="s">
        <v>201</v>
      </c>
      <c r="EZ109" s="14" t="s">
        <v>201</v>
      </c>
      <c r="FA109" s="14" t="s">
        <v>201</v>
      </c>
      <c r="FB109" s="14" t="s">
        <v>201</v>
      </c>
      <c r="FC109" s="14" t="s">
        <v>201</v>
      </c>
      <c r="FD109" s="14" t="s">
        <v>201</v>
      </c>
      <c r="FE109" s="14" t="s">
        <v>201</v>
      </c>
      <c r="FF109" s="14" t="s">
        <v>201</v>
      </c>
      <c r="FG109" s="14" t="s">
        <v>201</v>
      </c>
      <c r="FH109" s="14" t="s">
        <v>201</v>
      </c>
      <c r="FI109" s="14" t="s">
        <v>201</v>
      </c>
      <c r="FJ109" s="14" t="s">
        <v>201</v>
      </c>
      <c r="FK109" s="14" t="s">
        <v>201</v>
      </c>
      <c r="FL109" s="14" t="s">
        <v>201</v>
      </c>
      <c r="FM109" s="14" t="s">
        <v>201</v>
      </c>
      <c r="FN109" s="14" t="s">
        <v>201</v>
      </c>
      <c r="FO109" s="14" t="s">
        <v>201</v>
      </c>
      <c r="FP109" s="14" t="s">
        <v>201</v>
      </c>
      <c r="FQ109" s="14" t="s">
        <v>201</v>
      </c>
      <c r="FR109" s="14" t="s">
        <v>201</v>
      </c>
      <c r="FS109" s="14" t="s">
        <v>201</v>
      </c>
      <c r="FT109" s="15" t="s">
        <v>200</v>
      </c>
      <c r="FU109" s="15" t="s">
        <v>237</v>
      </c>
      <c r="FV109" s="46" t="s">
        <v>379</v>
      </c>
      <c r="FW109" s="14" t="s">
        <v>201</v>
      </c>
      <c r="FX109" s="14" t="s">
        <v>201</v>
      </c>
      <c r="FY109" s="14" t="s">
        <v>201</v>
      </c>
    </row>
    <row r="110" spans="1:181" s="14" customFormat="1" x14ac:dyDescent="0.15">
      <c r="A110" s="3" t="s">
        <v>258</v>
      </c>
      <c r="B110" s="3" t="s">
        <v>193</v>
      </c>
      <c r="C110">
        <v>2017</v>
      </c>
      <c r="D110" s="22" t="str">
        <f t="shared" si="12"/>
        <v>10.1016/j.epsl.2017.03.016</v>
      </c>
      <c r="E110" s="22">
        <f t="shared" si="13"/>
        <v>4205.6899999999996</v>
      </c>
      <c r="F110" s="22" t="str">
        <f t="shared" si="14"/>
        <v>NA</v>
      </c>
      <c r="G110" s="22" t="str">
        <f t="shared" si="15"/>
        <v>NA</v>
      </c>
      <c r="H110" s="22" t="str">
        <f t="shared" si="16"/>
        <v>NA</v>
      </c>
      <c r="I110" s="36" t="str">
        <f t="shared" si="17"/>
        <v>NA</v>
      </c>
      <c r="J110" s="36" t="str">
        <f t="shared" si="18"/>
        <v>NA</v>
      </c>
      <c r="K110" s="17" t="s">
        <v>251</v>
      </c>
      <c r="L110" s="17" t="s">
        <v>252</v>
      </c>
      <c r="M110" s="17" t="s">
        <v>194</v>
      </c>
      <c r="N110" s="17" t="s">
        <v>192</v>
      </c>
      <c r="O110" s="14">
        <v>806</v>
      </c>
      <c r="P110" s="16" t="s">
        <v>189</v>
      </c>
      <c r="Q110" s="16">
        <v>13</v>
      </c>
      <c r="R110" s="14" t="s">
        <v>208</v>
      </c>
      <c r="S110" s="14" t="s">
        <v>209</v>
      </c>
      <c r="T110" s="14">
        <v>5</v>
      </c>
      <c r="U110" s="14">
        <v>50</v>
      </c>
      <c r="V110" s="14" t="s">
        <v>201</v>
      </c>
      <c r="W110" s="14" t="s">
        <v>201</v>
      </c>
      <c r="X110" s="14" t="s">
        <v>201</v>
      </c>
      <c r="Y110" s="14" t="s">
        <v>201</v>
      </c>
      <c r="Z110" s="20">
        <v>117.5</v>
      </c>
      <c r="AA110" s="17" t="s">
        <v>207</v>
      </c>
      <c r="AB110" s="14">
        <v>4205.6899999999996</v>
      </c>
      <c r="AC110" s="14" t="s">
        <v>201</v>
      </c>
      <c r="AD110" s="14" t="s">
        <v>201</v>
      </c>
      <c r="AE110" s="14" t="s">
        <v>201</v>
      </c>
      <c r="AF110" s="16" t="s">
        <v>177</v>
      </c>
      <c r="AG110" s="16" t="s">
        <v>179</v>
      </c>
      <c r="AH110" s="19">
        <v>0.31850000000000001</v>
      </c>
      <c r="AI110" s="18">
        <v>159.36150000000001</v>
      </c>
      <c r="AJ110" s="35">
        <v>-2520</v>
      </c>
      <c r="AK110" s="14" t="s">
        <v>201</v>
      </c>
      <c r="AL110" s="14" t="s">
        <v>201</v>
      </c>
      <c r="AM110" s="14" t="s">
        <v>201</v>
      </c>
      <c r="AN110" s="14" t="s">
        <v>201</v>
      </c>
      <c r="AO110" s="16" t="s">
        <v>180</v>
      </c>
      <c r="AP110" s="14" t="s">
        <v>201</v>
      </c>
      <c r="AQ110" s="14" t="s">
        <v>201</v>
      </c>
      <c r="AR110" s="14" t="s">
        <v>201</v>
      </c>
      <c r="AS110" s="14" t="s">
        <v>201</v>
      </c>
      <c r="AT110" s="14" t="s">
        <v>201</v>
      </c>
      <c r="AU110" s="14" t="s">
        <v>201</v>
      </c>
      <c r="AV110" s="14" t="s">
        <v>201</v>
      </c>
      <c r="AW110" s="14" t="s">
        <v>201</v>
      </c>
      <c r="AX110" s="14" t="s">
        <v>201</v>
      </c>
      <c r="AY110" s="14" t="s">
        <v>201</v>
      </c>
      <c r="AZ110" s="14" t="s">
        <v>201</v>
      </c>
      <c r="BA110" s="14" t="s">
        <v>201</v>
      </c>
      <c r="BB110" s="14" t="s">
        <v>201</v>
      </c>
      <c r="BC110" s="14" t="s">
        <v>201</v>
      </c>
      <c r="BD110" s="14" t="s">
        <v>201</v>
      </c>
      <c r="BE110" s="14" t="s">
        <v>201</v>
      </c>
      <c r="BF110" s="14" t="s">
        <v>201</v>
      </c>
      <c r="BG110" s="14" t="s">
        <v>201</v>
      </c>
      <c r="BH110" s="14" t="s">
        <v>201</v>
      </c>
      <c r="BI110" s="14" t="s">
        <v>201</v>
      </c>
      <c r="BJ110" s="14" t="s">
        <v>201</v>
      </c>
      <c r="BK110" s="14" t="s">
        <v>201</v>
      </c>
      <c r="BL110" s="14" t="s">
        <v>201</v>
      </c>
      <c r="BM110" s="14" t="s">
        <v>201</v>
      </c>
      <c r="BN110" s="14" t="s">
        <v>201</v>
      </c>
      <c r="BO110" s="14" t="s">
        <v>201</v>
      </c>
      <c r="BP110" s="14" t="s">
        <v>201</v>
      </c>
      <c r="BQ110" s="14" t="s">
        <v>201</v>
      </c>
      <c r="BR110" s="14" t="s">
        <v>201</v>
      </c>
      <c r="BS110" s="14" t="s">
        <v>201</v>
      </c>
      <c r="BT110" s="14" t="s">
        <v>201</v>
      </c>
      <c r="BU110" s="14" t="s">
        <v>201</v>
      </c>
      <c r="BV110" s="14" t="s">
        <v>201</v>
      </c>
      <c r="BW110" s="14" t="s">
        <v>201</v>
      </c>
      <c r="BX110" s="14" t="s">
        <v>201</v>
      </c>
      <c r="BY110" s="14" t="s">
        <v>201</v>
      </c>
      <c r="BZ110" s="14" t="s">
        <v>201</v>
      </c>
      <c r="CA110" s="14" t="s">
        <v>201</v>
      </c>
      <c r="CB110" s="14" t="s">
        <v>201</v>
      </c>
      <c r="CC110" s="14" t="s">
        <v>201</v>
      </c>
      <c r="CD110" s="14" t="s">
        <v>201</v>
      </c>
      <c r="CE110" s="14" t="s">
        <v>201</v>
      </c>
      <c r="CF110" s="14" t="s">
        <v>201</v>
      </c>
      <c r="CG110" s="14" t="s">
        <v>201</v>
      </c>
      <c r="CH110" s="14" t="s">
        <v>201</v>
      </c>
      <c r="CI110" s="14" t="s">
        <v>201</v>
      </c>
      <c r="CJ110" s="14" t="s">
        <v>201</v>
      </c>
      <c r="CK110" s="14" t="s">
        <v>201</v>
      </c>
      <c r="CL110" s="14" t="s">
        <v>201</v>
      </c>
      <c r="CM110" s="14" t="s">
        <v>201</v>
      </c>
      <c r="CN110" s="14" t="s">
        <v>201</v>
      </c>
      <c r="CO110" s="14" t="s">
        <v>201</v>
      </c>
      <c r="CP110" s="14" t="s">
        <v>201</v>
      </c>
      <c r="CQ110" s="14" t="s">
        <v>201</v>
      </c>
      <c r="CR110" s="14" t="s">
        <v>201</v>
      </c>
      <c r="CS110" s="14" t="s">
        <v>201</v>
      </c>
      <c r="CT110" s="14" t="s">
        <v>201</v>
      </c>
      <c r="CU110" s="14" t="s">
        <v>201</v>
      </c>
      <c r="CV110" s="14" t="s">
        <v>201</v>
      </c>
      <c r="CW110" s="14" t="s">
        <v>201</v>
      </c>
      <c r="CX110" s="14" t="s">
        <v>201</v>
      </c>
      <c r="CY110" s="14" t="s">
        <v>201</v>
      </c>
      <c r="CZ110" s="14" t="s">
        <v>201</v>
      </c>
      <c r="DA110" s="14" t="s">
        <v>201</v>
      </c>
      <c r="DB110" s="14" t="s">
        <v>201</v>
      </c>
      <c r="DC110" s="14" t="s">
        <v>201</v>
      </c>
      <c r="DD110" s="14" t="s">
        <v>201</v>
      </c>
      <c r="DE110" s="14" t="s">
        <v>201</v>
      </c>
      <c r="DF110" s="14" t="s">
        <v>201</v>
      </c>
      <c r="DG110" s="14" t="s">
        <v>201</v>
      </c>
      <c r="DH110" s="14" t="s">
        <v>201</v>
      </c>
      <c r="DI110" s="14" t="s">
        <v>201</v>
      </c>
      <c r="DJ110" s="14" t="s">
        <v>201</v>
      </c>
      <c r="DK110" s="14" t="s">
        <v>201</v>
      </c>
      <c r="DL110" s="14" t="s">
        <v>201</v>
      </c>
      <c r="DM110" s="14" t="s">
        <v>201</v>
      </c>
      <c r="DN110" s="14" t="s">
        <v>201</v>
      </c>
      <c r="DO110" s="14" t="s">
        <v>201</v>
      </c>
      <c r="DP110" s="14" t="s">
        <v>201</v>
      </c>
      <c r="DQ110" s="14" t="s">
        <v>201</v>
      </c>
      <c r="DR110" s="14" t="s">
        <v>201</v>
      </c>
      <c r="DS110" s="14" t="s">
        <v>201</v>
      </c>
      <c r="DT110" s="14" t="s">
        <v>201</v>
      </c>
      <c r="DU110" s="14" t="s">
        <v>201</v>
      </c>
      <c r="DV110" s="14" t="s">
        <v>201</v>
      </c>
      <c r="DW110" s="14" t="s">
        <v>201</v>
      </c>
      <c r="DX110" s="14">
        <v>3.6986301369863011</v>
      </c>
      <c r="DY110" s="14">
        <v>1.3562935033515571</v>
      </c>
      <c r="DZ110" s="14">
        <v>1.3562935033515571</v>
      </c>
      <c r="EA110" s="21" t="s">
        <v>203</v>
      </c>
      <c r="EB110" s="14" t="s">
        <v>201</v>
      </c>
      <c r="EC110" s="14" t="s">
        <v>201</v>
      </c>
      <c r="ED110" s="14" t="s">
        <v>201</v>
      </c>
      <c r="EE110" s="14" t="s">
        <v>201</v>
      </c>
      <c r="EF110" s="14" t="s">
        <v>201</v>
      </c>
      <c r="EG110" s="14" t="s">
        <v>201</v>
      </c>
      <c r="EH110" s="14" t="s">
        <v>201</v>
      </c>
      <c r="EI110" s="14" t="s">
        <v>201</v>
      </c>
      <c r="EJ110" s="14" t="s">
        <v>201</v>
      </c>
      <c r="EK110" s="14" t="s">
        <v>201</v>
      </c>
      <c r="EL110" s="14" t="s">
        <v>201</v>
      </c>
      <c r="EM110" s="14" t="s">
        <v>201</v>
      </c>
      <c r="EN110" s="14" t="s">
        <v>201</v>
      </c>
      <c r="EO110" s="14" t="s">
        <v>201</v>
      </c>
      <c r="EP110" s="14" t="s">
        <v>201</v>
      </c>
      <c r="EQ110" s="14" t="s">
        <v>201</v>
      </c>
      <c r="ER110" s="14" t="s">
        <v>201</v>
      </c>
      <c r="ES110" s="14" t="s">
        <v>201</v>
      </c>
      <c r="ET110" s="14" t="s">
        <v>201</v>
      </c>
      <c r="EU110" s="14" t="s">
        <v>201</v>
      </c>
      <c r="EV110" s="14" t="s">
        <v>201</v>
      </c>
      <c r="EW110" s="14" t="s">
        <v>201</v>
      </c>
      <c r="EX110" s="14" t="s">
        <v>201</v>
      </c>
      <c r="EY110" s="14" t="s">
        <v>201</v>
      </c>
      <c r="EZ110" s="14" t="s">
        <v>201</v>
      </c>
      <c r="FA110" s="14" t="s">
        <v>201</v>
      </c>
      <c r="FB110" s="14" t="s">
        <v>201</v>
      </c>
      <c r="FC110" s="14" t="s">
        <v>201</v>
      </c>
      <c r="FD110" s="14" t="s">
        <v>201</v>
      </c>
      <c r="FE110" s="14" t="s">
        <v>201</v>
      </c>
      <c r="FF110" s="14" t="s">
        <v>201</v>
      </c>
      <c r="FG110" s="14" t="s">
        <v>201</v>
      </c>
      <c r="FH110" s="14" t="s">
        <v>201</v>
      </c>
      <c r="FI110" s="14" t="s">
        <v>201</v>
      </c>
      <c r="FJ110" s="14" t="s">
        <v>201</v>
      </c>
      <c r="FK110" s="14" t="s">
        <v>201</v>
      </c>
      <c r="FL110" s="14" t="s">
        <v>201</v>
      </c>
      <c r="FM110" s="14" t="s">
        <v>201</v>
      </c>
      <c r="FN110" s="14" t="s">
        <v>201</v>
      </c>
      <c r="FO110" s="14" t="s">
        <v>201</v>
      </c>
      <c r="FP110" s="14" t="s">
        <v>201</v>
      </c>
      <c r="FQ110" s="14" t="s">
        <v>201</v>
      </c>
      <c r="FR110" s="14" t="s">
        <v>201</v>
      </c>
      <c r="FS110" s="14" t="s">
        <v>201</v>
      </c>
      <c r="FT110" s="15" t="s">
        <v>200</v>
      </c>
      <c r="FU110" s="15" t="s">
        <v>237</v>
      </c>
      <c r="FV110" s="46" t="s">
        <v>380</v>
      </c>
      <c r="FW110" s="14" t="s">
        <v>201</v>
      </c>
      <c r="FX110" s="14" t="s">
        <v>201</v>
      </c>
      <c r="FY110" s="14" t="s">
        <v>201</v>
      </c>
    </row>
    <row r="111" spans="1:181" s="14" customFormat="1" x14ac:dyDescent="0.15">
      <c r="A111" s="3" t="s">
        <v>258</v>
      </c>
      <c r="B111" s="3" t="s">
        <v>193</v>
      </c>
      <c r="C111">
        <v>2017</v>
      </c>
      <c r="D111" s="22" t="str">
        <f t="shared" si="12"/>
        <v>10.1016/j.epsl.2017.03.016</v>
      </c>
      <c r="E111" s="22">
        <f t="shared" si="13"/>
        <v>4353.08</v>
      </c>
      <c r="F111" s="22" t="str">
        <f t="shared" si="14"/>
        <v>NA</v>
      </c>
      <c r="G111" s="22" t="str">
        <f t="shared" si="15"/>
        <v>NA</v>
      </c>
      <c r="H111" s="22" t="str">
        <f t="shared" si="16"/>
        <v>NA</v>
      </c>
      <c r="I111" s="36" t="str">
        <f t="shared" si="17"/>
        <v>NA</v>
      </c>
      <c r="J111" s="36" t="str">
        <f t="shared" si="18"/>
        <v>NA</v>
      </c>
      <c r="K111" s="17" t="s">
        <v>251</v>
      </c>
      <c r="L111" s="17" t="s">
        <v>252</v>
      </c>
      <c r="M111" s="17" t="s">
        <v>194</v>
      </c>
      <c r="N111" s="17" t="s">
        <v>192</v>
      </c>
      <c r="O111" s="14">
        <v>806</v>
      </c>
      <c r="P111" s="16" t="s">
        <v>189</v>
      </c>
      <c r="Q111" s="16">
        <v>14</v>
      </c>
      <c r="R111" s="14" t="s">
        <v>208</v>
      </c>
      <c r="S111" s="14" t="s">
        <v>209</v>
      </c>
      <c r="T111" s="14">
        <v>3</v>
      </c>
      <c r="U111" s="14">
        <v>120</v>
      </c>
      <c r="V111" s="14" t="s">
        <v>201</v>
      </c>
      <c r="W111" s="14" t="s">
        <v>201</v>
      </c>
      <c r="X111" s="14" t="s">
        <v>201</v>
      </c>
      <c r="Y111" s="14" t="s">
        <v>201</v>
      </c>
      <c r="Z111" s="20">
        <v>124.7</v>
      </c>
      <c r="AA111" s="17" t="s">
        <v>207</v>
      </c>
      <c r="AB111" s="14">
        <v>4353.08</v>
      </c>
      <c r="AC111" s="14" t="s">
        <v>201</v>
      </c>
      <c r="AD111" s="14" t="s">
        <v>201</v>
      </c>
      <c r="AE111" s="14" t="s">
        <v>201</v>
      </c>
      <c r="AF111" s="16" t="s">
        <v>177</v>
      </c>
      <c r="AG111" s="16" t="s">
        <v>179</v>
      </c>
      <c r="AH111" s="19">
        <v>0.31850000000000001</v>
      </c>
      <c r="AI111" s="18">
        <v>159.36150000000001</v>
      </c>
      <c r="AJ111" s="35">
        <v>-2520</v>
      </c>
      <c r="AK111" s="14" t="s">
        <v>201</v>
      </c>
      <c r="AL111" s="14" t="s">
        <v>201</v>
      </c>
      <c r="AM111" s="14" t="s">
        <v>201</v>
      </c>
      <c r="AN111" s="14" t="s">
        <v>201</v>
      </c>
      <c r="AO111" s="16" t="s">
        <v>180</v>
      </c>
      <c r="AP111" s="14" t="s">
        <v>201</v>
      </c>
      <c r="AQ111" s="14" t="s">
        <v>201</v>
      </c>
      <c r="AR111" s="14" t="s">
        <v>201</v>
      </c>
      <c r="AS111" s="14" t="s">
        <v>201</v>
      </c>
      <c r="AT111" s="14" t="s">
        <v>201</v>
      </c>
      <c r="AU111" s="14" t="s">
        <v>201</v>
      </c>
      <c r="AV111" s="14" t="s">
        <v>201</v>
      </c>
      <c r="AW111" s="14" t="s">
        <v>201</v>
      </c>
      <c r="AX111" s="14" t="s">
        <v>201</v>
      </c>
      <c r="AY111" s="14" t="s">
        <v>201</v>
      </c>
      <c r="AZ111" s="14" t="s">
        <v>201</v>
      </c>
      <c r="BA111" s="14" t="s">
        <v>201</v>
      </c>
      <c r="BB111" s="14" t="s">
        <v>201</v>
      </c>
      <c r="BC111" s="14" t="s">
        <v>201</v>
      </c>
      <c r="BD111" s="14" t="s">
        <v>201</v>
      </c>
      <c r="BE111" s="14" t="s">
        <v>201</v>
      </c>
      <c r="BF111" s="14" t="s">
        <v>201</v>
      </c>
      <c r="BG111" s="14" t="s">
        <v>201</v>
      </c>
      <c r="BH111" s="14" t="s">
        <v>201</v>
      </c>
      <c r="BI111" s="14" t="s">
        <v>201</v>
      </c>
      <c r="BJ111" s="14" t="s">
        <v>201</v>
      </c>
      <c r="BK111" s="14" t="s">
        <v>201</v>
      </c>
      <c r="BL111" s="14" t="s">
        <v>201</v>
      </c>
      <c r="BM111" s="14" t="s">
        <v>201</v>
      </c>
      <c r="BN111" s="14" t="s">
        <v>201</v>
      </c>
      <c r="BO111" s="14" t="s">
        <v>201</v>
      </c>
      <c r="BP111" s="14" t="s">
        <v>201</v>
      </c>
      <c r="BQ111" s="14" t="s">
        <v>201</v>
      </c>
      <c r="BR111" s="14" t="s">
        <v>201</v>
      </c>
      <c r="BS111" s="14" t="s">
        <v>201</v>
      </c>
      <c r="BT111" s="14" t="s">
        <v>201</v>
      </c>
      <c r="BU111" s="14" t="s">
        <v>201</v>
      </c>
      <c r="BV111" s="14" t="s">
        <v>201</v>
      </c>
      <c r="BW111" s="14" t="s">
        <v>201</v>
      </c>
      <c r="BX111" s="14" t="s">
        <v>201</v>
      </c>
      <c r="BY111" s="14" t="s">
        <v>201</v>
      </c>
      <c r="BZ111" s="14" t="s">
        <v>201</v>
      </c>
      <c r="CA111" s="14" t="s">
        <v>201</v>
      </c>
      <c r="CB111" s="14" t="s">
        <v>201</v>
      </c>
      <c r="CC111" s="14" t="s">
        <v>201</v>
      </c>
      <c r="CD111" s="14" t="s">
        <v>201</v>
      </c>
      <c r="CE111" s="14" t="s">
        <v>201</v>
      </c>
      <c r="CF111" s="14" t="s">
        <v>201</v>
      </c>
      <c r="CG111" s="14" t="s">
        <v>201</v>
      </c>
      <c r="CH111" s="14" t="s">
        <v>201</v>
      </c>
      <c r="CI111" s="14" t="s">
        <v>201</v>
      </c>
      <c r="CJ111" s="14" t="s">
        <v>201</v>
      </c>
      <c r="CK111" s="14" t="s">
        <v>201</v>
      </c>
      <c r="CL111" s="14" t="s">
        <v>201</v>
      </c>
      <c r="CM111" s="14" t="s">
        <v>201</v>
      </c>
      <c r="CN111" s="14" t="s">
        <v>201</v>
      </c>
      <c r="CO111" s="14" t="s">
        <v>201</v>
      </c>
      <c r="CP111" s="14" t="s">
        <v>201</v>
      </c>
      <c r="CQ111" s="14" t="s">
        <v>201</v>
      </c>
      <c r="CR111" s="14" t="s">
        <v>201</v>
      </c>
      <c r="CS111" s="14" t="s">
        <v>201</v>
      </c>
      <c r="CT111" s="14" t="s">
        <v>201</v>
      </c>
      <c r="CU111" s="14" t="s">
        <v>201</v>
      </c>
      <c r="CV111" s="14" t="s">
        <v>201</v>
      </c>
      <c r="CW111" s="14" t="s">
        <v>201</v>
      </c>
      <c r="CX111" s="14" t="s">
        <v>201</v>
      </c>
      <c r="CY111" s="14" t="s">
        <v>201</v>
      </c>
      <c r="CZ111" s="14" t="s">
        <v>201</v>
      </c>
      <c r="DA111" s="14" t="s">
        <v>201</v>
      </c>
      <c r="DB111" s="14" t="s">
        <v>201</v>
      </c>
      <c r="DC111" s="14" t="s">
        <v>201</v>
      </c>
      <c r="DD111" s="14" t="s">
        <v>201</v>
      </c>
      <c r="DE111" s="14" t="s">
        <v>201</v>
      </c>
      <c r="DF111" s="14" t="s">
        <v>201</v>
      </c>
      <c r="DG111" s="14" t="s">
        <v>201</v>
      </c>
      <c r="DH111" s="14" t="s">
        <v>201</v>
      </c>
      <c r="DI111" s="14" t="s">
        <v>201</v>
      </c>
      <c r="DJ111" s="14" t="s">
        <v>201</v>
      </c>
      <c r="DK111" s="14" t="s">
        <v>201</v>
      </c>
      <c r="DL111" s="14" t="s">
        <v>201</v>
      </c>
      <c r="DM111" s="14" t="s">
        <v>201</v>
      </c>
      <c r="DN111" s="14" t="s">
        <v>201</v>
      </c>
      <c r="DO111" s="14" t="s">
        <v>201</v>
      </c>
      <c r="DP111" s="14" t="s">
        <v>201</v>
      </c>
      <c r="DQ111" s="14" t="s">
        <v>201</v>
      </c>
      <c r="DR111" s="14" t="s">
        <v>201</v>
      </c>
      <c r="DS111" s="14" t="s">
        <v>201</v>
      </c>
      <c r="DT111" s="14" t="s">
        <v>201</v>
      </c>
      <c r="DU111" s="14" t="s">
        <v>201</v>
      </c>
      <c r="DV111" s="14" t="s">
        <v>201</v>
      </c>
      <c r="DW111" s="14" t="s">
        <v>201</v>
      </c>
      <c r="DX111" s="14">
        <v>3.6974789869999998</v>
      </c>
      <c r="DY111" s="14">
        <v>1.1906684289452436</v>
      </c>
      <c r="DZ111" s="14">
        <v>1.1906684289452436</v>
      </c>
      <c r="EA111" s="21" t="s">
        <v>203</v>
      </c>
      <c r="EB111" s="14" t="s">
        <v>201</v>
      </c>
      <c r="EC111" s="14" t="s">
        <v>201</v>
      </c>
      <c r="ED111" s="14" t="s">
        <v>201</v>
      </c>
      <c r="EE111" s="14" t="s">
        <v>201</v>
      </c>
      <c r="EF111" s="14" t="s">
        <v>201</v>
      </c>
      <c r="EG111" s="14" t="s">
        <v>201</v>
      </c>
      <c r="EH111" s="14" t="s">
        <v>201</v>
      </c>
      <c r="EI111" s="14" t="s">
        <v>201</v>
      </c>
      <c r="EJ111" s="14" t="s">
        <v>201</v>
      </c>
      <c r="EK111" s="14" t="s">
        <v>201</v>
      </c>
      <c r="EL111" s="14" t="s">
        <v>201</v>
      </c>
      <c r="EM111" s="14" t="s">
        <v>201</v>
      </c>
      <c r="EN111" s="14" t="s">
        <v>201</v>
      </c>
      <c r="EO111" s="14" t="s">
        <v>201</v>
      </c>
      <c r="EP111" s="14" t="s">
        <v>201</v>
      </c>
      <c r="EQ111" s="14" t="s">
        <v>201</v>
      </c>
      <c r="ER111" s="14" t="s">
        <v>201</v>
      </c>
      <c r="ES111" s="14" t="s">
        <v>201</v>
      </c>
      <c r="ET111" s="14" t="s">
        <v>201</v>
      </c>
      <c r="EU111" s="14" t="s">
        <v>201</v>
      </c>
      <c r="EV111" s="14" t="s">
        <v>201</v>
      </c>
      <c r="EW111" s="14" t="s">
        <v>201</v>
      </c>
      <c r="EX111" s="14" t="s">
        <v>201</v>
      </c>
      <c r="EY111" s="14" t="s">
        <v>201</v>
      </c>
      <c r="EZ111" s="14" t="s">
        <v>201</v>
      </c>
      <c r="FA111" s="14" t="s">
        <v>201</v>
      </c>
      <c r="FB111" s="14" t="s">
        <v>201</v>
      </c>
      <c r="FC111" s="14" t="s">
        <v>201</v>
      </c>
      <c r="FD111" s="14" t="s">
        <v>201</v>
      </c>
      <c r="FE111" s="14" t="s">
        <v>201</v>
      </c>
      <c r="FF111" s="14" t="s">
        <v>201</v>
      </c>
      <c r="FG111" s="14" t="s">
        <v>201</v>
      </c>
      <c r="FH111" s="14" t="s">
        <v>201</v>
      </c>
      <c r="FI111" s="14" t="s">
        <v>201</v>
      </c>
      <c r="FJ111" s="14" t="s">
        <v>201</v>
      </c>
      <c r="FK111" s="14" t="s">
        <v>201</v>
      </c>
      <c r="FL111" s="14" t="s">
        <v>201</v>
      </c>
      <c r="FM111" s="14" t="s">
        <v>201</v>
      </c>
      <c r="FN111" s="14" t="s">
        <v>201</v>
      </c>
      <c r="FO111" s="14" t="s">
        <v>201</v>
      </c>
      <c r="FP111" s="14" t="s">
        <v>201</v>
      </c>
      <c r="FQ111" s="14" t="s">
        <v>201</v>
      </c>
      <c r="FR111" s="14" t="s">
        <v>201</v>
      </c>
      <c r="FS111" s="14" t="s">
        <v>201</v>
      </c>
      <c r="FT111" s="15" t="s">
        <v>200</v>
      </c>
      <c r="FU111" s="15" t="s">
        <v>237</v>
      </c>
      <c r="FV111" s="46" t="s">
        <v>381</v>
      </c>
      <c r="FW111" s="14" t="s">
        <v>201</v>
      </c>
      <c r="FX111" s="14" t="s">
        <v>201</v>
      </c>
      <c r="FY111" s="14" t="s">
        <v>201</v>
      </c>
    </row>
    <row r="112" spans="1:181" s="14" customFormat="1" x14ac:dyDescent="0.15">
      <c r="A112" s="3" t="s">
        <v>258</v>
      </c>
      <c r="B112" s="3" t="s">
        <v>193</v>
      </c>
      <c r="C112">
        <v>2017</v>
      </c>
      <c r="D112" s="22" t="str">
        <f t="shared" si="12"/>
        <v>10.1016/j.epsl.2017.03.016</v>
      </c>
      <c r="E112" s="22">
        <f t="shared" si="13"/>
        <v>4520.93</v>
      </c>
      <c r="F112" s="22" t="str">
        <f t="shared" si="14"/>
        <v>NA</v>
      </c>
      <c r="G112" s="22" t="str">
        <f t="shared" si="15"/>
        <v>NA</v>
      </c>
      <c r="H112" s="22" t="str">
        <f t="shared" si="16"/>
        <v>NA</v>
      </c>
      <c r="I112" s="36" t="str">
        <f t="shared" si="17"/>
        <v>NA</v>
      </c>
      <c r="J112" s="36" t="str">
        <f t="shared" si="18"/>
        <v>NA</v>
      </c>
      <c r="K112" s="17" t="s">
        <v>251</v>
      </c>
      <c r="L112" s="17" t="s">
        <v>252</v>
      </c>
      <c r="M112" s="17" t="s">
        <v>194</v>
      </c>
      <c r="N112" s="17" t="s">
        <v>192</v>
      </c>
      <c r="O112" s="14">
        <v>806</v>
      </c>
      <c r="P112" s="16" t="s">
        <v>189</v>
      </c>
      <c r="Q112" s="16">
        <v>15</v>
      </c>
      <c r="R112" s="14" t="s">
        <v>208</v>
      </c>
      <c r="S112" s="14" t="s">
        <v>209</v>
      </c>
      <c r="T112" s="14">
        <v>2</v>
      </c>
      <c r="U112" s="14">
        <v>140</v>
      </c>
      <c r="V112" s="14" t="s">
        <v>201</v>
      </c>
      <c r="W112" s="14" t="s">
        <v>201</v>
      </c>
      <c r="X112" s="14" t="s">
        <v>201</v>
      </c>
      <c r="Y112" s="14" t="s">
        <v>201</v>
      </c>
      <c r="Z112" s="20">
        <v>132.9</v>
      </c>
      <c r="AA112" s="17" t="s">
        <v>207</v>
      </c>
      <c r="AB112" s="14">
        <v>4520.93</v>
      </c>
      <c r="AC112" s="14" t="s">
        <v>201</v>
      </c>
      <c r="AD112" s="14" t="s">
        <v>201</v>
      </c>
      <c r="AE112" s="14" t="s">
        <v>201</v>
      </c>
      <c r="AF112" s="16" t="s">
        <v>177</v>
      </c>
      <c r="AG112" s="16" t="s">
        <v>179</v>
      </c>
      <c r="AH112" s="19">
        <v>0.31850000000000001</v>
      </c>
      <c r="AI112" s="18">
        <v>159.36150000000001</v>
      </c>
      <c r="AJ112" s="35">
        <v>-2520</v>
      </c>
      <c r="AK112" s="14" t="s">
        <v>201</v>
      </c>
      <c r="AL112" s="14" t="s">
        <v>201</v>
      </c>
      <c r="AM112" s="14" t="s">
        <v>201</v>
      </c>
      <c r="AN112" s="14" t="s">
        <v>201</v>
      </c>
      <c r="AO112" s="16" t="s">
        <v>180</v>
      </c>
      <c r="AP112" s="14" t="s">
        <v>201</v>
      </c>
      <c r="AQ112" s="14" t="s">
        <v>201</v>
      </c>
      <c r="AR112" s="14" t="s">
        <v>201</v>
      </c>
      <c r="AS112" s="14" t="s">
        <v>201</v>
      </c>
      <c r="AT112" s="14" t="s">
        <v>201</v>
      </c>
      <c r="AU112" s="14" t="s">
        <v>201</v>
      </c>
      <c r="AV112" s="14" t="s">
        <v>201</v>
      </c>
      <c r="AW112" s="14" t="s">
        <v>201</v>
      </c>
      <c r="AX112" s="14" t="s">
        <v>201</v>
      </c>
      <c r="AY112" s="14" t="s">
        <v>201</v>
      </c>
      <c r="AZ112" s="14" t="s">
        <v>201</v>
      </c>
      <c r="BA112" s="14" t="s">
        <v>201</v>
      </c>
      <c r="BB112" s="14" t="s">
        <v>201</v>
      </c>
      <c r="BC112" s="14" t="s">
        <v>201</v>
      </c>
      <c r="BD112" s="14" t="s">
        <v>201</v>
      </c>
      <c r="BE112" s="14" t="s">
        <v>201</v>
      </c>
      <c r="BF112" s="14" t="s">
        <v>201</v>
      </c>
      <c r="BG112" s="14" t="s">
        <v>201</v>
      </c>
      <c r="BH112" s="14" t="s">
        <v>201</v>
      </c>
      <c r="BI112" s="14" t="s">
        <v>201</v>
      </c>
      <c r="BJ112" s="14" t="s">
        <v>201</v>
      </c>
      <c r="BK112" s="14" t="s">
        <v>201</v>
      </c>
      <c r="BL112" s="14" t="s">
        <v>201</v>
      </c>
      <c r="BM112" s="14" t="s">
        <v>201</v>
      </c>
      <c r="BN112" s="14" t="s">
        <v>201</v>
      </c>
      <c r="BO112" s="14" t="s">
        <v>201</v>
      </c>
      <c r="BP112" s="14" t="s">
        <v>201</v>
      </c>
      <c r="BQ112" s="14" t="s">
        <v>201</v>
      </c>
      <c r="BR112" s="14" t="s">
        <v>201</v>
      </c>
      <c r="BS112" s="14" t="s">
        <v>201</v>
      </c>
      <c r="BT112" s="14" t="s">
        <v>201</v>
      </c>
      <c r="BU112" s="14" t="s">
        <v>201</v>
      </c>
      <c r="BV112" s="14" t="s">
        <v>201</v>
      </c>
      <c r="BW112" s="14" t="s">
        <v>201</v>
      </c>
      <c r="BX112" s="14" t="s">
        <v>201</v>
      </c>
      <c r="BY112" s="14" t="s">
        <v>201</v>
      </c>
      <c r="BZ112" s="14" t="s">
        <v>201</v>
      </c>
      <c r="CA112" s="14" t="s">
        <v>201</v>
      </c>
      <c r="CB112" s="14" t="s">
        <v>201</v>
      </c>
      <c r="CC112" s="14" t="s">
        <v>201</v>
      </c>
      <c r="CD112" s="14" t="s">
        <v>201</v>
      </c>
      <c r="CE112" s="14" t="s">
        <v>201</v>
      </c>
      <c r="CF112" s="14" t="s">
        <v>201</v>
      </c>
      <c r="CG112" s="14" t="s">
        <v>201</v>
      </c>
      <c r="CH112" s="14" t="s">
        <v>201</v>
      </c>
      <c r="CI112" s="14" t="s">
        <v>201</v>
      </c>
      <c r="CJ112" s="14" t="s">
        <v>201</v>
      </c>
      <c r="CK112" s="14" t="s">
        <v>201</v>
      </c>
      <c r="CL112" s="14" t="s">
        <v>201</v>
      </c>
      <c r="CM112" s="14" t="s">
        <v>201</v>
      </c>
      <c r="CN112" s="14" t="s">
        <v>201</v>
      </c>
      <c r="CO112" s="14" t="s">
        <v>201</v>
      </c>
      <c r="CP112" s="14" t="s">
        <v>201</v>
      </c>
      <c r="CQ112" s="14" t="s">
        <v>201</v>
      </c>
      <c r="CR112" s="14" t="s">
        <v>201</v>
      </c>
      <c r="CS112" s="14" t="s">
        <v>201</v>
      </c>
      <c r="CT112" s="14" t="s">
        <v>201</v>
      </c>
      <c r="CU112" s="14" t="s">
        <v>201</v>
      </c>
      <c r="CV112" s="14" t="s">
        <v>201</v>
      </c>
      <c r="CW112" s="14" t="s">
        <v>201</v>
      </c>
      <c r="CX112" s="14" t="s">
        <v>201</v>
      </c>
      <c r="CY112" s="14" t="s">
        <v>201</v>
      </c>
      <c r="CZ112" s="14" t="s">
        <v>201</v>
      </c>
      <c r="DA112" s="14" t="s">
        <v>201</v>
      </c>
      <c r="DB112" s="14" t="s">
        <v>201</v>
      </c>
      <c r="DC112" s="14" t="s">
        <v>201</v>
      </c>
      <c r="DD112" s="14" t="s">
        <v>201</v>
      </c>
      <c r="DE112" s="14" t="s">
        <v>201</v>
      </c>
      <c r="DF112" s="14" t="s">
        <v>201</v>
      </c>
      <c r="DG112" s="14" t="s">
        <v>201</v>
      </c>
      <c r="DH112" s="14" t="s">
        <v>201</v>
      </c>
      <c r="DI112" s="14" t="s">
        <v>201</v>
      </c>
      <c r="DJ112" s="14" t="s">
        <v>201</v>
      </c>
      <c r="DK112" s="14" t="s">
        <v>201</v>
      </c>
      <c r="DL112" s="14" t="s">
        <v>201</v>
      </c>
      <c r="DM112" s="14" t="s">
        <v>201</v>
      </c>
      <c r="DN112" s="14" t="s">
        <v>201</v>
      </c>
      <c r="DO112" s="14" t="s">
        <v>201</v>
      </c>
      <c r="DP112" s="14" t="s">
        <v>201</v>
      </c>
      <c r="DQ112" s="14" t="s">
        <v>201</v>
      </c>
      <c r="DR112" s="14" t="s">
        <v>201</v>
      </c>
      <c r="DS112" s="14" t="s">
        <v>201</v>
      </c>
      <c r="DT112" s="14" t="s">
        <v>201</v>
      </c>
      <c r="DU112" s="14" t="s">
        <v>201</v>
      </c>
      <c r="DV112" s="14" t="s">
        <v>201</v>
      </c>
      <c r="DW112" s="14" t="s">
        <v>201</v>
      </c>
      <c r="DX112" s="14">
        <v>3.6564885496183206</v>
      </c>
      <c r="DY112" s="14">
        <v>1.156467964060327</v>
      </c>
      <c r="DZ112" s="14">
        <v>1.156467964060327</v>
      </c>
      <c r="EA112" s="21" t="s">
        <v>203</v>
      </c>
      <c r="EB112" s="14" t="s">
        <v>201</v>
      </c>
      <c r="EC112" s="14" t="s">
        <v>201</v>
      </c>
      <c r="ED112" s="14" t="s">
        <v>201</v>
      </c>
      <c r="EE112" s="14" t="s">
        <v>201</v>
      </c>
      <c r="EF112" s="14" t="s">
        <v>201</v>
      </c>
      <c r="EG112" s="14" t="s">
        <v>201</v>
      </c>
      <c r="EH112" s="14" t="s">
        <v>201</v>
      </c>
      <c r="EI112" s="14" t="s">
        <v>201</v>
      </c>
      <c r="EJ112" s="14" t="s">
        <v>201</v>
      </c>
      <c r="EK112" s="14" t="s">
        <v>201</v>
      </c>
      <c r="EL112" s="14" t="s">
        <v>201</v>
      </c>
      <c r="EM112" s="14" t="s">
        <v>201</v>
      </c>
      <c r="EN112" s="14" t="s">
        <v>201</v>
      </c>
      <c r="EO112" s="14" t="s">
        <v>201</v>
      </c>
      <c r="EP112" s="14" t="s">
        <v>201</v>
      </c>
      <c r="EQ112" s="14" t="s">
        <v>201</v>
      </c>
      <c r="ER112" s="14" t="s">
        <v>201</v>
      </c>
      <c r="ES112" s="14" t="s">
        <v>201</v>
      </c>
      <c r="ET112" s="14" t="s">
        <v>201</v>
      </c>
      <c r="EU112" s="14" t="s">
        <v>201</v>
      </c>
      <c r="EV112" s="14" t="s">
        <v>201</v>
      </c>
      <c r="EW112" s="14" t="s">
        <v>201</v>
      </c>
      <c r="EX112" s="14" t="s">
        <v>201</v>
      </c>
      <c r="EY112" s="14" t="s">
        <v>201</v>
      </c>
      <c r="EZ112" s="14" t="s">
        <v>201</v>
      </c>
      <c r="FA112" s="14" t="s">
        <v>201</v>
      </c>
      <c r="FB112" s="14" t="s">
        <v>201</v>
      </c>
      <c r="FC112" s="14" t="s">
        <v>201</v>
      </c>
      <c r="FD112" s="14" t="s">
        <v>201</v>
      </c>
      <c r="FE112" s="14" t="s">
        <v>201</v>
      </c>
      <c r="FF112" s="14" t="s">
        <v>201</v>
      </c>
      <c r="FG112" s="14" t="s">
        <v>201</v>
      </c>
      <c r="FH112" s="14" t="s">
        <v>201</v>
      </c>
      <c r="FI112" s="14" t="s">
        <v>201</v>
      </c>
      <c r="FJ112" s="14" t="s">
        <v>201</v>
      </c>
      <c r="FK112" s="14" t="s">
        <v>201</v>
      </c>
      <c r="FL112" s="14" t="s">
        <v>201</v>
      </c>
      <c r="FM112" s="14" t="s">
        <v>201</v>
      </c>
      <c r="FN112" s="14" t="s">
        <v>201</v>
      </c>
      <c r="FO112" s="14" t="s">
        <v>201</v>
      </c>
      <c r="FP112" s="14" t="s">
        <v>201</v>
      </c>
      <c r="FQ112" s="14" t="s">
        <v>201</v>
      </c>
      <c r="FR112" s="14" t="s">
        <v>201</v>
      </c>
      <c r="FS112" s="14" t="s">
        <v>201</v>
      </c>
      <c r="FT112" s="15" t="s">
        <v>200</v>
      </c>
      <c r="FU112" s="15" t="s">
        <v>237</v>
      </c>
      <c r="FV112" s="46" t="s">
        <v>382</v>
      </c>
      <c r="FW112" s="14" t="s">
        <v>201</v>
      </c>
      <c r="FX112" s="14" t="s">
        <v>201</v>
      </c>
      <c r="FY112" s="14" t="s">
        <v>201</v>
      </c>
    </row>
    <row r="113" spans="1:181" s="14" customFormat="1" x14ac:dyDescent="0.15">
      <c r="A113" s="3" t="s">
        <v>258</v>
      </c>
      <c r="B113" s="3" t="s">
        <v>193</v>
      </c>
      <c r="C113">
        <v>2017</v>
      </c>
      <c r="D113" s="22" t="str">
        <f t="shared" si="12"/>
        <v>10.1016/j.epsl.2017.03.016</v>
      </c>
      <c r="E113" s="22">
        <f t="shared" si="13"/>
        <v>4679.57</v>
      </c>
      <c r="F113" s="22" t="str">
        <f t="shared" si="14"/>
        <v>NA</v>
      </c>
      <c r="G113" s="22" t="str">
        <f t="shared" si="15"/>
        <v>NA</v>
      </c>
      <c r="H113" s="22" t="str">
        <f t="shared" si="16"/>
        <v>NA</v>
      </c>
      <c r="I113" s="36" t="str">
        <f t="shared" si="17"/>
        <v>NA</v>
      </c>
      <c r="J113" s="36" t="str">
        <f t="shared" si="18"/>
        <v>NA</v>
      </c>
      <c r="K113" s="17" t="s">
        <v>251</v>
      </c>
      <c r="L113" s="17" t="s">
        <v>252</v>
      </c>
      <c r="M113" s="17" t="s">
        <v>194</v>
      </c>
      <c r="N113" s="17" t="s">
        <v>192</v>
      </c>
      <c r="O113" s="14">
        <v>806</v>
      </c>
      <c r="P113" s="16" t="s">
        <v>189</v>
      </c>
      <c r="Q113" s="14">
        <v>16</v>
      </c>
      <c r="R113" s="14" t="s">
        <v>208</v>
      </c>
      <c r="S113" s="14" t="s">
        <v>209</v>
      </c>
      <c r="T113" s="14">
        <v>1</v>
      </c>
      <c r="U113" s="14">
        <v>115</v>
      </c>
      <c r="V113" s="14" t="s">
        <v>201</v>
      </c>
      <c r="W113" s="14" t="s">
        <v>201</v>
      </c>
      <c r="X113" s="14" t="s">
        <v>201</v>
      </c>
      <c r="Y113" s="14" t="s">
        <v>201</v>
      </c>
      <c r="Z113" s="19">
        <v>140.65</v>
      </c>
      <c r="AA113" s="17" t="s">
        <v>207</v>
      </c>
      <c r="AB113" s="14">
        <v>4679.57</v>
      </c>
      <c r="AC113" s="14" t="s">
        <v>201</v>
      </c>
      <c r="AD113" s="14" t="s">
        <v>201</v>
      </c>
      <c r="AE113" s="14" t="s">
        <v>201</v>
      </c>
      <c r="AF113" s="16" t="s">
        <v>177</v>
      </c>
      <c r="AG113" s="16" t="s">
        <v>179</v>
      </c>
      <c r="AH113" s="19">
        <v>0.31850000000000001</v>
      </c>
      <c r="AI113" s="18">
        <v>159.36150000000001</v>
      </c>
      <c r="AJ113" s="35">
        <v>-2520</v>
      </c>
      <c r="AK113" s="14" t="s">
        <v>201</v>
      </c>
      <c r="AL113" s="14" t="s">
        <v>201</v>
      </c>
      <c r="AM113" s="14" t="s">
        <v>201</v>
      </c>
      <c r="AN113" s="14" t="s">
        <v>201</v>
      </c>
      <c r="AO113" s="16" t="s">
        <v>180</v>
      </c>
      <c r="AP113" s="14" t="s">
        <v>201</v>
      </c>
      <c r="AQ113" s="14" t="s">
        <v>201</v>
      </c>
      <c r="AR113" s="14" t="s">
        <v>201</v>
      </c>
      <c r="AS113" s="14" t="s">
        <v>201</v>
      </c>
      <c r="AT113" s="14" t="s">
        <v>201</v>
      </c>
      <c r="AU113" s="14" t="s">
        <v>201</v>
      </c>
      <c r="AV113" s="14" t="s">
        <v>201</v>
      </c>
      <c r="AW113" s="14" t="s">
        <v>201</v>
      </c>
      <c r="AX113" s="14" t="s">
        <v>201</v>
      </c>
      <c r="AY113" s="14" t="s">
        <v>201</v>
      </c>
      <c r="AZ113" s="14" t="s">
        <v>201</v>
      </c>
      <c r="BA113" s="14" t="s">
        <v>201</v>
      </c>
      <c r="BB113" s="14" t="s">
        <v>201</v>
      </c>
      <c r="BC113" s="14" t="s">
        <v>201</v>
      </c>
      <c r="BD113" s="14" t="s">
        <v>201</v>
      </c>
      <c r="BE113" s="14" t="s">
        <v>201</v>
      </c>
      <c r="BF113" s="14" t="s">
        <v>201</v>
      </c>
      <c r="BG113" s="14" t="s">
        <v>201</v>
      </c>
      <c r="BH113" s="14" t="s">
        <v>201</v>
      </c>
      <c r="BI113" s="14" t="s">
        <v>201</v>
      </c>
      <c r="BJ113" s="14" t="s">
        <v>201</v>
      </c>
      <c r="BK113" s="14" t="s">
        <v>201</v>
      </c>
      <c r="BL113" s="14" t="s">
        <v>201</v>
      </c>
      <c r="BM113" s="14" t="s">
        <v>201</v>
      </c>
      <c r="BN113" s="14" t="s">
        <v>201</v>
      </c>
      <c r="BO113" s="14" t="s">
        <v>201</v>
      </c>
      <c r="BP113" s="14" t="s">
        <v>201</v>
      </c>
      <c r="BQ113" s="14" t="s">
        <v>201</v>
      </c>
      <c r="BR113" s="14" t="s">
        <v>201</v>
      </c>
      <c r="BS113" s="14" t="s">
        <v>201</v>
      </c>
      <c r="BT113" s="14" t="s">
        <v>201</v>
      </c>
      <c r="BU113" s="14" t="s">
        <v>201</v>
      </c>
      <c r="BV113" s="14" t="s">
        <v>201</v>
      </c>
      <c r="BW113" s="14" t="s">
        <v>201</v>
      </c>
      <c r="BX113" s="14" t="s">
        <v>201</v>
      </c>
      <c r="BY113" s="14" t="s">
        <v>201</v>
      </c>
      <c r="BZ113" s="14" t="s">
        <v>201</v>
      </c>
      <c r="CA113" s="14" t="s">
        <v>201</v>
      </c>
      <c r="CB113" s="14" t="s">
        <v>201</v>
      </c>
      <c r="CC113" s="14" t="s">
        <v>201</v>
      </c>
      <c r="CD113" s="14" t="s">
        <v>201</v>
      </c>
      <c r="CE113" s="14" t="s">
        <v>201</v>
      </c>
      <c r="CF113" s="14" t="s">
        <v>201</v>
      </c>
      <c r="CG113" s="14" t="s">
        <v>201</v>
      </c>
      <c r="CH113" s="14" t="s">
        <v>201</v>
      </c>
      <c r="CI113" s="14" t="s">
        <v>201</v>
      </c>
      <c r="CJ113" s="14" t="s">
        <v>201</v>
      </c>
      <c r="CK113" s="14" t="s">
        <v>201</v>
      </c>
      <c r="CL113" s="14" t="s">
        <v>201</v>
      </c>
      <c r="CM113" s="14" t="s">
        <v>201</v>
      </c>
      <c r="CN113" s="14" t="s">
        <v>201</v>
      </c>
      <c r="CO113" s="14" t="s">
        <v>201</v>
      </c>
      <c r="CP113" s="14" t="s">
        <v>201</v>
      </c>
      <c r="CQ113" s="14" t="s">
        <v>201</v>
      </c>
      <c r="CR113" s="14" t="s">
        <v>201</v>
      </c>
      <c r="CS113" s="14" t="s">
        <v>201</v>
      </c>
      <c r="CT113" s="14" t="s">
        <v>201</v>
      </c>
      <c r="CU113" s="14" t="s">
        <v>201</v>
      </c>
      <c r="CV113" s="14" t="s">
        <v>201</v>
      </c>
      <c r="CW113" s="14" t="s">
        <v>201</v>
      </c>
      <c r="CX113" s="14" t="s">
        <v>201</v>
      </c>
      <c r="CY113" s="14" t="s">
        <v>201</v>
      </c>
      <c r="CZ113" s="14" t="s">
        <v>201</v>
      </c>
      <c r="DA113" s="14" t="s">
        <v>201</v>
      </c>
      <c r="DB113" s="14" t="s">
        <v>201</v>
      </c>
      <c r="DC113" s="14" t="s">
        <v>201</v>
      </c>
      <c r="DD113" s="14" t="s">
        <v>201</v>
      </c>
      <c r="DE113" s="14" t="s">
        <v>201</v>
      </c>
      <c r="DF113" s="14" t="s">
        <v>201</v>
      </c>
      <c r="DG113" s="14" t="s">
        <v>201</v>
      </c>
      <c r="DH113" s="14" t="s">
        <v>201</v>
      </c>
      <c r="DI113" s="14" t="s">
        <v>201</v>
      </c>
      <c r="DJ113" s="14" t="s">
        <v>201</v>
      </c>
      <c r="DK113" s="14" t="s">
        <v>201</v>
      </c>
      <c r="DL113" s="14" t="s">
        <v>201</v>
      </c>
      <c r="DM113" s="14" t="s">
        <v>201</v>
      </c>
      <c r="DN113" s="14" t="s">
        <v>201</v>
      </c>
      <c r="DO113" s="14" t="s">
        <v>201</v>
      </c>
      <c r="DP113" s="14" t="s">
        <v>201</v>
      </c>
      <c r="DQ113" s="14" t="s">
        <v>201</v>
      </c>
      <c r="DR113" s="14" t="s">
        <v>201</v>
      </c>
      <c r="DS113" s="14" t="s">
        <v>201</v>
      </c>
      <c r="DT113" s="14" t="s">
        <v>201</v>
      </c>
      <c r="DU113" s="14" t="s">
        <v>201</v>
      </c>
      <c r="DV113" s="14" t="s">
        <v>201</v>
      </c>
      <c r="DW113" s="14" t="s">
        <v>201</v>
      </c>
      <c r="DX113" s="14">
        <v>3.7669902912621351</v>
      </c>
      <c r="DY113" s="14">
        <v>1.1763549071559767</v>
      </c>
      <c r="DZ113" s="14">
        <v>1.1763549071559767</v>
      </c>
      <c r="EA113" s="21" t="s">
        <v>203</v>
      </c>
      <c r="EB113" s="14" t="s">
        <v>201</v>
      </c>
      <c r="EC113" s="14" t="s">
        <v>201</v>
      </c>
      <c r="ED113" s="14" t="s">
        <v>201</v>
      </c>
      <c r="EE113" s="14" t="s">
        <v>201</v>
      </c>
      <c r="EF113" s="14" t="s">
        <v>201</v>
      </c>
      <c r="EG113" s="14" t="s">
        <v>201</v>
      </c>
      <c r="EH113" s="14" t="s">
        <v>201</v>
      </c>
      <c r="EI113" s="14" t="s">
        <v>201</v>
      </c>
      <c r="EJ113" s="14" t="s">
        <v>201</v>
      </c>
      <c r="EK113" s="14" t="s">
        <v>201</v>
      </c>
      <c r="EL113" s="14" t="s">
        <v>201</v>
      </c>
      <c r="EM113" s="14" t="s">
        <v>201</v>
      </c>
      <c r="EN113" s="14" t="s">
        <v>201</v>
      </c>
      <c r="EO113" s="14" t="s">
        <v>201</v>
      </c>
      <c r="EP113" s="14" t="s">
        <v>201</v>
      </c>
      <c r="EQ113" s="14" t="s">
        <v>201</v>
      </c>
      <c r="ER113" s="14" t="s">
        <v>201</v>
      </c>
      <c r="ES113" s="14" t="s">
        <v>201</v>
      </c>
      <c r="ET113" s="14" t="s">
        <v>201</v>
      </c>
      <c r="EU113" s="14" t="s">
        <v>201</v>
      </c>
      <c r="EV113" s="14" t="s">
        <v>201</v>
      </c>
      <c r="EW113" s="14" t="s">
        <v>201</v>
      </c>
      <c r="EX113" s="14" t="s">
        <v>201</v>
      </c>
      <c r="EY113" s="14" t="s">
        <v>201</v>
      </c>
      <c r="EZ113" s="14" t="s">
        <v>201</v>
      </c>
      <c r="FA113" s="14" t="s">
        <v>201</v>
      </c>
      <c r="FB113" s="14" t="s">
        <v>201</v>
      </c>
      <c r="FC113" s="14" t="s">
        <v>201</v>
      </c>
      <c r="FD113" s="14" t="s">
        <v>201</v>
      </c>
      <c r="FE113" s="14" t="s">
        <v>201</v>
      </c>
      <c r="FF113" s="14" t="s">
        <v>201</v>
      </c>
      <c r="FG113" s="14" t="s">
        <v>201</v>
      </c>
      <c r="FH113" s="14" t="s">
        <v>201</v>
      </c>
      <c r="FI113" s="14" t="s">
        <v>201</v>
      </c>
      <c r="FJ113" s="14" t="s">
        <v>201</v>
      </c>
      <c r="FK113" s="14" t="s">
        <v>201</v>
      </c>
      <c r="FL113" s="14" t="s">
        <v>201</v>
      </c>
      <c r="FM113" s="14" t="s">
        <v>201</v>
      </c>
      <c r="FN113" s="14" t="s">
        <v>201</v>
      </c>
      <c r="FO113" s="14" t="s">
        <v>201</v>
      </c>
      <c r="FP113" s="14" t="s">
        <v>201</v>
      </c>
      <c r="FQ113" s="14" t="s">
        <v>201</v>
      </c>
      <c r="FR113" s="14" t="s">
        <v>201</v>
      </c>
      <c r="FS113" s="14" t="s">
        <v>201</v>
      </c>
      <c r="FT113" s="15" t="s">
        <v>200</v>
      </c>
      <c r="FU113" s="15" t="s">
        <v>237</v>
      </c>
      <c r="FV113" s="46" t="s">
        <v>383</v>
      </c>
      <c r="FW113" s="14" t="s">
        <v>201</v>
      </c>
      <c r="FX113" s="14" t="s">
        <v>201</v>
      </c>
      <c r="FY113" s="14" t="s">
        <v>201</v>
      </c>
    </row>
    <row r="114" spans="1:181" s="14" customFormat="1" x14ac:dyDescent="0.15">
      <c r="A114" s="3" t="s">
        <v>258</v>
      </c>
      <c r="B114" s="3" t="s">
        <v>193</v>
      </c>
      <c r="C114">
        <v>2017</v>
      </c>
      <c r="D114" s="22" t="str">
        <f t="shared" si="12"/>
        <v>10.1016/j.epsl.2017.03.016</v>
      </c>
      <c r="E114" s="22">
        <f t="shared" si="13"/>
        <v>4837.84</v>
      </c>
      <c r="F114" s="22" t="str">
        <f t="shared" si="14"/>
        <v>NA</v>
      </c>
      <c r="G114" s="22" t="str">
        <f t="shared" si="15"/>
        <v>NA</v>
      </c>
      <c r="H114" s="22" t="str">
        <f t="shared" si="16"/>
        <v>NA</v>
      </c>
      <c r="I114" s="36" t="str">
        <f t="shared" si="17"/>
        <v>NA</v>
      </c>
      <c r="J114" s="36" t="str">
        <f t="shared" si="18"/>
        <v>NA</v>
      </c>
      <c r="K114" s="17" t="s">
        <v>251</v>
      </c>
      <c r="L114" s="17" t="s">
        <v>252</v>
      </c>
      <c r="M114" s="17" t="s">
        <v>194</v>
      </c>
      <c r="N114" s="17" t="s">
        <v>192</v>
      </c>
      <c r="O114" s="14">
        <v>806</v>
      </c>
      <c r="P114" s="16" t="s">
        <v>189</v>
      </c>
      <c r="Q114" s="14">
        <v>16</v>
      </c>
      <c r="R114" s="14" t="s">
        <v>208</v>
      </c>
      <c r="S114" s="14" t="s">
        <v>209</v>
      </c>
      <c r="T114" s="14">
        <v>6</v>
      </c>
      <c r="U114" s="14">
        <v>130</v>
      </c>
      <c r="V114" s="14" t="s">
        <v>201</v>
      </c>
      <c r="W114" s="14" t="s">
        <v>201</v>
      </c>
      <c r="X114" s="14" t="s">
        <v>201</v>
      </c>
      <c r="Y114" s="14" t="s">
        <v>201</v>
      </c>
      <c r="Z114" s="19">
        <v>148.30000000000001</v>
      </c>
      <c r="AA114" s="17" t="s">
        <v>207</v>
      </c>
      <c r="AB114" s="14">
        <v>4837.84</v>
      </c>
      <c r="AC114" s="14" t="s">
        <v>201</v>
      </c>
      <c r="AD114" s="14" t="s">
        <v>201</v>
      </c>
      <c r="AE114" s="14" t="s">
        <v>201</v>
      </c>
      <c r="AF114" s="16" t="s">
        <v>177</v>
      </c>
      <c r="AG114" s="16" t="s">
        <v>179</v>
      </c>
      <c r="AH114" s="19">
        <v>0.31850000000000001</v>
      </c>
      <c r="AI114" s="18">
        <v>159.36150000000001</v>
      </c>
      <c r="AJ114" s="35">
        <v>-2520</v>
      </c>
      <c r="AK114" s="14" t="s">
        <v>201</v>
      </c>
      <c r="AL114" s="14" t="s">
        <v>201</v>
      </c>
      <c r="AM114" s="14" t="s">
        <v>201</v>
      </c>
      <c r="AN114" s="14" t="s">
        <v>201</v>
      </c>
      <c r="AO114" s="16" t="s">
        <v>180</v>
      </c>
      <c r="AP114" s="14" t="s">
        <v>201</v>
      </c>
      <c r="AQ114" s="14" t="s">
        <v>201</v>
      </c>
      <c r="AR114" s="14" t="s">
        <v>201</v>
      </c>
      <c r="AS114" s="14" t="s">
        <v>201</v>
      </c>
      <c r="AT114" s="14" t="s">
        <v>201</v>
      </c>
      <c r="AU114" s="14" t="s">
        <v>201</v>
      </c>
      <c r="AV114" s="14" t="s">
        <v>201</v>
      </c>
      <c r="AW114" s="14" t="s">
        <v>201</v>
      </c>
      <c r="AX114" s="14" t="s">
        <v>201</v>
      </c>
      <c r="AY114" s="14" t="s">
        <v>201</v>
      </c>
      <c r="AZ114" s="14" t="s">
        <v>201</v>
      </c>
      <c r="BA114" s="14" t="s">
        <v>201</v>
      </c>
      <c r="BB114" s="14" t="s">
        <v>201</v>
      </c>
      <c r="BC114" s="14" t="s">
        <v>201</v>
      </c>
      <c r="BD114" s="14" t="s">
        <v>201</v>
      </c>
      <c r="BE114" s="14" t="s">
        <v>201</v>
      </c>
      <c r="BF114" s="14" t="s">
        <v>201</v>
      </c>
      <c r="BG114" s="14" t="s">
        <v>201</v>
      </c>
      <c r="BH114" s="14" t="s">
        <v>201</v>
      </c>
      <c r="BI114" s="14" t="s">
        <v>201</v>
      </c>
      <c r="BJ114" s="14" t="s">
        <v>201</v>
      </c>
      <c r="BK114" s="14" t="s">
        <v>201</v>
      </c>
      <c r="BL114" s="14" t="s">
        <v>201</v>
      </c>
      <c r="BM114" s="14" t="s">
        <v>201</v>
      </c>
      <c r="BN114" s="14" t="s">
        <v>201</v>
      </c>
      <c r="BO114" s="14" t="s">
        <v>201</v>
      </c>
      <c r="BP114" s="14" t="s">
        <v>201</v>
      </c>
      <c r="BQ114" s="14" t="s">
        <v>201</v>
      </c>
      <c r="BR114" s="14" t="s">
        <v>201</v>
      </c>
      <c r="BS114" s="14" t="s">
        <v>201</v>
      </c>
      <c r="BT114" s="14" t="s">
        <v>201</v>
      </c>
      <c r="BU114" s="14" t="s">
        <v>201</v>
      </c>
      <c r="BV114" s="14" t="s">
        <v>201</v>
      </c>
      <c r="BW114" s="14" t="s">
        <v>201</v>
      </c>
      <c r="BX114" s="14" t="s">
        <v>201</v>
      </c>
      <c r="BY114" s="14" t="s">
        <v>201</v>
      </c>
      <c r="BZ114" s="14" t="s">
        <v>201</v>
      </c>
      <c r="CA114" s="14" t="s">
        <v>201</v>
      </c>
      <c r="CB114" s="14" t="s">
        <v>201</v>
      </c>
      <c r="CC114" s="14" t="s">
        <v>201</v>
      </c>
      <c r="CD114" s="14" t="s">
        <v>201</v>
      </c>
      <c r="CE114" s="14" t="s">
        <v>201</v>
      </c>
      <c r="CF114" s="14" t="s">
        <v>201</v>
      </c>
      <c r="CG114" s="14" t="s">
        <v>201</v>
      </c>
      <c r="CH114" s="14" t="s">
        <v>201</v>
      </c>
      <c r="CI114" s="14" t="s">
        <v>201</v>
      </c>
      <c r="CJ114" s="14" t="s">
        <v>201</v>
      </c>
      <c r="CK114" s="14" t="s">
        <v>201</v>
      </c>
      <c r="CL114" s="14" t="s">
        <v>201</v>
      </c>
      <c r="CM114" s="14" t="s">
        <v>201</v>
      </c>
      <c r="CN114" s="14" t="s">
        <v>201</v>
      </c>
      <c r="CO114" s="14" t="s">
        <v>201</v>
      </c>
      <c r="CP114" s="14" t="s">
        <v>201</v>
      </c>
      <c r="CQ114" s="14" t="s">
        <v>201</v>
      </c>
      <c r="CR114" s="14" t="s">
        <v>201</v>
      </c>
      <c r="CS114" s="14" t="s">
        <v>201</v>
      </c>
      <c r="CT114" s="14" t="s">
        <v>201</v>
      </c>
      <c r="CU114" s="14" t="s">
        <v>201</v>
      </c>
      <c r="CV114" s="14" t="s">
        <v>201</v>
      </c>
      <c r="CW114" s="14" t="s">
        <v>201</v>
      </c>
      <c r="CX114" s="14" t="s">
        <v>201</v>
      </c>
      <c r="CY114" s="14" t="s">
        <v>201</v>
      </c>
      <c r="CZ114" s="14" t="s">
        <v>201</v>
      </c>
      <c r="DA114" s="14" t="s">
        <v>201</v>
      </c>
      <c r="DB114" s="14" t="s">
        <v>201</v>
      </c>
      <c r="DC114" s="14" t="s">
        <v>201</v>
      </c>
      <c r="DD114" s="14" t="s">
        <v>201</v>
      </c>
      <c r="DE114" s="14" t="s">
        <v>201</v>
      </c>
      <c r="DF114" s="14" t="s">
        <v>201</v>
      </c>
      <c r="DG114" s="14" t="s">
        <v>201</v>
      </c>
      <c r="DH114" s="14" t="s">
        <v>201</v>
      </c>
      <c r="DI114" s="14" t="s">
        <v>201</v>
      </c>
      <c r="DJ114" s="14" t="s">
        <v>201</v>
      </c>
      <c r="DK114" s="14" t="s">
        <v>201</v>
      </c>
      <c r="DL114" s="14" t="s">
        <v>201</v>
      </c>
      <c r="DM114" s="14" t="s">
        <v>201</v>
      </c>
      <c r="DN114" s="14" t="s">
        <v>201</v>
      </c>
      <c r="DO114" s="14" t="s">
        <v>201</v>
      </c>
      <c r="DP114" s="14" t="s">
        <v>201</v>
      </c>
      <c r="DQ114" s="14" t="s">
        <v>201</v>
      </c>
      <c r="DR114" s="14" t="s">
        <v>201</v>
      </c>
      <c r="DS114" s="14" t="s">
        <v>201</v>
      </c>
      <c r="DT114" s="14" t="s">
        <v>201</v>
      </c>
      <c r="DU114" s="14" t="s">
        <v>201</v>
      </c>
      <c r="DV114" s="14" t="s">
        <v>201</v>
      </c>
      <c r="DW114" s="14" t="s">
        <v>201</v>
      </c>
      <c r="DX114" s="14">
        <v>4.9058823529411768</v>
      </c>
      <c r="DY114" s="14">
        <v>0.72835375342730568</v>
      </c>
      <c r="DZ114" s="14">
        <v>0.72835375342730568</v>
      </c>
      <c r="EA114" s="21" t="s">
        <v>203</v>
      </c>
      <c r="EB114" s="14" t="s">
        <v>201</v>
      </c>
      <c r="EC114" s="14" t="s">
        <v>201</v>
      </c>
      <c r="ED114" s="14" t="s">
        <v>201</v>
      </c>
      <c r="EE114" s="14" t="s">
        <v>201</v>
      </c>
      <c r="EF114" s="14" t="s">
        <v>201</v>
      </c>
      <c r="EG114" s="14" t="s">
        <v>201</v>
      </c>
      <c r="EH114" s="14" t="s">
        <v>201</v>
      </c>
      <c r="EI114" s="14" t="s">
        <v>201</v>
      </c>
      <c r="EJ114" s="14" t="s">
        <v>201</v>
      </c>
      <c r="EK114" s="14" t="s">
        <v>201</v>
      </c>
      <c r="EL114" s="14" t="s">
        <v>201</v>
      </c>
      <c r="EM114" s="14" t="s">
        <v>201</v>
      </c>
      <c r="EN114" s="14" t="s">
        <v>201</v>
      </c>
      <c r="EO114" s="14" t="s">
        <v>201</v>
      </c>
      <c r="EP114" s="14" t="s">
        <v>201</v>
      </c>
      <c r="EQ114" s="14" t="s">
        <v>201</v>
      </c>
      <c r="ER114" s="14" t="s">
        <v>201</v>
      </c>
      <c r="ES114" s="14" t="s">
        <v>201</v>
      </c>
      <c r="ET114" s="14" t="s">
        <v>201</v>
      </c>
      <c r="EU114" s="14" t="s">
        <v>201</v>
      </c>
      <c r="EV114" s="14" t="s">
        <v>201</v>
      </c>
      <c r="EW114" s="14" t="s">
        <v>201</v>
      </c>
      <c r="EX114" s="14" t="s">
        <v>201</v>
      </c>
      <c r="EY114" s="14" t="s">
        <v>201</v>
      </c>
      <c r="EZ114" s="14" t="s">
        <v>201</v>
      </c>
      <c r="FA114" s="14" t="s">
        <v>201</v>
      </c>
      <c r="FB114" s="14" t="s">
        <v>201</v>
      </c>
      <c r="FC114" s="14" t="s">
        <v>201</v>
      </c>
      <c r="FD114" s="14" t="s">
        <v>201</v>
      </c>
      <c r="FE114" s="14" t="s">
        <v>201</v>
      </c>
      <c r="FF114" s="14" t="s">
        <v>201</v>
      </c>
      <c r="FG114" s="14" t="s">
        <v>201</v>
      </c>
      <c r="FH114" s="14" t="s">
        <v>201</v>
      </c>
      <c r="FI114" s="14" t="s">
        <v>201</v>
      </c>
      <c r="FJ114" s="14" t="s">
        <v>201</v>
      </c>
      <c r="FK114" s="14" t="s">
        <v>201</v>
      </c>
      <c r="FL114" s="14" t="s">
        <v>201</v>
      </c>
      <c r="FM114" s="14" t="s">
        <v>201</v>
      </c>
      <c r="FN114" s="14" t="s">
        <v>201</v>
      </c>
      <c r="FO114" s="14" t="s">
        <v>201</v>
      </c>
      <c r="FP114" s="14" t="s">
        <v>201</v>
      </c>
      <c r="FQ114" s="14" t="s">
        <v>201</v>
      </c>
      <c r="FR114" s="14" t="s">
        <v>201</v>
      </c>
      <c r="FS114" s="14" t="s">
        <v>201</v>
      </c>
      <c r="FT114" s="15" t="s">
        <v>200</v>
      </c>
      <c r="FU114" s="15" t="s">
        <v>237</v>
      </c>
      <c r="FV114" s="46" t="s">
        <v>384</v>
      </c>
      <c r="FW114" s="14" t="s">
        <v>201</v>
      </c>
      <c r="FX114" s="14" t="s">
        <v>201</v>
      </c>
      <c r="FY114" s="14" t="s">
        <v>201</v>
      </c>
    </row>
    <row r="115" spans="1:181" s="14" customFormat="1" x14ac:dyDescent="0.15">
      <c r="A115" s="3" t="s">
        <v>258</v>
      </c>
      <c r="B115" s="3" t="s">
        <v>193</v>
      </c>
      <c r="C115">
        <v>2017</v>
      </c>
      <c r="D115" s="22" t="str">
        <f t="shared" si="12"/>
        <v>10.1016/j.epsl.2017.03.016</v>
      </c>
      <c r="E115" s="22">
        <f t="shared" si="13"/>
        <v>5061.7599999999993</v>
      </c>
      <c r="F115" s="22" t="str">
        <f t="shared" si="14"/>
        <v>NA</v>
      </c>
      <c r="G115" s="22" t="str">
        <f t="shared" si="15"/>
        <v>NA</v>
      </c>
      <c r="H115" s="22" t="str">
        <f t="shared" si="16"/>
        <v>NA</v>
      </c>
      <c r="I115" s="36" t="str">
        <f t="shared" si="17"/>
        <v>NA</v>
      </c>
      <c r="J115" s="36" t="str">
        <f t="shared" si="18"/>
        <v>NA</v>
      </c>
      <c r="K115" s="17" t="s">
        <v>251</v>
      </c>
      <c r="L115" s="17" t="s">
        <v>252</v>
      </c>
      <c r="M115" s="17" t="s">
        <v>194</v>
      </c>
      <c r="N115" s="17" t="s">
        <v>192</v>
      </c>
      <c r="O115" s="14">
        <v>806</v>
      </c>
      <c r="P115" s="16" t="s">
        <v>189</v>
      </c>
      <c r="Q115" s="14">
        <v>17</v>
      </c>
      <c r="R115" s="14" t="s">
        <v>208</v>
      </c>
      <c r="S115" s="14" t="s">
        <v>209</v>
      </c>
      <c r="T115" s="14">
        <v>5</v>
      </c>
      <c r="U115" s="14">
        <v>100</v>
      </c>
      <c r="V115" s="14" t="s">
        <v>201</v>
      </c>
      <c r="W115" s="14" t="s">
        <v>201</v>
      </c>
      <c r="X115" s="14" t="s">
        <v>201</v>
      </c>
      <c r="Y115" s="14" t="s">
        <v>201</v>
      </c>
      <c r="Z115" s="19">
        <v>156</v>
      </c>
      <c r="AA115" s="17" t="s">
        <v>207</v>
      </c>
      <c r="AB115" s="14">
        <v>5061.7599999999993</v>
      </c>
      <c r="AC115" s="14" t="s">
        <v>201</v>
      </c>
      <c r="AD115" s="14" t="s">
        <v>201</v>
      </c>
      <c r="AE115" s="14" t="s">
        <v>201</v>
      </c>
      <c r="AF115" s="16" t="s">
        <v>177</v>
      </c>
      <c r="AG115" s="16" t="s">
        <v>179</v>
      </c>
      <c r="AH115" s="19">
        <v>0.31850000000000001</v>
      </c>
      <c r="AI115" s="18">
        <v>159.36150000000001</v>
      </c>
      <c r="AJ115" s="35">
        <v>-2520</v>
      </c>
      <c r="AK115" s="14" t="s">
        <v>201</v>
      </c>
      <c r="AL115" s="14" t="s">
        <v>201</v>
      </c>
      <c r="AM115" s="14" t="s">
        <v>201</v>
      </c>
      <c r="AN115" s="14" t="s">
        <v>201</v>
      </c>
      <c r="AO115" s="16" t="s">
        <v>180</v>
      </c>
      <c r="AP115" s="14" t="s">
        <v>201</v>
      </c>
      <c r="AQ115" s="14" t="s">
        <v>201</v>
      </c>
      <c r="AR115" s="14" t="s">
        <v>201</v>
      </c>
      <c r="AS115" s="14" t="s">
        <v>201</v>
      </c>
      <c r="AT115" s="14" t="s">
        <v>201</v>
      </c>
      <c r="AU115" s="14" t="s">
        <v>201</v>
      </c>
      <c r="AV115" s="14" t="s">
        <v>201</v>
      </c>
      <c r="AW115" s="14" t="s">
        <v>201</v>
      </c>
      <c r="AX115" s="14" t="s">
        <v>201</v>
      </c>
      <c r="AY115" s="14" t="s">
        <v>201</v>
      </c>
      <c r="AZ115" s="14" t="s">
        <v>201</v>
      </c>
      <c r="BA115" s="14" t="s">
        <v>201</v>
      </c>
      <c r="BB115" s="14" t="s">
        <v>201</v>
      </c>
      <c r="BC115" s="14" t="s">
        <v>201</v>
      </c>
      <c r="BD115" s="14" t="s">
        <v>201</v>
      </c>
      <c r="BE115" s="14" t="s">
        <v>201</v>
      </c>
      <c r="BF115" s="14" t="s">
        <v>201</v>
      </c>
      <c r="BG115" s="14" t="s">
        <v>201</v>
      </c>
      <c r="BH115" s="14" t="s">
        <v>201</v>
      </c>
      <c r="BI115" s="14" t="s">
        <v>201</v>
      </c>
      <c r="BJ115" s="14" t="s">
        <v>201</v>
      </c>
      <c r="BK115" s="14" t="s">
        <v>201</v>
      </c>
      <c r="BL115" s="14" t="s">
        <v>201</v>
      </c>
      <c r="BM115" s="14" t="s">
        <v>201</v>
      </c>
      <c r="BN115" s="14" t="s">
        <v>201</v>
      </c>
      <c r="BO115" s="14" t="s">
        <v>201</v>
      </c>
      <c r="BP115" s="14" t="s">
        <v>201</v>
      </c>
      <c r="BQ115" s="14" t="s">
        <v>201</v>
      </c>
      <c r="BR115" s="14" t="s">
        <v>201</v>
      </c>
      <c r="BS115" s="14" t="s">
        <v>201</v>
      </c>
      <c r="BT115" s="14" t="s">
        <v>201</v>
      </c>
      <c r="BU115" s="14" t="s">
        <v>201</v>
      </c>
      <c r="BV115" s="14" t="s">
        <v>201</v>
      </c>
      <c r="BW115" s="14" t="s">
        <v>201</v>
      </c>
      <c r="BX115" s="14" t="s">
        <v>201</v>
      </c>
      <c r="BY115" s="14" t="s">
        <v>201</v>
      </c>
      <c r="BZ115" s="14" t="s">
        <v>201</v>
      </c>
      <c r="CA115" s="14" t="s">
        <v>201</v>
      </c>
      <c r="CB115" s="14" t="s">
        <v>201</v>
      </c>
      <c r="CC115" s="14" t="s">
        <v>201</v>
      </c>
      <c r="CD115" s="14" t="s">
        <v>201</v>
      </c>
      <c r="CE115" s="14" t="s">
        <v>201</v>
      </c>
      <c r="CF115" s="14" t="s">
        <v>201</v>
      </c>
      <c r="CG115" s="14" t="s">
        <v>201</v>
      </c>
      <c r="CH115" s="14" t="s">
        <v>201</v>
      </c>
      <c r="CI115" s="14" t="s">
        <v>201</v>
      </c>
      <c r="CJ115" s="14" t="s">
        <v>201</v>
      </c>
      <c r="CK115" s="14" t="s">
        <v>201</v>
      </c>
      <c r="CL115" s="14" t="s">
        <v>201</v>
      </c>
      <c r="CM115" s="14" t="s">
        <v>201</v>
      </c>
      <c r="CN115" s="14" t="s">
        <v>201</v>
      </c>
      <c r="CO115" s="14" t="s">
        <v>201</v>
      </c>
      <c r="CP115" s="14" t="s">
        <v>201</v>
      </c>
      <c r="CQ115" s="14" t="s">
        <v>201</v>
      </c>
      <c r="CR115" s="14" t="s">
        <v>201</v>
      </c>
      <c r="CS115" s="14" t="s">
        <v>201</v>
      </c>
      <c r="CT115" s="14" t="s">
        <v>201</v>
      </c>
      <c r="CU115" s="14" t="s">
        <v>201</v>
      </c>
      <c r="CV115" s="14" t="s">
        <v>201</v>
      </c>
      <c r="CW115" s="14" t="s">
        <v>201</v>
      </c>
      <c r="CX115" s="14" t="s">
        <v>201</v>
      </c>
      <c r="CY115" s="14" t="s">
        <v>201</v>
      </c>
      <c r="CZ115" s="14" t="s">
        <v>201</v>
      </c>
      <c r="DA115" s="14" t="s">
        <v>201</v>
      </c>
      <c r="DB115" s="14" t="s">
        <v>201</v>
      </c>
      <c r="DC115" s="14" t="s">
        <v>201</v>
      </c>
      <c r="DD115" s="14" t="s">
        <v>201</v>
      </c>
      <c r="DE115" s="14" t="s">
        <v>201</v>
      </c>
      <c r="DF115" s="14" t="s">
        <v>201</v>
      </c>
      <c r="DG115" s="14" t="s">
        <v>201</v>
      </c>
      <c r="DH115" s="14" t="s">
        <v>201</v>
      </c>
      <c r="DI115" s="14" t="s">
        <v>201</v>
      </c>
      <c r="DJ115" s="14" t="s">
        <v>201</v>
      </c>
      <c r="DK115" s="14" t="s">
        <v>201</v>
      </c>
      <c r="DL115" s="14" t="s">
        <v>201</v>
      </c>
      <c r="DM115" s="14" t="s">
        <v>201</v>
      </c>
      <c r="DN115" s="14" t="s">
        <v>201</v>
      </c>
      <c r="DO115" s="14" t="s">
        <v>201</v>
      </c>
      <c r="DP115" s="14" t="s">
        <v>201</v>
      </c>
      <c r="DQ115" s="14" t="s">
        <v>201</v>
      </c>
      <c r="DR115" s="14" t="s">
        <v>201</v>
      </c>
      <c r="DS115" s="14" t="s">
        <v>201</v>
      </c>
      <c r="DT115" s="14" t="s">
        <v>201</v>
      </c>
      <c r="DU115" s="14" t="s">
        <v>201</v>
      </c>
      <c r="DV115" s="14" t="s">
        <v>201</v>
      </c>
      <c r="DW115" s="14" t="s">
        <v>201</v>
      </c>
      <c r="DX115" s="14">
        <v>4.3855421686746991</v>
      </c>
      <c r="DY115" s="14">
        <v>0.57661445934968047</v>
      </c>
      <c r="DZ115" s="14">
        <v>0.57661445934968047</v>
      </c>
      <c r="EA115" s="21" t="s">
        <v>203</v>
      </c>
      <c r="EB115" s="14" t="s">
        <v>201</v>
      </c>
      <c r="EC115" s="14" t="s">
        <v>201</v>
      </c>
      <c r="ED115" s="14" t="s">
        <v>201</v>
      </c>
      <c r="EE115" s="14" t="s">
        <v>201</v>
      </c>
      <c r="EF115" s="14" t="s">
        <v>201</v>
      </c>
      <c r="EG115" s="14" t="s">
        <v>201</v>
      </c>
      <c r="EH115" s="14" t="s">
        <v>201</v>
      </c>
      <c r="EI115" s="14" t="s">
        <v>201</v>
      </c>
      <c r="EJ115" s="14" t="s">
        <v>201</v>
      </c>
      <c r="EK115" s="14" t="s">
        <v>201</v>
      </c>
      <c r="EL115" s="14" t="s">
        <v>201</v>
      </c>
      <c r="EM115" s="14" t="s">
        <v>201</v>
      </c>
      <c r="EN115" s="14" t="s">
        <v>201</v>
      </c>
      <c r="EO115" s="14" t="s">
        <v>201</v>
      </c>
      <c r="EP115" s="14" t="s">
        <v>201</v>
      </c>
      <c r="EQ115" s="14" t="s">
        <v>201</v>
      </c>
      <c r="ER115" s="14" t="s">
        <v>201</v>
      </c>
      <c r="ES115" s="14" t="s">
        <v>201</v>
      </c>
      <c r="ET115" s="14" t="s">
        <v>201</v>
      </c>
      <c r="EU115" s="14" t="s">
        <v>201</v>
      </c>
      <c r="EV115" s="14" t="s">
        <v>201</v>
      </c>
      <c r="EW115" s="14" t="s">
        <v>201</v>
      </c>
      <c r="EX115" s="14" t="s">
        <v>201</v>
      </c>
      <c r="EY115" s="14" t="s">
        <v>201</v>
      </c>
      <c r="EZ115" s="14" t="s">
        <v>201</v>
      </c>
      <c r="FA115" s="14" t="s">
        <v>201</v>
      </c>
      <c r="FB115" s="14" t="s">
        <v>201</v>
      </c>
      <c r="FC115" s="14" t="s">
        <v>201</v>
      </c>
      <c r="FD115" s="14" t="s">
        <v>201</v>
      </c>
      <c r="FE115" s="14" t="s">
        <v>201</v>
      </c>
      <c r="FF115" s="14" t="s">
        <v>201</v>
      </c>
      <c r="FG115" s="14" t="s">
        <v>201</v>
      </c>
      <c r="FH115" s="14" t="s">
        <v>201</v>
      </c>
      <c r="FI115" s="14" t="s">
        <v>201</v>
      </c>
      <c r="FJ115" s="14" t="s">
        <v>201</v>
      </c>
      <c r="FK115" s="14" t="s">
        <v>201</v>
      </c>
      <c r="FL115" s="14" t="s">
        <v>201</v>
      </c>
      <c r="FM115" s="14" t="s">
        <v>201</v>
      </c>
      <c r="FN115" s="14" t="s">
        <v>201</v>
      </c>
      <c r="FO115" s="14" t="s">
        <v>201</v>
      </c>
      <c r="FP115" s="14" t="s">
        <v>201</v>
      </c>
      <c r="FQ115" s="14" t="s">
        <v>201</v>
      </c>
      <c r="FR115" s="14" t="s">
        <v>201</v>
      </c>
      <c r="FS115" s="14" t="s">
        <v>201</v>
      </c>
      <c r="FT115" s="15" t="s">
        <v>200</v>
      </c>
      <c r="FU115" s="15" t="s">
        <v>237</v>
      </c>
      <c r="FV115" s="46" t="s">
        <v>385</v>
      </c>
      <c r="FW115" s="14" t="s">
        <v>201</v>
      </c>
      <c r="FX115" s="14" t="s">
        <v>201</v>
      </c>
      <c r="FY115" s="14" t="s">
        <v>201</v>
      </c>
    </row>
    <row r="116" spans="1:181" s="14" customFormat="1" x14ac:dyDescent="0.15">
      <c r="A116" s="3" t="s">
        <v>258</v>
      </c>
      <c r="B116" s="3" t="s">
        <v>193</v>
      </c>
      <c r="C116">
        <v>2017</v>
      </c>
      <c r="D116" s="22" t="str">
        <f t="shared" si="12"/>
        <v>10.1016/j.epsl.2017.03.016</v>
      </c>
      <c r="E116" s="22">
        <f t="shared" si="13"/>
        <v>5482.53</v>
      </c>
      <c r="F116" s="22" t="str">
        <f t="shared" si="14"/>
        <v>NA</v>
      </c>
      <c r="G116" s="22" t="str">
        <f t="shared" si="15"/>
        <v>NA</v>
      </c>
      <c r="H116" s="22" t="str">
        <f t="shared" si="16"/>
        <v>NA</v>
      </c>
      <c r="I116" s="36" t="str">
        <f t="shared" si="17"/>
        <v>NA</v>
      </c>
      <c r="J116" s="36" t="str">
        <f t="shared" si="18"/>
        <v>NA</v>
      </c>
      <c r="K116" s="17" t="s">
        <v>251</v>
      </c>
      <c r="L116" s="17" t="s">
        <v>252</v>
      </c>
      <c r="M116" s="17" t="s">
        <v>194</v>
      </c>
      <c r="N116" s="17" t="s">
        <v>192</v>
      </c>
      <c r="O116" s="14">
        <v>806</v>
      </c>
      <c r="P116" s="16" t="s">
        <v>189</v>
      </c>
      <c r="Q116" s="14">
        <v>18</v>
      </c>
      <c r="R116" s="14" t="s">
        <v>208</v>
      </c>
      <c r="S116" s="14" t="s">
        <v>209</v>
      </c>
      <c r="T116" s="14">
        <v>4</v>
      </c>
      <c r="U116" s="14">
        <v>75</v>
      </c>
      <c r="V116" s="14" t="s">
        <v>201</v>
      </c>
      <c r="W116" s="14" t="s">
        <v>201</v>
      </c>
      <c r="X116" s="14" t="s">
        <v>201</v>
      </c>
      <c r="Y116" s="14" t="s">
        <v>201</v>
      </c>
      <c r="Z116" s="19">
        <v>163.75</v>
      </c>
      <c r="AA116" s="17" t="s">
        <v>207</v>
      </c>
      <c r="AB116" s="14">
        <v>5482.53</v>
      </c>
      <c r="AC116" s="14" t="s">
        <v>201</v>
      </c>
      <c r="AD116" s="14" t="s">
        <v>201</v>
      </c>
      <c r="AE116" s="14" t="s">
        <v>201</v>
      </c>
      <c r="AF116" s="16" t="s">
        <v>177</v>
      </c>
      <c r="AG116" s="16" t="s">
        <v>179</v>
      </c>
      <c r="AH116" s="19">
        <v>0.31850000000000001</v>
      </c>
      <c r="AI116" s="18">
        <v>159.36150000000001</v>
      </c>
      <c r="AJ116" s="35">
        <v>-2520</v>
      </c>
      <c r="AK116" s="14" t="s">
        <v>201</v>
      </c>
      <c r="AL116" s="14" t="s">
        <v>201</v>
      </c>
      <c r="AM116" s="14" t="s">
        <v>201</v>
      </c>
      <c r="AN116" s="14" t="s">
        <v>201</v>
      </c>
      <c r="AO116" s="16" t="s">
        <v>180</v>
      </c>
      <c r="AP116" s="14" t="s">
        <v>201</v>
      </c>
      <c r="AQ116" s="14" t="s">
        <v>201</v>
      </c>
      <c r="AR116" s="14" t="s">
        <v>201</v>
      </c>
      <c r="AS116" s="14" t="s">
        <v>201</v>
      </c>
      <c r="AT116" s="14" t="s">
        <v>201</v>
      </c>
      <c r="AU116" s="14" t="s">
        <v>201</v>
      </c>
      <c r="AV116" s="14" t="s">
        <v>201</v>
      </c>
      <c r="AW116" s="14" t="s">
        <v>201</v>
      </c>
      <c r="AX116" s="14" t="s">
        <v>201</v>
      </c>
      <c r="AY116" s="14" t="s">
        <v>201</v>
      </c>
      <c r="AZ116" s="14" t="s">
        <v>201</v>
      </c>
      <c r="BA116" s="14" t="s">
        <v>201</v>
      </c>
      <c r="BB116" s="14" t="s">
        <v>201</v>
      </c>
      <c r="BC116" s="14" t="s">
        <v>201</v>
      </c>
      <c r="BD116" s="14" t="s">
        <v>201</v>
      </c>
      <c r="BE116" s="14" t="s">
        <v>201</v>
      </c>
      <c r="BF116" s="14" t="s">
        <v>201</v>
      </c>
      <c r="BG116" s="14" t="s">
        <v>201</v>
      </c>
      <c r="BH116" s="14" t="s">
        <v>201</v>
      </c>
      <c r="BI116" s="14" t="s">
        <v>201</v>
      </c>
      <c r="BJ116" s="14" t="s">
        <v>201</v>
      </c>
      <c r="BK116" s="14" t="s">
        <v>201</v>
      </c>
      <c r="BL116" s="14" t="s">
        <v>201</v>
      </c>
      <c r="BM116" s="14" t="s">
        <v>201</v>
      </c>
      <c r="BN116" s="14" t="s">
        <v>201</v>
      </c>
      <c r="BO116" s="14" t="s">
        <v>201</v>
      </c>
      <c r="BP116" s="14" t="s">
        <v>201</v>
      </c>
      <c r="BQ116" s="14" t="s">
        <v>201</v>
      </c>
      <c r="BR116" s="14" t="s">
        <v>201</v>
      </c>
      <c r="BS116" s="14" t="s">
        <v>201</v>
      </c>
      <c r="BT116" s="14" t="s">
        <v>201</v>
      </c>
      <c r="BU116" s="14" t="s">
        <v>201</v>
      </c>
      <c r="BV116" s="14" t="s">
        <v>201</v>
      </c>
      <c r="BW116" s="14" t="s">
        <v>201</v>
      </c>
      <c r="BX116" s="14" t="s">
        <v>201</v>
      </c>
      <c r="BY116" s="14" t="s">
        <v>201</v>
      </c>
      <c r="BZ116" s="14" t="s">
        <v>201</v>
      </c>
      <c r="CA116" s="14" t="s">
        <v>201</v>
      </c>
      <c r="CB116" s="14" t="s">
        <v>201</v>
      </c>
      <c r="CC116" s="14" t="s">
        <v>201</v>
      </c>
      <c r="CD116" s="14" t="s">
        <v>201</v>
      </c>
      <c r="CE116" s="14" t="s">
        <v>201</v>
      </c>
      <c r="CF116" s="14" t="s">
        <v>201</v>
      </c>
      <c r="CG116" s="14" t="s">
        <v>201</v>
      </c>
      <c r="CH116" s="14" t="s">
        <v>201</v>
      </c>
      <c r="CI116" s="14" t="s">
        <v>201</v>
      </c>
      <c r="CJ116" s="14" t="s">
        <v>201</v>
      </c>
      <c r="CK116" s="14" t="s">
        <v>201</v>
      </c>
      <c r="CL116" s="14" t="s">
        <v>201</v>
      </c>
      <c r="CM116" s="14" t="s">
        <v>201</v>
      </c>
      <c r="CN116" s="14" t="s">
        <v>201</v>
      </c>
      <c r="CO116" s="14" t="s">
        <v>201</v>
      </c>
      <c r="CP116" s="14" t="s">
        <v>201</v>
      </c>
      <c r="CQ116" s="14" t="s">
        <v>201</v>
      </c>
      <c r="CR116" s="14" t="s">
        <v>201</v>
      </c>
      <c r="CS116" s="14" t="s">
        <v>201</v>
      </c>
      <c r="CT116" s="14" t="s">
        <v>201</v>
      </c>
      <c r="CU116" s="14" t="s">
        <v>201</v>
      </c>
      <c r="CV116" s="14" t="s">
        <v>201</v>
      </c>
      <c r="CW116" s="14" t="s">
        <v>201</v>
      </c>
      <c r="CX116" s="14" t="s">
        <v>201</v>
      </c>
      <c r="CY116" s="14" t="s">
        <v>201</v>
      </c>
      <c r="CZ116" s="14" t="s">
        <v>201</v>
      </c>
      <c r="DA116" s="14" t="s">
        <v>201</v>
      </c>
      <c r="DB116" s="14" t="s">
        <v>201</v>
      </c>
      <c r="DC116" s="14" t="s">
        <v>201</v>
      </c>
      <c r="DD116" s="14" t="s">
        <v>201</v>
      </c>
      <c r="DE116" s="14" t="s">
        <v>201</v>
      </c>
      <c r="DF116" s="14" t="s">
        <v>201</v>
      </c>
      <c r="DG116" s="14" t="s">
        <v>201</v>
      </c>
      <c r="DH116" s="14" t="s">
        <v>201</v>
      </c>
      <c r="DI116" s="14" t="s">
        <v>201</v>
      </c>
      <c r="DJ116" s="14" t="s">
        <v>201</v>
      </c>
      <c r="DK116" s="14" t="s">
        <v>201</v>
      </c>
      <c r="DL116" s="14" t="s">
        <v>201</v>
      </c>
      <c r="DM116" s="14" t="s">
        <v>201</v>
      </c>
      <c r="DN116" s="14" t="s">
        <v>201</v>
      </c>
      <c r="DO116" s="14" t="s">
        <v>201</v>
      </c>
      <c r="DP116" s="14" t="s">
        <v>201</v>
      </c>
      <c r="DQ116" s="14" t="s">
        <v>201</v>
      </c>
      <c r="DR116" s="14" t="s">
        <v>201</v>
      </c>
      <c r="DS116" s="14" t="s">
        <v>201</v>
      </c>
      <c r="DT116" s="14" t="s">
        <v>201</v>
      </c>
      <c r="DU116" s="14" t="s">
        <v>201</v>
      </c>
      <c r="DV116" s="14" t="s">
        <v>201</v>
      </c>
      <c r="DW116" s="14" t="s">
        <v>201</v>
      </c>
      <c r="DX116" s="14">
        <v>4.2906976744186043</v>
      </c>
      <c r="DY116" s="14">
        <v>0.70437022742044997</v>
      </c>
      <c r="DZ116" s="14">
        <v>0.70437022742044997</v>
      </c>
      <c r="EA116" s="21" t="s">
        <v>203</v>
      </c>
      <c r="EB116" s="14" t="s">
        <v>201</v>
      </c>
      <c r="EC116" s="14" t="s">
        <v>201</v>
      </c>
      <c r="ED116" s="14" t="s">
        <v>201</v>
      </c>
      <c r="EE116" s="14" t="s">
        <v>201</v>
      </c>
      <c r="EF116" s="14" t="s">
        <v>201</v>
      </c>
      <c r="EG116" s="14" t="s">
        <v>201</v>
      </c>
      <c r="EH116" s="14" t="s">
        <v>201</v>
      </c>
      <c r="EI116" s="14" t="s">
        <v>201</v>
      </c>
      <c r="EJ116" s="14" t="s">
        <v>201</v>
      </c>
      <c r="EK116" s="14" t="s">
        <v>201</v>
      </c>
      <c r="EL116" s="14" t="s">
        <v>201</v>
      </c>
      <c r="EM116" s="14" t="s">
        <v>201</v>
      </c>
      <c r="EN116" s="14" t="s">
        <v>201</v>
      </c>
      <c r="EO116" s="14" t="s">
        <v>201</v>
      </c>
      <c r="EP116" s="14" t="s">
        <v>201</v>
      </c>
      <c r="EQ116" s="14" t="s">
        <v>201</v>
      </c>
      <c r="ER116" s="14" t="s">
        <v>201</v>
      </c>
      <c r="ES116" s="14" t="s">
        <v>201</v>
      </c>
      <c r="ET116" s="14" t="s">
        <v>201</v>
      </c>
      <c r="EU116" s="14" t="s">
        <v>201</v>
      </c>
      <c r="EV116" s="14" t="s">
        <v>201</v>
      </c>
      <c r="EW116" s="14" t="s">
        <v>201</v>
      </c>
      <c r="EX116" s="14" t="s">
        <v>201</v>
      </c>
      <c r="EY116" s="14" t="s">
        <v>201</v>
      </c>
      <c r="EZ116" s="14" t="s">
        <v>201</v>
      </c>
      <c r="FA116" s="14" t="s">
        <v>201</v>
      </c>
      <c r="FB116" s="14" t="s">
        <v>201</v>
      </c>
      <c r="FC116" s="14" t="s">
        <v>201</v>
      </c>
      <c r="FD116" s="14" t="s">
        <v>201</v>
      </c>
      <c r="FE116" s="14" t="s">
        <v>201</v>
      </c>
      <c r="FF116" s="14" t="s">
        <v>201</v>
      </c>
      <c r="FG116" s="14" t="s">
        <v>201</v>
      </c>
      <c r="FH116" s="14" t="s">
        <v>201</v>
      </c>
      <c r="FI116" s="14" t="s">
        <v>201</v>
      </c>
      <c r="FJ116" s="14" t="s">
        <v>201</v>
      </c>
      <c r="FK116" s="14" t="s">
        <v>201</v>
      </c>
      <c r="FL116" s="14" t="s">
        <v>201</v>
      </c>
      <c r="FM116" s="14" t="s">
        <v>201</v>
      </c>
      <c r="FN116" s="14" t="s">
        <v>201</v>
      </c>
      <c r="FO116" s="14" t="s">
        <v>201</v>
      </c>
      <c r="FP116" s="14" t="s">
        <v>201</v>
      </c>
      <c r="FQ116" s="14" t="s">
        <v>201</v>
      </c>
      <c r="FR116" s="14" t="s">
        <v>201</v>
      </c>
      <c r="FS116" s="14" t="s">
        <v>201</v>
      </c>
      <c r="FT116" s="15" t="s">
        <v>200</v>
      </c>
      <c r="FU116" s="15" t="s">
        <v>237</v>
      </c>
      <c r="FV116" s="46" t="s">
        <v>386</v>
      </c>
      <c r="FW116" s="14" t="s">
        <v>201</v>
      </c>
      <c r="FX116" s="14" t="s">
        <v>201</v>
      </c>
      <c r="FY116" s="14" t="s">
        <v>201</v>
      </c>
    </row>
    <row r="117" spans="1:181" s="14" customFormat="1" x14ac:dyDescent="0.15">
      <c r="A117" s="3" t="s">
        <v>258</v>
      </c>
      <c r="B117" s="3" t="s">
        <v>193</v>
      </c>
      <c r="C117">
        <v>2017</v>
      </c>
      <c r="D117" s="22" t="str">
        <f t="shared" si="12"/>
        <v>10.1016/j.epsl.2017.03.016</v>
      </c>
      <c r="E117" s="22">
        <f t="shared" si="13"/>
        <v>5844.03</v>
      </c>
      <c r="F117" s="22" t="str">
        <f t="shared" si="14"/>
        <v>NA</v>
      </c>
      <c r="G117" s="22" t="str">
        <f t="shared" si="15"/>
        <v>NA</v>
      </c>
      <c r="H117" s="22" t="str">
        <f t="shared" si="16"/>
        <v>NA</v>
      </c>
      <c r="I117" s="36" t="str">
        <f t="shared" si="17"/>
        <v>NA</v>
      </c>
      <c r="J117" s="36" t="str">
        <f t="shared" si="18"/>
        <v>NA</v>
      </c>
      <c r="K117" s="17" t="s">
        <v>251</v>
      </c>
      <c r="L117" s="17" t="s">
        <v>252</v>
      </c>
      <c r="M117" s="17" t="s">
        <v>194</v>
      </c>
      <c r="N117" s="17" t="s">
        <v>192</v>
      </c>
      <c r="O117" s="14">
        <v>806</v>
      </c>
      <c r="P117" s="16" t="s">
        <v>189</v>
      </c>
      <c r="Q117" s="14">
        <v>19</v>
      </c>
      <c r="R117" s="14" t="s">
        <v>208</v>
      </c>
      <c r="S117" s="14" t="s">
        <v>209</v>
      </c>
      <c r="T117" s="14">
        <v>3</v>
      </c>
      <c r="U117" s="14">
        <v>50</v>
      </c>
      <c r="V117" s="14" t="s">
        <v>201</v>
      </c>
      <c r="W117" s="14" t="s">
        <v>201</v>
      </c>
      <c r="X117" s="14" t="s">
        <v>201</v>
      </c>
      <c r="Y117" s="14" t="s">
        <v>201</v>
      </c>
      <c r="Z117" s="19">
        <v>171.5</v>
      </c>
      <c r="AA117" s="17" t="s">
        <v>207</v>
      </c>
      <c r="AB117" s="14">
        <v>5844.03</v>
      </c>
      <c r="AC117" s="14" t="s">
        <v>201</v>
      </c>
      <c r="AD117" s="14" t="s">
        <v>201</v>
      </c>
      <c r="AE117" s="14" t="s">
        <v>201</v>
      </c>
      <c r="AF117" s="16" t="s">
        <v>177</v>
      </c>
      <c r="AG117" s="16" t="s">
        <v>179</v>
      </c>
      <c r="AH117" s="19">
        <v>0.31850000000000001</v>
      </c>
      <c r="AI117" s="18">
        <v>159.36150000000001</v>
      </c>
      <c r="AJ117" s="35">
        <v>-2520</v>
      </c>
      <c r="AK117" s="14" t="s">
        <v>201</v>
      </c>
      <c r="AL117" s="14" t="s">
        <v>201</v>
      </c>
      <c r="AM117" s="14" t="s">
        <v>201</v>
      </c>
      <c r="AN117" s="14" t="s">
        <v>201</v>
      </c>
      <c r="AO117" s="16" t="s">
        <v>180</v>
      </c>
      <c r="AP117" s="14" t="s">
        <v>201</v>
      </c>
      <c r="AQ117" s="14" t="s">
        <v>201</v>
      </c>
      <c r="AR117" s="14" t="s">
        <v>201</v>
      </c>
      <c r="AS117" s="14" t="s">
        <v>201</v>
      </c>
      <c r="AT117" s="14" t="s">
        <v>201</v>
      </c>
      <c r="AU117" s="14" t="s">
        <v>201</v>
      </c>
      <c r="AV117" s="14" t="s">
        <v>201</v>
      </c>
      <c r="AW117" s="14" t="s">
        <v>201</v>
      </c>
      <c r="AX117" s="14" t="s">
        <v>201</v>
      </c>
      <c r="AY117" s="14" t="s">
        <v>201</v>
      </c>
      <c r="AZ117" s="14" t="s">
        <v>201</v>
      </c>
      <c r="BA117" s="14" t="s">
        <v>201</v>
      </c>
      <c r="BB117" s="14" t="s">
        <v>201</v>
      </c>
      <c r="BC117" s="14" t="s">
        <v>201</v>
      </c>
      <c r="BD117" s="14" t="s">
        <v>201</v>
      </c>
      <c r="BE117" s="14" t="s">
        <v>201</v>
      </c>
      <c r="BF117" s="14" t="s">
        <v>201</v>
      </c>
      <c r="BG117" s="14" t="s">
        <v>201</v>
      </c>
      <c r="BH117" s="14" t="s">
        <v>201</v>
      </c>
      <c r="BI117" s="14" t="s">
        <v>201</v>
      </c>
      <c r="BJ117" s="14" t="s">
        <v>201</v>
      </c>
      <c r="BK117" s="14" t="s">
        <v>201</v>
      </c>
      <c r="BL117" s="14" t="s">
        <v>201</v>
      </c>
      <c r="BM117" s="14" t="s">
        <v>201</v>
      </c>
      <c r="BN117" s="14" t="s">
        <v>201</v>
      </c>
      <c r="BO117" s="14" t="s">
        <v>201</v>
      </c>
      <c r="BP117" s="14" t="s">
        <v>201</v>
      </c>
      <c r="BQ117" s="14" t="s">
        <v>201</v>
      </c>
      <c r="BR117" s="14" t="s">
        <v>201</v>
      </c>
      <c r="BS117" s="14" t="s">
        <v>201</v>
      </c>
      <c r="BT117" s="14" t="s">
        <v>201</v>
      </c>
      <c r="BU117" s="14" t="s">
        <v>201</v>
      </c>
      <c r="BV117" s="14" t="s">
        <v>201</v>
      </c>
      <c r="BW117" s="14" t="s">
        <v>201</v>
      </c>
      <c r="BX117" s="14" t="s">
        <v>201</v>
      </c>
      <c r="BY117" s="14" t="s">
        <v>201</v>
      </c>
      <c r="BZ117" s="14" t="s">
        <v>201</v>
      </c>
      <c r="CA117" s="14" t="s">
        <v>201</v>
      </c>
      <c r="CB117" s="14" t="s">
        <v>201</v>
      </c>
      <c r="CC117" s="14" t="s">
        <v>201</v>
      </c>
      <c r="CD117" s="14" t="s">
        <v>201</v>
      </c>
      <c r="CE117" s="14" t="s">
        <v>201</v>
      </c>
      <c r="CF117" s="14" t="s">
        <v>201</v>
      </c>
      <c r="CG117" s="14" t="s">
        <v>201</v>
      </c>
      <c r="CH117" s="14" t="s">
        <v>201</v>
      </c>
      <c r="CI117" s="14" t="s">
        <v>201</v>
      </c>
      <c r="CJ117" s="14" t="s">
        <v>201</v>
      </c>
      <c r="CK117" s="14" t="s">
        <v>201</v>
      </c>
      <c r="CL117" s="14" t="s">
        <v>201</v>
      </c>
      <c r="CM117" s="14" t="s">
        <v>201</v>
      </c>
      <c r="CN117" s="14" t="s">
        <v>201</v>
      </c>
      <c r="CO117" s="14" t="s">
        <v>201</v>
      </c>
      <c r="CP117" s="14" t="s">
        <v>201</v>
      </c>
      <c r="CQ117" s="14" t="s">
        <v>201</v>
      </c>
      <c r="CR117" s="14" t="s">
        <v>201</v>
      </c>
      <c r="CS117" s="14" t="s">
        <v>201</v>
      </c>
      <c r="CT117" s="14" t="s">
        <v>201</v>
      </c>
      <c r="CU117" s="14" t="s">
        <v>201</v>
      </c>
      <c r="CV117" s="14" t="s">
        <v>201</v>
      </c>
      <c r="CW117" s="14" t="s">
        <v>201</v>
      </c>
      <c r="CX117" s="14" t="s">
        <v>201</v>
      </c>
      <c r="CY117" s="14" t="s">
        <v>201</v>
      </c>
      <c r="CZ117" s="14" t="s">
        <v>201</v>
      </c>
      <c r="DA117" s="14" t="s">
        <v>201</v>
      </c>
      <c r="DB117" s="14" t="s">
        <v>201</v>
      </c>
      <c r="DC117" s="14" t="s">
        <v>201</v>
      </c>
      <c r="DD117" s="14" t="s">
        <v>201</v>
      </c>
      <c r="DE117" s="14" t="s">
        <v>201</v>
      </c>
      <c r="DF117" s="14" t="s">
        <v>201</v>
      </c>
      <c r="DG117" s="14" t="s">
        <v>201</v>
      </c>
      <c r="DH117" s="14" t="s">
        <v>201</v>
      </c>
      <c r="DI117" s="14" t="s">
        <v>201</v>
      </c>
      <c r="DJ117" s="14" t="s">
        <v>201</v>
      </c>
      <c r="DK117" s="14" t="s">
        <v>201</v>
      </c>
      <c r="DL117" s="14" t="s">
        <v>201</v>
      </c>
      <c r="DM117" s="14" t="s">
        <v>201</v>
      </c>
      <c r="DN117" s="14" t="s">
        <v>201</v>
      </c>
      <c r="DO117" s="14" t="s">
        <v>201</v>
      </c>
      <c r="DP117" s="14" t="s">
        <v>201</v>
      </c>
      <c r="DQ117" s="14" t="s">
        <v>201</v>
      </c>
      <c r="DR117" s="14" t="s">
        <v>201</v>
      </c>
      <c r="DS117" s="14" t="s">
        <v>201</v>
      </c>
      <c r="DT117" s="14" t="s">
        <v>201</v>
      </c>
      <c r="DU117" s="14" t="s">
        <v>201</v>
      </c>
      <c r="DV117" s="14" t="s">
        <v>201</v>
      </c>
      <c r="DW117" s="14" t="s">
        <v>201</v>
      </c>
      <c r="DX117" s="14">
        <v>4.2072072072072055</v>
      </c>
      <c r="DY117" s="14">
        <v>1.0729563206722088</v>
      </c>
      <c r="DZ117" s="14">
        <v>1.0729563206722088</v>
      </c>
      <c r="EA117" s="21" t="s">
        <v>203</v>
      </c>
      <c r="EB117" s="14" t="s">
        <v>201</v>
      </c>
      <c r="EC117" s="14" t="s">
        <v>201</v>
      </c>
      <c r="ED117" s="14" t="s">
        <v>201</v>
      </c>
      <c r="EE117" s="14" t="s">
        <v>201</v>
      </c>
      <c r="EF117" s="14" t="s">
        <v>201</v>
      </c>
      <c r="EG117" s="14" t="s">
        <v>201</v>
      </c>
      <c r="EH117" s="14" t="s">
        <v>201</v>
      </c>
      <c r="EI117" s="14" t="s">
        <v>201</v>
      </c>
      <c r="EJ117" s="14" t="s">
        <v>201</v>
      </c>
      <c r="EK117" s="14" t="s">
        <v>201</v>
      </c>
      <c r="EL117" s="14" t="s">
        <v>201</v>
      </c>
      <c r="EM117" s="14" t="s">
        <v>201</v>
      </c>
      <c r="EN117" s="14" t="s">
        <v>201</v>
      </c>
      <c r="EO117" s="14" t="s">
        <v>201</v>
      </c>
      <c r="EP117" s="14" t="s">
        <v>201</v>
      </c>
      <c r="EQ117" s="14" t="s">
        <v>201</v>
      </c>
      <c r="ER117" s="14" t="s">
        <v>201</v>
      </c>
      <c r="ES117" s="14" t="s">
        <v>201</v>
      </c>
      <c r="ET117" s="14" t="s">
        <v>201</v>
      </c>
      <c r="EU117" s="14" t="s">
        <v>201</v>
      </c>
      <c r="EV117" s="14" t="s">
        <v>201</v>
      </c>
      <c r="EW117" s="14" t="s">
        <v>201</v>
      </c>
      <c r="EX117" s="14" t="s">
        <v>201</v>
      </c>
      <c r="EY117" s="14" t="s">
        <v>201</v>
      </c>
      <c r="EZ117" s="14" t="s">
        <v>201</v>
      </c>
      <c r="FA117" s="14" t="s">
        <v>201</v>
      </c>
      <c r="FB117" s="14" t="s">
        <v>201</v>
      </c>
      <c r="FC117" s="14" t="s">
        <v>201</v>
      </c>
      <c r="FD117" s="14" t="s">
        <v>201</v>
      </c>
      <c r="FE117" s="14" t="s">
        <v>201</v>
      </c>
      <c r="FF117" s="14" t="s">
        <v>201</v>
      </c>
      <c r="FG117" s="14" t="s">
        <v>201</v>
      </c>
      <c r="FH117" s="14" t="s">
        <v>201</v>
      </c>
      <c r="FI117" s="14" t="s">
        <v>201</v>
      </c>
      <c r="FJ117" s="14" t="s">
        <v>201</v>
      </c>
      <c r="FK117" s="14" t="s">
        <v>201</v>
      </c>
      <c r="FL117" s="14" t="s">
        <v>201</v>
      </c>
      <c r="FM117" s="14" t="s">
        <v>201</v>
      </c>
      <c r="FN117" s="14" t="s">
        <v>201</v>
      </c>
      <c r="FO117" s="14" t="s">
        <v>201</v>
      </c>
      <c r="FP117" s="14" t="s">
        <v>201</v>
      </c>
      <c r="FQ117" s="14" t="s">
        <v>201</v>
      </c>
      <c r="FR117" s="14" t="s">
        <v>201</v>
      </c>
      <c r="FS117" s="14" t="s">
        <v>201</v>
      </c>
      <c r="FT117" s="15" t="s">
        <v>200</v>
      </c>
      <c r="FU117" s="15" t="s">
        <v>237</v>
      </c>
      <c r="FV117" s="46" t="s">
        <v>387</v>
      </c>
      <c r="FW117" s="14" t="s">
        <v>201</v>
      </c>
      <c r="FX117" s="14" t="s">
        <v>201</v>
      </c>
      <c r="FY117" s="14" t="s">
        <v>201</v>
      </c>
    </row>
    <row r="118" spans="1:181" s="14" customFormat="1" x14ac:dyDescent="0.15">
      <c r="A118" s="3" t="s">
        <v>258</v>
      </c>
      <c r="B118" s="3" t="s">
        <v>193</v>
      </c>
      <c r="C118">
        <v>2017</v>
      </c>
      <c r="D118" s="22" t="str">
        <f t="shared" si="12"/>
        <v>10.1016/j.epsl.2017.03.016</v>
      </c>
      <c r="E118" s="22">
        <f t="shared" si="13"/>
        <v>6028.21</v>
      </c>
      <c r="F118" s="22" t="str">
        <f t="shared" si="14"/>
        <v>NA</v>
      </c>
      <c r="G118" s="22" t="str">
        <f t="shared" si="15"/>
        <v>NA</v>
      </c>
      <c r="H118" s="22" t="str">
        <f t="shared" si="16"/>
        <v>NA</v>
      </c>
      <c r="I118" s="36" t="str">
        <f t="shared" si="17"/>
        <v>NA</v>
      </c>
      <c r="J118" s="36" t="str">
        <f t="shared" si="18"/>
        <v>NA</v>
      </c>
      <c r="K118" s="17" t="s">
        <v>251</v>
      </c>
      <c r="L118" s="17" t="s">
        <v>252</v>
      </c>
      <c r="M118" s="17" t="s">
        <v>194</v>
      </c>
      <c r="N118" s="17" t="s">
        <v>192</v>
      </c>
      <c r="O118" s="14">
        <v>806</v>
      </c>
      <c r="P118" s="16" t="s">
        <v>189</v>
      </c>
      <c r="Q118" s="14">
        <v>20</v>
      </c>
      <c r="R118" s="14" t="s">
        <v>208</v>
      </c>
      <c r="S118" s="14" t="s">
        <v>209</v>
      </c>
      <c r="T118" s="14">
        <v>2</v>
      </c>
      <c r="U118" s="14">
        <v>20</v>
      </c>
      <c r="V118" s="14" t="s">
        <v>201</v>
      </c>
      <c r="W118" s="14" t="s">
        <v>201</v>
      </c>
      <c r="X118" s="14" t="s">
        <v>201</v>
      </c>
      <c r="Y118" s="14" t="s">
        <v>201</v>
      </c>
      <c r="Z118" s="19">
        <v>179.2</v>
      </c>
      <c r="AA118" s="17" t="s">
        <v>207</v>
      </c>
      <c r="AB118" s="14">
        <v>6028.21</v>
      </c>
      <c r="AC118" s="14" t="s">
        <v>201</v>
      </c>
      <c r="AD118" s="14" t="s">
        <v>201</v>
      </c>
      <c r="AE118" s="14" t="s">
        <v>201</v>
      </c>
      <c r="AF118" s="16" t="s">
        <v>177</v>
      </c>
      <c r="AG118" s="16" t="s">
        <v>179</v>
      </c>
      <c r="AH118" s="19">
        <v>0.31850000000000001</v>
      </c>
      <c r="AI118" s="18">
        <v>159.36150000000001</v>
      </c>
      <c r="AJ118" s="35">
        <v>-2520</v>
      </c>
      <c r="AK118" s="14" t="s">
        <v>201</v>
      </c>
      <c r="AL118" s="14" t="s">
        <v>201</v>
      </c>
      <c r="AM118" s="14" t="s">
        <v>201</v>
      </c>
      <c r="AN118" s="14" t="s">
        <v>201</v>
      </c>
      <c r="AO118" s="16" t="s">
        <v>180</v>
      </c>
      <c r="AP118" s="14" t="s">
        <v>201</v>
      </c>
      <c r="AQ118" s="14" t="s">
        <v>201</v>
      </c>
      <c r="AR118" s="14" t="s">
        <v>201</v>
      </c>
      <c r="AS118" s="14" t="s">
        <v>201</v>
      </c>
      <c r="AT118" s="14" t="s">
        <v>201</v>
      </c>
      <c r="AU118" s="14" t="s">
        <v>201</v>
      </c>
      <c r="AV118" s="14" t="s">
        <v>201</v>
      </c>
      <c r="AW118" s="14" t="s">
        <v>201</v>
      </c>
      <c r="AX118" s="14" t="s">
        <v>201</v>
      </c>
      <c r="AY118" s="14" t="s">
        <v>201</v>
      </c>
      <c r="AZ118" s="14" t="s">
        <v>201</v>
      </c>
      <c r="BA118" s="14" t="s">
        <v>201</v>
      </c>
      <c r="BB118" s="14" t="s">
        <v>201</v>
      </c>
      <c r="BC118" s="14" t="s">
        <v>201</v>
      </c>
      <c r="BD118" s="14" t="s">
        <v>201</v>
      </c>
      <c r="BE118" s="14" t="s">
        <v>201</v>
      </c>
      <c r="BF118" s="14" t="s">
        <v>201</v>
      </c>
      <c r="BG118" s="14" t="s">
        <v>201</v>
      </c>
      <c r="BH118" s="14" t="s">
        <v>201</v>
      </c>
      <c r="BI118" s="14" t="s">
        <v>201</v>
      </c>
      <c r="BJ118" s="14" t="s">
        <v>201</v>
      </c>
      <c r="BK118" s="14" t="s">
        <v>201</v>
      </c>
      <c r="BL118" s="14" t="s">
        <v>201</v>
      </c>
      <c r="BM118" s="14" t="s">
        <v>201</v>
      </c>
      <c r="BN118" s="14" t="s">
        <v>201</v>
      </c>
      <c r="BO118" s="14" t="s">
        <v>201</v>
      </c>
      <c r="BP118" s="14" t="s">
        <v>201</v>
      </c>
      <c r="BQ118" s="14" t="s">
        <v>201</v>
      </c>
      <c r="BR118" s="14" t="s">
        <v>201</v>
      </c>
      <c r="BS118" s="14" t="s">
        <v>201</v>
      </c>
      <c r="BT118" s="14" t="s">
        <v>201</v>
      </c>
      <c r="BU118" s="14" t="s">
        <v>201</v>
      </c>
      <c r="BV118" s="14" t="s">
        <v>201</v>
      </c>
      <c r="BW118" s="14" t="s">
        <v>201</v>
      </c>
      <c r="BX118" s="14" t="s">
        <v>201</v>
      </c>
      <c r="BY118" s="14" t="s">
        <v>201</v>
      </c>
      <c r="BZ118" s="14" t="s">
        <v>201</v>
      </c>
      <c r="CA118" s="14" t="s">
        <v>201</v>
      </c>
      <c r="CB118" s="14" t="s">
        <v>201</v>
      </c>
      <c r="CC118" s="14" t="s">
        <v>201</v>
      </c>
      <c r="CD118" s="14" t="s">
        <v>201</v>
      </c>
      <c r="CE118" s="14" t="s">
        <v>201</v>
      </c>
      <c r="CF118" s="14" t="s">
        <v>201</v>
      </c>
      <c r="CG118" s="14" t="s">
        <v>201</v>
      </c>
      <c r="CH118" s="14" t="s">
        <v>201</v>
      </c>
      <c r="CI118" s="14" t="s">
        <v>201</v>
      </c>
      <c r="CJ118" s="14" t="s">
        <v>201</v>
      </c>
      <c r="CK118" s="14" t="s">
        <v>201</v>
      </c>
      <c r="CL118" s="14" t="s">
        <v>201</v>
      </c>
      <c r="CM118" s="14" t="s">
        <v>201</v>
      </c>
      <c r="CN118" s="14" t="s">
        <v>201</v>
      </c>
      <c r="CO118" s="14" t="s">
        <v>201</v>
      </c>
      <c r="CP118" s="14" t="s">
        <v>201</v>
      </c>
      <c r="CQ118" s="14" t="s">
        <v>201</v>
      </c>
      <c r="CR118" s="14" t="s">
        <v>201</v>
      </c>
      <c r="CS118" s="14" t="s">
        <v>201</v>
      </c>
      <c r="CT118" s="14" t="s">
        <v>201</v>
      </c>
      <c r="CU118" s="14" t="s">
        <v>201</v>
      </c>
      <c r="CV118" s="14" t="s">
        <v>201</v>
      </c>
      <c r="CW118" s="14" t="s">
        <v>201</v>
      </c>
      <c r="CX118" s="14" t="s">
        <v>201</v>
      </c>
      <c r="CY118" s="14" t="s">
        <v>201</v>
      </c>
      <c r="CZ118" s="14" t="s">
        <v>201</v>
      </c>
      <c r="DA118" s="14" t="s">
        <v>201</v>
      </c>
      <c r="DB118" s="14" t="s">
        <v>201</v>
      </c>
      <c r="DC118" s="14" t="s">
        <v>201</v>
      </c>
      <c r="DD118" s="14" t="s">
        <v>201</v>
      </c>
      <c r="DE118" s="14" t="s">
        <v>201</v>
      </c>
      <c r="DF118" s="14" t="s">
        <v>201</v>
      </c>
      <c r="DG118" s="14" t="s">
        <v>201</v>
      </c>
      <c r="DH118" s="14" t="s">
        <v>201</v>
      </c>
      <c r="DI118" s="14" t="s">
        <v>201</v>
      </c>
      <c r="DJ118" s="14" t="s">
        <v>201</v>
      </c>
      <c r="DK118" s="14" t="s">
        <v>201</v>
      </c>
      <c r="DL118" s="14" t="s">
        <v>201</v>
      </c>
      <c r="DM118" s="14" t="s">
        <v>201</v>
      </c>
      <c r="DN118" s="14" t="s">
        <v>201</v>
      </c>
      <c r="DO118" s="14" t="s">
        <v>201</v>
      </c>
      <c r="DP118" s="14" t="s">
        <v>201</v>
      </c>
      <c r="DQ118" s="14" t="s">
        <v>201</v>
      </c>
      <c r="DR118" s="14" t="s">
        <v>201</v>
      </c>
      <c r="DS118" s="14" t="s">
        <v>201</v>
      </c>
      <c r="DT118" s="14" t="s">
        <v>201</v>
      </c>
      <c r="DU118" s="14" t="s">
        <v>201</v>
      </c>
      <c r="DV118" s="14" t="s">
        <v>201</v>
      </c>
      <c r="DW118" s="14" t="s">
        <v>201</v>
      </c>
      <c r="DX118" s="14">
        <v>3.7266187050359716</v>
      </c>
      <c r="DY118" s="14">
        <v>1.1697993200853889</v>
      </c>
      <c r="DZ118" s="14">
        <v>1.1697993200853889</v>
      </c>
      <c r="EA118" s="21" t="s">
        <v>203</v>
      </c>
      <c r="EB118" s="14" t="s">
        <v>201</v>
      </c>
      <c r="EC118" s="14" t="s">
        <v>201</v>
      </c>
      <c r="ED118" s="14" t="s">
        <v>201</v>
      </c>
      <c r="EE118" s="14" t="s">
        <v>201</v>
      </c>
      <c r="EF118" s="14" t="s">
        <v>201</v>
      </c>
      <c r="EG118" s="14" t="s">
        <v>201</v>
      </c>
      <c r="EH118" s="14" t="s">
        <v>201</v>
      </c>
      <c r="EI118" s="14" t="s">
        <v>201</v>
      </c>
      <c r="EJ118" s="14" t="s">
        <v>201</v>
      </c>
      <c r="EK118" s="14" t="s">
        <v>201</v>
      </c>
      <c r="EL118" s="14" t="s">
        <v>201</v>
      </c>
      <c r="EM118" s="14" t="s">
        <v>201</v>
      </c>
      <c r="EN118" s="14" t="s">
        <v>201</v>
      </c>
      <c r="EO118" s="14" t="s">
        <v>201</v>
      </c>
      <c r="EP118" s="14" t="s">
        <v>201</v>
      </c>
      <c r="EQ118" s="14" t="s">
        <v>201</v>
      </c>
      <c r="ER118" s="14" t="s">
        <v>201</v>
      </c>
      <c r="ES118" s="14" t="s">
        <v>201</v>
      </c>
      <c r="ET118" s="14" t="s">
        <v>201</v>
      </c>
      <c r="EU118" s="14" t="s">
        <v>201</v>
      </c>
      <c r="EV118" s="14" t="s">
        <v>201</v>
      </c>
      <c r="EW118" s="14" t="s">
        <v>201</v>
      </c>
      <c r="EX118" s="14" t="s">
        <v>201</v>
      </c>
      <c r="EY118" s="14" t="s">
        <v>201</v>
      </c>
      <c r="EZ118" s="14" t="s">
        <v>201</v>
      </c>
      <c r="FA118" s="14" t="s">
        <v>201</v>
      </c>
      <c r="FB118" s="14" t="s">
        <v>201</v>
      </c>
      <c r="FC118" s="14" t="s">
        <v>201</v>
      </c>
      <c r="FD118" s="14" t="s">
        <v>201</v>
      </c>
      <c r="FE118" s="14" t="s">
        <v>201</v>
      </c>
      <c r="FF118" s="14" t="s">
        <v>201</v>
      </c>
      <c r="FG118" s="14" t="s">
        <v>201</v>
      </c>
      <c r="FH118" s="14" t="s">
        <v>201</v>
      </c>
      <c r="FI118" s="14" t="s">
        <v>201</v>
      </c>
      <c r="FJ118" s="14" t="s">
        <v>201</v>
      </c>
      <c r="FK118" s="14" t="s">
        <v>201</v>
      </c>
      <c r="FL118" s="14" t="s">
        <v>201</v>
      </c>
      <c r="FM118" s="14" t="s">
        <v>201</v>
      </c>
      <c r="FN118" s="14" t="s">
        <v>201</v>
      </c>
      <c r="FO118" s="14" t="s">
        <v>201</v>
      </c>
      <c r="FP118" s="14" t="s">
        <v>201</v>
      </c>
      <c r="FQ118" s="14" t="s">
        <v>201</v>
      </c>
      <c r="FR118" s="14" t="s">
        <v>201</v>
      </c>
      <c r="FS118" s="14" t="s">
        <v>201</v>
      </c>
      <c r="FT118" s="15" t="s">
        <v>200</v>
      </c>
      <c r="FU118" s="15" t="s">
        <v>237</v>
      </c>
      <c r="FV118" s="46" t="s">
        <v>388</v>
      </c>
      <c r="FW118" s="14" t="s">
        <v>201</v>
      </c>
      <c r="FX118" s="14" t="s">
        <v>201</v>
      </c>
      <c r="FY118" s="14" t="s">
        <v>201</v>
      </c>
    </row>
    <row r="119" spans="1:181" s="14" customFormat="1" x14ac:dyDescent="0.15">
      <c r="A119" s="3" t="s">
        <v>258</v>
      </c>
      <c r="B119" s="3" t="s">
        <v>193</v>
      </c>
      <c r="C119">
        <v>2017</v>
      </c>
      <c r="D119" s="22" t="str">
        <f t="shared" si="12"/>
        <v>10.1016/j.epsl.2017.03.016</v>
      </c>
      <c r="E119" s="22">
        <f t="shared" si="13"/>
        <v>6212.4</v>
      </c>
      <c r="F119" s="22" t="str">
        <f t="shared" si="14"/>
        <v>NA</v>
      </c>
      <c r="G119" s="22" t="str">
        <f t="shared" si="15"/>
        <v>NA</v>
      </c>
      <c r="H119" s="22" t="str">
        <f t="shared" si="16"/>
        <v>NA</v>
      </c>
      <c r="I119" s="36" t="str">
        <f t="shared" si="17"/>
        <v>NA</v>
      </c>
      <c r="J119" s="36" t="str">
        <f t="shared" si="18"/>
        <v>NA</v>
      </c>
      <c r="K119" s="17" t="s">
        <v>251</v>
      </c>
      <c r="L119" s="17" t="s">
        <v>252</v>
      </c>
      <c r="M119" s="17" t="s">
        <v>194</v>
      </c>
      <c r="N119" s="17" t="s">
        <v>192</v>
      </c>
      <c r="O119" s="14">
        <v>806</v>
      </c>
      <c r="P119" s="16" t="s">
        <v>189</v>
      </c>
      <c r="Q119" s="14">
        <v>20</v>
      </c>
      <c r="R119" s="14" t="s">
        <v>208</v>
      </c>
      <c r="S119" s="14" t="s">
        <v>209</v>
      </c>
      <c r="T119" s="14">
        <v>7</v>
      </c>
      <c r="U119" s="14">
        <v>40</v>
      </c>
      <c r="V119" s="14" t="s">
        <v>201</v>
      </c>
      <c r="W119" s="14" t="s">
        <v>201</v>
      </c>
      <c r="X119" s="14" t="s">
        <v>201</v>
      </c>
      <c r="Y119" s="14" t="s">
        <v>201</v>
      </c>
      <c r="Z119" s="19">
        <v>186.9</v>
      </c>
      <c r="AA119" s="17" t="s">
        <v>207</v>
      </c>
      <c r="AB119" s="14">
        <v>6212.4</v>
      </c>
      <c r="AC119" s="14" t="s">
        <v>201</v>
      </c>
      <c r="AD119" s="14" t="s">
        <v>201</v>
      </c>
      <c r="AE119" s="14" t="s">
        <v>201</v>
      </c>
      <c r="AF119" s="16" t="s">
        <v>177</v>
      </c>
      <c r="AG119" s="16" t="s">
        <v>179</v>
      </c>
      <c r="AH119" s="19">
        <v>0.31850000000000001</v>
      </c>
      <c r="AI119" s="18">
        <v>159.36150000000001</v>
      </c>
      <c r="AJ119" s="35">
        <v>-2520</v>
      </c>
      <c r="AK119" s="14" t="s">
        <v>201</v>
      </c>
      <c r="AL119" s="14" t="s">
        <v>201</v>
      </c>
      <c r="AM119" s="14" t="s">
        <v>201</v>
      </c>
      <c r="AN119" s="14" t="s">
        <v>201</v>
      </c>
      <c r="AO119" s="16" t="s">
        <v>180</v>
      </c>
      <c r="AP119" s="14" t="s">
        <v>201</v>
      </c>
      <c r="AQ119" s="14" t="s">
        <v>201</v>
      </c>
      <c r="AR119" s="14" t="s">
        <v>201</v>
      </c>
      <c r="AS119" s="14" t="s">
        <v>201</v>
      </c>
      <c r="AT119" s="14" t="s">
        <v>201</v>
      </c>
      <c r="AU119" s="14" t="s">
        <v>201</v>
      </c>
      <c r="AV119" s="14" t="s">
        <v>201</v>
      </c>
      <c r="AW119" s="14" t="s">
        <v>201</v>
      </c>
      <c r="AX119" s="14" t="s">
        <v>201</v>
      </c>
      <c r="AY119" s="14" t="s">
        <v>201</v>
      </c>
      <c r="AZ119" s="14" t="s">
        <v>201</v>
      </c>
      <c r="BA119" s="14" t="s">
        <v>201</v>
      </c>
      <c r="BB119" s="14" t="s">
        <v>201</v>
      </c>
      <c r="BC119" s="14" t="s">
        <v>201</v>
      </c>
      <c r="BD119" s="14" t="s">
        <v>201</v>
      </c>
      <c r="BE119" s="14" t="s">
        <v>201</v>
      </c>
      <c r="BF119" s="14" t="s">
        <v>201</v>
      </c>
      <c r="BG119" s="14" t="s">
        <v>201</v>
      </c>
      <c r="BH119" s="14" t="s">
        <v>201</v>
      </c>
      <c r="BI119" s="14" t="s">
        <v>201</v>
      </c>
      <c r="BJ119" s="14" t="s">
        <v>201</v>
      </c>
      <c r="BK119" s="14" t="s">
        <v>201</v>
      </c>
      <c r="BL119" s="14" t="s">
        <v>201</v>
      </c>
      <c r="BM119" s="14" t="s">
        <v>201</v>
      </c>
      <c r="BN119" s="14" t="s">
        <v>201</v>
      </c>
      <c r="BO119" s="14" t="s">
        <v>201</v>
      </c>
      <c r="BP119" s="14" t="s">
        <v>201</v>
      </c>
      <c r="BQ119" s="14" t="s">
        <v>201</v>
      </c>
      <c r="BR119" s="14" t="s">
        <v>201</v>
      </c>
      <c r="BS119" s="14" t="s">
        <v>201</v>
      </c>
      <c r="BT119" s="14" t="s">
        <v>201</v>
      </c>
      <c r="BU119" s="14" t="s">
        <v>201</v>
      </c>
      <c r="BV119" s="14" t="s">
        <v>201</v>
      </c>
      <c r="BW119" s="14" t="s">
        <v>201</v>
      </c>
      <c r="BX119" s="14" t="s">
        <v>201</v>
      </c>
      <c r="BY119" s="14" t="s">
        <v>201</v>
      </c>
      <c r="BZ119" s="14" t="s">
        <v>201</v>
      </c>
      <c r="CA119" s="14" t="s">
        <v>201</v>
      </c>
      <c r="CB119" s="14" t="s">
        <v>201</v>
      </c>
      <c r="CC119" s="14" t="s">
        <v>201</v>
      </c>
      <c r="CD119" s="14" t="s">
        <v>201</v>
      </c>
      <c r="CE119" s="14" t="s">
        <v>201</v>
      </c>
      <c r="CF119" s="14" t="s">
        <v>201</v>
      </c>
      <c r="CG119" s="14" t="s">
        <v>201</v>
      </c>
      <c r="CH119" s="14" t="s">
        <v>201</v>
      </c>
      <c r="CI119" s="14" t="s">
        <v>201</v>
      </c>
      <c r="CJ119" s="14" t="s">
        <v>201</v>
      </c>
      <c r="CK119" s="14" t="s">
        <v>201</v>
      </c>
      <c r="CL119" s="14" t="s">
        <v>201</v>
      </c>
      <c r="CM119" s="14" t="s">
        <v>201</v>
      </c>
      <c r="CN119" s="14" t="s">
        <v>201</v>
      </c>
      <c r="CO119" s="14" t="s">
        <v>201</v>
      </c>
      <c r="CP119" s="14" t="s">
        <v>201</v>
      </c>
      <c r="CQ119" s="14" t="s">
        <v>201</v>
      </c>
      <c r="CR119" s="14" t="s">
        <v>201</v>
      </c>
      <c r="CS119" s="14" t="s">
        <v>201</v>
      </c>
      <c r="CT119" s="14" t="s">
        <v>201</v>
      </c>
      <c r="CU119" s="14" t="s">
        <v>201</v>
      </c>
      <c r="CV119" s="14" t="s">
        <v>201</v>
      </c>
      <c r="CW119" s="14" t="s">
        <v>201</v>
      </c>
      <c r="CX119" s="14" t="s">
        <v>201</v>
      </c>
      <c r="CY119" s="14" t="s">
        <v>201</v>
      </c>
      <c r="CZ119" s="14" t="s">
        <v>201</v>
      </c>
      <c r="DA119" s="14" t="s">
        <v>201</v>
      </c>
      <c r="DB119" s="14" t="s">
        <v>201</v>
      </c>
      <c r="DC119" s="14" t="s">
        <v>201</v>
      </c>
      <c r="DD119" s="14" t="s">
        <v>201</v>
      </c>
      <c r="DE119" s="14" t="s">
        <v>201</v>
      </c>
      <c r="DF119" s="14" t="s">
        <v>201</v>
      </c>
      <c r="DG119" s="14" t="s">
        <v>201</v>
      </c>
      <c r="DH119" s="14" t="s">
        <v>201</v>
      </c>
      <c r="DI119" s="14" t="s">
        <v>201</v>
      </c>
      <c r="DJ119" s="14" t="s">
        <v>201</v>
      </c>
      <c r="DK119" s="14" t="s">
        <v>201</v>
      </c>
      <c r="DL119" s="14" t="s">
        <v>201</v>
      </c>
      <c r="DM119" s="14" t="s">
        <v>201</v>
      </c>
      <c r="DN119" s="14" t="s">
        <v>201</v>
      </c>
      <c r="DO119" s="14" t="s">
        <v>201</v>
      </c>
      <c r="DP119" s="14" t="s">
        <v>201</v>
      </c>
      <c r="DQ119" s="14" t="s">
        <v>201</v>
      </c>
      <c r="DR119" s="14" t="s">
        <v>201</v>
      </c>
      <c r="DS119" s="14" t="s">
        <v>201</v>
      </c>
      <c r="DT119" s="14" t="s">
        <v>201</v>
      </c>
      <c r="DU119" s="14" t="s">
        <v>201</v>
      </c>
      <c r="DV119" s="14" t="s">
        <v>201</v>
      </c>
      <c r="DW119" s="14" t="s">
        <v>201</v>
      </c>
      <c r="DX119" s="14">
        <v>4.0515463917525771</v>
      </c>
      <c r="DY119" s="14">
        <v>0.80740476773056369</v>
      </c>
      <c r="DZ119" s="14">
        <v>0.80740476773056369</v>
      </c>
      <c r="EA119" s="21" t="s">
        <v>203</v>
      </c>
      <c r="EB119" s="14" t="s">
        <v>201</v>
      </c>
      <c r="EC119" s="14" t="s">
        <v>201</v>
      </c>
      <c r="ED119" s="14" t="s">
        <v>201</v>
      </c>
      <c r="EE119" s="14" t="s">
        <v>201</v>
      </c>
      <c r="EF119" s="14" t="s">
        <v>201</v>
      </c>
      <c r="EG119" s="14" t="s">
        <v>201</v>
      </c>
      <c r="EH119" s="14" t="s">
        <v>201</v>
      </c>
      <c r="EI119" s="14" t="s">
        <v>201</v>
      </c>
      <c r="EJ119" s="14" t="s">
        <v>201</v>
      </c>
      <c r="EK119" s="14" t="s">
        <v>201</v>
      </c>
      <c r="EL119" s="14" t="s">
        <v>201</v>
      </c>
      <c r="EM119" s="14" t="s">
        <v>201</v>
      </c>
      <c r="EN119" s="14" t="s">
        <v>201</v>
      </c>
      <c r="EO119" s="14" t="s">
        <v>201</v>
      </c>
      <c r="EP119" s="14" t="s">
        <v>201</v>
      </c>
      <c r="EQ119" s="14" t="s">
        <v>201</v>
      </c>
      <c r="ER119" s="14" t="s">
        <v>201</v>
      </c>
      <c r="ES119" s="14" t="s">
        <v>201</v>
      </c>
      <c r="ET119" s="14" t="s">
        <v>201</v>
      </c>
      <c r="EU119" s="14" t="s">
        <v>201</v>
      </c>
      <c r="EV119" s="14" t="s">
        <v>201</v>
      </c>
      <c r="EW119" s="14" t="s">
        <v>201</v>
      </c>
      <c r="EX119" s="14" t="s">
        <v>201</v>
      </c>
      <c r="EY119" s="14" t="s">
        <v>201</v>
      </c>
      <c r="EZ119" s="14" t="s">
        <v>201</v>
      </c>
      <c r="FA119" s="14" t="s">
        <v>201</v>
      </c>
      <c r="FB119" s="14" t="s">
        <v>201</v>
      </c>
      <c r="FC119" s="14" t="s">
        <v>201</v>
      </c>
      <c r="FD119" s="14" t="s">
        <v>201</v>
      </c>
      <c r="FE119" s="14" t="s">
        <v>201</v>
      </c>
      <c r="FF119" s="14" t="s">
        <v>201</v>
      </c>
      <c r="FG119" s="14" t="s">
        <v>201</v>
      </c>
      <c r="FH119" s="14" t="s">
        <v>201</v>
      </c>
      <c r="FI119" s="14" t="s">
        <v>201</v>
      </c>
      <c r="FJ119" s="14" t="s">
        <v>201</v>
      </c>
      <c r="FK119" s="14" t="s">
        <v>201</v>
      </c>
      <c r="FL119" s="14" t="s">
        <v>201</v>
      </c>
      <c r="FM119" s="14" t="s">
        <v>201</v>
      </c>
      <c r="FN119" s="14" t="s">
        <v>201</v>
      </c>
      <c r="FO119" s="14" t="s">
        <v>201</v>
      </c>
      <c r="FP119" s="14" t="s">
        <v>201</v>
      </c>
      <c r="FQ119" s="14" t="s">
        <v>201</v>
      </c>
      <c r="FR119" s="14" t="s">
        <v>201</v>
      </c>
      <c r="FS119" s="14" t="s">
        <v>201</v>
      </c>
      <c r="FT119" s="15" t="s">
        <v>200</v>
      </c>
      <c r="FU119" s="15" t="s">
        <v>237</v>
      </c>
      <c r="FV119" s="46" t="s">
        <v>389</v>
      </c>
      <c r="FW119" s="14" t="s">
        <v>201</v>
      </c>
      <c r="FX119" s="14" t="s">
        <v>201</v>
      </c>
      <c r="FY119" s="14" t="s">
        <v>201</v>
      </c>
    </row>
    <row r="120" spans="1:181" s="14" customFormat="1" x14ac:dyDescent="0.15">
      <c r="A120" s="3" t="s">
        <v>258</v>
      </c>
      <c r="B120" s="3" t="s">
        <v>193</v>
      </c>
      <c r="C120">
        <v>2017</v>
      </c>
      <c r="D120" s="22" t="str">
        <f t="shared" si="12"/>
        <v>10.1016/j.epsl.2017.03.016</v>
      </c>
      <c r="E120" s="22">
        <f t="shared" si="13"/>
        <v>6396.58</v>
      </c>
      <c r="F120" s="22" t="str">
        <f t="shared" si="14"/>
        <v>NA</v>
      </c>
      <c r="G120" s="22" t="str">
        <f t="shared" si="15"/>
        <v>NA</v>
      </c>
      <c r="H120" s="22" t="str">
        <f t="shared" si="16"/>
        <v>NA</v>
      </c>
      <c r="I120" s="36" t="str">
        <f t="shared" si="17"/>
        <v>NA</v>
      </c>
      <c r="J120" s="36" t="str">
        <f t="shared" si="18"/>
        <v>NA</v>
      </c>
      <c r="K120" s="17" t="s">
        <v>251</v>
      </c>
      <c r="L120" s="17" t="s">
        <v>252</v>
      </c>
      <c r="M120" s="17" t="s">
        <v>194</v>
      </c>
      <c r="N120" s="17" t="s">
        <v>192</v>
      </c>
      <c r="O120" s="14">
        <v>806</v>
      </c>
      <c r="P120" s="16" t="s">
        <v>189</v>
      </c>
      <c r="Q120" s="14">
        <v>21</v>
      </c>
      <c r="R120" s="14" t="s">
        <v>208</v>
      </c>
      <c r="S120" s="14" t="s">
        <v>209</v>
      </c>
      <c r="T120" s="14">
        <v>6</v>
      </c>
      <c r="U120" s="14">
        <v>10</v>
      </c>
      <c r="V120" s="14" t="s">
        <v>201</v>
      </c>
      <c r="W120" s="14" t="s">
        <v>201</v>
      </c>
      <c r="X120" s="14" t="s">
        <v>201</v>
      </c>
      <c r="Y120" s="14" t="s">
        <v>201</v>
      </c>
      <c r="Z120" s="19">
        <v>194.6</v>
      </c>
      <c r="AA120" s="17" t="s">
        <v>207</v>
      </c>
      <c r="AB120" s="14">
        <v>6396.58</v>
      </c>
      <c r="AC120" s="14" t="s">
        <v>201</v>
      </c>
      <c r="AD120" s="14" t="s">
        <v>201</v>
      </c>
      <c r="AE120" s="14" t="s">
        <v>201</v>
      </c>
      <c r="AF120" s="16" t="s">
        <v>177</v>
      </c>
      <c r="AG120" s="16" t="s">
        <v>179</v>
      </c>
      <c r="AH120" s="19">
        <v>0.31850000000000001</v>
      </c>
      <c r="AI120" s="18">
        <v>159.36150000000001</v>
      </c>
      <c r="AJ120" s="35">
        <v>-2520</v>
      </c>
      <c r="AK120" s="14" t="s">
        <v>201</v>
      </c>
      <c r="AL120" s="14" t="s">
        <v>201</v>
      </c>
      <c r="AM120" s="14" t="s">
        <v>201</v>
      </c>
      <c r="AN120" s="14" t="s">
        <v>201</v>
      </c>
      <c r="AO120" s="16" t="s">
        <v>180</v>
      </c>
      <c r="AP120" s="14" t="s">
        <v>201</v>
      </c>
      <c r="AQ120" s="14" t="s">
        <v>201</v>
      </c>
      <c r="AR120" s="14" t="s">
        <v>201</v>
      </c>
      <c r="AS120" s="14" t="s">
        <v>201</v>
      </c>
      <c r="AT120" s="14" t="s">
        <v>201</v>
      </c>
      <c r="AU120" s="14" t="s">
        <v>201</v>
      </c>
      <c r="AV120" s="14" t="s">
        <v>201</v>
      </c>
      <c r="AW120" s="14" t="s">
        <v>201</v>
      </c>
      <c r="AX120" s="14" t="s">
        <v>201</v>
      </c>
      <c r="AY120" s="14" t="s">
        <v>201</v>
      </c>
      <c r="AZ120" s="14" t="s">
        <v>201</v>
      </c>
      <c r="BA120" s="14" t="s">
        <v>201</v>
      </c>
      <c r="BB120" s="14" t="s">
        <v>201</v>
      </c>
      <c r="BC120" s="14" t="s">
        <v>201</v>
      </c>
      <c r="BD120" s="14" t="s">
        <v>201</v>
      </c>
      <c r="BE120" s="14" t="s">
        <v>201</v>
      </c>
      <c r="BF120" s="14" t="s">
        <v>201</v>
      </c>
      <c r="BG120" s="14" t="s">
        <v>201</v>
      </c>
      <c r="BH120" s="14" t="s">
        <v>201</v>
      </c>
      <c r="BI120" s="14" t="s">
        <v>201</v>
      </c>
      <c r="BJ120" s="14" t="s">
        <v>201</v>
      </c>
      <c r="BK120" s="14" t="s">
        <v>201</v>
      </c>
      <c r="BL120" s="14" t="s">
        <v>201</v>
      </c>
      <c r="BM120" s="14" t="s">
        <v>201</v>
      </c>
      <c r="BN120" s="14" t="s">
        <v>201</v>
      </c>
      <c r="BO120" s="14" t="s">
        <v>201</v>
      </c>
      <c r="BP120" s="14" t="s">
        <v>201</v>
      </c>
      <c r="BQ120" s="14" t="s">
        <v>201</v>
      </c>
      <c r="BR120" s="14" t="s">
        <v>201</v>
      </c>
      <c r="BS120" s="14" t="s">
        <v>201</v>
      </c>
      <c r="BT120" s="14" t="s">
        <v>201</v>
      </c>
      <c r="BU120" s="14" t="s">
        <v>201</v>
      </c>
      <c r="BV120" s="14" t="s">
        <v>201</v>
      </c>
      <c r="BW120" s="14" t="s">
        <v>201</v>
      </c>
      <c r="BX120" s="14" t="s">
        <v>201</v>
      </c>
      <c r="BY120" s="14" t="s">
        <v>201</v>
      </c>
      <c r="BZ120" s="14" t="s">
        <v>201</v>
      </c>
      <c r="CA120" s="14" t="s">
        <v>201</v>
      </c>
      <c r="CB120" s="14" t="s">
        <v>201</v>
      </c>
      <c r="CC120" s="14" t="s">
        <v>201</v>
      </c>
      <c r="CD120" s="14" t="s">
        <v>201</v>
      </c>
      <c r="CE120" s="14" t="s">
        <v>201</v>
      </c>
      <c r="CF120" s="14" t="s">
        <v>201</v>
      </c>
      <c r="CG120" s="14" t="s">
        <v>201</v>
      </c>
      <c r="CH120" s="14" t="s">
        <v>201</v>
      </c>
      <c r="CI120" s="14" t="s">
        <v>201</v>
      </c>
      <c r="CJ120" s="14" t="s">
        <v>201</v>
      </c>
      <c r="CK120" s="14" t="s">
        <v>201</v>
      </c>
      <c r="CL120" s="14" t="s">
        <v>201</v>
      </c>
      <c r="CM120" s="14" t="s">
        <v>201</v>
      </c>
      <c r="CN120" s="14" t="s">
        <v>201</v>
      </c>
      <c r="CO120" s="14" t="s">
        <v>201</v>
      </c>
      <c r="CP120" s="14" t="s">
        <v>201</v>
      </c>
      <c r="CQ120" s="14" t="s">
        <v>201</v>
      </c>
      <c r="CR120" s="14" t="s">
        <v>201</v>
      </c>
      <c r="CS120" s="14" t="s">
        <v>201</v>
      </c>
      <c r="CT120" s="14" t="s">
        <v>201</v>
      </c>
      <c r="CU120" s="14" t="s">
        <v>201</v>
      </c>
      <c r="CV120" s="14" t="s">
        <v>201</v>
      </c>
      <c r="CW120" s="14" t="s">
        <v>201</v>
      </c>
      <c r="CX120" s="14" t="s">
        <v>201</v>
      </c>
      <c r="CY120" s="14" t="s">
        <v>201</v>
      </c>
      <c r="CZ120" s="14" t="s">
        <v>201</v>
      </c>
      <c r="DA120" s="14" t="s">
        <v>201</v>
      </c>
      <c r="DB120" s="14" t="s">
        <v>201</v>
      </c>
      <c r="DC120" s="14" t="s">
        <v>201</v>
      </c>
      <c r="DD120" s="14" t="s">
        <v>201</v>
      </c>
      <c r="DE120" s="14" t="s">
        <v>201</v>
      </c>
      <c r="DF120" s="14" t="s">
        <v>201</v>
      </c>
      <c r="DG120" s="14" t="s">
        <v>201</v>
      </c>
      <c r="DH120" s="14" t="s">
        <v>201</v>
      </c>
      <c r="DI120" s="14" t="s">
        <v>201</v>
      </c>
      <c r="DJ120" s="14" t="s">
        <v>201</v>
      </c>
      <c r="DK120" s="14" t="s">
        <v>201</v>
      </c>
      <c r="DL120" s="14" t="s">
        <v>201</v>
      </c>
      <c r="DM120" s="14" t="s">
        <v>201</v>
      </c>
      <c r="DN120" s="14" t="s">
        <v>201</v>
      </c>
      <c r="DO120" s="14" t="s">
        <v>201</v>
      </c>
      <c r="DP120" s="14" t="s">
        <v>201</v>
      </c>
      <c r="DQ120" s="14" t="s">
        <v>201</v>
      </c>
      <c r="DR120" s="14" t="s">
        <v>201</v>
      </c>
      <c r="DS120" s="14" t="s">
        <v>201</v>
      </c>
      <c r="DT120" s="14" t="s">
        <v>201</v>
      </c>
      <c r="DU120" s="14" t="s">
        <v>201</v>
      </c>
      <c r="DV120" s="14" t="s">
        <v>201</v>
      </c>
      <c r="DW120" s="14" t="s">
        <v>201</v>
      </c>
      <c r="DX120" s="14">
        <v>3.7659574468085109</v>
      </c>
      <c r="DY120" s="14">
        <v>1.084057691858261</v>
      </c>
      <c r="DZ120" s="14">
        <v>1.084057691858261</v>
      </c>
      <c r="EA120" s="21" t="s">
        <v>203</v>
      </c>
      <c r="EB120" s="14" t="s">
        <v>201</v>
      </c>
      <c r="EC120" s="14" t="s">
        <v>201</v>
      </c>
      <c r="ED120" s="14" t="s">
        <v>201</v>
      </c>
      <c r="EE120" s="14" t="s">
        <v>201</v>
      </c>
      <c r="EF120" s="14" t="s">
        <v>201</v>
      </c>
      <c r="EG120" s="14" t="s">
        <v>201</v>
      </c>
      <c r="EH120" s="14" t="s">
        <v>201</v>
      </c>
      <c r="EI120" s="14" t="s">
        <v>201</v>
      </c>
      <c r="EJ120" s="14" t="s">
        <v>201</v>
      </c>
      <c r="EK120" s="14" t="s">
        <v>201</v>
      </c>
      <c r="EL120" s="14" t="s">
        <v>201</v>
      </c>
      <c r="EM120" s="14" t="s">
        <v>201</v>
      </c>
      <c r="EN120" s="14" t="s">
        <v>201</v>
      </c>
      <c r="EO120" s="14" t="s">
        <v>201</v>
      </c>
      <c r="EP120" s="14" t="s">
        <v>201</v>
      </c>
      <c r="EQ120" s="14" t="s">
        <v>201</v>
      </c>
      <c r="ER120" s="14" t="s">
        <v>201</v>
      </c>
      <c r="ES120" s="14" t="s">
        <v>201</v>
      </c>
      <c r="ET120" s="14" t="s">
        <v>201</v>
      </c>
      <c r="EU120" s="14" t="s">
        <v>201</v>
      </c>
      <c r="EV120" s="14" t="s">
        <v>201</v>
      </c>
      <c r="EW120" s="14" t="s">
        <v>201</v>
      </c>
      <c r="EX120" s="14" t="s">
        <v>201</v>
      </c>
      <c r="EY120" s="14" t="s">
        <v>201</v>
      </c>
      <c r="EZ120" s="14" t="s">
        <v>201</v>
      </c>
      <c r="FA120" s="14" t="s">
        <v>201</v>
      </c>
      <c r="FB120" s="14" t="s">
        <v>201</v>
      </c>
      <c r="FC120" s="14" t="s">
        <v>201</v>
      </c>
      <c r="FD120" s="14" t="s">
        <v>201</v>
      </c>
      <c r="FE120" s="14" t="s">
        <v>201</v>
      </c>
      <c r="FF120" s="14" t="s">
        <v>201</v>
      </c>
      <c r="FG120" s="14" t="s">
        <v>201</v>
      </c>
      <c r="FH120" s="14" t="s">
        <v>201</v>
      </c>
      <c r="FI120" s="14" t="s">
        <v>201</v>
      </c>
      <c r="FJ120" s="14" t="s">
        <v>201</v>
      </c>
      <c r="FK120" s="14" t="s">
        <v>201</v>
      </c>
      <c r="FL120" s="14" t="s">
        <v>201</v>
      </c>
      <c r="FM120" s="14" t="s">
        <v>201</v>
      </c>
      <c r="FN120" s="14" t="s">
        <v>201</v>
      </c>
      <c r="FO120" s="14" t="s">
        <v>201</v>
      </c>
      <c r="FP120" s="14" t="s">
        <v>201</v>
      </c>
      <c r="FQ120" s="14" t="s">
        <v>201</v>
      </c>
      <c r="FR120" s="14" t="s">
        <v>201</v>
      </c>
      <c r="FS120" s="14" t="s">
        <v>201</v>
      </c>
      <c r="FT120" s="15" t="s">
        <v>200</v>
      </c>
      <c r="FU120" s="15" t="s">
        <v>237</v>
      </c>
      <c r="FV120" s="46" t="s">
        <v>390</v>
      </c>
      <c r="FW120" s="14" t="s">
        <v>201</v>
      </c>
      <c r="FX120" s="14" t="s">
        <v>201</v>
      </c>
      <c r="FY120" s="14" t="s">
        <v>201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7"/>
  <sheetViews>
    <sheetView tabSelected="1" workbookViewId="0">
      <selection activeCell="C11" sqref="A1:D182"/>
    </sheetView>
  </sheetViews>
  <sheetFormatPr baseColWidth="10" defaultColWidth="8.83203125" defaultRowHeight="13" x14ac:dyDescent="0.15"/>
  <cols>
    <col min="1" max="1" width="25.6640625" customWidth="1"/>
    <col min="2" max="2" width="5.1640625" bestFit="1" customWidth="1"/>
    <col min="3" max="3" width="45.6640625" bestFit="1" customWidth="1"/>
    <col min="4" max="4" width="108.33203125" bestFit="1" customWidth="1"/>
    <col min="5" max="5" width="133.6640625" customWidth="1"/>
    <col min="6" max="6" width="45.6640625" customWidth="1"/>
  </cols>
  <sheetData>
    <row r="1" spans="1:6" x14ac:dyDescent="0.15">
      <c r="A1" s="23" t="s">
        <v>33</v>
      </c>
      <c r="B1" s="23" t="s">
        <v>218</v>
      </c>
      <c r="C1" s="23" t="s">
        <v>219</v>
      </c>
      <c r="D1" s="23" t="s">
        <v>165</v>
      </c>
      <c r="E1" s="1"/>
      <c r="F1" s="1"/>
    </row>
    <row r="2" spans="1:6" x14ac:dyDescent="0.15">
      <c r="A2" s="23" t="s">
        <v>4</v>
      </c>
      <c r="B2" s="3">
        <v>1</v>
      </c>
      <c r="C2" s="32" t="s">
        <v>0</v>
      </c>
      <c r="D2" s="23" t="s">
        <v>166</v>
      </c>
      <c r="E2" s="1"/>
      <c r="F2" s="1"/>
    </row>
    <row r="3" spans="1:6" ht="14" x14ac:dyDescent="0.15">
      <c r="A3" s="23" t="s">
        <v>4</v>
      </c>
      <c r="B3" s="3">
        <v>2</v>
      </c>
      <c r="C3" s="33" t="s">
        <v>1</v>
      </c>
      <c r="D3" s="23" t="s">
        <v>166</v>
      </c>
      <c r="E3" s="1"/>
      <c r="F3" s="1"/>
    </row>
    <row r="4" spans="1:6" ht="14" x14ac:dyDescent="0.15">
      <c r="A4" s="23" t="s">
        <v>4</v>
      </c>
      <c r="B4" s="3">
        <v>3</v>
      </c>
      <c r="C4" s="33" t="s">
        <v>2</v>
      </c>
      <c r="D4" s="23" t="s">
        <v>166</v>
      </c>
      <c r="E4" s="1"/>
      <c r="F4" s="1"/>
    </row>
    <row r="5" spans="1:6" x14ac:dyDescent="0.15">
      <c r="A5" s="23" t="s">
        <v>4</v>
      </c>
      <c r="B5" s="3">
        <v>4</v>
      </c>
      <c r="C5" s="32" t="s">
        <v>3</v>
      </c>
      <c r="D5" s="23" t="s">
        <v>166</v>
      </c>
      <c r="E5" s="1"/>
      <c r="F5" s="1"/>
    </row>
    <row r="6" spans="1:6" x14ac:dyDescent="0.15">
      <c r="A6" s="23" t="s">
        <v>4</v>
      </c>
      <c r="B6" s="3">
        <v>5</v>
      </c>
      <c r="C6" s="32" t="s">
        <v>238</v>
      </c>
      <c r="D6" s="23" t="s">
        <v>166</v>
      </c>
      <c r="E6" s="1"/>
      <c r="F6" s="1"/>
    </row>
    <row r="7" spans="1:6" ht="14" x14ac:dyDescent="0.15">
      <c r="A7" s="23" t="s">
        <v>4</v>
      </c>
      <c r="B7" s="3">
        <v>6</v>
      </c>
      <c r="C7" s="34" t="s">
        <v>239</v>
      </c>
      <c r="D7" s="23" t="s">
        <v>166</v>
      </c>
      <c r="E7" s="1"/>
      <c r="F7" s="1"/>
    </row>
    <row r="8" spans="1:6" ht="14" x14ac:dyDescent="0.15">
      <c r="A8" s="23" t="s">
        <v>4</v>
      </c>
      <c r="B8" s="3">
        <v>7</v>
      </c>
      <c r="C8" s="34" t="s">
        <v>240</v>
      </c>
      <c r="D8" s="23" t="s">
        <v>166</v>
      </c>
      <c r="E8" s="1"/>
      <c r="F8" s="1"/>
    </row>
    <row r="9" spans="1:6" ht="14" x14ac:dyDescent="0.15">
      <c r="A9" s="23" t="s">
        <v>4</v>
      </c>
      <c r="B9" s="3">
        <v>8</v>
      </c>
      <c r="C9" s="33" t="s">
        <v>241</v>
      </c>
      <c r="D9" s="23" t="s">
        <v>166</v>
      </c>
      <c r="E9" s="1"/>
      <c r="F9" s="1"/>
    </row>
    <row r="10" spans="1:6" ht="14" x14ac:dyDescent="0.15">
      <c r="A10" s="23" t="s">
        <v>4</v>
      </c>
      <c r="B10" s="3">
        <v>9</v>
      </c>
      <c r="C10" s="34" t="s">
        <v>242</v>
      </c>
      <c r="D10" s="23" t="s">
        <v>166</v>
      </c>
      <c r="E10" s="1"/>
      <c r="F10" s="1"/>
    </row>
    <row r="11" spans="1:6" ht="14" x14ac:dyDescent="0.15">
      <c r="A11" s="23" t="s">
        <v>4</v>
      </c>
      <c r="B11" s="3">
        <v>10</v>
      </c>
      <c r="C11" s="34" t="s">
        <v>259</v>
      </c>
      <c r="D11" s="23" t="s">
        <v>166</v>
      </c>
      <c r="E11" s="1"/>
      <c r="F11" s="1"/>
    </row>
    <row r="12" spans="1:6" x14ac:dyDescent="0.15">
      <c r="A12" s="23" t="s">
        <v>5</v>
      </c>
      <c r="B12" s="3">
        <v>11</v>
      </c>
      <c r="C12" s="23" t="s">
        <v>26</v>
      </c>
      <c r="D12" s="3"/>
      <c r="E12" s="1"/>
    </row>
    <row r="13" spans="1:6" x14ac:dyDescent="0.15">
      <c r="A13" s="23" t="s">
        <v>5</v>
      </c>
      <c r="B13" s="3">
        <v>12</v>
      </c>
      <c r="C13" s="23" t="s">
        <v>27</v>
      </c>
      <c r="D13" s="3"/>
    </row>
    <row r="14" spans="1:6" x14ac:dyDescent="0.15">
      <c r="A14" s="23" t="s">
        <v>5</v>
      </c>
      <c r="B14" s="3">
        <v>13</v>
      </c>
      <c r="C14" s="23" t="s">
        <v>266</v>
      </c>
      <c r="D14" s="23" t="s">
        <v>220</v>
      </c>
    </row>
    <row r="15" spans="1:6" x14ac:dyDescent="0.15">
      <c r="A15" s="23" t="s">
        <v>5</v>
      </c>
      <c r="B15" s="3">
        <v>14</v>
      </c>
      <c r="C15" s="23" t="s">
        <v>265</v>
      </c>
      <c r="D15" s="23" t="s">
        <v>167</v>
      </c>
    </row>
    <row r="16" spans="1:6" x14ac:dyDescent="0.15">
      <c r="A16" s="23" t="s">
        <v>6</v>
      </c>
      <c r="B16" s="3">
        <v>15</v>
      </c>
      <c r="C16" s="23" t="s">
        <v>28</v>
      </c>
      <c r="D16" s="23" t="s">
        <v>168</v>
      </c>
    </row>
    <row r="17" spans="1:5" x14ac:dyDescent="0.15">
      <c r="A17" s="23" t="s">
        <v>6</v>
      </c>
      <c r="B17" s="3">
        <v>16</v>
      </c>
      <c r="C17" s="23" t="s">
        <v>29</v>
      </c>
      <c r="D17" s="3"/>
    </row>
    <row r="18" spans="1:5" x14ac:dyDescent="0.15">
      <c r="A18" s="23" t="s">
        <v>6</v>
      </c>
      <c r="B18" s="3">
        <v>17</v>
      </c>
      <c r="C18" s="23" t="s">
        <v>30</v>
      </c>
      <c r="D18" s="3"/>
      <c r="E18" s="1"/>
    </row>
    <row r="19" spans="1:5" x14ac:dyDescent="0.15">
      <c r="A19" s="23" t="s">
        <v>6</v>
      </c>
      <c r="B19" s="3">
        <v>18</v>
      </c>
      <c r="C19" s="23" t="s">
        <v>31</v>
      </c>
      <c r="D19" s="3"/>
      <c r="E19" s="1"/>
    </row>
    <row r="20" spans="1:5" x14ac:dyDescent="0.15">
      <c r="A20" s="23" t="s">
        <v>6</v>
      </c>
      <c r="B20" s="3">
        <v>19</v>
      </c>
      <c r="C20" s="23" t="s">
        <v>32</v>
      </c>
      <c r="D20" s="23" t="s">
        <v>169</v>
      </c>
      <c r="E20" s="1"/>
    </row>
    <row r="21" spans="1:5" x14ac:dyDescent="0.15">
      <c r="A21" s="23" t="s">
        <v>6</v>
      </c>
      <c r="B21" s="3">
        <v>20</v>
      </c>
      <c r="C21" s="23" t="s">
        <v>33</v>
      </c>
      <c r="D21" s="3"/>
      <c r="E21" s="1"/>
    </row>
    <row r="22" spans="1:5" x14ac:dyDescent="0.15">
      <c r="A22" s="23" t="s">
        <v>6</v>
      </c>
      <c r="B22" s="3">
        <v>21</v>
      </c>
      <c r="C22" s="23" t="s">
        <v>221</v>
      </c>
      <c r="D22" s="3"/>
    </row>
    <row r="23" spans="1:5" x14ac:dyDescent="0.15">
      <c r="A23" s="23" t="s">
        <v>6</v>
      </c>
      <c r="B23" s="3">
        <v>22</v>
      </c>
      <c r="C23" s="23" t="s">
        <v>253</v>
      </c>
      <c r="D23" s="3"/>
    </row>
    <row r="24" spans="1:5" x14ac:dyDescent="0.15">
      <c r="A24" s="23" t="s">
        <v>6</v>
      </c>
      <c r="B24" s="3">
        <v>23</v>
      </c>
      <c r="C24" s="23" t="s">
        <v>34</v>
      </c>
      <c r="D24" s="3"/>
    </row>
    <row r="25" spans="1:5" x14ac:dyDescent="0.15">
      <c r="A25" s="23" t="s">
        <v>6</v>
      </c>
      <c r="B25" s="3">
        <v>24</v>
      </c>
      <c r="C25" s="23" t="s">
        <v>35</v>
      </c>
      <c r="D25" s="3"/>
      <c r="E25" s="1"/>
    </row>
    <row r="26" spans="1:5" x14ac:dyDescent="0.15">
      <c r="A26" s="23" t="s">
        <v>6</v>
      </c>
      <c r="B26" s="3">
        <v>25</v>
      </c>
      <c r="C26" s="23" t="s">
        <v>36</v>
      </c>
      <c r="D26" s="3"/>
    </row>
    <row r="27" spans="1:5" x14ac:dyDescent="0.15">
      <c r="A27" s="23" t="s">
        <v>6</v>
      </c>
      <c r="B27" s="3">
        <v>26</v>
      </c>
      <c r="C27" s="23" t="s">
        <v>37</v>
      </c>
      <c r="D27" s="3"/>
    </row>
    <row r="28" spans="1:5" x14ac:dyDescent="0.15">
      <c r="A28" s="23" t="s">
        <v>6</v>
      </c>
      <c r="B28" s="3">
        <v>27</v>
      </c>
      <c r="C28" s="23" t="s">
        <v>38</v>
      </c>
      <c r="D28" s="23" t="s">
        <v>170</v>
      </c>
    </row>
    <row r="29" spans="1:5" x14ac:dyDescent="0.15">
      <c r="A29" s="23" t="s">
        <v>7</v>
      </c>
      <c r="B29" s="3">
        <v>28</v>
      </c>
      <c r="C29" s="23" t="s">
        <v>39</v>
      </c>
      <c r="D29" s="3"/>
    </row>
    <row r="30" spans="1:5" x14ac:dyDescent="0.15">
      <c r="A30" s="23" t="s">
        <v>7</v>
      </c>
      <c r="B30" s="3">
        <v>29</v>
      </c>
      <c r="C30" s="23" t="s">
        <v>21</v>
      </c>
      <c r="D30" s="3"/>
    </row>
    <row r="31" spans="1:5" x14ac:dyDescent="0.15">
      <c r="A31" s="23" t="s">
        <v>7</v>
      </c>
      <c r="B31" s="3">
        <v>30</v>
      </c>
      <c r="C31" s="23" t="s">
        <v>22</v>
      </c>
      <c r="D31" s="3"/>
    </row>
    <row r="32" spans="1:5" x14ac:dyDescent="0.15">
      <c r="A32" s="23" t="s">
        <v>7</v>
      </c>
      <c r="B32" s="3">
        <v>31</v>
      </c>
      <c r="C32" s="23" t="s">
        <v>40</v>
      </c>
      <c r="D32" s="23" t="s">
        <v>171</v>
      </c>
    </row>
    <row r="33" spans="1:5" x14ac:dyDescent="0.15">
      <c r="A33" s="23" t="s">
        <v>7</v>
      </c>
      <c r="B33" s="3">
        <v>32</v>
      </c>
      <c r="C33" s="23" t="s">
        <v>41</v>
      </c>
      <c r="D33" s="3"/>
      <c r="E33" s="1"/>
    </row>
    <row r="34" spans="1:5" x14ac:dyDescent="0.15">
      <c r="A34" s="23" t="s">
        <v>7</v>
      </c>
      <c r="B34" s="3">
        <v>33</v>
      </c>
      <c r="C34" s="23" t="s">
        <v>42</v>
      </c>
      <c r="D34" s="3" t="s">
        <v>222</v>
      </c>
    </row>
    <row r="35" spans="1:5" x14ac:dyDescent="0.15">
      <c r="A35" s="23" t="s">
        <v>8</v>
      </c>
      <c r="B35" s="3">
        <v>34</v>
      </c>
      <c r="C35" s="23" t="s">
        <v>267</v>
      </c>
      <c r="D35" s="23" t="s">
        <v>268</v>
      </c>
    </row>
    <row r="36" spans="1:5" x14ac:dyDescent="0.15">
      <c r="A36" s="23" t="s">
        <v>8</v>
      </c>
      <c r="B36" s="3">
        <v>35</v>
      </c>
      <c r="C36" s="23" t="s">
        <v>269</v>
      </c>
      <c r="D36" s="23" t="s">
        <v>270</v>
      </c>
    </row>
    <row r="37" spans="1:5" x14ac:dyDescent="0.15">
      <c r="A37" s="23" t="s">
        <v>8</v>
      </c>
      <c r="B37" s="3">
        <v>36</v>
      </c>
      <c r="C37" s="23" t="s">
        <v>43</v>
      </c>
      <c r="D37" s="23" t="s">
        <v>172</v>
      </c>
      <c r="E37" s="1"/>
    </row>
    <row r="38" spans="1:5" x14ac:dyDescent="0.15">
      <c r="A38" s="23" t="s">
        <v>8</v>
      </c>
      <c r="B38" s="3">
        <v>37</v>
      </c>
      <c r="C38" s="23" t="s">
        <v>271</v>
      </c>
      <c r="D38" s="3"/>
    </row>
    <row r="39" spans="1:5" x14ac:dyDescent="0.15">
      <c r="A39" s="23" t="s">
        <v>8</v>
      </c>
      <c r="B39" s="3">
        <v>38</v>
      </c>
      <c r="C39" s="23" t="s">
        <v>272</v>
      </c>
      <c r="D39" s="3"/>
    </row>
    <row r="40" spans="1:5" x14ac:dyDescent="0.15">
      <c r="A40" s="23" t="s">
        <v>8</v>
      </c>
      <c r="B40" s="3">
        <v>39</v>
      </c>
      <c r="C40" s="23" t="s">
        <v>44</v>
      </c>
      <c r="D40" s="23" t="s">
        <v>172</v>
      </c>
      <c r="E40" s="1"/>
    </row>
    <row r="41" spans="1:5" x14ac:dyDescent="0.15">
      <c r="A41" s="23" t="s">
        <v>8</v>
      </c>
      <c r="B41" s="3">
        <v>40</v>
      </c>
      <c r="C41" s="23" t="s">
        <v>45</v>
      </c>
      <c r="D41" s="3"/>
      <c r="E41" s="1"/>
    </row>
    <row r="42" spans="1:5" x14ac:dyDescent="0.15">
      <c r="A42" s="23" t="s">
        <v>8</v>
      </c>
      <c r="B42" s="3">
        <v>41</v>
      </c>
      <c r="C42" s="23" t="s">
        <v>46</v>
      </c>
      <c r="D42" s="3" t="s">
        <v>223</v>
      </c>
      <c r="E42" s="1"/>
    </row>
    <row r="43" spans="1:5" x14ac:dyDescent="0.15">
      <c r="A43" s="23" t="s">
        <v>9</v>
      </c>
      <c r="B43" s="3">
        <v>42</v>
      </c>
      <c r="C43" s="23" t="s">
        <v>9</v>
      </c>
      <c r="D43" s="3"/>
    </row>
    <row r="44" spans="1:5" x14ac:dyDescent="0.15">
      <c r="A44" s="23" t="s">
        <v>9</v>
      </c>
      <c r="B44" s="3">
        <v>43</v>
      </c>
      <c r="C44" s="23" t="s">
        <v>47</v>
      </c>
      <c r="D44" s="3"/>
    </row>
    <row r="45" spans="1:5" x14ac:dyDescent="0.15">
      <c r="A45" s="23" t="s">
        <v>9</v>
      </c>
      <c r="B45" s="3">
        <v>44</v>
      </c>
      <c r="C45" s="23" t="s">
        <v>48</v>
      </c>
      <c r="D45" s="3"/>
      <c r="E45" s="1"/>
    </row>
    <row r="46" spans="1:5" x14ac:dyDescent="0.15">
      <c r="A46" s="23" t="s">
        <v>9</v>
      </c>
      <c r="B46" s="3">
        <v>45</v>
      </c>
      <c r="C46" s="23" t="s">
        <v>49</v>
      </c>
      <c r="D46" s="3"/>
    </row>
    <row r="47" spans="1:5" x14ac:dyDescent="0.15">
      <c r="A47" s="23" t="s">
        <v>9</v>
      </c>
      <c r="B47" s="3">
        <v>46</v>
      </c>
      <c r="C47" s="23" t="s">
        <v>50</v>
      </c>
      <c r="D47" s="3"/>
    </row>
    <row r="48" spans="1:5" x14ac:dyDescent="0.15">
      <c r="A48" s="23" t="s">
        <v>9</v>
      </c>
      <c r="B48" s="3">
        <v>47</v>
      </c>
      <c r="C48" s="23" t="s">
        <v>51</v>
      </c>
      <c r="D48" s="3"/>
    </row>
    <row r="49" spans="1:5" x14ac:dyDescent="0.15">
      <c r="A49" s="23" t="s">
        <v>9</v>
      </c>
      <c r="B49" s="3">
        <v>48</v>
      </c>
      <c r="C49" s="23" t="s">
        <v>52</v>
      </c>
      <c r="D49" s="3"/>
    </row>
    <row r="50" spans="1:5" x14ac:dyDescent="0.15">
      <c r="A50" s="23" t="s">
        <v>9</v>
      </c>
      <c r="B50" s="3">
        <v>49</v>
      </c>
      <c r="C50" s="23" t="s">
        <v>53</v>
      </c>
      <c r="D50" s="3"/>
    </row>
    <row r="51" spans="1:5" x14ac:dyDescent="0.15">
      <c r="A51" s="23" t="s">
        <v>10</v>
      </c>
      <c r="B51" s="3">
        <v>50</v>
      </c>
      <c r="C51" s="23" t="s">
        <v>54</v>
      </c>
      <c r="D51" s="3"/>
    </row>
    <row r="52" spans="1:5" x14ac:dyDescent="0.15">
      <c r="A52" s="23" t="s">
        <v>10</v>
      </c>
      <c r="B52" s="3">
        <v>51</v>
      </c>
      <c r="C52" s="23" t="s">
        <v>55</v>
      </c>
      <c r="D52" s="3"/>
    </row>
    <row r="53" spans="1:5" x14ac:dyDescent="0.15">
      <c r="A53" s="23" t="s">
        <v>10</v>
      </c>
      <c r="B53" s="3">
        <v>52</v>
      </c>
      <c r="C53" s="23" t="s">
        <v>56</v>
      </c>
      <c r="D53" s="23" t="s">
        <v>171</v>
      </c>
    </row>
    <row r="54" spans="1:5" x14ac:dyDescent="0.15">
      <c r="A54" s="23" t="s">
        <v>10</v>
      </c>
      <c r="B54" s="3">
        <v>53</v>
      </c>
      <c r="C54" s="23" t="s">
        <v>57</v>
      </c>
      <c r="D54" s="23" t="s">
        <v>173</v>
      </c>
    </row>
    <row r="55" spans="1:5" x14ac:dyDescent="0.15">
      <c r="A55" s="23" t="s">
        <v>10</v>
      </c>
      <c r="B55" s="3">
        <v>54</v>
      </c>
      <c r="C55" s="23" t="s">
        <v>58</v>
      </c>
      <c r="D55" s="3"/>
    </row>
    <row r="56" spans="1:5" x14ac:dyDescent="0.15">
      <c r="A56" s="23" t="s">
        <v>10</v>
      </c>
      <c r="B56" s="3">
        <v>55</v>
      </c>
      <c r="C56" s="23" t="s">
        <v>59</v>
      </c>
      <c r="D56" s="3"/>
    </row>
    <row r="57" spans="1:5" x14ac:dyDescent="0.15">
      <c r="A57" s="23" t="s">
        <v>10</v>
      </c>
      <c r="B57" s="3">
        <v>56</v>
      </c>
      <c r="C57" s="23" t="s">
        <v>60</v>
      </c>
      <c r="D57" s="23" t="s">
        <v>171</v>
      </c>
    </row>
    <row r="58" spans="1:5" x14ac:dyDescent="0.15">
      <c r="A58" s="23" t="s">
        <v>10</v>
      </c>
      <c r="B58" s="3">
        <v>57</v>
      </c>
      <c r="C58" s="23" t="s">
        <v>61</v>
      </c>
      <c r="D58" s="23" t="s">
        <v>173</v>
      </c>
      <c r="E58" s="1"/>
    </row>
    <row r="59" spans="1:5" x14ac:dyDescent="0.15">
      <c r="A59" s="23" t="s">
        <v>10</v>
      </c>
      <c r="B59" s="3">
        <v>58</v>
      </c>
      <c r="C59" s="23" t="s">
        <v>62</v>
      </c>
      <c r="D59" s="23" t="s">
        <v>174</v>
      </c>
      <c r="E59" s="1"/>
    </row>
    <row r="60" spans="1:5" x14ac:dyDescent="0.15">
      <c r="A60" s="23" t="s">
        <v>10</v>
      </c>
      <c r="B60" s="3">
        <v>59</v>
      </c>
      <c r="C60" s="23" t="s">
        <v>63</v>
      </c>
      <c r="D60" s="23" t="s">
        <v>175</v>
      </c>
    </row>
    <row r="61" spans="1:5" x14ac:dyDescent="0.15">
      <c r="A61" s="23" t="s">
        <v>10</v>
      </c>
      <c r="B61" s="3">
        <v>60</v>
      </c>
      <c r="C61" s="23" t="s">
        <v>64</v>
      </c>
      <c r="D61" s="3"/>
    </row>
    <row r="62" spans="1:5" x14ac:dyDescent="0.15">
      <c r="A62" s="23" t="s">
        <v>10</v>
      </c>
      <c r="B62" s="3">
        <v>61</v>
      </c>
      <c r="C62" s="23" t="s">
        <v>65</v>
      </c>
      <c r="D62" s="3"/>
      <c r="E62" s="1"/>
    </row>
    <row r="63" spans="1:5" x14ac:dyDescent="0.15">
      <c r="A63" s="23" t="s">
        <v>10</v>
      </c>
      <c r="B63" s="3">
        <v>62</v>
      </c>
      <c r="C63" s="23" t="s">
        <v>66</v>
      </c>
      <c r="D63" s="3"/>
      <c r="E63" s="1"/>
    </row>
    <row r="64" spans="1:5" x14ac:dyDescent="0.15">
      <c r="A64" s="23" t="s">
        <v>10</v>
      </c>
      <c r="B64" s="3">
        <v>63</v>
      </c>
      <c r="C64" s="23" t="s">
        <v>67</v>
      </c>
      <c r="D64" s="23" t="s">
        <v>171</v>
      </c>
      <c r="E64" s="1"/>
    </row>
    <row r="65" spans="1:5" x14ac:dyDescent="0.15">
      <c r="A65" s="23" t="s">
        <v>10</v>
      </c>
      <c r="B65" s="3">
        <v>64</v>
      </c>
      <c r="C65" s="23" t="s">
        <v>68</v>
      </c>
      <c r="D65" s="3"/>
      <c r="E65" s="1"/>
    </row>
    <row r="66" spans="1:5" x14ac:dyDescent="0.15">
      <c r="A66" s="23" t="s">
        <v>10</v>
      </c>
      <c r="B66" s="3">
        <v>65</v>
      </c>
      <c r="C66" s="23" t="s">
        <v>69</v>
      </c>
      <c r="D66" s="3"/>
    </row>
    <row r="67" spans="1:5" x14ac:dyDescent="0.15">
      <c r="A67" s="23" t="s">
        <v>10</v>
      </c>
      <c r="B67" s="3">
        <v>66</v>
      </c>
      <c r="C67" s="23" t="s">
        <v>70</v>
      </c>
      <c r="D67" s="3"/>
    </row>
    <row r="68" spans="1:5" x14ac:dyDescent="0.15">
      <c r="A68" s="23" t="s">
        <v>10</v>
      </c>
      <c r="B68" s="3">
        <v>67</v>
      </c>
      <c r="C68" s="23" t="s">
        <v>71</v>
      </c>
      <c r="D68" s="3"/>
    </row>
    <row r="69" spans="1:5" x14ac:dyDescent="0.15">
      <c r="A69" s="23" t="s">
        <v>10</v>
      </c>
      <c r="B69" s="3">
        <v>68</v>
      </c>
      <c r="C69" s="23" t="s">
        <v>245</v>
      </c>
      <c r="D69" s="3"/>
      <c r="E69" s="1"/>
    </row>
    <row r="70" spans="1:5" x14ac:dyDescent="0.15">
      <c r="A70" s="23" t="s">
        <v>10</v>
      </c>
      <c r="B70" s="3">
        <v>69</v>
      </c>
      <c r="C70" s="23" t="s">
        <v>246</v>
      </c>
      <c r="D70" s="3"/>
    </row>
    <row r="71" spans="1:5" x14ac:dyDescent="0.15">
      <c r="A71" s="23" t="s">
        <v>10</v>
      </c>
      <c r="B71" s="3">
        <v>70</v>
      </c>
      <c r="C71" s="23" t="s">
        <v>72</v>
      </c>
      <c r="D71" s="3"/>
    </row>
    <row r="72" spans="1:5" x14ac:dyDescent="0.15">
      <c r="A72" s="23" t="s">
        <v>10</v>
      </c>
      <c r="B72" s="3">
        <v>71</v>
      </c>
      <c r="C72" s="23" t="s">
        <v>73</v>
      </c>
      <c r="D72" s="3"/>
    </row>
    <row r="73" spans="1:5" x14ac:dyDescent="0.15">
      <c r="A73" s="23" t="s">
        <v>11</v>
      </c>
      <c r="B73" s="3">
        <v>72</v>
      </c>
      <c r="C73" s="23" t="s">
        <v>74</v>
      </c>
      <c r="D73" s="3"/>
    </row>
    <row r="74" spans="1:5" x14ac:dyDescent="0.15">
      <c r="A74" s="23" t="s">
        <v>11</v>
      </c>
      <c r="B74" s="3">
        <v>73</v>
      </c>
      <c r="C74" s="23" t="s">
        <v>75</v>
      </c>
      <c r="D74" s="3" t="s">
        <v>224</v>
      </c>
    </row>
    <row r="75" spans="1:5" x14ac:dyDescent="0.15">
      <c r="A75" s="23" t="s">
        <v>11</v>
      </c>
      <c r="B75" s="3">
        <v>74</v>
      </c>
      <c r="C75" s="23" t="s">
        <v>76</v>
      </c>
      <c r="D75" s="3"/>
    </row>
    <row r="76" spans="1:5" x14ac:dyDescent="0.15">
      <c r="A76" s="23" t="s">
        <v>11</v>
      </c>
      <c r="B76" s="3">
        <v>75</v>
      </c>
      <c r="C76" s="23" t="s">
        <v>191</v>
      </c>
      <c r="D76" s="3"/>
    </row>
    <row r="77" spans="1:5" x14ac:dyDescent="0.15">
      <c r="A77" s="23" t="s">
        <v>11</v>
      </c>
      <c r="B77" s="3">
        <v>76</v>
      </c>
      <c r="C77" s="23" t="s">
        <v>77</v>
      </c>
      <c r="D77" s="23" t="s">
        <v>171</v>
      </c>
    </row>
    <row r="78" spans="1:5" x14ac:dyDescent="0.15">
      <c r="A78" s="23" t="s">
        <v>11</v>
      </c>
      <c r="B78" s="3">
        <v>77</v>
      </c>
      <c r="C78" s="23" t="s">
        <v>78</v>
      </c>
      <c r="D78" s="3"/>
    </row>
    <row r="79" spans="1:5" x14ac:dyDescent="0.15">
      <c r="A79" s="23" t="s">
        <v>11</v>
      </c>
      <c r="B79" s="3">
        <v>78</v>
      </c>
      <c r="C79" s="23" t="s">
        <v>79</v>
      </c>
      <c r="D79" s="3"/>
    </row>
    <row r="80" spans="1:5" x14ac:dyDescent="0.15">
      <c r="A80" s="23" t="s">
        <v>11</v>
      </c>
      <c r="B80" s="3">
        <v>79</v>
      </c>
      <c r="C80" s="23" t="s">
        <v>80</v>
      </c>
      <c r="D80" s="23" t="s">
        <v>171</v>
      </c>
      <c r="E80" s="1"/>
    </row>
    <row r="81" spans="1:6" x14ac:dyDescent="0.15">
      <c r="A81" s="23" t="s">
        <v>11</v>
      </c>
      <c r="B81" s="3">
        <v>80</v>
      </c>
      <c r="C81" s="23" t="s">
        <v>81</v>
      </c>
      <c r="D81" s="3"/>
    </row>
    <row r="82" spans="1:6" x14ac:dyDescent="0.15">
      <c r="A82" s="23" t="s">
        <v>11</v>
      </c>
      <c r="B82" s="3">
        <v>81</v>
      </c>
      <c r="C82" s="23" t="s">
        <v>82</v>
      </c>
      <c r="D82" s="3"/>
    </row>
    <row r="83" spans="1:6" x14ac:dyDescent="0.15">
      <c r="A83" s="23" t="s">
        <v>11</v>
      </c>
      <c r="B83" s="3">
        <v>82</v>
      </c>
      <c r="C83" s="23" t="s">
        <v>83</v>
      </c>
      <c r="D83" s="23" t="s">
        <v>171</v>
      </c>
      <c r="E83" s="1"/>
    </row>
    <row r="84" spans="1:6" x14ac:dyDescent="0.15">
      <c r="A84" s="23" t="s">
        <v>11</v>
      </c>
      <c r="B84" s="3">
        <v>83</v>
      </c>
      <c r="C84" s="23" t="s">
        <v>84</v>
      </c>
      <c r="D84" s="3"/>
    </row>
    <row r="85" spans="1:6" x14ac:dyDescent="0.15">
      <c r="A85" s="23" t="s">
        <v>11</v>
      </c>
      <c r="B85" s="3">
        <v>84</v>
      </c>
      <c r="C85" s="23" t="s">
        <v>85</v>
      </c>
      <c r="D85" s="3"/>
    </row>
    <row r="86" spans="1:6" x14ac:dyDescent="0.15">
      <c r="A86" s="23" t="s">
        <v>12</v>
      </c>
      <c r="B86" s="3">
        <v>85</v>
      </c>
      <c r="C86" s="23" t="s">
        <v>86</v>
      </c>
      <c r="D86" s="3"/>
      <c r="E86" s="1"/>
    </row>
    <row r="87" spans="1:6" x14ac:dyDescent="0.15">
      <c r="A87" s="23" t="s">
        <v>12</v>
      </c>
      <c r="B87" s="3">
        <v>86</v>
      </c>
      <c r="C87" s="23" t="s">
        <v>87</v>
      </c>
      <c r="D87" s="3"/>
      <c r="F87" s="1"/>
    </row>
    <row r="88" spans="1:6" x14ac:dyDescent="0.15">
      <c r="A88" s="23" t="s">
        <v>12</v>
      </c>
      <c r="B88" s="3">
        <v>87</v>
      </c>
      <c r="C88" s="23" t="s">
        <v>88</v>
      </c>
      <c r="D88" s="3"/>
      <c r="F88" s="1"/>
    </row>
    <row r="89" spans="1:6" x14ac:dyDescent="0.15">
      <c r="A89" s="23" t="s">
        <v>12</v>
      </c>
      <c r="B89" s="3">
        <v>88</v>
      </c>
      <c r="C89" s="23" t="s">
        <v>89</v>
      </c>
      <c r="D89" s="3"/>
      <c r="E89" s="1"/>
      <c r="F89" s="1"/>
    </row>
    <row r="90" spans="1:6" x14ac:dyDescent="0.15">
      <c r="A90" s="23" t="s">
        <v>12</v>
      </c>
      <c r="B90" s="3">
        <v>89</v>
      </c>
      <c r="C90" s="23" t="s">
        <v>90</v>
      </c>
      <c r="D90" s="3"/>
    </row>
    <row r="91" spans="1:6" x14ac:dyDescent="0.15">
      <c r="A91" s="23" t="s">
        <v>12</v>
      </c>
      <c r="B91" s="3">
        <v>90</v>
      </c>
      <c r="C91" s="23" t="s">
        <v>213</v>
      </c>
      <c r="D91" s="3"/>
    </row>
    <row r="92" spans="1:6" x14ac:dyDescent="0.15">
      <c r="A92" s="23" t="s">
        <v>12</v>
      </c>
      <c r="B92" s="3">
        <v>91</v>
      </c>
      <c r="C92" s="23" t="s">
        <v>214</v>
      </c>
      <c r="D92" s="3"/>
    </row>
    <row r="93" spans="1:6" x14ac:dyDescent="0.15">
      <c r="A93" s="23" t="s">
        <v>12</v>
      </c>
      <c r="B93" s="3">
        <v>92</v>
      </c>
      <c r="C93" s="23" t="s">
        <v>91</v>
      </c>
      <c r="D93" s="23" t="s">
        <v>171</v>
      </c>
    </row>
    <row r="94" spans="1:6" x14ac:dyDescent="0.15">
      <c r="A94" s="23" t="s">
        <v>12</v>
      </c>
      <c r="B94" s="3">
        <v>93</v>
      </c>
      <c r="C94" s="23" t="s">
        <v>92</v>
      </c>
      <c r="D94" s="3"/>
    </row>
    <row r="95" spans="1:6" x14ac:dyDescent="0.15">
      <c r="A95" s="23" t="s">
        <v>12</v>
      </c>
      <c r="B95" s="3">
        <v>94</v>
      </c>
      <c r="C95" s="23" t="s">
        <v>93</v>
      </c>
      <c r="D95" s="23"/>
    </row>
    <row r="96" spans="1:6" x14ac:dyDescent="0.15">
      <c r="A96" s="23" t="s">
        <v>12</v>
      </c>
      <c r="B96" s="3">
        <v>95</v>
      </c>
      <c r="C96" s="23" t="s">
        <v>94</v>
      </c>
      <c r="D96" s="3"/>
    </row>
    <row r="97" spans="1:5" x14ac:dyDescent="0.15">
      <c r="A97" s="23" t="s">
        <v>13</v>
      </c>
      <c r="B97" s="3">
        <v>96</v>
      </c>
      <c r="C97" s="23" t="s">
        <v>95</v>
      </c>
      <c r="D97" s="23" t="s">
        <v>225</v>
      </c>
    </row>
    <row r="98" spans="1:5" x14ac:dyDescent="0.15">
      <c r="A98" s="23" t="s">
        <v>13</v>
      </c>
      <c r="B98" s="3">
        <v>97</v>
      </c>
      <c r="C98" s="23" t="s">
        <v>96</v>
      </c>
      <c r="D98" s="3"/>
      <c r="E98" s="1"/>
    </row>
    <row r="99" spans="1:5" x14ac:dyDescent="0.15">
      <c r="A99" s="23" t="s">
        <v>13</v>
      </c>
      <c r="B99" s="3">
        <v>98</v>
      </c>
      <c r="C99" s="23" t="s">
        <v>97</v>
      </c>
      <c r="D99" s="3"/>
    </row>
    <row r="100" spans="1:5" x14ac:dyDescent="0.15">
      <c r="A100" s="23" t="s">
        <v>13</v>
      </c>
      <c r="B100" s="3">
        <v>99</v>
      </c>
      <c r="C100" s="23" t="s">
        <v>98</v>
      </c>
      <c r="D100" s="23" t="s">
        <v>171</v>
      </c>
      <c r="E100" s="1"/>
    </row>
    <row r="101" spans="1:5" x14ac:dyDescent="0.15">
      <c r="A101" s="23" t="s">
        <v>13</v>
      </c>
      <c r="B101" s="3">
        <v>100</v>
      </c>
      <c r="C101" s="23" t="s">
        <v>99</v>
      </c>
      <c r="D101" s="3"/>
    </row>
    <row r="102" spans="1:5" x14ac:dyDescent="0.15">
      <c r="A102" s="23" t="s">
        <v>13</v>
      </c>
      <c r="B102" s="3">
        <v>101</v>
      </c>
      <c r="C102" s="23" t="s">
        <v>100</v>
      </c>
      <c r="D102" s="23"/>
      <c r="E102" s="1"/>
    </row>
    <row r="103" spans="1:5" x14ac:dyDescent="0.15">
      <c r="A103" s="23" t="s">
        <v>13</v>
      </c>
      <c r="B103" s="3">
        <v>102</v>
      </c>
      <c r="C103" s="23" t="s">
        <v>101</v>
      </c>
      <c r="D103" s="23"/>
    </row>
    <row r="104" spans="1:5" x14ac:dyDescent="0.15">
      <c r="A104" s="23" t="s">
        <v>13</v>
      </c>
      <c r="B104" s="3">
        <v>103</v>
      </c>
      <c r="C104" s="23" t="s">
        <v>102</v>
      </c>
      <c r="D104" s="3"/>
    </row>
    <row r="105" spans="1:5" x14ac:dyDescent="0.15">
      <c r="A105" s="23" t="s">
        <v>13</v>
      </c>
      <c r="B105" s="3">
        <v>104</v>
      </c>
      <c r="C105" s="23" t="s">
        <v>103</v>
      </c>
      <c r="D105" s="3"/>
      <c r="E105" s="1"/>
    </row>
    <row r="106" spans="1:5" x14ac:dyDescent="0.15">
      <c r="A106" s="23" t="s">
        <v>13</v>
      </c>
      <c r="B106" s="3">
        <v>105</v>
      </c>
      <c r="C106" s="23" t="s">
        <v>104</v>
      </c>
      <c r="D106" s="3"/>
    </row>
    <row r="107" spans="1:5" x14ac:dyDescent="0.15">
      <c r="A107" s="23" t="s">
        <v>13</v>
      </c>
      <c r="B107" s="3">
        <v>106</v>
      </c>
      <c r="C107" s="23" t="s">
        <v>105</v>
      </c>
      <c r="D107" s="3"/>
      <c r="E107" s="1"/>
    </row>
    <row r="108" spans="1:5" x14ac:dyDescent="0.15">
      <c r="A108" s="23" t="s">
        <v>13</v>
      </c>
      <c r="B108" s="3">
        <v>107</v>
      </c>
      <c r="C108" s="23" t="s">
        <v>106</v>
      </c>
      <c r="D108" s="3"/>
      <c r="E108" s="1"/>
    </row>
    <row r="109" spans="1:5" x14ac:dyDescent="0.15">
      <c r="A109" s="23" t="s">
        <v>13</v>
      </c>
      <c r="B109" s="3">
        <v>108</v>
      </c>
      <c r="C109" s="23" t="s">
        <v>107</v>
      </c>
      <c r="D109" s="3" t="s">
        <v>226</v>
      </c>
    </row>
    <row r="110" spans="1:5" x14ac:dyDescent="0.15">
      <c r="A110" s="23" t="s">
        <v>13</v>
      </c>
      <c r="B110" s="3">
        <v>109</v>
      </c>
      <c r="C110" s="23" t="s">
        <v>108</v>
      </c>
      <c r="D110" s="3"/>
    </row>
    <row r="111" spans="1:5" x14ac:dyDescent="0.15">
      <c r="A111" s="23" t="s">
        <v>13</v>
      </c>
      <c r="B111" s="3">
        <v>110</v>
      </c>
      <c r="C111" s="23" t="s">
        <v>109</v>
      </c>
      <c r="D111" s="3"/>
    </row>
    <row r="112" spans="1:5" x14ac:dyDescent="0.15">
      <c r="A112" s="23" t="s">
        <v>13</v>
      </c>
      <c r="B112" s="3">
        <v>111</v>
      </c>
      <c r="C112" s="23" t="s">
        <v>110</v>
      </c>
      <c r="D112" s="3"/>
    </row>
    <row r="113" spans="1:5" x14ac:dyDescent="0.15">
      <c r="A113" s="23" t="s">
        <v>13</v>
      </c>
      <c r="B113" s="3">
        <v>112</v>
      </c>
      <c r="C113" s="23" t="s">
        <v>111</v>
      </c>
      <c r="D113" s="23" t="s">
        <v>171</v>
      </c>
    </row>
    <row r="114" spans="1:5" x14ac:dyDescent="0.15">
      <c r="A114" s="23" t="s">
        <v>13</v>
      </c>
      <c r="B114" s="3">
        <v>113</v>
      </c>
      <c r="C114" s="23" t="s">
        <v>112</v>
      </c>
      <c r="D114" s="3"/>
    </row>
    <row r="115" spans="1:5" x14ac:dyDescent="0.15">
      <c r="A115" s="23" t="s">
        <v>13</v>
      </c>
      <c r="B115" s="3">
        <v>114</v>
      </c>
      <c r="C115" s="23" t="s">
        <v>113</v>
      </c>
      <c r="D115" s="3"/>
    </row>
    <row r="116" spans="1:5" x14ac:dyDescent="0.15">
      <c r="A116" s="23" t="s">
        <v>13</v>
      </c>
      <c r="B116" s="3">
        <v>115</v>
      </c>
      <c r="C116" s="23" t="s">
        <v>114</v>
      </c>
      <c r="D116" s="3"/>
    </row>
    <row r="117" spans="1:5" x14ac:dyDescent="0.15">
      <c r="A117" s="23" t="s">
        <v>13</v>
      </c>
      <c r="B117" s="3">
        <v>116</v>
      </c>
      <c r="C117" s="23" t="s">
        <v>115</v>
      </c>
      <c r="D117" s="23" t="s">
        <v>171</v>
      </c>
    </row>
    <row r="118" spans="1:5" x14ac:dyDescent="0.15">
      <c r="A118" s="23" t="s">
        <v>13</v>
      </c>
      <c r="B118" s="3">
        <v>117</v>
      </c>
      <c r="C118" s="23" t="s">
        <v>116</v>
      </c>
      <c r="D118" s="3"/>
      <c r="E118" s="1"/>
    </row>
    <row r="119" spans="1:5" x14ac:dyDescent="0.15">
      <c r="A119" s="23" t="s">
        <v>14</v>
      </c>
      <c r="B119" s="3">
        <v>118</v>
      </c>
      <c r="C119" s="23" t="s">
        <v>14</v>
      </c>
      <c r="D119" s="3"/>
    </row>
    <row r="120" spans="1:5" x14ac:dyDescent="0.15">
      <c r="A120" s="23" t="s">
        <v>14</v>
      </c>
      <c r="B120" s="3">
        <v>119</v>
      </c>
      <c r="C120" s="23" t="s">
        <v>117</v>
      </c>
      <c r="D120" s="3"/>
    </row>
    <row r="121" spans="1:5" x14ac:dyDescent="0.15">
      <c r="A121" s="23" t="s">
        <v>14</v>
      </c>
      <c r="B121" s="3">
        <v>120</v>
      </c>
      <c r="C121" s="23" t="s">
        <v>118</v>
      </c>
      <c r="D121" s="3"/>
    </row>
    <row r="122" spans="1:5" x14ac:dyDescent="0.15">
      <c r="A122" s="23" t="s">
        <v>14</v>
      </c>
      <c r="B122" s="3">
        <v>121</v>
      </c>
      <c r="C122" s="23" t="s">
        <v>119</v>
      </c>
      <c r="D122" s="3"/>
      <c r="E122" s="1"/>
    </row>
    <row r="123" spans="1:5" x14ac:dyDescent="0.15">
      <c r="A123" s="23" t="s">
        <v>14</v>
      </c>
      <c r="B123" s="3">
        <v>122</v>
      </c>
      <c r="C123" s="23" t="s">
        <v>120</v>
      </c>
      <c r="D123" s="3" t="s">
        <v>227</v>
      </c>
    </row>
    <row r="124" spans="1:5" x14ac:dyDescent="0.15">
      <c r="A124" s="23" t="s">
        <v>15</v>
      </c>
      <c r="B124" s="3">
        <v>123</v>
      </c>
      <c r="C124" s="23" t="s">
        <v>121</v>
      </c>
      <c r="D124" s="3"/>
    </row>
    <row r="125" spans="1:5" x14ac:dyDescent="0.15">
      <c r="A125" s="23" t="s">
        <v>15</v>
      </c>
      <c r="B125" s="3">
        <v>124</v>
      </c>
      <c r="C125" s="23" t="s">
        <v>122</v>
      </c>
      <c r="D125" s="3"/>
    </row>
    <row r="126" spans="1:5" x14ac:dyDescent="0.15">
      <c r="A126" s="23" t="s">
        <v>15</v>
      </c>
      <c r="B126" s="3">
        <v>125</v>
      </c>
      <c r="C126" s="23" t="s">
        <v>123</v>
      </c>
      <c r="D126" s="3"/>
    </row>
    <row r="127" spans="1:5" x14ac:dyDescent="0.15">
      <c r="A127" s="23" t="s">
        <v>15</v>
      </c>
      <c r="B127" s="3">
        <v>126</v>
      </c>
      <c r="C127" s="23" t="s">
        <v>124</v>
      </c>
      <c r="D127" s="3"/>
    </row>
    <row r="128" spans="1:5" x14ac:dyDescent="0.15">
      <c r="A128" s="23" t="s">
        <v>15</v>
      </c>
      <c r="B128" s="3">
        <v>127</v>
      </c>
      <c r="C128" s="23" t="s">
        <v>125</v>
      </c>
      <c r="D128" s="3"/>
    </row>
    <row r="129" spans="1:5" x14ac:dyDescent="0.15">
      <c r="A129" s="23" t="s">
        <v>15</v>
      </c>
      <c r="B129" s="3">
        <v>128</v>
      </c>
      <c r="C129" s="23" t="s">
        <v>126</v>
      </c>
      <c r="D129" s="3"/>
    </row>
    <row r="130" spans="1:5" x14ac:dyDescent="0.15">
      <c r="A130" s="23" t="s">
        <v>15</v>
      </c>
      <c r="B130" s="3">
        <v>129</v>
      </c>
      <c r="C130" s="23" t="s">
        <v>127</v>
      </c>
      <c r="D130" s="3"/>
    </row>
    <row r="131" spans="1:5" x14ac:dyDescent="0.15">
      <c r="A131" s="23" t="s">
        <v>15</v>
      </c>
      <c r="B131" s="3">
        <v>130</v>
      </c>
      <c r="C131" s="23" t="s">
        <v>128</v>
      </c>
      <c r="D131" s="3"/>
    </row>
    <row r="132" spans="1:5" x14ac:dyDescent="0.15">
      <c r="A132" s="23" t="s">
        <v>15</v>
      </c>
      <c r="B132" s="3">
        <v>131</v>
      </c>
      <c r="C132" s="23" t="s">
        <v>129</v>
      </c>
      <c r="D132" s="3"/>
    </row>
    <row r="133" spans="1:5" x14ac:dyDescent="0.15">
      <c r="A133" s="23" t="s">
        <v>15</v>
      </c>
      <c r="B133" s="3">
        <v>132</v>
      </c>
      <c r="C133" s="23" t="s">
        <v>130</v>
      </c>
      <c r="D133" s="23"/>
    </row>
    <row r="134" spans="1:5" x14ac:dyDescent="0.15">
      <c r="A134" s="23" t="s">
        <v>15</v>
      </c>
      <c r="B134" s="3">
        <v>133</v>
      </c>
      <c r="C134" s="23" t="s">
        <v>131</v>
      </c>
      <c r="D134" s="3"/>
    </row>
    <row r="135" spans="1:5" x14ac:dyDescent="0.15">
      <c r="A135" s="23" t="s">
        <v>16</v>
      </c>
      <c r="B135" s="3">
        <v>134</v>
      </c>
      <c r="C135" s="23" t="s">
        <v>132</v>
      </c>
      <c r="D135" s="3"/>
    </row>
    <row r="136" spans="1:5" x14ac:dyDescent="0.15">
      <c r="A136" s="23" t="s">
        <v>16</v>
      </c>
      <c r="B136" s="3">
        <v>135</v>
      </c>
      <c r="C136" s="23" t="s">
        <v>133</v>
      </c>
      <c r="D136" s="3"/>
    </row>
    <row r="137" spans="1:5" x14ac:dyDescent="0.15">
      <c r="A137" s="23" t="s">
        <v>16</v>
      </c>
      <c r="B137" s="3">
        <v>136</v>
      </c>
      <c r="C137" s="23" t="s">
        <v>134</v>
      </c>
      <c r="D137" s="3"/>
    </row>
    <row r="138" spans="1:5" x14ac:dyDescent="0.15">
      <c r="A138" s="23" t="s">
        <v>16</v>
      </c>
      <c r="B138" s="3">
        <v>137</v>
      </c>
      <c r="C138" s="23" t="s">
        <v>135</v>
      </c>
      <c r="D138" s="3"/>
      <c r="E138" s="1"/>
    </row>
    <row r="139" spans="1:5" x14ac:dyDescent="0.15">
      <c r="A139" s="23" t="s">
        <v>16</v>
      </c>
      <c r="B139" s="3">
        <v>138</v>
      </c>
      <c r="C139" s="23" t="s">
        <v>136</v>
      </c>
      <c r="D139" s="3"/>
    </row>
    <row r="140" spans="1:5" x14ac:dyDescent="0.15">
      <c r="A140" s="23" t="s">
        <v>16</v>
      </c>
      <c r="B140" s="3">
        <v>139</v>
      </c>
      <c r="C140" s="23" t="s">
        <v>137</v>
      </c>
      <c r="D140" s="3"/>
    </row>
    <row r="141" spans="1:5" x14ac:dyDescent="0.15">
      <c r="A141" s="23" t="s">
        <v>16</v>
      </c>
      <c r="B141" s="3">
        <v>140</v>
      </c>
      <c r="C141" s="23" t="s">
        <v>138</v>
      </c>
      <c r="D141" s="3"/>
    </row>
    <row r="142" spans="1:5" x14ac:dyDescent="0.15">
      <c r="A142" s="23" t="s">
        <v>16</v>
      </c>
      <c r="B142" s="3">
        <v>141</v>
      </c>
      <c r="C142" s="23" t="s">
        <v>139</v>
      </c>
      <c r="D142" s="3"/>
    </row>
    <row r="143" spans="1:5" x14ac:dyDescent="0.15">
      <c r="A143" s="23" t="s">
        <v>17</v>
      </c>
      <c r="B143" s="3">
        <v>142</v>
      </c>
      <c r="C143" s="23" t="s">
        <v>140</v>
      </c>
      <c r="D143" s="3"/>
    </row>
    <row r="144" spans="1:5" x14ac:dyDescent="0.15">
      <c r="A144" s="23" t="s">
        <v>17</v>
      </c>
      <c r="B144" s="3">
        <v>143</v>
      </c>
      <c r="C144" s="23" t="s">
        <v>141</v>
      </c>
      <c r="D144" s="3"/>
    </row>
    <row r="145" spans="1:5" x14ac:dyDescent="0.15">
      <c r="A145" s="23" t="s">
        <v>17</v>
      </c>
      <c r="B145" s="3">
        <v>144</v>
      </c>
      <c r="C145" s="23" t="s">
        <v>142</v>
      </c>
      <c r="D145" s="3"/>
    </row>
    <row r="146" spans="1:5" x14ac:dyDescent="0.15">
      <c r="A146" s="23" t="s">
        <v>17</v>
      </c>
      <c r="B146" s="3">
        <v>145</v>
      </c>
      <c r="C146" s="23" t="s">
        <v>143</v>
      </c>
      <c r="D146" s="3"/>
    </row>
    <row r="147" spans="1:5" x14ac:dyDescent="0.15">
      <c r="A147" s="23" t="s">
        <v>17</v>
      </c>
      <c r="B147" s="3">
        <v>146</v>
      </c>
      <c r="C147" s="23" t="s">
        <v>144</v>
      </c>
      <c r="D147" s="3"/>
    </row>
    <row r="148" spans="1:5" x14ac:dyDescent="0.15">
      <c r="A148" s="23" t="s">
        <v>17</v>
      </c>
      <c r="B148" s="3">
        <v>147</v>
      </c>
      <c r="C148" s="23" t="s">
        <v>145</v>
      </c>
      <c r="D148" s="3"/>
    </row>
    <row r="149" spans="1:5" x14ac:dyDescent="0.15">
      <c r="A149" s="23" t="s">
        <v>16</v>
      </c>
      <c r="B149" s="3">
        <v>148</v>
      </c>
      <c r="C149" s="23" t="s">
        <v>16</v>
      </c>
      <c r="D149" s="3"/>
    </row>
    <row r="150" spans="1:5" x14ac:dyDescent="0.15">
      <c r="A150" s="23" t="s">
        <v>16</v>
      </c>
      <c r="B150" s="3">
        <v>149</v>
      </c>
      <c r="C150" s="23" t="s">
        <v>146</v>
      </c>
      <c r="D150" s="3"/>
    </row>
    <row r="151" spans="1:5" x14ac:dyDescent="0.15">
      <c r="A151" s="23" t="s">
        <v>16</v>
      </c>
      <c r="B151" s="3">
        <v>150</v>
      </c>
      <c r="C151" s="23" t="s">
        <v>147</v>
      </c>
      <c r="D151" s="3"/>
    </row>
    <row r="152" spans="1:5" x14ac:dyDescent="0.15">
      <c r="A152" s="23" t="s">
        <v>16</v>
      </c>
      <c r="B152" s="3">
        <v>151</v>
      </c>
      <c r="C152" s="23" t="s">
        <v>148</v>
      </c>
      <c r="D152" s="23" t="s">
        <v>171</v>
      </c>
    </row>
    <row r="153" spans="1:5" x14ac:dyDescent="0.15">
      <c r="A153" s="23" t="s">
        <v>16</v>
      </c>
      <c r="B153" s="3">
        <v>152</v>
      </c>
      <c r="C153" s="23" t="s">
        <v>149</v>
      </c>
      <c r="D153" s="3"/>
    </row>
    <row r="154" spans="1:5" x14ac:dyDescent="0.15">
      <c r="A154" s="23" t="s">
        <v>18</v>
      </c>
      <c r="B154" s="3">
        <v>153</v>
      </c>
      <c r="C154" s="23" t="s">
        <v>150</v>
      </c>
      <c r="D154" s="23" t="s">
        <v>228</v>
      </c>
    </row>
    <row r="155" spans="1:5" x14ac:dyDescent="0.15">
      <c r="A155" s="23" t="s">
        <v>18</v>
      </c>
      <c r="B155" s="3">
        <v>154</v>
      </c>
      <c r="C155" s="23" t="s">
        <v>254</v>
      </c>
      <c r="D155" s="3"/>
    </row>
    <row r="156" spans="1:5" x14ac:dyDescent="0.15">
      <c r="A156" s="23" t="s">
        <v>18</v>
      </c>
      <c r="B156" s="3">
        <v>155</v>
      </c>
      <c r="C156" s="23" t="s">
        <v>255</v>
      </c>
      <c r="D156" s="3"/>
    </row>
    <row r="157" spans="1:5" x14ac:dyDescent="0.15">
      <c r="A157" s="23" t="s">
        <v>18</v>
      </c>
      <c r="B157" s="3">
        <v>156</v>
      </c>
      <c r="C157" s="23" t="s">
        <v>256</v>
      </c>
      <c r="D157" s="3"/>
      <c r="E157" s="1"/>
    </row>
    <row r="158" spans="1:5" x14ac:dyDescent="0.15">
      <c r="A158" s="23" t="s">
        <v>18</v>
      </c>
      <c r="B158" s="3">
        <v>157</v>
      </c>
      <c r="C158" s="23" t="s">
        <v>257</v>
      </c>
      <c r="D158" s="3"/>
    </row>
    <row r="159" spans="1:5" x14ac:dyDescent="0.15">
      <c r="A159" s="23" t="s">
        <v>18</v>
      </c>
      <c r="B159" s="3">
        <v>158</v>
      </c>
      <c r="C159" s="23" t="s">
        <v>151</v>
      </c>
      <c r="D159" s="3"/>
      <c r="E159" s="1"/>
    </row>
    <row r="160" spans="1:5" x14ac:dyDescent="0.15">
      <c r="A160" s="23" t="s">
        <v>19</v>
      </c>
      <c r="B160" s="3">
        <v>159</v>
      </c>
      <c r="C160" s="23" t="s">
        <v>152</v>
      </c>
      <c r="D160" s="3"/>
    </row>
    <row r="161" spans="1:5" x14ac:dyDescent="0.15">
      <c r="A161" s="23" t="s">
        <v>19</v>
      </c>
      <c r="B161" s="3">
        <v>160</v>
      </c>
      <c r="C161" s="23" t="s">
        <v>153</v>
      </c>
      <c r="D161" s="3"/>
    </row>
    <row r="162" spans="1:5" x14ac:dyDescent="0.15">
      <c r="A162" s="23" t="s">
        <v>19</v>
      </c>
      <c r="B162" s="3">
        <v>161</v>
      </c>
      <c r="C162" s="23" t="s">
        <v>154</v>
      </c>
      <c r="D162" s="3"/>
    </row>
    <row r="163" spans="1:5" x14ac:dyDescent="0.15">
      <c r="A163" s="23" t="s">
        <v>19</v>
      </c>
      <c r="B163" s="3">
        <v>162</v>
      </c>
      <c r="C163" s="23" t="s">
        <v>155</v>
      </c>
      <c r="D163" s="23" t="s">
        <v>171</v>
      </c>
    </row>
    <row r="164" spans="1:5" x14ac:dyDescent="0.15">
      <c r="A164" s="23" t="s">
        <v>19</v>
      </c>
      <c r="B164" s="3">
        <v>163</v>
      </c>
      <c r="C164" s="23" t="s">
        <v>156</v>
      </c>
      <c r="D164" s="3" t="s">
        <v>229</v>
      </c>
    </row>
    <row r="165" spans="1:5" x14ac:dyDescent="0.15">
      <c r="A165" s="23" t="s">
        <v>19</v>
      </c>
      <c r="B165" s="3">
        <v>164</v>
      </c>
      <c r="C165" s="23" t="s">
        <v>23</v>
      </c>
      <c r="D165" s="3"/>
    </row>
    <row r="166" spans="1:5" x14ac:dyDescent="0.15">
      <c r="A166" s="23" t="s">
        <v>19</v>
      </c>
      <c r="B166" s="3">
        <v>165</v>
      </c>
      <c r="C166" s="23" t="s">
        <v>24</v>
      </c>
      <c r="D166" s="3"/>
    </row>
    <row r="167" spans="1:5" x14ac:dyDescent="0.15">
      <c r="A167" s="23" t="s">
        <v>19</v>
      </c>
      <c r="B167" s="3">
        <v>166</v>
      </c>
      <c r="C167" s="23" t="s">
        <v>25</v>
      </c>
      <c r="D167" s="3"/>
      <c r="E167" s="1"/>
    </row>
    <row r="168" spans="1:5" x14ac:dyDescent="0.15">
      <c r="A168" s="23" t="s">
        <v>19</v>
      </c>
      <c r="B168" s="3">
        <v>167</v>
      </c>
      <c r="C168" s="23" t="s">
        <v>157</v>
      </c>
      <c r="D168" s="23" t="s">
        <v>171</v>
      </c>
    </row>
    <row r="169" spans="1:5" x14ac:dyDescent="0.15">
      <c r="A169" s="23" t="s">
        <v>19</v>
      </c>
      <c r="B169" s="3">
        <v>168</v>
      </c>
      <c r="C169" s="23" t="s">
        <v>158</v>
      </c>
      <c r="D169" s="3" t="s">
        <v>230</v>
      </c>
    </row>
    <row r="170" spans="1:5" x14ac:dyDescent="0.15">
      <c r="A170" s="23" t="s">
        <v>19</v>
      </c>
      <c r="B170" s="3">
        <v>169</v>
      </c>
      <c r="C170" s="23" t="s">
        <v>159</v>
      </c>
      <c r="D170" s="3"/>
    </row>
    <row r="171" spans="1:5" x14ac:dyDescent="0.15">
      <c r="A171" s="23" t="s">
        <v>20</v>
      </c>
      <c r="B171" s="3">
        <v>170</v>
      </c>
      <c r="C171" s="23" t="s">
        <v>20</v>
      </c>
      <c r="D171" s="3"/>
    </row>
    <row r="172" spans="1:5" x14ac:dyDescent="0.15">
      <c r="A172" s="23" t="s">
        <v>20</v>
      </c>
      <c r="B172" s="3">
        <v>171</v>
      </c>
      <c r="C172" s="23" t="s">
        <v>160</v>
      </c>
      <c r="D172" s="3"/>
      <c r="E172" s="1"/>
    </row>
    <row r="173" spans="1:5" x14ac:dyDescent="0.15">
      <c r="A173" s="23" t="s">
        <v>20</v>
      </c>
      <c r="B173" s="3">
        <v>172</v>
      </c>
      <c r="C173" s="23" t="s">
        <v>161</v>
      </c>
      <c r="D173" s="3"/>
    </row>
    <row r="174" spans="1:5" x14ac:dyDescent="0.15">
      <c r="A174" s="23" t="s">
        <v>20</v>
      </c>
      <c r="B174" s="3">
        <v>173</v>
      </c>
      <c r="C174" s="23" t="s">
        <v>162</v>
      </c>
      <c r="D174" s="3"/>
    </row>
    <row r="175" spans="1:5" x14ac:dyDescent="0.15">
      <c r="A175" s="23" t="s">
        <v>20</v>
      </c>
      <c r="B175" s="3">
        <v>174</v>
      </c>
      <c r="C175" s="23" t="s">
        <v>163</v>
      </c>
      <c r="D175" s="3"/>
    </row>
    <row r="176" spans="1:5" x14ac:dyDescent="0.15">
      <c r="A176" s="23" t="s">
        <v>20</v>
      </c>
      <c r="B176" s="3">
        <v>175</v>
      </c>
      <c r="C176" s="23" t="s">
        <v>164</v>
      </c>
      <c r="D176" s="3"/>
    </row>
    <row r="177" spans="1:4" x14ac:dyDescent="0.15">
      <c r="A177" s="23" t="s">
        <v>231</v>
      </c>
      <c r="B177" s="3">
        <v>176</v>
      </c>
      <c r="C177" s="3" t="s">
        <v>195</v>
      </c>
      <c r="D177" s="3" t="s">
        <v>232</v>
      </c>
    </row>
    <row r="178" spans="1:4" x14ac:dyDescent="0.15">
      <c r="A178" s="23" t="s">
        <v>231</v>
      </c>
      <c r="B178" s="3">
        <v>177</v>
      </c>
      <c r="C178" s="3" t="s">
        <v>196</v>
      </c>
      <c r="D178" s="3" t="s">
        <v>233</v>
      </c>
    </row>
    <row r="179" spans="1:4" x14ac:dyDescent="0.15">
      <c r="A179" s="23" t="s">
        <v>231</v>
      </c>
      <c r="B179" s="3">
        <v>178</v>
      </c>
      <c r="C179" s="23" t="s">
        <v>273</v>
      </c>
      <c r="D179" s="23" t="s">
        <v>441</v>
      </c>
    </row>
    <row r="180" spans="1:4" x14ac:dyDescent="0.15">
      <c r="A180" s="23" t="s">
        <v>231</v>
      </c>
      <c r="B180" s="3">
        <v>179</v>
      </c>
      <c r="C180" s="3" t="s">
        <v>197</v>
      </c>
      <c r="D180" s="3" t="s">
        <v>234</v>
      </c>
    </row>
    <row r="181" spans="1:4" x14ac:dyDescent="0.15">
      <c r="A181" s="23" t="s">
        <v>231</v>
      </c>
      <c r="B181" s="3">
        <v>180</v>
      </c>
      <c r="C181" s="3" t="s">
        <v>198</v>
      </c>
      <c r="D181" s="3" t="s">
        <v>235</v>
      </c>
    </row>
    <row r="182" spans="1:4" x14ac:dyDescent="0.15">
      <c r="A182" s="23" t="s">
        <v>231</v>
      </c>
      <c r="B182" s="3">
        <v>181</v>
      </c>
      <c r="C182" s="3" t="s">
        <v>215</v>
      </c>
      <c r="D182" s="3"/>
    </row>
    <row r="183" spans="1:4" x14ac:dyDescent="0.15">
      <c r="A183" s="23"/>
      <c r="B183" s="24"/>
      <c r="C183" s="3"/>
      <c r="D183" s="3"/>
    </row>
    <row r="184" spans="1:4" x14ac:dyDescent="0.15">
      <c r="A184" s="23"/>
      <c r="B184" s="24"/>
      <c r="C184" s="3"/>
      <c r="D184" s="3"/>
    </row>
    <row r="185" spans="1:4" x14ac:dyDescent="0.15">
      <c r="A185" s="23"/>
      <c r="B185" s="24"/>
      <c r="C185" s="3"/>
      <c r="D185" s="3"/>
    </row>
    <row r="186" spans="1:4" x14ac:dyDescent="0.15">
      <c r="A186" s="23"/>
      <c r="B186" s="24"/>
      <c r="C186" s="3"/>
      <c r="D186" s="3"/>
    </row>
    <row r="187" spans="1:4" x14ac:dyDescent="0.15">
      <c r="A187" s="23"/>
      <c r="B187" s="24"/>
      <c r="C187" s="3"/>
      <c r="D187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Bärbel Hönisch</cp:lastModifiedBy>
  <dcterms:created xsi:type="dcterms:W3CDTF">2019-05-23T18:52:31Z</dcterms:created>
  <dcterms:modified xsi:type="dcterms:W3CDTF">2020-07-08T22:34:17Z</dcterms:modified>
</cp:coreProperties>
</file>