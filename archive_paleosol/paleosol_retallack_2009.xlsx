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329B405B-07A8-AB43-9B92-9A5A1C860143}" xr6:coauthVersionLast="36" xr6:coauthVersionMax="45" xr10:uidLastSave="{00000000-0000-0000-0000-000000000000}"/>
  <bookViews>
    <workbookView xWindow="2020" yWindow="2880" windowWidth="24700" windowHeight="16180" tabRatio="500" xr2:uid="{00000000-000D-0000-FFFF-FFFF00000000}"/>
  </bookViews>
  <sheets>
    <sheet name="paleosol" sheetId="1" r:id="rId1"/>
  </sheets>
  <calcPr calcId="181029"/>
  <extLst>
    <ext xmlns:mx="http://schemas.microsoft.com/office/mac/excel/2008/main" uri="{7523E5D3-25F3-A5E0-1632-64F254C22452}">
      <mx:ArchID Flags="2"/>
    </ext>
  </extLst>
</workbook>
</file>

<file path=xl/calcChain.xml><?xml version="1.0" encoding="utf-8"?>
<calcChain xmlns="http://schemas.openxmlformats.org/spreadsheetml/2006/main">
  <c r="CT12" i="1" l="1"/>
  <c r="CT11" i="1"/>
  <c r="CT10" i="1"/>
  <c r="CT9" i="1"/>
  <c r="CT8" i="1"/>
  <c r="CT7" i="1"/>
  <c r="CT6" i="1"/>
  <c r="CT5" i="1"/>
  <c r="CT4" i="1"/>
  <c r="CD5" i="1"/>
  <c r="CD6" i="1"/>
  <c r="CD7" i="1"/>
  <c r="CD8" i="1"/>
  <c r="CD9" i="1"/>
  <c r="CD10" i="1"/>
  <c r="CD11" i="1"/>
  <c r="CD12" i="1"/>
  <c r="CD4" i="1"/>
  <c r="E5" i="1" l="1"/>
  <c r="E6" i="1"/>
  <c r="E7" i="1"/>
  <c r="E8" i="1"/>
  <c r="E9" i="1"/>
  <c r="E10" i="1"/>
  <c r="E11" i="1"/>
  <c r="E12" i="1"/>
  <c r="E4" i="1"/>
</calcChain>
</file>

<file path=xl/sharedStrings.xml><?xml version="1.0" encoding="utf-8"?>
<sst xmlns="http://schemas.openxmlformats.org/spreadsheetml/2006/main" count="1103" uniqueCount="167">
  <si>
    <t>Data Sources</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</si>
  <si>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</si>
  <si>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</si>
  <si>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</si>
  <si>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</si>
  <si>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</si>
  <si>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</si>
  <si>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</si>
  <si>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</si>
  <si>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</si>
  <si>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</si>
  <si>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</si>
  <si>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</si>
  <si>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</si>
  <si>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</si>
  <si>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</si>
  <si>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</si>
  <si>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</si>
  <si>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</si>
  <si>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</si>
  <si>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</si>
  <si>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</si>
  <si>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</si>
  <si>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</si>
  <si>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</si>
  <si>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</si>
  <si>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</si>
  <si>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</si>
  <si>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</si>
  <si>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</si>
  <si>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</si>
  <si>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</si>
  <si>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</si>
  <si>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</si>
  <si>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</si>
  <si>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</si>
  <si>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</si>
  <si>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</si>
  <si>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Explanation for each additional publications link to the dataset</t>
  </si>
  <si>
    <t>variables considered in error propagation</t>
  </si>
  <si>
    <t>error propagation method</t>
  </si>
  <si>
    <t>proxy</t>
  </si>
  <si>
    <t>first_author_last_name</t>
  </si>
  <si>
    <t>publication_year</t>
  </si>
  <si>
    <t>doi</t>
  </si>
  <si>
    <t>age_ka</t>
  </si>
  <si>
    <t>Age_uncertainty_pos_ka</t>
  </si>
  <si>
    <t>Age_uncertainty_neg_ka</t>
  </si>
  <si>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</si>
  <si>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t>Dan Breecker</t>
  </si>
  <si>
    <t>breecker@jsg.utexas.edu</t>
  </si>
  <si>
    <t>nodules</t>
  </si>
  <si>
    <t>fine (silt and clay)</t>
  </si>
  <si>
    <t>fine(silt and clay)</t>
  </si>
  <si>
    <t>Yes</t>
  </si>
  <si>
    <t>?</t>
  </si>
  <si>
    <t>Retallack</t>
  </si>
  <si>
    <t xml:space="preserve">10.1016/j.palaeo.2009.07.011 </t>
  </si>
  <si>
    <r>
      <t>Retallack, G. J. (2009). Refining a pedogenic-carbonate CO2 paleobarometer to quantify a middle Miocene greenhouse spike. </t>
    </r>
    <r>
      <rPr>
        <i/>
        <sz val="13"/>
        <color rgb="FF222222"/>
        <rFont val="Arial"/>
        <family val="2"/>
      </rPr>
      <t>Palaeogeography, Palaeoclimatology, Palaeoecology</t>
    </r>
    <r>
      <rPr>
        <sz val="13"/>
        <color rgb="FF222222"/>
        <rFont val="Arial"/>
        <family val="2"/>
      </rPr>
      <t>, </t>
    </r>
    <r>
      <rPr>
        <i/>
        <sz val="13"/>
        <color rgb="FF222222"/>
        <rFont val="Arial"/>
        <family val="2"/>
      </rPr>
      <t>281</t>
    </r>
    <r>
      <rPr>
        <sz val="13"/>
        <color rgb="FF222222"/>
        <rFont val="Arial"/>
        <family val="2"/>
      </rPr>
      <t>(1-2), 57-65.</t>
    </r>
  </si>
  <si>
    <t>Renova</t>
  </si>
  <si>
    <t>Six Mile Creek</t>
  </si>
  <si>
    <t>Barnosky, A.D., Bibi, F., Hopkins, S.B., Nichols, R., 2007. Biostratigraphy and magnetostratigraphy of the mid-Miocene Railroad Canyon sequence, Montana and Idaho, and age of the mid-Tertiary unconformity west of the continental divide. J. Vertebrate Paleont. 27, 204–224.</t>
  </si>
  <si>
    <t>Kent-Corson, M.L., Sherman, L.S., Mulch, A., Chamberlain, C.P., 2006. Cenozoic topographic and climatic response to changing tectonic boundary conditions in western North America. Earth Planet. Sci. Lett. 252, 453–466.</t>
  </si>
  <si>
    <t>Barnosky, A.D., Bibi, F., Hopkins, S.B., Nichols, R., 2007. Biostratigraphy and magnetostratigraphy of the mid-Miocene Railroad Canyon sequence, Montana and Idaho, and age of the mid-Tertiary unconformity west of the continental divide. J. Vertebrate Paleont. 27, 204–224.          Kent-Corson, M.L., Sherman, L.S., Mulch, A., Chamberlain, C.P., 2006. Cenozoic topographic and climatic response to changing tectonic boundary conditions in western North America. Earth Planet. Sci. Lett. 252, 453–466.       Retallack, G.J., 2007. Cenozoic paleoclimate on land in North America. J. Geol. 115,
271–294.</t>
  </si>
  <si>
    <t>Age modified from Barnosky, carbonate nodules d13C values from Kent-Corson, and depth to Bk, burial depth and alkali ratio (paleotemperature) from Retallack 2007</t>
  </si>
  <si>
    <t>from marine carbonates calibrated to Miocene hackberries</t>
  </si>
  <si>
    <t>Passey, B.H., Cerling, T.H., Perkins, M.E., et al., 2002. Environmental change in the Great Plains: an isotopic record from fossil horses. J. Geol. 110, 123–140.      Backlund, D., Gabel, M.L., Tieszen, L.L., 1991. An environmental gradient in the Tertiary Great Plains as indicated by stable carbon isotopes from organic carbon in plant fossils. South Dakota Acad. Sci. 70, 99–108.</t>
  </si>
  <si>
    <t>from d13Cr</t>
  </si>
  <si>
    <t>Arens, N.C., Jahren, A.H., Amundson, R., 2000. Can C3 plants faithfully record the carbon isotopic composition of atmospheric carbon dioxide? Paleobiology 26, 137–164.</t>
  </si>
  <si>
    <t>alkali ratio</t>
  </si>
  <si>
    <t>Aridisols</t>
  </si>
  <si>
    <t>Bk horizon most prominent peodgenic feature</t>
  </si>
  <si>
    <t>Gaussian</t>
  </si>
  <si>
    <t>error propagation method updated by Breecker and Retallack 2014</t>
  </si>
  <si>
    <t>from depth to Bk using calibration presented in this paper</t>
  </si>
  <si>
    <t>couldn't find bulk geopchemical data in this paper or Retallack 2007, only paleotemperatures calculated from them</t>
  </si>
  <si>
    <t>CO2_uncertainty_pos_ppm</t>
  </si>
  <si>
    <t>CO2_ppm</t>
  </si>
  <si>
    <t>NA</t>
  </si>
  <si>
    <t>paleosols</t>
  </si>
  <si>
    <t>CO2_uncertainty_neg_ppm</t>
  </si>
  <si>
    <t>name_of_individual_entering_data</t>
  </si>
  <si>
    <t>contact_email_of_individual_entering_data</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</si>
  <si>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</si>
  <si>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</si>
  <si>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</si>
  <si>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</si>
  <si>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</si>
  <si>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</si>
  <si>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</si>
  <si>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</si>
  <si>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</si>
  <si>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</si>
  <si>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</si>
  <si>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</si>
  <si>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</si>
  <si>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</si>
  <si>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</si>
  <si>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</si>
  <si>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</si>
  <si>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</si>
  <si>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</si>
  <si>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</si>
  <si>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</si>
  <si>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</si>
  <si>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</si>
  <si>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</si>
  <si>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</si>
  <si>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</si>
  <si>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</si>
  <si>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</si>
  <si>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</si>
  <si>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</si>
  <si>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</si>
  <si>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</si>
  <si>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</si>
  <si>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</si>
  <si>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</si>
  <si>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</si>
  <si>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</si>
  <si>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</si>
  <si>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</si>
  <si>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</si>
  <si>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</si>
  <si>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</si>
  <si>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</si>
  <si>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</si>
  <si>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</si>
  <si>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</si>
  <si>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</si>
  <si>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</si>
  <si>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</si>
  <si>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</si>
  <si>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</si>
  <si>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</si>
  <si>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</si>
  <si>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</si>
  <si>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</si>
  <si>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</si>
  <si>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</si>
  <si>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</si>
  <si>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</si>
  <si>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</si>
  <si>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</si>
  <si>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</si>
  <si>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</si>
  <si>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</si>
  <si>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</si>
  <si>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</si>
  <si>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</si>
  <si>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</si>
  <si>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</si>
  <si>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t>S(z) uncertainty pos ppm</t>
  </si>
  <si>
    <t>S(z) uncertainty neg ppm</t>
  </si>
  <si>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</si>
  <si>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</si>
  <si>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</si>
  <si>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</si>
  <si>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t>not reported</t>
  </si>
  <si>
    <t>Sheldon, N.D., Retallack, G.J., Tanaka, S., 2002. Geochemical climofunctions from North American soils and application to paleosols across the Eocene–Oligocene boundary in Oregon. J. Geology 110, 687–696.; Retallack, G.J., 2007. Cenozoic paleoclimate on land in North America. J. Geol. 115,
271–294.</t>
  </si>
  <si>
    <t>regression error for alkali ratio versus temperature</t>
  </si>
  <si>
    <t>1 se</t>
  </si>
  <si>
    <t>regression error for S(z) vs depth to Bk</t>
  </si>
  <si>
    <t>S(z), temperature, d13Ca, d13Cr, d13Ccc</t>
  </si>
  <si>
    <t>10.1016/j.palaeo.2009.07.011</t>
  </si>
  <si>
    <t>Paleo Latitude (decimal degree, south negative)</t>
  </si>
  <si>
    <t>Paleo Longitude (decimal degree, west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</si>
</sst>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2"/>
      <color rgb="FF000000"/>
      <name val="Arial"/>
      <family val="2"/>
    </font>
    <font>
      <sz val="11"/>
      <color rgb="FF000000"/>
      <name val="Calibri"/>
      <family val="2"/>
      <charset val="1"/>
    </font>
    <font>
      <sz val="13"/>
      <color rgb="FF222222"/>
      <name val="Arial"/>
      <family val="2"/>
    </font>
    <font>
      <sz val="12"/>
      <color rgb="FF222222"/>
      <name val="Arial"/>
      <family val="2"/>
    </font>
    <font>
      <u/>
      <sz val="12"/>
      <color theme="11"/>
      <name val="Calibri"/>
      <family val="2"/>
      <scheme val="minor"/>
    </font>
    <font>
      <u/>
      <sz val="12"/>
      <color theme="10"/>
      <name val="Calibri"/>
      <family val="2"/>
      <scheme val="minor"/>
    </font>
    <font>
      <sz val="8"/>
      <name val="Calibri"/>
      <family val="2"/>
      <scheme val="minor"/>
    </font>
    <font>
      <i/>
      <sz val="13"/>
      <color rgb="FF222222"/>
      <name val="Arial"/>
      <family val="2"/>
    </font>
    <font>
      <sz val="14"/>
      <name val="Arial"/>
      <family val="2"/>
    </font>
    <font>
      <sz val="14"/>
      <color theme="1"/>
      <name val="Arial"/>
      <family val="2"/>
    </font>
    <font>
      <sz val="11"/>
      <name val="Arial"/>
      <family val="2"/>
    </font>
    <font>
      <sz val="13"/>
      <color rgb="FF000000"/>
      <name val="Arial"/>
      <family val="2"/>
      <charset val="2"/>
    </font>
    <font>
      <sz val="12"/>
      <name val="Verdana"/>
      <family val="2"/>
    </font>
  </fonts>
  <fills count="15">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2CC"/>
        <bgColor rgb="FF000000"/>
      </patternFill>
    </fill>
    <fill>
      <patternFill patternType="solid">
        <fgColor rgb="FFEDEDED"/>
        <bgColor rgb="FF000000"/>
      </patternFill>
    </fill>
    <fill>
      <patternFill patternType="solid">
        <fgColor theme="2"/>
        <bgColor indexed="64"/>
      </patternFill>
    </fill>
    <fill>
      <patternFill patternType="solid">
        <fgColor theme="0"/>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8">
    <border>
      <left/>
      <right/>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5">
    <xf numFmtId="0" fontId="0" fillId="0" borderId="0"/>
    <xf numFmtId="0" fontId="11" fillId="0" borderId="0"/>
    <xf numFmtId="0" fontId="1" fillId="0" borderId="0"/>
    <xf numFmtId="0" fontId="14" fillId="0" borderId="0" applyNumberFormat="0" applyFill="0" applyBorder="0" applyAlignment="0" applyProtection="0"/>
    <xf numFmtId="0" fontId="15" fillId="0" borderId="0" applyNumberFormat="0" applyFill="0" applyBorder="0" applyAlignment="0" applyProtection="0"/>
  </cellStyleXfs>
  <cellXfs count="92">
    <xf numFmtId="0" fontId="0" fillId="0" borderId="0" xfId="0"/>
    <xf numFmtId="0" fontId="2" fillId="0" borderId="1" xfId="0" applyFont="1" applyFill="1" applyBorder="1" applyAlignment="1">
      <alignment wrapText="1"/>
    </xf>
    <xf numFmtId="0" fontId="3" fillId="0" borderId="2" xfId="0" applyFont="1" applyFill="1" applyBorder="1"/>
    <xf numFmtId="0" fontId="3" fillId="0" borderId="3" xfId="0" applyFont="1" applyFill="1" applyBorder="1"/>
    <xf numFmtId="0" fontId="3" fillId="0" borderId="4" xfId="0" applyFont="1" applyFill="1" applyBorder="1"/>
    <xf numFmtId="0" fontId="3" fillId="0" borderId="0" xfId="0" applyFont="1" applyFill="1"/>
    <xf numFmtId="0" fontId="3" fillId="0" borderId="5" xfId="0" applyFont="1" applyFill="1" applyBorder="1"/>
    <xf numFmtId="0" fontId="4" fillId="0" borderId="3" xfId="0" applyFont="1" applyFill="1" applyBorder="1" applyAlignment="1">
      <alignment horizontal="center" vertical="center" wrapText="1"/>
    </xf>
    <xf numFmtId="0" fontId="4" fillId="0" borderId="0" xfId="0" applyFont="1" applyBorder="1" applyAlignment="1">
      <alignment horizontal="center" vertical="center" wrapText="1"/>
    </xf>
    <xf numFmtId="0" fontId="3" fillId="4" borderId="7" xfId="0" applyFont="1" applyFill="1" applyBorder="1"/>
    <xf numFmtId="0" fontId="3" fillId="0" borderId="0" xfId="0" applyFont="1"/>
    <xf numFmtId="0" fontId="2" fillId="0" borderId="3" xfId="0" applyFont="1" applyBorder="1" applyAlignment="1">
      <alignment wrapText="1"/>
    </xf>
    <xf numFmtId="0" fontId="3" fillId="2" borderId="5" xfId="0" applyFont="1" applyFill="1" applyBorder="1"/>
    <xf numFmtId="0" fontId="3" fillId="3" borderId="5" xfId="0" applyFont="1" applyFill="1" applyBorder="1"/>
    <xf numFmtId="0" fontId="3" fillId="4" borderId="5" xfId="0" applyFont="1" applyFill="1" applyBorder="1"/>
    <xf numFmtId="0" fontId="3" fillId="5" borderId="5" xfId="0" applyFont="1" applyFill="1" applyBorder="1"/>
    <xf numFmtId="0" fontId="3" fillId="6" borderId="5" xfId="0" applyFont="1" applyFill="1" applyBorder="1"/>
    <xf numFmtId="0" fontId="2" fillId="0" borderId="6" xfId="0" applyFont="1" applyBorder="1" applyAlignment="1"/>
    <xf numFmtId="0" fontId="3" fillId="3" borderId="7" xfId="0" applyFont="1" applyFill="1" applyBorder="1" applyAlignment="1">
      <alignment horizontal="center"/>
    </xf>
    <xf numFmtId="0" fontId="3" fillId="4" borderId="7" xfId="0" applyFont="1" applyFill="1" applyBorder="1" applyAlignment="1">
      <alignment horizontal="center"/>
    </xf>
    <xf numFmtId="0" fontId="10" fillId="7" borderId="7" xfId="0" applyFont="1" applyFill="1" applyBorder="1" applyAlignment="1">
      <alignment horizontal="center"/>
    </xf>
    <xf numFmtId="0" fontId="3" fillId="5" borderId="7" xfId="0" applyFont="1" applyFill="1" applyBorder="1" applyAlignment="1">
      <alignment horizontal="center"/>
    </xf>
    <xf numFmtId="0" fontId="3" fillId="6" borderId="7" xfId="0" applyFont="1" applyFill="1" applyBorder="1" applyAlignment="1">
      <alignment horizontal="center"/>
    </xf>
    <xf numFmtId="0" fontId="3" fillId="3" borderId="5" xfId="0" applyFont="1" applyFill="1" applyBorder="1" applyAlignment="1">
      <alignment horizontal="center"/>
    </xf>
    <xf numFmtId="0" fontId="3" fillId="2" borderId="7" xfId="0" applyFont="1" applyFill="1" applyBorder="1" applyAlignment="1">
      <alignment horizontal="center"/>
    </xf>
    <xf numFmtId="164" fontId="3" fillId="3" borderId="7" xfId="0" applyNumberFormat="1" applyFont="1" applyFill="1" applyBorder="1" applyAlignment="1">
      <alignment horizontal="center"/>
    </xf>
    <xf numFmtId="164" fontId="3" fillId="3" borderId="5" xfId="0" applyNumberFormat="1" applyFont="1" applyFill="1" applyBorder="1" applyAlignment="1">
      <alignment horizontal="center"/>
    </xf>
    <xf numFmtId="0" fontId="10" fillId="2" borderId="7" xfId="0" applyFont="1" applyFill="1" applyBorder="1" applyAlignment="1">
      <alignment horizontal="center"/>
    </xf>
    <xf numFmtId="0" fontId="10" fillId="8" borderId="7" xfId="0" applyFont="1" applyFill="1" applyBorder="1" applyAlignment="1">
      <alignment horizontal="center"/>
    </xf>
    <xf numFmtId="1" fontId="3" fillId="0" borderId="7" xfId="0" applyNumberFormat="1" applyFont="1" applyFill="1" applyBorder="1"/>
    <xf numFmtId="0" fontId="3" fillId="0" borderId="5" xfId="0" applyFont="1" applyBorder="1"/>
    <xf numFmtId="0" fontId="3" fillId="0" borderId="7" xfId="0" applyFont="1" applyFill="1" applyBorder="1" applyAlignment="1">
      <alignment horizontal="center"/>
    </xf>
    <xf numFmtId="0" fontId="3" fillId="0" borderId="5" xfId="0" applyFont="1" applyBorder="1" applyAlignment="1">
      <alignment horizontal="center"/>
    </xf>
    <xf numFmtId="0" fontId="1" fillId="0" borderId="6" xfId="4" applyFont="1" applyBorder="1" applyAlignment="1"/>
    <xf numFmtId="0" fontId="3" fillId="0" borderId="5" xfId="4" applyFont="1" applyBorder="1"/>
    <xf numFmtId="0" fontId="2" fillId="0" borderId="5" xfId="0" applyFont="1" applyBorder="1" applyAlignment="1">
      <alignment wrapText="1"/>
    </xf>
    <xf numFmtId="0" fontId="13" fillId="4" borderId="5" xfId="0" applyFont="1" applyFill="1" applyBorder="1" applyAlignment="1">
      <alignment horizontal="left"/>
    </xf>
    <xf numFmtId="0" fontId="13" fillId="4" borderId="5" xfId="0" applyFont="1" applyFill="1" applyBorder="1"/>
    <xf numFmtId="0" fontId="3" fillId="4" borderId="7" xfId="0" applyFont="1" applyFill="1" applyBorder="1" applyAlignment="1">
      <alignment horizontal="left"/>
    </xf>
    <xf numFmtId="0" fontId="12" fillId="0" borderId="5" xfId="0" applyFont="1" applyBorder="1"/>
    <xf numFmtId="0" fontId="12" fillId="9" borderId="5" xfId="0" applyFont="1" applyFill="1" applyBorder="1" applyAlignment="1">
      <alignment horizontal="left"/>
    </xf>
    <xf numFmtId="164" fontId="3" fillId="3" borderId="7" xfId="0" applyNumberFormat="1" applyFont="1" applyFill="1" applyBorder="1" applyAlignment="1">
      <alignment horizontal="left"/>
    </xf>
    <xf numFmtId="0" fontId="12" fillId="0" borderId="3" xfId="0" applyFont="1" applyBorder="1" applyAlignment="1">
      <alignment horizontal="left"/>
    </xf>
    <xf numFmtId="0" fontId="12" fillId="0" borderId="5" xfId="0" applyFont="1" applyBorder="1" applyAlignment="1">
      <alignment horizontal="left"/>
    </xf>
    <xf numFmtId="0" fontId="2" fillId="0" borderId="3" xfId="0" applyFont="1" applyBorder="1" applyAlignment="1"/>
    <xf numFmtId="164" fontId="3" fillId="4" borderId="7" xfId="0" applyNumberFormat="1" applyFont="1" applyFill="1" applyBorder="1" applyAlignment="1">
      <alignment horizontal="center"/>
    </xf>
    <xf numFmtId="0" fontId="3" fillId="5" borderId="7" xfId="0" applyFont="1" applyFill="1" applyBorder="1" applyAlignment="1">
      <alignment horizontal="left"/>
    </xf>
    <xf numFmtId="1" fontId="3" fillId="4" borderId="7" xfId="0" applyNumberFormat="1" applyFont="1" applyFill="1" applyBorder="1" applyAlignment="1">
      <alignment horizontal="center"/>
    </xf>
    <xf numFmtId="0" fontId="3" fillId="0" borderId="7" xfId="0" applyFont="1" applyBorder="1"/>
    <xf numFmtId="0" fontId="3" fillId="0" borderId="7" xfId="0" applyFont="1" applyBorder="1" applyAlignment="1">
      <alignment horizontal="center"/>
    </xf>
    <xf numFmtId="0" fontId="3" fillId="0" borderId="5" xfId="0" applyFont="1" applyBorder="1" applyAlignment="1">
      <alignment vertical="center"/>
    </xf>
    <xf numFmtId="0" fontId="3" fillId="0" borderId="5" xfId="0" applyFont="1" applyBorder="1" applyAlignment="1">
      <alignment vertical="center" wrapText="1"/>
    </xf>
    <xf numFmtId="49" fontId="18" fillId="0" borderId="4" xfId="0" applyNumberFormat="1" applyFont="1" applyBorder="1" applyAlignment="1">
      <alignment vertical="center" wrapText="1"/>
    </xf>
    <xf numFmtId="49" fontId="18" fillId="0" borderId="2" xfId="0" applyNumberFormat="1" applyFont="1" applyBorder="1" applyAlignment="1">
      <alignment vertical="center" wrapText="1"/>
    </xf>
    <xf numFmtId="0" fontId="19" fillId="10" borderId="2" xfId="0" applyFont="1" applyFill="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4" xfId="0" applyFont="1" applyBorder="1" applyAlignment="1">
      <alignment vertical="center" wrapText="1"/>
    </xf>
    <xf numFmtId="0" fontId="6" fillId="2" borderId="5" xfId="0" applyFont="1" applyFill="1" applyBorder="1" applyAlignment="1">
      <alignment vertical="center" wrapText="1"/>
    </xf>
    <xf numFmtId="0" fontId="20" fillId="11" borderId="5" xfId="0" applyFont="1" applyFill="1" applyBorder="1" applyAlignment="1">
      <alignment vertical="center" wrapText="1"/>
    </xf>
    <xf numFmtId="0" fontId="6" fillId="3" borderId="5" xfId="0" applyFont="1" applyFill="1" applyBorder="1" applyAlignment="1">
      <alignment vertical="center" wrapText="1"/>
    </xf>
    <xf numFmtId="0" fontId="6" fillId="4" borderId="5" xfId="0" applyFont="1" applyFill="1" applyBorder="1" applyAlignment="1">
      <alignment vertical="center" wrapText="1"/>
    </xf>
    <xf numFmtId="0" fontId="6" fillId="5" borderId="5" xfId="0" applyFont="1" applyFill="1" applyBorder="1" applyAlignment="1">
      <alignment vertical="center" wrapText="1"/>
    </xf>
    <xf numFmtId="0" fontId="10" fillId="9" borderId="7" xfId="0" applyFont="1" applyFill="1" applyBorder="1" applyAlignment="1">
      <alignment horizontal="center"/>
    </xf>
    <xf numFmtId="0" fontId="4" fillId="4" borderId="2" xfId="0" applyFont="1" applyFill="1" applyBorder="1" applyAlignment="1">
      <alignment horizontal="center" vertical="center" wrapText="1"/>
    </xf>
    <xf numFmtId="0" fontId="3" fillId="0" borderId="0" xfId="0" applyFont="1" applyFill="1" applyBorder="1"/>
    <xf numFmtId="0" fontId="21" fillId="12" borderId="5" xfId="0" applyFont="1" applyFill="1" applyBorder="1" applyAlignment="1">
      <alignment vertical="center" wrapText="1"/>
    </xf>
    <xf numFmtId="0" fontId="6" fillId="12" borderId="5" xfId="0" applyFont="1" applyFill="1" applyBorder="1" applyAlignment="1">
      <alignment vertical="center" wrapText="1"/>
    </xf>
    <xf numFmtId="164" fontId="21" fillId="13" borderId="5" xfId="0" applyNumberFormat="1" applyFont="1" applyFill="1" applyBorder="1" applyAlignment="1">
      <alignment vertical="center" wrapText="1"/>
    </xf>
    <xf numFmtId="0" fontId="6" fillId="13" borderId="5" xfId="0" applyFont="1" applyFill="1" applyBorder="1" applyAlignment="1">
      <alignment vertical="center" wrapText="1"/>
    </xf>
    <xf numFmtId="0" fontId="21" fillId="13" borderId="5" xfId="0" applyFont="1" applyFill="1" applyBorder="1" applyAlignment="1">
      <alignment vertical="center" wrapText="1"/>
    </xf>
    <xf numFmtId="0" fontId="6" fillId="6" borderId="5" xfId="0" applyFont="1" applyFill="1" applyBorder="1" applyAlignment="1">
      <alignment vertical="center" wrapText="1"/>
    </xf>
    <xf numFmtId="0" fontId="6" fillId="14" borderId="5" xfId="0" applyFont="1" applyFill="1" applyBorder="1" applyAlignment="1">
      <alignment vertical="center" wrapText="1"/>
    </xf>
    <xf numFmtId="0" fontId="6" fillId="0" borderId="5" xfId="0" applyFont="1" applyBorder="1" applyAlignment="1">
      <alignment horizontal="center" vertical="center" wrapText="1"/>
    </xf>
    <xf numFmtId="0" fontId="3" fillId="6" borderId="7" xfId="0" applyFont="1" applyFill="1" applyBorder="1" applyAlignment="1">
      <alignment horizontal="left"/>
    </xf>
    <xf numFmtId="0" fontId="4" fillId="4" borderId="2" xfId="0" applyFont="1" applyFill="1" applyBorder="1" applyAlignment="1">
      <alignment horizontal="center" vertical="center" wrapText="1"/>
    </xf>
    <xf numFmtId="1" fontId="3" fillId="0" borderId="5" xfId="0" applyNumberFormat="1" applyFont="1" applyFill="1" applyBorder="1" applyAlignment="1">
      <alignment vertical="center"/>
    </xf>
    <xf numFmtId="0" fontId="3" fillId="0" borderId="5" xfId="0" quotePrefix="1" applyFont="1" applyFill="1" applyBorder="1" applyAlignment="1">
      <alignment vertical="center" wrapText="1"/>
    </xf>
    <xf numFmtId="0" fontId="3" fillId="0" borderId="5" xfId="0" applyFont="1" applyFill="1" applyBorder="1" applyAlignment="1">
      <alignment vertical="center" wrapText="1"/>
    </xf>
    <xf numFmtId="0" fontId="21" fillId="14" borderId="5" xfId="0" applyFont="1" applyFill="1" applyBorder="1" applyAlignment="1">
      <alignment vertical="center" wrapText="1"/>
    </xf>
    <xf numFmtId="0" fontId="4" fillId="6" borderId="4" xfId="0" applyFont="1" applyFill="1" applyBorder="1" applyAlignment="1">
      <alignment horizontal="center" vertical="center" wrapText="1"/>
    </xf>
    <xf numFmtId="0" fontId="0" fillId="0" borderId="2" xfId="0" applyBorder="1" applyAlignment="1">
      <alignment horizontal="center" vertical="center" wrapText="1"/>
    </xf>
    <xf numFmtId="0" fontId="4" fillId="0" borderId="1" xfId="0" applyFont="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22" fillId="9" borderId="5" xfId="0" applyFont="1" applyFill="1" applyBorder="1" applyAlignment="1">
      <alignment horizontal="center" vertical="center" wrapText="1"/>
    </xf>
    <xf numFmtId="164" fontId="10" fillId="2" borderId="7" xfId="0" applyNumberFormat="1" applyFont="1" applyFill="1" applyBorder="1" applyAlignment="1">
      <alignment horizontal="center"/>
    </xf>
  </cellXfs>
  <cellStyles count="5">
    <cellStyle name="Followed Hyperlink" xfId="3" builtinId="9" hidden="1"/>
    <cellStyle name="Hyperlink" xfId="4" builtinId="8"/>
    <cellStyle name="Normal" xfId="0" builtinId="0"/>
    <cellStyle name="Normal 3" xfId="1" xr:uid="{00000000-0005-0000-0000-000002000000}"/>
    <cellStyle name="Normal 4" xfId="2" xr:uid="{00000000-0005-0000-0000-000003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breecker@jsg.utexas.edu" TargetMode="External"/><Relationship Id="rId13" Type="http://schemas.openxmlformats.org/officeDocument/2006/relationships/hyperlink" Target="http://dx.doi.org/10.1038/358319a0" TargetMode="External"/><Relationship Id="rId18" Type="http://schemas.openxmlformats.org/officeDocument/2006/relationships/hyperlink" Target="http://dx.doi.org/10.1038/358319a0" TargetMode="External"/><Relationship Id="rId3" Type="http://schemas.openxmlformats.org/officeDocument/2006/relationships/hyperlink" Target="mailto:breecker@jsg.utexas.edu" TargetMode="External"/><Relationship Id="rId7" Type="http://schemas.openxmlformats.org/officeDocument/2006/relationships/hyperlink" Target="mailto:breecker@jsg.utexas.edu" TargetMode="External"/><Relationship Id="rId12" Type="http://schemas.openxmlformats.org/officeDocument/2006/relationships/hyperlink" Target="http://dx.doi.org/10.1038/358319a0" TargetMode="External"/><Relationship Id="rId17" Type="http://schemas.openxmlformats.org/officeDocument/2006/relationships/hyperlink" Target="http://dx.doi.org/10.1038/358319a0" TargetMode="External"/><Relationship Id="rId2" Type="http://schemas.openxmlformats.org/officeDocument/2006/relationships/hyperlink" Target="mailto:breecker@jsg.utexas.edu" TargetMode="External"/><Relationship Id="rId16" Type="http://schemas.openxmlformats.org/officeDocument/2006/relationships/hyperlink" Target="http://dx.doi.org/10.1038/358319a0" TargetMode="External"/><Relationship Id="rId1" Type="http://schemas.openxmlformats.org/officeDocument/2006/relationships/hyperlink" Target="mailto:breecker@jsg.utexas.edu" TargetMode="External"/><Relationship Id="rId6" Type="http://schemas.openxmlformats.org/officeDocument/2006/relationships/hyperlink" Target="mailto:breecker@jsg.utexas.edu" TargetMode="External"/><Relationship Id="rId11" Type="http://schemas.openxmlformats.org/officeDocument/2006/relationships/hyperlink" Target="http://dx.doi.org/10.1038/358319a0" TargetMode="External"/><Relationship Id="rId5" Type="http://schemas.openxmlformats.org/officeDocument/2006/relationships/hyperlink" Target="mailto:breecker@jsg.utexas.edu" TargetMode="External"/><Relationship Id="rId15" Type="http://schemas.openxmlformats.org/officeDocument/2006/relationships/hyperlink" Target="http://dx.doi.org/10.1038/358319a0" TargetMode="External"/><Relationship Id="rId10" Type="http://schemas.openxmlformats.org/officeDocument/2006/relationships/hyperlink" Target="http://dx.doi.org/10.1038/358319a0" TargetMode="External"/><Relationship Id="rId4" Type="http://schemas.openxmlformats.org/officeDocument/2006/relationships/hyperlink" Target="mailto:breecker@jsg.utexas.edu" TargetMode="External"/><Relationship Id="rId9" Type="http://schemas.openxmlformats.org/officeDocument/2006/relationships/hyperlink" Target="mailto:breecker@jsg.utexas.edu" TargetMode="External"/><Relationship Id="rId14" Type="http://schemas.openxmlformats.org/officeDocument/2006/relationships/hyperlink" Target="http://dx.doi.org/10.1038/358319a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D34"/>
  <sheetViews>
    <sheetView tabSelected="1" topLeftCell="P1" zoomScaleNormal="100" workbookViewId="0">
      <selection activeCell="U13" sqref="U13:V14"/>
    </sheetView>
  </sheetViews>
  <sheetFormatPr baseColWidth="10" defaultColWidth="17.33203125" defaultRowHeight="17"/>
  <cols>
    <col min="1" max="10" width="17.33203125" style="10"/>
    <col min="11" max="11" width="17.33203125" style="11"/>
    <col min="12" max="12" width="21.6640625" style="11" customWidth="1"/>
    <col min="13" max="15" width="17.33203125" style="11"/>
    <col min="16" max="16" width="22.33203125" style="11" customWidth="1"/>
    <col min="17" max="17" width="17.33203125" style="12"/>
    <col min="18" max="18" width="26.5" style="12" customWidth="1"/>
    <col min="19" max="27" width="17.33203125" style="12"/>
    <col min="28" max="75" width="17.33203125" style="13"/>
    <col min="76" max="92" width="17.33203125" style="14"/>
    <col min="93" max="93" width="18.6640625" style="14" customWidth="1"/>
    <col min="94" max="110" width="17.33203125" style="14"/>
    <col min="111" max="124" width="17.33203125" style="15"/>
    <col min="125" max="133" width="17.33203125" style="16"/>
    <col min="134" max="134" width="17.33203125" style="6"/>
    <col min="135" max="16384" width="17.33203125" style="10"/>
  </cols>
  <sheetData>
    <row r="1" spans="1:134">
      <c r="A1" s="5"/>
      <c r="B1" s="5"/>
      <c r="C1" s="5"/>
      <c r="D1" s="5"/>
      <c r="E1" s="5"/>
      <c r="F1" s="5"/>
      <c r="G1" s="5"/>
      <c r="H1" s="5"/>
      <c r="I1" s="5"/>
      <c r="J1" s="5"/>
      <c r="K1" s="1"/>
      <c r="L1" s="1"/>
      <c r="M1" s="1"/>
      <c r="N1" s="1"/>
      <c r="O1" s="1"/>
      <c r="P1" s="1"/>
      <c r="Q1" s="2"/>
      <c r="R1" s="2"/>
      <c r="S1" s="2"/>
      <c r="T1" s="2"/>
      <c r="U1" s="2"/>
      <c r="V1" s="2"/>
      <c r="W1" s="2"/>
      <c r="X1" s="2"/>
      <c r="Y1" s="2"/>
      <c r="Z1" s="2"/>
      <c r="AA1" s="3"/>
      <c r="AB1" s="4"/>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4"/>
      <c r="BY1" s="2"/>
      <c r="BZ1" s="2"/>
      <c r="CA1" s="2"/>
      <c r="CB1" s="2"/>
      <c r="CC1" s="2"/>
      <c r="CD1" s="2"/>
      <c r="CE1" s="2"/>
      <c r="CF1" s="2"/>
      <c r="CG1" s="2"/>
      <c r="CH1" s="2"/>
      <c r="CI1" s="2"/>
      <c r="CJ1" s="2"/>
      <c r="CK1" s="2"/>
      <c r="CL1" s="2"/>
      <c r="CM1" s="65"/>
      <c r="CN1" s="65"/>
      <c r="CO1" s="5"/>
      <c r="CP1" s="2"/>
      <c r="CQ1" s="2"/>
      <c r="CR1" s="2"/>
      <c r="CS1" s="2"/>
      <c r="CT1" s="2"/>
      <c r="CU1" s="2"/>
      <c r="CV1" s="2"/>
      <c r="CW1" s="2"/>
      <c r="CX1" s="2"/>
      <c r="CY1" s="2"/>
      <c r="CZ1" s="2"/>
      <c r="DA1" s="2"/>
      <c r="DB1" s="2"/>
      <c r="DC1" s="2"/>
      <c r="DD1" s="2"/>
      <c r="DE1" s="2"/>
      <c r="DF1" s="2"/>
      <c r="DG1" s="6"/>
      <c r="DH1" s="6"/>
      <c r="DI1" s="6"/>
      <c r="DJ1" s="6"/>
      <c r="DK1" s="6"/>
      <c r="DL1" s="6"/>
      <c r="DM1" s="6"/>
      <c r="DN1" s="6"/>
      <c r="DO1" s="6"/>
      <c r="DP1" s="6"/>
      <c r="DQ1" s="6"/>
      <c r="DR1" s="6"/>
      <c r="DS1" s="6"/>
      <c r="DT1" s="6"/>
      <c r="DU1" s="4"/>
      <c r="DV1" s="2"/>
      <c r="DW1" s="2"/>
      <c r="DX1" s="2"/>
      <c r="DY1" s="2"/>
      <c r="DZ1" s="2"/>
      <c r="EA1" s="2"/>
      <c r="EB1" s="2"/>
      <c r="EC1" s="2"/>
      <c r="ED1" s="3"/>
    </row>
    <row r="2" spans="1:134" ht="23">
      <c r="A2" s="8"/>
      <c r="B2" s="8"/>
      <c r="C2" s="8"/>
      <c r="D2" s="8"/>
      <c r="E2" s="8"/>
      <c r="F2" s="8"/>
      <c r="G2" s="8"/>
      <c r="H2" s="8"/>
      <c r="I2" s="8"/>
      <c r="J2" s="8"/>
      <c r="K2" s="82" t="s">
        <v>0</v>
      </c>
      <c r="L2" s="82"/>
      <c r="M2" s="82"/>
      <c r="N2" s="82"/>
      <c r="O2" s="82"/>
      <c r="P2" s="82"/>
      <c r="Q2" s="83" t="s">
        <v>1</v>
      </c>
      <c r="R2" s="83"/>
      <c r="S2" s="83"/>
      <c r="T2" s="83"/>
      <c r="U2" s="83"/>
      <c r="V2" s="83"/>
      <c r="W2" s="83"/>
      <c r="X2" s="83"/>
      <c r="Y2" s="83"/>
      <c r="Z2" s="83"/>
      <c r="AA2" s="84"/>
      <c r="AB2" s="85" t="s">
        <v>2</v>
      </c>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c r="BF2" s="86"/>
      <c r="BG2" s="86"/>
      <c r="BH2" s="86"/>
      <c r="BI2" s="86"/>
      <c r="BJ2" s="86"/>
      <c r="BK2" s="86"/>
      <c r="BL2" s="86"/>
      <c r="BM2" s="86"/>
      <c r="BN2" s="86"/>
      <c r="BO2" s="86"/>
      <c r="BP2" s="86"/>
      <c r="BQ2" s="86"/>
      <c r="BR2" s="86"/>
      <c r="BS2" s="86"/>
      <c r="BT2" s="86"/>
      <c r="BU2" s="86"/>
      <c r="BV2" s="86"/>
      <c r="BW2" s="86"/>
      <c r="BX2" s="87" t="s">
        <v>3</v>
      </c>
      <c r="BY2" s="88"/>
      <c r="BZ2" s="88"/>
      <c r="CA2" s="88"/>
      <c r="CB2" s="88"/>
      <c r="CC2" s="88"/>
      <c r="CD2" s="88"/>
      <c r="CE2" s="88"/>
      <c r="CF2" s="88"/>
      <c r="CG2" s="88"/>
      <c r="CH2" s="88"/>
      <c r="CI2" s="88"/>
      <c r="CJ2" s="88"/>
      <c r="CK2" s="88"/>
      <c r="CL2" s="88"/>
      <c r="CM2" s="88"/>
      <c r="CN2" s="88"/>
      <c r="CO2" s="88"/>
      <c r="CP2" s="88"/>
      <c r="CQ2" s="88"/>
      <c r="CR2" s="88"/>
      <c r="CS2" s="88"/>
      <c r="CT2" s="88"/>
      <c r="CU2" s="88"/>
      <c r="CV2" s="88"/>
      <c r="CW2" s="88"/>
      <c r="CX2" s="88"/>
      <c r="CY2" s="88"/>
      <c r="CZ2" s="88"/>
      <c r="DA2" s="88"/>
      <c r="DB2" s="88"/>
      <c r="DC2" s="88"/>
      <c r="DD2" s="75"/>
      <c r="DE2" s="64"/>
      <c r="DF2" s="64"/>
      <c r="DG2" s="89" t="s">
        <v>4</v>
      </c>
      <c r="DH2" s="89"/>
      <c r="DI2" s="89"/>
      <c r="DJ2" s="89"/>
      <c r="DK2" s="89"/>
      <c r="DL2" s="89"/>
      <c r="DM2" s="89"/>
      <c r="DN2" s="89"/>
      <c r="DO2" s="89"/>
      <c r="DP2" s="89"/>
      <c r="DQ2" s="89"/>
      <c r="DR2" s="89"/>
      <c r="DS2" s="89"/>
      <c r="DT2" s="89"/>
      <c r="DU2" s="80" t="s">
        <v>5</v>
      </c>
      <c r="DV2" s="81"/>
      <c r="DW2" s="81"/>
      <c r="DX2" s="81"/>
      <c r="DY2" s="81"/>
      <c r="DZ2" s="81"/>
      <c r="EA2" s="81"/>
      <c r="EB2" s="81"/>
      <c r="EC2" s="81"/>
      <c r="ED2" s="7"/>
    </row>
    <row r="3" spans="1:134" ht="90">
      <c r="A3" s="50" t="s">
        <v>41</v>
      </c>
      <c r="B3" s="51" t="s">
        <v>42</v>
      </c>
      <c r="C3" s="51" t="s">
        <v>43</v>
      </c>
      <c r="D3" s="50" t="s">
        <v>44</v>
      </c>
      <c r="E3" s="76" t="s">
        <v>45</v>
      </c>
      <c r="F3" s="77" t="s">
        <v>46</v>
      </c>
      <c r="G3" s="77" t="s">
        <v>47</v>
      </c>
      <c r="H3" s="78" t="s">
        <v>77</v>
      </c>
      <c r="I3" s="77" t="s">
        <v>76</v>
      </c>
      <c r="J3" s="77" t="s">
        <v>80</v>
      </c>
      <c r="K3" s="52" t="s">
        <v>81</v>
      </c>
      <c r="L3" s="53" t="s">
        <v>82</v>
      </c>
      <c r="M3" s="54" t="s">
        <v>83</v>
      </c>
      <c r="N3" s="56" t="s">
        <v>139</v>
      </c>
      <c r="O3" s="57" t="s">
        <v>37</v>
      </c>
      <c r="P3" s="55" t="s">
        <v>38</v>
      </c>
      <c r="Q3" s="58" t="s">
        <v>6</v>
      </c>
      <c r="R3" s="58" t="s">
        <v>7</v>
      </c>
      <c r="S3" s="59" t="s">
        <v>84</v>
      </c>
      <c r="T3" s="58" t="s">
        <v>85</v>
      </c>
      <c r="U3" s="90" t="s">
        <v>165</v>
      </c>
      <c r="V3" s="90" t="s">
        <v>166</v>
      </c>
      <c r="W3" s="58" t="s">
        <v>86</v>
      </c>
      <c r="X3" s="58" t="s">
        <v>87</v>
      </c>
      <c r="Y3" s="58" t="s">
        <v>88</v>
      </c>
      <c r="Z3" s="58" t="s">
        <v>89</v>
      </c>
      <c r="AA3" s="58" t="s">
        <v>8</v>
      </c>
      <c r="AB3" s="66" t="s">
        <v>90</v>
      </c>
      <c r="AC3" s="66" t="s">
        <v>91</v>
      </c>
      <c r="AD3" s="67" t="s">
        <v>9</v>
      </c>
      <c r="AE3" s="67" t="s">
        <v>10</v>
      </c>
      <c r="AF3" s="66" t="s">
        <v>92</v>
      </c>
      <c r="AG3" s="66" t="s">
        <v>93</v>
      </c>
      <c r="AH3" s="67" t="s">
        <v>11</v>
      </c>
      <c r="AI3" s="66" t="s">
        <v>94</v>
      </c>
      <c r="AJ3" s="66" t="s">
        <v>95</v>
      </c>
      <c r="AK3" s="67" t="s">
        <v>12</v>
      </c>
      <c r="AL3" s="67" t="s">
        <v>13</v>
      </c>
      <c r="AM3" s="66" t="s">
        <v>96</v>
      </c>
      <c r="AN3" s="66" t="s">
        <v>140</v>
      </c>
      <c r="AO3" s="60" t="s">
        <v>141</v>
      </c>
      <c r="AP3" s="67" t="s">
        <v>48</v>
      </c>
      <c r="AQ3" s="66" t="s">
        <v>154</v>
      </c>
      <c r="AR3" s="66" t="s">
        <v>155</v>
      </c>
      <c r="AS3" s="67" t="s">
        <v>156</v>
      </c>
      <c r="AT3" s="67" t="s">
        <v>157</v>
      </c>
      <c r="AU3" s="66" t="s">
        <v>97</v>
      </c>
      <c r="AV3" s="66" t="s">
        <v>98</v>
      </c>
      <c r="AW3" s="67" t="s">
        <v>14</v>
      </c>
      <c r="AX3" s="67" t="s">
        <v>15</v>
      </c>
      <c r="AY3" s="60" t="s">
        <v>99</v>
      </c>
      <c r="AZ3" s="60" t="s">
        <v>100</v>
      </c>
      <c r="BA3" s="60" t="s">
        <v>101</v>
      </c>
      <c r="BB3" s="60" t="s">
        <v>102</v>
      </c>
      <c r="BC3" s="60" t="s">
        <v>103</v>
      </c>
      <c r="BD3" s="60" t="s">
        <v>104</v>
      </c>
      <c r="BE3" s="60" t="s">
        <v>105</v>
      </c>
      <c r="BF3" s="60" t="s">
        <v>106</v>
      </c>
      <c r="BG3" s="60" t="s">
        <v>107</v>
      </c>
      <c r="BH3" s="60" t="s">
        <v>108</v>
      </c>
      <c r="BI3" s="60" t="s">
        <v>109</v>
      </c>
      <c r="BJ3" s="60" t="s">
        <v>110</v>
      </c>
      <c r="BK3" s="60" t="s">
        <v>111</v>
      </c>
      <c r="BL3" s="60" t="s">
        <v>112</v>
      </c>
      <c r="BM3" s="60" t="s">
        <v>113</v>
      </c>
      <c r="BN3" s="60" t="s">
        <v>114</v>
      </c>
      <c r="BO3" s="60" t="s">
        <v>115</v>
      </c>
      <c r="BP3" s="60" t="s">
        <v>116</v>
      </c>
      <c r="BQ3" s="60" t="s">
        <v>117</v>
      </c>
      <c r="BR3" s="60" t="s">
        <v>118</v>
      </c>
      <c r="BS3" s="60" t="s">
        <v>119</v>
      </c>
      <c r="BT3" s="60" t="s">
        <v>120</v>
      </c>
      <c r="BU3" s="60" t="s">
        <v>121</v>
      </c>
      <c r="BV3" s="60" t="s">
        <v>122</v>
      </c>
      <c r="BW3" s="60" t="s">
        <v>16</v>
      </c>
      <c r="BX3" s="68" t="s">
        <v>123</v>
      </c>
      <c r="BY3" s="69" t="s">
        <v>17</v>
      </c>
      <c r="BZ3" s="69" t="s">
        <v>18</v>
      </c>
      <c r="CA3" s="70" t="s">
        <v>142</v>
      </c>
      <c r="CB3" s="70" t="s">
        <v>143</v>
      </c>
      <c r="CC3" s="70" t="s">
        <v>144</v>
      </c>
      <c r="CD3" s="68" t="s">
        <v>124</v>
      </c>
      <c r="CE3" s="69" t="s">
        <v>19</v>
      </c>
      <c r="CF3" s="69" t="s">
        <v>20</v>
      </c>
      <c r="CG3" s="69" t="s">
        <v>21</v>
      </c>
      <c r="CH3" s="70" t="s">
        <v>143</v>
      </c>
      <c r="CI3" s="70" t="s">
        <v>144</v>
      </c>
      <c r="CJ3" s="61" t="s">
        <v>125</v>
      </c>
      <c r="CK3" s="61" t="s">
        <v>22</v>
      </c>
      <c r="CL3" s="61" t="s">
        <v>145</v>
      </c>
      <c r="CM3" s="70" t="s">
        <v>143</v>
      </c>
      <c r="CN3" s="70" t="s">
        <v>144</v>
      </c>
      <c r="CO3" s="69" t="s">
        <v>23</v>
      </c>
      <c r="CP3" s="61" t="s">
        <v>24</v>
      </c>
      <c r="CQ3" s="70" t="s">
        <v>126</v>
      </c>
      <c r="CR3" s="69" t="s">
        <v>25</v>
      </c>
      <c r="CS3" s="69" t="s">
        <v>26</v>
      </c>
      <c r="CT3" s="61" t="s">
        <v>127</v>
      </c>
      <c r="CU3" s="61" t="s">
        <v>128</v>
      </c>
      <c r="CV3" s="61" t="s">
        <v>27</v>
      </c>
      <c r="CW3" s="61" t="s">
        <v>129</v>
      </c>
      <c r="CX3" s="70" t="s">
        <v>143</v>
      </c>
      <c r="CY3" s="70" t="s">
        <v>144</v>
      </c>
      <c r="CZ3" s="61" t="s">
        <v>28</v>
      </c>
      <c r="DA3" s="61" t="s">
        <v>146</v>
      </c>
      <c r="DB3" s="61" t="s">
        <v>29</v>
      </c>
      <c r="DC3" s="61" t="s">
        <v>152</v>
      </c>
      <c r="DD3" s="61" t="s">
        <v>153</v>
      </c>
      <c r="DE3" s="70" t="s">
        <v>143</v>
      </c>
      <c r="DF3" s="70" t="s">
        <v>144</v>
      </c>
      <c r="DG3" s="62" t="s">
        <v>130</v>
      </c>
      <c r="DH3" s="62" t="s">
        <v>31</v>
      </c>
      <c r="DI3" s="62" t="s">
        <v>131</v>
      </c>
      <c r="DJ3" s="62" t="s">
        <v>132</v>
      </c>
      <c r="DK3" s="62" t="s">
        <v>32</v>
      </c>
      <c r="DL3" s="62" t="s">
        <v>133</v>
      </c>
      <c r="DM3" s="62" t="s">
        <v>134</v>
      </c>
      <c r="DN3" s="62" t="s">
        <v>30</v>
      </c>
      <c r="DO3" s="62" t="s">
        <v>33</v>
      </c>
      <c r="DP3" s="62" t="s">
        <v>34</v>
      </c>
      <c r="DQ3" s="62" t="s">
        <v>35</v>
      </c>
      <c r="DR3" s="62" t="s">
        <v>36</v>
      </c>
      <c r="DS3" s="62" t="s">
        <v>135</v>
      </c>
      <c r="DT3" s="62" t="s">
        <v>136</v>
      </c>
      <c r="DU3" s="72" t="s">
        <v>137</v>
      </c>
      <c r="DV3" s="72" t="s">
        <v>138</v>
      </c>
      <c r="DW3" s="72" t="s">
        <v>150</v>
      </c>
      <c r="DX3" s="72" t="s">
        <v>151</v>
      </c>
      <c r="DY3" s="71" t="s">
        <v>39</v>
      </c>
      <c r="DZ3" s="71" t="s">
        <v>40</v>
      </c>
      <c r="EA3" s="79" t="s">
        <v>144</v>
      </c>
      <c r="EB3" s="72" t="s">
        <v>147</v>
      </c>
      <c r="EC3" s="72" t="s">
        <v>148</v>
      </c>
      <c r="ED3" s="73" t="s">
        <v>149</v>
      </c>
    </row>
    <row r="4" spans="1:134">
      <c r="A4" s="48" t="s">
        <v>79</v>
      </c>
      <c r="B4" s="48" t="s">
        <v>56</v>
      </c>
      <c r="C4" s="48">
        <v>2009</v>
      </c>
      <c r="D4" s="48" t="s">
        <v>57</v>
      </c>
      <c r="E4" s="48">
        <f>X4*1000</f>
        <v>12800</v>
      </c>
      <c r="F4" s="49" t="s">
        <v>78</v>
      </c>
      <c r="G4" s="49" t="s">
        <v>78</v>
      </c>
      <c r="H4" s="31">
        <v>433</v>
      </c>
      <c r="I4" s="31">
        <v>128</v>
      </c>
      <c r="J4" s="31">
        <v>128</v>
      </c>
      <c r="K4" s="17" t="s">
        <v>49</v>
      </c>
      <c r="L4" s="33" t="s">
        <v>50</v>
      </c>
      <c r="M4" s="39" t="s">
        <v>58</v>
      </c>
      <c r="N4" s="34" t="s">
        <v>164</v>
      </c>
      <c r="O4" s="42" t="s">
        <v>63</v>
      </c>
      <c r="P4" s="43" t="s">
        <v>64</v>
      </c>
      <c r="Q4" s="27" t="s">
        <v>78</v>
      </c>
      <c r="R4" s="27" t="s">
        <v>60</v>
      </c>
      <c r="S4" s="63">
        <v>44.6875</v>
      </c>
      <c r="T4" s="63">
        <v>-113.25</v>
      </c>
      <c r="U4" s="91" t="s">
        <v>78</v>
      </c>
      <c r="V4" s="91" t="s">
        <v>78</v>
      </c>
      <c r="W4" s="28">
        <v>248</v>
      </c>
      <c r="X4" s="24">
        <v>12.8</v>
      </c>
      <c r="Y4" s="28" t="s">
        <v>78</v>
      </c>
      <c r="Z4" s="28" t="s">
        <v>78</v>
      </c>
      <c r="AA4" s="40" t="s">
        <v>61</v>
      </c>
      <c r="AB4" s="25">
        <v>-5.6</v>
      </c>
      <c r="AC4" s="25">
        <v>0.5</v>
      </c>
      <c r="AD4" s="18" t="s">
        <v>158</v>
      </c>
      <c r="AE4" s="41" t="s">
        <v>62</v>
      </c>
      <c r="AF4" s="18" t="s">
        <v>78</v>
      </c>
      <c r="AG4" s="18" t="s">
        <v>78</v>
      </c>
      <c r="AH4" s="18" t="s">
        <v>78</v>
      </c>
      <c r="AI4" s="18" t="s">
        <v>78</v>
      </c>
      <c r="AJ4" s="18" t="s">
        <v>78</v>
      </c>
      <c r="AK4" s="18" t="s">
        <v>78</v>
      </c>
      <c r="AL4" s="18" t="s">
        <v>78</v>
      </c>
      <c r="AM4" s="18" t="s">
        <v>78</v>
      </c>
      <c r="AN4" s="18" t="s">
        <v>78</v>
      </c>
      <c r="AO4" s="18" t="s">
        <v>78</v>
      </c>
      <c r="AP4" s="18" t="s">
        <v>78</v>
      </c>
      <c r="AQ4" s="18" t="s">
        <v>78</v>
      </c>
      <c r="AR4" s="18" t="s">
        <v>78</v>
      </c>
      <c r="AS4" s="18" t="s">
        <v>78</v>
      </c>
      <c r="AT4" s="18" t="s">
        <v>78</v>
      </c>
      <c r="AU4" s="18" t="s">
        <v>78</v>
      </c>
      <c r="AV4" s="18" t="s">
        <v>78</v>
      </c>
      <c r="AW4" s="18" t="s">
        <v>78</v>
      </c>
      <c r="AX4" s="18" t="s">
        <v>78</v>
      </c>
      <c r="AY4" s="18">
        <v>34</v>
      </c>
      <c r="AZ4" s="18">
        <v>0.72</v>
      </c>
      <c r="BA4" s="18" t="s">
        <v>78</v>
      </c>
      <c r="BB4" s="18" t="s">
        <v>78</v>
      </c>
      <c r="BC4" s="18" t="s">
        <v>78</v>
      </c>
      <c r="BD4" s="18" t="s">
        <v>78</v>
      </c>
      <c r="BE4" s="18" t="s">
        <v>78</v>
      </c>
      <c r="BF4" s="18" t="s">
        <v>78</v>
      </c>
      <c r="BG4" s="18" t="s">
        <v>78</v>
      </c>
      <c r="BH4" s="18" t="s">
        <v>78</v>
      </c>
      <c r="BI4" s="18" t="s">
        <v>78</v>
      </c>
      <c r="BJ4" s="18" t="s">
        <v>78</v>
      </c>
      <c r="BK4" s="18" t="s">
        <v>78</v>
      </c>
      <c r="BL4" s="18" t="s">
        <v>78</v>
      </c>
      <c r="BM4" s="18" t="s">
        <v>78</v>
      </c>
      <c r="BN4" s="18" t="s">
        <v>78</v>
      </c>
      <c r="BO4" s="18" t="s">
        <v>78</v>
      </c>
      <c r="BP4" s="18" t="s">
        <v>78</v>
      </c>
      <c r="BQ4" s="18" t="s">
        <v>78</v>
      </c>
      <c r="BR4" s="18" t="s">
        <v>78</v>
      </c>
      <c r="BS4" s="18" t="s">
        <v>78</v>
      </c>
      <c r="BT4" s="18" t="s">
        <v>78</v>
      </c>
      <c r="BU4" s="18" t="s">
        <v>78</v>
      </c>
      <c r="BV4" s="18" t="s">
        <v>78</v>
      </c>
      <c r="BW4" s="18" t="s">
        <v>78</v>
      </c>
      <c r="BX4" s="19">
        <v>-22.4</v>
      </c>
      <c r="BY4" s="9" t="s">
        <v>65</v>
      </c>
      <c r="BZ4" s="36" t="s">
        <v>66</v>
      </c>
      <c r="CA4" s="19">
        <v>0.28000000000000003</v>
      </c>
      <c r="CB4" s="19" t="s">
        <v>158</v>
      </c>
      <c r="CC4" s="19" t="s">
        <v>158</v>
      </c>
      <c r="CD4" s="45">
        <f>(BX4+18.67)/1.1</f>
        <v>-3.390909090909088</v>
      </c>
      <c r="CE4" s="38" t="s">
        <v>67</v>
      </c>
      <c r="CF4" s="37" t="s">
        <v>68</v>
      </c>
      <c r="CG4" s="19">
        <v>0.1</v>
      </c>
      <c r="CH4" s="19" t="s">
        <v>158</v>
      </c>
      <c r="CI4" s="19" t="s">
        <v>158</v>
      </c>
      <c r="CJ4" s="19">
        <v>9.6</v>
      </c>
      <c r="CK4" s="19" t="s">
        <v>69</v>
      </c>
      <c r="CL4" s="19">
        <v>4.4000000000000004</v>
      </c>
      <c r="CM4" s="38" t="s">
        <v>160</v>
      </c>
      <c r="CN4" s="19" t="s">
        <v>161</v>
      </c>
      <c r="CO4" s="19" t="s">
        <v>78</v>
      </c>
      <c r="CP4" s="38" t="s">
        <v>159</v>
      </c>
      <c r="CQ4" s="19">
        <v>-16.3</v>
      </c>
      <c r="CR4" s="19" t="s">
        <v>78</v>
      </c>
      <c r="CS4" s="19" t="s">
        <v>78</v>
      </c>
      <c r="CT4" s="47">
        <f>AY4/(-0.62/(0.38/EXP(0.17*AZ4)-1))</f>
        <v>36.400736469269511</v>
      </c>
      <c r="CU4" s="19" t="s">
        <v>78</v>
      </c>
      <c r="CV4" s="19" t="s">
        <v>78</v>
      </c>
      <c r="CW4" s="19" t="s">
        <v>78</v>
      </c>
      <c r="CX4" s="19" t="s">
        <v>78</v>
      </c>
      <c r="CY4" s="19" t="s">
        <v>78</v>
      </c>
      <c r="CZ4" s="20" t="s">
        <v>78</v>
      </c>
      <c r="DA4" s="19">
        <v>2967</v>
      </c>
      <c r="DB4" s="38" t="s">
        <v>74</v>
      </c>
      <c r="DC4" s="19">
        <v>893</v>
      </c>
      <c r="DD4" s="19">
        <v>893</v>
      </c>
      <c r="DE4" s="38" t="s">
        <v>162</v>
      </c>
      <c r="DF4" s="19" t="s">
        <v>161</v>
      </c>
      <c r="DG4" s="21" t="s">
        <v>78</v>
      </c>
      <c r="DH4" s="21" t="s">
        <v>70</v>
      </c>
      <c r="DI4" s="21" t="s">
        <v>78</v>
      </c>
      <c r="DJ4" s="21" t="s">
        <v>78</v>
      </c>
      <c r="DK4" s="21" t="s">
        <v>53</v>
      </c>
      <c r="DL4" s="21" t="s">
        <v>51</v>
      </c>
      <c r="DM4" s="21" t="s">
        <v>55</v>
      </c>
      <c r="DN4" s="21" t="s">
        <v>78</v>
      </c>
      <c r="DO4" s="21" t="s">
        <v>78</v>
      </c>
      <c r="DP4" s="21" t="s">
        <v>78</v>
      </c>
      <c r="DQ4" s="21" t="s">
        <v>78</v>
      </c>
      <c r="DR4" s="46" t="s">
        <v>71</v>
      </c>
      <c r="DS4" s="21" t="s">
        <v>54</v>
      </c>
      <c r="DT4" s="46" t="s">
        <v>75</v>
      </c>
      <c r="DU4" s="22">
        <v>433</v>
      </c>
      <c r="DV4" s="22" t="s">
        <v>78</v>
      </c>
      <c r="DW4" s="22">
        <v>128</v>
      </c>
      <c r="DX4" s="22">
        <v>128</v>
      </c>
      <c r="DY4" s="74" t="s">
        <v>163</v>
      </c>
      <c r="DZ4" s="22" t="s">
        <v>72</v>
      </c>
      <c r="EA4" s="22" t="s">
        <v>161</v>
      </c>
      <c r="EB4" s="22" t="s">
        <v>78</v>
      </c>
      <c r="EC4" s="22" t="s">
        <v>78</v>
      </c>
      <c r="ED4" s="29" t="s">
        <v>73</v>
      </c>
    </row>
    <row r="5" spans="1:134">
      <c r="A5" s="48" t="s">
        <v>79</v>
      </c>
      <c r="B5" s="30" t="s">
        <v>56</v>
      </c>
      <c r="C5" s="30">
        <v>2009</v>
      </c>
      <c r="D5" s="30" t="s">
        <v>57</v>
      </c>
      <c r="E5" s="30">
        <f t="shared" ref="E5:E12" si="0">X5*1000</f>
        <v>13140</v>
      </c>
      <c r="F5" s="32" t="s">
        <v>78</v>
      </c>
      <c r="G5" s="32" t="s">
        <v>78</v>
      </c>
      <c r="H5" s="31">
        <v>519</v>
      </c>
      <c r="I5" s="31">
        <v>257</v>
      </c>
      <c r="J5" s="31">
        <v>257</v>
      </c>
      <c r="K5" s="17" t="s">
        <v>49</v>
      </c>
      <c r="L5" s="33" t="s">
        <v>50</v>
      </c>
      <c r="M5" s="39" t="s">
        <v>58</v>
      </c>
      <c r="N5" s="34" t="s">
        <v>164</v>
      </c>
      <c r="O5" s="42" t="s">
        <v>63</v>
      </c>
      <c r="P5" s="43" t="s">
        <v>64</v>
      </c>
      <c r="Q5" s="27" t="s">
        <v>78</v>
      </c>
      <c r="R5" s="27" t="s">
        <v>60</v>
      </c>
      <c r="S5" s="63">
        <v>44.6875</v>
      </c>
      <c r="T5" s="63">
        <v>-113.25</v>
      </c>
      <c r="U5" s="91" t="s">
        <v>78</v>
      </c>
      <c r="V5" s="91" t="s">
        <v>78</v>
      </c>
      <c r="W5" s="28">
        <v>225</v>
      </c>
      <c r="X5" s="24">
        <v>13.14</v>
      </c>
      <c r="Y5" s="28" t="s">
        <v>78</v>
      </c>
      <c r="Z5" s="28" t="s">
        <v>78</v>
      </c>
      <c r="AA5" s="40" t="s">
        <v>61</v>
      </c>
      <c r="AB5" s="26">
        <v>-4.3</v>
      </c>
      <c r="AC5" s="25">
        <v>0.5</v>
      </c>
      <c r="AD5" s="18" t="s">
        <v>158</v>
      </c>
      <c r="AE5" s="41" t="s">
        <v>62</v>
      </c>
      <c r="AF5" s="18" t="s">
        <v>78</v>
      </c>
      <c r="AG5" s="18" t="s">
        <v>78</v>
      </c>
      <c r="AH5" s="18" t="s">
        <v>78</v>
      </c>
      <c r="AI5" s="18" t="s">
        <v>78</v>
      </c>
      <c r="AJ5" s="18" t="s">
        <v>78</v>
      </c>
      <c r="AK5" s="18" t="s">
        <v>78</v>
      </c>
      <c r="AL5" s="18" t="s">
        <v>78</v>
      </c>
      <c r="AM5" s="18" t="s">
        <v>78</v>
      </c>
      <c r="AN5" s="18" t="s">
        <v>78</v>
      </c>
      <c r="AO5" s="18" t="s">
        <v>78</v>
      </c>
      <c r="AP5" s="18" t="s">
        <v>78</v>
      </c>
      <c r="AQ5" s="18" t="s">
        <v>78</v>
      </c>
      <c r="AR5" s="18" t="s">
        <v>78</v>
      </c>
      <c r="AS5" s="18" t="s">
        <v>78</v>
      </c>
      <c r="AT5" s="18" t="s">
        <v>78</v>
      </c>
      <c r="AU5" s="18" t="s">
        <v>78</v>
      </c>
      <c r="AV5" s="18" t="s">
        <v>78</v>
      </c>
      <c r="AW5" s="18" t="s">
        <v>78</v>
      </c>
      <c r="AX5" s="18" t="s">
        <v>78</v>
      </c>
      <c r="AY5" s="18">
        <v>17</v>
      </c>
      <c r="AZ5" s="18">
        <v>0.74</v>
      </c>
      <c r="BA5" s="18" t="s">
        <v>78</v>
      </c>
      <c r="BB5" s="18" t="s">
        <v>78</v>
      </c>
      <c r="BC5" s="18" t="s">
        <v>78</v>
      </c>
      <c r="BD5" s="18" t="s">
        <v>78</v>
      </c>
      <c r="BE5" s="18" t="s">
        <v>78</v>
      </c>
      <c r="BF5" s="18" t="s">
        <v>78</v>
      </c>
      <c r="BG5" s="18" t="s">
        <v>78</v>
      </c>
      <c r="BH5" s="18" t="s">
        <v>78</v>
      </c>
      <c r="BI5" s="18" t="s">
        <v>78</v>
      </c>
      <c r="BJ5" s="18" t="s">
        <v>78</v>
      </c>
      <c r="BK5" s="18" t="s">
        <v>78</v>
      </c>
      <c r="BL5" s="18" t="s">
        <v>78</v>
      </c>
      <c r="BM5" s="18" t="s">
        <v>78</v>
      </c>
      <c r="BN5" s="18" t="s">
        <v>78</v>
      </c>
      <c r="BO5" s="18" t="s">
        <v>78</v>
      </c>
      <c r="BP5" s="18" t="s">
        <v>78</v>
      </c>
      <c r="BQ5" s="18" t="s">
        <v>78</v>
      </c>
      <c r="BR5" s="18" t="s">
        <v>78</v>
      </c>
      <c r="BS5" s="18" t="s">
        <v>78</v>
      </c>
      <c r="BT5" s="18" t="s">
        <v>78</v>
      </c>
      <c r="BU5" s="18" t="s">
        <v>78</v>
      </c>
      <c r="BV5" s="18" t="s">
        <v>78</v>
      </c>
      <c r="BW5" s="18" t="s">
        <v>78</v>
      </c>
      <c r="BX5" s="19">
        <v>-22.4</v>
      </c>
      <c r="BY5" s="9" t="s">
        <v>65</v>
      </c>
      <c r="BZ5" s="36" t="s">
        <v>66</v>
      </c>
      <c r="CA5" s="19">
        <v>0.28000000000000003</v>
      </c>
      <c r="CB5" s="19" t="s">
        <v>158</v>
      </c>
      <c r="CC5" s="19" t="s">
        <v>158</v>
      </c>
      <c r="CD5" s="45">
        <f t="shared" ref="CD5:CD12" si="1">(BX5+18.67)/1.1</f>
        <v>-3.390909090909088</v>
      </c>
      <c r="CE5" s="38" t="s">
        <v>67</v>
      </c>
      <c r="CF5" s="37" t="s">
        <v>68</v>
      </c>
      <c r="CG5" s="19">
        <v>0.1</v>
      </c>
      <c r="CH5" s="19" t="s">
        <v>158</v>
      </c>
      <c r="CI5" s="19" t="s">
        <v>158</v>
      </c>
      <c r="CJ5" s="19">
        <v>10.9</v>
      </c>
      <c r="CK5" s="19" t="s">
        <v>69</v>
      </c>
      <c r="CL5" s="19">
        <v>4.4000000000000004</v>
      </c>
      <c r="CM5" s="38" t="s">
        <v>160</v>
      </c>
      <c r="CN5" s="19" t="s">
        <v>161</v>
      </c>
      <c r="CO5" s="19" t="s">
        <v>78</v>
      </c>
      <c r="CP5" s="38" t="s">
        <v>159</v>
      </c>
      <c r="CQ5" s="19">
        <v>-14.8</v>
      </c>
      <c r="CR5" s="19" t="s">
        <v>78</v>
      </c>
      <c r="CS5" s="19" t="s">
        <v>78</v>
      </c>
      <c r="CT5" s="47">
        <f t="shared" ref="CT5:CT12" si="2">AY5/(-0.62/(0.38/EXP(0.17*AZ5)-1))</f>
        <v>18.231659563685252</v>
      </c>
      <c r="CU5" s="19" t="s">
        <v>78</v>
      </c>
      <c r="CV5" s="19" t="s">
        <v>78</v>
      </c>
      <c r="CW5" s="19" t="s">
        <v>78</v>
      </c>
      <c r="CX5" s="19" t="s">
        <v>78</v>
      </c>
      <c r="CY5" s="19" t="s">
        <v>78</v>
      </c>
      <c r="CZ5" s="20" t="s">
        <v>78</v>
      </c>
      <c r="DA5" s="19">
        <v>1728</v>
      </c>
      <c r="DB5" s="38" t="s">
        <v>74</v>
      </c>
      <c r="DC5" s="19">
        <v>893</v>
      </c>
      <c r="DD5" s="19">
        <v>893</v>
      </c>
      <c r="DE5" s="38" t="s">
        <v>162</v>
      </c>
      <c r="DF5" s="19" t="s">
        <v>161</v>
      </c>
      <c r="DG5" s="21" t="s">
        <v>78</v>
      </c>
      <c r="DH5" s="21" t="s">
        <v>70</v>
      </c>
      <c r="DI5" s="21" t="s">
        <v>78</v>
      </c>
      <c r="DJ5" s="21" t="s">
        <v>78</v>
      </c>
      <c r="DK5" s="21" t="s">
        <v>52</v>
      </c>
      <c r="DL5" s="21" t="s">
        <v>51</v>
      </c>
      <c r="DM5" s="21" t="s">
        <v>55</v>
      </c>
      <c r="DN5" s="21" t="s">
        <v>78</v>
      </c>
      <c r="DO5" s="21" t="s">
        <v>78</v>
      </c>
      <c r="DP5" s="21" t="s">
        <v>78</v>
      </c>
      <c r="DQ5" s="21" t="s">
        <v>78</v>
      </c>
      <c r="DR5" s="46" t="s">
        <v>71</v>
      </c>
      <c r="DS5" s="21" t="s">
        <v>54</v>
      </c>
      <c r="DT5" s="46" t="s">
        <v>75</v>
      </c>
      <c r="DU5" s="22">
        <v>519</v>
      </c>
      <c r="DV5" s="22" t="s">
        <v>78</v>
      </c>
      <c r="DW5" s="22">
        <v>257</v>
      </c>
      <c r="DX5" s="22">
        <v>257</v>
      </c>
      <c r="DY5" s="74" t="s">
        <v>163</v>
      </c>
      <c r="DZ5" s="22" t="s">
        <v>72</v>
      </c>
      <c r="EA5" s="22" t="s">
        <v>161</v>
      </c>
      <c r="EB5" s="22" t="s">
        <v>78</v>
      </c>
      <c r="EC5" s="22" t="s">
        <v>78</v>
      </c>
      <c r="ED5" s="29" t="s">
        <v>73</v>
      </c>
    </row>
    <row r="6" spans="1:134">
      <c r="A6" s="48" t="s">
        <v>79</v>
      </c>
      <c r="B6" s="30" t="s">
        <v>56</v>
      </c>
      <c r="C6" s="30">
        <v>2009</v>
      </c>
      <c r="D6" s="30" t="s">
        <v>57</v>
      </c>
      <c r="E6" s="30">
        <f t="shared" si="0"/>
        <v>13760</v>
      </c>
      <c r="F6" s="32" t="s">
        <v>78</v>
      </c>
      <c r="G6" s="32" t="s">
        <v>78</v>
      </c>
      <c r="H6" s="31">
        <v>310</v>
      </c>
      <c r="I6" s="31">
        <v>77</v>
      </c>
      <c r="J6" s="31">
        <v>77</v>
      </c>
      <c r="K6" s="17" t="s">
        <v>49</v>
      </c>
      <c r="L6" s="33" t="s">
        <v>50</v>
      </c>
      <c r="M6" s="39" t="s">
        <v>58</v>
      </c>
      <c r="N6" s="34" t="s">
        <v>164</v>
      </c>
      <c r="O6" s="42" t="s">
        <v>63</v>
      </c>
      <c r="P6" s="43" t="s">
        <v>64</v>
      </c>
      <c r="Q6" s="27" t="s">
        <v>78</v>
      </c>
      <c r="R6" s="27" t="s">
        <v>60</v>
      </c>
      <c r="S6" s="63">
        <v>44.6875</v>
      </c>
      <c r="T6" s="63">
        <v>-113.25</v>
      </c>
      <c r="U6" s="91" t="s">
        <v>78</v>
      </c>
      <c r="V6" s="91" t="s">
        <v>78</v>
      </c>
      <c r="W6" s="28">
        <v>183</v>
      </c>
      <c r="X6" s="24">
        <v>13.76</v>
      </c>
      <c r="Y6" s="28" t="s">
        <v>78</v>
      </c>
      <c r="Z6" s="28" t="s">
        <v>78</v>
      </c>
      <c r="AA6" s="40" t="s">
        <v>61</v>
      </c>
      <c r="AB6" s="18">
        <v>-6</v>
      </c>
      <c r="AC6" s="25">
        <v>0.5</v>
      </c>
      <c r="AD6" s="18" t="s">
        <v>158</v>
      </c>
      <c r="AE6" s="41" t="s">
        <v>62</v>
      </c>
      <c r="AF6" s="18" t="s">
        <v>78</v>
      </c>
      <c r="AG6" s="18" t="s">
        <v>78</v>
      </c>
      <c r="AH6" s="18" t="s">
        <v>78</v>
      </c>
      <c r="AI6" s="18" t="s">
        <v>78</v>
      </c>
      <c r="AJ6" s="18" t="s">
        <v>78</v>
      </c>
      <c r="AK6" s="18" t="s">
        <v>78</v>
      </c>
      <c r="AL6" s="18" t="s">
        <v>78</v>
      </c>
      <c r="AM6" s="18" t="s">
        <v>78</v>
      </c>
      <c r="AN6" s="18" t="s">
        <v>78</v>
      </c>
      <c r="AO6" s="18" t="s">
        <v>78</v>
      </c>
      <c r="AP6" s="18" t="s">
        <v>78</v>
      </c>
      <c r="AQ6" s="18" t="s">
        <v>78</v>
      </c>
      <c r="AR6" s="18" t="s">
        <v>78</v>
      </c>
      <c r="AS6" s="18" t="s">
        <v>78</v>
      </c>
      <c r="AT6" s="18" t="s">
        <v>78</v>
      </c>
      <c r="AU6" s="18" t="s">
        <v>78</v>
      </c>
      <c r="AV6" s="18" t="s">
        <v>78</v>
      </c>
      <c r="AW6" s="18" t="s">
        <v>78</v>
      </c>
      <c r="AX6" s="18" t="s">
        <v>78</v>
      </c>
      <c r="AY6" s="18">
        <v>42</v>
      </c>
      <c r="AZ6" s="18">
        <v>0.77</v>
      </c>
      <c r="BA6" s="18" t="s">
        <v>78</v>
      </c>
      <c r="BB6" s="18" t="s">
        <v>78</v>
      </c>
      <c r="BC6" s="18" t="s">
        <v>78</v>
      </c>
      <c r="BD6" s="18" t="s">
        <v>78</v>
      </c>
      <c r="BE6" s="18" t="s">
        <v>78</v>
      </c>
      <c r="BF6" s="18" t="s">
        <v>78</v>
      </c>
      <c r="BG6" s="18" t="s">
        <v>78</v>
      </c>
      <c r="BH6" s="18" t="s">
        <v>78</v>
      </c>
      <c r="BI6" s="18" t="s">
        <v>78</v>
      </c>
      <c r="BJ6" s="18" t="s">
        <v>78</v>
      </c>
      <c r="BK6" s="18" t="s">
        <v>78</v>
      </c>
      <c r="BL6" s="18" t="s">
        <v>78</v>
      </c>
      <c r="BM6" s="18" t="s">
        <v>78</v>
      </c>
      <c r="BN6" s="18" t="s">
        <v>78</v>
      </c>
      <c r="BO6" s="18" t="s">
        <v>78</v>
      </c>
      <c r="BP6" s="18" t="s">
        <v>78</v>
      </c>
      <c r="BQ6" s="18" t="s">
        <v>78</v>
      </c>
      <c r="BR6" s="18" t="s">
        <v>78</v>
      </c>
      <c r="BS6" s="18" t="s">
        <v>78</v>
      </c>
      <c r="BT6" s="18" t="s">
        <v>78</v>
      </c>
      <c r="BU6" s="18" t="s">
        <v>78</v>
      </c>
      <c r="BV6" s="18" t="s">
        <v>78</v>
      </c>
      <c r="BW6" s="18" t="s">
        <v>78</v>
      </c>
      <c r="BX6" s="19">
        <v>-22.3</v>
      </c>
      <c r="BY6" s="9" t="s">
        <v>65</v>
      </c>
      <c r="BZ6" s="36" t="s">
        <v>66</v>
      </c>
      <c r="CA6" s="19">
        <v>0.28000000000000003</v>
      </c>
      <c r="CB6" s="19" t="s">
        <v>158</v>
      </c>
      <c r="CC6" s="19" t="s">
        <v>158</v>
      </c>
      <c r="CD6" s="45">
        <f t="shared" si="1"/>
        <v>-3.2999999999999989</v>
      </c>
      <c r="CE6" s="38" t="s">
        <v>67</v>
      </c>
      <c r="CF6" s="37" t="s">
        <v>68</v>
      </c>
      <c r="CG6" s="19">
        <v>0.1</v>
      </c>
      <c r="CH6" s="19" t="s">
        <v>158</v>
      </c>
      <c r="CI6" s="19" t="s">
        <v>158</v>
      </c>
      <c r="CJ6" s="19">
        <v>8</v>
      </c>
      <c r="CK6" s="19" t="s">
        <v>69</v>
      </c>
      <c r="CL6" s="19">
        <v>4.4000000000000004</v>
      </c>
      <c r="CM6" s="38" t="s">
        <v>160</v>
      </c>
      <c r="CN6" s="19" t="s">
        <v>161</v>
      </c>
      <c r="CO6" s="19" t="s">
        <v>78</v>
      </c>
      <c r="CP6" s="38" t="s">
        <v>159</v>
      </c>
      <c r="CQ6" s="19">
        <v>-16.8</v>
      </c>
      <c r="CR6" s="19" t="s">
        <v>78</v>
      </c>
      <c r="CS6" s="19" t="s">
        <v>78</v>
      </c>
      <c r="CT6" s="47">
        <f t="shared" si="2"/>
        <v>45.1583938889463</v>
      </c>
      <c r="CU6" s="19" t="s">
        <v>78</v>
      </c>
      <c r="CV6" s="19" t="s">
        <v>78</v>
      </c>
      <c r="CW6" s="19" t="s">
        <v>78</v>
      </c>
      <c r="CX6" s="19" t="s">
        <v>78</v>
      </c>
      <c r="CY6" s="19" t="s">
        <v>78</v>
      </c>
      <c r="CZ6" s="20" t="s">
        <v>78</v>
      </c>
      <c r="DA6" s="19">
        <v>3564</v>
      </c>
      <c r="DB6" s="38" t="s">
        <v>74</v>
      </c>
      <c r="DC6" s="19">
        <v>893</v>
      </c>
      <c r="DD6" s="19">
        <v>893</v>
      </c>
      <c r="DE6" s="38" t="s">
        <v>162</v>
      </c>
      <c r="DF6" s="19" t="s">
        <v>161</v>
      </c>
      <c r="DG6" s="21" t="s">
        <v>78</v>
      </c>
      <c r="DH6" s="21" t="s">
        <v>70</v>
      </c>
      <c r="DI6" s="21" t="s">
        <v>78</v>
      </c>
      <c r="DJ6" s="21" t="s">
        <v>78</v>
      </c>
      <c r="DK6" s="21" t="s">
        <v>52</v>
      </c>
      <c r="DL6" s="21" t="s">
        <v>51</v>
      </c>
      <c r="DM6" s="21" t="s">
        <v>55</v>
      </c>
      <c r="DN6" s="21" t="s">
        <v>78</v>
      </c>
      <c r="DO6" s="21" t="s">
        <v>78</v>
      </c>
      <c r="DP6" s="21" t="s">
        <v>78</v>
      </c>
      <c r="DQ6" s="21" t="s">
        <v>78</v>
      </c>
      <c r="DR6" s="46" t="s">
        <v>71</v>
      </c>
      <c r="DS6" s="21" t="s">
        <v>54</v>
      </c>
      <c r="DT6" s="46" t="s">
        <v>75</v>
      </c>
      <c r="DU6" s="22">
        <v>310</v>
      </c>
      <c r="DV6" s="22" t="s">
        <v>78</v>
      </c>
      <c r="DW6" s="22">
        <v>77</v>
      </c>
      <c r="DX6" s="22">
        <v>77</v>
      </c>
      <c r="DY6" s="74" t="s">
        <v>163</v>
      </c>
      <c r="DZ6" s="22" t="s">
        <v>72</v>
      </c>
      <c r="EA6" s="22" t="s">
        <v>161</v>
      </c>
      <c r="EB6" s="22" t="s">
        <v>78</v>
      </c>
      <c r="EC6" s="22" t="s">
        <v>78</v>
      </c>
      <c r="ED6" s="29" t="s">
        <v>73</v>
      </c>
    </row>
    <row r="7" spans="1:134">
      <c r="A7" s="48" t="s">
        <v>79</v>
      </c>
      <c r="B7" s="30" t="s">
        <v>56</v>
      </c>
      <c r="C7" s="30">
        <v>2009</v>
      </c>
      <c r="D7" s="30" t="s">
        <v>57</v>
      </c>
      <c r="E7" s="30">
        <f t="shared" si="0"/>
        <v>14400</v>
      </c>
      <c r="F7" s="32" t="s">
        <v>78</v>
      </c>
      <c r="G7" s="32" t="s">
        <v>78</v>
      </c>
      <c r="H7" s="31">
        <v>203</v>
      </c>
      <c r="I7" s="31">
        <v>70</v>
      </c>
      <c r="J7" s="31">
        <v>70</v>
      </c>
      <c r="K7" s="17" t="s">
        <v>49</v>
      </c>
      <c r="L7" s="33" t="s">
        <v>50</v>
      </c>
      <c r="M7" s="39" t="s">
        <v>58</v>
      </c>
      <c r="N7" s="34" t="s">
        <v>164</v>
      </c>
      <c r="O7" s="42" t="s">
        <v>63</v>
      </c>
      <c r="P7" s="43" t="s">
        <v>64</v>
      </c>
      <c r="Q7" s="27" t="s">
        <v>78</v>
      </c>
      <c r="R7" s="27" t="s">
        <v>60</v>
      </c>
      <c r="S7" s="63">
        <v>44.6875</v>
      </c>
      <c r="T7" s="63">
        <v>-113.25</v>
      </c>
      <c r="U7" s="91" t="s">
        <v>78</v>
      </c>
      <c r="V7" s="91" t="s">
        <v>78</v>
      </c>
      <c r="W7" s="28">
        <v>140</v>
      </c>
      <c r="X7" s="24">
        <v>14.4</v>
      </c>
      <c r="Y7" s="28" t="s">
        <v>78</v>
      </c>
      <c r="Z7" s="28" t="s">
        <v>78</v>
      </c>
      <c r="AA7" s="40" t="s">
        <v>61</v>
      </c>
      <c r="AB7" s="18">
        <v>-5.9</v>
      </c>
      <c r="AC7" s="25">
        <v>0.5</v>
      </c>
      <c r="AD7" s="18" t="s">
        <v>158</v>
      </c>
      <c r="AE7" s="41" t="s">
        <v>62</v>
      </c>
      <c r="AF7" s="18" t="s">
        <v>78</v>
      </c>
      <c r="AG7" s="18" t="s">
        <v>78</v>
      </c>
      <c r="AH7" s="18" t="s">
        <v>78</v>
      </c>
      <c r="AI7" s="18" t="s">
        <v>78</v>
      </c>
      <c r="AJ7" s="18" t="s">
        <v>78</v>
      </c>
      <c r="AK7" s="18" t="s">
        <v>78</v>
      </c>
      <c r="AL7" s="18" t="s">
        <v>78</v>
      </c>
      <c r="AM7" s="18" t="s">
        <v>78</v>
      </c>
      <c r="AN7" s="18" t="s">
        <v>78</v>
      </c>
      <c r="AO7" s="18" t="s">
        <v>78</v>
      </c>
      <c r="AP7" s="18" t="s">
        <v>78</v>
      </c>
      <c r="AQ7" s="18" t="s">
        <v>78</v>
      </c>
      <c r="AR7" s="18" t="s">
        <v>78</v>
      </c>
      <c r="AS7" s="18" t="s">
        <v>78</v>
      </c>
      <c r="AT7" s="18" t="s">
        <v>78</v>
      </c>
      <c r="AU7" s="18" t="s">
        <v>78</v>
      </c>
      <c r="AV7" s="18" t="s">
        <v>78</v>
      </c>
      <c r="AW7" s="18" t="s">
        <v>78</v>
      </c>
      <c r="AX7" s="18" t="s">
        <v>78</v>
      </c>
      <c r="AY7" s="18">
        <v>28</v>
      </c>
      <c r="AZ7" s="18">
        <v>0.79</v>
      </c>
      <c r="BA7" s="18" t="s">
        <v>78</v>
      </c>
      <c r="BB7" s="18" t="s">
        <v>78</v>
      </c>
      <c r="BC7" s="18" t="s">
        <v>78</v>
      </c>
      <c r="BD7" s="18" t="s">
        <v>78</v>
      </c>
      <c r="BE7" s="18" t="s">
        <v>78</v>
      </c>
      <c r="BF7" s="18" t="s">
        <v>78</v>
      </c>
      <c r="BG7" s="18" t="s">
        <v>78</v>
      </c>
      <c r="BH7" s="18" t="s">
        <v>78</v>
      </c>
      <c r="BI7" s="18" t="s">
        <v>78</v>
      </c>
      <c r="BJ7" s="18" t="s">
        <v>78</v>
      </c>
      <c r="BK7" s="18" t="s">
        <v>78</v>
      </c>
      <c r="BL7" s="18" t="s">
        <v>78</v>
      </c>
      <c r="BM7" s="18" t="s">
        <v>78</v>
      </c>
      <c r="BN7" s="18" t="s">
        <v>78</v>
      </c>
      <c r="BO7" s="18" t="s">
        <v>78</v>
      </c>
      <c r="BP7" s="18" t="s">
        <v>78</v>
      </c>
      <c r="BQ7" s="18" t="s">
        <v>78</v>
      </c>
      <c r="BR7" s="18" t="s">
        <v>78</v>
      </c>
      <c r="BS7" s="18" t="s">
        <v>78</v>
      </c>
      <c r="BT7" s="18" t="s">
        <v>78</v>
      </c>
      <c r="BU7" s="18" t="s">
        <v>78</v>
      </c>
      <c r="BV7" s="18" t="s">
        <v>78</v>
      </c>
      <c r="BW7" s="18" t="s">
        <v>78</v>
      </c>
      <c r="BX7" s="19">
        <v>-22.1</v>
      </c>
      <c r="BY7" s="9" t="s">
        <v>65</v>
      </c>
      <c r="BZ7" s="36" t="s">
        <v>66</v>
      </c>
      <c r="CA7" s="19">
        <v>0.28000000000000003</v>
      </c>
      <c r="CB7" s="19" t="s">
        <v>158</v>
      </c>
      <c r="CC7" s="19" t="s">
        <v>158</v>
      </c>
      <c r="CD7" s="45">
        <f t="shared" si="1"/>
        <v>-3.1181818181818177</v>
      </c>
      <c r="CE7" s="38" t="s">
        <v>67</v>
      </c>
      <c r="CF7" s="37" t="s">
        <v>68</v>
      </c>
      <c r="CG7" s="19">
        <v>0.1</v>
      </c>
      <c r="CH7" s="19" t="s">
        <v>158</v>
      </c>
      <c r="CI7" s="19" t="s">
        <v>158</v>
      </c>
      <c r="CJ7" s="19">
        <v>8</v>
      </c>
      <c r="CK7" s="19" t="s">
        <v>69</v>
      </c>
      <c r="CL7" s="19">
        <v>4.4000000000000004</v>
      </c>
      <c r="CM7" s="38" t="s">
        <v>160</v>
      </c>
      <c r="CN7" s="19" t="s">
        <v>161</v>
      </c>
      <c r="CO7" s="19" t="s">
        <v>78</v>
      </c>
      <c r="CP7" s="38" t="s">
        <v>159</v>
      </c>
      <c r="CQ7" s="19">
        <v>-16.7</v>
      </c>
      <c r="CR7" s="19" t="s">
        <v>78</v>
      </c>
      <c r="CS7" s="19" t="s">
        <v>78</v>
      </c>
      <c r="CT7" s="47">
        <f t="shared" si="2"/>
        <v>30.156698363540144</v>
      </c>
      <c r="CU7" s="19" t="s">
        <v>78</v>
      </c>
      <c r="CV7" s="19" t="s">
        <v>78</v>
      </c>
      <c r="CW7" s="19" t="s">
        <v>78</v>
      </c>
      <c r="CX7" s="19" t="s">
        <v>78</v>
      </c>
      <c r="CY7" s="19" t="s">
        <v>78</v>
      </c>
      <c r="CZ7" s="20" t="s">
        <v>78</v>
      </c>
      <c r="DA7" s="19">
        <v>2541</v>
      </c>
      <c r="DB7" s="38" t="s">
        <v>74</v>
      </c>
      <c r="DC7" s="19">
        <v>893</v>
      </c>
      <c r="DD7" s="19">
        <v>893</v>
      </c>
      <c r="DE7" s="38" t="s">
        <v>162</v>
      </c>
      <c r="DF7" s="19" t="s">
        <v>161</v>
      </c>
      <c r="DG7" s="21" t="s">
        <v>78</v>
      </c>
      <c r="DH7" s="21" t="s">
        <v>70</v>
      </c>
      <c r="DI7" s="21" t="s">
        <v>78</v>
      </c>
      <c r="DJ7" s="21" t="s">
        <v>78</v>
      </c>
      <c r="DK7" s="21" t="s">
        <v>52</v>
      </c>
      <c r="DL7" s="21" t="s">
        <v>51</v>
      </c>
      <c r="DM7" s="21" t="s">
        <v>55</v>
      </c>
      <c r="DN7" s="21" t="s">
        <v>78</v>
      </c>
      <c r="DO7" s="21" t="s">
        <v>78</v>
      </c>
      <c r="DP7" s="21" t="s">
        <v>78</v>
      </c>
      <c r="DQ7" s="21" t="s">
        <v>78</v>
      </c>
      <c r="DR7" s="46" t="s">
        <v>71</v>
      </c>
      <c r="DS7" s="21" t="s">
        <v>54</v>
      </c>
      <c r="DT7" s="46" t="s">
        <v>75</v>
      </c>
      <c r="DU7" s="22">
        <v>203</v>
      </c>
      <c r="DV7" s="22" t="s">
        <v>78</v>
      </c>
      <c r="DW7" s="22">
        <v>70</v>
      </c>
      <c r="DX7" s="22">
        <v>70</v>
      </c>
      <c r="DY7" s="74" t="s">
        <v>163</v>
      </c>
      <c r="DZ7" s="22" t="s">
        <v>72</v>
      </c>
      <c r="EA7" s="22" t="s">
        <v>161</v>
      </c>
      <c r="EB7" s="22" t="s">
        <v>78</v>
      </c>
      <c r="EC7" s="22" t="s">
        <v>78</v>
      </c>
      <c r="ED7" s="29" t="s">
        <v>73</v>
      </c>
    </row>
    <row r="8" spans="1:134">
      <c r="A8" s="48" t="s">
        <v>79</v>
      </c>
      <c r="B8" s="30" t="s">
        <v>56</v>
      </c>
      <c r="C8" s="30">
        <v>2009</v>
      </c>
      <c r="D8" s="30" t="s">
        <v>57</v>
      </c>
      <c r="E8" s="30">
        <f t="shared" si="0"/>
        <v>14660</v>
      </c>
      <c r="F8" s="32" t="s">
        <v>78</v>
      </c>
      <c r="G8" s="32" t="s">
        <v>78</v>
      </c>
      <c r="H8" s="31">
        <v>116</v>
      </c>
      <c r="I8" s="31">
        <v>37</v>
      </c>
      <c r="J8" s="31">
        <v>37</v>
      </c>
      <c r="K8" s="17" t="s">
        <v>49</v>
      </c>
      <c r="L8" s="33" t="s">
        <v>50</v>
      </c>
      <c r="M8" s="39" t="s">
        <v>58</v>
      </c>
      <c r="N8" s="34" t="s">
        <v>164</v>
      </c>
      <c r="O8" s="42" t="s">
        <v>63</v>
      </c>
      <c r="P8" s="43" t="s">
        <v>64</v>
      </c>
      <c r="Q8" s="27" t="s">
        <v>78</v>
      </c>
      <c r="R8" s="27" t="s">
        <v>60</v>
      </c>
      <c r="S8" s="63">
        <v>44.6875</v>
      </c>
      <c r="T8" s="63">
        <v>-113.25</v>
      </c>
      <c r="U8" s="91" t="s">
        <v>78</v>
      </c>
      <c r="V8" s="91" t="s">
        <v>78</v>
      </c>
      <c r="W8" s="28">
        <v>122</v>
      </c>
      <c r="X8" s="24">
        <v>14.66</v>
      </c>
      <c r="Y8" s="28" t="s">
        <v>78</v>
      </c>
      <c r="Z8" s="28" t="s">
        <v>78</v>
      </c>
      <c r="AA8" s="40" t="s">
        <v>61</v>
      </c>
      <c r="AB8" s="18">
        <v>-6.2</v>
      </c>
      <c r="AC8" s="25">
        <v>0.5</v>
      </c>
      <c r="AD8" s="18" t="s">
        <v>158</v>
      </c>
      <c r="AE8" s="41" t="s">
        <v>62</v>
      </c>
      <c r="AF8" s="18" t="s">
        <v>78</v>
      </c>
      <c r="AG8" s="18" t="s">
        <v>78</v>
      </c>
      <c r="AH8" s="18" t="s">
        <v>78</v>
      </c>
      <c r="AI8" s="18" t="s">
        <v>78</v>
      </c>
      <c r="AJ8" s="18" t="s">
        <v>78</v>
      </c>
      <c r="AK8" s="18" t="s">
        <v>78</v>
      </c>
      <c r="AL8" s="18" t="s">
        <v>78</v>
      </c>
      <c r="AM8" s="18" t="s">
        <v>78</v>
      </c>
      <c r="AN8" s="18" t="s">
        <v>78</v>
      </c>
      <c r="AO8" s="18" t="s">
        <v>78</v>
      </c>
      <c r="AP8" s="18" t="s">
        <v>78</v>
      </c>
      <c r="AQ8" s="18" t="s">
        <v>78</v>
      </c>
      <c r="AR8" s="18" t="s">
        <v>78</v>
      </c>
      <c r="AS8" s="18" t="s">
        <v>78</v>
      </c>
      <c r="AT8" s="18" t="s">
        <v>78</v>
      </c>
      <c r="AU8" s="18" t="s">
        <v>78</v>
      </c>
      <c r="AV8" s="18" t="s">
        <v>78</v>
      </c>
      <c r="AW8" s="18" t="s">
        <v>78</v>
      </c>
      <c r="AX8" s="18" t="s">
        <v>78</v>
      </c>
      <c r="AY8" s="18">
        <v>32</v>
      </c>
      <c r="AZ8" s="18">
        <v>0.8</v>
      </c>
      <c r="BA8" s="18" t="s">
        <v>78</v>
      </c>
      <c r="BB8" s="18" t="s">
        <v>78</v>
      </c>
      <c r="BC8" s="18" t="s">
        <v>78</v>
      </c>
      <c r="BD8" s="18" t="s">
        <v>78</v>
      </c>
      <c r="BE8" s="18" t="s">
        <v>78</v>
      </c>
      <c r="BF8" s="18" t="s">
        <v>78</v>
      </c>
      <c r="BG8" s="18" t="s">
        <v>78</v>
      </c>
      <c r="BH8" s="18" t="s">
        <v>78</v>
      </c>
      <c r="BI8" s="18" t="s">
        <v>78</v>
      </c>
      <c r="BJ8" s="18" t="s">
        <v>78</v>
      </c>
      <c r="BK8" s="18" t="s">
        <v>78</v>
      </c>
      <c r="BL8" s="18" t="s">
        <v>78</v>
      </c>
      <c r="BM8" s="18" t="s">
        <v>78</v>
      </c>
      <c r="BN8" s="18" t="s">
        <v>78</v>
      </c>
      <c r="BO8" s="18" t="s">
        <v>78</v>
      </c>
      <c r="BP8" s="18" t="s">
        <v>78</v>
      </c>
      <c r="BQ8" s="18" t="s">
        <v>78</v>
      </c>
      <c r="BR8" s="18" t="s">
        <v>78</v>
      </c>
      <c r="BS8" s="18" t="s">
        <v>78</v>
      </c>
      <c r="BT8" s="18" t="s">
        <v>78</v>
      </c>
      <c r="BU8" s="18" t="s">
        <v>78</v>
      </c>
      <c r="BV8" s="18" t="s">
        <v>78</v>
      </c>
      <c r="BW8" s="18" t="s">
        <v>78</v>
      </c>
      <c r="BX8" s="19">
        <v>-21.9</v>
      </c>
      <c r="BY8" s="9" t="s">
        <v>65</v>
      </c>
      <c r="BZ8" s="36" t="s">
        <v>66</v>
      </c>
      <c r="CA8" s="19">
        <v>0.28000000000000003</v>
      </c>
      <c r="CB8" s="19" t="s">
        <v>158</v>
      </c>
      <c r="CC8" s="19" t="s">
        <v>158</v>
      </c>
      <c r="CD8" s="45">
        <f t="shared" si="1"/>
        <v>-2.9363636363636334</v>
      </c>
      <c r="CE8" s="38" t="s">
        <v>67</v>
      </c>
      <c r="CF8" s="37" t="s">
        <v>68</v>
      </c>
      <c r="CG8" s="19">
        <v>0.1</v>
      </c>
      <c r="CH8" s="19" t="s">
        <v>158</v>
      </c>
      <c r="CI8" s="19" t="s">
        <v>158</v>
      </c>
      <c r="CJ8" s="19">
        <v>8</v>
      </c>
      <c r="CK8" s="19" t="s">
        <v>69</v>
      </c>
      <c r="CL8" s="19">
        <v>4.4000000000000004</v>
      </c>
      <c r="CM8" s="38" t="s">
        <v>160</v>
      </c>
      <c r="CN8" s="19" t="s">
        <v>161</v>
      </c>
      <c r="CO8" s="19" t="s">
        <v>78</v>
      </c>
      <c r="CP8" s="38" t="s">
        <v>159</v>
      </c>
      <c r="CQ8" s="19">
        <v>-17</v>
      </c>
      <c r="CR8" s="19" t="s">
        <v>78</v>
      </c>
      <c r="CS8" s="19" t="s">
        <v>78</v>
      </c>
      <c r="CT8" s="47">
        <f t="shared" si="2"/>
        <v>34.493925143447058</v>
      </c>
      <c r="CU8" s="19" t="s">
        <v>78</v>
      </c>
      <c r="CV8" s="19" t="s">
        <v>78</v>
      </c>
      <c r="CW8" s="19" t="s">
        <v>78</v>
      </c>
      <c r="CX8" s="19" t="s">
        <v>78</v>
      </c>
      <c r="CY8" s="19" t="s">
        <v>78</v>
      </c>
      <c r="CZ8" s="20" t="s">
        <v>78</v>
      </c>
      <c r="DA8" s="19">
        <v>2837</v>
      </c>
      <c r="DB8" s="38" t="s">
        <v>74</v>
      </c>
      <c r="DC8" s="19">
        <v>893</v>
      </c>
      <c r="DD8" s="19">
        <v>893</v>
      </c>
      <c r="DE8" s="38" t="s">
        <v>162</v>
      </c>
      <c r="DF8" s="19" t="s">
        <v>161</v>
      </c>
      <c r="DG8" s="21" t="s">
        <v>78</v>
      </c>
      <c r="DH8" s="21" t="s">
        <v>70</v>
      </c>
      <c r="DI8" s="21" t="s">
        <v>78</v>
      </c>
      <c r="DJ8" s="21" t="s">
        <v>78</v>
      </c>
      <c r="DK8" s="21" t="s">
        <v>52</v>
      </c>
      <c r="DL8" s="21" t="s">
        <v>51</v>
      </c>
      <c r="DM8" s="21" t="s">
        <v>55</v>
      </c>
      <c r="DN8" s="21" t="s">
        <v>78</v>
      </c>
      <c r="DO8" s="21" t="s">
        <v>78</v>
      </c>
      <c r="DP8" s="21" t="s">
        <v>78</v>
      </c>
      <c r="DQ8" s="21" t="s">
        <v>78</v>
      </c>
      <c r="DR8" s="46" t="s">
        <v>71</v>
      </c>
      <c r="DS8" s="21" t="s">
        <v>54</v>
      </c>
      <c r="DT8" s="46" t="s">
        <v>75</v>
      </c>
      <c r="DU8" s="22">
        <v>116</v>
      </c>
      <c r="DV8" s="22" t="s">
        <v>78</v>
      </c>
      <c r="DW8" s="22">
        <v>37</v>
      </c>
      <c r="DX8" s="22">
        <v>37</v>
      </c>
      <c r="DY8" s="74" t="s">
        <v>163</v>
      </c>
      <c r="DZ8" s="22" t="s">
        <v>72</v>
      </c>
      <c r="EA8" s="22" t="s">
        <v>161</v>
      </c>
      <c r="EB8" s="22" t="s">
        <v>78</v>
      </c>
      <c r="EC8" s="22" t="s">
        <v>78</v>
      </c>
      <c r="ED8" s="29" t="s">
        <v>73</v>
      </c>
    </row>
    <row r="9" spans="1:134">
      <c r="A9" s="48" t="s">
        <v>79</v>
      </c>
      <c r="B9" s="30" t="s">
        <v>56</v>
      </c>
      <c r="C9" s="30">
        <v>2009</v>
      </c>
      <c r="D9" s="30" t="s">
        <v>57</v>
      </c>
      <c r="E9" s="30">
        <f t="shared" si="0"/>
        <v>15110</v>
      </c>
      <c r="F9" s="32" t="s">
        <v>78</v>
      </c>
      <c r="G9" s="32" t="s">
        <v>78</v>
      </c>
      <c r="H9" s="31">
        <v>291</v>
      </c>
      <c r="I9" s="31">
        <v>82</v>
      </c>
      <c r="J9" s="31">
        <v>82</v>
      </c>
      <c r="K9" s="17" t="s">
        <v>49</v>
      </c>
      <c r="L9" s="33" t="s">
        <v>50</v>
      </c>
      <c r="M9" s="39" t="s">
        <v>58</v>
      </c>
      <c r="N9" s="34" t="s">
        <v>164</v>
      </c>
      <c r="O9" s="42" t="s">
        <v>63</v>
      </c>
      <c r="P9" s="43" t="s">
        <v>64</v>
      </c>
      <c r="Q9" s="27" t="s">
        <v>78</v>
      </c>
      <c r="R9" s="27" t="s">
        <v>60</v>
      </c>
      <c r="S9" s="63">
        <v>44.6875</v>
      </c>
      <c r="T9" s="63">
        <v>-113.25</v>
      </c>
      <c r="U9" s="91" t="s">
        <v>78</v>
      </c>
      <c r="V9" s="91" t="s">
        <v>78</v>
      </c>
      <c r="W9" s="28">
        <v>92</v>
      </c>
      <c r="X9" s="24">
        <v>15.11</v>
      </c>
      <c r="Y9" s="28" t="s">
        <v>78</v>
      </c>
      <c r="Z9" s="28" t="s">
        <v>78</v>
      </c>
      <c r="AA9" s="40" t="s">
        <v>61</v>
      </c>
      <c r="AB9" s="18">
        <v>-5.8</v>
      </c>
      <c r="AC9" s="25">
        <v>0.5</v>
      </c>
      <c r="AD9" s="18" t="s">
        <v>158</v>
      </c>
      <c r="AE9" s="41" t="s">
        <v>62</v>
      </c>
      <c r="AF9" s="18" t="s">
        <v>78</v>
      </c>
      <c r="AG9" s="18" t="s">
        <v>78</v>
      </c>
      <c r="AH9" s="18" t="s">
        <v>78</v>
      </c>
      <c r="AI9" s="18" t="s">
        <v>78</v>
      </c>
      <c r="AJ9" s="18" t="s">
        <v>78</v>
      </c>
      <c r="AK9" s="18" t="s">
        <v>78</v>
      </c>
      <c r="AL9" s="18" t="s">
        <v>78</v>
      </c>
      <c r="AM9" s="18" t="s">
        <v>78</v>
      </c>
      <c r="AN9" s="18" t="s">
        <v>78</v>
      </c>
      <c r="AO9" s="18" t="s">
        <v>78</v>
      </c>
      <c r="AP9" s="18" t="s">
        <v>78</v>
      </c>
      <c r="AQ9" s="18" t="s">
        <v>78</v>
      </c>
      <c r="AR9" s="18" t="s">
        <v>78</v>
      </c>
      <c r="AS9" s="18" t="s">
        <v>78</v>
      </c>
      <c r="AT9" s="18" t="s">
        <v>78</v>
      </c>
      <c r="AU9" s="18" t="s">
        <v>78</v>
      </c>
      <c r="AV9" s="18" t="s">
        <v>78</v>
      </c>
      <c r="AW9" s="18" t="s">
        <v>78</v>
      </c>
      <c r="AX9" s="18" t="s">
        <v>78</v>
      </c>
      <c r="AY9" s="18">
        <v>36</v>
      </c>
      <c r="AZ9" s="18">
        <v>0.83</v>
      </c>
      <c r="BA9" s="18" t="s">
        <v>78</v>
      </c>
      <c r="BB9" s="18" t="s">
        <v>78</v>
      </c>
      <c r="BC9" s="18" t="s">
        <v>78</v>
      </c>
      <c r="BD9" s="18" t="s">
        <v>78</v>
      </c>
      <c r="BE9" s="18" t="s">
        <v>78</v>
      </c>
      <c r="BF9" s="18" t="s">
        <v>78</v>
      </c>
      <c r="BG9" s="18" t="s">
        <v>78</v>
      </c>
      <c r="BH9" s="18" t="s">
        <v>78</v>
      </c>
      <c r="BI9" s="18" t="s">
        <v>78</v>
      </c>
      <c r="BJ9" s="18" t="s">
        <v>78</v>
      </c>
      <c r="BK9" s="18" t="s">
        <v>78</v>
      </c>
      <c r="BL9" s="18" t="s">
        <v>78</v>
      </c>
      <c r="BM9" s="18" t="s">
        <v>78</v>
      </c>
      <c r="BN9" s="18" t="s">
        <v>78</v>
      </c>
      <c r="BO9" s="18" t="s">
        <v>78</v>
      </c>
      <c r="BP9" s="18" t="s">
        <v>78</v>
      </c>
      <c r="BQ9" s="18" t="s">
        <v>78</v>
      </c>
      <c r="BR9" s="18" t="s">
        <v>78</v>
      </c>
      <c r="BS9" s="18" t="s">
        <v>78</v>
      </c>
      <c r="BT9" s="18" t="s">
        <v>78</v>
      </c>
      <c r="BU9" s="18" t="s">
        <v>78</v>
      </c>
      <c r="BV9" s="18" t="s">
        <v>78</v>
      </c>
      <c r="BW9" s="18" t="s">
        <v>78</v>
      </c>
      <c r="BX9" s="19">
        <v>-21.9</v>
      </c>
      <c r="BY9" s="9" t="s">
        <v>65</v>
      </c>
      <c r="BZ9" s="36" t="s">
        <v>66</v>
      </c>
      <c r="CA9" s="19">
        <v>0.28000000000000003</v>
      </c>
      <c r="CB9" s="19" t="s">
        <v>158</v>
      </c>
      <c r="CC9" s="19" t="s">
        <v>158</v>
      </c>
      <c r="CD9" s="45">
        <f t="shared" si="1"/>
        <v>-2.9363636363636334</v>
      </c>
      <c r="CE9" s="38" t="s">
        <v>67</v>
      </c>
      <c r="CF9" s="37" t="s">
        <v>68</v>
      </c>
      <c r="CG9" s="19">
        <v>0.1</v>
      </c>
      <c r="CH9" s="19" t="s">
        <v>158</v>
      </c>
      <c r="CI9" s="19" t="s">
        <v>158</v>
      </c>
      <c r="CJ9" s="19">
        <v>10.3</v>
      </c>
      <c r="CK9" s="19" t="s">
        <v>69</v>
      </c>
      <c r="CL9" s="19">
        <v>4.4000000000000004</v>
      </c>
      <c r="CM9" s="38" t="s">
        <v>160</v>
      </c>
      <c r="CN9" s="19" t="s">
        <v>161</v>
      </c>
      <c r="CO9" s="19" t="s">
        <v>78</v>
      </c>
      <c r="CP9" s="38" t="s">
        <v>159</v>
      </c>
      <c r="CQ9" s="19">
        <v>-16.399999999999999</v>
      </c>
      <c r="CR9" s="19" t="s">
        <v>78</v>
      </c>
      <c r="CS9" s="19" t="s">
        <v>78</v>
      </c>
      <c r="CT9" s="47">
        <f t="shared" si="2"/>
        <v>38.903635887018737</v>
      </c>
      <c r="CU9" s="19" t="s">
        <v>78</v>
      </c>
      <c r="CV9" s="19" t="s">
        <v>78</v>
      </c>
      <c r="CW9" s="19" t="s">
        <v>78</v>
      </c>
      <c r="CX9" s="19" t="s">
        <v>78</v>
      </c>
      <c r="CY9" s="19" t="s">
        <v>78</v>
      </c>
      <c r="CZ9" s="20" t="s">
        <v>78</v>
      </c>
      <c r="DA9" s="19">
        <v>3138</v>
      </c>
      <c r="DB9" s="38" t="s">
        <v>74</v>
      </c>
      <c r="DC9" s="19">
        <v>893</v>
      </c>
      <c r="DD9" s="19">
        <v>893</v>
      </c>
      <c r="DE9" s="38" t="s">
        <v>162</v>
      </c>
      <c r="DF9" s="19" t="s">
        <v>161</v>
      </c>
      <c r="DG9" s="21" t="s">
        <v>78</v>
      </c>
      <c r="DH9" s="21" t="s">
        <v>70</v>
      </c>
      <c r="DI9" s="21" t="s">
        <v>78</v>
      </c>
      <c r="DJ9" s="21" t="s">
        <v>78</v>
      </c>
      <c r="DK9" s="21" t="s">
        <v>52</v>
      </c>
      <c r="DL9" s="21" t="s">
        <v>51</v>
      </c>
      <c r="DM9" s="21" t="s">
        <v>55</v>
      </c>
      <c r="DN9" s="21" t="s">
        <v>78</v>
      </c>
      <c r="DO9" s="21" t="s">
        <v>78</v>
      </c>
      <c r="DP9" s="21" t="s">
        <v>78</v>
      </c>
      <c r="DQ9" s="21" t="s">
        <v>78</v>
      </c>
      <c r="DR9" s="46" t="s">
        <v>71</v>
      </c>
      <c r="DS9" s="21" t="s">
        <v>54</v>
      </c>
      <c r="DT9" s="46" t="s">
        <v>75</v>
      </c>
      <c r="DU9" s="22">
        <v>291</v>
      </c>
      <c r="DV9" s="22" t="s">
        <v>78</v>
      </c>
      <c r="DW9" s="22">
        <v>82</v>
      </c>
      <c r="DX9" s="22">
        <v>82</v>
      </c>
      <c r="DY9" s="74" t="s">
        <v>163</v>
      </c>
      <c r="DZ9" s="22" t="s">
        <v>72</v>
      </c>
      <c r="EA9" s="22" t="s">
        <v>161</v>
      </c>
      <c r="EB9" s="22" t="s">
        <v>78</v>
      </c>
      <c r="EC9" s="22" t="s">
        <v>78</v>
      </c>
      <c r="ED9" s="29" t="s">
        <v>73</v>
      </c>
    </row>
    <row r="10" spans="1:134">
      <c r="A10" s="48" t="s">
        <v>79</v>
      </c>
      <c r="B10" s="30" t="s">
        <v>56</v>
      </c>
      <c r="C10" s="30">
        <v>2009</v>
      </c>
      <c r="D10" s="30" t="s">
        <v>57</v>
      </c>
      <c r="E10" s="30">
        <f t="shared" si="0"/>
        <v>15610</v>
      </c>
      <c r="F10" s="32" t="s">
        <v>78</v>
      </c>
      <c r="G10" s="32" t="s">
        <v>78</v>
      </c>
      <c r="H10" s="31">
        <v>852</v>
      </c>
      <c r="I10" s="31">
        <v>86</v>
      </c>
      <c r="J10" s="31">
        <v>86</v>
      </c>
      <c r="K10" s="17" t="s">
        <v>49</v>
      </c>
      <c r="L10" s="33" t="s">
        <v>50</v>
      </c>
      <c r="M10" s="39" t="s">
        <v>58</v>
      </c>
      <c r="N10" s="34" t="s">
        <v>164</v>
      </c>
      <c r="O10" s="42" t="s">
        <v>63</v>
      </c>
      <c r="P10" s="43" t="s">
        <v>64</v>
      </c>
      <c r="Q10" s="27" t="s">
        <v>78</v>
      </c>
      <c r="R10" s="27" t="s">
        <v>59</v>
      </c>
      <c r="S10" s="63">
        <v>44.6875</v>
      </c>
      <c r="T10" s="63">
        <v>-113.25</v>
      </c>
      <c r="U10" s="91" t="s">
        <v>78</v>
      </c>
      <c r="V10" s="91" t="s">
        <v>78</v>
      </c>
      <c r="W10" s="28">
        <v>58</v>
      </c>
      <c r="X10" s="24">
        <v>15.61</v>
      </c>
      <c r="Y10" s="28" t="s">
        <v>78</v>
      </c>
      <c r="Z10" s="28" t="s">
        <v>78</v>
      </c>
      <c r="AA10" s="40" t="s">
        <v>61</v>
      </c>
      <c r="AB10" s="23">
        <v>-5.9</v>
      </c>
      <c r="AC10" s="25">
        <v>0.5</v>
      </c>
      <c r="AD10" s="18" t="s">
        <v>158</v>
      </c>
      <c r="AE10" s="41" t="s">
        <v>62</v>
      </c>
      <c r="AF10" s="18" t="s">
        <v>78</v>
      </c>
      <c r="AG10" s="18" t="s">
        <v>78</v>
      </c>
      <c r="AH10" s="18" t="s">
        <v>78</v>
      </c>
      <c r="AI10" s="18" t="s">
        <v>78</v>
      </c>
      <c r="AJ10" s="18" t="s">
        <v>78</v>
      </c>
      <c r="AK10" s="18" t="s">
        <v>78</v>
      </c>
      <c r="AL10" s="18" t="s">
        <v>78</v>
      </c>
      <c r="AM10" s="18" t="s">
        <v>78</v>
      </c>
      <c r="AN10" s="18" t="s">
        <v>78</v>
      </c>
      <c r="AO10" s="18" t="s">
        <v>78</v>
      </c>
      <c r="AP10" s="18" t="s">
        <v>78</v>
      </c>
      <c r="AQ10" s="18" t="s">
        <v>78</v>
      </c>
      <c r="AR10" s="18" t="s">
        <v>78</v>
      </c>
      <c r="AS10" s="18" t="s">
        <v>78</v>
      </c>
      <c r="AT10" s="18" t="s">
        <v>78</v>
      </c>
      <c r="AU10" s="18" t="s">
        <v>78</v>
      </c>
      <c r="AV10" s="18" t="s">
        <v>78</v>
      </c>
      <c r="AW10" s="18" t="s">
        <v>78</v>
      </c>
      <c r="AX10" s="18" t="s">
        <v>78</v>
      </c>
      <c r="AY10" s="18">
        <v>115</v>
      </c>
      <c r="AZ10" s="18">
        <v>0.86</v>
      </c>
      <c r="BA10" s="18" t="s">
        <v>78</v>
      </c>
      <c r="BB10" s="18" t="s">
        <v>78</v>
      </c>
      <c r="BC10" s="18" t="s">
        <v>78</v>
      </c>
      <c r="BD10" s="18" t="s">
        <v>78</v>
      </c>
      <c r="BE10" s="18" t="s">
        <v>78</v>
      </c>
      <c r="BF10" s="18" t="s">
        <v>78</v>
      </c>
      <c r="BG10" s="18" t="s">
        <v>78</v>
      </c>
      <c r="BH10" s="18" t="s">
        <v>78</v>
      </c>
      <c r="BI10" s="18" t="s">
        <v>78</v>
      </c>
      <c r="BJ10" s="18" t="s">
        <v>78</v>
      </c>
      <c r="BK10" s="18" t="s">
        <v>78</v>
      </c>
      <c r="BL10" s="18" t="s">
        <v>78</v>
      </c>
      <c r="BM10" s="18" t="s">
        <v>78</v>
      </c>
      <c r="BN10" s="18" t="s">
        <v>78</v>
      </c>
      <c r="BO10" s="18" t="s">
        <v>78</v>
      </c>
      <c r="BP10" s="18" t="s">
        <v>78</v>
      </c>
      <c r="BQ10" s="18" t="s">
        <v>78</v>
      </c>
      <c r="BR10" s="18" t="s">
        <v>78</v>
      </c>
      <c r="BS10" s="18" t="s">
        <v>78</v>
      </c>
      <c r="BT10" s="18" t="s">
        <v>78</v>
      </c>
      <c r="BU10" s="18" t="s">
        <v>78</v>
      </c>
      <c r="BV10" s="18" t="s">
        <v>78</v>
      </c>
      <c r="BW10" s="18" t="s">
        <v>78</v>
      </c>
      <c r="BX10" s="19">
        <v>-21.9</v>
      </c>
      <c r="BY10" s="9" t="s">
        <v>65</v>
      </c>
      <c r="BZ10" s="36" t="s">
        <v>66</v>
      </c>
      <c r="CA10" s="19">
        <v>0.28000000000000003</v>
      </c>
      <c r="CB10" s="19" t="s">
        <v>158</v>
      </c>
      <c r="CC10" s="19" t="s">
        <v>158</v>
      </c>
      <c r="CD10" s="45">
        <f t="shared" si="1"/>
        <v>-2.9363636363636334</v>
      </c>
      <c r="CE10" s="38" t="s">
        <v>67</v>
      </c>
      <c r="CF10" s="37" t="s">
        <v>68</v>
      </c>
      <c r="CG10" s="19">
        <v>0.1</v>
      </c>
      <c r="CH10" s="19" t="s">
        <v>158</v>
      </c>
      <c r="CI10" s="19" t="s">
        <v>158</v>
      </c>
      <c r="CJ10" s="19">
        <v>11.6</v>
      </c>
      <c r="CK10" s="19" t="s">
        <v>69</v>
      </c>
      <c r="CL10" s="19">
        <v>4.4000000000000004</v>
      </c>
      <c r="CM10" s="38" t="s">
        <v>160</v>
      </c>
      <c r="CN10" s="19" t="s">
        <v>161</v>
      </c>
      <c r="CO10" s="19" t="s">
        <v>78</v>
      </c>
      <c r="CP10" s="38" t="s">
        <v>159</v>
      </c>
      <c r="CQ10" s="19">
        <v>-16.3</v>
      </c>
      <c r="CR10" s="19" t="s">
        <v>78</v>
      </c>
      <c r="CS10" s="19" t="s">
        <v>78</v>
      </c>
      <c r="CT10" s="47">
        <f t="shared" si="2"/>
        <v>124.58687153860235</v>
      </c>
      <c r="CU10" s="19" t="s">
        <v>78</v>
      </c>
      <c r="CV10" s="19" t="s">
        <v>78</v>
      </c>
      <c r="CW10" s="19" t="s">
        <v>78</v>
      </c>
      <c r="CX10" s="19" t="s">
        <v>78</v>
      </c>
      <c r="CY10" s="19" t="s">
        <v>78</v>
      </c>
      <c r="CZ10" s="20" t="s">
        <v>78</v>
      </c>
      <c r="DA10" s="19">
        <v>8981</v>
      </c>
      <c r="DB10" s="38" t="s">
        <v>74</v>
      </c>
      <c r="DC10" s="19">
        <v>893</v>
      </c>
      <c r="DD10" s="19">
        <v>893</v>
      </c>
      <c r="DE10" s="38" t="s">
        <v>162</v>
      </c>
      <c r="DF10" s="19" t="s">
        <v>161</v>
      </c>
      <c r="DG10" s="21" t="s">
        <v>78</v>
      </c>
      <c r="DH10" s="21" t="s">
        <v>70</v>
      </c>
      <c r="DI10" s="21" t="s">
        <v>78</v>
      </c>
      <c r="DJ10" s="21" t="s">
        <v>78</v>
      </c>
      <c r="DK10" s="21" t="s">
        <v>52</v>
      </c>
      <c r="DL10" s="21" t="s">
        <v>51</v>
      </c>
      <c r="DM10" s="21" t="s">
        <v>55</v>
      </c>
      <c r="DN10" s="21" t="s">
        <v>78</v>
      </c>
      <c r="DO10" s="21" t="s">
        <v>78</v>
      </c>
      <c r="DP10" s="21" t="s">
        <v>78</v>
      </c>
      <c r="DQ10" s="21" t="s">
        <v>78</v>
      </c>
      <c r="DR10" s="46" t="s">
        <v>71</v>
      </c>
      <c r="DS10" s="21" t="s">
        <v>54</v>
      </c>
      <c r="DT10" s="46" t="s">
        <v>75</v>
      </c>
      <c r="DU10" s="22">
        <v>852</v>
      </c>
      <c r="DV10" s="22" t="s">
        <v>78</v>
      </c>
      <c r="DW10" s="22">
        <v>86</v>
      </c>
      <c r="DX10" s="22">
        <v>86</v>
      </c>
      <c r="DY10" s="74" t="s">
        <v>163</v>
      </c>
      <c r="DZ10" s="22" t="s">
        <v>72</v>
      </c>
      <c r="EA10" s="22" t="s">
        <v>161</v>
      </c>
      <c r="EB10" s="22" t="s">
        <v>78</v>
      </c>
      <c r="EC10" s="22" t="s">
        <v>78</v>
      </c>
      <c r="ED10" s="29" t="s">
        <v>73</v>
      </c>
    </row>
    <row r="11" spans="1:134">
      <c r="A11" s="48" t="s">
        <v>79</v>
      </c>
      <c r="B11" s="30" t="s">
        <v>56</v>
      </c>
      <c r="C11" s="30">
        <v>2009</v>
      </c>
      <c r="D11" s="30" t="s">
        <v>57</v>
      </c>
      <c r="E11" s="30">
        <f t="shared" si="0"/>
        <v>15980</v>
      </c>
      <c r="F11" s="32" t="s">
        <v>78</v>
      </c>
      <c r="G11" s="32" t="s">
        <v>78</v>
      </c>
      <c r="H11" s="31">
        <v>579</v>
      </c>
      <c r="I11" s="31">
        <v>90</v>
      </c>
      <c r="J11" s="31">
        <v>90</v>
      </c>
      <c r="K11" s="17" t="s">
        <v>49</v>
      </c>
      <c r="L11" s="33" t="s">
        <v>50</v>
      </c>
      <c r="M11" s="39" t="s">
        <v>58</v>
      </c>
      <c r="N11" s="34" t="s">
        <v>164</v>
      </c>
      <c r="O11" s="42" t="s">
        <v>63</v>
      </c>
      <c r="P11" s="43" t="s">
        <v>64</v>
      </c>
      <c r="Q11" s="27" t="s">
        <v>78</v>
      </c>
      <c r="R11" s="27" t="s">
        <v>59</v>
      </c>
      <c r="S11" s="63">
        <v>44.6875</v>
      </c>
      <c r="T11" s="63">
        <v>-113.25</v>
      </c>
      <c r="U11" s="91" t="s">
        <v>78</v>
      </c>
      <c r="V11" s="91" t="s">
        <v>78</v>
      </c>
      <c r="W11" s="28">
        <v>33</v>
      </c>
      <c r="X11" s="24">
        <v>15.98</v>
      </c>
      <c r="Y11" s="28" t="s">
        <v>78</v>
      </c>
      <c r="Z11" s="28" t="s">
        <v>78</v>
      </c>
      <c r="AA11" s="40" t="s">
        <v>61</v>
      </c>
      <c r="AB11" s="18">
        <v>-5.4</v>
      </c>
      <c r="AC11" s="25">
        <v>0.5</v>
      </c>
      <c r="AD11" s="18" t="s">
        <v>158</v>
      </c>
      <c r="AE11" s="41" t="s">
        <v>62</v>
      </c>
      <c r="AF11" s="18" t="s">
        <v>78</v>
      </c>
      <c r="AG11" s="18" t="s">
        <v>78</v>
      </c>
      <c r="AH11" s="18" t="s">
        <v>78</v>
      </c>
      <c r="AI11" s="18" t="s">
        <v>78</v>
      </c>
      <c r="AJ11" s="18" t="s">
        <v>78</v>
      </c>
      <c r="AK11" s="18" t="s">
        <v>78</v>
      </c>
      <c r="AL11" s="18" t="s">
        <v>78</v>
      </c>
      <c r="AM11" s="18" t="s">
        <v>78</v>
      </c>
      <c r="AN11" s="18" t="s">
        <v>78</v>
      </c>
      <c r="AO11" s="18" t="s">
        <v>78</v>
      </c>
      <c r="AP11" s="18" t="s">
        <v>78</v>
      </c>
      <c r="AQ11" s="18" t="s">
        <v>78</v>
      </c>
      <c r="AR11" s="18" t="s">
        <v>78</v>
      </c>
      <c r="AS11" s="18" t="s">
        <v>78</v>
      </c>
      <c r="AT11" s="18" t="s">
        <v>78</v>
      </c>
      <c r="AU11" s="18" t="s">
        <v>78</v>
      </c>
      <c r="AV11" s="18" t="s">
        <v>78</v>
      </c>
      <c r="AW11" s="18" t="s">
        <v>78</v>
      </c>
      <c r="AX11" s="18" t="s">
        <v>78</v>
      </c>
      <c r="AY11" s="18">
        <v>72</v>
      </c>
      <c r="AZ11" s="18">
        <v>0.88</v>
      </c>
      <c r="BA11" s="18" t="s">
        <v>78</v>
      </c>
      <c r="BB11" s="18" t="s">
        <v>78</v>
      </c>
      <c r="BC11" s="18" t="s">
        <v>78</v>
      </c>
      <c r="BD11" s="18" t="s">
        <v>78</v>
      </c>
      <c r="BE11" s="18" t="s">
        <v>78</v>
      </c>
      <c r="BF11" s="18" t="s">
        <v>78</v>
      </c>
      <c r="BG11" s="18" t="s">
        <v>78</v>
      </c>
      <c r="BH11" s="18" t="s">
        <v>78</v>
      </c>
      <c r="BI11" s="18" t="s">
        <v>78</v>
      </c>
      <c r="BJ11" s="18" t="s">
        <v>78</v>
      </c>
      <c r="BK11" s="18" t="s">
        <v>78</v>
      </c>
      <c r="BL11" s="18" t="s">
        <v>78</v>
      </c>
      <c r="BM11" s="18" t="s">
        <v>78</v>
      </c>
      <c r="BN11" s="18" t="s">
        <v>78</v>
      </c>
      <c r="BO11" s="18" t="s">
        <v>78</v>
      </c>
      <c r="BP11" s="18" t="s">
        <v>78</v>
      </c>
      <c r="BQ11" s="18" t="s">
        <v>78</v>
      </c>
      <c r="BR11" s="18" t="s">
        <v>78</v>
      </c>
      <c r="BS11" s="18" t="s">
        <v>78</v>
      </c>
      <c r="BT11" s="18" t="s">
        <v>78</v>
      </c>
      <c r="BU11" s="18" t="s">
        <v>78</v>
      </c>
      <c r="BV11" s="18" t="s">
        <v>78</v>
      </c>
      <c r="BW11" s="18" t="s">
        <v>78</v>
      </c>
      <c r="BX11" s="19">
        <v>-21.7</v>
      </c>
      <c r="BY11" s="9" t="s">
        <v>65</v>
      </c>
      <c r="BZ11" s="36" t="s">
        <v>66</v>
      </c>
      <c r="CA11" s="19">
        <v>0.28000000000000003</v>
      </c>
      <c r="CB11" s="19" t="s">
        <v>158</v>
      </c>
      <c r="CC11" s="19" t="s">
        <v>158</v>
      </c>
      <c r="CD11" s="45">
        <f t="shared" si="1"/>
        <v>-2.7545454545454522</v>
      </c>
      <c r="CE11" s="38" t="s">
        <v>67</v>
      </c>
      <c r="CF11" s="37" t="s">
        <v>68</v>
      </c>
      <c r="CG11" s="19">
        <v>0.1</v>
      </c>
      <c r="CH11" s="19" t="s">
        <v>158</v>
      </c>
      <c r="CI11" s="19" t="s">
        <v>158</v>
      </c>
      <c r="CJ11" s="19">
        <v>9.5</v>
      </c>
      <c r="CK11" s="19" t="s">
        <v>69</v>
      </c>
      <c r="CL11" s="19">
        <v>4.4000000000000004</v>
      </c>
      <c r="CM11" s="38" t="s">
        <v>160</v>
      </c>
      <c r="CN11" s="19" t="s">
        <v>161</v>
      </c>
      <c r="CO11" s="19" t="s">
        <v>78</v>
      </c>
      <c r="CP11" s="38" t="s">
        <v>159</v>
      </c>
      <c r="CQ11" s="19">
        <v>-16.100000000000001</v>
      </c>
      <c r="CR11" s="19" t="s">
        <v>78</v>
      </c>
      <c r="CS11" s="19" t="s">
        <v>78</v>
      </c>
      <c r="CT11" s="47">
        <f t="shared" si="2"/>
        <v>78.131626278625149</v>
      </c>
      <c r="CU11" s="19" t="s">
        <v>78</v>
      </c>
      <c r="CV11" s="19" t="s">
        <v>78</v>
      </c>
      <c r="CW11" s="19" t="s">
        <v>78</v>
      </c>
      <c r="CX11" s="19" t="s">
        <v>78</v>
      </c>
      <c r="CY11" s="19" t="s">
        <v>78</v>
      </c>
      <c r="CZ11" s="20" t="s">
        <v>78</v>
      </c>
      <c r="DA11" s="19">
        <v>5813</v>
      </c>
      <c r="DB11" s="38" t="s">
        <v>74</v>
      </c>
      <c r="DC11" s="19">
        <v>893</v>
      </c>
      <c r="DD11" s="19">
        <v>893</v>
      </c>
      <c r="DE11" s="38" t="s">
        <v>162</v>
      </c>
      <c r="DF11" s="19" t="s">
        <v>161</v>
      </c>
      <c r="DG11" s="21" t="s">
        <v>78</v>
      </c>
      <c r="DH11" s="21" t="s">
        <v>70</v>
      </c>
      <c r="DI11" s="21" t="s">
        <v>78</v>
      </c>
      <c r="DJ11" s="21" t="s">
        <v>78</v>
      </c>
      <c r="DK11" s="21" t="s">
        <v>52</v>
      </c>
      <c r="DL11" s="21" t="s">
        <v>51</v>
      </c>
      <c r="DM11" s="21" t="s">
        <v>55</v>
      </c>
      <c r="DN11" s="21" t="s">
        <v>78</v>
      </c>
      <c r="DO11" s="21" t="s">
        <v>78</v>
      </c>
      <c r="DP11" s="21" t="s">
        <v>78</v>
      </c>
      <c r="DQ11" s="21" t="s">
        <v>78</v>
      </c>
      <c r="DR11" s="46" t="s">
        <v>71</v>
      </c>
      <c r="DS11" s="21" t="s">
        <v>54</v>
      </c>
      <c r="DT11" s="46" t="s">
        <v>75</v>
      </c>
      <c r="DU11" s="22">
        <v>579</v>
      </c>
      <c r="DV11" s="22" t="s">
        <v>78</v>
      </c>
      <c r="DW11" s="22">
        <v>90</v>
      </c>
      <c r="DX11" s="22">
        <v>90</v>
      </c>
      <c r="DY11" s="74" t="s">
        <v>163</v>
      </c>
      <c r="DZ11" s="22" t="s">
        <v>72</v>
      </c>
      <c r="EA11" s="22" t="s">
        <v>161</v>
      </c>
      <c r="EB11" s="22" t="s">
        <v>78</v>
      </c>
      <c r="EC11" s="22" t="s">
        <v>78</v>
      </c>
      <c r="ED11" s="29" t="s">
        <v>73</v>
      </c>
    </row>
    <row r="12" spans="1:134">
      <c r="A12" s="48" t="s">
        <v>79</v>
      </c>
      <c r="B12" s="30" t="s">
        <v>56</v>
      </c>
      <c r="C12" s="30">
        <v>2009</v>
      </c>
      <c r="D12" s="30" t="s">
        <v>57</v>
      </c>
      <c r="E12" s="30">
        <f t="shared" si="0"/>
        <v>16129.999999999998</v>
      </c>
      <c r="F12" s="32" t="s">
        <v>78</v>
      </c>
      <c r="G12" s="32" t="s">
        <v>78</v>
      </c>
      <c r="H12" s="31">
        <v>487</v>
      </c>
      <c r="I12" s="31">
        <v>97</v>
      </c>
      <c r="J12" s="31">
        <v>97</v>
      </c>
      <c r="K12" s="17" t="s">
        <v>49</v>
      </c>
      <c r="L12" s="33" t="s">
        <v>50</v>
      </c>
      <c r="M12" s="39" t="s">
        <v>58</v>
      </c>
      <c r="N12" s="34" t="s">
        <v>164</v>
      </c>
      <c r="O12" s="42" t="s">
        <v>63</v>
      </c>
      <c r="P12" s="43" t="s">
        <v>64</v>
      </c>
      <c r="Q12" s="27" t="s">
        <v>78</v>
      </c>
      <c r="R12" s="27" t="s">
        <v>59</v>
      </c>
      <c r="S12" s="63">
        <v>44.6875</v>
      </c>
      <c r="T12" s="63">
        <v>-113.25</v>
      </c>
      <c r="U12" s="91" t="s">
        <v>78</v>
      </c>
      <c r="V12" s="91" t="s">
        <v>78</v>
      </c>
      <c r="W12" s="28">
        <v>23</v>
      </c>
      <c r="X12" s="24">
        <v>16.13</v>
      </c>
      <c r="Y12" s="28" t="s">
        <v>78</v>
      </c>
      <c r="Z12" s="28" t="s">
        <v>78</v>
      </c>
      <c r="AA12" s="40" t="s">
        <v>61</v>
      </c>
      <c r="AB12" s="23">
        <v>-5.5</v>
      </c>
      <c r="AC12" s="25">
        <v>0.5</v>
      </c>
      <c r="AD12" s="18" t="s">
        <v>158</v>
      </c>
      <c r="AE12" s="41" t="s">
        <v>62</v>
      </c>
      <c r="AF12" s="18" t="s">
        <v>78</v>
      </c>
      <c r="AG12" s="18" t="s">
        <v>78</v>
      </c>
      <c r="AH12" s="18" t="s">
        <v>78</v>
      </c>
      <c r="AI12" s="18" t="s">
        <v>78</v>
      </c>
      <c r="AJ12" s="18" t="s">
        <v>78</v>
      </c>
      <c r="AK12" s="18" t="s">
        <v>78</v>
      </c>
      <c r="AL12" s="18" t="s">
        <v>78</v>
      </c>
      <c r="AM12" s="18" t="s">
        <v>78</v>
      </c>
      <c r="AN12" s="18" t="s">
        <v>78</v>
      </c>
      <c r="AO12" s="18" t="s">
        <v>78</v>
      </c>
      <c r="AP12" s="18" t="s">
        <v>78</v>
      </c>
      <c r="AQ12" s="18" t="s">
        <v>78</v>
      </c>
      <c r="AR12" s="18" t="s">
        <v>78</v>
      </c>
      <c r="AS12" s="18" t="s">
        <v>78</v>
      </c>
      <c r="AT12" s="18" t="s">
        <v>78</v>
      </c>
      <c r="AU12" s="18" t="s">
        <v>78</v>
      </c>
      <c r="AV12" s="18" t="s">
        <v>78</v>
      </c>
      <c r="AW12" s="18" t="s">
        <v>78</v>
      </c>
      <c r="AX12" s="18" t="s">
        <v>78</v>
      </c>
      <c r="AY12" s="18">
        <v>54</v>
      </c>
      <c r="AZ12" s="18">
        <v>0.9</v>
      </c>
      <c r="BA12" s="18" t="s">
        <v>78</v>
      </c>
      <c r="BB12" s="18" t="s">
        <v>78</v>
      </c>
      <c r="BC12" s="18" t="s">
        <v>78</v>
      </c>
      <c r="BD12" s="18" t="s">
        <v>78</v>
      </c>
      <c r="BE12" s="18" t="s">
        <v>78</v>
      </c>
      <c r="BF12" s="18" t="s">
        <v>78</v>
      </c>
      <c r="BG12" s="18" t="s">
        <v>78</v>
      </c>
      <c r="BH12" s="18" t="s">
        <v>78</v>
      </c>
      <c r="BI12" s="18" t="s">
        <v>78</v>
      </c>
      <c r="BJ12" s="18" t="s">
        <v>78</v>
      </c>
      <c r="BK12" s="18" t="s">
        <v>78</v>
      </c>
      <c r="BL12" s="18" t="s">
        <v>78</v>
      </c>
      <c r="BM12" s="18" t="s">
        <v>78</v>
      </c>
      <c r="BN12" s="18" t="s">
        <v>78</v>
      </c>
      <c r="BO12" s="18" t="s">
        <v>78</v>
      </c>
      <c r="BP12" s="18" t="s">
        <v>78</v>
      </c>
      <c r="BQ12" s="18" t="s">
        <v>78</v>
      </c>
      <c r="BR12" s="18" t="s">
        <v>78</v>
      </c>
      <c r="BS12" s="18" t="s">
        <v>78</v>
      </c>
      <c r="BT12" s="18" t="s">
        <v>78</v>
      </c>
      <c r="BU12" s="18" t="s">
        <v>78</v>
      </c>
      <c r="BV12" s="18" t="s">
        <v>78</v>
      </c>
      <c r="BW12" s="18" t="s">
        <v>78</v>
      </c>
      <c r="BX12" s="19">
        <v>-21.7</v>
      </c>
      <c r="BY12" s="9" t="s">
        <v>65</v>
      </c>
      <c r="BZ12" s="36" t="s">
        <v>66</v>
      </c>
      <c r="CA12" s="19">
        <v>0.28000000000000003</v>
      </c>
      <c r="CB12" s="19" t="s">
        <v>158</v>
      </c>
      <c r="CC12" s="19" t="s">
        <v>158</v>
      </c>
      <c r="CD12" s="45">
        <f t="shared" si="1"/>
        <v>-2.7545454545454522</v>
      </c>
      <c r="CE12" s="38" t="s">
        <v>67</v>
      </c>
      <c r="CF12" s="37" t="s">
        <v>68</v>
      </c>
      <c r="CG12" s="19">
        <v>0.1</v>
      </c>
      <c r="CH12" s="19" t="s">
        <v>158</v>
      </c>
      <c r="CI12" s="19" t="s">
        <v>158</v>
      </c>
      <c r="CJ12" s="19">
        <v>11.2</v>
      </c>
      <c r="CK12" s="19" t="s">
        <v>69</v>
      </c>
      <c r="CL12" s="19">
        <v>4.4000000000000004</v>
      </c>
      <c r="CM12" s="38" t="s">
        <v>160</v>
      </c>
      <c r="CN12" s="19" t="s">
        <v>161</v>
      </c>
      <c r="CO12" s="19" t="s">
        <v>78</v>
      </c>
      <c r="CP12" s="38" t="s">
        <v>159</v>
      </c>
      <c r="CQ12" s="19">
        <v>-16</v>
      </c>
      <c r="CR12" s="19" t="s">
        <v>78</v>
      </c>
      <c r="CS12" s="19" t="s">
        <v>78</v>
      </c>
      <c r="CT12" s="47">
        <f t="shared" si="2"/>
        <v>58.6954485619842</v>
      </c>
      <c r="CU12" s="19" t="s">
        <v>78</v>
      </c>
      <c r="CV12" s="19" t="s">
        <v>78</v>
      </c>
      <c r="CW12" s="19" t="s">
        <v>78</v>
      </c>
      <c r="CX12" s="19" t="s">
        <v>78</v>
      </c>
      <c r="CY12" s="19" t="s">
        <v>78</v>
      </c>
      <c r="CZ12" s="20" t="s">
        <v>78</v>
      </c>
      <c r="DA12" s="19">
        <v>4487</v>
      </c>
      <c r="DB12" s="38" t="s">
        <v>74</v>
      </c>
      <c r="DC12" s="19">
        <v>893</v>
      </c>
      <c r="DD12" s="19">
        <v>893</v>
      </c>
      <c r="DE12" s="38" t="s">
        <v>162</v>
      </c>
      <c r="DF12" s="19" t="s">
        <v>161</v>
      </c>
      <c r="DG12" s="21" t="s">
        <v>78</v>
      </c>
      <c r="DH12" s="21" t="s">
        <v>70</v>
      </c>
      <c r="DI12" s="21" t="s">
        <v>78</v>
      </c>
      <c r="DJ12" s="21" t="s">
        <v>78</v>
      </c>
      <c r="DK12" s="21" t="s">
        <v>52</v>
      </c>
      <c r="DL12" s="21" t="s">
        <v>51</v>
      </c>
      <c r="DM12" s="21" t="s">
        <v>55</v>
      </c>
      <c r="DN12" s="21" t="s">
        <v>78</v>
      </c>
      <c r="DO12" s="21" t="s">
        <v>78</v>
      </c>
      <c r="DP12" s="21" t="s">
        <v>78</v>
      </c>
      <c r="DQ12" s="21" t="s">
        <v>78</v>
      </c>
      <c r="DR12" s="46" t="s">
        <v>71</v>
      </c>
      <c r="DS12" s="21" t="s">
        <v>54</v>
      </c>
      <c r="DT12" s="46" t="s">
        <v>75</v>
      </c>
      <c r="DU12" s="22">
        <v>487</v>
      </c>
      <c r="DV12" s="22" t="s">
        <v>78</v>
      </c>
      <c r="DW12" s="22">
        <v>97</v>
      </c>
      <c r="DX12" s="22">
        <v>97</v>
      </c>
      <c r="DY12" s="74" t="s">
        <v>163</v>
      </c>
      <c r="DZ12" s="22" t="s">
        <v>72</v>
      </c>
      <c r="EA12" s="22" t="s">
        <v>161</v>
      </c>
      <c r="EB12" s="22" t="s">
        <v>78</v>
      </c>
      <c r="EC12" s="22" t="s">
        <v>78</v>
      </c>
      <c r="ED12" s="29" t="s">
        <v>73</v>
      </c>
    </row>
    <row r="13" spans="1:134">
      <c r="A13" s="30"/>
      <c r="B13" s="30"/>
      <c r="C13" s="30"/>
      <c r="D13" s="30"/>
      <c r="E13" s="30"/>
      <c r="F13" s="30"/>
      <c r="G13" s="30"/>
      <c r="H13" s="30"/>
      <c r="I13" s="30"/>
      <c r="J13" s="30"/>
      <c r="M13" s="35"/>
      <c r="U13" s="91"/>
      <c r="V13" s="91"/>
      <c r="X13" s="24"/>
    </row>
    <row r="14" spans="1:134">
      <c r="A14" s="30"/>
      <c r="B14" s="30"/>
      <c r="C14" s="30"/>
      <c r="D14" s="30"/>
      <c r="E14" s="30"/>
      <c r="F14" s="30"/>
      <c r="G14" s="30"/>
      <c r="H14" s="30"/>
      <c r="I14" s="30"/>
      <c r="J14" s="30"/>
      <c r="M14" s="35"/>
      <c r="U14" s="91"/>
      <c r="V14" s="91"/>
      <c r="X14" s="24"/>
    </row>
    <row r="15" spans="1:134">
      <c r="A15" s="30"/>
      <c r="B15" s="30"/>
      <c r="C15" s="30"/>
      <c r="D15" s="30"/>
      <c r="E15" s="30"/>
      <c r="F15" s="30"/>
      <c r="G15" s="30"/>
      <c r="H15" s="30"/>
      <c r="I15" s="30"/>
      <c r="J15" s="30"/>
      <c r="M15" s="35"/>
    </row>
    <row r="16" spans="1:134">
      <c r="A16" s="30"/>
      <c r="B16" s="30"/>
      <c r="C16" s="30"/>
      <c r="D16" s="30"/>
      <c r="E16" s="30"/>
      <c r="F16" s="30"/>
      <c r="G16" s="30"/>
      <c r="H16" s="30"/>
      <c r="I16" s="30"/>
      <c r="J16" s="30"/>
      <c r="M16" s="35"/>
    </row>
    <row r="17" spans="1:18">
      <c r="A17" s="30"/>
      <c r="B17" s="30"/>
      <c r="C17" s="30"/>
      <c r="D17" s="30"/>
      <c r="E17" s="30"/>
      <c r="F17" s="30"/>
      <c r="G17" s="30"/>
      <c r="H17" s="30"/>
      <c r="I17" s="30"/>
      <c r="J17" s="30"/>
    </row>
    <row r="18" spans="1:18">
      <c r="A18" s="30"/>
      <c r="B18" s="30"/>
      <c r="C18" s="30"/>
      <c r="D18" s="30"/>
      <c r="E18" s="30"/>
      <c r="F18" s="30"/>
      <c r="G18" s="30"/>
      <c r="H18" s="30"/>
      <c r="I18" s="30"/>
      <c r="J18" s="30"/>
    </row>
    <row r="19" spans="1:18">
      <c r="A19" s="30"/>
      <c r="B19" s="30"/>
      <c r="C19" s="30"/>
      <c r="D19" s="30"/>
      <c r="E19" s="30"/>
      <c r="F19" s="30"/>
      <c r="G19" s="30"/>
      <c r="H19" s="30"/>
      <c r="I19" s="30"/>
      <c r="J19" s="30"/>
    </row>
    <row r="20" spans="1:18">
      <c r="A20" s="30"/>
      <c r="B20" s="30"/>
      <c r="C20" s="30"/>
      <c r="D20" s="30"/>
      <c r="E20" s="30"/>
      <c r="F20" s="30"/>
      <c r="G20" s="30"/>
      <c r="H20" s="30"/>
      <c r="I20" s="30"/>
      <c r="J20" s="30"/>
    </row>
    <row r="21" spans="1:18">
      <c r="A21" s="30"/>
      <c r="B21" s="30"/>
      <c r="C21" s="30"/>
      <c r="D21" s="30"/>
      <c r="E21" s="30"/>
      <c r="F21" s="30"/>
      <c r="G21" s="30"/>
      <c r="H21" s="30"/>
      <c r="I21" s="30"/>
      <c r="J21" s="30"/>
    </row>
    <row r="22" spans="1:18">
      <c r="A22" s="30"/>
      <c r="B22" s="30"/>
      <c r="C22" s="30"/>
      <c r="D22" s="30"/>
      <c r="E22" s="30"/>
      <c r="F22" s="30"/>
      <c r="G22" s="30"/>
      <c r="H22" s="30"/>
      <c r="I22" s="30"/>
      <c r="J22" s="30"/>
      <c r="O22" s="44"/>
    </row>
    <row r="23" spans="1:18">
      <c r="A23" s="30"/>
      <c r="B23" s="30"/>
      <c r="C23" s="30"/>
      <c r="D23" s="30"/>
      <c r="E23" s="30"/>
      <c r="F23" s="30"/>
      <c r="G23" s="30"/>
      <c r="H23" s="30"/>
      <c r="I23" s="30"/>
      <c r="J23" s="30"/>
    </row>
    <row r="24" spans="1:18">
      <c r="A24" s="30"/>
      <c r="B24" s="30"/>
      <c r="C24" s="30"/>
      <c r="D24" s="30"/>
      <c r="E24" s="30"/>
      <c r="F24" s="30"/>
      <c r="G24" s="30"/>
      <c r="H24" s="30"/>
      <c r="I24" s="30"/>
      <c r="J24" s="30"/>
    </row>
    <row r="25" spans="1:18">
      <c r="A25" s="30"/>
      <c r="B25" s="30"/>
      <c r="C25" s="30"/>
      <c r="D25" s="30"/>
      <c r="E25" s="30"/>
      <c r="F25" s="30"/>
      <c r="G25" s="30"/>
      <c r="H25" s="30"/>
      <c r="I25" s="30"/>
      <c r="J25" s="30"/>
    </row>
    <row r="26" spans="1:18">
      <c r="A26" s="30"/>
      <c r="B26" s="30"/>
      <c r="C26" s="30"/>
      <c r="D26" s="30"/>
      <c r="E26" s="30"/>
      <c r="F26" s="30"/>
      <c r="G26" s="30"/>
      <c r="H26" s="30"/>
      <c r="I26" s="30"/>
      <c r="J26" s="30"/>
      <c r="R26" s="28"/>
    </row>
    <row r="27" spans="1:18">
      <c r="R27" s="28"/>
    </row>
    <row r="28" spans="1:18">
      <c r="R28" s="28"/>
    </row>
    <row r="29" spans="1:18">
      <c r="R29" s="28"/>
    </row>
    <row r="30" spans="1:18">
      <c r="R30" s="28"/>
    </row>
    <row r="31" spans="1:18">
      <c r="R31" s="28"/>
    </row>
    <row r="32" spans="1:18">
      <c r="R32" s="28"/>
    </row>
    <row r="33" spans="18:18">
      <c r="R33" s="28"/>
    </row>
    <row r="34" spans="18:18">
      <c r="R34" s="28"/>
    </row>
  </sheetData>
  <sortState ref="R26:R34">
    <sortCondition descending="1" ref="R26:R34"/>
  </sortState>
  <mergeCells count="6">
    <mergeCell ref="DU2:EC2"/>
    <mergeCell ref="K2:P2"/>
    <mergeCell ref="Q2:AA2"/>
    <mergeCell ref="AB2:BW2"/>
    <mergeCell ref="BX2:DC2"/>
    <mergeCell ref="DG2:DT2"/>
  </mergeCells>
  <phoneticPr fontId="16" type="noConversion"/>
  <hyperlinks>
    <hyperlink ref="L4" r:id="rId1" xr:uid="{B729FF5D-6222-6D45-9393-CFAB800DC097}"/>
    <hyperlink ref="L5" r:id="rId2" xr:uid="{7A175A90-68D8-F54E-B09B-E2D50A488D21}"/>
    <hyperlink ref="L6" r:id="rId3" xr:uid="{81A05234-8540-654E-83BB-0C47574F554D}"/>
    <hyperlink ref="L7" r:id="rId4" xr:uid="{6DAE2D0A-70BC-A546-8C23-250A00686F88}"/>
    <hyperlink ref="L8" r:id="rId5" xr:uid="{888D5FCB-1B94-B647-80FE-F5D29AD09CE4}"/>
    <hyperlink ref="L9" r:id="rId6" xr:uid="{15A2FE75-55D5-9642-864F-D72A67C9C8CA}"/>
    <hyperlink ref="L10" r:id="rId7" xr:uid="{0EE32876-7249-FE47-AEB5-1FA86CE3EB38}"/>
    <hyperlink ref="L11" r:id="rId8" xr:uid="{E5194FF9-D4E8-A349-9E66-FB89236D0CF8}"/>
    <hyperlink ref="L12" r:id="rId9" xr:uid="{59A42E27-5003-F242-A9CD-96473A9FD5B2}"/>
    <hyperlink ref="N4" r:id="rId10" display="http://dx.doi.org/10.1038/358319a0" xr:uid="{AE6B387A-AC75-1A41-A848-B40F2303ADEF}"/>
    <hyperlink ref="N5" r:id="rId11" display="http://dx.doi.org/10.1038/358319a0" xr:uid="{7218A151-4354-AD48-B907-277FDC1BF818}"/>
    <hyperlink ref="N6" r:id="rId12" display="http://dx.doi.org/10.1038/358319a0" xr:uid="{A2FE3871-56F9-174F-9FAB-A2421CBDAFD0}"/>
    <hyperlink ref="N7" r:id="rId13" display="http://dx.doi.org/10.1038/358319a0" xr:uid="{DC04681B-2E09-9449-BA06-8AFE51343705}"/>
    <hyperlink ref="N8" r:id="rId14" display="http://dx.doi.org/10.1038/358319a0" xr:uid="{7229B083-582D-9344-AB31-72C69E216534}"/>
    <hyperlink ref="N9" r:id="rId15" display="http://dx.doi.org/10.1038/358319a0" xr:uid="{D559219F-AB0A-E043-AE9F-8BB65D6C26C9}"/>
    <hyperlink ref="N10" r:id="rId16" display="http://dx.doi.org/10.1038/358319a0" xr:uid="{05030146-9384-054C-A916-ACB7F795D51E}"/>
    <hyperlink ref="N11" r:id="rId17" display="http://dx.doi.org/10.1038/358319a0" xr:uid="{3B0236B4-8FF0-2B46-BC6B-1312F09749C5}"/>
    <hyperlink ref="N12" r:id="rId18" display="http://dx.doi.org/10.1038/358319a0" xr:uid="{D41D9D78-FA29-ED4C-A275-DA1A845741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paleosol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2017-12-08T17:27:39Z</dcterms:created>
  <dcterms:modified xsi:type="dcterms:W3CDTF">2020-08-04T17:25:57Z</dcterms:modified>
</cp:coreProperties>
</file>