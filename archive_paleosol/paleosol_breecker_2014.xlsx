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07E52863-0D4A-A644-AA43-5C27BA017FA8}" xr6:coauthVersionLast="36" xr6:coauthVersionMax="45" xr10:uidLastSave="{00000000-0000-0000-0000-000000000000}"/>
  <bookViews>
    <workbookView xWindow="9940" yWindow="460" windowWidth="25360" windowHeight="15280" tabRatio="500" xr2:uid="{00000000-000D-0000-FFFF-FFFF00000000}"/>
  </bookViews>
  <sheets>
    <sheet name="paleosol" sheetId="1" r:id="rId1"/>
  </sheet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E14" i="1" l="1"/>
  <c r="E13" i="1"/>
  <c r="E12" i="1"/>
  <c r="E11" i="1"/>
  <c r="E10" i="1"/>
  <c r="E9" i="1"/>
  <c r="E8" i="1"/>
  <c r="E7" i="1"/>
  <c r="E6" i="1"/>
  <c r="E5" i="1"/>
  <c r="E4" i="1"/>
  <c r="AY4" i="1"/>
</calcChain>
</file>

<file path=xl/sharedStrings.xml><?xml version="1.0" encoding="utf-8"?>
<sst xmlns="http://schemas.openxmlformats.org/spreadsheetml/2006/main" count="1328" uniqueCount="218">
  <si>
    <t>Data Sources</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</si>
  <si>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</si>
  <si>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</si>
  <si>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</si>
  <si>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</si>
  <si>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</si>
  <si>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</si>
  <si>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</si>
  <si>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</si>
  <si>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</si>
  <si>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</si>
  <si>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</si>
  <si>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</si>
  <si>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</si>
  <si>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</si>
  <si>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</si>
  <si>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</si>
  <si>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</si>
  <si>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</si>
  <si>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</si>
  <si>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</si>
  <si>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</si>
  <si>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</si>
  <si>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</si>
  <si>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</si>
  <si>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</si>
  <si>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</si>
  <si>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</si>
  <si>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</si>
  <si>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</si>
  <si>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</si>
  <si>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</si>
  <si>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</si>
  <si>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</si>
  <si>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</si>
  <si>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</si>
  <si>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</si>
  <si>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</si>
  <si>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Explanation for each additional publications link to the dataset</t>
  </si>
  <si>
    <t>variables considered in error propagation</t>
  </si>
  <si>
    <t>error propagation method</t>
  </si>
  <si>
    <t>Dan Breecker</t>
  </si>
  <si>
    <t>breecker@jsg.utexas.edu</t>
  </si>
  <si>
    <t>No</t>
  </si>
  <si>
    <t>Yes</t>
  </si>
  <si>
    <t>from benthic forams</t>
  </si>
  <si>
    <t>Tipple, B. J., Meyers, S. R., &amp; Pagani, M. (2010). Carbon isotope ratio of Cenozoic CO2: A comparative evaluation of available geochemical proxies. Paleoceanography and Paleoclimatology, 25(3).</t>
  </si>
  <si>
    <t>Breecker, D. O. (2013). Quantifying and understanding the uncertainty of atmospheric CO2 concentrations determined from calcic paleosols. Geochemistry, Geophysics, Geosystems, 14(8), 3210-3220.</t>
  </si>
  <si>
    <r>
      <t>1 +/- 0.5 ‰ (1</t>
    </r>
    <r>
      <rPr>
        <sz val="12"/>
        <color theme="1"/>
        <rFont val="Symbol"/>
        <charset val="2"/>
      </rPr>
      <t>s</t>
    </r>
    <r>
      <rPr>
        <sz val="12"/>
        <color theme="1"/>
        <rFont val="Arial"/>
        <family val="2"/>
      </rPr>
      <t xml:space="preserve">) lower than </t>
    </r>
    <r>
      <rPr>
        <sz val="12"/>
        <color theme="1"/>
        <rFont val="Symbol"/>
        <charset val="2"/>
      </rPr>
      <t>d</t>
    </r>
    <r>
      <rPr>
        <sz val="12"/>
        <color theme="1"/>
        <rFont val="Arial"/>
        <family val="2"/>
      </rPr>
      <t>13C occluded om</t>
    </r>
  </si>
  <si>
    <t>propoagated</t>
  </si>
  <si>
    <t>based on soil order</t>
  </si>
  <si>
    <t>B</t>
  </si>
  <si>
    <t>organic matter occluded in pedogenic calcium carbonate</t>
  </si>
  <si>
    <t>well developed Bk horizons along with absence of slickensides, wedge-shaped peds, or Mollic epipedons</t>
  </si>
  <si>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paleosol carbonate</t>
    </r>
    <r>
      <rPr>
        <sz val="12"/>
        <color theme="1"/>
        <rFont val="Arial"/>
        <family val="2"/>
      </rPr>
      <t xml:space="preserv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organic matter</t>
    </r>
    <r>
      <rPr>
        <sz val="12"/>
        <color theme="1"/>
        <rFont val="Arial"/>
        <family val="2"/>
      </rPr>
      <t xml:space="preserve">, </t>
    </r>
    <r>
      <rPr>
        <sz val="12"/>
        <color theme="1"/>
        <rFont val="Symbol"/>
        <charset val="2"/>
      </rPr>
      <t>D</t>
    </r>
    <r>
      <rPr>
        <sz val="12"/>
        <color theme="1"/>
        <rFont val="Arial"/>
        <family val="2"/>
      </rPr>
      <t>13C</t>
    </r>
    <r>
      <rPr>
        <vertAlign val="subscript"/>
        <sz val="12"/>
        <color theme="1"/>
        <rFont val="Arial"/>
        <family val="2"/>
      </rPr>
      <t>respired CO2-om</t>
    </r>
    <r>
      <rPr>
        <sz val="12"/>
        <color theme="1"/>
        <rFont val="Arial"/>
        <family val="2"/>
      </rPr>
      <t xml:space="preserve">, temperature,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S(z)</t>
    </r>
  </si>
  <si>
    <t>Aridisol</t>
  </si>
  <si>
    <r>
      <t>Breecker, D. O., &amp; Retallack, G. J. (2014). Refining the pedogenic carbonate atmospheric CO2 proxy and application to Miocene CO2. </t>
    </r>
    <r>
      <rPr>
        <i/>
        <sz val="13"/>
        <color rgb="FF222222"/>
        <rFont val="Arial"/>
        <family val="2"/>
      </rPr>
      <t>Palaeogeography, Palaeoclimatology, Palaeoecology</t>
    </r>
    <r>
      <rPr>
        <sz val="13"/>
        <color rgb="FF222222"/>
        <rFont val="Arial"/>
        <family val="2"/>
      </rPr>
      <t>, </t>
    </r>
    <r>
      <rPr>
        <i/>
        <sz val="13"/>
        <color rgb="FF222222"/>
        <rFont val="Arial"/>
        <family val="2"/>
      </rPr>
      <t>406</t>
    </r>
    <r>
      <rPr>
        <sz val="13"/>
        <color rgb="FF222222"/>
        <rFont val="Arial"/>
        <family val="2"/>
      </rPr>
      <t>, 1-8.</t>
    </r>
  </si>
  <si>
    <t>source of paleosol carbonate and organic matter d13C values</t>
  </si>
  <si>
    <t>Ogallala</t>
  </si>
  <si>
    <t>Bridwell</t>
  </si>
  <si>
    <t>Ash Hollow</t>
  </si>
  <si>
    <t>Dawes Clay Mbr, Box Butte Fm</t>
  </si>
  <si>
    <t>Hiwegi</t>
  </si>
  <si>
    <t>Wayondo</t>
  </si>
  <si>
    <t>Monroe Creek - Harrison</t>
  </si>
  <si>
    <t>Mollisol</t>
  </si>
  <si>
    <t>vertic Inceptisol</t>
  </si>
  <si>
    <t>Alfisol</t>
  </si>
  <si>
    <r>
      <t>Cotton, J. M., &amp; Sheldon, N. D. (2012). New constraints on using paleosols to reconstruct atmospheric p CO2. </t>
    </r>
    <r>
      <rPr>
        <i/>
        <sz val="13"/>
        <color rgb="FF222222"/>
        <rFont val="Arial"/>
        <family val="2"/>
      </rPr>
      <t>Bulletin</t>
    </r>
    <r>
      <rPr>
        <sz val="13"/>
        <color rgb="FF222222"/>
        <rFont val="Arial"/>
        <family val="2"/>
      </rPr>
      <t>, </t>
    </r>
    <r>
      <rPr>
        <i/>
        <sz val="13"/>
        <color rgb="FF222222"/>
        <rFont val="Arial"/>
        <family val="2"/>
      </rPr>
      <t>124</t>
    </r>
    <r>
      <rPr>
        <sz val="13"/>
        <color rgb="FF222222"/>
        <rFont val="Arial"/>
        <family val="2"/>
      </rPr>
      <t>(9-10), 1411-1423.</t>
    </r>
  </si>
  <si>
    <t>aliquots of carbonates nodules were dissolved in 7% HCl then rinsed with deionized water</t>
  </si>
  <si>
    <t>nodules</t>
  </si>
  <si>
    <t>Cotton, J. M., &amp; Sheldon, N. D. (2012). New constraints on using paleosols to reconstruct atmospheric p CO2. Bulletin, 124(9-10), 1411-1423.</t>
  </si>
  <si>
    <t>Beaverhead locality, Sixmile Creek</t>
  </si>
  <si>
    <r>
      <t>Hoffman, D. S. (1971). Tertiary stratigraphy, vertebrate paleontology and paleoecology of a portion of the lower Beaverhead River basin. </t>
    </r>
    <r>
      <rPr>
        <i/>
        <sz val="13"/>
        <color rgb="FF222222"/>
        <rFont val="Arial"/>
        <family val="2"/>
      </rPr>
      <t>Madison and Beaverhead counties, Montana [Ph. D. Dissertation]: Missoula, University of Montana, Kuenzi, W. D., &amp; Fields, R. W. (1971). Tertiary stratigraphy, structure, and geologic history, Jefferson Basin, Montana. Geological Society of America Bulletin, 82(12), 3373-3394.</t>
    </r>
  </si>
  <si>
    <t>Breecker, D. O. (2013). Quantifying and understanding the uncertainty of atmospheric CO2 concentrations determined from calcic paleosols. Geochemistry, Geophysics, Geosystems, 14(8), 3210-3220. Sheldon, N. D., Retallack, G. J., &amp; Tanaka, S. (2002). Geochemical climofunctions from North American soils and application to paleosols across the Eocene-Oligocene boundary in Oregon. The Journal of geology, 110(6), 687-696.</t>
  </si>
  <si>
    <t>from MAT reported by Retallack, G. J. (2007). Cenozoic paleoclimate on land in North America. The Journal of Geology, 115(3), 271-294.</t>
  </si>
  <si>
    <t>by Retallack, G. J. (2007). Cenozoic paleoclimate on land in North America. The Journal of Geology, 115(3), 271-294.</t>
  </si>
  <si>
    <t>averages and standard deviations are for four individual paleosols, S(z) and CO2 distrbutions are skewed high</t>
  </si>
  <si>
    <t>S(z) and CO2 distributions are skewed high</t>
  </si>
  <si>
    <t>silt, silty clay, fine sand</t>
  </si>
  <si>
    <t>56 - 200</t>
  </si>
  <si>
    <r>
      <t>Fox, D. L., &amp; Koch, P. L. (2003). Tertiary history of C4 biomass in the Great Plains, USA. </t>
    </r>
    <r>
      <rPr>
        <i/>
        <sz val="13"/>
        <color rgb="FF222222"/>
        <rFont val="Arial"/>
        <family val="2"/>
      </rPr>
      <t>Geology</t>
    </r>
    <r>
      <rPr>
        <sz val="13"/>
        <color rgb="FF222222"/>
        <rFont val="Arial"/>
        <family val="2"/>
      </rPr>
      <t>, </t>
    </r>
    <r>
      <rPr>
        <i/>
        <sz val="13"/>
        <color rgb="FF222222"/>
        <rFont val="Arial"/>
        <family val="2"/>
      </rPr>
      <t>31</t>
    </r>
    <r>
      <rPr>
        <sz val="13"/>
        <color rgb="FF222222"/>
        <rFont val="Arial"/>
        <family val="2"/>
      </rPr>
      <t>(9), 809-812.</t>
    </r>
  </si>
  <si>
    <t>22.4.00.2.1 - 22.4.00.2.15</t>
  </si>
  <si>
    <r>
      <t>Gustavson, T. C. (1996). </t>
    </r>
    <r>
      <rPr>
        <i/>
        <sz val="13"/>
        <color rgb="FF222222"/>
        <rFont val="Arial"/>
        <family val="2"/>
      </rPr>
      <t>Fluvial and eolian depositional systems, paleosols, and paleoclimate of the upper Cenozoic Ogallala and Blackwater Draw formations, southern High Plains, Texas and New Mexico</t>
    </r>
    <r>
      <rPr>
        <sz val="13"/>
        <color rgb="FF222222"/>
        <rFont val="Arial"/>
        <family val="2"/>
      </rPr>
      <t> (Vol. 239). Bureau of Economic Geology, The University of Texas at Austin. Tedford, R.H., Skinner, M.F., Fields, R.W., Rensberger, J.M., Whistler, D.P., Galusha, T., Taylor, B.E., Macdonald,
J.R., and Webb, S.D., 1987, Fauna! succession and biochronology of the Arikareean through Hemphillian internal
(late Oligocene through earliest Pliocene epochs) in North America, in Woodburne, M.O., ed., Cenozoic mammals of
North America: Berkeley, University of California Press, p. 153-210.</t>
    </r>
  </si>
  <si>
    <t>equal to MAT</t>
  </si>
  <si>
    <t>from modern MAT</t>
  </si>
  <si>
    <t>30.5.01</t>
  </si>
  <si>
    <t>Alroy, J., 2003, North American mammalian paleofaunal database: http://www.nceas.ucsb.edu/-alroy/nampfd.html (May 2003). Passey, B.H., Gerling, T.E., Perkins, M.E., Voorhies, M.R., Harris, J.M., and Tucker, S.T., 2002, Environmental
change in the Great Plains: an isotopic record from fossil horses: Journal of Geology, v. 110, p. 123-140. Schultz, G.E., 1990, Clarendonian and Hemphillian vertebrate faunas from the Ogallala Formation (late Mioceneearly
Pliocene) of the Texas Panhandle and adjacent Oklahoma, in Gustavson, T.C., ed., Geologic Framework and
Regional Hydrology: Upper Cenozoic Blackwater Draw and Ogallala Formations, Great Plains: Bureau of Economic
Geology, Austin, p. 83-94.</t>
  </si>
  <si>
    <t>Fox, D. L., &amp; Koch, P. L. (2003). Tertiary history of C4 biomass in the Great Plains, USA. Geology, 31(9), 809-812.</t>
  </si>
  <si>
    <t>Alroy, J., 2003, North American mammalian paleofaunal database: http://www.nceas.ucsb.edu/-alroy/nampfd.html (May 2003).</t>
  </si>
  <si>
    <t>Alroy, J., 2003, North American mammalian paleofaunal database: http://www.nceas.ucsb.edu/-alroy/nampfd.html (May 2003). Winkler, D.A., 1990, Sedimentary facies and biochronology of the Upper Tertiary Ogallala Group, Blanco and Yellow
House Canyons, Texas Panhandle, in Gustavson, T.C., ed., Geologic Framework and Regional Hydrology: Upper
Cenozoic Blackwater Draw and Ogallala Formations, Great Plains: Bureau of Economic Geology, Austin, p. 39-55.</t>
  </si>
  <si>
    <t>24.4.00.2 - 23.4.00.1</t>
  </si>
  <si>
    <t>28.5.01 -29.5.01</t>
  </si>
  <si>
    <t>Alroy, J., 2003, North American mammalian paleofaunal database: http://www.nceas.ucsb.edu/-alroy/nampfd.html (May 2003). Schultz, G.E., 1990, Clarendonian and Hemphillian vertebrate faunas from the Ogallala Formation (late Mioceneearly
Pliocene) of the Texas Panhandle and adjacent Oklahoma, in Gustavson, T.C., ed., Geologic Framework and
Regional Hydrology: Upper Cenozoic Blackwater Draw and Ogallala Formations, Great Plains: Bureau of Economic
Geology, Austin, p. 83-94. Tedford, R.H., Skinner, M.F., Fields, R.W., Rensberger, J.M., Whistler, D.P., Galusha, T., Taylor, B.E., Macdonald,
J.R., and Webb, S.D., 1987, Fauna! succession and biochronology of the Arikareean through Hemphillian internal
(late Oligocene through earliest Pliocene epochs) in North America, in Woodburne, M.O., ed., Cenozoic mammals of
North America: Berkeley, University of California Press, p. 153-210.</t>
  </si>
  <si>
    <t>17.9.00.2</t>
  </si>
  <si>
    <t>Alroy, J., 2003, North American mammalian paleofaunal database: http://www.nceas.ucsb.edu/-alroy/nampfd.html (May 2003). Breyer, J.A., 1981, The Kimballian land-mammal age: Mene, mene, tekel, upharsin (Dan. 5:25): Journal of Paleontology, v. 55, p. 1207-1216.</t>
  </si>
  <si>
    <t>14.9.00.1</t>
  </si>
  <si>
    <t>1.10.99.2 - 1.10.99.3</t>
  </si>
  <si>
    <t>Galusha, T., 1975, Stratigraphy of the Box Butte Formation, Nebraska: Bulletin of the American Museum of Natural History, v. 156, p. 1-68. Tedford, R.H., Skinner, M.F., Fields, R.W., Rensberger, J.M., Whistler, D.P., Galusha, T., Taylor, B.E., Macdonald,
J.R., and Webb, S.D., 1987, Faunal succession and biochronology of the Arikareean through Hemphillian internal
(late Oligocene through earliest Pliocene epochs) in North America, in Woodburne, M.O., ed., Cenozoic mammals of
North America: Berkeley, University of California Press, p. 153-210.</t>
  </si>
  <si>
    <t>30.9.99.1 - 18.9.00.4</t>
  </si>
  <si>
    <t>Tedford, R.H., Skinner, M.F., Fields, R.W., Rensberger, J.M., Whistler, D.P., Galusha, T., Taylor, B.E., Macdonald,
J.R., and Webb, S.D., 1987, Faunal succession and biochronology of the Arikareean through Hemphillian internal
(late Oligocene through earliest Pliocene epochs) in North America, in Woodburne, M.O., ed., Cenozoic mammals of
North America: Berkeley, University of California Press, p. 153-210.</t>
  </si>
  <si>
    <t>S(z) and CO2 distributions are skewed high, soil carbonates collected &gt; 50 cm below top of paleosol</t>
  </si>
  <si>
    <t>HCl insolubale fraction analyzed</t>
  </si>
  <si>
    <t>Bestland, E. A., &amp; Krull, E. S. (1999). Palaeoenvironments of Early Miocene Kisingiri volcano Proconsul sites: evidence from carbon isotopes, palaeosols and hydromagmatic deposits. Journal of the Geological Society, 156(5), 965-976.</t>
  </si>
  <si>
    <t>WT &amp; KN-M</t>
  </si>
  <si>
    <t>Drake, R. E., Van Couvering, J. A., Pickford, M. H., Curtis, G. H., &amp; Harris, J. A. (1988). New chronology for the Early Miocene mammalian faunas of Kisingiri, Western Kenya. Journal of the Geological Society, 145(3), 479-491.</t>
  </si>
  <si>
    <t>G3</t>
  </si>
  <si>
    <t>treated with 2N HCl overnight and then washed until neutral</t>
  </si>
  <si>
    <t>vertic features without well developed Bt or Bk horizon</t>
  </si>
  <si>
    <t>subsurface accumulation of clay</t>
  </si>
  <si>
    <t>mollic epipedon</t>
  </si>
  <si>
    <t>reported in Bestland, E. A., &amp; Retallack, G. J. (1993). Volcanically influenced calcareous palaeosols from the Miocene Kiahera Formation, Rusinga Island, Kenya. Journal of the Geological Society, 150(2), 293-310.</t>
  </si>
  <si>
    <t>S(z) and CO2 distributions are skewed high, age estimated, error associated with d13C values of pedogeic carbonates and organic matter estimated</t>
  </si>
  <si>
    <t>proxy</t>
  </si>
  <si>
    <t>first_author_last_name</t>
  </si>
  <si>
    <t>publication_year</t>
  </si>
  <si>
    <t>doi</t>
  </si>
  <si>
    <t>age_ka</t>
  </si>
  <si>
    <t>Age_uncertainty_pos_ka</t>
  </si>
  <si>
    <t>Age_uncertainty_neg_ka</t>
  </si>
  <si>
    <t>Breecker</t>
  </si>
  <si>
    <t>NA</t>
  </si>
  <si>
    <t>paleosols</t>
  </si>
  <si>
    <t>10.1016/j.palaeo.2014.04.012</t>
  </si>
  <si>
    <t>CO2_ppm</t>
  </si>
  <si>
    <t>CO2_uncertainty_pos_ppm</t>
  </si>
  <si>
    <t>CO2_uncertainty_neg_ppm</t>
  </si>
  <si>
    <t>name_of_individual_entering_data</t>
  </si>
  <si>
    <t>contact_email_of_individual_entering_data</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</si>
  <si>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</si>
  <si>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</si>
  <si>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</si>
  <si>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</si>
  <si>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</si>
  <si>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</si>
  <si>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</si>
  <si>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</si>
  <si>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</si>
  <si>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</si>
  <si>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</si>
  <si>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</si>
  <si>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</si>
  <si>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</si>
  <si>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</si>
  <si>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</si>
  <si>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</si>
  <si>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</si>
  <si>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</si>
  <si>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</si>
  <si>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</si>
  <si>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</si>
  <si>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</si>
  <si>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</si>
  <si>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</si>
  <si>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</si>
  <si>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</si>
  <si>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</si>
  <si>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</si>
  <si>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</si>
  <si>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</si>
  <si>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</si>
  <si>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</si>
  <si>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</si>
  <si>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</si>
  <si>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</si>
  <si>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</si>
  <si>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</si>
  <si>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</si>
  <si>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</si>
  <si>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</si>
  <si>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</si>
  <si>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</si>
  <si>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</si>
  <si>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</si>
  <si>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</si>
  <si>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</si>
  <si>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</si>
  <si>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</si>
  <si>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</si>
  <si>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</si>
  <si>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</si>
  <si>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</si>
  <si>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</si>
  <si>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</si>
  <si>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</si>
  <si>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</si>
  <si>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propagated</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</si>
  <si>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</si>
  <si>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</si>
  <si>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</si>
  <si>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</si>
  <si>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</si>
  <si>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</si>
  <si>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</si>
  <si>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</si>
  <si>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</si>
  <si>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</si>
  <si>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</si>
  <si>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r>
      <t>Atmospheric CO</t>
    </r>
    <r>
      <rPr>
        <vertAlign val="subscript"/>
        <sz val="13"/>
        <color rgb="FF000000"/>
        <rFont val="Arial"/>
        <family val="2"/>
      </rPr>
      <t xml:space="preserve">2 </t>
    </r>
    <r>
      <rPr>
        <sz val="13"/>
        <color rgb="FF000000"/>
        <rFont val="Arial"/>
        <family val="2"/>
      </rPr>
      <t>uncertainty neg ppmV</t>
    </r>
  </si>
  <si>
    <t xml:space="preserve">NA </t>
  </si>
  <si>
    <t>1 sd</t>
  </si>
  <si>
    <t>variability of S(z) associated with designated soil order</t>
  </si>
  <si>
    <t>1 se</t>
  </si>
  <si>
    <t>regression error</t>
  </si>
  <si>
    <t>estimate</t>
  </si>
  <si>
    <t>0,.23</t>
  </si>
  <si>
    <t>variance of 5 values reported by Tipple et al nearest in age</t>
  </si>
  <si>
    <t>analytical error and error (+/- 0.5%) associated with relating occluded om d13C values to d13Cr</t>
  </si>
  <si>
    <t>length of error bar extending to 84th and 16th percentiles</t>
  </si>
  <si>
    <t>S(z) uncertainty  neg ppm</t>
  </si>
  <si>
    <t>S(z) uncertainty pos ppm</t>
  </si>
  <si>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</si>
  <si>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</si>
  <si>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</si>
  <si>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</si>
  <si>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Atmospheric CO</t>
    </r>
    <r>
      <rPr>
        <vertAlign val="subscript"/>
        <sz val="13"/>
        <color rgb="FF000000"/>
        <rFont val="Arial"/>
        <family val="2"/>
      </rPr>
      <t xml:space="preserve">2 </t>
    </r>
    <r>
      <rPr>
        <sz val="13"/>
        <color rgb="FF000000"/>
        <rFont val="Arial"/>
        <family val="2"/>
      </rPr>
      <t>uncertaintypos  ppmV</t>
    </r>
  </si>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</sst>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2"/>
      <color rgb="FF000000"/>
      <name val="Arial"/>
      <family val="2"/>
    </font>
    <font>
      <sz val="11"/>
      <color rgb="FF000000"/>
      <name val="Calibri"/>
      <family val="2"/>
      <charset val="1"/>
    </font>
    <font>
      <sz val="13"/>
      <color rgb="FF222222"/>
      <name val="Arial"/>
      <family val="2"/>
    </font>
    <font>
      <sz val="12"/>
      <color theme="1"/>
      <name val="Symbol"/>
      <charset val="2"/>
    </font>
    <font>
      <sz val="12"/>
      <color rgb="FF222222"/>
      <name val="Arial"/>
      <family val="2"/>
    </font>
    <font>
      <u/>
      <sz val="12"/>
      <color theme="11"/>
      <name val="Calibri"/>
      <family val="2"/>
      <scheme val="minor"/>
    </font>
    <font>
      <u/>
      <sz val="12"/>
      <color theme="10"/>
      <name val="Calibri"/>
      <family val="2"/>
      <scheme val="minor"/>
    </font>
    <font>
      <vertAlign val="subscript"/>
      <sz val="12"/>
      <color theme="1"/>
      <name val="Arial"/>
      <family val="2"/>
    </font>
    <font>
      <vertAlign val="superscript"/>
      <sz val="12"/>
      <color theme="1"/>
      <name val="Arial"/>
      <family val="2"/>
    </font>
    <font>
      <i/>
      <sz val="13"/>
      <color rgb="FF222222"/>
      <name val="Arial"/>
      <family val="2"/>
    </font>
    <font>
      <sz val="13"/>
      <color theme="1"/>
      <name val="Helvetica"/>
      <family val="2"/>
    </font>
    <font>
      <sz val="14"/>
      <name val="Arial"/>
      <family val="2"/>
    </font>
    <font>
      <sz val="14"/>
      <color theme="1"/>
      <name val="Arial"/>
      <family val="2"/>
    </font>
    <font>
      <sz val="11"/>
      <name val="Arial"/>
      <family val="2"/>
    </font>
    <font>
      <sz val="13"/>
      <color rgb="FF000000"/>
      <name val="Arial"/>
      <family val="2"/>
      <charset val="2"/>
    </font>
    <font>
      <sz val="12"/>
      <name val="Verdana"/>
      <family val="2"/>
    </font>
  </fonts>
  <fills count="14">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EDEDED"/>
        <bgColor indexed="64"/>
      </patternFill>
    </fill>
    <fill>
      <patternFill patternType="solid">
        <fgColor theme="5" tint="0.79998168889431442"/>
        <bgColor rgb="FF000000"/>
      </patternFill>
    </fill>
    <fill>
      <patternFill patternType="solid">
        <fgColor theme="7" tint="0.79998168889431442"/>
        <bgColor rgb="FF000000"/>
      </patternFill>
    </fill>
    <fill>
      <patternFill patternType="solid">
        <fgColor theme="8" tint="0.79998168889431442"/>
        <bgColor rgb="FF000000"/>
      </patternFill>
    </fill>
    <fill>
      <patternFill patternType="solid">
        <fgColor theme="2"/>
        <bgColor indexed="64"/>
      </patternFill>
    </fill>
  </fills>
  <borders count="9">
    <border>
      <left/>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s>
  <cellStyleXfs count="6">
    <xf numFmtId="0" fontId="0" fillId="0" borderId="0"/>
    <xf numFmtId="0" fontId="11" fillId="0" borderId="0"/>
    <xf numFmtId="0" fontId="1" fillId="0" borderId="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cellStyleXfs>
  <cellXfs count="118">
    <xf numFmtId="0" fontId="0" fillId="0" borderId="0" xfId="0"/>
    <xf numFmtId="0" fontId="2" fillId="0" borderId="1" xfId="0" applyFont="1" applyFill="1" applyBorder="1" applyAlignment="1">
      <alignment wrapText="1"/>
    </xf>
    <xf numFmtId="0" fontId="3" fillId="0" borderId="2" xfId="0" applyFont="1" applyFill="1" applyBorder="1"/>
    <xf numFmtId="0" fontId="3" fillId="0" borderId="3" xfId="0" applyFont="1" applyFill="1" applyBorder="1"/>
    <xf numFmtId="0" fontId="3" fillId="0" borderId="0" xfId="0" applyFont="1" applyFill="1"/>
    <xf numFmtId="0" fontId="4" fillId="0" borderId="0" xfId="0" applyFont="1" applyBorder="1" applyAlignment="1">
      <alignment horizontal="center" vertical="center" wrapText="1"/>
    </xf>
    <xf numFmtId="0" fontId="2" fillId="0" borderId="6" xfId="0" applyFont="1" applyBorder="1" applyAlignment="1">
      <alignment wrapText="1"/>
    </xf>
    <xf numFmtId="0" fontId="3" fillId="4" borderId="7" xfId="0" applyFont="1" applyFill="1" applyBorder="1"/>
    <xf numFmtId="0" fontId="3" fillId="5" borderId="7" xfId="0" applyFont="1" applyFill="1" applyBorder="1"/>
    <xf numFmtId="0" fontId="3" fillId="6" borderId="7" xfId="0" applyFont="1" applyFill="1" applyBorder="1"/>
    <xf numFmtId="0" fontId="3" fillId="0" borderId="0" xfId="0" applyFont="1"/>
    <xf numFmtId="0" fontId="2" fillId="0" borderId="3" xfId="0" applyFont="1" applyBorder="1" applyAlignment="1">
      <alignment wrapText="1"/>
    </xf>
    <xf numFmtId="0" fontId="3" fillId="2" borderId="5" xfId="0" applyFont="1" applyFill="1" applyBorder="1"/>
    <xf numFmtId="0" fontId="3" fillId="3" borderId="5" xfId="0" applyFont="1" applyFill="1" applyBorder="1"/>
    <xf numFmtId="0" fontId="3" fillId="4" borderId="5" xfId="0" applyFont="1" applyFill="1" applyBorder="1"/>
    <xf numFmtId="0" fontId="3" fillId="5" borderId="5" xfId="0" applyFont="1" applyFill="1" applyBorder="1"/>
    <xf numFmtId="0" fontId="3" fillId="6" borderId="5" xfId="0" applyFont="1" applyFill="1" applyBorder="1"/>
    <xf numFmtId="0" fontId="2" fillId="0" borderId="3" xfId="0" applyFont="1" applyBorder="1" applyAlignment="1"/>
    <xf numFmtId="0" fontId="3" fillId="3" borderId="7" xfId="0" applyFont="1" applyFill="1" applyBorder="1" applyAlignment="1">
      <alignment horizontal="center"/>
    </xf>
    <xf numFmtId="0" fontId="3" fillId="4" borderId="7" xfId="0" applyFont="1" applyFill="1" applyBorder="1" applyAlignment="1">
      <alignment horizontal="center"/>
    </xf>
    <xf numFmtId="0" fontId="3" fillId="5" borderId="7" xfId="0" applyFont="1" applyFill="1" applyBorder="1" applyAlignment="1">
      <alignment horizontal="center"/>
    </xf>
    <xf numFmtId="0" fontId="3" fillId="5" borderId="5" xfId="0" applyFont="1" applyFill="1" applyBorder="1" applyAlignment="1">
      <alignment horizontal="center"/>
    </xf>
    <xf numFmtId="164" fontId="3" fillId="3" borderId="7" xfId="0" applyNumberFormat="1" applyFont="1" applyFill="1" applyBorder="1" applyAlignment="1">
      <alignment horizontal="center"/>
    </xf>
    <xf numFmtId="164" fontId="3" fillId="3" borderId="5" xfId="0" applyNumberFormat="1" applyFont="1" applyFill="1" applyBorder="1" applyAlignment="1">
      <alignment horizontal="center"/>
    </xf>
    <xf numFmtId="164" fontId="3" fillId="3" borderId="5" xfId="0" applyNumberFormat="1" applyFont="1" applyFill="1" applyBorder="1"/>
    <xf numFmtId="0" fontId="10" fillId="2" borderId="7" xfId="0" applyFont="1" applyFill="1" applyBorder="1" applyAlignment="1">
      <alignment horizontal="center"/>
    </xf>
    <xf numFmtId="164" fontId="3" fillId="4" borderId="7" xfId="0" applyNumberFormat="1" applyFont="1" applyFill="1" applyBorder="1" applyAlignment="1">
      <alignment horizontal="center"/>
    </xf>
    <xf numFmtId="164" fontId="3" fillId="4" borderId="5" xfId="0" applyNumberFormat="1" applyFont="1" applyFill="1" applyBorder="1" applyAlignment="1">
      <alignment horizontal="center"/>
    </xf>
    <xf numFmtId="1" fontId="3" fillId="0" borderId="7" xfId="0" applyNumberFormat="1" applyFont="1" applyFill="1" applyBorder="1"/>
    <xf numFmtId="2" fontId="3" fillId="2" borderId="7" xfId="0" applyNumberFormat="1" applyFont="1" applyFill="1" applyBorder="1" applyAlignment="1">
      <alignment horizontal="center"/>
    </xf>
    <xf numFmtId="2" fontId="3" fillId="2" borderId="5" xfId="0" applyNumberFormat="1" applyFont="1" applyFill="1" applyBorder="1" applyAlignment="1">
      <alignment horizontal="center"/>
    </xf>
    <xf numFmtId="0" fontId="14" fillId="4" borderId="5" xfId="0" applyFont="1" applyFill="1" applyBorder="1"/>
    <xf numFmtId="0" fontId="14" fillId="4" borderId="7" xfId="0" applyFont="1" applyFill="1" applyBorder="1"/>
    <xf numFmtId="1" fontId="3" fillId="4" borderId="7" xfId="0" applyNumberFormat="1" applyFont="1" applyFill="1" applyBorder="1" applyAlignment="1">
      <alignment horizontal="center"/>
    </xf>
    <xf numFmtId="0" fontId="2" fillId="0" borderId="5" xfId="0" applyFont="1" applyBorder="1"/>
    <xf numFmtId="0" fontId="2" fillId="0" borderId="7" xfId="0" applyFont="1" applyBorder="1"/>
    <xf numFmtId="164" fontId="10" fillId="2" borderId="7" xfId="0" applyNumberFormat="1" applyFont="1" applyFill="1" applyBorder="1" applyAlignment="1">
      <alignment horizontal="center"/>
    </xf>
    <xf numFmtId="0" fontId="3" fillId="5" borderId="7" xfId="0" applyFont="1" applyFill="1" applyBorder="1" applyAlignment="1">
      <alignment horizontal="left"/>
    </xf>
    <xf numFmtId="1" fontId="3" fillId="6" borderId="7" xfId="0" applyNumberFormat="1" applyFont="1" applyFill="1" applyBorder="1" applyAlignment="1">
      <alignment horizontal="center"/>
    </xf>
    <xf numFmtId="1" fontId="3" fillId="3" borderId="7" xfId="0" applyNumberFormat="1" applyFont="1" applyFill="1" applyBorder="1" applyAlignment="1">
      <alignment horizontal="center"/>
    </xf>
    <xf numFmtId="0" fontId="12" fillId="0" borderId="5" xfId="0" applyFont="1" applyBorder="1"/>
    <xf numFmtId="0" fontId="12" fillId="0" borderId="7" xfId="0" applyFont="1" applyBorder="1"/>
    <xf numFmtId="0" fontId="16" fillId="0" borderId="5" xfId="4" applyBorder="1"/>
    <xf numFmtId="0" fontId="2" fillId="0" borderId="5" xfId="0" applyFont="1" applyBorder="1" applyAlignment="1">
      <alignment wrapText="1"/>
    </xf>
    <xf numFmtId="0" fontId="16" fillId="0" borderId="7" xfId="4" applyBorder="1"/>
    <xf numFmtId="0" fontId="12" fillId="0" borderId="7" xfId="0" applyFont="1" applyBorder="1" applyAlignment="1">
      <alignment horizontal="left"/>
    </xf>
    <xf numFmtId="0" fontId="10" fillId="2" borderId="7" xfId="0" applyFont="1" applyFill="1" applyBorder="1" applyAlignment="1">
      <alignment horizontal="left"/>
    </xf>
    <xf numFmtId="0" fontId="3" fillId="2" borderId="5" xfId="0" applyFont="1" applyFill="1" applyBorder="1" applyAlignment="1">
      <alignment horizontal="left"/>
    </xf>
    <xf numFmtId="0" fontId="12" fillId="3" borderId="7" xfId="0" applyFont="1" applyFill="1" applyBorder="1" applyAlignment="1">
      <alignment horizontal="left"/>
    </xf>
    <xf numFmtId="0" fontId="12" fillId="3" borderId="5" xfId="0" applyFont="1" applyFill="1" applyBorder="1" applyAlignment="1">
      <alignment horizontal="left"/>
    </xf>
    <xf numFmtId="0" fontId="14" fillId="3" borderId="7" xfId="0" applyFont="1" applyFill="1" applyBorder="1" applyAlignment="1">
      <alignment horizontal="center"/>
    </xf>
    <xf numFmtId="2" fontId="2" fillId="4" borderId="7" xfId="0" applyNumberFormat="1" applyFont="1" applyFill="1" applyBorder="1" applyAlignment="1">
      <alignment horizontal="center"/>
    </xf>
    <xf numFmtId="0" fontId="12" fillId="0" borderId="5" xfId="0" applyFont="1" applyBorder="1" applyAlignment="1">
      <alignment horizontal="left"/>
    </xf>
    <xf numFmtId="0" fontId="3" fillId="2" borderId="5" xfId="0" applyFont="1" applyFill="1" applyBorder="1" applyAlignment="1"/>
    <xf numFmtId="0" fontId="12" fillId="7" borderId="7" xfId="0" applyFont="1" applyFill="1" applyBorder="1" applyAlignment="1"/>
    <xf numFmtId="0" fontId="2" fillId="7" borderId="5" xfId="0" applyFont="1" applyFill="1" applyBorder="1" applyAlignment="1"/>
    <xf numFmtId="0" fontId="12" fillId="7" borderId="5" xfId="0" applyFont="1" applyFill="1" applyBorder="1" applyAlignment="1"/>
    <xf numFmtId="0" fontId="20" fillId="7" borderId="5" xfId="0" applyFont="1" applyFill="1" applyBorder="1" applyAlignment="1"/>
    <xf numFmtId="0" fontId="20" fillId="7" borderId="5" xfId="0" applyFont="1" applyFill="1" applyBorder="1"/>
    <xf numFmtId="0" fontId="2" fillId="7" borderId="5" xfId="0" applyFont="1" applyFill="1" applyBorder="1" applyAlignment="1">
      <alignment horizontal="left"/>
    </xf>
    <xf numFmtId="0" fontId="3" fillId="3" borderId="7" xfId="0" applyFont="1" applyFill="1" applyBorder="1" applyAlignment="1">
      <alignment horizontal="left"/>
    </xf>
    <xf numFmtId="0" fontId="3" fillId="0" borderId="8" xfId="0" applyFont="1" applyBorder="1"/>
    <xf numFmtId="0" fontId="16" fillId="0" borderId="8" xfId="4" applyBorder="1"/>
    <xf numFmtId="1" fontId="3" fillId="0" borderId="8" xfId="0" applyNumberFormat="1" applyFont="1" applyBorder="1"/>
    <xf numFmtId="0" fontId="3" fillId="0" borderId="5" xfId="0" applyFont="1" applyBorder="1"/>
    <xf numFmtId="1" fontId="3" fillId="0" borderId="5" xfId="0" applyNumberFormat="1" applyFont="1" applyBorder="1"/>
    <xf numFmtId="0" fontId="3" fillId="0" borderId="5" xfId="0" applyFont="1" applyBorder="1" applyAlignment="1">
      <alignment vertical="center"/>
    </xf>
    <xf numFmtId="0" fontId="3" fillId="0" borderId="5" xfId="0" applyFont="1" applyBorder="1" applyAlignment="1">
      <alignment vertical="center" wrapText="1"/>
    </xf>
    <xf numFmtId="49" fontId="21" fillId="0" borderId="4" xfId="0" applyNumberFormat="1" applyFont="1" applyBorder="1" applyAlignment="1">
      <alignment vertical="center" wrapText="1"/>
    </xf>
    <xf numFmtId="49" fontId="21" fillId="0" borderId="2" xfId="0" applyNumberFormat="1" applyFont="1" applyBorder="1" applyAlignment="1">
      <alignment vertical="center" wrapText="1"/>
    </xf>
    <xf numFmtId="0" fontId="22" fillId="8" borderId="2" xfId="0" applyFont="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6" fillId="2" borderId="5" xfId="0" applyFont="1" applyFill="1" applyBorder="1" applyAlignment="1">
      <alignment vertical="center" wrapText="1"/>
    </xf>
    <xf numFmtId="0" fontId="23" fillId="9" borderId="5" xfId="0" applyFont="1" applyFill="1" applyBorder="1" applyAlignment="1">
      <alignment vertical="center" wrapText="1"/>
    </xf>
    <xf numFmtId="0" fontId="6" fillId="3" borderId="5" xfId="0" applyFont="1" applyFill="1" applyBorder="1" applyAlignment="1">
      <alignment vertical="center" wrapText="1"/>
    </xf>
    <xf numFmtId="0" fontId="6" fillId="4" borderId="5" xfId="0" applyFont="1" applyFill="1" applyBorder="1" applyAlignment="1">
      <alignment vertical="center" wrapText="1"/>
    </xf>
    <xf numFmtId="0" fontId="6" fillId="5" borderId="5" xfId="0" applyFont="1" applyFill="1" applyBorder="1" applyAlignment="1">
      <alignment vertical="center" wrapText="1"/>
    </xf>
    <xf numFmtId="0" fontId="3" fillId="6" borderId="4" xfId="0" applyFont="1" applyFill="1" applyBorder="1"/>
    <xf numFmtId="0" fontId="3" fillId="6" borderId="2" xfId="0" applyFont="1" applyFill="1" applyBorder="1"/>
    <xf numFmtId="0" fontId="6" fillId="10" borderId="5" xfId="0" applyFont="1" applyFill="1" applyBorder="1" applyAlignment="1">
      <alignment vertical="center" wrapText="1"/>
    </xf>
    <xf numFmtId="0" fontId="3" fillId="6" borderId="0" xfId="0" applyFont="1" applyFill="1"/>
    <xf numFmtId="0" fontId="3" fillId="4" borderId="4" xfId="0" applyFont="1" applyFill="1" applyBorder="1"/>
    <xf numFmtId="0" fontId="3" fillId="4" borderId="2" xfId="0" applyFont="1" applyFill="1" applyBorder="1"/>
    <xf numFmtId="0" fontId="3" fillId="4" borderId="0" xfId="0" applyFont="1" applyFill="1"/>
    <xf numFmtId="0" fontId="24" fillId="11" borderId="5" xfId="0" applyFont="1" applyFill="1" applyBorder="1" applyAlignment="1">
      <alignment vertical="center" wrapText="1"/>
    </xf>
    <xf numFmtId="0" fontId="6" fillId="11" borderId="5" xfId="0" applyFont="1" applyFill="1" applyBorder="1" applyAlignment="1">
      <alignment vertical="center" wrapText="1"/>
    </xf>
    <xf numFmtId="0" fontId="10" fillId="11" borderId="7" xfId="0" applyFont="1" applyFill="1" applyBorder="1" applyAlignment="1">
      <alignment horizontal="center"/>
    </xf>
    <xf numFmtId="0" fontId="3" fillId="3" borderId="4" xfId="0" applyFont="1" applyFill="1" applyBorder="1"/>
    <xf numFmtId="0" fontId="3" fillId="3" borderId="2" xfId="0" applyFont="1" applyFill="1" applyBorder="1"/>
    <xf numFmtId="0" fontId="24" fillId="12" borderId="5" xfId="0" applyFont="1" applyFill="1" applyBorder="1" applyAlignment="1">
      <alignment vertical="center" wrapText="1"/>
    </xf>
    <xf numFmtId="0" fontId="6" fillId="12" borderId="5" xfId="0" applyFont="1" applyFill="1" applyBorder="1" applyAlignment="1">
      <alignment vertical="center" wrapText="1"/>
    </xf>
    <xf numFmtId="0" fontId="4" fillId="4" borderId="2" xfId="0" applyFont="1" applyFill="1" applyBorder="1" applyAlignment="1">
      <alignment horizontal="center" vertical="center" wrapText="1"/>
    </xf>
    <xf numFmtId="0" fontId="3" fillId="4" borderId="0" xfId="0" applyFont="1" applyFill="1" applyBorder="1"/>
    <xf numFmtId="164" fontId="24" fillId="11" borderId="5" xfId="0" applyNumberFormat="1" applyFont="1" applyFill="1" applyBorder="1" applyAlignment="1">
      <alignment vertical="center" wrapText="1"/>
    </xf>
    <xf numFmtId="0" fontId="6" fillId="6" borderId="5" xfId="0" applyFont="1" applyFill="1" applyBorder="1" applyAlignment="1">
      <alignment vertical="center" wrapText="1"/>
    </xf>
    <xf numFmtId="0" fontId="6" fillId="0" borderId="5" xfId="0" applyFont="1" applyBorder="1" applyAlignment="1">
      <alignment horizontal="center" vertical="center" wrapText="1"/>
    </xf>
    <xf numFmtId="2" fontId="3" fillId="4" borderId="7" xfId="0" applyNumberFormat="1" applyFont="1" applyFill="1" applyBorder="1" applyAlignment="1">
      <alignment horizontal="center"/>
    </xf>
    <xf numFmtId="0" fontId="4" fillId="4" borderId="2" xfId="0" applyFont="1" applyFill="1" applyBorder="1" applyAlignment="1">
      <alignment horizontal="center" vertical="center" wrapText="1"/>
    </xf>
    <xf numFmtId="0" fontId="3" fillId="4" borderId="7" xfId="0" applyFont="1" applyFill="1" applyBorder="1" applyAlignment="1">
      <alignment horizontal="left"/>
    </xf>
    <xf numFmtId="164" fontId="3" fillId="4" borderId="7" xfId="0" applyNumberFormat="1" applyFont="1" applyFill="1" applyBorder="1" applyAlignment="1">
      <alignment horizontal="left"/>
    </xf>
    <xf numFmtId="1" fontId="3" fillId="0" borderId="5" xfId="0" applyNumberFormat="1" applyFont="1" applyFill="1" applyBorder="1" applyAlignment="1">
      <alignment vertical="center"/>
    </xf>
    <xf numFmtId="0" fontId="3" fillId="0" borderId="5" xfId="0" quotePrefix="1" applyFont="1" applyFill="1" applyBorder="1" applyAlignment="1">
      <alignment vertical="center" wrapText="1"/>
    </xf>
    <xf numFmtId="0" fontId="3" fillId="0" borderId="5" xfId="0" applyFont="1" applyFill="1" applyBorder="1" applyAlignment="1">
      <alignment vertical="center" wrapText="1"/>
    </xf>
    <xf numFmtId="0" fontId="24" fillId="10" borderId="5" xfId="0" applyFont="1" applyFill="1" applyBorder="1" applyAlignment="1">
      <alignment vertical="center" wrapText="1"/>
    </xf>
    <xf numFmtId="0" fontId="4" fillId="6" borderId="4" xfId="0" applyFont="1" applyFill="1" applyBorder="1" applyAlignment="1">
      <alignment horizontal="center" vertical="center" wrapText="1"/>
    </xf>
    <xf numFmtId="0" fontId="0" fillId="6" borderId="2" xfId="0" applyFill="1" applyBorder="1" applyAlignment="1">
      <alignment horizontal="center" vertical="center" wrapText="1"/>
    </xf>
    <xf numFmtId="0" fontId="4" fillId="0" borderId="1"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3" fillId="2" borderId="7" xfId="0" applyFont="1" applyFill="1" applyBorder="1"/>
    <xf numFmtId="0" fontId="25" fillId="13" borderId="5" xfId="0" applyFont="1" applyFill="1" applyBorder="1" applyAlignment="1">
      <alignment horizontal="center" vertical="center" wrapText="1"/>
    </xf>
  </cellXfs>
  <cellStyles count="6">
    <cellStyle name="Followed Hyperlink" xfId="3" builtinId="9" hidden="1"/>
    <cellStyle name="Followed Hyperlink" xfId="5" builtinId="9" hidden="1"/>
    <cellStyle name="Hyperlink" xfId="4" builtinId="8"/>
    <cellStyle name="Normal" xfId="0" builtinId="0"/>
    <cellStyle name="Normal 3" xfId="1" xr:uid="{00000000-0005-0000-0000-000004000000}"/>
    <cellStyle name="Normal 4" xfId="2" xr:uid="{00000000-0005-0000-0000-000005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palaeo.2014.04.012" TargetMode="External"/><Relationship Id="rId13" Type="http://schemas.openxmlformats.org/officeDocument/2006/relationships/hyperlink" Target="https://doi.org/10.1016/j.palaeo.2014.04.012" TargetMode="External"/><Relationship Id="rId18" Type="http://schemas.openxmlformats.org/officeDocument/2006/relationships/hyperlink" Target="https://doi.org/10.1016/j.palaeo.2014.04.012" TargetMode="External"/><Relationship Id="rId3" Type="http://schemas.openxmlformats.org/officeDocument/2006/relationships/hyperlink" Target="https://doi.org/10.1016/j.palaeo.2014.04.012" TargetMode="External"/><Relationship Id="rId21" Type="http://schemas.openxmlformats.org/officeDocument/2006/relationships/hyperlink" Target="https://doi.org/10.1016/j.palaeo.2014.04.012" TargetMode="External"/><Relationship Id="rId7" Type="http://schemas.openxmlformats.org/officeDocument/2006/relationships/hyperlink" Target="https://doi.org/10.1016/j.palaeo.2014.04.012" TargetMode="External"/><Relationship Id="rId12" Type="http://schemas.openxmlformats.org/officeDocument/2006/relationships/hyperlink" Target="https://doi.org/10.1016/j.palaeo.2014.04.012" TargetMode="External"/><Relationship Id="rId17" Type="http://schemas.openxmlformats.org/officeDocument/2006/relationships/hyperlink" Target="https://doi.org/10.1016/j.palaeo.2014.04.012" TargetMode="External"/><Relationship Id="rId2" Type="http://schemas.openxmlformats.org/officeDocument/2006/relationships/hyperlink" Target="https://doi.org/10.1016/j.palaeo.2014.04.012" TargetMode="External"/><Relationship Id="rId16" Type="http://schemas.openxmlformats.org/officeDocument/2006/relationships/hyperlink" Target="https://doi.org/10.1016/j.palaeo.2014.04.012" TargetMode="External"/><Relationship Id="rId20" Type="http://schemas.openxmlformats.org/officeDocument/2006/relationships/hyperlink" Target="https://doi.org/10.1016/j.palaeo.2014.04.012" TargetMode="External"/><Relationship Id="rId1" Type="http://schemas.openxmlformats.org/officeDocument/2006/relationships/hyperlink" Target="https://doi.org/10.1016/j.palaeo.2014.04.012" TargetMode="External"/><Relationship Id="rId6" Type="http://schemas.openxmlformats.org/officeDocument/2006/relationships/hyperlink" Target="https://doi.org/10.1016/j.palaeo.2014.04.012" TargetMode="External"/><Relationship Id="rId11" Type="http://schemas.openxmlformats.org/officeDocument/2006/relationships/hyperlink" Target="https://doi.org/10.1016/j.palaeo.2014.04.012" TargetMode="External"/><Relationship Id="rId5" Type="http://schemas.openxmlformats.org/officeDocument/2006/relationships/hyperlink" Target="https://doi.org/10.1016/j.palaeo.2014.04.012" TargetMode="External"/><Relationship Id="rId15" Type="http://schemas.openxmlformats.org/officeDocument/2006/relationships/hyperlink" Target="https://doi.org/10.1016/j.palaeo.2014.04.012" TargetMode="External"/><Relationship Id="rId10" Type="http://schemas.openxmlformats.org/officeDocument/2006/relationships/hyperlink" Target="https://doi.org/10.1016/j.palaeo.2014.04.012" TargetMode="External"/><Relationship Id="rId19" Type="http://schemas.openxmlformats.org/officeDocument/2006/relationships/hyperlink" Target="https://doi.org/10.1016/j.palaeo.2014.04.012" TargetMode="External"/><Relationship Id="rId4" Type="http://schemas.openxmlformats.org/officeDocument/2006/relationships/hyperlink" Target="https://doi.org/10.1016/j.palaeo.2014.04.012" TargetMode="External"/><Relationship Id="rId9" Type="http://schemas.openxmlformats.org/officeDocument/2006/relationships/hyperlink" Target="https://doi.org/10.1016/j.palaeo.2014.04.012" TargetMode="External"/><Relationship Id="rId14" Type="http://schemas.openxmlformats.org/officeDocument/2006/relationships/hyperlink" Target="https://doi.org/10.1016/j.palaeo.2014.04.012" TargetMode="External"/><Relationship Id="rId22" Type="http://schemas.openxmlformats.org/officeDocument/2006/relationships/hyperlink" Target="https://doi.org/10.1016/j.palaeo.2014.04.0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D887"/>
  <sheetViews>
    <sheetView tabSelected="1" topLeftCell="Q1" zoomScaleNormal="100" workbookViewId="0">
      <selection activeCell="U3" sqref="U3:V3"/>
    </sheetView>
  </sheetViews>
  <sheetFormatPr baseColWidth="10" defaultColWidth="17.33203125" defaultRowHeight="17"/>
  <cols>
    <col min="1" max="10" width="17.33203125" style="10"/>
    <col min="11" max="11" width="17.33203125" style="11"/>
    <col min="12" max="12" width="21.6640625" style="11" customWidth="1"/>
    <col min="13" max="15" width="17.33203125" style="11"/>
    <col min="16" max="16" width="22.33203125" style="11" customWidth="1"/>
    <col min="17" max="17" width="17.33203125" style="12"/>
    <col min="18" max="18" width="26.5" style="12" customWidth="1"/>
    <col min="19" max="26" width="17.33203125" style="12"/>
    <col min="27" max="27" width="17.33203125" style="53"/>
    <col min="28" max="72" width="17.33203125" style="13"/>
    <col min="73" max="73" width="20.83203125" style="13" customWidth="1"/>
    <col min="74" max="75" width="17.33203125" style="13"/>
    <col min="76" max="84" width="17.33203125" style="14"/>
    <col min="85" max="87" width="18.6640625" style="14" customWidth="1"/>
    <col min="88" max="110" width="17.33203125" style="14"/>
    <col min="111" max="124" width="17.33203125" style="15"/>
    <col min="125" max="126" width="17.33203125" style="16"/>
    <col min="127" max="131" width="16.6640625" style="16" customWidth="1"/>
    <col min="132" max="132" width="17.33203125" style="16"/>
    <col min="133" max="133" width="17.33203125" style="82"/>
    <col min="134" max="16384" width="17.33203125" style="10"/>
  </cols>
  <sheetData>
    <row r="1" spans="1:134">
      <c r="A1" s="4"/>
      <c r="B1" s="4"/>
      <c r="C1" s="4"/>
      <c r="D1" s="4"/>
      <c r="E1" s="4"/>
      <c r="F1" s="4"/>
      <c r="G1" s="4"/>
      <c r="H1" s="4"/>
      <c r="I1" s="4"/>
      <c r="J1" s="4"/>
      <c r="K1" s="1"/>
      <c r="L1" s="1"/>
      <c r="M1" s="1"/>
      <c r="N1" s="1"/>
      <c r="O1" s="1"/>
      <c r="P1" s="1"/>
      <c r="Q1" s="2"/>
      <c r="R1" s="2"/>
      <c r="S1" s="2"/>
      <c r="T1" s="2"/>
      <c r="U1" s="2"/>
      <c r="V1" s="2"/>
      <c r="W1" s="2"/>
      <c r="X1" s="2"/>
      <c r="Y1" s="2"/>
      <c r="Z1" s="2"/>
      <c r="AA1" s="3"/>
      <c r="AB1" s="89"/>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83"/>
      <c r="BY1" s="84"/>
      <c r="BZ1" s="84"/>
      <c r="CA1" s="84"/>
      <c r="CB1" s="84"/>
      <c r="CC1" s="84"/>
      <c r="CD1" s="84"/>
      <c r="CE1" s="84"/>
      <c r="CF1" s="84"/>
      <c r="CG1" s="84"/>
      <c r="CH1" s="84"/>
      <c r="CI1" s="84"/>
      <c r="CJ1" s="84"/>
      <c r="CK1" s="84"/>
      <c r="CL1" s="84"/>
      <c r="CM1" s="94"/>
      <c r="CN1" s="94"/>
      <c r="CO1" s="85"/>
      <c r="CP1" s="84"/>
      <c r="CQ1" s="84"/>
      <c r="CR1" s="84"/>
      <c r="CS1" s="84"/>
      <c r="CT1" s="84"/>
      <c r="CU1" s="84"/>
      <c r="CV1" s="84"/>
      <c r="CW1" s="84"/>
      <c r="CX1" s="84"/>
      <c r="CY1" s="84"/>
      <c r="CZ1" s="84"/>
      <c r="DA1" s="84"/>
      <c r="DB1" s="84"/>
      <c r="DC1" s="84"/>
      <c r="DD1" s="84"/>
      <c r="DE1" s="84"/>
      <c r="DF1" s="84"/>
      <c r="DU1" s="79"/>
      <c r="DV1" s="80"/>
      <c r="DW1" s="80"/>
      <c r="DX1" s="80"/>
      <c r="DY1" s="80"/>
      <c r="DZ1" s="80"/>
      <c r="EA1" s="80"/>
      <c r="EB1" s="80"/>
      <c r="EC1" s="80"/>
    </row>
    <row r="2" spans="1:134" ht="23">
      <c r="A2" s="5"/>
      <c r="B2" s="5"/>
      <c r="C2" s="5"/>
      <c r="D2" s="5"/>
      <c r="E2" s="5"/>
      <c r="F2" s="5"/>
      <c r="G2" s="5"/>
      <c r="H2" s="5"/>
      <c r="I2" s="5"/>
      <c r="J2" s="5"/>
      <c r="K2" s="108" t="s">
        <v>0</v>
      </c>
      <c r="L2" s="108"/>
      <c r="M2" s="108"/>
      <c r="N2" s="108"/>
      <c r="O2" s="108"/>
      <c r="P2" s="108"/>
      <c r="Q2" s="109" t="s">
        <v>1</v>
      </c>
      <c r="R2" s="109"/>
      <c r="S2" s="109"/>
      <c r="T2" s="109"/>
      <c r="U2" s="109"/>
      <c r="V2" s="109"/>
      <c r="W2" s="109"/>
      <c r="X2" s="109"/>
      <c r="Y2" s="109"/>
      <c r="Z2" s="109"/>
      <c r="AA2" s="110"/>
      <c r="AB2" s="111" t="s">
        <v>2</v>
      </c>
      <c r="AC2" s="112"/>
      <c r="AD2" s="112"/>
      <c r="AE2" s="112"/>
      <c r="AF2" s="112"/>
      <c r="AG2" s="112"/>
      <c r="AH2" s="112"/>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c r="BP2" s="112"/>
      <c r="BQ2" s="112"/>
      <c r="BR2" s="112"/>
      <c r="BS2" s="112"/>
      <c r="BT2" s="112"/>
      <c r="BU2" s="112"/>
      <c r="BV2" s="112"/>
      <c r="BW2" s="112"/>
      <c r="BX2" s="113" t="s">
        <v>3</v>
      </c>
      <c r="BY2" s="114"/>
      <c r="BZ2" s="114"/>
      <c r="CA2" s="114"/>
      <c r="CB2" s="114"/>
      <c r="CC2" s="114"/>
      <c r="CD2" s="114"/>
      <c r="CE2" s="114"/>
      <c r="CF2" s="114"/>
      <c r="CG2" s="114"/>
      <c r="CH2" s="114"/>
      <c r="CI2" s="114"/>
      <c r="CJ2" s="114"/>
      <c r="CK2" s="114"/>
      <c r="CL2" s="114"/>
      <c r="CM2" s="114"/>
      <c r="CN2" s="114"/>
      <c r="CO2" s="114"/>
      <c r="CP2" s="114"/>
      <c r="CQ2" s="114"/>
      <c r="CR2" s="114"/>
      <c r="CS2" s="114"/>
      <c r="CT2" s="114"/>
      <c r="CU2" s="114"/>
      <c r="CV2" s="114"/>
      <c r="CW2" s="114"/>
      <c r="CX2" s="114"/>
      <c r="CY2" s="114"/>
      <c r="CZ2" s="114"/>
      <c r="DA2" s="114"/>
      <c r="DB2" s="114"/>
      <c r="DC2" s="114"/>
      <c r="DD2" s="99"/>
      <c r="DE2" s="93"/>
      <c r="DF2" s="93"/>
      <c r="DG2" s="115" t="s">
        <v>4</v>
      </c>
      <c r="DH2" s="115"/>
      <c r="DI2" s="115"/>
      <c r="DJ2" s="115"/>
      <c r="DK2" s="115"/>
      <c r="DL2" s="115"/>
      <c r="DM2" s="115"/>
      <c r="DN2" s="115"/>
      <c r="DO2" s="115"/>
      <c r="DP2" s="115"/>
      <c r="DQ2" s="115"/>
      <c r="DR2" s="115"/>
      <c r="DS2" s="115"/>
      <c r="DT2" s="115"/>
      <c r="DU2" s="106" t="s">
        <v>5</v>
      </c>
      <c r="DV2" s="107"/>
      <c r="DW2" s="107"/>
      <c r="DX2" s="107"/>
      <c r="DY2" s="107"/>
      <c r="DZ2" s="107"/>
      <c r="EA2" s="107"/>
      <c r="EB2" s="107"/>
      <c r="EC2" s="107"/>
    </row>
    <row r="3" spans="1:134" ht="91" thickBot="1">
      <c r="A3" s="66" t="s">
        <v>113</v>
      </c>
      <c r="B3" s="67" t="s">
        <v>114</v>
      </c>
      <c r="C3" s="67" t="s">
        <v>115</v>
      </c>
      <c r="D3" s="66" t="s">
        <v>116</v>
      </c>
      <c r="E3" s="102" t="s">
        <v>117</v>
      </c>
      <c r="F3" s="103" t="s">
        <v>118</v>
      </c>
      <c r="G3" s="103" t="s">
        <v>119</v>
      </c>
      <c r="H3" s="104" t="s">
        <v>124</v>
      </c>
      <c r="I3" s="103" t="s">
        <v>125</v>
      </c>
      <c r="J3" s="103" t="s">
        <v>126</v>
      </c>
      <c r="K3" s="68" t="s">
        <v>127</v>
      </c>
      <c r="L3" s="69" t="s">
        <v>128</v>
      </c>
      <c r="M3" s="70" t="s">
        <v>129</v>
      </c>
      <c r="N3" s="72" t="s">
        <v>187</v>
      </c>
      <c r="O3" s="73" t="s">
        <v>37</v>
      </c>
      <c r="P3" s="71" t="s">
        <v>38</v>
      </c>
      <c r="Q3" s="74" t="s">
        <v>6</v>
      </c>
      <c r="R3" s="74" t="s">
        <v>7</v>
      </c>
      <c r="S3" s="75" t="s">
        <v>130</v>
      </c>
      <c r="T3" s="74" t="s">
        <v>131</v>
      </c>
      <c r="U3" s="117" t="s">
        <v>216</v>
      </c>
      <c r="V3" s="117" t="s">
        <v>217</v>
      </c>
      <c r="W3" s="74" t="s">
        <v>132</v>
      </c>
      <c r="X3" s="74" t="s">
        <v>133</v>
      </c>
      <c r="Y3" s="74" t="s">
        <v>134</v>
      </c>
      <c r="Z3" s="74" t="s">
        <v>135</v>
      </c>
      <c r="AA3" s="74" t="s">
        <v>8</v>
      </c>
      <c r="AB3" s="91" t="s">
        <v>136</v>
      </c>
      <c r="AC3" s="91" t="s">
        <v>137</v>
      </c>
      <c r="AD3" s="92" t="s">
        <v>9</v>
      </c>
      <c r="AE3" s="92" t="s">
        <v>10</v>
      </c>
      <c r="AF3" s="91" t="s">
        <v>138</v>
      </c>
      <c r="AG3" s="91" t="s">
        <v>139</v>
      </c>
      <c r="AH3" s="92" t="s">
        <v>11</v>
      </c>
      <c r="AI3" s="91" t="s">
        <v>140</v>
      </c>
      <c r="AJ3" s="91" t="s">
        <v>141</v>
      </c>
      <c r="AK3" s="92" t="s">
        <v>12</v>
      </c>
      <c r="AL3" s="92" t="s">
        <v>13</v>
      </c>
      <c r="AM3" s="91" t="s">
        <v>142</v>
      </c>
      <c r="AN3" s="91" t="s">
        <v>188</v>
      </c>
      <c r="AO3" s="76" t="s">
        <v>189</v>
      </c>
      <c r="AP3" s="92" t="s">
        <v>143</v>
      </c>
      <c r="AQ3" s="91" t="s">
        <v>211</v>
      </c>
      <c r="AR3" s="91" t="s">
        <v>212</v>
      </c>
      <c r="AS3" s="92" t="s">
        <v>213</v>
      </c>
      <c r="AT3" s="92" t="s">
        <v>214</v>
      </c>
      <c r="AU3" s="91" t="s">
        <v>144</v>
      </c>
      <c r="AV3" s="91" t="s">
        <v>145</v>
      </c>
      <c r="AW3" s="92" t="s">
        <v>14</v>
      </c>
      <c r="AX3" s="92" t="s">
        <v>15</v>
      </c>
      <c r="AY3" s="76" t="s">
        <v>146</v>
      </c>
      <c r="AZ3" s="76" t="s">
        <v>147</v>
      </c>
      <c r="BA3" s="76" t="s">
        <v>148</v>
      </c>
      <c r="BB3" s="76" t="s">
        <v>149</v>
      </c>
      <c r="BC3" s="76" t="s">
        <v>150</v>
      </c>
      <c r="BD3" s="76" t="s">
        <v>151</v>
      </c>
      <c r="BE3" s="76" t="s">
        <v>152</v>
      </c>
      <c r="BF3" s="76" t="s">
        <v>153</v>
      </c>
      <c r="BG3" s="76" t="s">
        <v>154</v>
      </c>
      <c r="BH3" s="76" t="s">
        <v>155</v>
      </c>
      <c r="BI3" s="76" t="s">
        <v>156</v>
      </c>
      <c r="BJ3" s="76" t="s">
        <v>157</v>
      </c>
      <c r="BK3" s="76" t="s">
        <v>158</v>
      </c>
      <c r="BL3" s="76" t="s">
        <v>159</v>
      </c>
      <c r="BM3" s="76" t="s">
        <v>160</v>
      </c>
      <c r="BN3" s="76" t="s">
        <v>161</v>
      </c>
      <c r="BO3" s="76" t="s">
        <v>162</v>
      </c>
      <c r="BP3" s="76" t="s">
        <v>163</v>
      </c>
      <c r="BQ3" s="76" t="s">
        <v>164</v>
      </c>
      <c r="BR3" s="76" t="s">
        <v>165</v>
      </c>
      <c r="BS3" s="76" t="s">
        <v>166</v>
      </c>
      <c r="BT3" s="76" t="s">
        <v>167</v>
      </c>
      <c r="BU3" s="76" t="s">
        <v>168</v>
      </c>
      <c r="BV3" s="76" t="s">
        <v>169</v>
      </c>
      <c r="BW3" s="76" t="s">
        <v>16</v>
      </c>
      <c r="BX3" s="95" t="s">
        <v>170</v>
      </c>
      <c r="BY3" s="87" t="s">
        <v>17</v>
      </c>
      <c r="BZ3" s="87" t="s">
        <v>18</v>
      </c>
      <c r="CA3" s="86" t="s">
        <v>190</v>
      </c>
      <c r="CB3" s="86" t="s">
        <v>191</v>
      </c>
      <c r="CC3" s="86" t="s">
        <v>192</v>
      </c>
      <c r="CD3" s="95" t="s">
        <v>171</v>
      </c>
      <c r="CE3" s="87" t="s">
        <v>19</v>
      </c>
      <c r="CF3" s="87" t="s">
        <v>20</v>
      </c>
      <c r="CG3" s="87" t="s">
        <v>21</v>
      </c>
      <c r="CH3" s="86" t="s">
        <v>191</v>
      </c>
      <c r="CI3" s="86" t="s">
        <v>192</v>
      </c>
      <c r="CJ3" s="77" t="s">
        <v>172</v>
      </c>
      <c r="CK3" s="77" t="s">
        <v>22</v>
      </c>
      <c r="CL3" s="77" t="s">
        <v>193</v>
      </c>
      <c r="CM3" s="86" t="s">
        <v>191</v>
      </c>
      <c r="CN3" s="86" t="s">
        <v>192</v>
      </c>
      <c r="CO3" s="87" t="s">
        <v>23</v>
      </c>
      <c r="CP3" s="77" t="s">
        <v>24</v>
      </c>
      <c r="CQ3" s="86" t="s">
        <v>173</v>
      </c>
      <c r="CR3" s="87" t="s">
        <v>25</v>
      </c>
      <c r="CS3" s="87" t="s">
        <v>26</v>
      </c>
      <c r="CT3" s="77" t="s">
        <v>174</v>
      </c>
      <c r="CU3" s="77" t="s">
        <v>175</v>
      </c>
      <c r="CV3" s="77" t="s">
        <v>27</v>
      </c>
      <c r="CW3" s="77" t="s">
        <v>176</v>
      </c>
      <c r="CX3" s="86" t="s">
        <v>191</v>
      </c>
      <c r="CY3" s="86" t="s">
        <v>192</v>
      </c>
      <c r="CZ3" s="77" t="s">
        <v>28</v>
      </c>
      <c r="DA3" s="77" t="s">
        <v>194</v>
      </c>
      <c r="DB3" s="77" t="s">
        <v>29</v>
      </c>
      <c r="DC3" s="77" t="s">
        <v>210</v>
      </c>
      <c r="DD3" s="77" t="s">
        <v>209</v>
      </c>
      <c r="DE3" s="86" t="s">
        <v>191</v>
      </c>
      <c r="DF3" s="86" t="s">
        <v>192</v>
      </c>
      <c r="DG3" s="78" t="s">
        <v>177</v>
      </c>
      <c r="DH3" s="78" t="s">
        <v>31</v>
      </c>
      <c r="DI3" s="78" t="s">
        <v>178</v>
      </c>
      <c r="DJ3" s="78" t="s">
        <v>179</v>
      </c>
      <c r="DK3" s="78" t="s">
        <v>32</v>
      </c>
      <c r="DL3" s="78" t="s">
        <v>180</v>
      </c>
      <c r="DM3" s="78" t="s">
        <v>181</v>
      </c>
      <c r="DN3" s="78" t="s">
        <v>30</v>
      </c>
      <c r="DO3" s="78" t="s">
        <v>33</v>
      </c>
      <c r="DP3" s="78" t="s">
        <v>34</v>
      </c>
      <c r="DQ3" s="78" t="s">
        <v>35</v>
      </c>
      <c r="DR3" s="78" t="s">
        <v>36</v>
      </c>
      <c r="DS3" s="78" t="s">
        <v>182</v>
      </c>
      <c r="DT3" s="78" t="s">
        <v>183</v>
      </c>
      <c r="DU3" s="81" t="s">
        <v>184</v>
      </c>
      <c r="DV3" s="81" t="s">
        <v>185</v>
      </c>
      <c r="DW3" s="81" t="s">
        <v>215</v>
      </c>
      <c r="DX3" s="81" t="s">
        <v>198</v>
      </c>
      <c r="DY3" s="96" t="s">
        <v>39</v>
      </c>
      <c r="DZ3" s="96" t="s">
        <v>40</v>
      </c>
      <c r="EA3" s="105" t="s">
        <v>192</v>
      </c>
      <c r="EB3" s="81" t="s">
        <v>195</v>
      </c>
      <c r="EC3" s="81" t="s">
        <v>196</v>
      </c>
      <c r="ED3" s="97" t="s">
        <v>197</v>
      </c>
    </row>
    <row r="4" spans="1:134" ht="20" thickBot="1">
      <c r="A4" s="64" t="s">
        <v>122</v>
      </c>
      <c r="B4" s="61" t="s">
        <v>120</v>
      </c>
      <c r="C4" s="61">
        <v>2014</v>
      </c>
      <c r="D4" s="62" t="s">
        <v>123</v>
      </c>
      <c r="E4" s="61">
        <f>X4*1000</f>
        <v>5500</v>
      </c>
      <c r="F4" s="61" t="s">
        <v>121</v>
      </c>
      <c r="G4" s="61" t="s">
        <v>121</v>
      </c>
      <c r="H4" s="63">
        <v>222</v>
      </c>
      <c r="I4" s="63">
        <v>302</v>
      </c>
      <c r="J4" s="63">
        <v>110</v>
      </c>
      <c r="K4" s="6" t="s">
        <v>41</v>
      </c>
      <c r="L4" s="35" t="s">
        <v>42</v>
      </c>
      <c r="M4" s="41" t="s">
        <v>56</v>
      </c>
      <c r="N4" s="44" t="s">
        <v>123</v>
      </c>
      <c r="O4" s="41" t="s">
        <v>68</v>
      </c>
      <c r="P4" s="45" t="s">
        <v>57</v>
      </c>
      <c r="Q4" s="25" t="s">
        <v>121</v>
      </c>
      <c r="R4" s="46" t="s">
        <v>72</v>
      </c>
      <c r="S4" s="25">
        <v>45.43</v>
      </c>
      <c r="T4" s="25">
        <v>-112.44</v>
      </c>
      <c r="U4" s="36" t="s">
        <v>121</v>
      </c>
      <c r="V4" s="36" t="s">
        <v>121</v>
      </c>
      <c r="W4" s="36" t="s">
        <v>121</v>
      </c>
      <c r="X4" s="29">
        <v>5.5</v>
      </c>
      <c r="Y4" s="25" t="s">
        <v>121</v>
      </c>
      <c r="Z4" s="25" t="s">
        <v>121</v>
      </c>
      <c r="AA4" s="54" t="s">
        <v>73</v>
      </c>
      <c r="AB4" s="22">
        <v>-6.04</v>
      </c>
      <c r="AC4" s="22">
        <v>0.13366625103842281</v>
      </c>
      <c r="AD4" s="39">
        <v>4</v>
      </c>
      <c r="AE4" s="48" t="s">
        <v>71</v>
      </c>
      <c r="AF4" s="22">
        <v>-22.73</v>
      </c>
      <c r="AG4" s="22">
        <v>1.0027960909377351</v>
      </c>
      <c r="AH4" s="18">
        <v>4</v>
      </c>
      <c r="AI4" s="18" t="s">
        <v>121</v>
      </c>
      <c r="AJ4" s="18" t="s">
        <v>121</v>
      </c>
      <c r="AK4" s="18" t="s">
        <v>121</v>
      </c>
      <c r="AL4" s="48" t="s">
        <v>71</v>
      </c>
      <c r="AM4" s="18" t="s">
        <v>121</v>
      </c>
      <c r="AN4" s="18" t="s">
        <v>121</v>
      </c>
      <c r="AO4" s="18" t="s">
        <v>121</v>
      </c>
      <c r="AP4" s="50" t="s">
        <v>121</v>
      </c>
      <c r="AQ4" s="50" t="s">
        <v>121</v>
      </c>
      <c r="AR4" s="50" t="s">
        <v>121</v>
      </c>
      <c r="AS4" s="50" t="s">
        <v>121</v>
      </c>
      <c r="AT4" s="50" t="s">
        <v>121</v>
      </c>
      <c r="AU4" s="18" t="s">
        <v>121</v>
      </c>
      <c r="AV4" s="18" t="s">
        <v>121</v>
      </c>
      <c r="AW4" s="18" t="s">
        <v>121</v>
      </c>
      <c r="AX4" s="50" t="s">
        <v>121</v>
      </c>
      <c r="AY4" s="39">
        <f>AVERAGE(40,31,40,32)</f>
        <v>35.75</v>
      </c>
      <c r="AZ4" s="18">
        <v>370</v>
      </c>
      <c r="BA4" s="18" t="s">
        <v>121</v>
      </c>
      <c r="BB4" s="18" t="s">
        <v>121</v>
      </c>
      <c r="BC4" s="18" t="s">
        <v>121</v>
      </c>
      <c r="BD4" s="18" t="s">
        <v>121</v>
      </c>
      <c r="BE4" s="18" t="s">
        <v>121</v>
      </c>
      <c r="BF4" s="18" t="s">
        <v>121</v>
      </c>
      <c r="BG4" s="18" t="s">
        <v>121</v>
      </c>
      <c r="BH4" s="18" t="s">
        <v>121</v>
      </c>
      <c r="BI4" s="18" t="s">
        <v>121</v>
      </c>
      <c r="BJ4" s="18" t="s">
        <v>121</v>
      </c>
      <c r="BK4" s="18" t="s">
        <v>121</v>
      </c>
      <c r="BL4" s="18" t="s">
        <v>121</v>
      </c>
      <c r="BM4" s="18" t="s">
        <v>121</v>
      </c>
      <c r="BN4" s="18" t="s">
        <v>121</v>
      </c>
      <c r="BO4" s="18" t="s">
        <v>121</v>
      </c>
      <c r="BP4" s="18" t="s">
        <v>121</v>
      </c>
      <c r="BQ4" s="18" t="s">
        <v>121</v>
      </c>
      <c r="BR4" s="18" t="s">
        <v>121</v>
      </c>
      <c r="BS4" s="18" t="s">
        <v>121</v>
      </c>
      <c r="BT4" s="18" t="s">
        <v>121</v>
      </c>
      <c r="BU4" s="18" t="s">
        <v>121</v>
      </c>
      <c r="BV4" s="18" t="s">
        <v>121</v>
      </c>
      <c r="BW4" s="18" t="s">
        <v>121</v>
      </c>
      <c r="BX4" s="26">
        <v>-23.73</v>
      </c>
      <c r="BY4" s="7" t="s">
        <v>48</v>
      </c>
      <c r="BZ4" s="32" t="s">
        <v>47</v>
      </c>
      <c r="CA4" s="19" t="s">
        <v>186</v>
      </c>
      <c r="CB4" s="100" t="s">
        <v>207</v>
      </c>
      <c r="CC4" s="19" t="s">
        <v>121</v>
      </c>
      <c r="CD4" s="26">
        <v>-6.2</v>
      </c>
      <c r="CE4" s="7" t="s">
        <v>45</v>
      </c>
      <c r="CF4" s="32" t="s">
        <v>46</v>
      </c>
      <c r="CG4" s="98">
        <v>0.15</v>
      </c>
      <c r="CH4" s="101" t="s">
        <v>206</v>
      </c>
      <c r="CI4" s="26" t="s">
        <v>200</v>
      </c>
      <c r="CJ4" s="33">
        <v>22.816420000000001</v>
      </c>
      <c r="CK4" s="7" t="s">
        <v>75</v>
      </c>
      <c r="CL4" s="19">
        <v>4.4000000000000004</v>
      </c>
      <c r="CM4" s="19" t="s">
        <v>203</v>
      </c>
      <c r="CN4" s="19" t="s">
        <v>202</v>
      </c>
      <c r="CO4" s="51" t="s">
        <v>121</v>
      </c>
      <c r="CP4" s="32" t="s">
        <v>74</v>
      </c>
      <c r="CQ4" s="26">
        <v>-15.142085993046408</v>
      </c>
      <c r="CR4" s="19" t="s">
        <v>121</v>
      </c>
      <c r="CS4" s="19" t="s">
        <v>49</v>
      </c>
      <c r="CT4" s="19" t="s">
        <v>121</v>
      </c>
      <c r="CU4" s="19" t="s">
        <v>121</v>
      </c>
      <c r="CV4" s="19" t="s">
        <v>121</v>
      </c>
      <c r="CW4" s="19" t="s">
        <v>121</v>
      </c>
      <c r="CX4" s="19" t="s">
        <v>121</v>
      </c>
      <c r="CY4" s="19" t="s">
        <v>121</v>
      </c>
      <c r="CZ4" s="88" t="s">
        <v>121</v>
      </c>
      <c r="DA4" s="19">
        <v>440</v>
      </c>
      <c r="DB4" s="7" t="s">
        <v>50</v>
      </c>
      <c r="DC4" s="19">
        <v>512</v>
      </c>
      <c r="DD4" s="19">
        <v>512</v>
      </c>
      <c r="DE4" s="100" t="s">
        <v>201</v>
      </c>
      <c r="DF4" s="19" t="s">
        <v>200</v>
      </c>
      <c r="DG4" s="20" t="s">
        <v>51</v>
      </c>
      <c r="DH4" s="20" t="s">
        <v>55</v>
      </c>
      <c r="DI4" s="20" t="s">
        <v>80</v>
      </c>
      <c r="DJ4" s="20" t="s">
        <v>121</v>
      </c>
      <c r="DK4" s="37" t="s">
        <v>79</v>
      </c>
      <c r="DL4" s="8" t="s">
        <v>70</v>
      </c>
      <c r="DM4" s="20" t="s">
        <v>44</v>
      </c>
      <c r="DN4" s="20" t="s">
        <v>51</v>
      </c>
      <c r="DO4" s="20" t="s">
        <v>121</v>
      </c>
      <c r="DP4" s="37" t="s">
        <v>52</v>
      </c>
      <c r="DQ4" s="37" t="s">
        <v>69</v>
      </c>
      <c r="DR4" s="37" t="s">
        <v>53</v>
      </c>
      <c r="DS4" s="37" t="s">
        <v>76</v>
      </c>
      <c r="DT4" s="20" t="s">
        <v>121</v>
      </c>
      <c r="DU4" s="38">
        <v>309.52119052184702</v>
      </c>
      <c r="DV4" s="38">
        <v>222</v>
      </c>
      <c r="DW4" s="38">
        <v>302</v>
      </c>
      <c r="DX4" s="38">
        <v>110</v>
      </c>
      <c r="DY4" s="9" t="s">
        <v>54</v>
      </c>
      <c r="DZ4" s="9" t="s">
        <v>47</v>
      </c>
      <c r="EA4" s="9" t="s">
        <v>208</v>
      </c>
      <c r="EB4" s="38" t="s">
        <v>199</v>
      </c>
      <c r="EC4" s="38" t="s">
        <v>199</v>
      </c>
      <c r="ED4" s="28" t="s">
        <v>77</v>
      </c>
    </row>
    <row r="5" spans="1:134" ht="20" thickBot="1">
      <c r="A5" s="64" t="s">
        <v>122</v>
      </c>
      <c r="B5" s="64" t="s">
        <v>120</v>
      </c>
      <c r="C5" s="64">
        <v>2014</v>
      </c>
      <c r="D5" s="62" t="s">
        <v>123</v>
      </c>
      <c r="E5" s="64">
        <f t="shared" ref="E5:E14" si="0">X5*1000</f>
        <v>6400</v>
      </c>
      <c r="F5" s="64" t="s">
        <v>121</v>
      </c>
      <c r="G5" s="64" t="s">
        <v>121</v>
      </c>
      <c r="H5" s="65">
        <v>213</v>
      </c>
      <c r="I5" s="65">
        <v>163</v>
      </c>
      <c r="J5" s="65">
        <v>96</v>
      </c>
      <c r="K5" s="6" t="s">
        <v>41</v>
      </c>
      <c r="L5" s="34" t="s">
        <v>42</v>
      </c>
      <c r="M5" s="40" t="s">
        <v>56</v>
      </c>
      <c r="N5" s="44" t="s">
        <v>123</v>
      </c>
      <c r="O5" s="40" t="s">
        <v>81</v>
      </c>
      <c r="P5" s="45" t="s">
        <v>57</v>
      </c>
      <c r="Q5" s="46" t="s">
        <v>82</v>
      </c>
      <c r="R5" s="47" t="s">
        <v>58</v>
      </c>
      <c r="S5" s="25">
        <v>34.9</v>
      </c>
      <c r="T5" s="25">
        <v>-103.1</v>
      </c>
      <c r="U5" s="36" t="s">
        <v>121</v>
      </c>
      <c r="V5" s="36" t="s">
        <v>121</v>
      </c>
      <c r="W5" s="36" t="s">
        <v>121</v>
      </c>
      <c r="X5" s="30">
        <v>6.4</v>
      </c>
      <c r="Y5" s="25" t="s">
        <v>121</v>
      </c>
      <c r="Z5" s="25" t="s">
        <v>121</v>
      </c>
      <c r="AA5" s="56" t="s">
        <v>83</v>
      </c>
      <c r="AB5" s="23">
        <v>-7.1966666666666681</v>
      </c>
      <c r="AC5" s="23">
        <v>0.66536654836124787</v>
      </c>
      <c r="AD5" s="39">
        <v>30</v>
      </c>
      <c r="AE5" s="49" t="s">
        <v>88</v>
      </c>
      <c r="AF5" s="22">
        <v>-22.7</v>
      </c>
      <c r="AG5" s="22">
        <v>2</v>
      </c>
      <c r="AH5" s="18" t="s">
        <v>121</v>
      </c>
      <c r="AI5" s="18" t="s">
        <v>121</v>
      </c>
      <c r="AJ5" s="18" t="s">
        <v>121</v>
      </c>
      <c r="AK5" s="18" t="s">
        <v>121</v>
      </c>
      <c r="AL5" s="49" t="s">
        <v>88</v>
      </c>
      <c r="AM5" s="18" t="s">
        <v>121</v>
      </c>
      <c r="AN5" s="18" t="s">
        <v>121</v>
      </c>
      <c r="AO5" s="18" t="s">
        <v>121</v>
      </c>
      <c r="AP5" s="50" t="s">
        <v>121</v>
      </c>
      <c r="AQ5" s="50" t="s">
        <v>121</v>
      </c>
      <c r="AR5" s="50" t="s">
        <v>121</v>
      </c>
      <c r="AS5" s="50" t="s">
        <v>121</v>
      </c>
      <c r="AT5" s="50" t="s">
        <v>121</v>
      </c>
      <c r="AU5" s="18" t="s">
        <v>121</v>
      </c>
      <c r="AV5" s="18" t="s">
        <v>121</v>
      </c>
      <c r="AW5" s="18" t="s">
        <v>121</v>
      </c>
      <c r="AX5" s="50" t="s">
        <v>121</v>
      </c>
      <c r="AY5" s="18" t="s">
        <v>121</v>
      </c>
      <c r="AZ5" s="18" t="s">
        <v>121</v>
      </c>
      <c r="BA5" s="18" t="s">
        <v>121</v>
      </c>
      <c r="BB5" s="18" t="s">
        <v>121</v>
      </c>
      <c r="BC5" s="18" t="s">
        <v>121</v>
      </c>
      <c r="BD5" s="18" t="s">
        <v>121</v>
      </c>
      <c r="BE5" s="18" t="s">
        <v>121</v>
      </c>
      <c r="BF5" s="18" t="s">
        <v>121</v>
      </c>
      <c r="BG5" s="18" t="s">
        <v>121</v>
      </c>
      <c r="BH5" s="18" t="s">
        <v>121</v>
      </c>
      <c r="BI5" s="18" t="s">
        <v>121</v>
      </c>
      <c r="BJ5" s="18" t="s">
        <v>121</v>
      </c>
      <c r="BK5" s="18" t="s">
        <v>121</v>
      </c>
      <c r="BL5" s="18" t="s">
        <v>121</v>
      </c>
      <c r="BM5" s="18" t="s">
        <v>121</v>
      </c>
      <c r="BN5" s="18" t="s">
        <v>121</v>
      </c>
      <c r="BO5" s="18" t="s">
        <v>121</v>
      </c>
      <c r="BP5" s="18" t="s">
        <v>121</v>
      </c>
      <c r="BQ5" s="18" t="s">
        <v>121</v>
      </c>
      <c r="BR5" s="18" t="s">
        <v>121</v>
      </c>
      <c r="BS5" s="18" t="s">
        <v>121</v>
      </c>
      <c r="BT5" s="18" t="s">
        <v>121</v>
      </c>
      <c r="BU5" s="18" t="s">
        <v>121</v>
      </c>
      <c r="BV5" s="18" t="s">
        <v>121</v>
      </c>
      <c r="BW5" s="18" t="s">
        <v>121</v>
      </c>
      <c r="BX5" s="27">
        <v>-23.7</v>
      </c>
      <c r="BY5" s="7" t="s">
        <v>48</v>
      </c>
      <c r="BZ5" s="31" t="s">
        <v>47</v>
      </c>
      <c r="CA5" s="19" t="s">
        <v>186</v>
      </c>
      <c r="CB5" s="100" t="s">
        <v>207</v>
      </c>
      <c r="CC5" s="19" t="s">
        <v>121</v>
      </c>
      <c r="CD5" s="27">
        <v>-6.3975</v>
      </c>
      <c r="CE5" s="7" t="s">
        <v>45</v>
      </c>
      <c r="CF5" s="31" t="s">
        <v>46</v>
      </c>
      <c r="CG5" s="98">
        <v>0.1</v>
      </c>
      <c r="CH5" s="101" t="s">
        <v>206</v>
      </c>
      <c r="CI5" s="26" t="s">
        <v>200</v>
      </c>
      <c r="CJ5" s="33">
        <v>25.564</v>
      </c>
      <c r="CK5" s="7" t="s">
        <v>85</v>
      </c>
      <c r="CL5" s="19">
        <v>5</v>
      </c>
      <c r="CM5" s="19" t="s">
        <v>204</v>
      </c>
      <c r="CN5" s="19" t="s">
        <v>204</v>
      </c>
      <c r="CO5" s="51" t="s">
        <v>121</v>
      </c>
      <c r="CP5" s="32" t="s">
        <v>74</v>
      </c>
      <c r="CQ5" s="27">
        <v>-15.966686447705229</v>
      </c>
      <c r="CR5" s="19" t="s">
        <v>121</v>
      </c>
      <c r="CS5" s="19" t="s">
        <v>49</v>
      </c>
      <c r="CT5" s="19" t="s">
        <v>121</v>
      </c>
      <c r="CU5" s="19" t="s">
        <v>121</v>
      </c>
      <c r="CV5" s="19" t="s">
        <v>121</v>
      </c>
      <c r="CW5" s="19" t="s">
        <v>121</v>
      </c>
      <c r="CX5" s="19" t="s">
        <v>121</v>
      </c>
      <c r="CY5" s="19" t="s">
        <v>121</v>
      </c>
      <c r="CZ5" s="88" t="s">
        <v>121</v>
      </c>
      <c r="DA5" s="19">
        <v>596</v>
      </c>
      <c r="DB5" s="7" t="s">
        <v>50</v>
      </c>
      <c r="DC5" s="19">
        <v>350</v>
      </c>
      <c r="DD5" s="19">
        <v>350</v>
      </c>
      <c r="DE5" s="100" t="s">
        <v>201</v>
      </c>
      <c r="DF5" s="19" t="s">
        <v>200</v>
      </c>
      <c r="DG5" s="20" t="s">
        <v>51</v>
      </c>
      <c r="DH5" s="20" t="s">
        <v>65</v>
      </c>
      <c r="DI5" s="20" t="s">
        <v>121</v>
      </c>
      <c r="DJ5" s="20" t="s">
        <v>121</v>
      </c>
      <c r="DK5" s="20" t="s">
        <v>121</v>
      </c>
      <c r="DL5" s="20" t="s">
        <v>121</v>
      </c>
      <c r="DM5" s="20" t="s">
        <v>44</v>
      </c>
      <c r="DN5" s="20" t="s">
        <v>51</v>
      </c>
      <c r="DO5" s="20" t="s">
        <v>121</v>
      </c>
      <c r="DP5" s="37" t="s">
        <v>52</v>
      </c>
      <c r="DQ5" s="37" t="s">
        <v>102</v>
      </c>
      <c r="DR5" s="37" t="s">
        <v>110</v>
      </c>
      <c r="DS5" s="21" t="s">
        <v>43</v>
      </c>
      <c r="DT5" s="20" t="s">
        <v>121</v>
      </c>
      <c r="DU5" s="38">
        <v>297</v>
      </c>
      <c r="DV5" s="38">
        <v>213</v>
      </c>
      <c r="DW5" s="38">
        <v>163</v>
      </c>
      <c r="DX5" s="38">
        <v>96</v>
      </c>
      <c r="DY5" s="9" t="s">
        <v>54</v>
      </c>
      <c r="DZ5" s="9" t="s">
        <v>47</v>
      </c>
      <c r="EA5" s="9" t="s">
        <v>208</v>
      </c>
      <c r="EB5" s="38" t="s">
        <v>199</v>
      </c>
      <c r="EC5" s="38" t="s">
        <v>199</v>
      </c>
      <c r="ED5" s="28" t="s">
        <v>101</v>
      </c>
    </row>
    <row r="6" spans="1:134" ht="20" thickBot="1">
      <c r="A6" s="64" t="s">
        <v>122</v>
      </c>
      <c r="B6" s="64" t="s">
        <v>120</v>
      </c>
      <c r="C6" s="64">
        <v>2014</v>
      </c>
      <c r="D6" s="62" t="s">
        <v>123</v>
      </c>
      <c r="E6" s="64">
        <f t="shared" si="0"/>
        <v>6650</v>
      </c>
      <c r="F6" s="64" t="s">
        <v>121</v>
      </c>
      <c r="G6" s="64" t="s">
        <v>121</v>
      </c>
      <c r="H6" s="65">
        <v>283</v>
      </c>
      <c r="I6" s="65">
        <v>248</v>
      </c>
      <c r="J6" s="65">
        <v>129</v>
      </c>
      <c r="K6" s="6" t="s">
        <v>41</v>
      </c>
      <c r="L6" s="34" t="s">
        <v>42</v>
      </c>
      <c r="M6" s="40" t="s">
        <v>56</v>
      </c>
      <c r="N6" s="44" t="s">
        <v>123</v>
      </c>
      <c r="O6" s="40" t="s">
        <v>81</v>
      </c>
      <c r="P6" s="45" t="s">
        <v>57</v>
      </c>
      <c r="Q6" s="46" t="s">
        <v>86</v>
      </c>
      <c r="R6" s="47" t="s">
        <v>58</v>
      </c>
      <c r="S6" s="25">
        <v>35.700000000000003</v>
      </c>
      <c r="T6" s="25">
        <v>-100.5</v>
      </c>
      <c r="U6" s="36" t="s">
        <v>121</v>
      </c>
      <c r="V6" s="36" t="s">
        <v>121</v>
      </c>
      <c r="W6" s="36" t="s">
        <v>121</v>
      </c>
      <c r="X6" s="30">
        <v>6.65</v>
      </c>
      <c r="Y6" s="25" t="s">
        <v>121</v>
      </c>
      <c r="Z6" s="25" t="s">
        <v>121</v>
      </c>
      <c r="AA6" s="55" t="s">
        <v>87</v>
      </c>
      <c r="AB6" s="23">
        <v>-6.9230769230769234</v>
      </c>
      <c r="AC6" s="23">
        <v>1.7816730829080116</v>
      </c>
      <c r="AD6" s="39">
        <v>13</v>
      </c>
      <c r="AE6" s="49" t="s">
        <v>88</v>
      </c>
      <c r="AF6" s="22">
        <v>-23</v>
      </c>
      <c r="AG6" s="22">
        <v>2</v>
      </c>
      <c r="AH6" s="18" t="s">
        <v>121</v>
      </c>
      <c r="AI6" s="18" t="s">
        <v>121</v>
      </c>
      <c r="AJ6" s="18" t="s">
        <v>121</v>
      </c>
      <c r="AK6" s="18" t="s">
        <v>121</v>
      </c>
      <c r="AL6" s="49" t="s">
        <v>88</v>
      </c>
      <c r="AM6" s="18" t="s">
        <v>121</v>
      </c>
      <c r="AN6" s="18" t="s">
        <v>121</v>
      </c>
      <c r="AO6" s="18" t="s">
        <v>121</v>
      </c>
      <c r="AP6" s="50" t="s">
        <v>121</v>
      </c>
      <c r="AQ6" s="50" t="s">
        <v>121</v>
      </c>
      <c r="AR6" s="50" t="s">
        <v>121</v>
      </c>
      <c r="AS6" s="50" t="s">
        <v>121</v>
      </c>
      <c r="AT6" s="50" t="s">
        <v>121</v>
      </c>
      <c r="AU6" s="18" t="s">
        <v>121</v>
      </c>
      <c r="AV6" s="18" t="s">
        <v>121</v>
      </c>
      <c r="AW6" s="18" t="s">
        <v>121</v>
      </c>
      <c r="AX6" s="50" t="s">
        <v>121</v>
      </c>
      <c r="AY6" s="18" t="s">
        <v>121</v>
      </c>
      <c r="AZ6" s="18" t="s">
        <v>121</v>
      </c>
      <c r="BA6" s="18" t="s">
        <v>121</v>
      </c>
      <c r="BB6" s="18" t="s">
        <v>121</v>
      </c>
      <c r="BC6" s="18" t="s">
        <v>121</v>
      </c>
      <c r="BD6" s="18" t="s">
        <v>121</v>
      </c>
      <c r="BE6" s="18" t="s">
        <v>121</v>
      </c>
      <c r="BF6" s="18" t="s">
        <v>121</v>
      </c>
      <c r="BG6" s="18" t="s">
        <v>121</v>
      </c>
      <c r="BH6" s="18" t="s">
        <v>121</v>
      </c>
      <c r="BI6" s="18" t="s">
        <v>121</v>
      </c>
      <c r="BJ6" s="18" t="s">
        <v>121</v>
      </c>
      <c r="BK6" s="18" t="s">
        <v>121</v>
      </c>
      <c r="BL6" s="18" t="s">
        <v>121</v>
      </c>
      <c r="BM6" s="18" t="s">
        <v>121</v>
      </c>
      <c r="BN6" s="18" t="s">
        <v>121</v>
      </c>
      <c r="BO6" s="18" t="s">
        <v>121</v>
      </c>
      <c r="BP6" s="18" t="s">
        <v>121</v>
      </c>
      <c r="BQ6" s="18" t="s">
        <v>121</v>
      </c>
      <c r="BR6" s="18" t="s">
        <v>121</v>
      </c>
      <c r="BS6" s="18" t="s">
        <v>121</v>
      </c>
      <c r="BT6" s="18" t="s">
        <v>121</v>
      </c>
      <c r="BU6" s="18" t="s">
        <v>121</v>
      </c>
      <c r="BV6" s="18" t="s">
        <v>121</v>
      </c>
      <c r="BW6" s="18" t="s">
        <v>121</v>
      </c>
      <c r="BX6" s="27">
        <v>-24</v>
      </c>
      <c r="BY6" s="7" t="s">
        <v>48</v>
      </c>
      <c r="BZ6" s="31" t="s">
        <v>47</v>
      </c>
      <c r="CA6" s="19" t="s">
        <v>186</v>
      </c>
      <c r="CB6" s="100" t="s">
        <v>207</v>
      </c>
      <c r="CC6" s="19" t="s">
        <v>121</v>
      </c>
      <c r="CD6" s="27">
        <v>-6.3</v>
      </c>
      <c r="CE6" s="7" t="s">
        <v>45</v>
      </c>
      <c r="CF6" s="31" t="s">
        <v>46</v>
      </c>
      <c r="CG6" s="98">
        <v>0.22</v>
      </c>
      <c r="CH6" s="101" t="s">
        <v>206</v>
      </c>
      <c r="CI6" s="26" t="s">
        <v>200</v>
      </c>
      <c r="CJ6" s="33">
        <v>28.094000000000001</v>
      </c>
      <c r="CK6" s="7" t="s">
        <v>85</v>
      </c>
      <c r="CL6" s="19">
        <v>5</v>
      </c>
      <c r="CM6" s="19" t="s">
        <v>204</v>
      </c>
      <c r="CN6" s="19" t="s">
        <v>204</v>
      </c>
      <c r="CO6" s="51" t="s">
        <v>121</v>
      </c>
      <c r="CP6" s="32" t="s">
        <v>74</v>
      </c>
      <c r="CQ6" s="27">
        <v>-15.399229270075011</v>
      </c>
      <c r="CR6" s="19" t="s">
        <v>121</v>
      </c>
      <c r="CS6" s="19" t="s">
        <v>49</v>
      </c>
      <c r="CT6" s="19" t="s">
        <v>121</v>
      </c>
      <c r="CU6" s="19" t="s">
        <v>121</v>
      </c>
      <c r="CV6" s="19" t="s">
        <v>121</v>
      </c>
      <c r="CW6" s="19" t="s">
        <v>121</v>
      </c>
      <c r="CX6" s="19" t="s">
        <v>121</v>
      </c>
      <c r="CY6" s="19" t="s">
        <v>121</v>
      </c>
      <c r="CZ6" s="88" t="s">
        <v>121</v>
      </c>
      <c r="DA6" s="19">
        <v>596</v>
      </c>
      <c r="DB6" s="7" t="s">
        <v>50</v>
      </c>
      <c r="DC6" s="19">
        <v>350</v>
      </c>
      <c r="DD6" s="19">
        <v>350</v>
      </c>
      <c r="DE6" s="100" t="s">
        <v>201</v>
      </c>
      <c r="DF6" s="19" t="s">
        <v>200</v>
      </c>
      <c r="DG6" s="20" t="s">
        <v>51</v>
      </c>
      <c r="DH6" s="20" t="s">
        <v>65</v>
      </c>
      <c r="DI6" s="20" t="s">
        <v>121</v>
      </c>
      <c r="DJ6" s="20" t="s">
        <v>121</v>
      </c>
      <c r="DK6" s="20" t="s">
        <v>121</v>
      </c>
      <c r="DL6" s="20" t="s">
        <v>121</v>
      </c>
      <c r="DM6" s="20" t="s">
        <v>44</v>
      </c>
      <c r="DN6" s="20" t="s">
        <v>51</v>
      </c>
      <c r="DO6" s="20" t="s">
        <v>121</v>
      </c>
      <c r="DP6" s="37" t="s">
        <v>52</v>
      </c>
      <c r="DQ6" s="37" t="s">
        <v>102</v>
      </c>
      <c r="DR6" s="37" t="s">
        <v>110</v>
      </c>
      <c r="DS6" s="21" t="s">
        <v>43</v>
      </c>
      <c r="DT6" s="20" t="s">
        <v>121</v>
      </c>
      <c r="DU6" s="38">
        <v>391</v>
      </c>
      <c r="DV6" s="38">
        <v>283</v>
      </c>
      <c r="DW6" s="38">
        <v>248</v>
      </c>
      <c r="DX6" s="38">
        <v>129</v>
      </c>
      <c r="DY6" s="9" t="s">
        <v>54</v>
      </c>
      <c r="DZ6" s="9" t="s">
        <v>47</v>
      </c>
      <c r="EA6" s="9" t="s">
        <v>208</v>
      </c>
      <c r="EB6" s="38" t="s">
        <v>199</v>
      </c>
      <c r="EC6" s="38" t="s">
        <v>199</v>
      </c>
      <c r="ED6" s="28" t="s">
        <v>101</v>
      </c>
    </row>
    <row r="7" spans="1:134" ht="20" thickBot="1">
      <c r="A7" s="64" t="s">
        <v>122</v>
      </c>
      <c r="B7" s="64" t="s">
        <v>120</v>
      </c>
      <c r="C7" s="64">
        <v>2014</v>
      </c>
      <c r="D7" s="62" t="s">
        <v>123</v>
      </c>
      <c r="E7" s="64">
        <f t="shared" si="0"/>
        <v>6800</v>
      </c>
      <c r="F7" s="64" t="s">
        <v>121</v>
      </c>
      <c r="G7" s="64" t="s">
        <v>121</v>
      </c>
      <c r="H7" s="65">
        <v>372</v>
      </c>
      <c r="I7" s="65">
        <v>292</v>
      </c>
      <c r="J7" s="65">
        <v>144</v>
      </c>
      <c r="K7" s="6" t="s">
        <v>41</v>
      </c>
      <c r="L7" s="34" t="s">
        <v>42</v>
      </c>
      <c r="M7" s="40" t="s">
        <v>56</v>
      </c>
      <c r="N7" s="44" t="s">
        <v>123</v>
      </c>
      <c r="O7" s="40" t="s">
        <v>81</v>
      </c>
      <c r="P7" s="45" t="s">
        <v>57</v>
      </c>
      <c r="Q7" s="46" t="s">
        <v>91</v>
      </c>
      <c r="R7" s="47" t="s">
        <v>59</v>
      </c>
      <c r="S7" s="25">
        <v>33.5</v>
      </c>
      <c r="T7" s="25">
        <v>-101.6</v>
      </c>
      <c r="U7" s="36" t="s">
        <v>121</v>
      </c>
      <c r="V7" s="36" t="s">
        <v>121</v>
      </c>
      <c r="W7" s="36" t="s">
        <v>121</v>
      </c>
      <c r="X7" s="30">
        <v>6.8</v>
      </c>
      <c r="Y7" s="25" t="s">
        <v>121</v>
      </c>
      <c r="Z7" s="25" t="s">
        <v>121</v>
      </c>
      <c r="AA7" s="55" t="s">
        <v>90</v>
      </c>
      <c r="AB7" s="23">
        <v>-6.5079999999999973</v>
      </c>
      <c r="AC7" s="23">
        <v>1.3698175060934865</v>
      </c>
      <c r="AD7" s="39">
        <v>25</v>
      </c>
      <c r="AE7" s="49" t="s">
        <v>88</v>
      </c>
      <c r="AF7" s="22">
        <v>-23.75</v>
      </c>
      <c r="AG7" s="22">
        <v>2</v>
      </c>
      <c r="AH7" s="18" t="s">
        <v>121</v>
      </c>
      <c r="AI7" s="18" t="s">
        <v>121</v>
      </c>
      <c r="AJ7" s="18" t="s">
        <v>121</v>
      </c>
      <c r="AK7" s="18" t="s">
        <v>121</v>
      </c>
      <c r="AL7" s="49" t="s">
        <v>88</v>
      </c>
      <c r="AM7" s="18" t="s">
        <v>121</v>
      </c>
      <c r="AN7" s="18" t="s">
        <v>121</v>
      </c>
      <c r="AO7" s="18" t="s">
        <v>121</v>
      </c>
      <c r="AP7" s="50" t="s">
        <v>121</v>
      </c>
      <c r="AQ7" s="50" t="s">
        <v>121</v>
      </c>
      <c r="AR7" s="50" t="s">
        <v>121</v>
      </c>
      <c r="AS7" s="50" t="s">
        <v>121</v>
      </c>
      <c r="AT7" s="50" t="s">
        <v>121</v>
      </c>
      <c r="AU7" s="18" t="s">
        <v>121</v>
      </c>
      <c r="AV7" s="18" t="s">
        <v>121</v>
      </c>
      <c r="AW7" s="18" t="s">
        <v>121</v>
      </c>
      <c r="AX7" s="50" t="s">
        <v>121</v>
      </c>
      <c r="AY7" s="18" t="s">
        <v>121</v>
      </c>
      <c r="AZ7" s="18" t="s">
        <v>121</v>
      </c>
      <c r="BA7" s="18" t="s">
        <v>121</v>
      </c>
      <c r="BB7" s="18" t="s">
        <v>121</v>
      </c>
      <c r="BC7" s="18" t="s">
        <v>121</v>
      </c>
      <c r="BD7" s="18" t="s">
        <v>121</v>
      </c>
      <c r="BE7" s="18" t="s">
        <v>121</v>
      </c>
      <c r="BF7" s="18" t="s">
        <v>121</v>
      </c>
      <c r="BG7" s="18" t="s">
        <v>121</v>
      </c>
      <c r="BH7" s="18" t="s">
        <v>121</v>
      </c>
      <c r="BI7" s="18" t="s">
        <v>121</v>
      </c>
      <c r="BJ7" s="18" t="s">
        <v>121</v>
      </c>
      <c r="BK7" s="18" t="s">
        <v>121</v>
      </c>
      <c r="BL7" s="18" t="s">
        <v>121</v>
      </c>
      <c r="BM7" s="18" t="s">
        <v>121</v>
      </c>
      <c r="BN7" s="18" t="s">
        <v>121</v>
      </c>
      <c r="BO7" s="18" t="s">
        <v>121</v>
      </c>
      <c r="BP7" s="18" t="s">
        <v>121</v>
      </c>
      <c r="BQ7" s="18" t="s">
        <v>121</v>
      </c>
      <c r="BR7" s="18" t="s">
        <v>121</v>
      </c>
      <c r="BS7" s="18" t="s">
        <v>121</v>
      </c>
      <c r="BT7" s="18" t="s">
        <v>121</v>
      </c>
      <c r="BU7" s="18" t="s">
        <v>121</v>
      </c>
      <c r="BV7" s="18" t="s">
        <v>121</v>
      </c>
      <c r="BW7" s="18" t="s">
        <v>121</v>
      </c>
      <c r="BX7" s="27">
        <v>-24.75</v>
      </c>
      <c r="BY7" s="7" t="s">
        <v>48</v>
      </c>
      <c r="BZ7" s="31" t="s">
        <v>47</v>
      </c>
      <c r="CA7" s="19" t="s">
        <v>186</v>
      </c>
      <c r="CB7" s="100" t="s">
        <v>207</v>
      </c>
      <c r="CC7" s="19" t="s">
        <v>121</v>
      </c>
      <c r="CD7" s="27">
        <v>-6.1924999999999999</v>
      </c>
      <c r="CE7" s="7" t="s">
        <v>45</v>
      </c>
      <c r="CF7" s="31" t="s">
        <v>46</v>
      </c>
      <c r="CG7" s="98">
        <v>0.25</v>
      </c>
      <c r="CH7" s="101" t="s">
        <v>206</v>
      </c>
      <c r="CI7" s="26" t="s">
        <v>200</v>
      </c>
      <c r="CJ7" s="33">
        <v>28.094000000000001</v>
      </c>
      <c r="CK7" s="7" t="s">
        <v>85</v>
      </c>
      <c r="CL7" s="19">
        <v>5</v>
      </c>
      <c r="CM7" s="19" t="s">
        <v>204</v>
      </c>
      <c r="CN7" s="19" t="s">
        <v>204</v>
      </c>
      <c r="CO7" s="51" t="s">
        <v>121</v>
      </c>
      <c r="CP7" s="32" t="s">
        <v>74</v>
      </c>
      <c r="CQ7" s="27">
        <v>-14.9876951291875</v>
      </c>
      <c r="CR7" s="19" t="s">
        <v>121</v>
      </c>
      <c r="CS7" s="19" t="s">
        <v>49</v>
      </c>
      <c r="CT7" s="19" t="s">
        <v>121</v>
      </c>
      <c r="CU7" s="19" t="s">
        <v>121</v>
      </c>
      <c r="CV7" s="19" t="s">
        <v>121</v>
      </c>
      <c r="CW7" s="19" t="s">
        <v>121</v>
      </c>
      <c r="CX7" s="19" t="s">
        <v>121</v>
      </c>
      <c r="CY7" s="19" t="s">
        <v>121</v>
      </c>
      <c r="CZ7" s="88" t="s">
        <v>121</v>
      </c>
      <c r="DA7" s="19">
        <v>596</v>
      </c>
      <c r="DB7" s="7" t="s">
        <v>50</v>
      </c>
      <c r="DC7" s="19">
        <v>350</v>
      </c>
      <c r="DD7" s="19">
        <v>350</v>
      </c>
      <c r="DE7" s="100" t="s">
        <v>201</v>
      </c>
      <c r="DF7" s="19" t="s">
        <v>200</v>
      </c>
      <c r="DG7" s="20" t="s">
        <v>51</v>
      </c>
      <c r="DH7" s="20" t="s">
        <v>65</v>
      </c>
      <c r="DI7" s="20" t="s">
        <v>121</v>
      </c>
      <c r="DJ7" s="20" t="s">
        <v>121</v>
      </c>
      <c r="DK7" s="20" t="s">
        <v>121</v>
      </c>
      <c r="DL7" s="20" t="s">
        <v>121</v>
      </c>
      <c r="DM7" s="20" t="s">
        <v>44</v>
      </c>
      <c r="DN7" s="20" t="s">
        <v>51</v>
      </c>
      <c r="DO7" s="20" t="s">
        <v>121</v>
      </c>
      <c r="DP7" s="37" t="s">
        <v>52</v>
      </c>
      <c r="DQ7" s="37" t="s">
        <v>102</v>
      </c>
      <c r="DR7" s="37" t="s">
        <v>110</v>
      </c>
      <c r="DS7" s="21" t="s">
        <v>43</v>
      </c>
      <c r="DT7" s="20" t="s">
        <v>121</v>
      </c>
      <c r="DU7" s="38">
        <v>523</v>
      </c>
      <c r="DV7" s="38">
        <v>372</v>
      </c>
      <c r="DW7" s="38">
        <v>292</v>
      </c>
      <c r="DX7" s="38">
        <v>144</v>
      </c>
      <c r="DY7" s="9" t="s">
        <v>54</v>
      </c>
      <c r="DZ7" s="9" t="s">
        <v>47</v>
      </c>
      <c r="EA7" s="9" t="s">
        <v>208</v>
      </c>
      <c r="EB7" s="38" t="s">
        <v>199</v>
      </c>
      <c r="EC7" s="38" t="s">
        <v>199</v>
      </c>
      <c r="ED7" s="28" t="s">
        <v>101</v>
      </c>
    </row>
    <row r="8" spans="1:134" ht="20" thickBot="1">
      <c r="A8" s="64" t="s">
        <v>122</v>
      </c>
      <c r="B8" s="64" t="s">
        <v>120</v>
      </c>
      <c r="C8" s="64">
        <v>2014</v>
      </c>
      <c r="D8" s="62" t="s">
        <v>123</v>
      </c>
      <c r="E8" s="64">
        <f t="shared" si="0"/>
        <v>8750</v>
      </c>
      <c r="F8" s="64" t="s">
        <v>121</v>
      </c>
      <c r="G8" s="64" t="s">
        <v>121</v>
      </c>
      <c r="H8" s="65">
        <v>274</v>
      </c>
      <c r="I8" s="65">
        <v>202</v>
      </c>
      <c r="J8" s="65">
        <v>101</v>
      </c>
      <c r="K8" s="6" t="s">
        <v>41</v>
      </c>
      <c r="L8" s="34" t="s">
        <v>42</v>
      </c>
      <c r="M8" s="40" t="s">
        <v>56</v>
      </c>
      <c r="N8" s="44" t="s">
        <v>123</v>
      </c>
      <c r="O8" s="40" t="s">
        <v>81</v>
      </c>
      <c r="P8" s="45" t="s">
        <v>57</v>
      </c>
      <c r="Q8" s="46" t="s">
        <v>92</v>
      </c>
      <c r="R8" s="47" t="s">
        <v>58</v>
      </c>
      <c r="S8" s="25">
        <v>36.1</v>
      </c>
      <c r="T8" s="25">
        <v>-100</v>
      </c>
      <c r="U8" s="36" t="s">
        <v>121</v>
      </c>
      <c r="V8" s="36" t="s">
        <v>121</v>
      </c>
      <c r="W8" s="36" t="s">
        <v>121</v>
      </c>
      <c r="X8" s="30">
        <v>8.75</v>
      </c>
      <c r="Y8" s="25" t="s">
        <v>121</v>
      </c>
      <c r="Z8" s="25" t="s">
        <v>121</v>
      </c>
      <c r="AA8" s="57" t="s">
        <v>93</v>
      </c>
      <c r="AB8" s="23">
        <v>-7.1</v>
      </c>
      <c r="AC8" s="23">
        <v>0</v>
      </c>
      <c r="AD8" s="39">
        <v>10</v>
      </c>
      <c r="AE8" s="49" t="s">
        <v>88</v>
      </c>
      <c r="AF8" s="22">
        <v>-23.4</v>
      </c>
      <c r="AG8" s="22">
        <v>2</v>
      </c>
      <c r="AH8" s="18" t="s">
        <v>121</v>
      </c>
      <c r="AI8" s="18" t="s">
        <v>121</v>
      </c>
      <c r="AJ8" s="18" t="s">
        <v>121</v>
      </c>
      <c r="AK8" s="18" t="s">
        <v>121</v>
      </c>
      <c r="AL8" s="49" t="s">
        <v>88</v>
      </c>
      <c r="AM8" s="18" t="s">
        <v>121</v>
      </c>
      <c r="AN8" s="18" t="s">
        <v>121</v>
      </c>
      <c r="AO8" s="18" t="s">
        <v>121</v>
      </c>
      <c r="AP8" s="50" t="s">
        <v>121</v>
      </c>
      <c r="AQ8" s="50" t="s">
        <v>121</v>
      </c>
      <c r="AR8" s="50" t="s">
        <v>121</v>
      </c>
      <c r="AS8" s="50" t="s">
        <v>121</v>
      </c>
      <c r="AT8" s="50" t="s">
        <v>121</v>
      </c>
      <c r="AU8" s="18" t="s">
        <v>121</v>
      </c>
      <c r="AV8" s="18" t="s">
        <v>121</v>
      </c>
      <c r="AW8" s="18" t="s">
        <v>121</v>
      </c>
      <c r="AX8" s="50" t="s">
        <v>121</v>
      </c>
      <c r="AY8" s="18" t="s">
        <v>121</v>
      </c>
      <c r="AZ8" s="18" t="s">
        <v>121</v>
      </c>
      <c r="BA8" s="18" t="s">
        <v>121</v>
      </c>
      <c r="BB8" s="18" t="s">
        <v>121</v>
      </c>
      <c r="BC8" s="18" t="s">
        <v>121</v>
      </c>
      <c r="BD8" s="18" t="s">
        <v>121</v>
      </c>
      <c r="BE8" s="18" t="s">
        <v>121</v>
      </c>
      <c r="BF8" s="18" t="s">
        <v>121</v>
      </c>
      <c r="BG8" s="18" t="s">
        <v>121</v>
      </c>
      <c r="BH8" s="18" t="s">
        <v>121</v>
      </c>
      <c r="BI8" s="18" t="s">
        <v>121</v>
      </c>
      <c r="BJ8" s="18" t="s">
        <v>121</v>
      </c>
      <c r="BK8" s="18" t="s">
        <v>121</v>
      </c>
      <c r="BL8" s="18" t="s">
        <v>121</v>
      </c>
      <c r="BM8" s="18" t="s">
        <v>121</v>
      </c>
      <c r="BN8" s="18" t="s">
        <v>121</v>
      </c>
      <c r="BO8" s="18" t="s">
        <v>121</v>
      </c>
      <c r="BP8" s="18" t="s">
        <v>121</v>
      </c>
      <c r="BQ8" s="18" t="s">
        <v>121</v>
      </c>
      <c r="BR8" s="18" t="s">
        <v>121</v>
      </c>
      <c r="BS8" s="18" t="s">
        <v>121</v>
      </c>
      <c r="BT8" s="18" t="s">
        <v>121</v>
      </c>
      <c r="BU8" s="18" t="s">
        <v>121</v>
      </c>
      <c r="BV8" s="18" t="s">
        <v>121</v>
      </c>
      <c r="BW8" s="18" t="s">
        <v>121</v>
      </c>
      <c r="BX8" s="27">
        <v>-24.4</v>
      </c>
      <c r="BY8" s="7" t="s">
        <v>48</v>
      </c>
      <c r="BZ8" s="31" t="s">
        <v>47</v>
      </c>
      <c r="CA8" s="19" t="s">
        <v>186</v>
      </c>
      <c r="CB8" s="100" t="s">
        <v>207</v>
      </c>
      <c r="CC8" s="19" t="s">
        <v>121</v>
      </c>
      <c r="CD8" s="27">
        <v>-5.7725</v>
      </c>
      <c r="CE8" s="7" t="s">
        <v>45</v>
      </c>
      <c r="CF8" s="31" t="s">
        <v>46</v>
      </c>
      <c r="CG8" s="98">
        <v>0.28000000000000003</v>
      </c>
      <c r="CH8" s="101" t="s">
        <v>206</v>
      </c>
      <c r="CI8" s="26" t="s">
        <v>200</v>
      </c>
      <c r="CJ8" s="33">
        <v>28.094000000000001</v>
      </c>
      <c r="CK8" s="7" t="s">
        <v>85</v>
      </c>
      <c r="CL8" s="19">
        <v>5</v>
      </c>
      <c r="CM8" s="19" t="s">
        <v>204</v>
      </c>
      <c r="CN8" s="19" t="s">
        <v>204</v>
      </c>
      <c r="CO8" s="51" t="s">
        <v>121</v>
      </c>
      <c r="CP8" s="32" t="s">
        <v>74</v>
      </c>
      <c r="CQ8" s="27">
        <v>-15.574642265635021</v>
      </c>
      <c r="CR8" s="19" t="s">
        <v>121</v>
      </c>
      <c r="CS8" s="19" t="s">
        <v>49</v>
      </c>
      <c r="CT8" s="19" t="s">
        <v>121</v>
      </c>
      <c r="CU8" s="19" t="s">
        <v>121</v>
      </c>
      <c r="CV8" s="19" t="s">
        <v>121</v>
      </c>
      <c r="CW8" s="19" t="s">
        <v>121</v>
      </c>
      <c r="CX8" s="19" t="s">
        <v>121</v>
      </c>
      <c r="CY8" s="19" t="s">
        <v>121</v>
      </c>
      <c r="CZ8" s="88" t="s">
        <v>121</v>
      </c>
      <c r="DA8" s="19">
        <v>596</v>
      </c>
      <c r="DB8" s="7" t="s">
        <v>50</v>
      </c>
      <c r="DC8" s="19">
        <v>350</v>
      </c>
      <c r="DD8" s="19">
        <v>350</v>
      </c>
      <c r="DE8" s="100" t="s">
        <v>201</v>
      </c>
      <c r="DF8" s="19" t="s">
        <v>200</v>
      </c>
      <c r="DG8" s="20" t="s">
        <v>51</v>
      </c>
      <c r="DH8" s="20" t="s">
        <v>65</v>
      </c>
      <c r="DI8" s="20" t="s">
        <v>121</v>
      </c>
      <c r="DJ8" s="20" t="s">
        <v>121</v>
      </c>
      <c r="DK8" s="20" t="s">
        <v>121</v>
      </c>
      <c r="DL8" s="20" t="s">
        <v>121</v>
      </c>
      <c r="DM8" s="20" t="s">
        <v>44</v>
      </c>
      <c r="DN8" s="20" t="s">
        <v>51</v>
      </c>
      <c r="DO8" s="20" t="s">
        <v>121</v>
      </c>
      <c r="DP8" s="37" t="s">
        <v>52</v>
      </c>
      <c r="DQ8" s="37" t="s">
        <v>102</v>
      </c>
      <c r="DR8" s="37" t="s">
        <v>110</v>
      </c>
      <c r="DS8" s="21" t="s">
        <v>43</v>
      </c>
      <c r="DT8" s="20" t="s">
        <v>121</v>
      </c>
      <c r="DU8" s="38">
        <v>387</v>
      </c>
      <c r="DV8" s="38">
        <v>274</v>
      </c>
      <c r="DW8" s="38">
        <v>202</v>
      </c>
      <c r="DX8" s="38">
        <v>101</v>
      </c>
      <c r="DY8" s="9" t="s">
        <v>54</v>
      </c>
      <c r="DZ8" s="9" t="s">
        <v>47</v>
      </c>
      <c r="EA8" s="9" t="s">
        <v>208</v>
      </c>
      <c r="EB8" s="38" t="s">
        <v>199</v>
      </c>
      <c r="EC8" s="38" t="s">
        <v>199</v>
      </c>
      <c r="ED8" s="28" t="s">
        <v>101</v>
      </c>
    </row>
    <row r="9" spans="1:134" ht="20" thickBot="1">
      <c r="A9" s="64" t="s">
        <v>122</v>
      </c>
      <c r="B9" s="64" t="s">
        <v>120</v>
      </c>
      <c r="C9" s="64">
        <v>2014</v>
      </c>
      <c r="D9" s="62" t="s">
        <v>123</v>
      </c>
      <c r="E9" s="64">
        <f t="shared" si="0"/>
        <v>9100</v>
      </c>
      <c r="F9" s="64" t="s">
        <v>121</v>
      </c>
      <c r="G9" s="64" t="s">
        <v>121</v>
      </c>
      <c r="H9" s="65">
        <v>197</v>
      </c>
      <c r="I9" s="65">
        <v>287</v>
      </c>
      <c r="J9" s="65">
        <v>108</v>
      </c>
      <c r="K9" s="6" t="s">
        <v>41</v>
      </c>
      <c r="L9" s="34" t="s">
        <v>42</v>
      </c>
      <c r="M9" s="40" t="s">
        <v>56</v>
      </c>
      <c r="N9" s="44" t="s">
        <v>123</v>
      </c>
      <c r="O9" s="40" t="s">
        <v>81</v>
      </c>
      <c r="P9" s="45" t="s">
        <v>57</v>
      </c>
      <c r="Q9" s="46" t="s">
        <v>94</v>
      </c>
      <c r="R9" s="47" t="s">
        <v>60</v>
      </c>
      <c r="S9" s="25">
        <v>41.5</v>
      </c>
      <c r="T9" s="25">
        <v>-103.1</v>
      </c>
      <c r="U9" s="36" t="s">
        <v>121</v>
      </c>
      <c r="V9" s="36" t="s">
        <v>121</v>
      </c>
      <c r="W9" s="36" t="s">
        <v>121</v>
      </c>
      <c r="X9" s="30">
        <v>9.1</v>
      </c>
      <c r="Y9" s="25" t="s">
        <v>121</v>
      </c>
      <c r="Z9" s="25" t="s">
        <v>121</v>
      </c>
      <c r="AA9" s="58" t="s">
        <v>95</v>
      </c>
      <c r="AB9" s="23">
        <v>-6.7947368421052632</v>
      </c>
      <c r="AC9" s="23">
        <v>0.90547393167096313</v>
      </c>
      <c r="AD9" s="39">
        <v>19</v>
      </c>
      <c r="AE9" s="49" t="s">
        <v>88</v>
      </c>
      <c r="AF9" s="22">
        <v>-23.5</v>
      </c>
      <c r="AG9" s="22">
        <v>2</v>
      </c>
      <c r="AH9" s="18" t="s">
        <v>121</v>
      </c>
      <c r="AI9" s="18" t="s">
        <v>121</v>
      </c>
      <c r="AJ9" s="18" t="s">
        <v>121</v>
      </c>
      <c r="AK9" s="18" t="s">
        <v>121</v>
      </c>
      <c r="AL9" s="49" t="s">
        <v>88</v>
      </c>
      <c r="AM9" s="18" t="s">
        <v>121</v>
      </c>
      <c r="AN9" s="18" t="s">
        <v>121</v>
      </c>
      <c r="AO9" s="18" t="s">
        <v>121</v>
      </c>
      <c r="AP9" s="50" t="s">
        <v>121</v>
      </c>
      <c r="AQ9" s="50" t="s">
        <v>121</v>
      </c>
      <c r="AR9" s="50" t="s">
        <v>121</v>
      </c>
      <c r="AS9" s="50" t="s">
        <v>121</v>
      </c>
      <c r="AT9" s="50" t="s">
        <v>121</v>
      </c>
      <c r="AU9" s="18" t="s">
        <v>121</v>
      </c>
      <c r="AV9" s="18" t="s">
        <v>121</v>
      </c>
      <c r="AW9" s="18" t="s">
        <v>121</v>
      </c>
      <c r="AX9" s="50" t="s">
        <v>121</v>
      </c>
      <c r="AY9" s="18" t="s">
        <v>121</v>
      </c>
      <c r="AZ9" s="18" t="s">
        <v>121</v>
      </c>
      <c r="BA9" s="18" t="s">
        <v>121</v>
      </c>
      <c r="BB9" s="18" t="s">
        <v>121</v>
      </c>
      <c r="BC9" s="18" t="s">
        <v>121</v>
      </c>
      <c r="BD9" s="18" t="s">
        <v>121</v>
      </c>
      <c r="BE9" s="18" t="s">
        <v>121</v>
      </c>
      <c r="BF9" s="18" t="s">
        <v>121</v>
      </c>
      <c r="BG9" s="18" t="s">
        <v>121</v>
      </c>
      <c r="BH9" s="18" t="s">
        <v>121</v>
      </c>
      <c r="BI9" s="18" t="s">
        <v>121</v>
      </c>
      <c r="BJ9" s="18" t="s">
        <v>121</v>
      </c>
      <c r="BK9" s="18" t="s">
        <v>121</v>
      </c>
      <c r="BL9" s="18" t="s">
        <v>121</v>
      </c>
      <c r="BM9" s="18" t="s">
        <v>121</v>
      </c>
      <c r="BN9" s="18" t="s">
        <v>121</v>
      </c>
      <c r="BO9" s="18" t="s">
        <v>121</v>
      </c>
      <c r="BP9" s="18" t="s">
        <v>121</v>
      </c>
      <c r="BQ9" s="18" t="s">
        <v>121</v>
      </c>
      <c r="BR9" s="18" t="s">
        <v>121</v>
      </c>
      <c r="BS9" s="18" t="s">
        <v>121</v>
      </c>
      <c r="BT9" s="18" t="s">
        <v>121</v>
      </c>
      <c r="BU9" s="18" t="s">
        <v>121</v>
      </c>
      <c r="BV9" s="18" t="s">
        <v>121</v>
      </c>
      <c r="BW9" s="18" t="s">
        <v>121</v>
      </c>
      <c r="BX9" s="27">
        <v>-24.5</v>
      </c>
      <c r="BY9" s="7" t="s">
        <v>48</v>
      </c>
      <c r="BZ9" s="31" t="s">
        <v>47</v>
      </c>
      <c r="CA9" s="19" t="s">
        <v>186</v>
      </c>
      <c r="CB9" s="100" t="s">
        <v>207</v>
      </c>
      <c r="CC9" s="19" t="s">
        <v>121</v>
      </c>
      <c r="CD9" s="27">
        <v>-5.79</v>
      </c>
      <c r="CE9" s="7" t="s">
        <v>45</v>
      </c>
      <c r="CF9" s="31" t="s">
        <v>46</v>
      </c>
      <c r="CG9" s="98">
        <v>0.13</v>
      </c>
      <c r="CH9" s="101" t="s">
        <v>206</v>
      </c>
      <c r="CI9" s="26" t="s">
        <v>200</v>
      </c>
      <c r="CJ9" s="33">
        <v>23.033999999999999</v>
      </c>
      <c r="CK9" s="7" t="s">
        <v>85</v>
      </c>
      <c r="CL9" s="19">
        <v>5</v>
      </c>
      <c r="CM9" s="19" t="s">
        <v>204</v>
      </c>
      <c r="CN9" s="19" t="s">
        <v>204</v>
      </c>
      <c r="CO9" s="51" t="s">
        <v>121</v>
      </c>
      <c r="CP9" s="32" t="s">
        <v>74</v>
      </c>
      <c r="CQ9" s="27">
        <v>-15.864451327824099</v>
      </c>
      <c r="CR9" s="19" t="s">
        <v>121</v>
      </c>
      <c r="CS9" s="19" t="s">
        <v>49</v>
      </c>
      <c r="CT9" s="19" t="s">
        <v>121</v>
      </c>
      <c r="CU9" s="19" t="s">
        <v>121</v>
      </c>
      <c r="CV9" s="19" t="s">
        <v>121</v>
      </c>
      <c r="CW9" s="19" t="s">
        <v>121</v>
      </c>
      <c r="CX9" s="19" t="s">
        <v>121</v>
      </c>
      <c r="CY9" s="19" t="s">
        <v>121</v>
      </c>
      <c r="CZ9" s="88" t="s">
        <v>121</v>
      </c>
      <c r="DA9" s="19">
        <v>440</v>
      </c>
      <c r="DB9" s="7" t="s">
        <v>50</v>
      </c>
      <c r="DC9" s="19">
        <v>512</v>
      </c>
      <c r="DD9" s="19">
        <v>512</v>
      </c>
      <c r="DE9" s="100" t="s">
        <v>201</v>
      </c>
      <c r="DF9" s="19" t="s">
        <v>200</v>
      </c>
      <c r="DG9" s="20" t="s">
        <v>51</v>
      </c>
      <c r="DH9" s="20" t="s">
        <v>55</v>
      </c>
      <c r="DI9" s="20" t="s">
        <v>121</v>
      </c>
      <c r="DJ9" s="20" t="s">
        <v>121</v>
      </c>
      <c r="DK9" s="20" t="s">
        <v>121</v>
      </c>
      <c r="DL9" s="20" t="s">
        <v>121</v>
      </c>
      <c r="DM9" s="20" t="s">
        <v>44</v>
      </c>
      <c r="DN9" s="20" t="s">
        <v>51</v>
      </c>
      <c r="DO9" s="20" t="s">
        <v>121</v>
      </c>
      <c r="DP9" s="37" t="s">
        <v>52</v>
      </c>
      <c r="DQ9" s="37" t="s">
        <v>102</v>
      </c>
      <c r="DR9" s="37" t="s">
        <v>53</v>
      </c>
      <c r="DS9" s="21" t="s">
        <v>43</v>
      </c>
      <c r="DT9" s="20" t="s">
        <v>121</v>
      </c>
      <c r="DU9" s="38">
        <v>283</v>
      </c>
      <c r="DV9" s="38">
        <v>197</v>
      </c>
      <c r="DW9" s="38">
        <v>287</v>
      </c>
      <c r="DX9" s="38">
        <v>108</v>
      </c>
      <c r="DY9" s="9" t="s">
        <v>54</v>
      </c>
      <c r="DZ9" s="9" t="s">
        <v>47</v>
      </c>
      <c r="EA9" s="9" t="s">
        <v>208</v>
      </c>
      <c r="EB9" s="38" t="s">
        <v>199</v>
      </c>
      <c r="EC9" s="38" t="s">
        <v>199</v>
      </c>
      <c r="ED9" s="28" t="s">
        <v>101</v>
      </c>
    </row>
    <row r="10" spans="1:134" ht="20" thickBot="1">
      <c r="A10" s="64" t="s">
        <v>122</v>
      </c>
      <c r="B10" s="64" t="s">
        <v>120</v>
      </c>
      <c r="C10" s="64">
        <v>2014</v>
      </c>
      <c r="D10" s="62" t="s">
        <v>123</v>
      </c>
      <c r="E10" s="64">
        <f t="shared" si="0"/>
        <v>12700</v>
      </c>
      <c r="F10" s="64" t="s">
        <v>121</v>
      </c>
      <c r="G10" s="64" t="s">
        <v>121</v>
      </c>
      <c r="H10" s="65">
        <v>267</v>
      </c>
      <c r="I10" s="65">
        <v>357</v>
      </c>
      <c r="J10" s="65">
        <v>136</v>
      </c>
      <c r="K10" s="6" t="s">
        <v>41</v>
      </c>
      <c r="L10" s="34" t="s">
        <v>42</v>
      </c>
      <c r="M10" s="40" t="s">
        <v>56</v>
      </c>
      <c r="N10" s="44" t="s">
        <v>123</v>
      </c>
      <c r="O10" s="40" t="s">
        <v>81</v>
      </c>
      <c r="P10" s="45" t="s">
        <v>57</v>
      </c>
      <c r="Q10" s="46" t="s">
        <v>96</v>
      </c>
      <c r="R10" s="47" t="s">
        <v>60</v>
      </c>
      <c r="S10" s="25">
        <v>42.4</v>
      </c>
      <c r="T10" s="25">
        <v>-98.2</v>
      </c>
      <c r="U10" s="36" t="s">
        <v>121</v>
      </c>
      <c r="V10" s="36" t="s">
        <v>121</v>
      </c>
      <c r="W10" s="36" t="s">
        <v>121</v>
      </c>
      <c r="X10" s="30">
        <v>12.7</v>
      </c>
      <c r="Y10" s="25" t="s">
        <v>121</v>
      </c>
      <c r="Z10" s="25" t="s">
        <v>121</v>
      </c>
      <c r="AA10" s="58" t="s">
        <v>89</v>
      </c>
      <c r="AB10" s="23">
        <v>-7</v>
      </c>
      <c r="AC10" s="23">
        <v>0.56568542494923857</v>
      </c>
      <c r="AD10" s="39">
        <v>2</v>
      </c>
      <c r="AE10" s="49" t="s">
        <v>88</v>
      </c>
      <c r="AF10" s="22">
        <v>-25.1</v>
      </c>
      <c r="AG10" s="22">
        <v>2</v>
      </c>
      <c r="AH10" s="18" t="s">
        <v>121</v>
      </c>
      <c r="AI10" s="18" t="s">
        <v>121</v>
      </c>
      <c r="AJ10" s="18" t="s">
        <v>121</v>
      </c>
      <c r="AK10" s="18" t="s">
        <v>121</v>
      </c>
      <c r="AL10" s="49" t="s">
        <v>88</v>
      </c>
      <c r="AM10" s="18" t="s">
        <v>121</v>
      </c>
      <c r="AN10" s="18" t="s">
        <v>121</v>
      </c>
      <c r="AO10" s="18" t="s">
        <v>121</v>
      </c>
      <c r="AP10" s="50" t="s">
        <v>121</v>
      </c>
      <c r="AQ10" s="50" t="s">
        <v>121</v>
      </c>
      <c r="AR10" s="50" t="s">
        <v>121</v>
      </c>
      <c r="AS10" s="50" t="s">
        <v>121</v>
      </c>
      <c r="AT10" s="50" t="s">
        <v>121</v>
      </c>
      <c r="AU10" s="18" t="s">
        <v>121</v>
      </c>
      <c r="AV10" s="18" t="s">
        <v>121</v>
      </c>
      <c r="AW10" s="18" t="s">
        <v>121</v>
      </c>
      <c r="AX10" s="50" t="s">
        <v>121</v>
      </c>
      <c r="AY10" s="18" t="s">
        <v>121</v>
      </c>
      <c r="AZ10" s="18" t="s">
        <v>121</v>
      </c>
      <c r="BA10" s="18" t="s">
        <v>121</v>
      </c>
      <c r="BB10" s="18" t="s">
        <v>121</v>
      </c>
      <c r="BC10" s="18" t="s">
        <v>121</v>
      </c>
      <c r="BD10" s="18" t="s">
        <v>121</v>
      </c>
      <c r="BE10" s="18" t="s">
        <v>121</v>
      </c>
      <c r="BF10" s="18" t="s">
        <v>121</v>
      </c>
      <c r="BG10" s="18" t="s">
        <v>121</v>
      </c>
      <c r="BH10" s="18" t="s">
        <v>121</v>
      </c>
      <c r="BI10" s="18" t="s">
        <v>121</v>
      </c>
      <c r="BJ10" s="18" t="s">
        <v>121</v>
      </c>
      <c r="BK10" s="18" t="s">
        <v>121</v>
      </c>
      <c r="BL10" s="18" t="s">
        <v>121</v>
      </c>
      <c r="BM10" s="18" t="s">
        <v>121</v>
      </c>
      <c r="BN10" s="18" t="s">
        <v>121</v>
      </c>
      <c r="BO10" s="18" t="s">
        <v>121</v>
      </c>
      <c r="BP10" s="18" t="s">
        <v>121</v>
      </c>
      <c r="BQ10" s="18" t="s">
        <v>121</v>
      </c>
      <c r="BR10" s="18" t="s">
        <v>121</v>
      </c>
      <c r="BS10" s="18" t="s">
        <v>121</v>
      </c>
      <c r="BT10" s="18" t="s">
        <v>121</v>
      </c>
      <c r="BU10" s="18" t="s">
        <v>121</v>
      </c>
      <c r="BV10" s="18" t="s">
        <v>121</v>
      </c>
      <c r="BW10" s="18" t="s">
        <v>121</v>
      </c>
      <c r="BX10" s="27">
        <v>-26.1</v>
      </c>
      <c r="BY10" s="7" t="s">
        <v>48</v>
      </c>
      <c r="BZ10" s="31" t="s">
        <v>47</v>
      </c>
      <c r="CA10" s="19" t="s">
        <v>186</v>
      </c>
      <c r="CB10" s="100" t="s">
        <v>207</v>
      </c>
      <c r="CC10" s="19" t="s">
        <v>121</v>
      </c>
      <c r="CD10" s="27">
        <v>-6.0724999999999998</v>
      </c>
      <c r="CE10" s="7" t="s">
        <v>45</v>
      </c>
      <c r="CF10" s="31" t="s">
        <v>46</v>
      </c>
      <c r="CG10" s="98" t="s">
        <v>205</v>
      </c>
      <c r="CH10" s="101" t="s">
        <v>206</v>
      </c>
      <c r="CI10" s="26" t="s">
        <v>200</v>
      </c>
      <c r="CJ10" s="33">
        <v>23.033999999999999</v>
      </c>
      <c r="CK10" s="7" t="s">
        <v>85</v>
      </c>
      <c r="CL10" s="19">
        <v>5</v>
      </c>
      <c r="CM10" s="19" t="s">
        <v>204</v>
      </c>
      <c r="CN10" s="19" t="s">
        <v>204</v>
      </c>
      <c r="CO10" s="51" t="s">
        <v>121</v>
      </c>
      <c r="CP10" s="32" t="s">
        <v>74</v>
      </c>
      <c r="CQ10" s="27">
        <v>-16.067840071329783</v>
      </c>
      <c r="CR10" s="19" t="s">
        <v>121</v>
      </c>
      <c r="CS10" s="19" t="s">
        <v>49</v>
      </c>
      <c r="CT10" s="19" t="s">
        <v>121</v>
      </c>
      <c r="CU10" s="19" t="s">
        <v>121</v>
      </c>
      <c r="CV10" s="19" t="s">
        <v>121</v>
      </c>
      <c r="CW10" s="19" t="s">
        <v>121</v>
      </c>
      <c r="CX10" s="19" t="s">
        <v>121</v>
      </c>
      <c r="CY10" s="19" t="s">
        <v>121</v>
      </c>
      <c r="CZ10" s="88" t="s">
        <v>121</v>
      </c>
      <c r="DA10" s="19">
        <v>440</v>
      </c>
      <c r="DB10" s="7" t="s">
        <v>50</v>
      </c>
      <c r="DC10" s="19">
        <v>512</v>
      </c>
      <c r="DD10" s="19">
        <v>512</v>
      </c>
      <c r="DE10" s="100" t="s">
        <v>201</v>
      </c>
      <c r="DF10" s="19" t="s">
        <v>200</v>
      </c>
      <c r="DG10" s="20" t="s">
        <v>51</v>
      </c>
      <c r="DH10" s="20" t="s">
        <v>55</v>
      </c>
      <c r="DI10" s="20" t="s">
        <v>121</v>
      </c>
      <c r="DJ10" s="20" t="s">
        <v>121</v>
      </c>
      <c r="DK10" s="20" t="s">
        <v>121</v>
      </c>
      <c r="DL10" s="20" t="s">
        <v>121</v>
      </c>
      <c r="DM10" s="20" t="s">
        <v>44</v>
      </c>
      <c r="DN10" s="20" t="s">
        <v>51</v>
      </c>
      <c r="DO10" s="20" t="s">
        <v>121</v>
      </c>
      <c r="DP10" s="37" t="s">
        <v>52</v>
      </c>
      <c r="DQ10" s="37" t="s">
        <v>102</v>
      </c>
      <c r="DR10" s="37" t="s">
        <v>53</v>
      </c>
      <c r="DS10" s="21" t="s">
        <v>43</v>
      </c>
      <c r="DT10" s="20" t="s">
        <v>121</v>
      </c>
      <c r="DU10" s="38">
        <v>370</v>
      </c>
      <c r="DV10" s="38">
        <v>267</v>
      </c>
      <c r="DW10" s="38">
        <v>357</v>
      </c>
      <c r="DX10" s="38">
        <v>136</v>
      </c>
      <c r="DY10" s="9" t="s">
        <v>54</v>
      </c>
      <c r="DZ10" s="9" t="s">
        <v>47</v>
      </c>
      <c r="EA10" s="9" t="s">
        <v>208</v>
      </c>
      <c r="EB10" s="38" t="s">
        <v>199</v>
      </c>
      <c r="EC10" s="38" t="s">
        <v>199</v>
      </c>
      <c r="ED10" s="28" t="s">
        <v>101</v>
      </c>
    </row>
    <row r="11" spans="1:134" ht="20" thickBot="1">
      <c r="A11" s="64" t="s">
        <v>122</v>
      </c>
      <c r="B11" s="64" t="s">
        <v>120</v>
      </c>
      <c r="C11" s="64">
        <v>2014</v>
      </c>
      <c r="D11" s="62" t="s">
        <v>123</v>
      </c>
      <c r="E11" s="64">
        <f t="shared" si="0"/>
        <v>17500</v>
      </c>
      <c r="F11" s="64" t="s">
        <v>121</v>
      </c>
      <c r="G11" s="64" t="s">
        <v>121</v>
      </c>
      <c r="H11" s="65">
        <v>261</v>
      </c>
      <c r="I11" s="65">
        <v>349</v>
      </c>
      <c r="J11" s="65">
        <v>135</v>
      </c>
      <c r="K11" s="6" t="s">
        <v>41</v>
      </c>
      <c r="L11" s="34" t="s">
        <v>42</v>
      </c>
      <c r="M11" s="40" t="s">
        <v>56</v>
      </c>
      <c r="N11" s="44" t="s">
        <v>123</v>
      </c>
      <c r="O11" s="40" t="s">
        <v>81</v>
      </c>
      <c r="P11" s="45" t="s">
        <v>57</v>
      </c>
      <c r="Q11" s="46" t="s">
        <v>97</v>
      </c>
      <c r="R11" s="47" t="s">
        <v>61</v>
      </c>
      <c r="S11" s="25">
        <v>42.4</v>
      </c>
      <c r="T11" s="25">
        <v>-103.3</v>
      </c>
      <c r="U11" s="36" t="s">
        <v>121</v>
      </c>
      <c r="V11" s="36" t="s">
        <v>121</v>
      </c>
      <c r="W11" s="36" t="s">
        <v>121</v>
      </c>
      <c r="X11" s="30">
        <v>17.5</v>
      </c>
      <c r="Y11" s="25" t="s">
        <v>121</v>
      </c>
      <c r="Z11" s="25" t="s">
        <v>121</v>
      </c>
      <c r="AA11" s="57" t="s">
        <v>98</v>
      </c>
      <c r="AB11" s="23">
        <v>-7.0900000000000007</v>
      </c>
      <c r="AC11" s="23">
        <v>1.1331372379372238</v>
      </c>
      <c r="AD11" s="39">
        <v>21</v>
      </c>
      <c r="AE11" s="49" t="s">
        <v>88</v>
      </c>
      <c r="AF11" s="22">
        <v>-25.3</v>
      </c>
      <c r="AG11" s="22">
        <v>2</v>
      </c>
      <c r="AH11" s="18" t="s">
        <v>121</v>
      </c>
      <c r="AI11" s="18" t="s">
        <v>121</v>
      </c>
      <c r="AJ11" s="18" t="s">
        <v>121</v>
      </c>
      <c r="AK11" s="18" t="s">
        <v>121</v>
      </c>
      <c r="AL11" s="49" t="s">
        <v>88</v>
      </c>
      <c r="AM11" s="18" t="s">
        <v>121</v>
      </c>
      <c r="AN11" s="18" t="s">
        <v>121</v>
      </c>
      <c r="AO11" s="18" t="s">
        <v>121</v>
      </c>
      <c r="AP11" s="50" t="s">
        <v>121</v>
      </c>
      <c r="AQ11" s="50" t="s">
        <v>121</v>
      </c>
      <c r="AR11" s="50" t="s">
        <v>121</v>
      </c>
      <c r="AS11" s="50" t="s">
        <v>121</v>
      </c>
      <c r="AT11" s="50" t="s">
        <v>121</v>
      </c>
      <c r="AU11" s="18" t="s">
        <v>121</v>
      </c>
      <c r="AV11" s="18" t="s">
        <v>121</v>
      </c>
      <c r="AW11" s="18" t="s">
        <v>121</v>
      </c>
      <c r="AX11" s="50" t="s">
        <v>121</v>
      </c>
      <c r="AY11" s="18" t="s">
        <v>121</v>
      </c>
      <c r="AZ11" s="18" t="s">
        <v>121</v>
      </c>
      <c r="BA11" s="18" t="s">
        <v>121</v>
      </c>
      <c r="BB11" s="18" t="s">
        <v>121</v>
      </c>
      <c r="BC11" s="18" t="s">
        <v>121</v>
      </c>
      <c r="BD11" s="18" t="s">
        <v>121</v>
      </c>
      <c r="BE11" s="18" t="s">
        <v>121</v>
      </c>
      <c r="BF11" s="18" t="s">
        <v>121</v>
      </c>
      <c r="BG11" s="18" t="s">
        <v>121</v>
      </c>
      <c r="BH11" s="18" t="s">
        <v>121</v>
      </c>
      <c r="BI11" s="18" t="s">
        <v>121</v>
      </c>
      <c r="BJ11" s="18" t="s">
        <v>121</v>
      </c>
      <c r="BK11" s="18" t="s">
        <v>121</v>
      </c>
      <c r="BL11" s="18" t="s">
        <v>121</v>
      </c>
      <c r="BM11" s="18" t="s">
        <v>121</v>
      </c>
      <c r="BN11" s="18" t="s">
        <v>121</v>
      </c>
      <c r="BO11" s="18" t="s">
        <v>121</v>
      </c>
      <c r="BP11" s="18" t="s">
        <v>121</v>
      </c>
      <c r="BQ11" s="18" t="s">
        <v>121</v>
      </c>
      <c r="BR11" s="18" t="s">
        <v>121</v>
      </c>
      <c r="BS11" s="18" t="s">
        <v>121</v>
      </c>
      <c r="BT11" s="18" t="s">
        <v>121</v>
      </c>
      <c r="BU11" s="18" t="s">
        <v>121</v>
      </c>
      <c r="BV11" s="18" t="s">
        <v>121</v>
      </c>
      <c r="BW11" s="18" t="s">
        <v>121</v>
      </c>
      <c r="BX11" s="27">
        <v>-26.3</v>
      </c>
      <c r="BY11" s="7" t="s">
        <v>48</v>
      </c>
      <c r="BZ11" s="31" t="s">
        <v>47</v>
      </c>
      <c r="CA11" s="19" t="s">
        <v>186</v>
      </c>
      <c r="CB11" s="100" t="s">
        <v>207</v>
      </c>
      <c r="CC11" s="19" t="s">
        <v>121</v>
      </c>
      <c r="CD11" s="27">
        <v>-5.8449999999999998</v>
      </c>
      <c r="CE11" s="7" t="s">
        <v>45</v>
      </c>
      <c r="CF11" s="31" t="s">
        <v>46</v>
      </c>
      <c r="CG11" s="98">
        <v>0.08</v>
      </c>
      <c r="CH11" s="101" t="s">
        <v>206</v>
      </c>
      <c r="CI11" s="26" t="s">
        <v>200</v>
      </c>
      <c r="CJ11" s="33">
        <v>23.033999999999999</v>
      </c>
      <c r="CK11" s="7" t="s">
        <v>85</v>
      </c>
      <c r="CL11" s="19">
        <v>5</v>
      </c>
      <c r="CM11" s="19" t="s">
        <v>204</v>
      </c>
      <c r="CN11" s="19" t="s">
        <v>204</v>
      </c>
      <c r="CO11" s="51" t="s">
        <v>121</v>
      </c>
      <c r="CP11" s="32" t="s">
        <v>74</v>
      </c>
      <c r="CQ11" s="27">
        <v>-16.157018212713069</v>
      </c>
      <c r="CR11" s="19" t="s">
        <v>121</v>
      </c>
      <c r="CS11" s="19" t="s">
        <v>49</v>
      </c>
      <c r="CT11" s="19" t="s">
        <v>121</v>
      </c>
      <c r="CU11" s="19" t="s">
        <v>121</v>
      </c>
      <c r="CV11" s="19" t="s">
        <v>121</v>
      </c>
      <c r="CW11" s="19" t="s">
        <v>121</v>
      </c>
      <c r="CX11" s="19" t="s">
        <v>121</v>
      </c>
      <c r="CY11" s="19" t="s">
        <v>121</v>
      </c>
      <c r="CZ11" s="88" t="s">
        <v>121</v>
      </c>
      <c r="DA11" s="19">
        <v>440</v>
      </c>
      <c r="DB11" s="7" t="s">
        <v>50</v>
      </c>
      <c r="DC11" s="19">
        <v>512</v>
      </c>
      <c r="DD11" s="19">
        <v>512</v>
      </c>
      <c r="DE11" s="100" t="s">
        <v>201</v>
      </c>
      <c r="DF11" s="19" t="s">
        <v>200</v>
      </c>
      <c r="DG11" s="20" t="s">
        <v>51</v>
      </c>
      <c r="DH11" s="20" t="s">
        <v>55</v>
      </c>
      <c r="DI11" s="20" t="s">
        <v>121</v>
      </c>
      <c r="DJ11" s="20" t="s">
        <v>121</v>
      </c>
      <c r="DK11" s="20" t="s">
        <v>121</v>
      </c>
      <c r="DL11" s="20" t="s">
        <v>121</v>
      </c>
      <c r="DM11" s="20" t="s">
        <v>44</v>
      </c>
      <c r="DN11" s="20" t="s">
        <v>51</v>
      </c>
      <c r="DO11" s="20" t="s">
        <v>121</v>
      </c>
      <c r="DP11" s="37" t="s">
        <v>52</v>
      </c>
      <c r="DQ11" s="37" t="s">
        <v>102</v>
      </c>
      <c r="DR11" s="37" t="s">
        <v>53</v>
      </c>
      <c r="DS11" s="21" t="s">
        <v>43</v>
      </c>
      <c r="DT11" s="20" t="s">
        <v>121</v>
      </c>
      <c r="DU11" s="38">
        <v>362</v>
      </c>
      <c r="DV11" s="38">
        <v>261</v>
      </c>
      <c r="DW11" s="38">
        <v>349</v>
      </c>
      <c r="DX11" s="38">
        <v>135</v>
      </c>
      <c r="DY11" s="9" t="s">
        <v>54</v>
      </c>
      <c r="DZ11" s="9" t="s">
        <v>47</v>
      </c>
      <c r="EA11" s="9" t="s">
        <v>208</v>
      </c>
      <c r="EB11" s="38" t="s">
        <v>199</v>
      </c>
      <c r="EC11" s="38" t="s">
        <v>199</v>
      </c>
      <c r="ED11" s="28" t="s">
        <v>101</v>
      </c>
    </row>
    <row r="12" spans="1:134" ht="20" thickBot="1">
      <c r="A12" s="64" t="s">
        <v>122</v>
      </c>
      <c r="B12" s="64" t="s">
        <v>120</v>
      </c>
      <c r="C12" s="64">
        <v>2014</v>
      </c>
      <c r="D12" s="62" t="s">
        <v>123</v>
      </c>
      <c r="E12" s="64">
        <f t="shared" si="0"/>
        <v>17800</v>
      </c>
      <c r="F12" s="64" t="s">
        <v>121</v>
      </c>
      <c r="G12" s="64" t="s">
        <v>121</v>
      </c>
      <c r="H12" s="65">
        <v>237</v>
      </c>
      <c r="I12" s="65">
        <v>780</v>
      </c>
      <c r="J12" s="65">
        <v>164</v>
      </c>
      <c r="K12" s="6" t="s">
        <v>41</v>
      </c>
      <c r="L12" s="34" t="s">
        <v>42</v>
      </c>
      <c r="M12" s="40" t="s">
        <v>56</v>
      </c>
      <c r="N12" s="44" t="s">
        <v>123</v>
      </c>
      <c r="O12" s="52" t="s">
        <v>103</v>
      </c>
      <c r="P12" s="45" t="s">
        <v>57</v>
      </c>
      <c r="Q12" s="46" t="s">
        <v>104</v>
      </c>
      <c r="R12" s="47" t="s">
        <v>62</v>
      </c>
      <c r="S12" s="36" t="s">
        <v>121</v>
      </c>
      <c r="T12" s="36" t="s">
        <v>121</v>
      </c>
      <c r="U12" s="36" t="s">
        <v>121</v>
      </c>
      <c r="V12" s="36" t="s">
        <v>121</v>
      </c>
      <c r="W12" s="36" t="s">
        <v>121</v>
      </c>
      <c r="X12" s="30">
        <v>17.8</v>
      </c>
      <c r="Y12" s="25" t="s">
        <v>121</v>
      </c>
      <c r="Z12" s="25" t="s">
        <v>121</v>
      </c>
      <c r="AA12" s="58" t="s">
        <v>105</v>
      </c>
      <c r="AB12" s="23">
        <v>-7.2</v>
      </c>
      <c r="AC12" s="23">
        <v>2.8</v>
      </c>
      <c r="AD12" s="39">
        <v>5</v>
      </c>
      <c r="AE12" s="49" t="s">
        <v>103</v>
      </c>
      <c r="AF12" s="18" t="s">
        <v>121</v>
      </c>
      <c r="AG12" s="18" t="s">
        <v>121</v>
      </c>
      <c r="AH12" s="18" t="s">
        <v>121</v>
      </c>
      <c r="AI12" s="22">
        <v>-23.7</v>
      </c>
      <c r="AJ12" s="22">
        <v>1</v>
      </c>
      <c r="AK12" s="18">
        <v>4</v>
      </c>
      <c r="AL12" s="49" t="s">
        <v>103</v>
      </c>
      <c r="AM12" s="18" t="s">
        <v>121</v>
      </c>
      <c r="AN12" s="18" t="s">
        <v>121</v>
      </c>
      <c r="AO12" s="18" t="s">
        <v>121</v>
      </c>
      <c r="AP12" s="50" t="s">
        <v>121</v>
      </c>
      <c r="AQ12" s="50" t="s">
        <v>121</v>
      </c>
      <c r="AR12" s="50" t="s">
        <v>121</v>
      </c>
      <c r="AS12" s="50" t="s">
        <v>121</v>
      </c>
      <c r="AT12" s="50" t="s">
        <v>121</v>
      </c>
      <c r="AU12" s="18" t="s">
        <v>121</v>
      </c>
      <c r="AV12" s="18" t="s">
        <v>121</v>
      </c>
      <c r="AW12" s="18" t="s">
        <v>121</v>
      </c>
      <c r="AX12" s="50" t="s">
        <v>121</v>
      </c>
      <c r="AY12" s="60" t="s">
        <v>111</v>
      </c>
      <c r="AZ12" s="60" t="s">
        <v>111</v>
      </c>
      <c r="BA12" s="18" t="s">
        <v>121</v>
      </c>
      <c r="BB12" s="18" t="s">
        <v>121</v>
      </c>
      <c r="BC12" s="18" t="s">
        <v>121</v>
      </c>
      <c r="BD12" s="18" t="s">
        <v>121</v>
      </c>
      <c r="BE12" s="18" t="s">
        <v>121</v>
      </c>
      <c r="BF12" s="18" t="s">
        <v>121</v>
      </c>
      <c r="BG12" s="18" t="s">
        <v>121</v>
      </c>
      <c r="BH12" s="18" t="s">
        <v>121</v>
      </c>
      <c r="BI12" s="18" t="s">
        <v>121</v>
      </c>
      <c r="BJ12" s="18" t="s">
        <v>121</v>
      </c>
      <c r="BK12" s="18" t="s">
        <v>121</v>
      </c>
      <c r="BL12" s="18" t="s">
        <v>121</v>
      </c>
      <c r="BM12" s="18" t="s">
        <v>121</v>
      </c>
      <c r="BN12" s="18" t="s">
        <v>121</v>
      </c>
      <c r="BO12" s="18" t="s">
        <v>121</v>
      </c>
      <c r="BP12" s="18" t="s">
        <v>121</v>
      </c>
      <c r="BQ12" s="18" t="s">
        <v>121</v>
      </c>
      <c r="BR12" s="18" t="s">
        <v>121</v>
      </c>
      <c r="BS12" s="18" t="s">
        <v>121</v>
      </c>
      <c r="BT12" s="18" t="s">
        <v>121</v>
      </c>
      <c r="BU12" s="18" t="s">
        <v>121</v>
      </c>
      <c r="BV12" s="18" t="s">
        <v>121</v>
      </c>
      <c r="BW12" s="18" t="s">
        <v>121</v>
      </c>
      <c r="BX12" s="27">
        <v>-24.7</v>
      </c>
      <c r="BY12" s="7" t="s">
        <v>48</v>
      </c>
      <c r="BZ12" s="31" t="s">
        <v>47</v>
      </c>
      <c r="CA12" s="19" t="s">
        <v>186</v>
      </c>
      <c r="CB12" s="100" t="s">
        <v>207</v>
      </c>
      <c r="CC12" s="19" t="s">
        <v>121</v>
      </c>
      <c r="CD12" s="27">
        <v>-5.8</v>
      </c>
      <c r="CE12" s="7" t="s">
        <v>45</v>
      </c>
      <c r="CF12" s="31" t="s">
        <v>46</v>
      </c>
      <c r="CG12" s="98">
        <v>0.34</v>
      </c>
      <c r="CH12" s="101" t="s">
        <v>206</v>
      </c>
      <c r="CI12" s="26" t="s">
        <v>200</v>
      </c>
      <c r="CJ12" s="33">
        <v>20</v>
      </c>
      <c r="CK12" s="7" t="s">
        <v>84</v>
      </c>
      <c r="CL12" s="19">
        <v>5</v>
      </c>
      <c r="CM12" s="19" t="s">
        <v>204</v>
      </c>
      <c r="CN12" s="19" t="s">
        <v>204</v>
      </c>
      <c r="CO12" s="51" t="s">
        <v>121</v>
      </c>
      <c r="CP12" s="51" t="s">
        <v>121</v>
      </c>
      <c r="CQ12" s="27">
        <v>-16.620772994710592</v>
      </c>
      <c r="CR12" s="19" t="s">
        <v>121</v>
      </c>
      <c r="CS12" s="19" t="s">
        <v>49</v>
      </c>
      <c r="CT12" s="19" t="s">
        <v>121</v>
      </c>
      <c r="CU12" s="19" t="s">
        <v>121</v>
      </c>
      <c r="CV12" s="19" t="s">
        <v>121</v>
      </c>
      <c r="CW12" s="19" t="s">
        <v>121</v>
      </c>
      <c r="CX12" s="19" t="s">
        <v>121</v>
      </c>
      <c r="CY12" s="19" t="s">
        <v>121</v>
      </c>
      <c r="CZ12" s="88" t="s">
        <v>121</v>
      </c>
      <c r="DA12" s="19">
        <v>711</v>
      </c>
      <c r="DB12" s="7" t="s">
        <v>50</v>
      </c>
      <c r="DC12" s="19">
        <v>1810</v>
      </c>
      <c r="DD12" s="19">
        <v>1810</v>
      </c>
      <c r="DE12" s="100" t="s">
        <v>201</v>
      </c>
      <c r="DF12" s="19" t="s">
        <v>200</v>
      </c>
      <c r="DG12" s="20" t="s">
        <v>51</v>
      </c>
      <c r="DH12" s="20" t="s">
        <v>66</v>
      </c>
      <c r="DI12" s="20" t="s">
        <v>121</v>
      </c>
      <c r="DJ12" s="20" t="s">
        <v>121</v>
      </c>
      <c r="DK12" s="20" t="s">
        <v>121</v>
      </c>
      <c r="DL12" s="20" t="s">
        <v>121</v>
      </c>
      <c r="DM12" s="20" t="s">
        <v>44</v>
      </c>
      <c r="DN12" s="20" t="s">
        <v>51</v>
      </c>
      <c r="DO12" s="20" t="s">
        <v>121</v>
      </c>
      <c r="DP12" s="37" t="s">
        <v>52</v>
      </c>
      <c r="DQ12" s="37" t="s">
        <v>107</v>
      </c>
      <c r="DR12" s="37" t="s">
        <v>108</v>
      </c>
      <c r="DS12" s="21" t="s">
        <v>43</v>
      </c>
      <c r="DT12" s="20" t="s">
        <v>121</v>
      </c>
      <c r="DU12" s="38">
        <v>560</v>
      </c>
      <c r="DV12" s="38">
        <v>237</v>
      </c>
      <c r="DW12" s="38">
        <v>780</v>
      </c>
      <c r="DX12" s="38">
        <v>164</v>
      </c>
      <c r="DY12" s="9" t="s">
        <v>54</v>
      </c>
      <c r="DZ12" s="9" t="s">
        <v>47</v>
      </c>
      <c r="EA12" s="9" t="s">
        <v>208</v>
      </c>
      <c r="EB12" s="38" t="s">
        <v>199</v>
      </c>
      <c r="EC12" s="38" t="s">
        <v>199</v>
      </c>
      <c r="ED12" s="28" t="s">
        <v>78</v>
      </c>
    </row>
    <row r="13" spans="1:134" ht="20" thickBot="1">
      <c r="A13" s="64" t="s">
        <v>122</v>
      </c>
      <c r="B13" s="64" t="s">
        <v>120</v>
      </c>
      <c r="C13" s="64">
        <v>2014</v>
      </c>
      <c r="D13" s="62" t="s">
        <v>123</v>
      </c>
      <c r="E13" s="64">
        <f t="shared" si="0"/>
        <v>18200</v>
      </c>
      <c r="F13" s="64" t="s">
        <v>121</v>
      </c>
      <c r="G13" s="64" t="s">
        <v>121</v>
      </c>
      <c r="H13" s="65">
        <v>274</v>
      </c>
      <c r="I13" s="65">
        <v>126</v>
      </c>
      <c r="J13" s="65">
        <v>91</v>
      </c>
      <c r="K13" s="6" t="s">
        <v>41</v>
      </c>
      <c r="L13" s="34" t="s">
        <v>42</v>
      </c>
      <c r="M13" s="40" t="s">
        <v>56</v>
      </c>
      <c r="N13" s="44" t="s">
        <v>123</v>
      </c>
      <c r="O13" s="52" t="s">
        <v>103</v>
      </c>
      <c r="P13" s="45" t="s">
        <v>57</v>
      </c>
      <c r="Q13" s="46" t="s">
        <v>106</v>
      </c>
      <c r="R13" s="47" t="s">
        <v>63</v>
      </c>
      <c r="S13" s="36" t="s">
        <v>121</v>
      </c>
      <c r="T13" s="36" t="s">
        <v>121</v>
      </c>
      <c r="U13" s="36" t="s">
        <v>121</v>
      </c>
      <c r="V13" s="36" t="s">
        <v>121</v>
      </c>
      <c r="W13" s="36" t="s">
        <v>121</v>
      </c>
      <c r="X13" s="30">
        <v>18.2</v>
      </c>
      <c r="Y13" s="25" t="s">
        <v>121</v>
      </c>
      <c r="Z13" s="25" t="s">
        <v>121</v>
      </c>
      <c r="AA13" s="58" t="s">
        <v>105</v>
      </c>
      <c r="AB13" s="23">
        <v>-7.33</v>
      </c>
      <c r="AC13" s="23">
        <v>1</v>
      </c>
      <c r="AD13" s="39">
        <v>1</v>
      </c>
      <c r="AE13" s="49" t="s">
        <v>103</v>
      </c>
      <c r="AF13" s="18" t="s">
        <v>121</v>
      </c>
      <c r="AG13" s="18" t="s">
        <v>121</v>
      </c>
      <c r="AH13" s="18" t="s">
        <v>121</v>
      </c>
      <c r="AI13" s="22">
        <v>-24.72</v>
      </c>
      <c r="AJ13" s="22">
        <v>1</v>
      </c>
      <c r="AK13" s="18">
        <v>1</v>
      </c>
      <c r="AL13" s="49" t="s">
        <v>103</v>
      </c>
      <c r="AM13" s="18" t="s">
        <v>121</v>
      </c>
      <c r="AN13" s="18" t="s">
        <v>121</v>
      </c>
      <c r="AO13" s="18" t="s">
        <v>121</v>
      </c>
      <c r="AP13" s="50" t="s">
        <v>121</v>
      </c>
      <c r="AQ13" s="50" t="s">
        <v>121</v>
      </c>
      <c r="AR13" s="50" t="s">
        <v>121</v>
      </c>
      <c r="AS13" s="50" t="s">
        <v>121</v>
      </c>
      <c r="AT13" s="50" t="s">
        <v>121</v>
      </c>
      <c r="AU13" s="18" t="s">
        <v>121</v>
      </c>
      <c r="AV13" s="18" t="s">
        <v>121</v>
      </c>
      <c r="AW13" s="18" t="s">
        <v>121</v>
      </c>
      <c r="AX13" s="50" t="s">
        <v>121</v>
      </c>
      <c r="AY13" s="60" t="s">
        <v>111</v>
      </c>
      <c r="AZ13" s="60" t="s">
        <v>111</v>
      </c>
      <c r="BA13" s="18" t="s">
        <v>121</v>
      </c>
      <c r="BB13" s="18" t="s">
        <v>121</v>
      </c>
      <c r="BC13" s="18" t="s">
        <v>121</v>
      </c>
      <c r="BD13" s="18" t="s">
        <v>121</v>
      </c>
      <c r="BE13" s="18" t="s">
        <v>121</v>
      </c>
      <c r="BF13" s="18" t="s">
        <v>121</v>
      </c>
      <c r="BG13" s="18" t="s">
        <v>121</v>
      </c>
      <c r="BH13" s="18" t="s">
        <v>121</v>
      </c>
      <c r="BI13" s="18" t="s">
        <v>121</v>
      </c>
      <c r="BJ13" s="18" t="s">
        <v>121</v>
      </c>
      <c r="BK13" s="18" t="s">
        <v>121</v>
      </c>
      <c r="BL13" s="18" t="s">
        <v>121</v>
      </c>
      <c r="BM13" s="18" t="s">
        <v>121</v>
      </c>
      <c r="BN13" s="18" t="s">
        <v>121</v>
      </c>
      <c r="BO13" s="18" t="s">
        <v>121</v>
      </c>
      <c r="BP13" s="18" t="s">
        <v>121</v>
      </c>
      <c r="BQ13" s="18" t="s">
        <v>121</v>
      </c>
      <c r="BR13" s="18" t="s">
        <v>121</v>
      </c>
      <c r="BS13" s="18" t="s">
        <v>121</v>
      </c>
      <c r="BT13" s="18" t="s">
        <v>121</v>
      </c>
      <c r="BU13" s="18" t="s">
        <v>121</v>
      </c>
      <c r="BV13" s="18" t="s">
        <v>121</v>
      </c>
      <c r="BW13" s="18" t="s">
        <v>121</v>
      </c>
      <c r="BX13" s="27">
        <v>-25.72</v>
      </c>
      <c r="BY13" s="7" t="s">
        <v>48</v>
      </c>
      <c r="BZ13" s="31" t="s">
        <v>47</v>
      </c>
      <c r="CA13" s="19" t="s">
        <v>186</v>
      </c>
      <c r="CB13" s="100" t="s">
        <v>207</v>
      </c>
      <c r="CC13" s="19" t="s">
        <v>121</v>
      </c>
      <c r="CD13" s="27">
        <v>-5.8</v>
      </c>
      <c r="CE13" s="7" t="s">
        <v>45</v>
      </c>
      <c r="CF13" s="31" t="s">
        <v>46</v>
      </c>
      <c r="CG13" s="98">
        <v>0.5</v>
      </c>
      <c r="CH13" s="101" t="s">
        <v>206</v>
      </c>
      <c r="CI13" s="26" t="s">
        <v>200</v>
      </c>
      <c r="CJ13" s="33">
        <v>20</v>
      </c>
      <c r="CK13" s="7" t="s">
        <v>84</v>
      </c>
      <c r="CL13" s="19">
        <v>5</v>
      </c>
      <c r="CM13" s="19" t="s">
        <v>204</v>
      </c>
      <c r="CN13" s="19" t="s">
        <v>204</v>
      </c>
      <c r="CO13" s="51" t="s">
        <v>121</v>
      </c>
      <c r="CP13" s="51" t="s">
        <v>121</v>
      </c>
      <c r="CQ13" s="27">
        <v>-16.749539412428931</v>
      </c>
      <c r="CR13" s="19" t="s">
        <v>121</v>
      </c>
      <c r="CS13" s="19" t="s">
        <v>49</v>
      </c>
      <c r="CT13" s="19" t="s">
        <v>121</v>
      </c>
      <c r="CU13" s="19" t="s">
        <v>121</v>
      </c>
      <c r="CV13" s="19" t="s">
        <v>121</v>
      </c>
      <c r="CW13" s="19" t="s">
        <v>121</v>
      </c>
      <c r="CX13" s="19" t="s">
        <v>121</v>
      </c>
      <c r="CY13" s="19" t="s">
        <v>121</v>
      </c>
      <c r="CZ13" s="88" t="s">
        <v>121</v>
      </c>
      <c r="DA13" s="19">
        <v>629</v>
      </c>
      <c r="DB13" s="7" t="s">
        <v>50</v>
      </c>
      <c r="DC13" s="19">
        <v>233</v>
      </c>
      <c r="DD13" s="19">
        <v>233</v>
      </c>
      <c r="DE13" s="100" t="s">
        <v>201</v>
      </c>
      <c r="DF13" s="19" t="s">
        <v>200</v>
      </c>
      <c r="DG13" s="20" t="s">
        <v>51</v>
      </c>
      <c r="DH13" s="20" t="s">
        <v>67</v>
      </c>
      <c r="DI13" s="20" t="s">
        <v>121</v>
      </c>
      <c r="DJ13" s="20" t="s">
        <v>121</v>
      </c>
      <c r="DK13" s="20" t="s">
        <v>121</v>
      </c>
      <c r="DL13" s="20" t="s">
        <v>121</v>
      </c>
      <c r="DM13" s="20" t="s">
        <v>44</v>
      </c>
      <c r="DN13" s="20" t="s">
        <v>51</v>
      </c>
      <c r="DO13" s="20" t="s">
        <v>121</v>
      </c>
      <c r="DP13" s="37" t="s">
        <v>52</v>
      </c>
      <c r="DQ13" s="37" t="s">
        <v>107</v>
      </c>
      <c r="DR13" s="37" t="s">
        <v>109</v>
      </c>
      <c r="DS13" s="21" t="s">
        <v>43</v>
      </c>
      <c r="DT13" s="20" t="s">
        <v>121</v>
      </c>
      <c r="DU13" s="38">
        <v>286</v>
      </c>
      <c r="DV13" s="38">
        <v>274</v>
      </c>
      <c r="DW13" s="38">
        <v>126</v>
      </c>
      <c r="DX13" s="38">
        <v>91</v>
      </c>
      <c r="DY13" s="9" t="s">
        <v>54</v>
      </c>
      <c r="DZ13" s="9" t="s">
        <v>47</v>
      </c>
      <c r="EA13" s="9" t="s">
        <v>208</v>
      </c>
      <c r="EB13" s="38" t="s">
        <v>199</v>
      </c>
      <c r="EC13" s="38" t="s">
        <v>199</v>
      </c>
      <c r="ED13" s="28" t="s">
        <v>112</v>
      </c>
    </row>
    <row r="14" spans="1:134" ht="19">
      <c r="A14" s="64" t="s">
        <v>122</v>
      </c>
      <c r="B14" s="64" t="s">
        <v>120</v>
      </c>
      <c r="C14" s="64">
        <v>2014</v>
      </c>
      <c r="D14" s="62" t="s">
        <v>123</v>
      </c>
      <c r="E14" s="64">
        <f t="shared" si="0"/>
        <v>23000</v>
      </c>
      <c r="F14" s="64" t="s">
        <v>121</v>
      </c>
      <c r="G14" s="64" t="s">
        <v>121</v>
      </c>
      <c r="H14" s="65">
        <v>203</v>
      </c>
      <c r="I14" s="65">
        <v>290</v>
      </c>
      <c r="J14" s="65">
        <v>106</v>
      </c>
      <c r="K14" s="6" t="s">
        <v>41</v>
      </c>
      <c r="L14" s="34" t="s">
        <v>42</v>
      </c>
      <c r="M14" s="40" t="s">
        <v>56</v>
      </c>
      <c r="N14" s="44" t="s">
        <v>123</v>
      </c>
      <c r="O14" s="40" t="s">
        <v>81</v>
      </c>
      <c r="P14" s="45" t="s">
        <v>57</v>
      </c>
      <c r="Q14" s="46" t="s">
        <v>99</v>
      </c>
      <c r="R14" s="47" t="s">
        <v>64</v>
      </c>
      <c r="S14" s="25">
        <v>41.6</v>
      </c>
      <c r="T14" s="25">
        <v>-102.8</v>
      </c>
      <c r="U14" s="36" t="s">
        <v>121</v>
      </c>
      <c r="V14" s="36" t="s">
        <v>121</v>
      </c>
      <c r="W14" s="36" t="s">
        <v>121</v>
      </c>
      <c r="X14" s="30">
        <v>23</v>
      </c>
      <c r="Y14" s="25" t="s">
        <v>121</v>
      </c>
      <c r="Z14" s="25" t="s">
        <v>121</v>
      </c>
      <c r="AA14" s="59" t="s">
        <v>100</v>
      </c>
      <c r="AB14" s="23">
        <v>-7.2000000000000011</v>
      </c>
      <c r="AC14" s="23">
        <v>1.0954451150103326</v>
      </c>
      <c r="AD14" s="39">
        <v>9</v>
      </c>
      <c r="AE14" s="49" t="s">
        <v>88</v>
      </c>
      <c r="AF14" s="22">
        <v>-24.3</v>
      </c>
      <c r="AG14" s="22">
        <v>2</v>
      </c>
      <c r="AH14" s="18" t="s">
        <v>121</v>
      </c>
      <c r="AI14" s="18" t="s">
        <v>121</v>
      </c>
      <c r="AJ14" s="18" t="s">
        <v>121</v>
      </c>
      <c r="AK14" s="18" t="s">
        <v>121</v>
      </c>
      <c r="AL14" s="49" t="s">
        <v>88</v>
      </c>
      <c r="AM14" s="18" t="s">
        <v>121</v>
      </c>
      <c r="AN14" s="18" t="s">
        <v>121</v>
      </c>
      <c r="AO14" s="18" t="s">
        <v>121</v>
      </c>
      <c r="AP14" s="50" t="s">
        <v>121</v>
      </c>
      <c r="AQ14" s="50" t="s">
        <v>121</v>
      </c>
      <c r="AR14" s="50" t="s">
        <v>121</v>
      </c>
      <c r="AS14" s="50" t="s">
        <v>121</v>
      </c>
      <c r="AT14" s="50" t="s">
        <v>121</v>
      </c>
      <c r="AU14" s="18" t="s">
        <v>121</v>
      </c>
      <c r="AV14" s="18" t="s">
        <v>121</v>
      </c>
      <c r="AW14" s="18" t="s">
        <v>121</v>
      </c>
      <c r="AX14" s="50" t="s">
        <v>121</v>
      </c>
      <c r="AY14" s="18" t="s">
        <v>121</v>
      </c>
      <c r="AZ14" s="18" t="s">
        <v>121</v>
      </c>
      <c r="BA14" s="18" t="s">
        <v>121</v>
      </c>
      <c r="BB14" s="18" t="s">
        <v>121</v>
      </c>
      <c r="BC14" s="18" t="s">
        <v>121</v>
      </c>
      <c r="BD14" s="18" t="s">
        <v>121</v>
      </c>
      <c r="BE14" s="18" t="s">
        <v>121</v>
      </c>
      <c r="BF14" s="18" t="s">
        <v>121</v>
      </c>
      <c r="BG14" s="18" t="s">
        <v>121</v>
      </c>
      <c r="BH14" s="18" t="s">
        <v>121</v>
      </c>
      <c r="BI14" s="18" t="s">
        <v>121</v>
      </c>
      <c r="BJ14" s="18" t="s">
        <v>121</v>
      </c>
      <c r="BK14" s="18" t="s">
        <v>121</v>
      </c>
      <c r="BL14" s="18" t="s">
        <v>121</v>
      </c>
      <c r="BM14" s="18" t="s">
        <v>121</v>
      </c>
      <c r="BN14" s="18" t="s">
        <v>121</v>
      </c>
      <c r="BO14" s="18" t="s">
        <v>121</v>
      </c>
      <c r="BP14" s="18" t="s">
        <v>121</v>
      </c>
      <c r="BQ14" s="18" t="s">
        <v>121</v>
      </c>
      <c r="BR14" s="18" t="s">
        <v>121</v>
      </c>
      <c r="BS14" s="18" t="s">
        <v>121</v>
      </c>
      <c r="BT14" s="18" t="s">
        <v>121</v>
      </c>
      <c r="BU14" s="18" t="s">
        <v>121</v>
      </c>
      <c r="BV14" s="18" t="s">
        <v>121</v>
      </c>
      <c r="BW14" s="18" t="s">
        <v>121</v>
      </c>
      <c r="BX14" s="27">
        <v>-25.3</v>
      </c>
      <c r="BY14" s="7" t="s">
        <v>48</v>
      </c>
      <c r="BZ14" s="31" t="s">
        <v>47</v>
      </c>
      <c r="CA14" s="19" t="s">
        <v>186</v>
      </c>
      <c r="CB14" s="100" t="s">
        <v>207</v>
      </c>
      <c r="CC14" s="19" t="s">
        <v>121</v>
      </c>
      <c r="CD14" s="27">
        <v>-5.7</v>
      </c>
      <c r="CE14" s="7" t="s">
        <v>45</v>
      </c>
      <c r="CF14" s="31" t="s">
        <v>46</v>
      </c>
      <c r="CG14" s="98">
        <v>0.28000000000000003</v>
      </c>
      <c r="CH14" s="101" t="s">
        <v>206</v>
      </c>
      <c r="CI14" s="26" t="s">
        <v>200</v>
      </c>
      <c r="CJ14" s="33">
        <v>23.033999999999999</v>
      </c>
      <c r="CK14" s="7" t="s">
        <v>85</v>
      </c>
      <c r="CL14" s="19">
        <v>5</v>
      </c>
      <c r="CM14" s="19" t="s">
        <v>204</v>
      </c>
      <c r="CN14" s="19" t="s">
        <v>204</v>
      </c>
      <c r="CO14" s="51" t="s">
        <v>121</v>
      </c>
      <c r="CP14" s="32" t="s">
        <v>74</v>
      </c>
      <c r="CQ14" s="27">
        <v>-16.266013718848171</v>
      </c>
      <c r="CR14" s="19" t="s">
        <v>121</v>
      </c>
      <c r="CS14" s="19" t="s">
        <v>49</v>
      </c>
      <c r="CT14" s="19" t="s">
        <v>121</v>
      </c>
      <c r="CU14" s="19" t="s">
        <v>121</v>
      </c>
      <c r="CV14" s="19" t="s">
        <v>121</v>
      </c>
      <c r="CW14" s="19" t="s">
        <v>121</v>
      </c>
      <c r="CX14" s="19" t="s">
        <v>121</v>
      </c>
      <c r="CY14" s="19" t="s">
        <v>121</v>
      </c>
      <c r="CZ14" s="88" t="s">
        <v>121</v>
      </c>
      <c r="DA14" s="19">
        <v>440</v>
      </c>
      <c r="DB14" s="7" t="s">
        <v>50</v>
      </c>
      <c r="DC14" s="19">
        <v>512</v>
      </c>
      <c r="DD14" s="19">
        <v>512</v>
      </c>
      <c r="DE14" s="100" t="s">
        <v>201</v>
      </c>
      <c r="DF14" s="19" t="s">
        <v>200</v>
      </c>
      <c r="DG14" s="20" t="s">
        <v>51</v>
      </c>
      <c r="DH14" s="20" t="s">
        <v>55</v>
      </c>
      <c r="DI14" s="20" t="s">
        <v>121</v>
      </c>
      <c r="DJ14" s="20" t="s">
        <v>121</v>
      </c>
      <c r="DK14" s="20" t="s">
        <v>121</v>
      </c>
      <c r="DL14" s="20" t="s">
        <v>121</v>
      </c>
      <c r="DM14" s="20" t="s">
        <v>44</v>
      </c>
      <c r="DN14" s="20" t="s">
        <v>51</v>
      </c>
      <c r="DO14" s="20" t="s">
        <v>121</v>
      </c>
      <c r="DP14" s="37" t="s">
        <v>52</v>
      </c>
      <c r="DQ14" s="37" t="s">
        <v>102</v>
      </c>
      <c r="DR14" s="37" t="s">
        <v>53</v>
      </c>
      <c r="DS14" s="21" t="s">
        <v>43</v>
      </c>
      <c r="DT14" s="20" t="s">
        <v>121</v>
      </c>
      <c r="DU14" s="38">
        <v>289</v>
      </c>
      <c r="DV14" s="38">
        <v>203</v>
      </c>
      <c r="DW14" s="38">
        <v>290</v>
      </c>
      <c r="DX14" s="38">
        <v>106</v>
      </c>
      <c r="DY14" s="9" t="s">
        <v>54</v>
      </c>
      <c r="DZ14" s="9" t="s">
        <v>47</v>
      </c>
      <c r="EA14" s="9" t="s">
        <v>208</v>
      </c>
      <c r="EB14" s="38" t="s">
        <v>199</v>
      </c>
      <c r="EC14" s="38" t="s">
        <v>199</v>
      </c>
      <c r="ED14" s="28" t="s">
        <v>101</v>
      </c>
    </row>
    <row r="15" spans="1:134">
      <c r="A15" s="64"/>
      <c r="B15" s="64"/>
      <c r="C15" s="64"/>
      <c r="D15" s="42"/>
      <c r="E15" s="64"/>
      <c r="F15" s="64"/>
      <c r="G15" s="64"/>
      <c r="H15" s="65"/>
      <c r="I15" s="64"/>
      <c r="J15" s="64"/>
      <c r="M15" s="17"/>
      <c r="N15" s="43"/>
      <c r="O15" s="17"/>
      <c r="P15" s="17"/>
      <c r="U15" s="116"/>
      <c r="V15" s="116"/>
      <c r="W15" s="36"/>
      <c r="AB15" s="24"/>
      <c r="AC15" s="24"/>
    </row>
    <row r="16" spans="1:134">
      <c r="A16" s="64"/>
      <c r="B16" s="64"/>
      <c r="C16" s="64"/>
      <c r="D16" s="64"/>
      <c r="E16" s="64"/>
      <c r="F16" s="64"/>
      <c r="G16" s="64"/>
      <c r="H16" s="64"/>
      <c r="I16" s="64"/>
      <c r="J16" s="64"/>
      <c r="M16" s="17"/>
      <c r="O16" s="17"/>
      <c r="P16" s="17"/>
      <c r="AB16" s="24"/>
      <c r="AC16" s="24"/>
    </row>
    <row r="17" spans="1:32">
      <c r="A17" s="64"/>
      <c r="B17" s="64"/>
      <c r="C17" s="64"/>
      <c r="D17" s="64"/>
      <c r="E17" s="64"/>
      <c r="F17" s="64"/>
      <c r="G17" s="64"/>
      <c r="H17" s="64"/>
      <c r="I17" s="64"/>
      <c r="J17" s="64"/>
      <c r="M17" s="17"/>
      <c r="O17" s="17"/>
      <c r="P17" s="17"/>
      <c r="AB17" s="24"/>
      <c r="AC17" s="24"/>
    </row>
    <row r="18" spans="1:32">
      <c r="A18" s="64"/>
      <c r="B18" s="64"/>
      <c r="C18" s="64"/>
      <c r="D18" s="64"/>
      <c r="E18" s="64"/>
      <c r="F18" s="64"/>
      <c r="G18" s="64"/>
      <c r="H18" s="64"/>
      <c r="I18" s="64"/>
      <c r="J18" s="64"/>
      <c r="M18" s="17"/>
      <c r="O18" s="17"/>
      <c r="P18" s="17"/>
      <c r="AB18" s="24"/>
      <c r="AC18" s="24"/>
    </row>
    <row r="19" spans="1:32">
      <c r="A19" s="64"/>
      <c r="B19" s="64"/>
      <c r="C19" s="64"/>
      <c r="D19" s="64"/>
      <c r="E19" s="64"/>
      <c r="F19" s="64"/>
      <c r="G19" s="64"/>
      <c r="H19" s="64"/>
      <c r="I19" s="64"/>
      <c r="J19" s="64"/>
      <c r="M19" s="17"/>
      <c r="O19" s="17"/>
      <c r="P19" s="17"/>
      <c r="AB19" s="24"/>
      <c r="AC19" s="24"/>
    </row>
    <row r="20" spans="1:32">
      <c r="A20" s="64"/>
      <c r="B20" s="64"/>
      <c r="C20" s="64"/>
      <c r="D20" s="64"/>
      <c r="E20" s="64"/>
      <c r="F20" s="64"/>
      <c r="G20" s="64"/>
      <c r="H20" s="64"/>
      <c r="I20" s="64"/>
      <c r="J20" s="64"/>
      <c r="M20" s="17"/>
      <c r="O20" s="17"/>
      <c r="P20" s="17"/>
      <c r="AB20" s="24"/>
      <c r="AC20" s="24"/>
      <c r="AF20" s="24"/>
    </row>
    <row r="21" spans="1:32">
      <c r="A21" s="64"/>
      <c r="B21" s="64"/>
      <c r="C21" s="64"/>
      <c r="D21" s="64"/>
      <c r="E21" s="64"/>
      <c r="F21" s="64"/>
      <c r="G21" s="64"/>
      <c r="H21" s="64"/>
      <c r="I21" s="64"/>
      <c r="J21" s="64"/>
      <c r="M21" s="17"/>
      <c r="O21" s="17"/>
      <c r="P21" s="17"/>
      <c r="AB21" s="24"/>
      <c r="AC21" s="24"/>
      <c r="AF21" s="24"/>
    </row>
    <row r="22" spans="1:32">
      <c r="A22" s="64"/>
      <c r="B22" s="64"/>
      <c r="C22" s="64"/>
      <c r="D22" s="64"/>
      <c r="E22" s="64"/>
      <c r="F22" s="64"/>
      <c r="G22" s="64"/>
      <c r="H22" s="64"/>
      <c r="I22" s="64"/>
      <c r="J22" s="64"/>
      <c r="M22" s="17"/>
      <c r="O22" s="17"/>
      <c r="P22" s="17"/>
      <c r="AB22" s="24"/>
      <c r="AC22" s="24"/>
    </row>
    <row r="23" spans="1:32">
      <c r="A23" s="64"/>
      <c r="B23" s="64"/>
      <c r="C23" s="64"/>
      <c r="D23" s="64"/>
      <c r="E23" s="64"/>
      <c r="F23" s="64"/>
      <c r="G23" s="64"/>
      <c r="H23" s="64"/>
      <c r="I23" s="64"/>
      <c r="J23" s="64"/>
      <c r="M23" s="17"/>
      <c r="O23" s="17"/>
      <c r="P23" s="17"/>
      <c r="AB23" s="24"/>
      <c r="AC23" s="24"/>
    </row>
    <row r="24" spans="1:32">
      <c r="A24" s="64"/>
      <c r="B24" s="64"/>
      <c r="C24" s="64"/>
      <c r="D24" s="64"/>
      <c r="E24" s="64"/>
      <c r="F24" s="64"/>
      <c r="G24" s="64"/>
      <c r="H24" s="64"/>
      <c r="I24" s="64"/>
      <c r="J24" s="64"/>
      <c r="M24" s="17"/>
      <c r="O24" s="17"/>
      <c r="P24" s="17"/>
      <c r="AB24" s="24"/>
      <c r="AC24" s="24"/>
    </row>
    <row r="25" spans="1:32">
      <c r="A25" s="64"/>
      <c r="B25" s="64"/>
      <c r="C25" s="64"/>
      <c r="D25" s="64"/>
      <c r="E25" s="64"/>
      <c r="F25" s="64"/>
      <c r="G25" s="64"/>
      <c r="H25" s="64"/>
      <c r="I25" s="64"/>
      <c r="J25" s="64"/>
      <c r="M25" s="17"/>
      <c r="O25" s="17"/>
      <c r="P25" s="17"/>
      <c r="AB25" s="24"/>
      <c r="AC25" s="24"/>
    </row>
    <row r="26" spans="1:32">
      <c r="A26" s="64"/>
      <c r="B26" s="64"/>
      <c r="C26" s="64"/>
      <c r="D26" s="64"/>
      <c r="E26" s="64"/>
      <c r="F26" s="64"/>
      <c r="G26" s="64"/>
      <c r="H26" s="64"/>
      <c r="I26" s="64"/>
      <c r="J26" s="64"/>
      <c r="M26" s="17"/>
      <c r="O26" s="17"/>
      <c r="P26" s="17"/>
      <c r="AB26" s="24"/>
      <c r="AC26" s="24"/>
    </row>
    <row r="27" spans="1:32">
      <c r="A27" s="64"/>
      <c r="B27" s="64"/>
      <c r="C27" s="64"/>
      <c r="D27" s="64"/>
      <c r="E27" s="64"/>
      <c r="F27" s="64"/>
      <c r="G27" s="64"/>
      <c r="H27" s="64"/>
      <c r="I27" s="64"/>
      <c r="J27" s="64"/>
      <c r="M27" s="17"/>
      <c r="O27" s="17"/>
      <c r="P27" s="17"/>
      <c r="AB27" s="24"/>
      <c r="AC27" s="24"/>
    </row>
    <row r="28" spans="1:32">
      <c r="A28" s="64"/>
      <c r="B28" s="64"/>
      <c r="C28" s="64"/>
      <c r="D28" s="64"/>
      <c r="E28" s="64"/>
      <c r="F28" s="64"/>
      <c r="G28" s="64"/>
      <c r="H28" s="64"/>
      <c r="I28" s="64"/>
      <c r="J28" s="64"/>
      <c r="M28" s="17"/>
      <c r="O28" s="17"/>
      <c r="P28" s="17"/>
      <c r="AB28" s="24"/>
      <c r="AC28" s="24"/>
    </row>
    <row r="29" spans="1:32">
      <c r="A29" s="64"/>
      <c r="B29" s="64"/>
      <c r="C29" s="64"/>
      <c r="D29" s="64"/>
      <c r="E29" s="64"/>
      <c r="F29" s="64"/>
      <c r="G29" s="64"/>
      <c r="H29" s="64"/>
      <c r="I29" s="64"/>
      <c r="J29" s="64"/>
      <c r="M29" s="17"/>
      <c r="O29" s="17"/>
      <c r="P29" s="17"/>
      <c r="AB29" s="24"/>
      <c r="AC29" s="24"/>
    </row>
    <row r="30" spans="1:32">
      <c r="A30" s="64"/>
      <c r="B30" s="64"/>
      <c r="C30" s="64"/>
      <c r="D30" s="64"/>
      <c r="E30" s="64"/>
      <c r="F30" s="64"/>
      <c r="G30" s="64"/>
      <c r="H30" s="64"/>
      <c r="I30" s="64"/>
      <c r="J30" s="64"/>
      <c r="M30" s="17"/>
      <c r="O30" s="17"/>
      <c r="P30" s="17"/>
      <c r="AB30" s="24"/>
      <c r="AC30" s="24"/>
    </row>
    <row r="31" spans="1:32">
      <c r="A31" s="64"/>
      <c r="B31" s="64"/>
      <c r="C31" s="64"/>
      <c r="D31" s="64"/>
      <c r="E31" s="64"/>
      <c r="F31" s="64"/>
      <c r="G31" s="64"/>
      <c r="H31" s="64"/>
      <c r="I31" s="64"/>
      <c r="J31" s="64"/>
      <c r="M31" s="17"/>
      <c r="O31" s="17"/>
      <c r="P31" s="17"/>
      <c r="AB31" s="24"/>
      <c r="AC31" s="24"/>
    </row>
    <row r="32" spans="1:32">
      <c r="A32" s="64"/>
      <c r="B32" s="64"/>
      <c r="C32" s="64"/>
      <c r="D32" s="64"/>
      <c r="E32" s="64"/>
      <c r="F32" s="64"/>
      <c r="G32" s="64"/>
      <c r="H32" s="64"/>
      <c r="I32" s="64"/>
      <c r="J32" s="64"/>
      <c r="M32" s="17"/>
      <c r="O32" s="17"/>
      <c r="P32" s="17"/>
      <c r="AB32" s="24"/>
      <c r="AC32" s="24"/>
    </row>
    <row r="33" spans="1:29">
      <c r="A33" s="64"/>
      <c r="B33" s="64"/>
      <c r="C33" s="64"/>
      <c r="D33" s="64"/>
      <c r="E33" s="64"/>
      <c r="F33" s="64"/>
      <c r="G33" s="64"/>
      <c r="H33" s="64"/>
      <c r="I33" s="64"/>
      <c r="J33" s="64"/>
      <c r="M33" s="17"/>
      <c r="O33" s="17"/>
      <c r="P33" s="17"/>
      <c r="AB33" s="24"/>
      <c r="AC33" s="24"/>
    </row>
    <row r="34" spans="1:29">
      <c r="A34" s="64"/>
      <c r="B34" s="64"/>
      <c r="C34" s="64"/>
      <c r="D34" s="64"/>
      <c r="E34" s="64"/>
      <c r="F34" s="64"/>
      <c r="G34" s="64"/>
      <c r="H34" s="64"/>
      <c r="I34" s="64"/>
      <c r="J34" s="64"/>
      <c r="M34" s="17"/>
      <c r="O34" s="17"/>
      <c r="P34" s="17"/>
      <c r="AB34" s="24"/>
      <c r="AC34" s="24"/>
    </row>
    <row r="35" spans="1:29">
      <c r="A35" s="64"/>
      <c r="B35" s="64"/>
      <c r="C35" s="64"/>
      <c r="D35" s="64"/>
      <c r="E35" s="64"/>
      <c r="F35" s="64"/>
      <c r="G35" s="64"/>
      <c r="H35" s="64"/>
      <c r="I35" s="64"/>
      <c r="J35" s="64"/>
      <c r="M35" s="17"/>
      <c r="O35" s="17"/>
      <c r="P35" s="17"/>
      <c r="AB35" s="24"/>
      <c r="AC35" s="24"/>
    </row>
    <row r="36" spans="1:29">
      <c r="A36" s="64"/>
      <c r="B36" s="64"/>
      <c r="C36" s="64"/>
      <c r="D36" s="64"/>
      <c r="E36" s="64"/>
      <c r="F36" s="64"/>
      <c r="G36" s="64"/>
      <c r="H36" s="64"/>
      <c r="I36" s="64"/>
      <c r="J36" s="64"/>
      <c r="M36" s="17"/>
      <c r="O36" s="17"/>
      <c r="P36" s="17"/>
      <c r="AB36" s="24"/>
      <c r="AC36" s="24"/>
    </row>
    <row r="37" spans="1:29">
      <c r="A37" s="64"/>
      <c r="B37" s="64"/>
      <c r="C37" s="64"/>
      <c r="D37" s="64"/>
      <c r="E37" s="64"/>
      <c r="F37" s="64"/>
      <c r="G37" s="64"/>
      <c r="H37" s="64"/>
      <c r="I37" s="64"/>
      <c r="J37" s="64"/>
      <c r="M37" s="17"/>
      <c r="O37" s="17"/>
      <c r="P37" s="17"/>
      <c r="AB37" s="24"/>
      <c r="AC37" s="24"/>
    </row>
    <row r="38" spans="1:29">
      <c r="A38" s="64"/>
      <c r="B38" s="64"/>
      <c r="C38" s="64"/>
      <c r="D38" s="64"/>
      <c r="E38" s="64"/>
      <c r="F38" s="64"/>
      <c r="G38" s="64"/>
      <c r="H38" s="64"/>
      <c r="I38" s="64"/>
      <c r="J38" s="64"/>
      <c r="M38" s="17"/>
      <c r="O38" s="17"/>
      <c r="P38" s="17"/>
      <c r="AB38" s="24"/>
      <c r="AC38" s="24"/>
    </row>
    <row r="39" spans="1:29">
      <c r="A39" s="64"/>
      <c r="B39" s="64"/>
      <c r="C39" s="64"/>
      <c r="D39" s="64"/>
      <c r="E39" s="64"/>
      <c r="F39" s="64"/>
      <c r="G39" s="64"/>
      <c r="H39" s="64"/>
      <c r="I39" s="64"/>
      <c r="J39" s="64"/>
      <c r="M39" s="17"/>
      <c r="O39" s="17"/>
      <c r="P39" s="17"/>
      <c r="AB39" s="24"/>
      <c r="AC39" s="24"/>
    </row>
    <row r="40" spans="1:29">
      <c r="A40" s="64"/>
      <c r="B40" s="64"/>
      <c r="C40" s="64"/>
      <c r="D40" s="64"/>
      <c r="E40" s="64"/>
      <c r="F40" s="64"/>
      <c r="G40" s="64"/>
      <c r="H40" s="64"/>
      <c r="I40" s="64"/>
      <c r="J40" s="64"/>
      <c r="M40" s="17"/>
      <c r="O40" s="17"/>
      <c r="P40" s="17"/>
      <c r="AB40" s="24"/>
      <c r="AC40" s="24"/>
    </row>
    <row r="41" spans="1:29">
      <c r="A41" s="64"/>
      <c r="B41" s="64"/>
      <c r="C41" s="64"/>
      <c r="D41" s="64"/>
      <c r="E41" s="64"/>
      <c r="F41" s="64"/>
      <c r="G41" s="64"/>
      <c r="H41" s="64"/>
      <c r="I41" s="64"/>
      <c r="J41" s="64"/>
      <c r="M41" s="17"/>
      <c r="O41" s="17"/>
      <c r="P41" s="17"/>
      <c r="AB41" s="24"/>
      <c r="AC41" s="24"/>
    </row>
    <row r="42" spans="1:29">
      <c r="A42" s="64"/>
      <c r="B42" s="64"/>
      <c r="C42" s="64"/>
      <c r="D42" s="64"/>
      <c r="E42" s="64"/>
      <c r="F42" s="64"/>
      <c r="G42" s="64"/>
      <c r="H42" s="64"/>
      <c r="I42" s="64"/>
      <c r="J42" s="64"/>
      <c r="M42" s="17"/>
      <c r="O42" s="17"/>
      <c r="P42" s="17"/>
      <c r="AB42" s="24"/>
      <c r="AC42" s="24"/>
    </row>
    <row r="43" spans="1:29">
      <c r="A43" s="64"/>
      <c r="B43" s="64"/>
      <c r="C43" s="64"/>
      <c r="D43" s="64"/>
      <c r="E43" s="64"/>
      <c r="F43" s="64"/>
      <c r="G43" s="64"/>
      <c r="H43" s="64"/>
      <c r="I43" s="64"/>
      <c r="J43" s="64"/>
      <c r="M43" s="17"/>
      <c r="O43" s="17"/>
      <c r="P43" s="17"/>
      <c r="AB43" s="24"/>
      <c r="AC43" s="24"/>
    </row>
    <row r="44" spans="1:29">
      <c r="A44" s="64"/>
      <c r="B44" s="64"/>
      <c r="C44" s="64"/>
      <c r="D44" s="64"/>
      <c r="E44" s="64"/>
      <c r="F44" s="64"/>
      <c r="G44" s="64"/>
      <c r="H44" s="64"/>
      <c r="I44" s="64"/>
      <c r="J44" s="64"/>
      <c r="M44" s="17"/>
      <c r="O44" s="17"/>
      <c r="P44" s="17"/>
      <c r="AB44" s="24"/>
      <c r="AC44" s="24"/>
    </row>
    <row r="45" spans="1:29">
      <c r="A45" s="64"/>
      <c r="B45" s="64"/>
      <c r="C45" s="64"/>
      <c r="D45" s="64"/>
      <c r="E45" s="64"/>
      <c r="F45" s="64"/>
      <c r="G45" s="64"/>
      <c r="H45" s="64"/>
      <c r="I45" s="64"/>
      <c r="J45" s="64"/>
      <c r="M45" s="17"/>
      <c r="O45" s="17"/>
      <c r="P45" s="17"/>
      <c r="AB45" s="24"/>
      <c r="AC45" s="24"/>
    </row>
    <row r="46" spans="1:29">
      <c r="A46" s="64"/>
      <c r="B46" s="64"/>
      <c r="C46" s="64"/>
      <c r="D46" s="64"/>
      <c r="E46" s="64"/>
      <c r="F46" s="64"/>
      <c r="G46" s="64"/>
      <c r="H46" s="64"/>
      <c r="I46" s="64"/>
      <c r="J46" s="64"/>
      <c r="M46" s="17"/>
      <c r="O46" s="17"/>
      <c r="P46" s="17"/>
      <c r="AB46" s="24"/>
      <c r="AC46" s="24"/>
    </row>
    <row r="47" spans="1:29">
      <c r="A47" s="64"/>
      <c r="B47" s="64"/>
      <c r="C47" s="64"/>
      <c r="D47" s="64"/>
      <c r="E47" s="64"/>
      <c r="F47" s="64"/>
      <c r="G47" s="64"/>
      <c r="H47" s="64"/>
      <c r="I47" s="64"/>
      <c r="J47" s="64"/>
      <c r="M47" s="17"/>
      <c r="O47" s="17"/>
      <c r="P47" s="17"/>
      <c r="AB47" s="24"/>
      <c r="AC47" s="24"/>
    </row>
    <row r="48" spans="1:29">
      <c r="A48" s="64"/>
      <c r="B48" s="64"/>
      <c r="C48" s="64"/>
      <c r="D48" s="64"/>
      <c r="E48" s="64"/>
      <c r="F48" s="64"/>
      <c r="G48" s="64"/>
      <c r="H48" s="64"/>
      <c r="I48" s="64"/>
      <c r="J48" s="64"/>
      <c r="M48" s="17"/>
      <c r="O48" s="17"/>
      <c r="P48" s="17"/>
      <c r="AB48" s="24"/>
      <c r="AC48" s="24"/>
    </row>
    <row r="49" spans="1:29">
      <c r="A49" s="64"/>
      <c r="B49" s="64"/>
      <c r="C49" s="64"/>
      <c r="D49" s="64"/>
      <c r="E49" s="64"/>
      <c r="F49" s="64"/>
      <c r="G49" s="64"/>
      <c r="H49" s="64"/>
      <c r="I49" s="64"/>
      <c r="J49" s="64"/>
      <c r="M49" s="17"/>
      <c r="O49" s="17"/>
      <c r="P49" s="17"/>
      <c r="AB49" s="24"/>
      <c r="AC49" s="24"/>
    </row>
    <row r="50" spans="1:29">
      <c r="A50" s="64"/>
      <c r="B50" s="64"/>
      <c r="C50" s="64"/>
      <c r="D50" s="64"/>
      <c r="E50" s="64"/>
      <c r="F50" s="64"/>
      <c r="G50" s="64"/>
      <c r="H50" s="64"/>
      <c r="I50" s="64"/>
      <c r="J50" s="64"/>
      <c r="M50" s="17"/>
      <c r="O50" s="17"/>
      <c r="P50" s="17"/>
      <c r="AB50" s="24"/>
      <c r="AC50" s="24"/>
    </row>
    <row r="51" spans="1:29">
      <c r="A51" s="64"/>
      <c r="B51" s="64"/>
      <c r="C51" s="64"/>
      <c r="D51" s="64"/>
      <c r="E51" s="64"/>
      <c r="F51" s="64"/>
      <c r="G51" s="64"/>
      <c r="H51" s="64"/>
      <c r="I51" s="64"/>
      <c r="J51" s="64"/>
      <c r="M51" s="17"/>
      <c r="O51" s="17"/>
      <c r="P51" s="17"/>
      <c r="AB51" s="24"/>
      <c r="AC51" s="24"/>
    </row>
    <row r="52" spans="1:29">
      <c r="A52" s="64"/>
      <c r="B52" s="64"/>
      <c r="C52" s="64"/>
      <c r="D52" s="64"/>
      <c r="E52" s="64"/>
      <c r="F52" s="64"/>
      <c r="G52" s="64"/>
      <c r="H52" s="64"/>
      <c r="I52" s="64"/>
      <c r="J52" s="64"/>
      <c r="M52" s="17"/>
      <c r="O52" s="17"/>
      <c r="P52" s="17"/>
      <c r="AB52" s="24"/>
      <c r="AC52" s="24"/>
    </row>
    <row r="53" spans="1:29">
      <c r="A53" s="64"/>
      <c r="B53" s="64"/>
      <c r="C53" s="64"/>
      <c r="D53" s="64"/>
      <c r="E53" s="64"/>
      <c r="F53" s="64"/>
      <c r="G53" s="64"/>
      <c r="H53" s="64"/>
      <c r="I53" s="64"/>
      <c r="J53" s="64"/>
      <c r="M53" s="17"/>
      <c r="O53" s="17"/>
      <c r="P53" s="17"/>
      <c r="AB53" s="24"/>
      <c r="AC53" s="24"/>
    </row>
    <row r="54" spans="1:29">
      <c r="A54" s="64"/>
      <c r="B54" s="64"/>
      <c r="C54" s="64"/>
      <c r="D54" s="64"/>
      <c r="E54" s="64"/>
      <c r="F54" s="64"/>
      <c r="G54" s="64"/>
      <c r="H54" s="64"/>
      <c r="I54" s="64"/>
      <c r="J54" s="64"/>
      <c r="M54" s="17"/>
      <c r="O54" s="17"/>
      <c r="P54" s="17"/>
      <c r="AB54" s="24"/>
      <c r="AC54" s="24"/>
    </row>
    <row r="55" spans="1:29">
      <c r="A55" s="64"/>
      <c r="B55" s="64"/>
      <c r="C55" s="64"/>
      <c r="D55" s="64"/>
      <c r="E55" s="64"/>
      <c r="F55" s="64"/>
      <c r="G55" s="64"/>
      <c r="H55" s="64"/>
      <c r="I55" s="64"/>
      <c r="J55" s="64"/>
      <c r="M55" s="17"/>
      <c r="O55" s="17"/>
      <c r="P55" s="17"/>
      <c r="AB55" s="24"/>
      <c r="AC55" s="24"/>
    </row>
    <row r="56" spans="1:29">
      <c r="A56" s="64"/>
      <c r="B56" s="64"/>
      <c r="C56" s="64"/>
      <c r="D56" s="64"/>
      <c r="E56" s="64"/>
      <c r="F56" s="64"/>
      <c r="G56" s="64"/>
      <c r="H56" s="64"/>
      <c r="I56" s="64"/>
      <c r="J56" s="64"/>
      <c r="M56" s="17"/>
      <c r="O56" s="17"/>
      <c r="P56" s="17"/>
      <c r="AB56" s="24"/>
      <c r="AC56" s="24"/>
    </row>
    <row r="57" spans="1:29">
      <c r="A57" s="64"/>
      <c r="B57" s="64"/>
      <c r="C57" s="64"/>
      <c r="D57" s="64"/>
      <c r="E57" s="64"/>
      <c r="F57" s="64"/>
      <c r="G57" s="64"/>
      <c r="H57" s="64"/>
      <c r="I57" s="64"/>
      <c r="J57" s="64"/>
      <c r="M57" s="17"/>
      <c r="O57" s="17"/>
      <c r="P57" s="17"/>
      <c r="AB57" s="24"/>
      <c r="AC57" s="24"/>
    </row>
    <row r="58" spans="1:29">
      <c r="A58" s="64"/>
      <c r="B58" s="64"/>
      <c r="C58" s="64"/>
      <c r="D58" s="64"/>
      <c r="E58" s="64"/>
      <c r="F58" s="64"/>
      <c r="G58" s="64"/>
      <c r="H58" s="64"/>
      <c r="I58" s="64"/>
      <c r="J58" s="64"/>
      <c r="M58" s="17"/>
      <c r="O58" s="17"/>
      <c r="P58" s="17"/>
      <c r="AB58" s="24"/>
      <c r="AC58" s="24"/>
    </row>
    <row r="59" spans="1:29">
      <c r="A59" s="64"/>
      <c r="B59" s="64"/>
      <c r="C59" s="64"/>
      <c r="D59" s="64"/>
      <c r="E59" s="64"/>
      <c r="F59" s="64"/>
      <c r="G59" s="64"/>
      <c r="H59" s="64"/>
      <c r="I59" s="64"/>
      <c r="J59" s="64"/>
      <c r="M59" s="17"/>
      <c r="O59" s="17"/>
      <c r="P59" s="17"/>
      <c r="AB59" s="24"/>
      <c r="AC59" s="24"/>
    </row>
    <row r="60" spans="1:29">
      <c r="A60" s="64"/>
      <c r="B60" s="64"/>
      <c r="C60" s="64"/>
      <c r="D60" s="64"/>
      <c r="E60" s="64"/>
      <c r="F60" s="64"/>
      <c r="G60" s="64"/>
      <c r="H60" s="64"/>
      <c r="I60" s="64"/>
      <c r="J60" s="64"/>
      <c r="M60" s="17"/>
      <c r="O60" s="17"/>
      <c r="P60" s="17"/>
      <c r="AB60" s="24"/>
      <c r="AC60" s="24"/>
    </row>
    <row r="61" spans="1:29">
      <c r="A61" s="64"/>
      <c r="B61" s="64"/>
      <c r="C61" s="64"/>
      <c r="D61" s="64"/>
      <c r="E61" s="64"/>
      <c r="F61" s="64"/>
      <c r="G61" s="64"/>
      <c r="H61" s="64"/>
      <c r="I61" s="64"/>
      <c r="J61" s="64"/>
      <c r="M61" s="17"/>
      <c r="O61" s="17"/>
      <c r="P61" s="17"/>
      <c r="AB61" s="24"/>
      <c r="AC61" s="24"/>
    </row>
    <row r="62" spans="1:29">
      <c r="A62" s="64"/>
      <c r="B62" s="64"/>
      <c r="C62" s="64"/>
      <c r="D62" s="64"/>
      <c r="E62" s="64"/>
      <c r="F62" s="64"/>
      <c r="G62" s="64"/>
      <c r="H62" s="64"/>
      <c r="I62" s="64"/>
      <c r="J62" s="64"/>
      <c r="M62" s="17"/>
      <c r="O62" s="17"/>
      <c r="P62" s="17"/>
      <c r="AB62" s="24"/>
      <c r="AC62" s="24"/>
    </row>
    <row r="63" spans="1:29">
      <c r="A63" s="64"/>
      <c r="B63" s="64"/>
      <c r="C63" s="64"/>
      <c r="D63" s="64"/>
      <c r="E63" s="64"/>
      <c r="F63" s="64"/>
      <c r="G63" s="64"/>
      <c r="H63" s="64"/>
      <c r="I63" s="64"/>
      <c r="J63" s="64"/>
      <c r="M63" s="17"/>
      <c r="O63" s="17"/>
      <c r="P63" s="17"/>
      <c r="AB63" s="24"/>
      <c r="AC63" s="24"/>
    </row>
    <row r="64" spans="1:29">
      <c r="A64" s="64"/>
      <c r="B64" s="64"/>
      <c r="C64" s="64"/>
      <c r="D64" s="64"/>
      <c r="E64" s="64"/>
      <c r="F64" s="64"/>
      <c r="G64" s="64"/>
      <c r="H64" s="64"/>
      <c r="I64" s="64"/>
      <c r="J64" s="64"/>
      <c r="M64" s="17"/>
      <c r="O64" s="17"/>
      <c r="P64" s="17"/>
      <c r="AB64" s="24"/>
      <c r="AC64" s="24"/>
    </row>
    <row r="65" spans="1:29">
      <c r="A65" s="64"/>
      <c r="B65" s="64"/>
      <c r="C65" s="64"/>
      <c r="D65" s="64"/>
      <c r="E65" s="64"/>
      <c r="F65" s="64"/>
      <c r="G65" s="64"/>
      <c r="H65" s="64"/>
      <c r="I65" s="64"/>
      <c r="J65" s="64"/>
      <c r="M65" s="17"/>
      <c r="O65" s="17"/>
      <c r="P65" s="17"/>
      <c r="AB65" s="24"/>
      <c r="AC65" s="24"/>
    </row>
    <row r="66" spans="1:29">
      <c r="A66" s="64"/>
      <c r="B66" s="64"/>
      <c r="C66" s="64"/>
      <c r="D66" s="64"/>
      <c r="E66" s="64"/>
      <c r="F66" s="64"/>
      <c r="G66" s="64"/>
      <c r="H66" s="64"/>
      <c r="I66" s="64"/>
      <c r="J66" s="64"/>
      <c r="M66" s="17"/>
      <c r="O66" s="17"/>
      <c r="P66" s="17"/>
      <c r="AB66" s="24"/>
      <c r="AC66" s="24"/>
    </row>
    <row r="67" spans="1:29">
      <c r="A67" s="64"/>
      <c r="B67" s="64"/>
      <c r="C67" s="64"/>
      <c r="D67" s="64"/>
      <c r="E67" s="64"/>
      <c r="F67" s="64"/>
      <c r="G67" s="64"/>
      <c r="H67" s="64"/>
      <c r="I67" s="64"/>
      <c r="J67" s="64"/>
      <c r="M67" s="17"/>
      <c r="O67" s="17"/>
      <c r="P67" s="17"/>
      <c r="AB67" s="24"/>
      <c r="AC67" s="24"/>
    </row>
    <row r="68" spans="1:29">
      <c r="A68" s="64"/>
      <c r="B68" s="64"/>
      <c r="C68" s="64"/>
      <c r="D68" s="64"/>
      <c r="E68" s="64"/>
      <c r="F68" s="64"/>
      <c r="G68" s="64"/>
      <c r="H68" s="64"/>
      <c r="I68" s="64"/>
      <c r="J68" s="64"/>
      <c r="M68" s="17"/>
      <c r="O68" s="17"/>
      <c r="P68" s="17"/>
      <c r="AB68" s="24"/>
      <c r="AC68" s="24"/>
    </row>
    <row r="69" spans="1:29">
      <c r="A69" s="64"/>
      <c r="B69" s="64"/>
      <c r="C69" s="64"/>
      <c r="D69" s="64"/>
      <c r="E69" s="64"/>
      <c r="F69" s="64"/>
      <c r="G69" s="64"/>
      <c r="H69" s="64"/>
      <c r="I69" s="64"/>
      <c r="J69" s="64"/>
      <c r="M69" s="17"/>
      <c r="O69" s="17"/>
      <c r="P69" s="17"/>
      <c r="AB69" s="24"/>
      <c r="AC69" s="24"/>
    </row>
    <row r="70" spans="1:29">
      <c r="A70" s="64"/>
      <c r="B70" s="64"/>
      <c r="C70" s="64"/>
      <c r="D70" s="64"/>
      <c r="E70" s="64"/>
      <c r="F70" s="64"/>
      <c r="G70" s="64"/>
      <c r="H70" s="64"/>
      <c r="I70" s="64"/>
      <c r="J70" s="64"/>
      <c r="M70" s="17"/>
      <c r="O70" s="17"/>
      <c r="P70" s="17"/>
      <c r="AB70" s="24"/>
      <c r="AC70" s="24"/>
    </row>
    <row r="71" spans="1:29">
      <c r="A71" s="64"/>
      <c r="B71" s="64"/>
      <c r="C71" s="64"/>
      <c r="D71" s="64"/>
      <c r="E71" s="64"/>
      <c r="F71" s="64"/>
      <c r="G71" s="64"/>
      <c r="H71" s="64"/>
      <c r="I71" s="64"/>
      <c r="J71" s="64"/>
      <c r="M71" s="17"/>
      <c r="O71" s="17"/>
      <c r="P71" s="17"/>
      <c r="AB71" s="24"/>
      <c r="AC71" s="24"/>
    </row>
    <row r="72" spans="1:29">
      <c r="A72" s="64"/>
      <c r="B72" s="64"/>
      <c r="C72" s="64"/>
      <c r="D72" s="64"/>
      <c r="E72" s="64"/>
      <c r="F72" s="64"/>
      <c r="G72" s="64"/>
      <c r="H72" s="64"/>
      <c r="I72" s="64"/>
      <c r="J72" s="64"/>
      <c r="M72" s="17"/>
      <c r="O72" s="17"/>
      <c r="P72" s="17"/>
      <c r="AB72" s="24"/>
      <c r="AC72" s="24"/>
    </row>
    <row r="73" spans="1:29">
      <c r="A73" s="64"/>
      <c r="B73" s="64"/>
      <c r="C73" s="64"/>
      <c r="D73" s="64"/>
      <c r="E73" s="64"/>
      <c r="F73" s="64"/>
      <c r="G73" s="64"/>
      <c r="H73" s="64"/>
      <c r="I73" s="64"/>
      <c r="J73" s="64"/>
      <c r="M73" s="17"/>
      <c r="O73" s="17"/>
      <c r="P73" s="17"/>
      <c r="AB73" s="24"/>
      <c r="AC73" s="24"/>
    </row>
    <row r="74" spans="1:29">
      <c r="A74" s="64"/>
      <c r="B74" s="64"/>
      <c r="C74" s="64"/>
      <c r="D74" s="64"/>
      <c r="E74" s="64"/>
      <c r="F74" s="64"/>
      <c r="G74" s="64"/>
      <c r="H74" s="64"/>
      <c r="I74" s="64"/>
      <c r="J74" s="64"/>
      <c r="M74" s="17"/>
      <c r="O74" s="17"/>
      <c r="P74" s="17"/>
      <c r="AB74" s="24"/>
      <c r="AC74" s="24"/>
    </row>
    <row r="75" spans="1:29">
      <c r="A75" s="64"/>
      <c r="B75" s="64"/>
      <c r="C75" s="64"/>
      <c r="D75" s="64"/>
      <c r="E75" s="64"/>
      <c r="F75" s="64"/>
      <c r="G75" s="64"/>
      <c r="H75" s="64"/>
      <c r="I75" s="64"/>
      <c r="J75" s="64"/>
      <c r="M75" s="17"/>
      <c r="O75" s="17"/>
      <c r="P75" s="17"/>
      <c r="AB75" s="24"/>
      <c r="AC75" s="24"/>
    </row>
    <row r="76" spans="1:29">
      <c r="A76" s="64"/>
      <c r="B76" s="64"/>
      <c r="C76" s="64"/>
      <c r="D76" s="64"/>
      <c r="E76" s="64"/>
      <c r="F76" s="64"/>
      <c r="G76" s="64"/>
      <c r="H76" s="64"/>
      <c r="I76" s="64"/>
      <c r="J76" s="64"/>
      <c r="M76" s="17"/>
      <c r="O76" s="17"/>
      <c r="P76" s="17"/>
      <c r="AB76" s="24"/>
      <c r="AC76" s="24"/>
    </row>
    <row r="77" spans="1:29">
      <c r="A77" s="64"/>
      <c r="B77" s="64"/>
      <c r="C77" s="64"/>
      <c r="D77" s="64"/>
      <c r="E77" s="64"/>
      <c r="F77" s="64"/>
      <c r="G77" s="64"/>
      <c r="H77" s="64"/>
      <c r="I77" s="64"/>
      <c r="J77" s="64"/>
      <c r="M77" s="17"/>
      <c r="O77" s="17"/>
      <c r="P77" s="17"/>
      <c r="AB77" s="24"/>
      <c r="AC77" s="24"/>
    </row>
    <row r="78" spans="1:29">
      <c r="A78" s="64"/>
      <c r="B78" s="64"/>
      <c r="C78" s="64"/>
      <c r="D78" s="64"/>
      <c r="E78" s="64"/>
      <c r="F78" s="64"/>
      <c r="G78" s="64"/>
      <c r="H78" s="64"/>
      <c r="I78" s="64"/>
      <c r="J78" s="64"/>
      <c r="M78" s="17"/>
      <c r="O78" s="17"/>
      <c r="P78" s="17"/>
      <c r="AB78" s="24"/>
      <c r="AC78" s="24"/>
    </row>
    <row r="79" spans="1:29">
      <c r="A79" s="64"/>
      <c r="B79" s="64"/>
      <c r="C79" s="64"/>
      <c r="D79" s="64"/>
      <c r="E79" s="64"/>
      <c r="F79" s="64"/>
      <c r="G79" s="64"/>
      <c r="H79" s="64"/>
      <c r="I79" s="64"/>
      <c r="J79" s="64"/>
      <c r="M79" s="17"/>
      <c r="O79" s="17"/>
      <c r="P79" s="17"/>
      <c r="AB79" s="24"/>
      <c r="AC79" s="24"/>
    </row>
    <row r="80" spans="1:29">
      <c r="A80" s="64"/>
      <c r="B80" s="64"/>
      <c r="C80" s="64"/>
      <c r="D80" s="64"/>
      <c r="E80" s="64"/>
      <c r="F80" s="64"/>
      <c r="G80" s="64"/>
      <c r="H80" s="64"/>
      <c r="I80" s="64"/>
      <c r="J80" s="64"/>
      <c r="M80" s="17"/>
      <c r="O80" s="17"/>
      <c r="P80" s="17"/>
      <c r="AB80" s="24"/>
      <c r="AC80" s="24"/>
    </row>
    <row r="81" spans="1:29">
      <c r="A81" s="64"/>
      <c r="B81" s="64"/>
      <c r="C81" s="64"/>
      <c r="D81" s="64"/>
      <c r="E81" s="64"/>
      <c r="F81" s="64"/>
      <c r="G81" s="64"/>
      <c r="H81" s="64"/>
      <c r="I81" s="64"/>
      <c r="J81" s="64"/>
      <c r="M81" s="17"/>
      <c r="O81" s="17"/>
      <c r="P81" s="17"/>
      <c r="AB81" s="24"/>
      <c r="AC81" s="24"/>
    </row>
    <row r="82" spans="1:29">
      <c r="A82" s="64"/>
      <c r="B82" s="64"/>
      <c r="C82" s="64"/>
      <c r="D82" s="64"/>
      <c r="E82" s="64"/>
      <c r="F82" s="64"/>
      <c r="G82" s="64"/>
      <c r="H82" s="64"/>
      <c r="I82" s="64"/>
      <c r="J82" s="64"/>
      <c r="M82" s="17"/>
      <c r="O82" s="17"/>
      <c r="P82" s="17"/>
      <c r="AB82" s="24"/>
      <c r="AC82" s="24"/>
    </row>
    <row r="83" spans="1:29">
      <c r="A83" s="64"/>
      <c r="B83" s="64"/>
      <c r="C83" s="64"/>
      <c r="D83" s="64"/>
      <c r="E83" s="64"/>
      <c r="F83" s="64"/>
      <c r="G83" s="64"/>
      <c r="H83" s="64"/>
      <c r="I83" s="64"/>
      <c r="J83" s="64"/>
      <c r="M83" s="17"/>
      <c r="O83" s="17"/>
      <c r="P83" s="17"/>
      <c r="AB83" s="24"/>
      <c r="AC83" s="24"/>
    </row>
    <row r="84" spans="1:29">
      <c r="A84" s="64"/>
      <c r="B84" s="64"/>
      <c r="C84" s="64"/>
      <c r="D84" s="64"/>
      <c r="E84" s="64"/>
      <c r="F84" s="64"/>
      <c r="G84" s="64"/>
      <c r="H84" s="64"/>
      <c r="I84" s="64"/>
      <c r="J84" s="64"/>
      <c r="M84" s="17"/>
      <c r="O84" s="17"/>
      <c r="P84" s="17"/>
      <c r="AB84" s="24"/>
      <c r="AC84" s="24"/>
    </row>
    <row r="85" spans="1:29">
      <c r="A85" s="64"/>
      <c r="B85" s="64"/>
      <c r="C85" s="64"/>
      <c r="D85" s="64"/>
      <c r="E85" s="64"/>
      <c r="F85" s="64"/>
      <c r="G85" s="64"/>
      <c r="H85" s="64"/>
      <c r="I85" s="64"/>
      <c r="J85" s="64"/>
      <c r="M85" s="17"/>
      <c r="O85" s="17"/>
      <c r="P85" s="17"/>
      <c r="AB85" s="24"/>
      <c r="AC85" s="24"/>
    </row>
    <row r="86" spans="1:29">
      <c r="A86" s="64"/>
      <c r="B86" s="64"/>
      <c r="C86" s="64"/>
      <c r="D86" s="64"/>
      <c r="E86" s="64"/>
      <c r="F86" s="64"/>
      <c r="G86" s="64"/>
      <c r="H86" s="64"/>
      <c r="I86" s="64"/>
      <c r="J86" s="64"/>
      <c r="M86" s="17"/>
      <c r="O86" s="17"/>
      <c r="P86" s="17"/>
      <c r="AB86" s="24"/>
      <c r="AC86" s="24"/>
    </row>
    <row r="87" spans="1:29">
      <c r="A87" s="64"/>
      <c r="B87" s="64"/>
      <c r="C87" s="64"/>
      <c r="D87" s="64"/>
      <c r="E87" s="64"/>
      <c r="F87" s="64"/>
      <c r="G87" s="64"/>
      <c r="H87" s="64"/>
      <c r="I87" s="64"/>
      <c r="J87" s="64"/>
      <c r="M87" s="17"/>
      <c r="O87" s="17"/>
      <c r="P87" s="17"/>
      <c r="AB87" s="24"/>
      <c r="AC87" s="24"/>
    </row>
    <row r="88" spans="1:29">
      <c r="A88" s="64"/>
      <c r="B88" s="64"/>
      <c r="C88" s="64"/>
      <c r="D88" s="64"/>
      <c r="E88" s="64"/>
      <c r="F88" s="64"/>
      <c r="G88" s="64"/>
      <c r="H88" s="64"/>
      <c r="I88" s="64"/>
      <c r="J88" s="64"/>
      <c r="M88" s="17"/>
      <c r="O88" s="17"/>
      <c r="P88" s="17"/>
      <c r="AB88" s="24"/>
      <c r="AC88" s="24"/>
    </row>
    <row r="89" spans="1:29">
      <c r="A89" s="64"/>
      <c r="B89" s="64"/>
      <c r="C89" s="64"/>
      <c r="D89" s="64"/>
      <c r="E89" s="64"/>
      <c r="F89" s="64"/>
      <c r="G89" s="64"/>
      <c r="H89" s="64"/>
      <c r="I89" s="64"/>
      <c r="J89" s="64"/>
      <c r="M89" s="17"/>
      <c r="O89" s="17"/>
      <c r="P89" s="17"/>
      <c r="AB89" s="24"/>
      <c r="AC89" s="24"/>
    </row>
    <row r="90" spans="1:29">
      <c r="A90" s="64"/>
      <c r="B90" s="64"/>
      <c r="C90" s="64"/>
      <c r="D90" s="64"/>
      <c r="E90" s="64"/>
      <c r="F90" s="64"/>
      <c r="G90" s="64"/>
      <c r="H90" s="64"/>
      <c r="I90" s="64"/>
      <c r="J90" s="64"/>
      <c r="M90" s="17"/>
      <c r="O90" s="17"/>
      <c r="P90" s="17"/>
      <c r="AB90" s="24"/>
      <c r="AC90" s="24"/>
    </row>
    <row r="91" spans="1:29">
      <c r="A91" s="64"/>
      <c r="B91" s="64"/>
      <c r="C91" s="64"/>
      <c r="D91" s="64"/>
      <c r="E91" s="64"/>
      <c r="F91" s="64"/>
      <c r="G91" s="64"/>
      <c r="H91" s="64"/>
      <c r="I91" s="64"/>
      <c r="J91" s="64"/>
      <c r="M91" s="17"/>
      <c r="O91" s="17"/>
      <c r="P91" s="17"/>
      <c r="AB91" s="24"/>
      <c r="AC91" s="24"/>
    </row>
    <row r="92" spans="1:29">
      <c r="A92" s="64"/>
      <c r="B92" s="64"/>
      <c r="C92" s="64"/>
      <c r="D92" s="64"/>
      <c r="E92" s="64"/>
      <c r="F92" s="64"/>
      <c r="G92" s="64"/>
      <c r="H92" s="64"/>
      <c r="I92" s="64"/>
      <c r="J92" s="64"/>
      <c r="M92" s="17"/>
      <c r="O92" s="17"/>
      <c r="P92" s="17"/>
      <c r="AB92" s="24"/>
      <c r="AC92" s="24"/>
    </row>
    <row r="93" spans="1:29">
      <c r="A93" s="64"/>
      <c r="B93" s="64"/>
      <c r="C93" s="64"/>
      <c r="D93" s="64"/>
      <c r="E93" s="64"/>
      <c r="F93" s="64"/>
      <c r="G93" s="64"/>
      <c r="H93" s="64"/>
      <c r="I93" s="64"/>
      <c r="J93" s="64"/>
      <c r="M93" s="17"/>
      <c r="O93" s="17"/>
      <c r="P93" s="17"/>
      <c r="AB93" s="24"/>
      <c r="AC93" s="24"/>
    </row>
    <row r="94" spans="1:29">
      <c r="A94" s="64"/>
      <c r="B94" s="64"/>
      <c r="C94" s="64"/>
      <c r="D94" s="64"/>
      <c r="E94" s="64"/>
      <c r="F94" s="64"/>
      <c r="G94" s="64"/>
      <c r="H94" s="64"/>
      <c r="I94" s="64"/>
      <c r="J94" s="64"/>
      <c r="M94" s="17"/>
      <c r="O94" s="17"/>
      <c r="P94" s="17"/>
      <c r="AB94" s="24"/>
      <c r="AC94" s="24"/>
    </row>
    <row r="95" spans="1:29">
      <c r="A95" s="64"/>
      <c r="B95" s="64"/>
      <c r="C95" s="64"/>
      <c r="D95" s="64"/>
      <c r="E95" s="64"/>
      <c r="F95" s="64"/>
      <c r="G95" s="64"/>
      <c r="H95" s="64"/>
      <c r="I95" s="64"/>
      <c r="J95" s="64"/>
      <c r="M95" s="17"/>
      <c r="O95" s="17"/>
      <c r="P95" s="17"/>
      <c r="AB95" s="24"/>
      <c r="AC95" s="24"/>
    </row>
    <row r="96" spans="1:29">
      <c r="A96" s="64"/>
      <c r="B96" s="64"/>
      <c r="C96" s="64"/>
      <c r="D96" s="64"/>
      <c r="E96" s="64"/>
      <c r="F96" s="64"/>
      <c r="G96" s="64"/>
      <c r="H96" s="64"/>
      <c r="I96" s="64"/>
      <c r="J96" s="64"/>
      <c r="M96" s="17"/>
      <c r="O96" s="17"/>
      <c r="P96" s="17"/>
      <c r="AB96" s="24"/>
      <c r="AC96" s="24"/>
    </row>
    <row r="97" spans="1:29">
      <c r="A97" s="64"/>
      <c r="B97" s="64"/>
      <c r="C97" s="64"/>
      <c r="D97" s="64"/>
      <c r="E97" s="64"/>
      <c r="F97" s="64"/>
      <c r="G97" s="64"/>
      <c r="H97" s="64"/>
      <c r="I97" s="64"/>
      <c r="J97" s="64"/>
      <c r="M97" s="17"/>
      <c r="O97" s="17"/>
      <c r="P97" s="17"/>
      <c r="AB97" s="24"/>
      <c r="AC97" s="24"/>
    </row>
    <row r="98" spans="1:29">
      <c r="A98" s="64"/>
      <c r="B98" s="64"/>
      <c r="C98" s="64"/>
      <c r="D98" s="64"/>
      <c r="E98" s="64"/>
      <c r="F98" s="64"/>
      <c r="G98" s="64"/>
      <c r="H98" s="64"/>
      <c r="I98" s="64"/>
      <c r="J98" s="64"/>
      <c r="M98" s="17"/>
      <c r="O98" s="17"/>
      <c r="P98" s="17"/>
      <c r="AB98" s="24"/>
      <c r="AC98" s="24"/>
    </row>
    <row r="99" spans="1:29">
      <c r="A99" s="64"/>
      <c r="B99" s="64"/>
      <c r="C99" s="64"/>
      <c r="D99" s="64"/>
      <c r="E99" s="64"/>
      <c r="F99" s="64"/>
      <c r="G99" s="64"/>
      <c r="H99" s="64"/>
      <c r="I99" s="64"/>
      <c r="J99" s="64"/>
      <c r="M99" s="17"/>
      <c r="O99" s="17"/>
      <c r="P99" s="17"/>
      <c r="AB99" s="24"/>
      <c r="AC99" s="24"/>
    </row>
    <row r="100" spans="1:29">
      <c r="A100" s="64"/>
      <c r="B100" s="64"/>
      <c r="C100" s="64"/>
      <c r="D100" s="64"/>
      <c r="E100" s="64"/>
      <c r="F100" s="64"/>
      <c r="G100" s="64"/>
      <c r="H100" s="64"/>
      <c r="I100" s="64"/>
      <c r="J100" s="64"/>
      <c r="M100" s="17"/>
      <c r="O100" s="17"/>
      <c r="P100" s="17"/>
      <c r="AB100" s="24"/>
      <c r="AC100" s="24"/>
    </row>
    <row r="101" spans="1:29">
      <c r="A101" s="64"/>
      <c r="B101" s="64"/>
      <c r="C101" s="64"/>
      <c r="D101" s="64"/>
      <c r="E101" s="64"/>
      <c r="F101" s="64"/>
      <c r="G101" s="64"/>
      <c r="H101" s="64"/>
      <c r="I101" s="64"/>
      <c r="J101" s="64"/>
      <c r="M101" s="17"/>
      <c r="O101" s="17"/>
      <c r="P101" s="17"/>
      <c r="AB101" s="24"/>
      <c r="AC101" s="24"/>
    </row>
    <row r="102" spans="1:29">
      <c r="A102" s="64"/>
      <c r="B102" s="64"/>
      <c r="C102" s="64"/>
      <c r="D102" s="64"/>
      <c r="E102" s="64"/>
      <c r="F102" s="64"/>
      <c r="G102" s="64"/>
      <c r="H102" s="64"/>
      <c r="I102" s="64"/>
      <c r="J102" s="64"/>
      <c r="M102" s="17"/>
      <c r="O102" s="17"/>
      <c r="P102" s="17"/>
      <c r="AB102" s="24"/>
      <c r="AC102" s="24"/>
    </row>
    <row r="103" spans="1:29">
      <c r="A103" s="64"/>
      <c r="B103" s="64"/>
      <c r="C103" s="64"/>
      <c r="D103" s="64"/>
      <c r="E103" s="64"/>
      <c r="F103" s="64"/>
      <c r="G103" s="64"/>
      <c r="H103" s="64"/>
      <c r="I103" s="64"/>
      <c r="J103" s="64"/>
      <c r="M103" s="17"/>
      <c r="O103" s="17"/>
      <c r="P103" s="17"/>
      <c r="AB103" s="24"/>
      <c r="AC103" s="24"/>
    </row>
    <row r="104" spans="1:29">
      <c r="A104" s="64"/>
      <c r="B104" s="64"/>
      <c r="C104" s="64"/>
      <c r="D104" s="64"/>
      <c r="E104" s="64"/>
      <c r="F104" s="64"/>
      <c r="G104" s="64"/>
      <c r="H104" s="64"/>
      <c r="I104" s="64"/>
      <c r="J104" s="64"/>
      <c r="M104" s="17"/>
      <c r="O104" s="17"/>
      <c r="P104" s="17"/>
    </row>
    <row r="105" spans="1:29">
      <c r="A105" s="64"/>
      <c r="B105" s="64"/>
      <c r="C105" s="64"/>
      <c r="D105" s="64"/>
      <c r="E105" s="64"/>
      <c r="F105" s="64"/>
      <c r="G105" s="64"/>
      <c r="H105" s="64"/>
      <c r="I105" s="64"/>
      <c r="J105" s="64"/>
      <c r="M105" s="17"/>
      <c r="O105" s="17"/>
      <c r="P105" s="17"/>
    </row>
    <row r="106" spans="1:29">
      <c r="A106" s="64"/>
      <c r="B106" s="64"/>
      <c r="C106" s="64"/>
      <c r="D106" s="64"/>
      <c r="E106" s="64"/>
      <c r="F106" s="64"/>
      <c r="G106" s="64"/>
      <c r="H106" s="64"/>
      <c r="I106" s="64"/>
      <c r="J106" s="64"/>
      <c r="M106" s="17"/>
      <c r="O106" s="17"/>
      <c r="P106" s="17"/>
    </row>
    <row r="107" spans="1:29">
      <c r="A107" s="64"/>
      <c r="B107" s="64"/>
      <c r="C107" s="64"/>
      <c r="D107" s="64"/>
      <c r="E107" s="64"/>
      <c r="F107" s="64"/>
      <c r="G107" s="64"/>
      <c r="H107" s="64"/>
      <c r="I107" s="64"/>
      <c r="J107" s="64"/>
      <c r="M107" s="17"/>
      <c r="O107" s="17"/>
      <c r="P107" s="17"/>
    </row>
    <row r="108" spans="1:29">
      <c r="A108" s="64"/>
      <c r="B108" s="64"/>
      <c r="C108" s="64"/>
      <c r="D108" s="64"/>
      <c r="E108" s="64"/>
      <c r="F108" s="64"/>
      <c r="G108" s="64"/>
      <c r="H108" s="64"/>
      <c r="I108" s="64"/>
      <c r="J108" s="64"/>
      <c r="M108" s="17"/>
      <c r="O108" s="17"/>
      <c r="P108" s="17"/>
    </row>
    <row r="109" spans="1:29">
      <c r="A109" s="64"/>
      <c r="B109" s="64"/>
      <c r="C109" s="64"/>
      <c r="D109" s="64"/>
      <c r="E109" s="64"/>
      <c r="F109" s="64"/>
      <c r="G109" s="64"/>
      <c r="H109" s="64"/>
      <c r="I109" s="64"/>
      <c r="J109" s="64"/>
      <c r="M109" s="17"/>
      <c r="O109" s="17"/>
      <c r="P109" s="17"/>
    </row>
    <row r="110" spans="1:29">
      <c r="A110" s="64"/>
      <c r="B110" s="64"/>
      <c r="C110" s="64"/>
      <c r="D110" s="64"/>
      <c r="E110" s="64"/>
      <c r="F110" s="64"/>
      <c r="G110" s="64"/>
      <c r="H110" s="64"/>
      <c r="I110" s="64"/>
      <c r="J110" s="64"/>
      <c r="M110" s="17"/>
      <c r="O110" s="17"/>
      <c r="P110" s="17"/>
    </row>
    <row r="111" spans="1:29">
      <c r="A111" s="64"/>
      <c r="B111" s="64"/>
      <c r="C111" s="64"/>
      <c r="D111" s="64"/>
      <c r="E111" s="64"/>
      <c r="F111" s="64"/>
      <c r="G111" s="64"/>
      <c r="H111" s="64"/>
      <c r="I111" s="64"/>
      <c r="J111" s="64"/>
      <c r="M111" s="17"/>
      <c r="O111" s="17"/>
      <c r="P111" s="17"/>
    </row>
    <row r="112" spans="1:29">
      <c r="A112" s="64"/>
      <c r="B112" s="64"/>
      <c r="C112" s="64"/>
      <c r="D112" s="64"/>
      <c r="E112" s="64"/>
      <c r="F112" s="64"/>
      <c r="G112" s="64"/>
      <c r="H112" s="64"/>
      <c r="I112" s="64"/>
      <c r="J112" s="64"/>
      <c r="M112" s="17"/>
      <c r="O112" s="17"/>
      <c r="P112" s="17"/>
    </row>
    <row r="113" spans="1:16">
      <c r="A113" s="64"/>
      <c r="B113" s="64"/>
      <c r="C113" s="64"/>
      <c r="D113" s="64"/>
      <c r="E113" s="64"/>
      <c r="F113" s="64"/>
      <c r="G113" s="64"/>
      <c r="H113" s="64"/>
      <c r="I113" s="64"/>
      <c r="J113" s="64"/>
      <c r="M113" s="17"/>
      <c r="O113" s="17"/>
      <c r="P113" s="17"/>
    </row>
    <row r="114" spans="1:16">
      <c r="A114" s="64"/>
      <c r="B114" s="64"/>
      <c r="C114" s="64"/>
      <c r="D114" s="64"/>
      <c r="E114" s="64"/>
      <c r="F114" s="64"/>
      <c r="G114" s="64"/>
      <c r="H114" s="64"/>
      <c r="I114" s="64"/>
      <c r="J114" s="64"/>
      <c r="M114" s="17"/>
      <c r="O114" s="17"/>
      <c r="P114" s="17"/>
    </row>
    <row r="115" spans="1:16">
      <c r="A115" s="64"/>
      <c r="B115" s="64"/>
      <c r="C115" s="64"/>
      <c r="D115" s="64"/>
      <c r="E115" s="64"/>
      <c r="F115" s="64"/>
      <c r="G115" s="64"/>
      <c r="H115" s="64"/>
      <c r="I115" s="64"/>
      <c r="J115" s="64"/>
      <c r="M115" s="17"/>
      <c r="O115" s="17"/>
      <c r="P115" s="17"/>
    </row>
    <row r="116" spans="1:16">
      <c r="A116" s="64"/>
      <c r="B116" s="64"/>
      <c r="C116" s="64"/>
      <c r="D116" s="64"/>
      <c r="E116" s="64"/>
      <c r="F116" s="64"/>
      <c r="G116" s="64"/>
      <c r="H116" s="64"/>
      <c r="I116" s="64"/>
      <c r="J116" s="64"/>
      <c r="M116" s="17"/>
      <c r="O116" s="17"/>
      <c r="P116" s="17"/>
    </row>
    <row r="117" spans="1:16">
      <c r="A117" s="64"/>
      <c r="B117" s="64"/>
      <c r="C117" s="64"/>
      <c r="D117" s="64"/>
      <c r="E117" s="64"/>
      <c r="F117" s="64"/>
      <c r="G117" s="64"/>
      <c r="H117" s="64"/>
      <c r="I117" s="64"/>
      <c r="J117" s="64"/>
      <c r="M117" s="17"/>
      <c r="O117" s="17"/>
      <c r="P117" s="17"/>
    </row>
    <row r="118" spans="1:16">
      <c r="A118" s="64"/>
      <c r="B118" s="64"/>
      <c r="C118" s="64"/>
      <c r="D118" s="64"/>
      <c r="E118" s="64"/>
      <c r="F118" s="64"/>
      <c r="G118" s="64"/>
      <c r="H118" s="64"/>
      <c r="I118" s="64"/>
      <c r="J118" s="64"/>
      <c r="M118" s="17"/>
      <c r="O118" s="17"/>
      <c r="P118" s="17"/>
    </row>
    <row r="119" spans="1:16">
      <c r="A119" s="64"/>
      <c r="B119" s="64"/>
      <c r="C119" s="64"/>
      <c r="D119" s="64"/>
      <c r="E119" s="64"/>
      <c r="F119" s="64"/>
      <c r="G119" s="64"/>
      <c r="H119" s="64"/>
      <c r="I119" s="64"/>
      <c r="J119" s="64"/>
      <c r="M119" s="17"/>
      <c r="O119" s="17"/>
      <c r="P119" s="17"/>
    </row>
    <row r="120" spans="1:16">
      <c r="A120" s="64"/>
      <c r="B120" s="64"/>
      <c r="C120" s="64"/>
      <c r="D120" s="64"/>
      <c r="E120" s="64"/>
      <c r="F120" s="64"/>
      <c r="G120" s="64"/>
      <c r="H120" s="64"/>
      <c r="I120" s="64"/>
      <c r="J120" s="64"/>
      <c r="M120" s="17"/>
      <c r="O120" s="17"/>
      <c r="P120" s="17"/>
    </row>
    <row r="121" spans="1:16">
      <c r="A121" s="64"/>
      <c r="B121" s="64"/>
      <c r="C121" s="64"/>
      <c r="D121" s="64"/>
      <c r="E121" s="64"/>
      <c r="F121" s="64"/>
      <c r="G121" s="64"/>
      <c r="H121" s="64"/>
      <c r="I121" s="64"/>
      <c r="J121" s="64"/>
      <c r="M121" s="17"/>
      <c r="O121" s="17"/>
      <c r="P121" s="17"/>
    </row>
    <row r="122" spans="1:16">
      <c r="A122" s="64"/>
      <c r="B122" s="64"/>
      <c r="C122" s="64"/>
      <c r="D122" s="64"/>
      <c r="E122" s="64"/>
      <c r="F122" s="64"/>
      <c r="G122" s="64"/>
      <c r="H122" s="64"/>
      <c r="I122" s="64"/>
      <c r="J122" s="64"/>
      <c r="M122" s="17"/>
      <c r="O122" s="17"/>
      <c r="P122" s="17"/>
    </row>
    <row r="123" spans="1:16">
      <c r="A123" s="64"/>
      <c r="B123" s="64"/>
      <c r="C123" s="64"/>
      <c r="D123" s="64"/>
      <c r="E123" s="64"/>
      <c r="F123" s="64"/>
      <c r="G123" s="64"/>
      <c r="H123" s="64"/>
      <c r="I123" s="64"/>
      <c r="J123" s="64"/>
      <c r="M123" s="17"/>
      <c r="O123" s="17"/>
      <c r="P123" s="17"/>
    </row>
    <row r="124" spans="1:16">
      <c r="A124" s="64"/>
      <c r="B124" s="64"/>
      <c r="C124" s="64"/>
      <c r="D124" s="64"/>
      <c r="E124" s="64"/>
      <c r="F124" s="64"/>
      <c r="G124" s="64"/>
      <c r="H124" s="64"/>
      <c r="I124" s="64"/>
      <c r="J124" s="64"/>
      <c r="M124" s="17"/>
      <c r="O124" s="17"/>
      <c r="P124" s="17"/>
    </row>
    <row r="125" spans="1:16">
      <c r="A125" s="64"/>
      <c r="B125" s="64"/>
      <c r="C125" s="64"/>
      <c r="D125" s="64"/>
      <c r="E125" s="64"/>
      <c r="F125" s="64"/>
      <c r="G125" s="64"/>
      <c r="H125" s="64"/>
      <c r="I125" s="64"/>
      <c r="J125" s="64"/>
      <c r="M125" s="17"/>
      <c r="O125" s="17"/>
      <c r="P125" s="17"/>
    </row>
    <row r="126" spans="1:16">
      <c r="A126" s="64"/>
      <c r="B126" s="64"/>
      <c r="C126" s="64"/>
      <c r="D126" s="64"/>
      <c r="E126" s="64"/>
      <c r="F126" s="64"/>
      <c r="G126" s="64"/>
      <c r="H126" s="64"/>
      <c r="I126" s="64"/>
      <c r="J126" s="64"/>
      <c r="M126" s="17"/>
      <c r="O126" s="17"/>
      <c r="P126" s="17"/>
    </row>
    <row r="127" spans="1:16">
      <c r="A127" s="64"/>
      <c r="B127" s="64"/>
      <c r="C127" s="64"/>
      <c r="D127" s="64"/>
      <c r="E127" s="64"/>
      <c r="F127" s="64"/>
      <c r="G127" s="64"/>
      <c r="H127" s="64"/>
      <c r="I127" s="64"/>
      <c r="J127" s="64"/>
      <c r="M127" s="17"/>
      <c r="O127" s="17"/>
      <c r="P127" s="17"/>
    </row>
    <row r="128" spans="1:16">
      <c r="A128" s="64"/>
      <c r="B128" s="64"/>
      <c r="C128" s="64"/>
      <c r="D128" s="64"/>
      <c r="E128" s="64"/>
      <c r="F128" s="64"/>
      <c r="G128" s="64"/>
      <c r="H128" s="64"/>
      <c r="I128" s="64"/>
      <c r="J128" s="64"/>
      <c r="M128" s="17"/>
      <c r="O128" s="17"/>
      <c r="P128" s="17"/>
    </row>
    <row r="129" spans="1:16">
      <c r="A129" s="64"/>
      <c r="B129" s="64"/>
      <c r="C129" s="64"/>
      <c r="D129" s="64"/>
      <c r="E129" s="64"/>
      <c r="F129" s="64"/>
      <c r="G129" s="64"/>
      <c r="H129" s="64"/>
      <c r="I129" s="64"/>
      <c r="J129" s="64"/>
      <c r="M129" s="17"/>
      <c r="O129" s="17"/>
      <c r="P129" s="17"/>
    </row>
    <row r="130" spans="1:16">
      <c r="A130" s="64"/>
      <c r="B130" s="64"/>
      <c r="C130" s="64"/>
      <c r="D130" s="64"/>
      <c r="E130" s="64"/>
      <c r="F130" s="64"/>
      <c r="G130" s="64"/>
      <c r="H130" s="64"/>
      <c r="I130" s="64"/>
      <c r="J130" s="64"/>
      <c r="M130" s="17"/>
      <c r="O130" s="17"/>
      <c r="P130" s="17"/>
    </row>
    <row r="131" spans="1:16">
      <c r="A131" s="64"/>
      <c r="B131" s="64"/>
      <c r="C131" s="64"/>
      <c r="D131" s="64"/>
      <c r="E131" s="64"/>
      <c r="F131" s="64"/>
      <c r="G131" s="64"/>
      <c r="H131" s="64"/>
      <c r="I131" s="64"/>
      <c r="J131" s="64"/>
      <c r="M131" s="17"/>
      <c r="O131" s="17"/>
      <c r="P131" s="17"/>
    </row>
    <row r="132" spans="1:16">
      <c r="A132" s="64"/>
      <c r="B132" s="64"/>
      <c r="C132" s="64"/>
      <c r="D132" s="64"/>
      <c r="E132" s="64"/>
      <c r="F132" s="64"/>
      <c r="G132" s="64"/>
      <c r="H132" s="64"/>
      <c r="I132" s="64"/>
      <c r="J132" s="64"/>
      <c r="M132" s="17"/>
      <c r="O132" s="17"/>
      <c r="P132" s="17"/>
    </row>
    <row r="133" spans="1:16">
      <c r="A133" s="64"/>
      <c r="B133" s="64"/>
      <c r="C133" s="64"/>
      <c r="D133" s="64"/>
      <c r="E133" s="64"/>
      <c r="F133" s="64"/>
      <c r="G133" s="64"/>
      <c r="H133" s="64"/>
      <c r="I133" s="64"/>
      <c r="J133" s="64"/>
      <c r="M133" s="17"/>
      <c r="O133" s="17"/>
      <c r="P133" s="17"/>
    </row>
    <row r="134" spans="1:16">
      <c r="A134" s="64"/>
      <c r="B134" s="64"/>
      <c r="C134" s="64"/>
      <c r="D134" s="64"/>
      <c r="E134" s="64"/>
      <c r="F134" s="64"/>
      <c r="G134" s="64"/>
      <c r="H134" s="64"/>
      <c r="I134" s="64"/>
      <c r="J134" s="64"/>
      <c r="M134" s="17"/>
      <c r="O134" s="17"/>
      <c r="P134" s="17"/>
    </row>
    <row r="135" spans="1:16">
      <c r="A135" s="64"/>
      <c r="B135" s="64"/>
      <c r="C135" s="64"/>
      <c r="D135" s="64"/>
      <c r="E135" s="64"/>
      <c r="F135" s="64"/>
      <c r="G135" s="64"/>
      <c r="H135" s="64"/>
      <c r="I135" s="64"/>
      <c r="J135" s="64"/>
      <c r="M135" s="17"/>
      <c r="O135" s="17"/>
      <c r="P135" s="17"/>
    </row>
    <row r="136" spans="1:16">
      <c r="A136" s="64"/>
      <c r="B136" s="64"/>
      <c r="C136" s="64"/>
      <c r="D136" s="64"/>
      <c r="E136" s="64"/>
      <c r="F136" s="64"/>
      <c r="G136" s="64"/>
      <c r="H136" s="64"/>
      <c r="I136" s="64"/>
      <c r="J136" s="64"/>
      <c r="M136" s="17"/>
      <c r="O136" s="17"/>
      <c r="P136" s="17"/>
    </row>
    <row r="137" spans="1:16">
      <c r="A137" s="64"/>
      <c r="B137" s="64"/>
      <c r="C137" s="64"/>
      <c r="D137" s="64"/>
      <c r="E137" s="64"/>
      <c r="F137" s="64"/>
      <c r="G137" s="64"/>
      <c r="H137" s="64"/>
      <c r="I137" s="64"/>
      <c r="J137" s="64"/>
      <c r="M137" s="17"/>
      <c r="P137" s="17"/>
    </row>
    <row r="138" spans="1:16">
      <c r="A138" s="64"/>
      <c r="B138" s="64"/>
      <c r="C138" s="64"/>
      <c r="D138" s="64"/>
      <c r="E138" s="64"/>
      <c r="F138" s="64"/>
      <c r="G138" s="64"/>
      <c r="H138" s="64"/>
      <c r="I138" s="64"/>
      <c r="J138" s="64"/>
      <c r="M138" s="17"/>
      <c r="P138" s="17"/>
    </row>
    <row r="139" spans="1:16">
      <c r="A139" s="64"/>
      <c r="B139" s="64"/>
      <c r="C139" s="64"/>
      <c r="D139" s="64"/>
      <c r="E139" s="64"/>
      <c r="F139" s="64"/>
      <c r="G139" s="64"/>
      <c r="H139" s="64"/>
      <c r="I139" s="64"/>
      <c r="J139" s="64"/>
      <c r="M139" s="17"/>
      <c r="P139" s="17"/>
    </row>
    <row r="140" spans="1:16">
      <c r="A140" s="64"/>
      <c r="B140" s="64"/>
      <c r="C140" s="64"/>
      <c r="D140" s="64"/>
      <c r="E140" s="64"/>
      <c r="F140" s="64"/>
      <c r="G140" s="64"/>
      <c r="H140" s="64"/>
      <c r="I140" s="64"/>
      <c r="J140" s="64"/>
      <c r="M140" s="17"/>
      <c r="P140" s="17"/>
    </row>
    <row r="141" spans="1:16">
      <c r="A141" s="64"/>
      <c r="B141" s="64"/>
      <c r="C141" s="64"/>
      <c r="D141" s="64"/>
      <c r="E141" s="64"/>
      <c r="F141" s="64"/>
      <c r="G141" s="64"/>
      <c r="H141" s="64"/>
      <c r="I141" s="64"/>
      <c r="J141" s="64"/>
      <c r="M141" s="17"/>
      <c r="P141" s="17"/>
    </row>
    <row r="142" spans="1:16">
      <c r="A142" s="64"/>
      <c r="B142" s="64"/>
      <c r="C142" s="64"/>
      <c r="D142" s="64"/>
      <c r="E142" s="64"/>
      <c r="F142" s="64"/>
      <c r="G142" s="64"/>
      <c r="H142" s="64"/>
      <c r="I142" s="64"/>
      <c r="J142" s="64"/>
      <c r="M142" s="17"/>
      <c r="P142" s="17"/>
    </row>
    <row r="143" spans="1:16">
      <c r="A143" s="64"/>
      <c r="B143" s="64"/>
      <c r="C143" s="64"/>
      <c r="D143" s="64"/>
      <c r="E143" s="64"/>
      <c r="F143" s="64"/>
      <c r="G143" s="64"/>
      <c r="H143" s="64"/>
      <c r="I143" s="64"/>
      <c r="J143" s="64"/>
      <c r="M143" s="17"/>
      <c r="P143" s="17"/>
    </row>
    <row r="144" spans="1:16">
      <c r="A144" s="64"/>
      <c r="B144" s="64"/>
      <c r="C144" s="64"/>
      <c r="D144" s="64"/>
      <c r="E144" s="64"/>
      <c r="F144" s="64"/>
      <c r="G144" s="64"/>
      <c r="H144" s="64"/>
      <c r="I144" s="64"/>
      <c r="J144" s="64"/>
      <c r="M144" s="17"/>
      <c r="P144" s="17"/>
    </row>
    <row r="145" spans="1:16">
      <c r="A145" s="64"/>
      <c r="B145" s="64"/>
      <c r="C145" s="64"/>
      <c r="D145" s="64"/>
      <c r="E145" s="64"/>
      <c r="F145" s="64"/>
      <c r="G145" s="64"/>
      <c r="H145" s="64"/>
      <c r="I145" s="64"/>
      <c r="J145" s="64"/>
      <c r="M145" s="17"/>
      <c r="P145" s="17"/>
    </row>
    <row r="146" spans="1:16">
      <c r="A146" s="64"/>
      <c r="B146" s="64"/>
      <c r="C146" s="64"/>
      <c r="D146" s="64"/>
      <c r="E146" s="64"/>
      <c r="F146" s="64"/>
      <c r="G146" s="64"/>
      <c r="H146" s="64"/>
      <c r="I146" s="64"/>
      <c r="J146" s="64"/>
      <c r="M146" s="17"/>
      <c r="P146" s="17"/>
    </row>
    <row r="147" spans="1:16">
      <c r="A147" s="64"/>
      <c r="B147" s="64"/>
      <c r="C147" s="64"/>
      <c r="D147" s="64"/>
      <c r="E147" s="64"/>
      <c r="F147" s="64"/>
      <c r="G147" s="64"/>
      <c r="H147" s="64"/>
      <c r="I147" s="64"/>
      <c r="J147" s="64"/>
      <c r="M147" s="17"/>
      <c r="P147" s="17"/>
    </row>
    <row r="148" spans="1:16">
      <c r="A148" s="64"/>
      <c r="B148" s="64"/>
      <c r="C148" s="64"/>
      <c r="D148" s="64"/>
      <c r="E148" s="64"/>
      <c r="F148" s="64"/>
      <c r="G148" s="64"/>
      <c r="H148" s="64"/>
      <c r="I148" s="64"/>
      <c r="J148" s="64"/>
      <c r="M148" s="17"/>
      <c r="P148" s="17"/>
    </row>
    <row r="149" spans="1:16">
      <c r="A149" s="64"/>
      <c r="B149" s="64"/>
      <c r="C149" s="64"/>
      <c r="D149" s="64"/>
      <c r="E149" s="64"/>
      <c r="F149" s="64"/>
      <c r="G149" s="64"/>
      <c r="H149" s="64"/>
      <c r="I149" s="64"/>
      <c r="J149" s="64"/>
      <c r="M149" s="17"/>
      <c r="P149" s="17"/>
    </row>
    <row r="150" spans="1:16">
      <c r="A150" s="64"/>
      <c r="B150" s="64"/>
      <c r="C150" s="64"/>
      <c r="D150" s="64"/>
      <c r="E150" s="64"/>
      <c r="F150" s="64"/>
      <c r="G150" s="64"/>
      <c r="H150" s="64"/>
      <c r="I150" s="64"/>
      <c r="J150" s="64"/>
      <c r="M150" s="17"/>
      <c r="P150" s="17"/>
    </row>
    <row r="151" spans="1:16">
      <c r="A151" s="64"/>
      <c r="B151" s="64"/>
      <c r="C151" s="64"/>
      <c r="D151" s="64"/>
      <c r="E151" s="64"/>
      <c r="F151" s="64"/>
      <c r="G151" s="64"/>
      <c r="H151" s="64"/>
      <c r="I151" s="64"/>
      <c r="J151" s="64"/>
      <c r="M151" s="17"/>
      <c r="P151" s="17"/>
    </row>
    <row r="152" spans="1:16">
      <c r="A152" s="64"/>
      <c r="B152" s="64"/>
      <c r="C152" s="64"/>
      <c r="D152" s="64"/>
      <c r="E152" s="64"/>
      <c r="F152" s="64"/>
      <c r="G152" s="64"/>
      <c r="H152" s="64"/>
      <c r="I152" s="64"/>
      <c r="J152" s="64"/>
      <c r="M152" s="17"/>
      <c r="P152" s="17"/>
    </row>
    <row r="153" spans="1:16">
      <c r="A153" s="64"/>
      <c r="B153" s="64"/>
      <c r="C153" s="64"/>
      <c r="D153" s="64"/>
      <c r="E153" s="64"/>
      <c r="F153" s="64"/>
      <c r="G153" s="64"/>
      <c r="H153" s="64"/>
      <c r="I153" s="64"/>
      <c r="J153" s="64"/>
      <c r="M153" s="17"/>
      <c r="P153" s="17"/>
    </row>
    <row r="154" spans="1:16">
      <c r="A154" s="64"/>
      <c r="B154" s="64"/>
      <c r="C154" s="64"/>
      <c r="D154" s="64"/>
      <c r="E154" s="64"/>
      <c r="F154" s="64"/>
      <c r="G154" s="64"/>
      <c r="H154" s="64"/>
      <c r="I154" s="64"/>
      <c r="J154" s="64"/>
      <c r="M154" s="17"/>
      <c r="P154" s="17"/>
    </row>
    <row r="155" spans="1:16">
      <c r="A155" s="64"/>
      <c r="B155" s="64"/>
      <c r="C155" s="64"/>
      <c r="D155" s="64"/>
      <c r="E155" s="64"/>
      <c r="F155" s="64"/>
      <c r="G155" s="64"/>
      <c r="H155" s="64"/>
      <c r="I155" s="64"/>
      <c r="J155" s="64"/>
      <c r="M155" s="17"/>
      <c r="P155" s="17"/>
    </row>
    <row r="156" spans="1:16">
      <c r="A156" s="64"/>
      <c r="B156" s="64"/>
      <c r="C156" s="64"/>
      <c r="D156" s="64"/>
      <c r="E156" s="64"/>
      <c r="F156" s="64"/>
      <c r="G156" s="64"/>
      <c r="H156" s="64"/>
      <c r="I156" s="64"/>
      <c r="J156" s="64"/>
      <c r="M156" s="17"/>
      <c r="P156" s="17"/>
    </row>
    <row r="157" spans="1:16">
      <c r="A157" s="64"/>
      <c r="B157" s="64"/>
      <c r="C157" s="64"/>
      <c r="D157" s="64"/>
      <c r="E157" s="64"/>
      <c r="F157" s="64"/>
      <c r="G157" s="64"/>
      <c r="H157" s="64"/>
      <c r="I157" s="64"/>
      <c r="J157" s="64"/>
      <c r="M157" s="17"/>
      <c r="P157" s="17"/>
    </row>
    <row r="158" spans="1:16">
      <c r="A158" s="64"/>
      <c r="B158" s="64"/>
      <c r="C158" s="64"/>
      <c r="D158" s="64"/>
      <c r="E158" s="64"/>
      <c r="F158" s="64"/>
      <c r="G158" s="64"/>
      <c r="H158" s="64"/>
      <c r="I158" s="64"/>
      <c r="J158" s="64"/>
      <c r="M158" s="17"/>
      <c r="P158" s="17"/>
    </row>
    <row r="159" spans="1:16">
      <c r="A159" s="64"/>
      <c r="B159" s="64"/>
      <c r="C159" s="64"/>
      <c r="D159" s="64"/>
      <c r="E159" s="64"/>
      <c r="F159" s="64"/>
      <c r="G159" s="64"/>
      <c r="H159" s="64"/>
      <c r="I159" s="64"/>
      <c r="J159" s="64"/>
      <c r="M159" s="17"/>
      <c r="P159" s="17"/>
    </row>
    <row r="160" spans="1:16">
      <c r="A160" s="64"/>
      <c r="B160" s="64"/>
      <c r="C160" s="64"/>
      <c r="D160" s="64"/>
      <c r="E160" s="64"/>
      <c r="F160" s="64"/>
      <c r="G160" s="64"/>
      <c r="H160" s="64"/>
      <c r="I160" s="64"/>
      <c r="J160" s="64"/>
      <c r="M160" s="17"/>
      <c r="P160" s="17"/>
    </row>
    <row r="161" spans="1:16">
      <c r="A161" s="64"/>
      <c r="B161" s="64"/>
      <c r="C161" s="64"/>
      <c r="D161" s="64"/>
      <c r="E161" s="64"/>
      <c r="F161" s="64"/>
      <c r="G161" s="64"/>
      <c r="H161" s="64"/>
      <c r="I161" s="64"/>
      <c r="J161" s="64"/>
      <c r="M161" s="17"/>
      <c r="P161" s="17"/>
    </row>
    <row r="162" spans="1:16">
      <c r="A162" s="64"/>
      <c r="B162" s="64"/>
      <c r="C162" s="64"/>
      <c r="D162" s="64"/>
      <c r="E162" s="64"/>
      <c r="F162" s="64"/>
      <c r="G162" s="64"/>
      <c r="H162" s="64"/>
      <c r="I162" s="64"/>
      <c r="J162" s="64"/>
      <c r="M162" s="17"/>
      <c r="P162" s="17"/>
    </row>
    <row r="163" spans="1:16">
      <c r="A163" s="64"/>
      <c r="B163" s="64"/>
      <c r="C163" s="64"/>
      <c r="D163" s="64"/>
      <c r="E163" s="64"/>
      <c r="F163" s="64"/>
      <c r="G163" s="64"/>
      <c r="H163" s="64"/>
      <c r="I163" s="64"/>
      <c r="J163" s="64"/>
      <c r="M163" s="17"/>
      <c r="P163" s="17"/>
    </row>
    <row r="164" spans="1:16">
      <c r="A164" s="64"/>
      <c r="B164" s="64"/>
      <c r="C164" s="64"/>
      <c r="D164" s="64"/>
      <c r="E164" s="64"/>
      <c r="F164" s="64"/>
      <c r="G164" s="64"/>
      <c r="H164" s="64"/>
      <c r="I164" s="64"/>
      <c r="J164" s="64"/>
      <c r="M164" s="17"/>
      <c r="P164" s="17"/>
    </row>
    <row r="165" spans="1:16">
      <c r="A165" s="64"/>
      <c r="B165" s="64"/>
      <c r="C165" s="64"/>
      <c r="D165" s="64"/>
      <c r="E165" s="64"/>
      <c r="F165" s="64"/>
      <c r="G165" s="64"/>
      <c r="H165" s="64"/>
      <c r="I165" s="64"/>
      <c r="J165" s="64"/>
      <c r="M165" s="17"/>
      <c r="P165" s="17"/>
    </row>
    <row r="166" spans="1:16">
      <c r="A166" s="64"/>
      <c r="B166" s="64"/>
      <c r="C166" s="64"/>
      <c r="D166" s="64"/>
      <c r="E166" s="64"/>
      <c r="F166" s="64"/>
      <c r="G166" s="64"/>
      <c r="H166" s="64"/>
      <c r="I166" s="64"/>
      <c r="J166" s="64"/>
      <c r="M166" s="17"/>
      <c r="P166" s="17"/>
    </row>
    <row r="167" spans="1:16">
      <c r="A167" s="64"/>
      <c r="B167" s="64"/>
      <c r="C167" s="64"/>
      <c r="D167" s="64"/>
      <c r="E167" s="64"/>
      <c r="F167" s="64"/>
      <c r="G167" s="64"/>
      <c r="H167" s="64"/>
      <c r="I167" s="64"/>
      <c r="J167" s="64"/>
      <c r="M167" s="17"/>
      <c r="P167" s="17"/>
    </row>
    <row r="168" spans="1:16">
      <c r="A168" s="64"/>
      <c r="B168" s="64"/>
      <c r="C168" s="64"/>
      <c r="D168" s="64"/>
      <c r="E168" s="64"/>
      <c r="F168" s="64"/>
      <c r="G168" s="64"/>
      <c r="H168" s="64"/>
      <c r="I168" s="64"/>
      <c r="J168" s="64"/>
      <c r="M168" s="17"/>
      <c r="P168" s="17"/>
    </row>
    <row r="169" spans="1:16">
      <c r="A169" s="64"/>
      <c r="B169" s="64"/>
      <c r="C169" s="64"/>
      <c r="D169" s="64"/>
      <c r="E169" s="64"/>
      <c r="F169" s="64"/>
      <c r="G169" s="64"/>
      <c r="H169" s="64"/>
      <c r="I169" s="64"/>
      <c r="J169" s="64"/>
      <c r="M169" s="17"/>
      <c r="P169" s="17"/>
    </row>
    <row r="170" spans="1:16">
      <c r="A170" s="64"/>
      <c r="B170" s="64"/>
      <c r="C170" s="64"/>
      <c r="D170" s="64"/>
      <c r="E170" s="64"/>
      <c r="F170" s="64"/>
      <c r="G170" s="64"/>
      <c r="H170" s="64"/>
      <c r="I170" s="64"/>
      <c r="J170" s="64"/>
      <c r="M170" s="17"/>
      <c r="P170" s="17"/>
    </row>
    <row r="171" spans="1:16">
      <c r="A171" s="64"/>
      <c r="B171" s="64"/>
      <c r="C171" s="64"/>
      <c r="D171" s="64"/>
      <c r="E171" s="64"/>
      <c r="F171" s="64"/>
      <c r="G171" s="64"/>
      <c r="H171" s="64"/>
      <c r="I171" s="64"/>
      <c r="J171" s="64"/>
      <c r="M171" s="17"/>
      <c r="P171" s="17"/>
    </row>
    <row r="172" spans="1:16">
      <c r="A172" s="64"/>
      <c r="B172" s="64"/>
      <c r="C172" s="64"/>
      <c r="D172" s="64"/>
      <c r="E172" s="64"/>
      <c r="F172" s="64"/>
      <c r="G172" s="64"/>
      <c r="H172" s="64"/>
      <c r="I172" s="64"/>
      <c r="J172" s="64"/>
      <c r="M172" s="17"/>
      <c r="P172" s="17"/>
    </row>
    <row r="173" spans="1:16">
      <c r="A173" s="64"/>
      <c r="B173" s="64"/>
      <c r="C173" s="64"/>
      <c r="D173" s="64"/>
      <c r="E173" s="64"/>
      <c r="F173" s="64"/>
      <c r="G173" s="64"/>
      <c r="H173" s="64"/>
      <c r="I173" s="64"/>
      <c r="J173" s="64"/>
      <c r="M173" s="17"/>
      <c r="P173" s="17"/>
    </row>
    <row r="174" spans="1:16">
      <c r="A174" s="64"/>
      <c r="B174" s="64"/>
      <c r="C174" s="64"/>
      <c r="D174" s="64"/>
      <c r="E174" s="64"/>
      <c r="F174" s="64"/>
      <c r="G174" s="64"/>
      <c r="H174" s="64"/>
      <c r="I174" s="64"/>
      <c r="J174" s="64"/>
      <c r="M174" s="17"/>
      <c r="P174" s="17"/>
    </row>
    <row r="175" spans="1:16">
      <c r="A175" s="64"/>
      <c r="B175" s="64"/>
      <c r="C175" s="64"/>
      <c r="D175" s="64"/>
      <c r="E175" s="64"/>
      <c r="F175" s="64"/>
      <c r="G175" s="64"/>
      <c r="H175" s="64"/>
      <c r="I175" s="64"/>
      <c r="J175" s="64"/>
      <c r="M175" s="17"/>
      <c r="P175" s="17"/>
    </row>
    <row r="176" spans="1:16">
      <c r="A176" s="64"/>
      <c r="B176" s="64"/>
      <c r="C176" s="64"/>
      <c r="D176" s="64"/>
      <c r="E176" s="64"/>
      <c r="F176" s="64"/>
      <c r="G176" s="64"/>
      <c r="H176" s="64"/>
      <c r="I176" s="64"/>
      <c r="J176" s="64"/>
      <c r="M176" s="17"/>
      <c r="P176" s="17"/>
    </row>
    <row r="177" spans="1:16">
      <c r="A177" s="64"/>
      <c r="B177" s="64"/>
      <c r="C177" s="64"/>
      <c r="D177" s="64"/>
      <c r="E177" s="64"/>
      <c r="F177" s="64"/>
      <c r="G177" s="64"/>
      <c r="H177" s="64"/>
      <c r="I177" s="64"/>
      <c r="J177" s="64"/>
      <c r="M177" s="17"/>
      <c r="P177" s="17"/>
    </row>
    <row r="178" spans="1:16">
      <c r="A178" s="64"/>
      <c r="B178" s="64"/>
      <c r="C178" s="64"/>
      <c r="D178" s="64"/>
      <c r="E178" s="64"/>
      <c r="F178" s="64"/>
      <c r="G178" s="64"/>
      <c r="H178" s="64"/>
      <c r="I178" s="64"/>
      <c r="J178" s="64"/>
      <c r="M178" s="17"/>
      <c r="P178" s="17"/>
    </row>
    <row r="179" spans="1:16">
      <c r="A179" s="64"/>
      <c r="B179" s="64"/>
      <c r="C179" s="64"/>
      <c r="D179" s="64"/>
      <c r="E179" s="64"/>
      <c r="F179" s="64"/>
      <c r="G179" s="64"/>
      <c r="H179" s="64"/>
      <c r="I179" s="64"/>
      <c r="J179" s="64"/>
      <c r="M179" s="17"/>
      <c r="P179" s="17"/>
    </row>
    <row r="180" spans="1:16">
      <c r="A180" s="64"/>
      <c r="B180" s="64"/>
      <c r="C180" s="64"/>
      <c r="D180" s="64"/>
      <c r="E180" s="64"/>
      <c r="F180" s="64"/>
      <c r="G180" s="64"/>
      <c r="H180" s="64"/>
      <c r="I180" s="64"/>
      <c r="J180" s="64"/>
      <c r="M180" s="17"/>
      <c r="P180" s="17"/>
    </row>
    <row r="181" spans="1:16">
      <c r="A181" s="64"/>
      <c r="B181" s="64"/>
      <c r="C181" s="64"/>
      <c r="D181" s="64"/>
      <c r="E181" s="64"/>
      <c r="F181" s="64"/>
      <c r="G181" s="64"/>
      <c r="H181" s="64"/>
      <c r="I181" s="64"/>
      <c r="J181" s="64"/>
      <c r="M181" s="17"/>
      <c r="P181" s="17"/>
    </row>
    <row r="182" spans="1:16">
      <c r="A182" s="64"/>
      <c r="B182" s="64"/>
      <c r="C182" s="64"/>
      <c r="D182" s="64"/>
      <c r="E182" s="64"/>
      <c r="F182" s="64"/>
      <c r="G182" s="64"/>
      <c r="H182" s="64"/>
      <c r="I182" s="64"/>
      <c r="J182" s="64"/>
      <c r="M182" s="17"/>
      <c r="P182" s="17"/>
    </row>
    <row r="183" spans="1:16">
      <c r="A183" s="64"/>
      <c r="B183" s="64"/>
      <c r="C183" s="64"/>
      <c r="D183" s="64"/>
      <c r="E183" s="64"/>
      <c r="F183" s="64"/>
      <c r="G183" s="64"/>
      <c r="H183" s="64"/>
      <c r="I183" s="64"/>
      <c r="J183" s="64"/>
      <c r="M183" s="17"/>
      <c r="P183" s="17"/>
    </row>
    <row r="184" spans="1:16">
      <c r="A184" s="64"/>
      <c r="B184" s="64"/>
      <c r="C184" s="64"/>
      <c r="D184" s="64"/>
      <c r="E184" s="64"/>
      <c r="F184" s="64"/>
      <c r="G184" s="64"/>
      <c r="H184" s="64"/>
      <c r="I184" s="64"/>
      <c r="J184" s="64"/>
      <c r="M184" s="17"/>
      <c r="P184" s="17"/>
    </row>
    <row r="185" spans="1:16">
      <c r="A185" s="64"/>
      <c r="B185" s="64"/>
      <c r="C185" s="64"/>
      <c r="D185" s="64"/>
      <c r="E185" s="64"/>
      <c r="F185" s="64"/>
      <c r="G185" s="64"/>
      <c r="H185" s="64"/>
      <c r="I185" s="64"/>
      <c r="J185" s="64"/>
      <c r="M185" s="17"/>
      <c r="P185" s="17"/>
    </row>
    <row r="186" spans="1:16">
      <c r="A186" s="64"/>
      <c r="B186" s="64"/>
      <c r="C186" s="64"/>
      <c r="D186" s="64"/>
      <c r="E186" s="64"/>
      <c r="F186" s="64"/>
      <c r="G186" s="64"/>
      <c r="H186" s="64"/>
      <c r="I186" s="64"/>
      <c r="J186" s="64"/>
      <c r="M186" s="17"/>
      <c r="P186" s="17"/>
    </row>
    <row r="187" spans="1:16">
      <c r="A187" s="64"/>
      <c r="B187" s="64"/>
      <c r="C187" s="64"/>
      <c r="D187" s="64"/>
      <c r="E187" s="64"/>
      <c r="F187" s="64"/>
      <c r="G187" s="64"/>
      <c r="H187" s="64"/>
      <c r="I187" s="64"/>
      <c r="J187" s="64"/>
      <c r="M187" s="17"/>
      <c r="P187" s="17"/>
    </row>
    <row r="188" spans="1:16">
      <c r="A188" s="64"/>
      <c r="B188" s="64"/>
      <c r="C188" s="64"/>
      <c r="D188" s="64"/>
      <c r="E188" s="64"/>
      <c r="F188" s="64"/>
      <c r="G188" s="64"/>
      <c r="H188" s="64"/>
      <c r="I188" s="64"/>
      <c r="J188" s="64"/>
      <c r="M188" s="17"/>
      <c r="P188" s="17"/>
    </row>
    <row r="189" spans="1:16">
      <c r="A189" s="64"/>
      <c r="B189" s="64"/>
      <c r="C189" s="64"/>
      <c r="D189" s="64"/>
      <c r="E189" s="64"/>
      <c r="F189" s="64"/>
      <c r="G189" s="64"/>
      <c r="H189" s="64"/>
      <c r="I189" s="64"/>
      <c r="J189" s="64"/>
      <c r="M189" s="17"/>
      <c r="P189" s="17"/>
    </row>
    <row r="190" spans="1:16">
      <c r="A190" s="64"/>
      <c r="B190" s="64"/>
      <c r="C190" s="64"/>
      <c r="D190" s="64"/>
      <c r="E190" s="64"/>
      <c r="F190" s="64"/>
      <c r="G190" s="64"/>
      <c r="H190" s="64"/>
      <c r="I190" s="64"/>
      <c r="J190" s="64"/>
      <c r="M190" s="17"/>
      <c r="P190" s="17"/>
    </row>
    <row r="191" spans="1:16">
      <c r="A191" s="64"/>
      <c r="B191" s="64"/>
      <c r="C191" s="64"/>
      <c r="D191" s="64"/>
      <c r="E191" s="64"/>
      <c r="F191" s="64"/>
      <c r="G191" s="64"/>
      <c r="H191" s="64"/>
      <c r="I191" s="64"/>
      <c r="J191" s="64"/>
      <c r="M191" s="17"/>
      <c r="P191" s="17"/>
    </row>
    <row r="192" spans="1:16">
      <c r="A192" s="64"/>
      <c r="B192" s="64"/>
      <c r="C192" s="64"/>
      <c r="D192" s="64"/>
      <c r="E192" s="64"/>
      <c r="F192" s="64"/>
      <c r="G192" s="64"/>
      <c r="H192" s="64"/>
      <c r="I192" s="64"/>
      <c r="J192" s="64"/>
      <c r="M192" s="17"/>
      <c r="P192" s="17"/>
    </row>
    <row r="193" spans="1:16">
      <c r="A193" s="64"/>
      <c r="B193" s="64"/>
      <c r="C193" s="64"/>
      <c r="D193" s="64"/>
      <c r="E193" s="64"/>
      <c r="F193" s="64"/>
      <c r="G193" s="64"/>
      <c r="H193" s="64"/>
      <c r="I193" s="64"/>
      <c r="J193" s="64"/>
      <c r="M193" s="17"/>
      <c r="P193" s="17"/>
    </row>
    <row r="194" spans="1:16">
      <c r="A194" s="64"/>
      <c r="B194" s="64"/>
      <c r="C194" s="64"/>
      <c r="D194" s="64"/>
      <c r="E194" s="64"/>
      <c r="F194" s="64"/>
      <c r="G194" s="64"/>
      <c r="H194" s="64"/>
      <c r="I194" s="64"/>
      <c r="J194" s="64"/>
      <c r="M194" s="17"/>
      <c r="P194" s="17"/>
    </row>
    <row r="195" spans="1:16">
      <c r="A195" s="64"/>
      <c r="B195" s="64"/>
      <c r="C195" s="64"/>
      <c r="D195" s="64"/>
      <c r="E195" s="64"/>
      <c r="F195" s="64"/>
      <c r="G195" s="64"/>
      <c r="H195" s="64"/>
      <c r="I195" s="64"/>
      <c r="J195" s="64"/>
      <c r="M195" s="17"/>
      <c r="P195" s="17"/>
    </row>
    <row r="196" spans="1:16">
      <c r="A196" s="64"/>
      <c r="B196" s="64"/>
      <c r="C196" s="64"/>
      <c r="D196" s="64"/>
      <c r="E196" s="64"/>
      <c r="F196" s="64"/>
      <c r="G196" s="64"/>
      <c r="H196" s="64"/>
      <c r="I196" s="64"/>
      <c r="J196" s="64"/>
      <c r="M196" s="17"/>
      <c r="P196" s="17"/>
    </row>
    <row r="197" spans="1:16">
      <c r="A197" s="64"/>
      <c r="B197" s="64"/>
      <c r="C197" s="64"/>
      <c r="D197" s="64"/>
      <c r="E197" s="64"/>
      <c r="F197" s="64"/>
      <c r="G197" s="64"/>
      <c r="H197" s="64"/>
      <c r="I197" s="64"/>
      <c r="J197" s="64"/>
      <c r="M197" s="17"/>
      <c r="P197" s="17"/>
    </row>
    <row r="198" spans="1:16">
      <c r="A198" s="64"/>
      <c r="B198" s="64"/>
      <c r="C198" s="64"/>
      <c r="D198" s="64"/>
      <c r="E198" s="64"/>
      <c r="F198" s="64"/>
      <c r="G198" s="64"/>
      <c r="H198" s="64"/>
      <c r="I198" s="64"/>
      <c r="J198" s="64"/>
      <c r="M198" s="17"/>
      <c r="P198" s="17"/>
    </row>
    <row r="199" spans="1:16">
      <c r="A199" s="64"/>
      <c r="B199" s="64"/>
      <c r="C199" s="64"/>
      <c r="D199" s="64"/>
      <c r="E199" s="64"/>
      <c r="F199" s="64"/>
      <c r="G199" s="64"/>
      <c r="H199" s="64"/>
      <c r="I199" s="64"/>
      <c r="J199" s="64"/>
      <c r="M199" s="17"/>
      <c r="P199" s="17"/>
    </row>
    <row r="200" spans="1:16">
      <c r="A200" s="64"/>
      <c r="B200" s="64"/>
      <c r="C200" s="64"/>
      <c r="D200" s="64"/>
      <c r="E200" s="64"/>
      <c r="F200" s="64"/>
      <c r="G200" s="64"/>
      <c r="H200" s="64"/>
      <c r="I200" s="64"/>
      <c r="J200" s="64"/>
      <c r="M200" s="17"/>
      <c r="P200" s="17"/>
    </row>
    <row r="201" spans="1:16">
      <c r="A201" s="64"/>
      <c r="B201" s="64"/>
      <c r="C201" s="64"/>
      <c r="D201" s="64"/>
      <c r="E201" s="64"/>
      <c r="F201" s="64"/>
      <c r="G201" s="64"/>
      <c r="H201" s="64"/>
      <c r="I201" s="64"/>
      <c r="J201" s="64"/>
      <c r="M201" s="17"/>
      <c r="P201" s="17"/>
    </row>
    <row r="202" spans="1:16">
      <c r="A202" s="64"/>
      <c r="B202" s="64"/>
      <c r="C202" s="64"/>
      <c r="D202" s="64"/>
      <c r="E202" s="64"/>
      <c r="F202" s="64"/>
      <c r="G202" s="64"/>
      <c r="H202" s="64"/>
      <c r="I202" s="64"/>
      <c r="J202" s="64"/>
      <c r="M202" s="17"/>
      <c r="P202" s="17"/>
    </row>
    <row r="203" spans="1:16">
      <c r="A203" s="64"/>
      <c r="B203" s="64"/>
      <c r="C203" s="64"/>
      <c r="D203" s="64"/>
      <c r="E203" s="64"/>
      <c r="F203" s="64"/>
      <c r="G203" s="64"/>
      <c r="H203" s="64"/>
      <c r="I203" s="64"/>
      <c r="J203" s="64"/>
      <c r="M203" s="17"/>
      <c r="P203" s="17"/>
    </row>
    <row r="204" spans="1:16">
      <c r="A204" s="64"/>
      <c r="B204" s="64"/>
      <c r="C204" s="64"/>
      <c r="D204" s="64"/>
      <c r="E204" s="64"/>
      <c r="F204" s="64"/>
      <c r="G204" s="64"/>
      <c r="H204" s="64"/>
      <c r="I204" s="64"/>
      <c r="J204" s="64"/>
      <c r="M204" s="17"/>
      <c r="P204" s="17"/>
    </row>
    <row r="205" spans="1:16">
      <c r="A205" s="64"/>
      <c r="B205" s="64"/>
      <c r="C205" s="64"/>
      <c r="D205" s="64"/>
      <c r="E205" s="64"/>
      <c r="F205" s="64"/>
      <c r="G205" s="64"/>
      <c r="H205" s="64"/>
      <c r="I205" s="64"/>
      <c r="J205" s="64"/>
      <c r="M205" s="17"/>
      <c r="P205" s="17"/>
    </row>
    <row r="206" spans="1:16">
      <c r="A206" s="64"/>
      <c r="B206" s="64"/>
      <c r="C206" s="64"/>
      <c r="D206" s="64"/>
      <c r="E206" s="64"/>
      <c r="F206" s="64"/>
      <c r="G206" s="64"/>
      <c r="H206" s="64"/>
      <c r="I206" s="64"/>
      <c r="J206" s="64"/>
      <c r="M206" s="17"/>
      <c r="P206" s="17"/>
    </row>
    <row r="207" spans="1:16">
      <c r="A207" s="64"/>
      <c r="B207" s="64"/>
      <c r="C207" s="64"/>
      <c r="D207" s="64"/>
      <c r="E207" s="64"/>
      <c r="F207" s="64"/>
      <c r="G207" s="64"/>
      <c r="H207" s="64"/>
      <c r="I207" s="64"/>
      <c r="J207" s="64"/>
      <c r="M207" s="17"/>
      <c r="P207" s="17"/>
    </row>
    <row r="208" spans="1:16">
      <c r="A208" s="64"/>
      <c r="B208" s="64"/>
      <c r="C208" s="64"/>
      <c r="D208" s="64"/>
      <c r="E208" s="64"/>
      <c r="F208" s="64"/>
      <c r="G208" s="64"/>
      <c r="H208" s="64"/>
      <c r="I208" s="64"/>
      <c r="J208" s="64"/>
      <c r="M208" s="17"/>
      <c r="P208" s="17"/>
    </row>
    <row r="209" spans="1:16">
      <c r="A209" s="64"/>
      <c r="B209" s="64"/>
      <c r="C209" s="64"/>
      <c r="D209" s="64"/>
      <c r="E209" s="64"/>
      <c r="F209" s="64"/>
      <c r="G209" s="64"/>
      <c r="H209" s="64"/>
      <c r="I209" s="64"/>
      <c r="J209" s="64"/>
      <c r="M209" s="17"/>
      <c r="P209" s="17"/>
    </row>
    <row r="210" spans="1:16">
      <c r="A210" s="64"/>
      <c r="B210" s="64"/>
      <c r="C210" s="64"/>
      <c r="D210" s="64"/>
      <c r="E210" s="64"/>
      <c r="F210" s="64"/>
      <c r="G210" s="64"/>
      <c r="H210" s="64"/>
      <c r="I210" s="64"/>
      <c r="J210" s="64"/>
      <c r="M210" s="17"/>
      <c r="P210" s="17"/>
    </row>
    <row r="211" spans="1:16">
      <c r="A211" s="64"/>
      <c r="B211" s="64"/>
      <c r="C211" s="64"/>
      <c r="D211" s="64"/>
      <c r="E211" s="64"/>
      <c r="F211" s="64"/>
      <c r="G211" s="64"/>
      <c r="H211" s="64"/>
      <c r="I211" s="64"/>
      <c r="J211" s="64"/>
      <c r="M211" s="17"/>
      <c r="P211" s="17"/>
    </row>
    <row r="212" spans="1:16">
      <c r="A212" s="64"/>
      <c r="B212" s="64"/>
      <c r="C212" s="64"/>
      <c r="D212" s="64"/>
      <c r="E212" s="64"/>
      <c r="F212" s="64"/>
      <c r="G212" s="64"/>
      <c r="H212" s="64"/>
      <c r="I212" s="64"/>
      <c r="J212" s="64"/>
      <c r="M212" s="17"/>
      <c r="P212" s="17"/>
    </row>
    <row r="213" spans="1:16">
      <c r="A213" s="64"/>
      <c r="B213" s="64"/>
      <c r="C213" s="64"/>
      <c r="D213" s="64"/>
      <c r="E213" s="64"/>
      <c r="F213" s="64"/>
      <c r="G213" s="64"/>
      <c r="H213" s="64"/>
      <c r="I213" s="64"/>
      <c r="J213" s="64"/>
      <c r="M213" s="17"/>
      <c r="P213" s="17"/>
    </row>
    <row r="214" spans="1:16">
      <c r="A214" s="64"/>
      <c r="B214" s="64"/>
      <c r="C214" s="64"/>
      <c r="D214" s="64"/>
      <c r="E214" s="64"/>
      <c r="F214" s="64"/>
      <c r="G214" s="64"/>
      <c r="H214" s="64"/>
      <c r="I214" s="64"/>
      <c r="J214" s="64"/>
      <c r="M214" s="17"/>
      <c r="P214" s="17"/>
    </row>
    <row r="215" spans="1:16">
      <c r="A215" s="64"/>
      <c r="B215" s="64"/>
      <c r="C215" s="64"/>
      <c r="D215" s="64"/>
      <c r="E215" s="64"/>
      <c r="F215" s="64"/>
      <c r="G215" s="64"/>
      <c r="H215" s="64"/>
      <c r="I215" s="64"/>
      <c r="J215" s="64"/>
      <c r="M215" s="17"/>
      <c r="P215" s="17"/>
    </row>
    <row r="216" spans="1:16">
      <c r="A216" s="64"/>
      <c r="B216" s="64"/>
      <c r="C216" s="64"/>
      <c r="D216" s="64"/>
      <c r="E216" s="64"/>
      <c r="F216" s="64"/>
      <c r="G216" s="64"/>
      <c r="H216" s="64"/>
      <c r="I216" s="64"/>
      <c r="J216" s="64"/>
      <c r="M216" s="17"/>
      <c r="P216" s="17"/>
    </row>
    <row r="217" spans="1:16">
      <c r="A217" s="64"/>
      <c r="B217" s="64"/>
      <c r="C217" s="64"/>
      <c r="D217" s="64"/>
      <c r="E217" s="64"/>
      <c r="F217" s="64"/>
      <c r="G217" s="64"/>
      <c r="H217" s="64"/>
      <c r="I217" s="64"/>
      <c r="J217" s="64"/>
      <c r="M217" s="17"/>
      <c r="P217" s="17"/>
    </row>
    <row r="218" spans="1:16">
      <c r="A218" s="64"/>
      <c r="B218" s="64"/>
      <c r="C218" s="64"/>
      <c r="D218" s="64"/>
      <c r="E218" s="64"/>
      <c r="F218" s="64"/>
      <c r="G218" s="64"/>
      <c r="H218" s="64"/>
      <c r="I218" s="64"/>
      <c r="J218" s="64"/>
      <c r="M218" s="17"/>
      <c r="P218" s="17"/>
    </row>
    <row r="219" spans="1:16">
      <c r="A219" s="64"/>
      <c r="B219" s="64"/>
      <c r="C219" s="64"/>
      <c r="D219" s="64"/>
      <c r="E219" s="64"/>
      <c r="F219" s="64"/>
      <c r="G219" s="64"/>
      <c r="H219" s="64"/>
      <c r="I219" s="64"/>
      <c r="J219" s="64"/>
      <c r="M219" s="17"/>
      <c r="P219" s="17"/>
    </row>
    <row r="220" spans="1:16">
      <c r="A220" s="64"/>
      <c r="B220" s="64"/>
      <c r="C220" s="64"/>
      <c r="D220" s="64"/>
      <c r="E220" s="64"/>
      <c r="F220" s="64"/>
      <c r="G220" s="64"/>
      <c r="H220" s="64"/>
      <c r="I220" s="64"/>
      <c r="J220" s="64"/>
      <c r="M220" s="17"/>
      <c r="P220" s="17"/>
    </row>
    <row r="221" spans="1:16">
      <c r="A221" s="64"/>
      <c r="B221" s="64"/>
      <c r="C221" s="64"/>
      <c r="D221" s="64"/>
      <c r="E221" s="64"/>
      <c r="F221" s="64"/>
      <c r="G221" s="64"/>
      <c r="H221" s="64"/>
      <c r="I221" s="64"/>
      <c r="J221" s="64"/>
      <c r="M221" s="17"/>
      <c r="P221" s="17"/>
    </row>
    <row r="222" spans="1:16">
      <c r="A222" s="64"/>
      <c r="B222" s="64"/>
      <c r="C222" s="64"/>
      <c r="D222" s="64"/>
      <c r="E222" s="64"/>
      <c r="F222" s="64"/>
      <c r="G222" s="64"/>
      <c r="H222" s="64"/>
      <c r="I222" s="64"/>
      <c r="J222" s="64"/>
      <c r="M222" s="17"/>
      <c r="P222" s="17"/>
    </row>
    <row r="223" spans="1:16">
      <c r="A223" s="64"/>
      <c r="B223" s="64"/>
      <c r="C223" s="64"/>
      <c r="D223" s="64"/>
      <c r="E223" s="64"/>
      <c r="F223" s="64"/>
      <c r="G223" s="64"/>
      <c r="H223" s="64"/>
      <c r="I223" s="64"/>
      <c r="J223" s="64"/>
      <c r="M223" s="17"/>
      <c r="P223" s="17"/>
    </row>
    <row r="224" spans="1:16">
      <c r="A224" s="64"/>
      <c r="B224" s="64"/>
      <c r="C224" s="64"/>
      <c r="D224" s="64"/>
      <c r="E224" s="64"/>
      <c r="F224" s="64"/>
      <c r="G224" s="64"/>
      <c r="H224" s="64"/>
      <c r="I224" s="64"/>
      <c r="J224" s="64"/>
      <c r="M224" s="17"/>
      <c r="P224" s="17"/>
    </row>
    <row r="225" spans="1:16">
      <c r="A225" s="64"/>
      <c r="B225" s="64"/>
      <c r="C225" s="64"/>
      <c r="D225" s="64"/>
      <c r="E225" s="64"/>
      <c r="F225" s="64"/>
      <c r="G225" s="64"/>
      <c r="H225" s="64"/>
      <c r="I225" s="64"/>
      <c r="J225" s="64"/>
      <c r="M225" s="17"/>
      <c r="P225" s="17"/>
    </row>
    <row r="226" spans="1:16">
      <c r="A226" s="64"/>
      <c r="B226" s="64"/>
      <c r="C226" s="64"/>
      <c r="D226" s="64"/>
      <c r="E226" s="64"/>
      <c r="F226" s="64"/>
      <c r="G226" s="64"/>
      <c r="H226" s="64"/>
      <c r="I226" s="64"/>
      <c r="J226" s="64"/>
      <c r="M226" s="17"/>
      <c r="P226" s="17"/>
    </row>
    <row r="227" spans="1:16">
      <c r="A227" s="64"/>
      <c r="B227" s="64"/>
      <c r="C227" s="64"/>
      <c r="D227" s="64"/>
      <c r="E227" s="64"/>
      <c r="F227" s="64"/>
      <c r="G227" s="64"/>
      <c r="H227" s="64"/>
      <c r="I227" s="64"/>
      <c r="J227" s="64"/>
      <c r="M227" s="17"/>
      <c r="P227" s="17"/>
    </row>
    <row r="228" spans="1:16">
      <c r="A228" s="64"/>
      <c r="B228" s="64"/>
      <c r="C228" s="64"/>
      <c r="D228" s="64"/>
      <c r="E228" s="64"/>
      <c r="F228" s="64"/>
      <c r="G228" s="64"/>
      <c r="H228" s="64"/>
      <c r="I228" s="64"/>
      <c r="J228" s="64"/>
      <c r="M228" s="17"/>
      <c r="P228" s="17"/>
    </row>
    <row r="229" spans="1:16">
      <c r="A229" s="64"/>
      <c r="B229" s="64"/>
      <c r="C229" s="64"/>
      <c r="D229" s="64"/>
      <c r="E229" s="64"/>
      <c r="F229" s="64"/>
      <c r="G229" s="64"/>
      <c r="H229" s="64"/>
      <c r="I229" s="64"/>
      <c r="J229" s="64"/>
      <c r="M229" s="17"/>
      <c r="P229" s="17"/>
    </row>
    <row r="230" spans="1:16">
      <c r="A230" s="64"/>
      <c r="B230" s="64"/>
      <c r="C230" s="64"/>
      <c r="D230" s="64"/>
      <c r="E230" s="64"/>
      <c r="F230" s="64"/>
      <c r="G230" s="64"/>
      <c r="H230" s="64"/>
      <c r="I230" s="64"/>
      <c r="J230" s="64"/>
      <c r="M230" s="17"/>
      <c r="P230" s="17"/>
    </row>
    <row r="231" spans="1:16">
      <c r="A231" s="64"/>
      <c r="B231" s="64"/>
      <c r="C231" s="64"/>
      <c r="D231" s="64"/>
      <c r="E231" s="64"/>
      <c r="F231" s="64"/>
      <c r="G231" s="64"/>
      <c r="H231" s="64"/>
      <c r="I231" s="64"/>
      <c r="J231" s="64"/>
      <c r="M231" s="17"/>
      <c r="P231" s="17"/>
    </row>
    <row r="232" spans="1:16">
      <c r="A232" s="64"/>
      <c r="B232" s="64"/>
      <c r="C232" s="64"/>
      <c r="D232" s="64"/>
      <c r="E232" s="64"/>
      <c r="F232" s="64"/>
      <c r="G232" s="64"/>
      <c r="H232" s="64"/>
      <c r="I232" s="64"/>
      <c r="J232" s="64"/>
      <c r="M232" s="17"/>
      <c r="P232" s="17"/>
    </row>
    <row r="233" spans="1:16">
      <c r="A233" s="64"/>
      <c r="B233" s="64"/>
      <c r="C233" s="64"/>
      <c r="D233" s="64"/>
      <c r="E233" s="64"/>
      <c r="F233" s="64"/>
      <c r="G233" s="64"/>
      <c r="H233" s="64"/>
      <c r="I233" s="64"/>
      <c r="J233" s="64"/>
      <c r="M233" s="17"/>
      <c r="P233" s="17"/>
    </row>
    <row r="234" spans="1:16">
      <c r="A234" s="64"/>
      <c r="B234" s="64"/>
      <c r="C234" s="64"/>
      <c r="D234" s="64"/>
      <c r="E234" s="64"/>
      <c r="F234" s="64"/>
      <c r="G234" s="64"/>
      <c r="H234" s="64"/>
      <c r="I234" s="64"/>
      <c r="J234" s="64"/>
      <c r="M234" s="17"/>
      <c r="P234" s="17"/>
    </row>
    <row r="235" spans="1:16">
      <c r="A235" s="64"/>
      <c r="B235" s="64"/>
      <c r="C235" s="64"/>
      <c r="D235" s="64"/>
      <c r="E235" s="64"/>
      <c r="F235" s="64"/>
      <c r="G235" s="64"/>
      <c r="H235" s="64"/>
      <c r="I235" s="64"/>
      <c r="J235" s="64"/>
      <c r="M235" s="17"/>
      <c r="P235" s="17"/>
    </row>
    <row r="236" spans="1:16">
      <c r="A236" s="64"/>
      <c r="B236" s="64"/>
      <c r="C236" s="64"/>
      <c r="D236" s="64"/>
      <c r="E236" s="64"/>
      <c r="F236" s="64"/>
      <c r="G236" s="64"/>
      <c r="H236" s="64"/>
      <c r="I236" s="64"/>
      <c r="J236" s="64"/>
      <c r="M236" s="17"/>
      <c r="P236" s="17"/>
    </row>
    <row r="237" spans="1:16">
      <c r="A237" s="64"/>
      <c r="B237" s="64"/>
      <c r="C237" s="64"/>
      <c r="D237" s="64"/>
      <c r="E237" s="64"/>
      <c r="F237" s="64"/>
      <c r="G237" s="64"/>
      <c r="H237" s="64"/>
      <c r="I237" s="64"/>
      <c r="J237" s="64"/>
      <c r="M237" s="17"/>
      <c r="P237" s="17"/>
    </row>
    <row r="238" spans="1:16">
      <c r="A238" s="64"/>
      <c r="B238" s="64"/>
      <c r="C238" s="64"/>
      <c r="D238" s="64"/>
      <c r="E238" s="64"/>
      <c r="F238" s="64"/>
      <c r="G238" s="64"/>
      <c r="H238" s="64"/>
      <c r="I238" s="64"/>
      <c r="J238" s="64"/>
      <c r="M238" s="17"/>
      <c r="P238" s="17"/>
    </row>
    <row r="239" spans="1:16">
      <c r="A239" s="64"/>
      <c r="B239" s="64"/>
      <c r="C239" s="64"/>
      <c r="D239" s="64"/>
      <c r="E239" s="64"/>
      <c r="F239" s="64"/>
      <c r="G239" s="64"/>
      <c r="H239" s="64"/>
      <c r="I239" s="64"/>
      <c r="J239" s="64"/>
      <c r="M239" s="17"/>
      <c r="P239" s="17"/>
    </row>
    <row r="240" spans="1:16">
      <c r="A240" s="64"/>
      <c r="B240" s="64"/>
      <c r="C240" s="64"/>
      <c r="D240" s="64"/>
      <c r="E240" s="64"/>
      <c r="F240" s="64"/>
      <c r="G240" s="64"/>
      <c r="H240" s="64"/>
      <c r="I240" s="64"/>
      <c r="J240" s="64"/>
      <c r="M240" s="17"/>
      <c r="P240" s="17"/>
    </row>
    <row r="241" spans="1:16">
      <c r="A241" s="64"/>
      <c r="B241" s="64"/>
      <c r="C241" s="64"/>
      <c r="D241" s="64"/>
      <c r="E241" s="64"/>
      <c r="F241" s="64"/>
      <c r="G241" s="64"/>
      <c r="H241" s="64"/>
      <c r="I241" s="64"/>
      <c r="J241" s="64"/>
      <c r="M241" s="17"/>
      <c r="P241" s="17"/>
    </row>
    <row r="242" spans="1:16">
      <c r="A242" s="64"/>
      <c r="B242" s="64"/>
      <c r="C242" s="64"/>
      <c r="D242" s="64"/>
      <c r="E242" s="64"/>
      <c r="F242" s="64"/>
      <c r="G242" s="64"/>
      <c r="H242" s="64"/>
      <c r="I242" s="64"/>
      <c r="J242" s="64"/>
      <c r="M242" s="17"/>
      <c r="P242" s="17"/>
    </row>
    <row r="243" spans="1:16">
      <c r="A243" s="64"/>
      <c r="B243" s="64"/>
      <c r="C243" s="64"/>
      <c r="D243" s="64"/>
      <c r="E243" s="64"/>
      <c r="F243" s="64"/>
      <c r="G243" s="64"/>
      <c r="H243" s="64"/>
      <c r="I243" s="64"/>
      <c r="J243" s="64"/>
      <c r="M243" s="17"/>
      <c r="P243" s="17"/>
    </row>
    <row r="244" spans="1:16">
      <c r="A244" s="64"/>
      <c r="B244" s="64"/>
      <c r="C244" s="64"/>
      <c r="D244" s="64"/>
      <c r="E244" s="64"/>
      <c r="F244" s="64"/>
      <c r="G244" s="64"/>
      <c r="H244" s="64"/>
      <c r="I244" s="64"/>
      <c r="J244" s="64"/>
      <c r="M244" s="17"/>
      <c r="P244" s="17"/>
    </row>
    <row r="245" spans="1:16">
      <c r="A245" s="64"/>
      <c r="B245" s="64"/>
      <c r="C245" s="64"/>
      <c r="D245" s="64"/>
      <c r="E245" s="64"/>
      <c r="F245" s="64"/>
      <c r="G245" s="64"/>
      <c r="H245" s="64"/>
      <c r="I245" s="64"/>
      <c r="J245" s="64"/>
      <c r="M245" s="17"/>
      <c r="P245" s="17"/>
    </row>
    <row r="246" spans="1:16">
      <c r="A246" s="64"/>
      <c r="B246" s="64"/>
      <c r="C246" s="64"/>
      <c r="D246" s="64"/>
      <c r="E246" s="64"/>
      <c r="F246" s="64"/>
      <c r="G246" s="64"/>
      <c r="H246" s="64"/>
      <c r="I246" s="64"/>
      <c r="J246" s="64"/>
      <c r="M246" s="17"/>
      <c r="P246" s="17"/>
    </row>
    <row r="247" spans="1:16">
      <c r="M247" s="17"/>
      <c r="P247" s="17"/>
    </row>
    <row r="248" spans="1:16">
      <c r="M248" s="17"/>
      <c r="P248" s="17"/>
    </row>
    <row r="249" spans="1:16">
      <c r="M249" s="17"/>
      <c r="P249" s="17"/>
    </row>
    <row r="250" spans="1:16">
      <c r="M250" s="17"/>
      <c r="P250" s="17"/>
    </row>
    <row r="251" spans="1:16">
      <c r="M251" s="17"/>
      <c r="P251" s="17"/>
    </row>
    <row r="252" spans="1:16">
      <c r="M252" s="17"/>
      <c r="P252" s="17"/>
    </row>
    <row r="253" spans="1:16">
      <c r="M253" s="17"/>
      <c r="P253" s="17"/>
    </row>
    <row r="254" spans="1:16">
      <c r="M254" s="17"/>
      <c r="P254" s="17"/>
    </row>
    <row r="255" spans="1:16">
      <c r="M255" s="17"/>
      <c r="P255" s="17"/>
    </row>
    <row r="256" spans="1:16">
      <c r="M256" s="17"/>
      <c r="P256" s="17"/>
    </row>
    <row r="257" spans="13:16">
      <c r="M257" s="17"/>
      <c r="P257" s="17"/>
    </row>
    <row r="258" spans="13:16">
      <c r="M258" s="17"/>
      <c r="P258" s="17"/>
    </row>
    <row r="259" spans="13:16">
      <c r="M259" s="17"/>
      <c r="P259" s="17"/>
    </row>
    <row r="260" spans="13:16">
      <c r="M260" s="17"/>
      <c r="P260" s="17"/>
    </row>
    <row r="261" spans="13:16">
      <c r="M261" s="17"/>
      <c r="P261" s="17"/>
    </row>
    <row r="262" spans="13:16">
      <c r="M262" s="17"/>
      <c r="P262" s="17"/>
    </row>
    <row r="263" spans="13:16">
      <c r="M263" s="17"/>
      <c r="P263" s="17"/>
    </row>
    <row r="264" spans="13:16">
      <c r="M264" s="17"/>
      <c r="P264" s="17"/>
    </row>
    <row r="265" spans="13:16">
      <c r="M265" s="17"/>
      <c r="P265" s="17"/>
    </row>
    <row r="266" spans="13:16">
      <c r="M266" s="17"/>
      <c r="P266" s="17"/>
    </row>
    <row r="267" spans="13:16">
      <c r="M267" s="17"/>
      <c r="P267" s="17"/>
    </row>
    <row r="268" spans="13:16">
      <c r="M268" s="17"/>
      <c r="P268" s="17"/>
    </row>
    <row r="269" spans="13:16">
      <c r="M269" s="17"/>
      <c r="P269" s="17"/>
    </row>
    <row r="270" spans="13:16">
      <c r="M270" s="17"/>
      <c r="P270" s="17"/>
    </row>
    <row r="271" spans="13:16">
      <c r="M271" s="17"/>
      <c r="P271" s="17"/>
    </row>
    <row r="272" spans="13:16">
      <c r="M272" s="17"/>
      <c r="P272" s="17"/>
    </row>
    <row r="273" spans="13:16">
      <c r="M273" s="17"/>
      <c r="P273" s="17"/>
    </row>
    <row r="274" spans="13:16">
      <c r="M274" s="17"/>
      <c r="P274" s="17"/>
    </row>
    <row r="275" spans="13:16">
      <c r="M275" s="17"/>
      <c r="P275" s="17"/>
    </row>
    <row r="276" spans="13:16">
      <c r="M276" s="17"/>
      <c r="P276" s="17"/>
    </row>
    <row r="277" spans="13:16">
      <c r="M277" s="17"/>
      <c r="P277" s="17"/>
    </row>
    <row r="278" spans="13:16">
      <c r="M278" s="17"/>
      <c r="P278" s="17"/>
    </row>
    <row r="279" spans="13:16">
      <c r="M279" s="17"/>
      <c r="P279" s="17"/>
    </row>
    <row r="280" spans="13:16">
      <c r="M280" s="17"/>
      <c r="P280" s="17"/>
    </row>
    <row r="281" spans="13:16">
      <c r="M281" s="17"/>
      <c r="P281" s="17"/>
    </row>
    <row r="282" spans="13:16">
      <c r="M282" s="17"/>
      <c r="P282" s="17"/>
    </row>
    <row r="283" spans="13:16">
      <c r="M283" s="17"/>
      <c r="P283" s="17"/>
    </row>
    <row r="284" spans="13:16">
      <c r="M284" s="17"/>
      <c r="P284" s="17"/>
    </row>
    <row r="285" spans="13:16">
      <c r="M285" s="17"/>
      <c r="P285" s="17"/>
    </row>
    <row r="286" spans="13:16">
      <c r="M286" s="17"/>
      <c r="P286" s="17"/>
    </row>
    <row r="287" spans="13:16">
      <c r="M287" s="17"/>
      <c r="P287" s="17"/>
    </row>
    <row r="288" spans="13:16">
      <c r="M288" s="17"/>
      <c r="P288" s="17"/>
    </row>
    <row r="289" spans="13:16">
      <c r="M289" s="17"/>
      <c r="P289" s="17"/>
    </row>
    <row r="290" spans="13:16">
      <c r="M290" s="17"/>
      <c r="P290" s="17"/>
    </row>
    <row r="291" spans="13:16">
      <c r="M291" s="17"/>
      <c r="P291" s="17"/>
    </row>
    <row r="292" spans="13:16">
      <c r="M292" s="17"/>
      <c r="P292" s="17"/>
    </row>
    <row r="293" spans="13:16">
      <c r="M293" s="17"/>
      <c r="P293" s="17"/>
    </row>
    <row r="294" spans="13:16">
      <c r="M294" s="17"/>
      <c r="P294" s="17"/>
    </row>
    <row r="295" spans="13:16">
      <c r="M295" s="17"/>
    </row>
    <row r="296" spans="13:16">
      <c r="M296" s="17"/>
    </row>
    <row r="297" spans="13:16">
      <c r="M297" s="17"/>
    </row>
    <row r="298" spans="13:16">
      <c r="M298" s="17"/>
    </row>
    <row r="299" spans="13:16">
      <c r="M299" s="17"/>
    </row>
    <row r="300" spans="13:16">
      <c r="M300" s="17"/>
    </row>
    <row r="301" spans="13:16">
      <c r="M301" s="17"/>
    </row>
    <row r="302" spans="13:16">
      <c r="M302" s="17"/>
    </row>
    <row r="303" spans="13:16">
      <c r="M303" s="17"/>
    </row>
    <row r="304" spans="13:16">
      <c r="M304" s="17"/>
    </row>
    <row r="305" spans="13:13">
      <c r="M305" s="17"/>
    </row>
    <row r="306" spans="13:13">
      <c r="M306" s="17"/>
    </row>
    <row r="307" spans="13:13">
      <c r="M307" s="17"/>
    </row>
    <row r="308" spans="13:13">
      <c r="M308" s="17"/>
    </row>
    <row r="309" spans="13:13">
      <c r="M309" s="17"/>
    </row>
    <row r="310" spans="13:13">
      <c r="M310" s="17"/>
    </row>
    <row r="311" spans="13:13">
      <c r="M311" s="17"/>
    </row>
    <row r="312" spans="13:13">
      <c r="M312" s="17"/>
    </row>
    <row r="313" spans="13:13">
      <c r="M313" s="17"/>
    </row>
    <row r="314" spans="13:13">
      <c r="M314" s="17"/>
    </row>
    <row r="315" spans="13:13">
      <c r="M315" s="17"/>
    </row>
    <row r="316" spans="13:13">
      <c r="M316" s="17"/>
    </row>
    <row r="317" spans="13:13">
      <c r="M317" s="17"/>
    </row>
    <row r="318" spans="13:13">
      <c r="M318" s="17"/>
    </row>
    <row r="319" spans="13:13">
      <c r="M319" s="17"/>
    </row>
    <row r="320" spans="13:13">
      <c r="M320" s="17"/>
    </row>
    <row r="321" spans="13:13">
      <c r="M321" s="17"/>
    </row>
    <row r="322" spans="13:13">
      <c r="M322" s="17"/>
    </row>
    <row r="323" spans="13:13">
      <c r="M323" s="17"/>
    </row>
    <row r="324" spans="13:13">
      <c r="M324" s="17"/>
    </row>
    <row r="325" spans="13:13">
      <c r="M325" s="17"/>
    </row>
    <row r="326" spans="13:13">
      <c r="M326" s="17"/>
    </row>
    <row r="327" spans="13:13">
      <c r="M327" s="17"/>
    </row>
    <row r="328" spans="13:13">
      <c r="M328" s="17"/>
    </row>
    <row r="329" spans="13:13">
      <c r="M329" s="17"/>
    </row>
    <row r="330" spans="13:13">
      <c r="M330" s="17"/>
    </row>
    <row r="331" spans="13:13">
      <c r="M331" s="17"/>
    </row>
    <row r="332" spans="13:13">
      <c r="M332" s="17"/>
    </row>
    <row r="333" spans="13:13">
      <c r="M333" s="17"/>
    </row>
    <row r="334" spans="13:13">
      <c r="M334" s="17"/>
    </row>
    <row r="335" spans="13:13">
      <c r="M335" s="17"/>
    </row>
    <row r="336" spans="13:13">
      <c r="M336" s="17"/>
    </row>
    <row r="337" spans="13:13">
      <c r="M337" s="17"/>
    </row>
    <row r="338" spans="13:13">
      <c r="M338" s="17"/>
    </row>
    <row r="339" spans="13:13">
      <c r="M339" s="17"/>
    </row>
    <row r="340" spans="13:13">
      <c r="M340" s="17"/>
    </row>
    <row r="341" spans="13:13">
      <c r="M341" s="17"/>
    </row>
    <row r="342" spans="13:13">
      <c r="M342" s="17"/>
    </row>
    <row r="343" spans="13:13">
      <c r="M343" s="17"/>
    </row>
    <row r="344" spans="13:13">
      <c r="M344" s="17"/>
    </row>
    <row r="345" spans="13:13">
      <c r="M345" s="17"/>
    </row>
    <row r="346" spans="13:13">
      <c r="M346" s="17"/>
    </row>
    <row r="347" spans="13:13">
      <c r="M347" s="17"/>
    </row>
    <row r="348" spans="13:13">
      <c r="M348" s="17"/>
    </row>
    <row r="349" spans="13:13">
      <c r="M349" s="17"/>
    </row>
    <row r="350" spans="13:13">
      <c r="M350" s="17"/>
    </row>
    <row r="351" spans="13:13">
      <c r="M351" s="17"/>
    </row>
    <row r="352" spans="13:13">
      <c r="M352" s="17"/>
    </row>
    <row r="353" spans="13:13">
      <c r="M353" s="17"/>
    </row>
    <row r="354" spans="13:13">
      <c r="M354" s="17"/>
    </row>
    <row r="355" spans="13:13">
      <c r="M355" s="17"/>
    </row>
    <row r="356" spans="13:13">
      <c r="M356" s="17"/>
    </row>
    <row r="357" spans="13:13">
      <c r="M357" s="17"/>
    </row>
    <row r="358" spans="13:13">
      <c r="M358" s="17"/>
    </row>
    <row r="359" spans="13:13">
      <c r="M359" s="17"/>
    </row>
    <row r="360" spans="13:13">
      <c r="M360" s="17"/>
    </row>
    <row r="361" spans="13:13">
      <c r="M361" s="17"/>
    </row>
    <row r="362" spans="13:13">
      <c r="M362" s="17"/>
    </row>
    <row r="363" spans="13:13">
      <c r="M363" s="17"/>
    </row>
    <row r="364" spans="13:13">
      <c r="M364" s="17"/>
    </row>
    <row r="365" spans="13:13">
      <c r="M365" s="17"/>
    </row>
    <row r="366" spans="13:13">
      <c r="M366" s="17"/>
    </row>
    <row r="367" spans="13:13">
      <c r="M367" s="17"/>
    </row>
    <row r="368" spans="13:13">
      <c r="M368" s="17"/>
    </row>
    <row r="369" spans="13:13">
      <c r="M369" s="17"/>
    </row>
    <row r="370" spans="13:13">
      <c r="M370" s="17"/>
    </row>
    <row r="371" spans="13:13">
      <c r="M371" s="17"/>
    </row>
    <row r="372" spans="13:13">
      <c r="M372" s="17"/>
    </row>
    <row r="373" spans="13:13">
      <c r="M373" s="17"/>
    </row>
    <row r="374" spans="13:13">
      <c r="M374" s="17"/>
    </row>
    <row r="375" spans="13:13">
      <c r="M375" s="17"/>
    </row>
    <row r="376" spans="13:13">
      <c r="M376" s="17"/>
    </row>
    <row r="377" spans="13:13">
      <c r="M377" s="17"/>
    </row>
    <row r="378" spans="13:13">
      <c r="M378" s="17"/>
    </row>
    <row r="379" spans="13:13">
      <c r="M379" s="17"/>
    </row>
    <row r="380" spans="13:13">
      <c r="M380" s="17"/>
    </row>
    <row r="381" spans="13:13">
      <c r="M381" s="17"/>
    </row>
    <row r="382" spans="13:13">
      <c r="M382" s="17"/>
    </row>
    <row r="383" spans="13:13">
      <c r="M383" s="17"/>
    </row>
    <row r="384" spans="13:13">
      <c r="M384" s="17"/>
    </row>
    <row r="385" spans="13:13">
      <c r="M385" s="17"/>
    </row>
    <row r="386" spans="13:13">
      <c r="M386" s="17"/>
    </row>
    <row r="387" spans="13:13">
      <c r="M387" s="17"/>
    </row>
    <row r="388" spans="13:13">
      <c r="M388" s="17"/>
    </row>
    <row r="389" spans="13:13">
      <c r="M389" s="17"/>
    </row>
    <row r="390" spans="13:13">
      <c r="M390" s="17"/>
    </row>
    <row r="391" spans="13:13">
      <c r="M391" s="17"/>
    </row>
    <row r="392" spans="13:13">
      <c r="M392" s="17"/>
    </row>
    <row r="393" spans="13:13">
      <c r="M393" s="17"/>
    </row>
    <row r="394" spans="13:13">
      <c r="M394" s="17"/>
    </row>
    <row r="395" spans="13:13">
      <c r="M395" s="17"/>
    </row>
    <row r="396" spans="13:13">
      <c r="M396" s="17"/>
    </row>
    <row r="397" spans="13:13">
      <c r="M397" s="17"/>
    </row>
    <row r="398" spans="13:13">
      <c r="M398" s="17"/>
    </row>
    <row r="399" spans="13:13">
      <c r="M399" s="17"/>
    </row>
    <row r="400" spans="13:13">
      <c r="M400" s="17"/>
    </row>
    <row r="401" spans="13:13">
      <c r="M401" s="17"/>
    </row>
    <row r="402" spans="13:13">
      <c r="M402" s="17"/>
    </row>
    <row r="403" spans="13:13">
      <c r="M403" s="17"/>
    </row>
    <row r="404" spans="13:13">
      <c r="M404" s="17"/>
    </row>
    <row r="405" spans="13:13">
      <c r="M405" s="17"/>
    </row>
    <row r="406" spans="13:13">
      <c r="M406" s="17"/>
    </row>
    <row r="407" spans="13:13">
      <c r="M407" s="17"/>
    </row>
    <row r="408" spans="13:13">
      <c r="M408" s="17"/>
    </row>
    <row r="409" spans="13:13">
      <c r="M409" s="17"/>
    </row>
    <row r="410" spans="13:13">
      <c r="M410" s="17"/>
    </row>
    <row r="411" spans="13:13">
      <c r="M411" s="17"/>
    </row>
    <row r="412" spans="13:13">
      <c r="M412" s="17"/>
    </row>
    <row r="413" spans="13:13">
      <c r="M413" s="17"/>
    </row>
    <row r="414" spans="13:13">
      <c r="M414" s="17"/>
    </row>
    <row r="415" spans="13:13">
      <c r="M415" s="17"/>
    </row>
    <row r="416" spans="13:13">
      <c r="M416" s="17"/>
    </row>
    <row r="417" spans="13:13">
      <c r="M417" s="17"/>
    </row>
    <row r="418" spans="13:13">
      <c r="M418" s="17"/>
    </row>
    <row r="419" spans="13:13">
      <c r="M419" s="17"/>
    </row>
    <row r="420" spans="13:13">
      <c r="M420" s="17"/>
    </row>
    <row r="421" spans="13:13">
      <c r="M421" s="17"/>
    </row>
    <row r="422" spans="13:13">
      <c r="M422" s="17"/>
    </row>
    <row r="423" spans="13:13">
      <c r="M423" s="17"/>
    </row>
    <row r="424" spans="13:13">
      <c r="M424" s="17"/>
    </row>
    <row r="425" spans="13:13">
      <c r="M425" s="17"/>
    </row>
    <row r="426" spans="13:13">
      <c r="M426" s="17"/>
    </row>
    <row r="427" spans="13:13">
      <c r="M427" s="17"/>
    </row>
    <row r="428" spans="13:13">
      <c r="M428" s="17"/>
    </row>
    <row r="429" spans="13:13">
      <c r="M429" s="17"/>
    </row>
    <row r="430" spans="13:13">
      <c r="M430" s="17"/>
    </row>
    <row r="431" spans="13:13">
      <c r="M431" s="17"/>
    </row>
    <row r="432" spans="13:13">
      <c r="M432" s="17"/>
    </row>
    <row r="433" spans="13:13">
      <c r="M433" s="17"/>
    </row>
    <row r="434" spans="13:13">
      <c r="M434" s="17"/>
    </row>
    <row r="435" spans="13:13">
      <c r="M435" s="17"/>
    </row>
    <row r="436" spans="13:13">
      <c r="M436" s="17"/>
    </row>
    <row r="437" spans="13:13">
      <c r="M437" s="17"/>
    </row>
    <row r="438" spans="13:13">
      <c r="M438" s="17"/>
    </row>
    <row r="439" spans="13:13">
      <c r="M439" s="17"/>
    </row>
    <row r="440" spans="13:13">
      <c r="M440" s="17"/>
    </row>
    <row r="441" spans="13:13">
      <c r="M441" s="17"/>
    </row>
    <row r="442" spans="13:13">
      <c r="M442" s="17"/>
    </row>
    <row r="443" spans="13:13">
      <c r="M443" s="17"/>
    </row>
    <row r="444" spans="13:13">
      <c r="M444" s="17"/>
    </row>
    <row r="445" spans="13:13">
      <c r="M445" s="17"/>
    </row>
    <row r="446" spans="13:13">
      <c r="M446" s="17"/>
    </row>
    <row r="447" spans="13:13">
      <c r="M447" s="17"/>
    </row>
    <row r="448" spans="13:13">
      <c r="M448" s="17"/>
    </row>
    <row r="449" spans="13:13">
      <c r="M449" s="17"/>
    </row>
    <row r="450" spans="13:13">
      <c r="M450" s="17"/>
    </row>
    <row r="451" spans="13:13">
      <c r="M451" s="17"/>
    </row>
    <row r="452" spans="13:13">
      <c r="M452" s="17"/>
    </row>
    <row r="453" spans="13:13">
      <c r="M453" s="17"/>
    </row>
    <row r="454" spans="13:13">
      <c r="M454" s="17"/>
    </row>
    <row r="455" spans="13:13">
      <c r="M455" s="17"/>
    </row>
    <row r="456" spans="13:13">
      <c r="M456" s="17"/>
    </row>
    <row r="457" spans="13:13">
      <c r="M457" s="17"/>
    </row>
    <row r="458" spans="13:13">
      <c r="M458" s="17"/>
    </row>
    <row r="459" spans="13:13">
      <c r="M459" s="17"/>
    </row>
    <row r="460" spans="13:13">
      <c r="M460" s="17"/>
    </row>
    <row r="461" spans="13:13">
      <c r="M461" s="17"/>
    </row>
    <row r="462" spans="13:13">
      <c r="M462" s="17"/>
    </row>
    <row r="463" spans="13:13">
      <c r="M463" s="17"/>
    </row>
    <row r="464" spans="13:13">
      <c r="M464" s="17"/>
    </row>
    <row r="465" spans="13:13">
      <c r="M465" s="17"/>
    </row>
    <row r="466" spans="13:13">
      <c r="M466" s="17"/>
    </row>
    <row r="467" spans="13:13">
      <c r="M467" s="17"/>
    </row>
    <row r="468" spans="13:13">
      <c r="M468" s="17"/>
    </row>
    <row r="469" spans="13:13">
      <c r="M469" s="17"/>
    </row>
    <row r="470" spans="13:13">
      <c r="M470" s="17"/>
    </row>
    <row r="471" spans="13:13">
      <c r="M471" s="17"/>
    </row>
    <row r="472" spans="13:13">
      <c r="M472" s="17"/>
    </row>
    <row r="473" spans="13:13">
      <c r="M473" s="17"/>
    </row>
    <row r="474" spans="13:13">
      <c r="M474" s="17"/>
    </row>
    <row r="475" spans="13:13">
      <c r="M475" s="17"/>
    </row>
    <row r="476" spans="13:13">
      <c r="M476" s="17"/>
    </row>
    <row r="477" spans="13:13">
      <c r="M477" s="17"/>
    </row>
    <row r="478" spans="13:13">
      <c r="M478" s="17"/>
    </row>
    <row r="479" spans="13:13">
      <c r="M479" s="17"/>
    </row>
    <row r="480" spans="13:13">
      <c r="M480" s="17"/>
    </row>
    <row r="481" spans="13:13">
      <c r="M481" s="17"/>
    </row>
    <row r="482" spans="13:13">
      <c r="M482" s="17"/>
    </row>
    <row r="483" spans="13:13">
      <c r="M483" s="17"/>
    </row>
    <row r="484" spans="13:13">
      <c r="M484" s="17"/>
    </row>
    <row r="485" spans="13:13">
      <c r="M485" s="17"/>
    </row>
    <row r="486" spans="13:13">
      <c r="M486" s="17"/>
    </row>
    <row r="487" spans="13:13">
      <c r="M487" s="17"/>
    </row>
    <row r="488" spans="13:13">
      <c r="M488" s="17"/>
    </row>
    <row r="489" spans="13:13">
      <c r="M489" s="17"/>
    </row>
    <row r="490" spans="13:13">
      <c r="M490" s="17"/>
    </row>
    <row r="491" spans="13:13">
      <c r="M491" s="17"/>
    </row>
    <row r="492" spans="13:13">
      <c r="M492" s="17"/>
    </row>
    <row r="493" spans="13:13">
      <c r="M493" s="17"/>
    </row>
    <row r="494" spans="13:13">
      <c r="M494" s="17"/>
    </row>
    <row r="495" spans="13:13">
      <c r="M495" s="17"/>
    </row>
    <row r="496" spans="13:13">
      <c r="M496" s="17"/>
    </row>
    <row r="497" spans="13:13">
      <c r="M497" s="17"/>
    </row>
    <row r="498" spans="13:13">
      <c r="M498" s="17"/>
    </row>
    <row r="499" spans="13:13">
      <c r="M499" s="17"/>
    </row>
    <row r="500" spans="13:13">
      <c r="M500" s="17"/>
    </row>
    <row r="501" spans="13:13">
      <c r="M501" s="17"/>
    </row>
    <row r="502" spans="13:13">
      <c r="M502" s="17"/>
    </row>
    <row r="503" spans="13:13">
      <c r="M503" s="17"/>
    </row>
    <row r="504" spans="13:13">
      <c r="M504" s="17"/>
    </row>
    <row r="505" spans="13:13">
      <c r="M505" s="17"/>
    </row>
    <row r="506" spans="13:13">
      <c r="M506" s="17"/>
    </row>
    <row r="507" spans="13:13">
      <c r="M507" s="17"/>
    </row>
    <row r="508" spans="13:13">
      <c r="M508" s="17"/>
    </row>
    <row r="509" spans="13:13">
      <c r="M509" s="17"/>
    </row>
    <row r="510" spans="13:13">
      <c r="M510" s="17"/>
    </row>
    <row r="511" spans="13:13">
      <c r="M511" s="17"/>
    </row>
    <row r="512" spans="13:13">
      <c r="M512" s="17"/>
    </row>
    <row r="513" spans="13:13">
      <c r="M513" s="17"/>
    </row>
    <row r="514" spans="13:13">
      <c r="M514" s="17"/>
    </row>
    <row r="515" spans="13:13">
      <c r="M515" s="17"/>
    </row>
    <row r="516" spans="13:13">
      <c r="M516" s="17"/>
    </row>
    <row r="517" spans="13:13">
      <c r="M517" s="17"/>
    </row>
    <row r="518" spans="13:13">
      <c r="M518" s="17"/>
    </row>
    <row r="519" spans="13:13">
      <c r="M519" s="17"/>
    </row>
    <row r="520" spans="13:13">
      <c r="M520" s="17"/>
    </row>
    <row r="521" spans="13:13">
      <c r="M521" s="17"/>
    </row>
    <row r="522" spans="13:13">
      <c r="M522" s="17"/>
    </row>
    <row r="523" spans="13:13">
      <c r="M523" s="17"/>
    </row>
    <row r="524" spans="13:13">
      <c r="M524" s="17"/>
    </row>
    <row r="525" spans="13:13">
      <c r="M525" s="17"/>
    </row>
    <row r="526" spans="13:13">
      <c r="M526" s="17"/>
    </row>
    <row r="527" spans="13:13">
      <c r="M527" s="17"/>
    </row>
    <row r="528" spans="13:13">
      <c r="M528" s="17"/>
    </row>
    <row r="529" spans="13:13">
      <c r="M529" s="17"/>
    </row>
    <row r="530" spans="13:13">
      <c r="M530" s="17"/>
    </row>
    <row r="531" spans="13:13">
      <c r="M531" s="17"/>
    </row>
    <row r="532" spans="13:13">
      <c r="M532" s="17"/>
    </row>
    <row r="533" spans="13:13">
      <c r="M533" s="17"/>
    </row>
    <row r="534" spans="13:13">
      <c r="M534" s="17"/>
    </row>
    <row r="535" spans="13:13">
      <c r="M535" s="17"/>
    </row>
    <row r="536" spans="13:13">
      <c r="M536" s="17"/>
    </row>
    <row r="537" spans="13:13">
      <c r="M537" s="17"/>
    </row>
    <row r="538" spans="13:13">
      <c r="M538" s="17"/>
    </row>
    <row r="539" spans="13:13">
      <c r="M539" s="17"/>
    </row>
    <row r="540" spans="13:13">
      <c r="M540" s="17"/>
    </row>
    <row r="541" spans="13:13">
      <c r="M541" s="17"/>
    </row>
    <row r="542" spans="13:13">
      <c r="M542" s="17"/>
    </row>
    <row r="543" spans="13:13">
      <c r="M543" s="17"/>
    </row>
    <row r="544" spans="13:13">
      <c r="M544" s="17"/>
    </row>
    <row r="545" spans="13:13">
      <c r="M545" s="17"/>
    </row>
    <row r="546" spans="13:13">
      <c r="M546" s="17"/>
    </row>
    <row r="547" spans="13:13">
      <c r="M547" s="17"/>
    </row>
    <row r="548" spans="13:13">
      <c r="M548" s="17"/>
    </row>
    <row r="549" spans="13:13">
      <c r="M549" s="17"/>
    </row>
    <row r="550" spans="13:13">
      <c r="M550" s="17"/>
    </row>
    <row r="551" spans="13:13">
      <c r="M551" s="17"/>
    </row>
    <row r="552" spans="13:13">
      <c r="M552" s="17"/>
    </row>
    <row r="553" spans="13:13">
      <c r="M553" s="17"/>
    </row>
    <row r="554" spans="13:13">
      <c r="M554" s="17"/>
    </row>
    <row r="555" spans="13:13">
      <c r="M555" s="17"/>
    </row>
    <row r="556" spans="13:13">
      <c r="M556" s="17"/>
    </row>
    <row r="557" spans="13:13">
      <c r="M557" s="17"/>
    </row>
    <row r="558" spans="13:13">
      <c r="M558" s="17"/>
    </row>
    <row r="559" spans="13:13">
      <c r="M559" s="17"/>
    </row>
    <row r="560" spans="13:13">
      <c r="M560" s="17"/>
    </row>
    <row r="561" spans="13:13">
      <c r="M561" s="17"/>
    </row>
    <row r="562" spans="13:13">
      <c r="M562" s="17"/>
    </row>
    <row r="563" spans="13:13">
      <c r="M563" s="17"/>
    </row>
    <row r="564" spans="13:13">
      <c r="M564" s="17"/>
    </row>
    <row r="565" spans="13:13">
      <c r="M565" s="17"/>
    </row>
    <row r="566" spans="13:13">
      <c r="M566" s="17"/>
    </row>
    <row r="567" spans="13:13">
      <c r="M567" s="17"/>
    </row>
    <row r="568" spans="13:13">
      <c r="M568" s="17"/>
    </row>
    <row r="569" spans="13:13">
      <c r="M569" s="17"/>
    </row>
    <row r="570" spans="13:13">
      <c r="M570" s="17"/>
    </row>
    <row r="571" spans="13:13">
      <c r="M571" s="17"/>
    </row>
    <row r="572" spans="13:13">
      <c r="M572" s="17"/>
    </row>
    <row r="573" spans="13:13">
      <c r="M573" s="17"/>
    </row>
    <row r="574" spans="13:13">
      <c r="M574" s="17"/>
    </row>
    <row r="575" spans="13:13">
      <c r="M575" s="17"/>
    </row>
    <row r="576" spans="13:13">
      <c r="M576" s="17"/>
    </row>
    <row r="577" spans="13:13">
      <c r="M577" s="17"/>
    </row>
    <row r="578" spans="13:13">
      <c r="M578" s="17"/>
    </row>
    <row r="579" spans="13:13">
      <c r="M579" s="17"/>
    </row>
    <row r="580" spans="13:13">
      <c r="M580" s="17"/>
    </row>
    <row r="581" spans="13:13">
      <c r="M581" s="17"/>
    </row>
    <row r="582" spans="13:13">
      <c r="M582" s="17"/>
    </row>
    <row r="583" spans="13:13">
      <c r="M583" s="17"/>
    </row>
    <row r="584" spans="13:13">
      <c r="M584" s="17"/>
    </row>
    <row r="585" spans="13:13">
      <c r="M585" s="17"/>
    </row>
    <row r="586" spans="13:13">
      <c r="M586" s="17"/>
    </row>
    <row r="587" spans="13:13">
      <c r="M587" s="17"/>
    </row>
    <row r="588" spans="13:13">
      <c r="M588" s="17"/>
    </row>
    <row r="589" spans="13:13">
      <c r="M589" s="17"/>
    </row>
    <row r="590" spans="13:13">
      <c r="M590" s="17"/>
    </row>
    <row r="591" spans="13:13">
      <c r="M591" s="17"/>
    </row>
    <row r="592" spans="13:13">
      <c r="M592" s="17"/>
    </row>
    <row r="593" spans="13:13">
      <c r="M593" s="17"/>
    </row>
    <row r="594" spans="13:13">
      <c r="M594" s="17"/>
    </row>
    <row r="595" spans="13:13">
      <c r="M595" s="17"/>
    </row>
    <row r="596" spans="13:13">
      <c r="M596" s="17"/>
    </row>
    <row r="597" spans="13:13">
      <c r="M597" s="17"/>
    </row>
    <row r="598" spans="13:13">
      <c r="M598" s="17"/>
    </row>
    <row r="599" spans="13:13">
      <c r="M599" s="17"/>
    </row>
    <row r="600" spans="13:13">
      <c r="M600" s="17"/>
    </row>
    <row r="601" spans="13:13">
      <c r="M601" s="17"/>
    </row>
    <row r="602" spans="13:13">
      <c r="M602" s="17"/>
    </row>
    <row r="603" spans="13:13">
      <c r="M603" s="17"/>
    </row>
    <row r="604" spans="13:13">
      <c r="M604" s="17"/>
    </row>
    <row r="605" spans="13:13">
      <c r="M605" s="17"/>
    </row>
    <row r="606" spans="13:13">
      <c r="M606" s="17"/>
    </row>
    <row r="607" spans="13:13">
      <c r="M607" s="17"/>
    </row>
    <row r="608" spans="13:13">
      <c r="M608" s="17"/>
    </row>
    <row r="609" spans="13:13">
      <c r="M609" s="17"/>
    </row>
    <row r="610" spans="13:13">
      <c r="M610" s="17"/>
    </row>
    <row r="611" spans="13:13">
      <c r="M611" s="17"/>
    </row>
    <row r="612" spans="13:13">
      <c r="M612" s="17"/>
    </row>
    <row r="613" spans="13:13">
      <c r="M613" s="17"/>
    </row>
    <row r="614" spans="13:13">
      <c r="M614" s="17"/>
    </row>
    <row r="615" spans="13:13">
      <c r="M615" s="17"/>
    </row>
    <row r="616" spans="13:13">
      <c r="M616" s="17"/>
    </row>
    <row r="617" spans="13:13">
      <c r="M617" s="17"/>
    </row>
    <row r="618" spans="13:13">
      <c r="M618" s="17"/>
    </row>
    <row r="619" spans="13:13">
      <c r="M619" s="17"/>
    </row>
    <row r="620" spans="13:13">
      <c r="M620" s="17"/>
    </row>
    <row r="621" spans="13:13">
      <c r="M621" s="17"/>
    </row>
    <row r="622" spans="13:13">
      <c r="M622" s="17"/>
    </row>
    <row r="623" spans="13:13">
      <c r="M623" s="17"/>
    </row>
    <row r="624" spans="13:13">
      <c r="M624" s="17"/>
    </row>
    <row r="625" spans="13:13">
      <c r="M625" s="17"/>
    </row>
    <row r="626" spans="13:13">
      <c r="M626" s="17"/>
    </row>
    <row r="627" spans="13:13">
      <c r="M627" s="17"/>
    </row>
    <row r="628" spans="13:13">
      <c r="M628" s="17"/>
    </row>
    <row r="629" spans="13:13">
      <c r="M629" s="17"/>
    </row>
    <row r="630" spans="13:13">
      <c r="M630" s="17"/>
    </row>
    <row r="631" spans="13:13">
      <c r="M631" s="17"/>
    </row>
    <row r="632" spans="13:13">
      <c r="M632" s="17"/>
    </row>
    <row r="633" spans="13:13">
      <c r="M633" s="17"/>
    </row>
    <row r="634" spans="13:13">
      <c r="M634" s="17"/>
    </row>
    <row r="635" spans="13:13">
      <c r="M635" s="17"/>
    </row>
    <row r="636" spans="13:13">
      <c r="M636" s="17"/>
    </row>
    <row r="637" spans="13:13">
      <c r="M637" s="17"/>
    </row>
    <row r="638" spans="13:13">
      <c r="M638" s="17"/>
    </row>
    <row r="639" spans="13:13">
      <c r="M639" s="17"/>
    </row>
    <row r="640" spans="13:13">
      <c r="M640" s="17"/>
    </row>
    <row r="641" spans="13:13">
      <c r="M641" s="17"/>
    </row>
    <row r="642" spans="13:13">
      <c r="M642" s="17"/>
    </row>
    <row r="643" spans="13:13">
      <c r="M643" s="17"/>
    </row>
    <row r="644" spans="13:13">
      <c r="M644" s="17"/>
    </row>
    <row r="645" spans="13:13">
      <c r="M645" s="17"/>
    </row>
    <row r="646" spans="13:13">
      <c r="M646" s="17"/>
    </row>
    <row r="647" spans="13:13">
      <c r="M647" s="17"/>
    </row>
    <row r="648" spans="13:13">
      <c r="M648" s="17"/>
    </row>
    <row r="649" spans="13:13">
      <c r="M649" s="17"/>
    </row>
    <row r="650" spans="13:13">
      <c r="M650" s="17"/>
    </row>
    <row r="651" spans="13:13">
      <c r="M651" s="17"/>
    </row>
    <row r="652" spans="13:13">
      <c r="M652" s="17"/>
    </row>
    <row r="653" spans="13:13">
      <c r="M653" s="17"/>
    </row>
    <row r="654" spans="13:13">
      <c r="M654" s="17"/>
    </row>
    <row r="655" spans="13:13">
      <c r="M655" s="17"/>
    </row>
    <row r="656" spans="13:13">
      <c r="M656" s="17"/>
    </row>
    <row r="657" spans="13:13">
      <c r="M657" s="17"/>
    </row>
    <row r="658" spans="13:13">
      <c r="M658" s="17"/>
    </row>
    <row r="659" spans="13:13">
      <c r="M659" s="17"/>
    </row>
    <row r="660" spans="13:13">
      <c r="M660" s="17"/>
    </row>
    <row r="661" spans="13:13">
      <c r="M661" s="17"/>
    </row>
    <row r="662" spans="13:13">
      <c r="M662" s="17"/>
    </row>
    <row r="663" spans="13:13">
      <c r="M663" s="17"/>
    </row>
    <row r="664" spans="13:13">
      <c r="M664" s="17"/>
    </row>
    <row r="665" spans="13:13">
      <c r="M665" s="17"/>
    </row>
    <row r="666" spans="13:13">
      <c r="M666" s="17"/>
    </row>
    <row r="667" spans="13:13">
      <c r="M667" s="17"/>
    </row>
    <row r="668" spans="13:13">
      <c r="M668" s="17"/>
    </row>
    <row r="669" spans="13:13">
      <c r="M669" s="17"/>
    </row>
    <row r="670" spans="13:13">
      <c r="M670" s="17"/>
    </row>
    <row r="671" spans="13:13">
      <c r="M671" s="17"/>
    </row>
    <row r="672" spans="13:13">
      <c r="M672" s="17"/>
    </row>
    <row r="673" spans="13:13">
      <c r="M673" s="17"/>
    </row>
    <row r="674" spans="13:13">
      <c r="M674" s="17"/>
    </row>
    <row r="675" spans="13:13">
      <c r="M675" s="17"/>
    </row>
    <row r="676" spans="13:13">
      <c r="M676" s="17"/>
    </row>
    <row r="677" spans="13:13">
      <c r="M677" s="17"/>
    </row>
    <row r="678" spans="13:13">
      <c r="M678" s="17"/>
    </row>
    <row r="679" spans="13:13">
      <c r="M679" s="17"/>
    </row>
    <row r="680" spans="13:13">
      <c r="M680" s="17"/>
    </row>
    <row r="681" spans="13:13">
      <c r="M681" s="17"/>
    </row>
    <row r="682" spans="13:13">
      <c r="M682" s="17"/>
    </row>
    <row r="683" spans="13:13">
      <c r="M683" s="17"/>
    </row>
    <row r="684" spans="13:13">
      <c r="M684" s="17"/>
    </row>
    <row r="685" spans="13:13">
      <c r="M685" s="17"/>
    </row>
    <row r="686" spans="13:13">
      <c r="M686" s="17"/>
    </row>
    <row r="687" spans="13:13">
      <c r="M687" s="17"/>
    </row>
    <row r="688" spans="13:13">
      <c r="M688" s="17"/>
    </row>
    <row r="689" spans="13:13">
      <c r="M689" s="17"/>
    </row>
    <row r="690" spans="13:13">
      <c r="M690" s="17"/>
    </row>
    <row r="691" spans="13:13">
      <c r="M691" s="17"/>
    </row>
    <row r="692" spans="13:13">
      <c r="M692" s="17"/>
    </row>
    <row r="693" spans="13:13">
      <c r="M693" s="17"/>
    </row>
    <row r="694" spans="13:13">
      <c r="M694" s="17"/>
    </row>
    <row r="695" spans="13:13">
      <c r="M695" s="17"/>
    </row>
    <row r="696" spans="13:13">
      <c r="M696" s="17"/>
    </row>
    <row r="697" spans="13:13">
      <c r="M697" s="17"/>
    </row>
    <row r="698" spans="13:13">
      <c r="M698" s="17"/>
    </row>
    <row r="699" spans="13:13">
      <c r="M699" s="17"/>
    </row>
    <row r="700" spans="13:13">
      <c r="M700" s="17"/>
    </row>
    <row r="701" spans="13:13">
      <c r="M701" s="17"/>
    </row>
    <row r="702" spans="13:13">
      <c r="M702" s="17"/>
    </row>
    <row r="703" spans="13:13">
      <c r="M703" s="17"/>
    </row>
    <row r="704" spans="13:13">
      <c r="M704" s="17"/>
    </row>
    <row r="705" spans="13:13">
      <c r="M705" s="17"/>
    </row>
    <row r="706" spans="13:13">
      <c r="M706" s="17"/>
    </row>
    <row r="707" spans="13:13">
      <c r="M707" s="17"/>
    </row>
    <row r="708" spans="13:13">
      <c r="M708" s="17"/>
    </row>
    <row r="709" spans="13:13">
      <c r="M709" s="17"/>
    </row>
    <row r="710" spans="13:13">
      <c r="M710" s="17"/>
    </row>
    <row r="711" spans="13:13">
      <c r="M711" s="17"/>
    </row>
    <row r="712" spans="13:13">
      <c r="M712" s="17"/>
    </row>
    <row r="713" spans="13:13">
      <c r="M713" s="17"/>
    </row>
    <row r="714" spans="13:13">
      <c r="M714" s="17"/>
    </row>
    <row r="715" spans="13:13">
      <c r="M715" s="17"/>
    </row>
    <row r="716" spans="13:13">
      <c r="M716" s="17"/>
    </row>
    <row r="717" spans="13:13">
      <c r="M717" s="17"/>
    </row>
    <row r="718" spans="13:13">
      <c r="M718" s="17"/>
    </row>
    <row r="719" spans="13:13">
      <c r="M719" s="17"/>
    </row>
    <row r="720" spans="13:13">
      <c r="M720" s="17"/>
    </row>
    <row r="721" spans="13:13">
      <c r="M721" s="17"/>
    </row>
    <row r="722" spans="13:13">
      <c r="M722" s="17"/>
    </row>
    <row r="723" spans="13:13">
      <c r="M723" s="17"/>
    </row>
    <row r="724" spans="13:13">
      <c r="M724" s="17"/>
    </row>
    <row r="725" spans="13:13">
      <c r="M725" s="17"/>
    </row>
    <row r="726" spans="13:13">
      <c r="M726" s="17"/>
    </row>
    <row r="727" spans="13:13">
      <c r="M727" s="17"/>
    </row>
    <row r="728" spans="13:13">
      <c r="M728" s="17"/>
    </row>
    <row r="729" spans="13:13">
      <c r="M729" s="17"/>
    </row>
    <row r="730" spans="13:13">
      <c r="M730" s="17"/>
    </row>
    <row r="731" spans="13:13">
      <c r="M731" s="17"/>
    </row>
    <row r="732" spans="13:13">
      <c r="M732" s="17"/>
    </row>
    <row r="733" spans="13:13">
      <c r="M733" s="17"/>
    </row>
    <row r="734" spans="13:13">
      <c r="M734" s="17"/>
    </row>
    <row r="735" spans="13:13">
      <c r="M735" s="17"/>
    </row>
    <row r="736" spans="13:13">
      <c r="M736" s="17"/>
    </row>
    <row r="737" spans="13:13">
      <c r="M737" s="17"/>
    </row>
    <row r="738" spans="13:13">
      <c r="M738" s="17"/>
    </row>
    <row r="739" spans="13:13">
      <c r="M739" s="17"/>
    </row>
    <row r="740" spans="13:13">
      <c r="M740" s="17"/>
    </row>
    <row r="741" spans="13:13">
      <c r="M741" s="17"/>
    </row>
    <row r="742" spans="13:13">
      <c r="M742" s="17"/>
    </row>
    <row r="743" spans="13:13">
      <c r="M743" s="17"/>
    </row>
    <row r="744" spans="13:13">
      <c r="M744" s="17"/>
    </row>
    <row r="745" spans="13:13">
      <c r="M745" s="17"/>
    </row>
    <row r="746" spans="13:13">
      <c r="M746" s="17"/>
    </row>
    <row r="747" spans="13:13">
      <c r="M747" s="17"/>
    </row>
    <row r="748" spans="13:13">
      <c r="M748" s="17"/>
    </row>
    <row r="749" spans="13:13">
      <c r="M749" s="17"/>
    </row>
    <row r="750" spans="13:13">
      <c r="M750" s="17"/>
    </row>
    <row r="751" spans="13:13">
      <c r="M751" s="17"/>
    </row>
    <row r="752" spans="13:13">
      <c r="M752" s="17"/>
    </row>
    <row r="753" spans="13:13">
      <c r="M753" s="17"/>
    </row>
    <row r="754" spans="13:13">
      <c r="M754" s="17"/>
    </row>
    <row r="755" spans="13:13">
      <c r="M755" s="17"/>
    </row>
    <row r="756" spans="13:13">
      <c r="M756" s="17"/>
    </row>
    <row r="757" spans="13:13">
      <c r="M757" s="17"/>
    </row>
    <row r="758" spans="13:13">
      <c r="M758" s="17"/>
    </row>
    <row r="759" spans="13:13">
      <c r="M759" s="17"/>
    </row>
    <row r="760" spans="13:13">
      <c r="M760" s="17"/>
    </row>
    <row r="761" spans="13:13">
      <c r="M761" s="17"/>
    </row>
    <row r="762" spans="13:13">
      <c r="M762" s="17"/>
    </row>
    <row r="763" spans="13:13">
      <c r="M763" s="17"/>
    </row>
    <row r="764" spans="13:13">
      <c r="M764" s="17"/>
    </row>
    <row r="765" spans="13:13">
      <c r="M765" s="17"/>
    </row>
    <row r="766" spans="13:13">
      <c r="M766" s="17"/>
    </row>
    <row r="767" spans="13:13">
      <c r="M767" s="17"/>
    </row>
    <row r="768" spans="13:13">
      <c r="M768" s="17"/>
    </row>
    <row r="769" spans="13:13">
      <c r="M769" s="17"/>
    </row>
    <row r="770" spans="13:13">
      <c r="M770" s="17"/>
    </row>
    <row r="771" spans="13:13">
      <c r="M771" s="17"/>
    </row>
    <row r="772" spans="13:13">
      <c r="M772" s="17"/>
    </row>
    <row r="773" spans="13:13">
      <c r="M773" s="17"/>
    </row>
    <row r="774" spans="13:13">
      <c r="M774" s="17"/>
    </row>
    <row r="775" spans="13:13">
      <c r="M775" s="17"/>
    </row>
    <row r="776" spans="13:13">
      <c r="M776" s="17"/>
    </row>
    <row r="777" spans="13:13">
      <c r="M777" s="17"/>
    </row>
    <row r="778" spans="13:13">
      <c r="M778" s="17"/>
    </row>
    <row r="779" spans="13:13">
      <c r="M779" s="17"/>
    </row>
    <row r="780" spans="13:13">
      <c r="M780" s="17"/>
    </row>
    <row r="781" spans="13:13">
      <c r="M781" s="17"/>
    </row>
    <row r="782" spans="13:13">
      <c r="M782" s="17"/>
    </row>
    <row r="783" spans="13:13">
      <c r="M783" s="17"/>
    </row>
    <row r="784" spans="13:13">
      <c r="M784" s="17"/>
    </row>
    <row r="785" spans="13:13">
      <c r="M785" s="17"/>
    </row>
    <row r="786" spans="13:13">
      <c r="M786" s="17"/>
    </row>
    <row r="787" spans="13:13">
      <c r="M787" s="17"/>
    </row>
    <row r="788" spans="13:13">
      <c r="M788" s="17"/>
    </row>
    <row r="789" spans="13:13">
      <c r="M789" s="17"/>
    </row>
    <row r="790" spans="13:13">
      <c r="M790" s="17"/>
    </row>
    <row r="791" spans="13:13">
      <c r="M791" s="17"/>
    </row>
    <row r="792" spans="13:13">
      <c r="M792" s="17"/>
    </row>
    <row r="793" spans="13:13">
      <c r="M793" s="17"/>
    </row>
    <row r="794" spans="13:13">
      <c r="M794" s="17"/>
    </row>
    <row r="795" spans="13:13">
      <c r="M795" s="17"/>
    </row>
    <row r="796" spans="13:13">
      <c r="M796" s="17"/>
    </row>
    <row r="797" spans="13:13">
      <c r="M797" s="17"/>
    </row>
    <row r="798" spans="13:13">
      <c r="M798" s="17"/>
    </row>
    <row r="799" spans="13:13">
      <c r="M799" s="17"/>
    </row>
    <row r="800" spans="13:13">
      <c r="M800" s="17"/>
    </row>
    <row r="801" spans="13:13">
      <c r="M801" s="17"/>
    </row>
    <row r="802" spans="13:13">
      <c r="M802" s="17"/>
    </row>
    <row r="803" spans="13:13">
      <c r="M803" s="17"/>
    </row>
    <row r="804" spans="13:13">
      <c r="M804" s="17"/>
    </row>
    <row r="805" spans="13:13">
      <c r="M805" s="17"/>
    </row>
    <row r="806" spans="13:13">
      <c r="M806" s="17"/>
    </row>
    <row r="807" spans="13:13">
      <c r="M807" s="17"/>
    </row>
    <row r="808" spans="13:13">
      <c r="M808" s="17"/>
    </row>
    <row r="809" spans="13:13">
      <c r="M809" s="17"/>
    </row>
    <row r="810" spans="13:13">
      <c r="M810" s="17"/>
    </row>
    <row r="811" spans="13:13">
      <c r="M811" s="17"/>
    </row>
    <row r="812" spans="13:13">
      <c r="M812" s="17"/>
    </row>
    <row r="813" spans="13:13">
      <c r="M813" s="17"/>
    </row>
    <row r="814" spans="13:13">
      <c r="M814" s="17"/>
    </row>
    <row r="815" spans="13:13">
      <c r="M815" s="17"/>
    </row>
    <row r="816" spans="13:13">
      <c r="M816" s="17"/>
    </row>
    <row r="817" spans="13:13">
      <c r="M817" s="17"/>
    </row>
    <row r="818" spans="13:13">
      <c r="M818" s="17"/>
    </row>
    <row r="819" spans="13:13">
      <c r="M819" s="17"/>
    </row>
    <row r="820" spans="13:13">
      <c r="M820" s="17"/>
    </row>
    <row r="821" spans="13:13">
      <c r="M821" s="17"/>
    </row>
    <row r="822" spans="13:13">
      <c r="M822" s="17"/>
    </row>
    <row r="823" spans="13:13">
      <c r="M823" s="17"/>
    </row>
    <row r="824" spans="13:13">
      <c r="M824" s="17"/>
    </row>
    <row r="825" spans="13:13">
      <c r="M825" s="17"/>
    </row>
    <row r="826" spans="13:13">
      <c r="M826" s="17"/>
    </row>
    <row r="827" spans="13:13">
      <c r="M827" s="17"/>
    </row>
    <row r="828" spans="13:13">
      <c r="M828" s="17"/>
    </row>
    <row r="829" spans="13:13">
      <c r="M829" s="17"/>
    </row>
    <row r="830" spans="13:13">
      <c r="M830" s="17"/>
    </row>
    <row r="831" spans="13:13">
      <c r="M831" s="17"/>
    </row>
    <row r="832" spans="13:13">
      <c r="M832" s="17"/>
    </row>
    <row r="833" spans="13:13">
      <c r="M833" s="17"/>
    </row>
    <row r="834" spans="13:13">
      <c r="M834" s="17"/>
    </row>
    <row r="835" spans="13:13">
      <c r="M835" s="17"/>
    </row>
    <row r="836" spans="13:13">
      <c r="M836" s="17"/>
    </row>
    <row r="837" spans="13:13">
      <c r="M837" s="17"/>
    </row>
    <row r="838" spans="13:13">
      <c r="M838" s="17"/>
    </row>
    <row r="839" spans="13:13">
      <c r="M839" s="17"/>
    </row>
    <row r="840" spans="13:13">
      <c r="M840" s="17"/>
    </row>
    <row r="841" spans="13:13">
      <c r="M841" s="17"/>
    </row>
    <row r="842" spans="13:13">
      <c r="M842" s="17"/>
    </row>
    <row r="843" spans="13:13">
      <c r="M843" s="17"/>
    </row>
    <row r="844" spans="13:13">
      <c r="M844" s="17"/>
    </row>
    <row r="845" spans="13:13">
      <c r="M845" s="17"/>
    </row>
    <row r="846" spans="13:13">
      <c r="M846" s="17"/>
    </row>
    <row r="847" spans="13:13">
      <c r="M847" s="17"/>
    </row>
    <row r="848" spans="13:13">
      <c r="M848" s="17"/>
    </row>
    <row r="849" spans="13:13">
      <c r="M849" s="17"/>
    </row>
    <row r="850" spans="13:13">
      <c r="M850" s="17"/>
    </row>
    <row r="851" spans="13:13">
      <c r="M851" s="17"/>
    </row>
    <row r="852" spans="13:13">
      <c r="M852" s="17"/>
    </row>
    <row r="853" spans="13:13">
      <c r="M853" s="17"/>
    </row>
    <row r="854" spans="13:13">
      <c r="M854" s="17"/>
    </row>
    <row r="855" spans="13:13">
      <c r="M855" s="17"/>
    </row>
    <row r="856" spans="13:13">
      <c r="M856" s="17"/>
    </row>
    <row r="857" spans="13:13">
      <c r="M857" s="17"/>
    </row>
    <row r="858" spans="13:13">
      <c r="M858" s="17"/>
    </row>
    <row r="859" spans="13:13">
      <c r="M859" s="17"/>
    </row>
    <row r="860" spans="13:13">
      <c r="M860" s="17"/>
    </row>
    <row r="861" spans="13:13">
      <c r="M861" s="17"/>
    </row>
    <row r="862" spans="13:13">
      <c r="M862" s="17"/>
    </row>
    <row r="863" spans="13:13">
      <c r="M863" s="17"/>
    </row>
    <row r="864" spans="13:13">
      <c r="M864" s="17"/>
    </row>
    <row r="865" spans="13:13">
      <c r="M865" s="17"/>
    </row>
    <row r="866" spans="13:13">
      <c r="M866" s="17"/>
    </row>
    <row r="867" spans="13:13">
      <c r="M867" s="17"/>
    </row>
    <row r="868" spans="13:13">
      <c r="M868" s="17"/>
    </row>
    <row r="869" spans="13:13">
      <c r="M869" s="17"/>
    </row>
    <row r="870" spans="13:13">
      <c r="M870" s="17"/>
    </row>
    <row r="871" spans="13:13">
      <c r="M871" s="17"/>
    </row>
    <row r="872" spans="13:13">
      <c r="M872" s="17"/>
    </row>
    <row r="873" spans="13:13">
      <c r="M873" s="17"/>
    </row>
    <row r="874" spans="13:13">
      <c r="M874" s="17"/>
    </row>
    <row r="875" spans="13:13">
      <c r="M875" s="17"/>
    </row>
    <row r="876" spans="13:13">
      <c r="M876" s="17"/>
    </row>
    <row r="877" spans="13:13">
      <c r="M877" s="17"/>
    </row>
    <row r="878" spans="13:13">
      <c r="M878" s="17"/>
    </row>
    <row r="879" spans="13:13">
      <c r="M879" s="17"/>
    </row>
    <row r="880" spans="13:13">
      <c r="M880" s="17"/>
    </row>
    <row r="881" spans="13:13">
      <c r="M881" s="17"/>
    </row>
    <row r="882" spans="13:13">
      <c r="M882" s="17"/>
    </row>
    <row r="883" spans="13:13">
      <c r="M883" s="17"/>
    </row>
    <row r="884" spans="13:13">
      <c r="M884" s="17"/>
    </row>
    <row r="885" spans="13:13">
      <c r="M885" s="17"/>
    </row>
    <row r="886" spans="13:13">
      <c r="M886" s="17"/>
    </row>
    <row r="887" spans="13:13">
      <c r="M887" s="17"/>
    </row>
  </sheetData>
  <mergeCells count="6">
    <mergeCell ref="DU2:EC2"/>
    <mergeCell ref="K2:P2"/>
    <mergeCell ref="Q2:AA2"/>
    <mergeCell ref="AB2:BW2"/>
    <mergeCell ref="BX2:DC2"/>
    <mergeCell ref="DG2:DT2"/>
  </mergeCells>
  <hyperlinks>
    <hyperlink ref="N4" r:id="rId1" tooltip="Persistent link using digital object identifier" display="https://doi.org/10.1016/j.palaeo.2014.04.012" xr:uid="{00000000-0004-0000-0000-000000000000}"/>
    <hyperlink ref="D4" r:id="rId2" tooltip="Persistent link using digital object identifier" display="https://doi.org/10.1016/j.palaeo.2014.04.012" xr:uid="{00000000-0004-0000-0000-000003000000}"/>
    <hyperlink ref="D5" r:id="rId3" tooltip="Persistent link using digital object identifier" display="https://doi.org/10.1016/j.palaeo.2014.04.012" xr:uid="{275F1663-4DAB-E144-95D5-DAAB630D0E58}"/>
    <hyperlink ref="D6" r:id="rId4" tooltip="Persistent link using digital object identifier" display="https://doi.org/10.1016/j.palaeo.2014.04.012" xr:uid="{03F0ECF6-C5E9-7043-94BF-C87DAF231DB9}"/>
    <hyperlink ref="D7" r:id="rId5" tooltip="Persistent link using digital object identifier" display="https://doi.org/10.1016/j.palaeo.2014.04.012" xr:uid="{64ECBFA2-BE4B-B047-8E2F-3E83346B9D9D}"/>
    <hyperlink ref="D8" r:id="rId6" tooltip="Persistent link using digital object identifier" display="https://doi.org/10.1016/j.palaeo.2014.04.012" xr:uid="{7BB44C23-A3D1-E241-BA05-252D0B6BEF17}"/>
    <hyperlink ref="D9" r:id="rId7" tooltip="Persistent link using digital object identifier" display="https://doi.org/10.1016/j.palaeo.2014.04.012" xr:uid="{52408873-ABA8-1D45-B5CF-AED02B1A273F}"/>
    <hyperlink ref="D10" r:id="rId8" tooltip="Persistent link using digital object identifier" display="https://doi.org/10.1016/j.palaeo.2014.04.012" xr:uid="{21A7F7E7-A5F8-B941-A6E1-356323159052}"/>
    <hyperlink ref="D11" r:id="rId9" tooltip="Persistent link using digital object identifier" display="https://doi.org/10.1016/j.palaeo.2014.04.012" xr:uid="{95213DCF-FA79-3144-ADEC-3F859C497DA5}"/>
    <hyperlink ref="D12" r:id="rId10" tooltip="Persistent link using digital object identifier" display="https://doi.org/10.1016/j.palaeo.2014.04.012" xr:uid="{9FEABD65-0F27-6A4F-B4C7-35661B00B1A6}"/>
    <hyperlink ref="D13" r:id="rId11" tooltip="Persistent link using digital object identifier" display="https://doi.org/10.1016/j.palaeo.2014.04.012" xr:uid="{392BA29B-A5E0-D64A-8033-F2461409AC61}"/>
    <hyperlink ref="D14" r:id="rId12" tooltip="Persistent link using digital object identifier" display="https://doi.org/10.1016/j.palaeo.2014.04.012" xr:uid="{EFEB462C-7DCB-D841-88C3-D219E0A6D2DB}"/>
    <hyperlink ref="N5" r:id="rId13" tooltip="Persistent link using digital object identifier" display="https://doi.org/10.1016/j.palaeo.2014.04.012" xr:uid="{CBCC5A08-60DB-B24F-90AE-4AA017F1B97D}"/>
    <hyperlink ref="N6" r:id="rId14" tooltip="Persistent link using digital object identifier" display="https://doi.org/10.1016/j.palaeo.2014.04.012" xr:uid="{B9808655-BF84-7C4B-B46E-5FB85D8CA4EB}"/>
    <hyperlink ref="N7" r:id="rId15" tooltip="Persistent link using digital object identifier" display="https://doi.org/10.1016/j.palaeo.2014.04.012" xr:uid="{2032F921-8D3A-9D40-9A46-BDE7A4B52F2E}"/>
    <hyperlink ref="N8" r:id="rId16" tooltip="Persistent link using digital object identifier" display="https://doi.org/10.1016/j.palaeo.2014.04.012" xr:uid="{FC589244-CB17-3341-ACDA-30B9BB2EB954}"/>
    <hyperlink ref="N9" r:id="rId17" tooltip="Persistent link using digital object identifier" display="https://doi.org/10.1016/j.palaeo.2014.04.012" xr:uid="{78ECEB05-BF6A-384C-9AB4-31971554DAB3}"/>
    <hyperlink ref="N10" r:id="rId18" tooltip="Persistent link using digital object identifier" display="https://doi.org/10.1016/j.palaeo.2014.04.012" xr:uid="{31DC1454-0253-2849-8DC2-7AB778737D0B}"/>
    <hyperlink ref="N11" r:id="rId19" tooltip="Persistent link using digital object identifier" display="https://doi.org/10.1016/j.palaeo.2014.04.012" xr:uid="{E598F5C5-56FC-464D-80E5-61EF8F9AAD85}"/>
    <hyperlink ref="N12" r:id="rId20" tooltip="Persistent link using digital object identifier" display="https://doi.org/10.1016/j.palaeo.2014.04.012" xr:uid="{5E582C46-7BC0-C240-8143-8A909D732E74}"/>
    <hyperlink ref="N13" r:id="rId21" tooltip="Persistent link using digital object identifier" display="https://doi.org/10.1016/j.palaeo.2014.04.012" xr:uid="{3F1A2CB4-A4EE-254C-8409-348843878729}"/>
    <hyperlink ref="N14" r:id="rId22" tooltip="Persistent link using digital object identifier" display="https://doi.org/10.1016/j.palaeo.2014.04.012" xr:uid="{532B63E7-AFC1-0C4F-81D8-861B56ECCCA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paleosol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2017-12-08T17:27:39Z</dcterms:created>
  <dcterms:modified xsi:type="dcterms:W3CDTF">2020-08-04T17:28:57Z</dcterms:modified>
</cp:coreProperties>
</file>