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9005B630-CBF6-2847-9EC9-63783BF8AB1D}" xr6:coauthVersionLast="47" xr6:coauthVersionMax="47" xr10:uidLastSave="{00000000-0000-0000-0000-000000000000}"/>
  <bookViews>
    <workbookView xWindow="-3320" yWindow="-18920" windowWidth="24440" windowHeight="17100" tabRatio="500" activeTab="2"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2" i="1" l="1"/>
  <c r="E11" i="1"/>
  <c r="E10" i="1"/>
  <c r="E8" i="1"/>
  <c r="E6" i="1"/>
  <c r="E5" i="1"/>
  <c r="E4" i="1"/>
  <c r="M13" i="1"/>
  <c r="M12" i="1"/>
  <c r="M11" i="1"/>
  <c r="M10" i="1"/>
  <c r="M9" i="1"/>
  <c r="M8" i="1"/>
  <c r="M7" i="1"/>
  <c r="M6" i="1"/>
  <c r="M5" i="1"/>
  <c r="M4" i="1"/>
  <c r="L4" i="1"/>
  <c r="B5" i="1"/>
  <c r="C5" i="1"/>
  <c r="D5" i="1"/>
  <c r="F5" i="1"/>
  <c r="G5" i="1"/>
  <c r="H5" i="1"/>
  <c r="I5" i="1"/>
  <c r="J5" i="1"/>
  <c r="K5" i="1"/>
  <c r="L5" i="1"/>
  <c r="B6" i="1"/>
  <c r="C6" i="1"/>
  <c r="D6" i="1"/>
  <c r="F6" i="1"/>
  <c r="G6" i="1"/>
  <c r="H6" i="1"/>
  <c r="I6" i="1"/>
  <c r="J6" i="1"/>
  <c r="K6" i="1"/>
  <c r="L6" i="1"/>
  <c r="B7" i="1"/>
  <c r="C7" i="1"/>
  <c r="D7" i="1"/>
  <c r="E7" i="1"/>
  <c r="F7" i="1"/>
  <c r="G7" i="1"/>
  <c r="H7" i="1"/>
  <c r="I7" i="1"/>
  <c r="J7" i="1"/>
  <c r="K7" i="1"/>
  <c r="L7" i="1"/>
  <c r="B8" i="1"/>
  <c r="C8" i="1"/>
  <c r="D8" i="1"/>
  <c r="F8" i="1"/>
  <c r="G8" i="1"/>
  <c r="H8" i="1"/>
  <c r="I8" i="1"/>
  <c r="J8" i="1"/>
  <c r="K8" i="1"/>
  <c r="L8" i="1"/>
  <c r="B9" i="1"/>
  <c r="C9" i="1"/>
  <c r="D9" i="1"/>
  <c r="E9" i="1"/>
  <c r="F9" i="1"/>
  <c r="G9" i="1"/>
  <c r="H9" i="1"/>
  <c r="I9" i="1"/>
  <c r="J9" i="1"/>
  <c r="K9" i="1"/>
  <c r="L9" i="1"/>
  <c r="B10" i="1"/>
  <c r="C10" i="1"/>
  <c r="D10" i="1"/>
  <c r="F10" i="1"/>
  <c r="G10" i="1"/>
  <c r="H10" i="1"/>
  <c r="I10" i="1"/>
  <c r="J10" i="1"/>
  <c r="K10" i="1"/>
  <c r="L10" i="1"/>
  <c r="B11" i="1"/>
  <c r="C11" i="1"/>
  <c r="D11" i="1"/>
  <c r="F11" i="1"/>
  <c r="G11" i="1"/>
  <c r="H11" i="1"/>
  <c r="I11" i="1"/>
  <c r="J11" i="1"/>
  <c r="K11" i="1"/>
  <c r="L11" i="1"/>
  <c r="B12" i="1"/>
  <c r="C12" i="1"/>
  <c r="D12" i="1"/>
  <c r="F12" i="1"/>
  <c r="G12" i="1"/>
  <c r="H12" i="1"/>
  <c r="I12" i="1"/>
  <c r="J12" i="1"/>
  <c r="K12" i="1"/>
  <c r="L12" i="1"/>
  <c r="B13" i="1"/>
  <c r="C13" i="1"/>
  <c r="D13" i="1"/>
  <c r="E13" i="1"/>
  <c r="F13" i="1"/>
  <c r="G13" i="1"/>
  <c r="H13" i="1"/>
  <c r="I13" i="1"/>
  <c r="J13" i="1"/>
  <c r="K13" i="1"/>
  <c r="L13" i="1"/>
  <c r="K4" i="1"/>
  <c r="B4" i="1"/>
  <c r="D4" i="1"/>
  <c r="C4" i="1"/>
  <c r="J4" i="1"/>
  <c r="I4" i="1"/>
  <c r="H4" i="1"/>
  <c r="G4" i="1"/>
  <c r="F4" i="1"/>
</calcChain>
</file>

<file path=xl/sharedStrings.xml><?xml version="1.0" encoding="utf-8"?>
<sst xmlns="http://schemas.openxmlformats.org/spreadsheetml/2006/main" count="1597" uniqueCount="531">
  <si>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</si>
  <si>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</si>
  <si>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</si>
  <si>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</si>
  <si>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</si>
  <si>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</si>
  <si>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</si>
  <si>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</si>
  <si>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</si>
  <si>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</si>
  <si>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</si>
  <si>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</si>
  <si>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</si>
  <si>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</si>
  <si>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</si>
  <si>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</si>
  <si>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</si>
  <si>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</si>
  <si>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</si>
  <si>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</si>
  <si>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</si>
  <si>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</si>
  <si>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</si>
  <si>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</si>
  <si>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</si>
  <si>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</si>
  <si>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</si>
  <si>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</si>
  <si>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</si>
  <si>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</si>
  <si>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</si>
  <si>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</si>
  <si>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</si>
  <si>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</si>
  <si>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</si>
  <si>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</si>
  <si>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</si>
  <si>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</si>
  <si>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</si>
  <si>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</si>
  <si>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</si>
  <si>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</si>
  <si>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</si>
  <si>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</si>
  <si>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</si>
  <si>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</si>
  <si>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</si>
  <si>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</si>
  <si>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</si>
  <si>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</si>
  <si>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</si>
  <si>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</si>
  <si>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</si>
  <si>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</si>
  <si>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</si>
  <si>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</si>
  <si>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</si>
  <si>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</si>
  <si>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</si>
  <si>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</si>
  <si>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</si>
  <si>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</si>
  <si>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</si>
  <si>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</si>
  <si>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</si>
  <si>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</si>
  <si>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</si>
  <si>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</si>
  <si>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</si>
  <si>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</si>
  <si>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</si>
  <si>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</si>
  <si>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</si>
  <si>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</si>
  <si>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</si>
  <si>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</si>
  <si>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</si>
  <si>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</si>
  <si>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</si>
  <si>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</si>
  <si>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</si>
  <si>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</si>
  <si>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</si>
  <si>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</si>
  <si>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</si>
  <si>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</si>
  <si>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</si>
  <si>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</si>
  <si>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</si>
  <si>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</si>
  <si>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</si>
  <si>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</si>
  <si>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</si>
  <si>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</si>
  <si>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</si>
  <si>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</si>
  <si>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</si>
  <si>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</si>
  <si>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</si>
  <si>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</si>
  <si>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</si>
  <si>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</si>
  <si>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</si>
  <si>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</si>
  <si>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</si>
  <si>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</si>
  <si>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</si>
  <si>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</si>
  <si>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</si>
  <si>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</si>
  <si>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</si>
  <si>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</si>
  <si>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</si>
  <si>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</si>
  <si>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</si>
  <si>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</si>
  <si>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</si>
  <si>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</si>
  <si>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</si>
  <si>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</si>
  <si>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</si>
  <si>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</si>
  <si>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</si>
  <si>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</si>
  <si>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</si>
  <si>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</si>
  <si>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</si>
  <si>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</si>
  <si>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</si>
  <si>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</si>
  <si>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</si>
  <si>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</si>
  <si>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</si>
  <si>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</si>
  <si>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</si>
  <si>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</si>
  <si>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</si>
  <si>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</si>
  <si>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</si>
  <si>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</si>
  <si>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</si>
  <si>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</si>
  <si>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</si>
  <si>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</si>
  <si>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</si>
  <si>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</si>
  <si>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</si>
  <si>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</si>
  <si>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</si>
  <si>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</si>
  <si>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</si>
  <si>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</si>
  <si>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</si>
  <si>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</si>
  <si>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</si>
  <si>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</si>
  <si>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</si>
  <si>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</si>
  <si>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</si>
  <si>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</si>
  <si>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</si>
  <si>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</si>
  <si>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</si>
  <si>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</si>
  <si>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</si>
  <si>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</si>
  <si>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</si>
  <si>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</si>
  <si>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</si>
  <si>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</si>
  <si>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</si>
  <si>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</si>
  <si>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</si>
  <si>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</si>
  <si>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</si>
  <si>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</si>
  <si>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</si>
  <si>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</si>
  <si>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</si>
  <si>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</si>
  <si>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</si>
  <si>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</si>
  <si>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</si>
  <si>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</si>
  <si>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</si>
  <si>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</si>
  <si>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</si>
  <si>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</si>
  <si>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</si>
  <si>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</si>
  <si>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</si>
  <si>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</si>
  <si>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</si>
  <si>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</si>
  <si>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</si>
  <si>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</si>
  <si>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</si>
  <si>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</si>
  <si>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</si>
  <si>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</si>
  <si>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</si>
  <si>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</si>
  <si>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</si>
  <si>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</si>
  <si>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</si>
  <si>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</si>
  <si>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</si>
  <si>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</si>
  <si>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</si>
  <si>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</si>
  <si>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</si>
  <si>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</si>
  <si>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</si>
  <si>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</si>
  <si>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</si>
  <si>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</si>
  <si>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</si>
  <si>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</si>
  <si>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</si>
  <si>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</si>
  <si>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</si>
  <si>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</si>
  <si>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</si>
  <si>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</si>
  <si>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</si>
  <si>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</si>
  <si>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</si>
  <si>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</si>
  <si>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</si>
  <si>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</si>
  <si>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</si>
  <si>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</si>
  <si>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</si>
  <si>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</si>
  <si>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</si>
  <si>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</si>
  <si>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</si>
  <si>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</si>
  <si>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</si>
  <si>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</si>
  <si>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</si>
  <si>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</si>
  <si>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</si>
  <si>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</si>
  <si>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</si>
  <si>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</si>
  <si>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</si>
  <si>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</si>
  <si>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</si>
  <si>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</si>
  <si>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</si>
  <si>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</si>
  <si>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</si>
  <si>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</si>
  <si>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</si>
  <si>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</si>
  <si>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</si>
  <si>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</si>
  <si>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</si>
  <si>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</si>
  <si>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</si>
  <si>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</si>
  <si>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</si>
  <si>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</si>
  <si>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</si>
  <si>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</si>
  <si>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</si>
  <si>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</si>
  <si>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</si>
  <si>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</si>
  <si>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</si>
  <si>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</si>
  <si>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</si>
  <si>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</si>
  <si>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</si>
  <si>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</si>
  <si>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</si>
  <si>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</si>
  <si>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</si>
  <si>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</si>
  <si>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</si>
  <si>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</si>
  <si>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</si>
  <si>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</si>
  <si>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</si>
  <si>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</si>
  <si>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</si>
  <si>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</si>
  <si>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</si>
  <si>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</si>
  <si>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</si>
  <si>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</si>
  <si>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</si>
  <si>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</si>
  <si>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</si>
  <si>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</si>
  <si>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</si>
  <si>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</si>
  <si>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</si>
  <si>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</si>
  <si>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</si>
  <si>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</si>
  <si>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</si>
  <si>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</si>
  <si>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</si>
  <si>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</si>
  <si>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</si>
  <si>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</si>
  <si>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</si>
  <si>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</si>
  <si>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</si>
  <si>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</si>
  <si>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</si>
  <si>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</si>
  <si>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</si>
  <si>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</si>
  <si>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</si>
  <si>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</si>
  <si>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</si>
  <si>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</si>
  <si>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</si>
  <si>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</si>
  <si>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</si>
  <si>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</si>
  <si>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</si>
  <si>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</si>
  <si>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</si>
  <si>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</si>
  <si>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</si>
  <si>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</si>
  <si>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</si>
  <si>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</si>
  <si>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</si>
  <si>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</si>
  <si>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</si>
  <si>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</si>
  <si>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</si>
  <si>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</si>
  <si>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</si>
  <si>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</si>
  <si>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</si>
  <si>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</si>
  <si>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</si>
  <si>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</si>
  <si>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</si>
  <si>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</si>
  <si>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</si>
  <si>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</si>
  <si>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</si>
  <si>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</si>
  <si>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</si>
  <si>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</si>
  <si>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</si>
  <si>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</si>
  <si>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</si>
  <si>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</si>
  <si>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</si>
  <si>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</si>
  <si>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</si>
  <si>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</si>
  <si>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</si>
  <si>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</si>
  <si>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</si>
  <si>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</si>
  <si>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</si>
  <si>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</si>
  <si>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</si>
  <si>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</si>
  <si>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</si>
  <si>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</si>
  <si>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</si>
  <si>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</si>
  <si>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</si>
  <si>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</si>
  <si>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</si>
  <si>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</si>
  <si>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</si>
  <si>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</si>
  <si>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</si>
  <si>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</si>
  <si>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</si>
  <si>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</si>
  <si>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</si>
  <si>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</si>
  <si>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</si>
  <si>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</si>
  <si>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</si>
  <si>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</si>
  <si>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</si>
  <si>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</si>
  <si>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</si>
  <si>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</si>
  <si>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</si>
  <si>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</si>
  <si>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</si>
  <si>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</si>
  <si>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</si>
  <si>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</si>
  <si>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</si>
  <si>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</si>
  <si>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</si>
  <si>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</si>
  <si>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</si>
  <si>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</si>
  <si>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</si>
  <si>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</si>
  <si>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</si>
  <si>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</si>
  <si>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</si>
  <si>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</si>
  <si>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</si>
  <si>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</si>
  <si>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</si>
  <si>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</si>
  <si>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</si>
  <si>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</si>
  <si>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</si>
  <si>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</si>
  <si>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</si>
  <si>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</si>
  <si>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</si>
  <si>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</si>
  <si>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</si>
  <si>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</si>
  <si>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</si>
  <si>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</si>
  <si>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</si>
  <si>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</si>
  <si>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</si>
  <si>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</si>
  <si>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</si>
  <si>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</si>
  <si>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</si>
  <si>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</si>
  <si>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</si>
  <si>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</si>
  <si>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</si>
  <si>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</si>
  <si>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</si>
  <si>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</si>
  <si>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</si>
  <si>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</si>
  <si>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</si>
  <si>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</si>
  <si>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</si>
  <si>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</si>
  <si>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</si>
  <si>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</si>
  <si>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</si>
  <si>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</si>
  <si>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</si>
  <si>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</si>
  <si>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</si>
  <si>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</si>
  <si>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</si>
  <si>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</si>
  <si>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</si>
  <si>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</si>
  <si>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</si>
  <si>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</si>
  <si>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</si>
  <si>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</si>
  <si>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</si>
  <si>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</si>
  <si>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</si>
  <si>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</si>
  <si>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</si>
  <si>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</si>
  <si>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</si>
  <si>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</si>
  <si>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</si>
  <si>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</si>
  <si>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</si>
  <si>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</si>
  <si>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</si>
  <si>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</si>
  <si>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</si>
  <si>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</si>
  <si>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</si>
  <si>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</si>
  <si>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</si>
  <si>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</si>
  <si>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</si>
  <si>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</si>
  <si>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</si>
  <si>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</si>
  <si>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Hyland</t>
  </si>
  <si>
    <t>Hyland E G, Sheldon N D. Coupled CO2-climate response during the early Eocene climatic optimum[J]. Palaeogeography, Palaeoclimatology, Palaeoecology, 2013, 369: 125-135.</t>
  </si>
  <si>
    <t>HB162</t>
  </si>
  <si>
    <t>from d13C  values of marine carbonates (e.g. following Passey et al 2002 or Tipple et al. 2011</t>
  </si>
  <si>
    <t>from d13C  values of marine carbonates (e.g. following Passey et al 2002 or Tipple et al. 2012</t>
  </si>
  <si>
    <t>from d13C  values of marine carbonates (e.g. following Passey et al 2002 or Tipple et al. 2013</t>
  </si>
  <si>
    <t>from d13C  values of marine carbonates (e.g. following Passey et al 2002 or Tipple et al. 2014</t>
  </si>
  <si>
    <t>from d13C  values of marine carbonates (e.g. following Passey et al 2002 or Tipple et al. 2015</t>
  </si>
  <si>
    <t>from d13C  values of marine carbonates (e.g. following Passey et al 2002 or Tipple et al. 2016</t>
  </si>
  <si>
    <t>from d13C  values of marine carbonates (e.g. following Passey et al 2002 or Tipple et al. 2017</t>
  </si>
  <si>
    <t>from d13C  values of marine carbonates (e.g. following Passey et al 2002 or Tipple et al. 2018</t>
  </si>
  <si>
    <t>from d13C  values of marine carbonates (e.g. following Passey et al 2002 or Tipple et al. 2019</t>
  </si>
  <si>
    <t>Yes</t>
  </si>
  <si>
    <t>δ13Cc, δ13Co, T, S(z)</t>
  </si>
  <si>
    <t>Gaussian error propagation</t>
  </si>
  <si>
    <t>HB1</t>
  </si>
  <si>
    <t>HB2</t>
  </si>
  <si>
    <t>late Chron 23r</t>
  </si>
  <si>
    <t>early Chron 22n</t>
  </si>
  <si>
    <t>Clyde W C, Sheldon N D, Koch P L, et al. Linking the Wasatchian/Bridgerian boundary to the Cenozoic Global Climate Optimum: new magnetostratigraphic and isotopic results from South Pass, Wyoming[J]. Palaeogeography, Palaeoclimatology, Palaeoecology, 2001, 167(1-2): 175-199.</t>
  </si>
  <si>
    <t>10.1016/j.palaeo.2012.10.011</t>
  </si>
  <si>
    <t>paleosol</t>
  </si>
  <si>
    <t>HB-109</t>
  </si>
  <si>
    <t>HB-18</t>
  </si>
  <si>
    <t>HB-128C</t>
  </si>
  <si>
    <t>HB-129</t>
  </si>
  <si>
    <t>HB-30</t>
  </si>
  <si>
    <t>D-20</t>
  </si>
  <si>
    <t>HB-47</t>
  </si>
  <si>
    <t>HB-81</t>
  </si>
  <si>
    <t>HB-187</t>
  </si>
  <si>
    <t>Wasatch Fm. (CBM)</t>
  </si>
  <si>
    <t>Hyland &amp; Sheldon, 2013</t>
  </si>
  <si>
    <t>not reported</t>
  </si>
  <si>
    <t>~1200</t>
  </si>
  <si>
    <t>Hyland &amp; Sheldon, 2013; Retallack, 2009</t>
  </si>
  <si>
    <t>regression error for temperature versus d18O values of modern soil carbonates</t>
  </si>
  <si>
    <t>1se</t>
  </si>
  <si>
    <t>regression error for S(z) versus MAP</t>
  </si>
  <si>
    <t>Alfisol</t>
  </si>
  <si>
    <t>Inceptisol</t>
  </si>
  <si>
    <t>A</t>
  </si>
  <si>
    <t>10-30cm</t>
  </si>
  <si>
    <t>XRF (major elements)</t>
  </si>
  <si>
    <t>The gaussian error propagation equation used was not correct (equation updated by Breecker and Retallack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</si>
</sst>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3">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4" xfId="0" applyBorder="1"/>
    <xf numFmtId="0" fontId="23" fillId="0" borderId="0" xfId="0" applyFont="1"/>
    <xf numFmtId="0" fontId="0" fillId="0" borderId="25" xfId="0" applyBorder="1"/>
    <xf numFmtId="0" fontId="36" fillId="0" borderId="24" xfId="0" applyFont="1" applyBorder="1"/>
    <xf numFmtId="0" fontId="39"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30" xfId="0" applyFont="1" applyBorder="1" applyAlignment="1">
      <alignment vertical="center" wrapText="1"/>
    </xf>
    <xf numFmtId="0" fontId="39" fillId="0" borderId="18" xfId="0" applyFont="1" applyBorder="1" applyAlignment="1">
      <alignment horizontal="center"/>
    </xf>
    <xf numFmtId="0" fontId="0" fillId="4" borderId="32" xfId="0" applyFill="1" applyBorder="1"/>
    <xf numFmtId="0" fontId="42" fillId="4" borderId="26" xfId="0" applyFont="1" applyFill="1" applyBorder="1"/>
    <xf numFmtId="0" fontId="42" fillId="0" borderId="25" xfId="0" applyFont="1" applyBorder="1"/>
    <xf numFmtId="0" fontId="42" fillId="4" borderId="27"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11" fillId="4" borderId="28" xfId="9" applyFill="1" applyBorder="1"/>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xf numFmtId="0" fontId="46" fillId="0" borderId="21" xfId="0" applyFont="1" applyBorder="1" applyAlignment="1">
      <alignment horizontal="left" wrapText="1"/>
    </xf>
    <xf numFmtId="0" fontId="46" fillId="0" borderId="22" xfId="0" applyFont="1" applyBorder="1" applyAlignment="1">
      <alignment horizontal="left" wrapText="1"/>
    </xf>
    <xf numFmtId="0" fontId="46" fillId="0" borderId="23" xfId="0" applyFont="1" applyBorder="1" applyAlignment="1">
      <alignment horizontal="left" wrapText="1"/>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oi.org/10.1016/j.palaeo.2012.10.011" TargetMode="External"/><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opLeftCell="EW2" zoomScaleNormal="100" workbookViewId="0">
      <selection activeCell="FF7" sqref="FF7"/>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5" t="s">
        <v>0</v>
      </c>
      <c r="L1" s="145"/>
      <c r="M1" s="145"/>
      <c r="N1" s="145"/>
      <c r="O1" s="145"/>
      <c r="P1" s="146" t="s">
        <v>1</v>
      </c>
      <c r="Q1" s="146"/>
      <c r="R1" s="146"/>
      <c r="S1" s="146"/>
      <c r="T1" s="146"/>
      <c r="U1" s="146"/>
      <c r="V1" s="146"/>
      <c r="W1" s="146"/>
      <c r="X1" s="146"/>
      <c r="Y1" s="146"/>
      <c r="Z1" s="146"/>
      <c r="AA1" s="146"/>
      <c r="AB1" s="146"/>
      <c r="AC1" s="146"/>
      <c r="AD1" s="146"/>
      <c r="AE1" s="46"/>
      <c r="AF1" s="25"/>
      <c r="AG1" s="147" t="s">
        <v>2</v>
      </c>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c r="BG1" s="148"/>
      <c r="BH1" s="148"/>
      <c r="BI1" s="148"/>
      <c r="BJ1" s="148"/>
      <c r="BK1" s="148"/>
      <c r="BL1" s="148"/>
      <c r="BM1" s="148"/>
      <c r="BN1" s="148"/>
      <c r="BO1" s="148"/>
      <c r="BP1" s="148"/>
      <c r="BQ1" s="148"/>
      <c r="BR1" s="148"/>
      <c r="BS1" s="148"/>
      <c r="BT1" s="148"/>
      <c r="BU1" s="148"/>
      <c r="BV1" s="148"/>
      <c r="BW1" s="148"/>
      <c r="BX1" s="149"/>
      <c r="BY1" s="150" t="s">
        <v>3</v>
      </c>
      <c r="BZ1" s="151"/>
      <c r="CA1" s="151"/>
      <c r="CB1" s="151"/>
      <c r="CC1" s="151"/>
      <c r="CD1" s="151"/>
      <c r="CE1" s="151"/>
      <c r="CF1" s="151"/>
      <c r="CG1" s="151"/>
      <c r="CH1" s="151"/>
      <c r="CI1" s="151"/>
      <c r="CJ1" s="151"/>
      <c r="CK1" s="151"/>
      <c r="CL1" s="151"/>
      <c r="CM1" s="151"/>
      <c r="CN1" s="151"/>
      <c r="CO1" s="151"/>
      <c r="CP1" s="151"/>
      <c r="CQ1" s="151"/>
      <c r="CR1" s="151"/>
      <c r="CS1" s="151"/>
      <c r="CT1" s="151"/>
      <c r="CU1" s="151"/>
      <c r="CV1" s="151"/>
      <c r="CW1" s="151"/>
      <c r="CX1" s="151"/>
      <c r="CY1" s="151"/>
      <c r="CZ1" s="151"/>
      <c r="DA1" s="151"/>
      <c r="DB1" s="151"/>
      <c r="DC1" s="151"/>
      <c r="DD1" s="151"/>
      <c r="DE1" s="151"/>
      <c r="DF1" s="151"/>
      <c r="DG1" s="151"/>
      <c r="DH1" s="151"/>
      <c r="DI1" s="151"/>
      <c r="DJ1" s="151"/>
      <c r="DK1" s="151"/>
      <c r="DL1" s="151"/>
      <c r="DM1" s="151"/>
      <c r="DN1" s="151"/>
      <c r="DO1" s="151"/>
      <c r="DP1" s="151"/>
      <c r="DQ1" s="10"/>
      <c r="DR1" s="10"/>
      <c r="DS1" s="10"/>
      <c r="DT1" s="10"/>
      <c r="DU1" s="152" t="s">
        <v>469</v>
      </c>
      <c r="DV1" s="153"/>
      <c r="DW1" s="153"/>
      <c r="DX1" s="153"/>
      <c r="DY1" s="153"/>
      <c r="DZ1" s="153"/>
      <c r="EA1" s="153"/>
      <c r="EB1" s="153"/>
      <c r="EC1" s="153"/>
      <c r="ED1" s="153"/>
      <c r="EE1" s="153"/>
      <c r="EF1" s="153"/>
      <c r="EG1" s="153"/>
      <c r="EH1" s="153"/>
      <c r="EI1" s="153"/>
      <c r="EJ1" s="153"/>
      <c r="EK1" s="153"/>
      <c r="EL1" s="153"/>
      <c r="EM1" s="153"/>
      <c r="EN1" s="153"/>
      <c r="EO1" s="153"/>
      <c r="EP1" s="153"/>
      <c r="EQ1" s="13"/>
      <c r="ER1" s="48"/>
      <c r="ES1" s="13"/>
      <c r="ET1" s="13"/>
      <c r="EU1" s="13"/>
      <c r="EV1" s="13"/>
      <c r="EW1" s="143" t="s">
        <v>4</v>
      </c>
      <c r="EX1" s="144"/>
      <c r="EY1" s="144"/>
      <c r="EZ1" s="144"/>
      <c r="FA1" s="144"/>
      <c r="FB1" s="144"/>
      <c r="FC1" s="144"/>
      <c r="FD1" s="144"/>
      <c r="FE1" s="144"/>
      <c r="FF1" s="37"/>
    </row>
    <row r="2" spans="1:162" s="19" customFormat="1" ht="169" customHeight="1" x14ac:dyDescent="0.25">
      <c r="A2" s="24"/>
      <c r="B2" s="140" t="s">
        <v>477</v>
      </c>
      <c r="C2" s="141"/>
      <c r="D2" s="142"/>
      <c r="E2" s="137" t="s">
        <v>476</v>
      </c>
      <c r="F2" s="138"/>
      <c r="G2" s="138"/>
      <c r="H2" s="138"/>
      <c r="I2" s="138"/>
      <c r="J2" s="139"/>
      <c r="K2" s="140" t="s">
        <v>477</v>
      </c>
      <c r="L2" s="141"/>
      <c r="M2" s="142"/>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2" t="s">
        <v>25</v>
      </c>
      <c r="F3" s="133" t="s">
        <v>472</v>
      </c>
      <c r="G3" s="133" t="s">
        <v>473</v>
      </c>
      <c r="H3" s="134" t="s">
        <v>27</v>
      </c>
      <c r="I3" s="133" t="s">
        <v>474</v>
      </c>
      <c r="J3" s="133"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507</v>
      </c>
      <c r="B4" s="50" t="str">
        <f>'Start here when entering data'!$D$11</f>
        <v>Hyland</v>
      </c>
      <c r="C4" s="50">
        <f>'Start here when entering data'!$D$12</f>
        <v>2013</v>
      </c>
      <c r="D4" s="3" t="str">
        <f>'Start here when entering data'!$D$13</f>
        <v>10.1016/j.palaeo.2012.10.011</v>
      </c>
      <c r="E4" s="75">
        <f>IF( Z4="NA","NA",Z4*1000)</f>
        <v>52000</v>
      </c>
      <c r="F4" s="75">
        <f>IF( AA4="NA","NA",AA4*1000)</f>
        <v>200</v>
      </c>
      <c r="G4" s="51">
        <f>IF( AB4="NA","NA",AB4*1000)</f>
        <v>200</v>
      </c>
      <c r="H4" s="84">
        <f>IF(EX4="NA",EW4,EX4)</f>
        <v>270</v>
      </c>
      <c r="I4" s="84">
        <f>IF( EY4="NA","NA",EY4)</f>
        <v>74</v>
      </c>
      <c r="J4" s="84">
        <f>IF( EZ4="NA","NA",EZ4)</f>
        <v>74</v>
      </c>
      <c r="K4" s="85" t="str">
        <f>'Start here when entering data'!$D$8</f>
        <v>Jiawei Da</v>
      </c>
      <c r="L4" s="35" t="str">
        <f>'Start here when entering data'!$D$9</f>
        <v>jiawei@utexas.edu</v>
      </c>
      <c r="M4" s="86" t="str">
        <f>'Start here when entering data'!$D$14</f>
        <v>Hyland E G, Sheldon N D. Coupled CO2-climate response during the early Eocene climatic optimum[J]. Palaeogeography, Palaeoclimatology, Palaeoecology, 2013, 369: 125-135.</v>
      </c>
      <c r="N4" s="122" t="s">
        <v>26</v>
      </c>
      <c r="O4" s="122" t="s">
        <v>26</v>
      </c>
      <c r="P4" s="123" t="s">
        <v>508</v>
      </c>
      <c r="Q4" s="123" t="s">
        <v>517</v>
      </c>
      <c r="R4" s="123">
        <v>42.2179</v>
      </c>
      <c r="S4" s="123">
        <v>-108.545</v>
      </c>
      <c r="T4" s="123" t="s">
        <v>26</v>
      </c>
      <c r="U4" s="123" t="s">
        <v>26</v>
      </c>
      <c r="V4" s="123" t="s">
        <v>26</v>
      </c>
      <c r="W4" s="123" t="s">
        <v>26</v>
      </c>
      <c r="X4" s="123" t="s">
        <v>26</v>
      </c>
      <c r="Y4" s="124">
        <v>2.5</v>
      </c>
      <c r="Z4" s="125">
        <v>52</v>
      </c>
      <c r="AA4" s="125">
        <v>0.2</v>
      </c>
      <c r="AB4" s="125">
        <v>0.2</v>
      </c>
      <c r="AC4" s="125" t="s">
        <v>26</v>
      </c>
      <c r="AD4" s="125" t="s">
        <v>26</v>
      </c>
      <c r="AE4" s="123" t="s">
        <v>26</v>
      </c>
      <c r="AF4" s="123" t="s">
        <v>26</v>
      </c>
      <c r="AG4" s="126">
        <v>-6.5</v>
      </c>
      <c r="AH4" s="126">
        <v>0.7</v>
      </c>
      <c r="AI4" s="126">
        <v>3</v>
      </c>
      <c r="AJ4" s="126" t="s">
        <v>518</v>
      </c>
      <c r="AK4" s="126" t="s">
        <v>26</v>
      </c>
      <c r="AL4" s="126" t="s">
        <v>26</v>
      </c>
      <c r="AM4" s="126" t="s">
        <v>26</v>
      </c>
      <c r="AN4" s="126">
        <v>-21.7</v>
      </c>
      <c r="AO4" s="126">
        <v>0.1</v>
      </c>
      <c r="AP4" s="126">
        <v>2</v>
      </c>
      <c r="AQ4" s="126" t="s">
        <v>518</v>
      </c>
      <c r="AR4" s="126" t="s">
        <v>26</v>
      </c>
      <c r="AS4" s="126" t="s">
        <v>26</v>
      </c>
      <c r="AT4" s="126" t="s">
        <v>26</v>
      </c>
      <c r="AU4" s="126" t="s">
        <v>26</v>
      </c>
      <c r="AV4" s="126">
        <v>-5.67</v>
      </c>
      <c r="AW4" s="126" t="s">
        <v>519</v>
      </c>
      <c r="AX4" s="126" t="s">
        <v>519</v>
      </c>
      <c r="AY4" s="126" t="s">
        <v>26</v>
      </c>
      <c r="AZ4" s="126">
        <v>40</v>
      </c>
      <c r="BA4" s="126" t="s">
        <v>520</v>
      </c>
      <c r="BB4" s="126" t="s">
        <v>26</v>
      </c>
      <c r="BC4" s="126" t="s">
        <v>26</v>
      </c>
      <c r="BD4" s="126" t="s">
        <v>26</v>
      </c>
      <c r="BE4" s="126" t="s">
        <v>26</v>
      </c>
      <c r="BF4" s="126" t="s">
        <v>26</v>
      </c>
      <c r="BG4" s="126" t="s">
        <v>26</v>
      </c>
      <c r="BH4" s="126" t="s">
        <v>26</v>
      </c>
      <c r="BI4" s="126" t="s">
        <v>26</v>
      </c>
      <c r="BJ4" s="126" t="s">
        <v>26</v>
      </c>
      <c r="BK4" s="126" t="s">
        <v>26</v>
      </c>
      <c r="BL4" s="126" t="s">
        <v>26</v>
      </c>
      <c r="BM4" s="126" t="s">
        <v>26</v>
      </c>
      <c r="BN4" s="126" t="s">
        <v>26</v>
      </c>
      <c r="BO4" s="126" t="s">
        <v>26</v>
      </c>
      <c r="BP4" s="126" t="s">
        <v>26</v>
      </c>
      <c r="BQ4" s="126" t="s">
        <v>26</v>
      </c>
      <c r="BR4" s="126" t="s">
        <v>26</v>
      </c>
      <c r="BS4" s="126" t="s">
        <v>26</v>
      </c>
      <c r="BT4" s="126" t="s">
        <v>26</v>
      </c>
      <c r="BU4" s="126" t="s">
        <v>26</v>
      </c>
      <c r="BV4" s="126" t="s">
        <v>26</v>
      </c>
      <c r="BW4" s="126" t="s">
        <v>26</v>
      </c>
      <c r="BX4" s="126">
        <v>0</v>
      </c>
      <c r="BY4" s="127">
        <v>-21.7</v>
      </c>
      <c r="BZ4" s="127" t="s">
        <v>324</v>
      </c>
      <c r="CA4" s="127" t="s">
        <v>521</v>
      </c>
      <c r="CB4" s="127" t="s">
        <v>26</v>
      </c>
      <c r="CC4" s="127" t="s">
        <v>26</v>
      </c>
      <c r="CD4" s="127" t="s">
        <v>26</v>
      </c>
      <c r="CE4" s="127" t="s">
        <v>26</v>
      </c>
      <c r="CF4" s="127" t="s">
        <v>26</v>
      </c>
      <c r="CG4" s="127">
        <v>-6</v>
      </c>
      <c r="CH4" s="127" t="s">
        <v>436</v>
      </c>
      <c r="CI4" s="127" t="s">
        <v>26</v>
      </c>
      <c r="CJ4" s="127" t="s">
        <v>521</v>
      </c>
      <c r="CK4" s="127" t="s">
        <v>26</v>
      </c>
      <c r="CL4" s="127" t="s">
        <v>26</v>
      </c>
      <c r="CM4" s="127" t="s">
        <v>26</v>
      </c>
      <c r="CN4" s="127" t="s">
        <v>26</v>
      </c>
      <c r="CO4" s="127">
        <v>7.7</v>
      </c>
      <c r="CP4" s="127" t="s">
        <v>335</v>
      </c>
      <c r="CQ4" s="127" t="s">
        <v>26</v>
      </c>
      <c r="CR4" s="127" t="s">
        <v>26</v>
      </c>
      <c r="CS4" s="127" t="s">
        <v>26</v>
      </c>
      <c r="CT4" s="127" t="s">
        <v>522</v>
      </c>
      <c r="CU4" s="127">
        <v>4.0999999999999996</v>
      </c>
      <c r="CV4" s="127" t="s">
        <v>523</v>
      </c>
      <c r="CW4" s="127" t="s">
        <v>26</v>
      </c>
      <c r="CX4" s="127" t="s">
        <v>26</v>
      </c>
      <c r="CY4" s="127" t="s">
        <v>26</v>
      </c>
      <c r="CZ4" s="127" t="s">
        <v>26</v>
      </c>
      <c r="DA4" s="127">
        <v>-16.600000000000001</v>
      </c>
      <c r="DB4" s="127" t="s">
        <v>26</v>
      </c>
      <c r="DC4" s="127">
        <v>0.16</v>
      </c>
      <c r="DD4" s="127">
        <v>40</v>
      </c>
      <c r="DE4" s="127">
        <v>448</v>
      </c>
      <c r="DF4" s="127" t="s">
        <v>346</v>
      </c>
      <c r="DG4" s="127" t="s">
        <v>26</v>
      </c>
      <c r="DH4" s="127" t="s">
        <v>26</v>
      </c>
      <c r="DI4" s="127" t="s">
        <v>26</v>
      </c>
      <c r="DJ4" s="127">
        <v>182</v>
      </c>
      <c r="DK4" s="127" t="s">
        <v>523</v>
      </c>
      <c r="DL4" s="127" t="s">
        <v>26</v>
      </c>
      <c r="DM4" s="127">
        <v>2270</v>
      </c>
      <c r="DN4" s="127" t="s">
        <v>349</v>
      </c>
      <c r="DO4" s="127" t="s">
        <v>26</v>
      </c>
      <c r="DP4" s="127">
        <v>681</v>
      </c>
      <c r="DQ4" s="127">
        <v>681</v>
      </c>
      <c r="DR4" s="127" t="s">
        <v>524</v>
      </c>
      <c r="DS4" s="127" t="s">
        <v>523</v>
      </c>
      <c r="DT4" s="127" t="s">
        <v>26</v>
      </c>
      <c r="DU4" s="128" t="s">
        <v>525</v>
      </c>
      <c r="DV4" s="128" t="s">
        <v>355</v>
      </c>
      <c r="DW4" s="128" t="s">
        <v>26</v>
      </c>
      <c r="DX4" s="128" t="s">
        <v>26</v>
      </c>
      <c r="DY4" s="128">
        <v>65</v>
      </c>
      <c r="DZ4" s="128" t="s">
        <v>364</v>
      </c>
      <c r="EA4" s="128" t="s">
        <v>365</v>
      </c>
      <c r="EB4" s="128" t="s">
        <v>26</v>
      </c>
      <c r="EC4" s="128">
        <v>40</v>
      </c>
      <c r="ED4" s="128" t="s">
        <v>498</v>
      </c>
      <c r="EE4" s="128" t="s">
        <v>370</v>
      </c>
      <c r="EF4" s="128" t="s">
        <v>26</v>
      </c>
      <c r="EG4" s="128" t="s">
        <v>26</v>
      </c>
      <c r="EH4" s="128" t="s">
        <v>26</v>
      </c>
      <c r="EI4" s="128" t="s">
        <v>26</v>
      </c>
      <c r="EJ4" s="128" t="s">
        <v>26</v>
      </c>
      <c r="EK4" s="128" t="s">
        <v>527</v>
      </c>
      <c r="EL4" s="128" t="s">
        <v>528</v>
      </c>
      <c r="EM4" s="128" t="s">
        <v>467</v>
      </c>
      <c r="EN4" s="128" t="s">
        <v>26</v>
      </c>
      <c r="EO4" s="128" t="s">
        <v>379</v>
      </c>
      <c r="EP4" s="128" t="s">
        <v>26</v>
      </c>
      <c r="EQ4" s="7" t="s">
        <v>529</v>
      </c>
      <c r="ER4" s="128" t="s">
        <v>26</v>
      </c>
      <c r="ES4" s="128" t="s">
        <v>26</v>
      </c>
      <c r="ET4" s="128" t="s">
        <v>26</v>
      </c>
      <c r="EU4" s="128" t="s">
        <v>26</v>
      </c>
      <c r="EV4" s="128" t="s">
        <v>26</v>
      </c>
      <c r="EW4" s="129">
        <v>270</v>
      </c>
      <c r="EX4" s="129" t="s">
        <v>26</v>
      </c>
      <c r="EY4" s="130">
        <v>74</v>
      </c>
      <c r="EZ4" s="130">
        <v>74</v>
      </c>
      <c r="FA4" s="130" t="s">
        <v>499</v>
      </c>
      <c r="FB4" s="130" t="s">
        <v>500</v>
      </c>
      <c r="FC4" s="130" t="s">
        <v>26</v>
      </c>
      <c r="FD4" s="129" t="s">
        <v>26</v>
      </c>
      <c r="FE4" s="129" t="s">
        <v>26</v>
      </c>
      <c r="FF4" s="131" t="s">
        <v>530</v>
      </c>
    </row>
    <row r="5" spans="1:162" ht="19" customHeight="1" x14ac:dyDescent="0.2">
      <c r="A5" s="3" t="s">
        <v>507</v>
      </c>
      <c r="B5" s="50" t="str">
        <f>'Start here when entering data'!$D$11</f>
        <v>Hyland</v>
      </c>
      <c r="C5" s="50">
        <f>'Start here when entering data'!$D$12</f>
        <v>2013</v>
      </c>
      <c r="D5" s="3" t="str">
        <f>'Start here when entering data'!$D$13</f>
        <v>10.1016/j.palaeo.2012.10.011</v>
      </c>
      <c r="E5" s="75">
        <f t="shared" ref="E5:E13" si="0">IF( Z5="NA","NA",Z5*1000)</f>
        <v>51700</v>
      </c>
      <c r="F5" s="75">
        <f t="shared" ref="F5:F13" si="1">IF( AA5="NA","NA",AA5*1000)</f>
        <v>200</v>
      </c>
      <c r="G5" s="51">
        <f t="shared" ref="G5:G13" si="2">IF( AB5="NA","NA",AB5*1000)</f>
        <v>200</v>
      </c>
      <c r="H5" s="84">
        <f t="shared" ref="H5:H13" si="3">IF(EX5="NA",EW5,EX5)</f>
        <v>918</v>
      </c>
      <c r="I5" s="84">
        <f t="shared" ref="I5:I13" si="4">IF( EY5="NA","NA",EY5)</f>
        <v>150</v>
      </c>
      <c r="J5" s="84">
        <f t="shared" ref="J5:J13" si="5">IF( EZ5="NA","NA",EZ5)</f>
        <v>150</v>
      </c>
      <c r="K5" s="85" t="str">
        <f>'Start here when entering data'!$D$8</f>
        <v>Jiawei Da</v>
      </c>
      <c r="L5" s="35" t="str">
        <f>'Start here when entering data'!$D$9</f>
        <v>jiawei@utexas.edu</v>
      </c>
      <c r="M5" s="86" t="str">
        <f>'Start here when entering data'!$D$14</f>
        <v>Hyland E G, Sheldon N D. Coupled CO2-climate response during the early Eocene climatic optimum[J]. Palaeogeography, Palaeoclimatology, Palaeoecology, 2013, 369: 125-135.</v>
      </c>
      <c r="N5" s="122" t="s">
        <v>26</v>
      </c>
      <c r="O5" s="122" t="s">
        <v>26</v>
      </c>
      <c r="P5" s="123" t="s">
        <v>509</v>
      </c>
      <c r="Q5" s="123" t="s">
        <v>517</v>
      </c>
      <c r="R5" s="123">
        <v>42.2288</v>
      </c>
      <c r="S5" s="123">
        <v>-108.5307</v>
      </c>
      <c r="T5" s="123" t="s">
        <v>26</v>
      </c>
      <c r="U5" s="123" t="s">
        <v>26</v>
      </c>
      <c r="V5" s="123" t="s">
        <v>26</v>
      </c>
      <c r="W5" s="123" t="s">
        <v>26</v>
      </c>
      <c r="X5" s="123" t="s">
        <v>26</v>
      </c>
      <c r="Y5" s="124">
        <v>25.5</v>
      </c>
      <c r="Z5" s="125">
        <v>51.7</v>
      </c>
      <c r="AA5" s="125">
        <v>0.2</v>
      </c>
      <c r="AB5" s="125">
        <v>0.2</v>
      </c>
      <c r="AC5" s="125" t="s">
        <v>26</v>
      </c>
      <c r="AD5" s="125" t="s">
        <v>26</v>
      </c>
      <c r="AE5" s="123" t="s">
        <v>26</v>
      </c>
      <c r="AF5" s="123" t="s">
        <v>26</v>
      </c>
      <c r="AG5" s="126">
        <v>-6.7</v>
      </c>
      <c r="AH5" s="126">
        <v>0.1</v>
      </c>
      <c r="AI5" s="126">
        <v>3</v>
      </c>
      <c r="AJ5" s="126" t="s">
        <v>518</v>
      </c>
      <c r="AK5" s="126">
        <v>-23.9</v>
      </c>
      <c r="AL5" s="126">
        <v>0.1</v>
      </c>
      <c r="AM5" s="126">
        <v>2</v>
      </c>
      <c r="AN5" s="126">
        <v>-23.8</v>
      </c>
      <c r="AO5" s="126">
        <v>0.1</v>
      </c>
      <c r="AP5" s="126">
        <v>2</v>
      </c>
      <c r="AQ5" s="126" t="s">
        <v>518</v>
      </c>
      <c r="AR5" s="126" t="s">
        <v>26</v>
      </c>
      <c r="AS5" s="126" t="s">
        <v>26</v>
      </c>
      <c r="AT5" s="126" t="s">
        <v>26</v>
      </c>
      <c r="AU5" s="126" t="s">
        <v>26</v>
      </c>
      <c r="AV5" s="126">
        <v>-8.94</v>
      </c>
      <c r="AW5" s="126" t="s">
        <v>519</v>
      </c>
      <c r="AX5" s="126" t="s">
        <v>519</v>
      </c>
      <c r="AY5" s="126" t="s">
        <v>26</v>
      </c>
      <c r="AZ5" s="126">
        <v>50</v>
      </c>
      <c r="BA5" s="126" t="s">
        <v>520</v>
      </c>
      <c r="BB5" s="126">
        <v>49.63</v>
      </c>
      <c r="BC5" s="126">
        <v>0.13</v>
      </c>
      <c r="BD5" s="126">
        <v>0.82</v>
      </c>
      <c r="BE5" s="126">
        <v>0.01</v>
      </c>
      <c r="BF5" s="126">
        <v>17.03</v>
      </c>
      <c r="BG5" s="126">
        <v>7.0000000000000007E-2</v>
      </c>
      <c r="BH5" s="126">
        <v>8.1199999999999992</v>
      </c>
      <c r="BI5" s="126">
        <v>0.01</v>
      </c>
      <c r="BJ5" s="126">
        <v>0.04</v>
      </c>
      <c r="BK5" s="126">
        <v>0</v>
      </c>
      <c r="BL5" s="126">
        <v>3.63</v>
      </c>
      <c r="BM5" s="126">
        <v>0.01</v>
      </c>
      <c r="BN5" s="126">
        <v>0.84</v>
      </c>
      <c r="BO5" s="126">
        <v>0</v>
      </c>
      <c r="BP5" s="126">
        <v>2.12</v>
      </c>
      <c r="BQ5" s="126">
        <v>0.01</v>
      </c>
      <c r="BR5" s="126">
        <v>2.14</v>
      </c>
      <c r="BS5" s="126">
        <v>0.01</v>
      </c>
      <c r="BT5" s="126">
        <v>9.8000000000000004E-2</v>
      </c>
      <c r="BU5" s="126">
        <v>0</v>
      </c>
      <c r="BV5" s="126">
        <v>0.02</v>
      </c>
      <c r="BW5" s="126">
        <v>0</v>
      </c>
      <c r="BX5" s="126">
        <v>2</v>
      </c>
      <c r="BY5" s="127">
        <v>-23.8</v>
      </c>
      <c r="BZ5" s="127" t="s">
        <v>324</v>
      </c>
      <c r="CA5" s="127" t="s">
        <v>521</v>
      </c>
      <c r="CB5" s="127" t="s">
        <v>26</v>
      </c>
      <c r="CC5" s="127" t="s">
        <v>26</v>
      </c>
      <c r="CD5" s="127" t="s">
        <v>26</v>
      </c>
      <c r="CE5" s="127" t="s">
        <v>26</v>
      </c>
      <c r="CF5" s="127" t="s">
        <v>26</v>
      </c>
      <c r="CG5" s="127">
        <v>-6</v>
      </c>
      <c r="CH5" s="127" t="s">
        <v>489</v>
      </c>
      <c r="CI5" s="127" t="s">
        <v>26</v>
      </c>
      <c r="CJ5" s="127" t="s">
        <v>521</v>
      </c>
      <c r="CK5" s="127" t="s">
        <v>26</v>
      </c>
      <c r="CL5" s="127" t="s">
        <v>26</v>
      </c>
      <c r="CM5" s="127" t="s">
        <v>26</v>
      </c>
      <c r="CN5" s="127" t="s">
        <v>26</v>
      </c>
      <c r="CO5" s="127">
        <v>7.6</v>
      </c>
      <c r="CP5" s="127" t="s">
        <v>335</v>
      </c>
      <c r="CQ5" s="127" t="s">
        <v>26</v>
      </c>
      <c r="CR5" s="127" t="s">
        <v>26</v>
      </c>
      <c r="CS5" s="127" t="s">
        <v>26</v>
      </c>
      <c r="CT5" s="127" t="s">
        <v>522</v>
      </c>
      <c r="CU5" s="127">
        <v>4.0999999999999996</v>
      </c>
      <c r="CV5" s="127" t="s">
        <v>523</v>
      </c>
      <c r="CW5" s="127" t="s">
        <v>26</v>
      </c>
      <c r="CX5" s="127" t="s">
        <v>26</v>
      </c>
      <c r="CY5" s="127" t="s">
        <v>26</v>
      </c>
      <c r="CZ5" s="127" t="s">
        <v>26</v>
      </c>
      <c r="DA5" s="127">
        <v>-17.600000000000001</v>
      </c>
      <c r="DB5" s="127" t="s">
        <v>26</v>
      </c>
      <c r="DC5" s="127">
        <v>0.34</v>
      </c>
      <c r="DD5" s="127">
        <v>50</v>
      </c>
      <c r="DE5" s="127">
        <v>1013</v>
      </c>
      <c r="DF5" s="127" t="s">
        <v>346</v>
      </c>
      <c r="DG5" s="127" t="s">
        <v>26</v>
      </c>
      <c r="DH5" s="127" t="s">
        <v>26</v>
      </c>
      <c r="DI5" s="127" t="s">
        <v>26</v>
      </c>
      <c r="DJ5" s="127">
        <v>182</v>
      </c>
      <c r="DK5" s="127" t="s">
        <v>523</v>
      </c>
      <c r="DL5" s="127" t="s">
        <v>26</v>
      </c>
      <c r="DM5" s="127">
        <v>5473</v>
      </c>
      <c r="DN5" s="127" t="s">
        <v>349</v>
      </c>
      <c r="DO5" s="127" t="s">
        <v>26</v>
      </c>
      <c r="DP5" s="127">
        <v>681</v>
      </c>
      <c r="DQ5" s="127">
        <v>681</v>
      </c>
      <c r="DR5" s="127" t="s">
        <v>524</v>
      </c>
      <c r="DS5" s="127" t="s">
        <v>523</v>
      </c>
      <c r="DT5" s="127" t="s">
        <v>26</v>
      </c>
      <c r="DU5" s="128" t="s">
        <v>525</v>
      </c>
      <c r="DV5" s="128" t="s">
        <v>355</v>
      </c>
      <c r="DW5" s="128" t="s">
        <v>26</v>
      </c>
      <c r="DX5" s="128" t="s">
        <v>26</v>
      </c>
      <c r="DY5" s="128">
        <v>70</v>
      </c>
      <c r="DZ5" s="128" t="s">
        <v>364</v>
      </c>
      <c r="EA5" s="128" t="s">
        <v>365</v>
      </c>
      <c r="EB5" s="128" t="s">
        <v>26</v>
      </c>
      <c r="EC5" s="128">
        <v>50</v>
      </c>
      <c r="ED5" s="128" t="s">
        <v>498</v>
      </c>
      <c r="EE5" s="128" t="s">
        <v>370</v>
      </c>
      <c r="EF5" s="128" t="s">
        <v>26</v>
      </c>
      <c r="EG5" s="128" t="s">
        <v>26</v>
      </c>
      <c r="EH5" s="128" t="s">
        <v>26</v>
      </c>
      <c r="EI5" s="128" t="s">
        <v>26</v>
      </c>
      <c r="EJ5" s="128" t="s">
        <v>26</v>
      </c>
      <c r="EK5" s="128" t="s">
        <v>527</v>
      </c>
      <c r="EL5" s="128" t="s">
        <v>528</v>
      </c>
      <c r="EM5" s="128" t="s">
        <v>467</v>
      </c>
      <c r="EN5" s="128" t="s">
        <v>26</v>
      </c>
      <c r="EO5" s="128" t="s">
        <v>379</v>
      </c>
      <c r="EP5" s="128" t="s">
        <v>26</v>
      </c>
      <c r="EQ5" s="7" t="s">
        <v>529</v>
      </c>
      <c r="ER5" s="128" t="s">
        <v>26</v>
      </c>
      <c r="ES5" s="128" t="s">
        <v>26</v>
      </c>
      <c r="ET5" s="128" t="s">
        <v>26</v>
      </c>
      <c r="EU5" s="128" t="s">
        <v>26</v>
      </c>
      <c r="EV5" s="128" t="s">
        <v>26</v>
      </c>
      <c r="EW5" s="129">
        <v>918</v>
      </c>
      <c r="EX5" s="129" t="s">
        <v>26</v>
      </c>
      <c r="EY5" s="130">
        <v>150</v>
      </c>
      <c r="EZ5" s="130">
        <v>150</v>
      </c>
      <c r="FA5" s="130" t="s">
        <v>499</v>
      </c>
      <c r="FB5" s="130" t="s">
        <v>500</v>
      </c>
      <c r="FC5" s="130" t="s">
        <v>26</v>
      </c>
      <c r="FD5" s="129" t="s">
        <v>26</v>
      </c>
      <c r="FE5" s="129" t="s">
        <v>26</v>
      </c>
      <c r="FF5" s="131" t="s">
        <v>530</v>
      </c>
    </row>
    <row r="6" spans="1:162" ht="19" customHeight="1" x14ac:dyDescent="0.2">
      <c r="A6" s="3" t="s">
        <v>507</v>
      </c>
      <c r="B6" s="50" t="str">
        <f>'Start here when entering data'!$D$11</f>
        <v>Hyland</v>
      </c>
      <c r="C6" s="50">
        <f>'Start here when entering data'!$D$12</f>
        <v>2013</v>
      </c>
      <c r="D6" s="3" t="str">
        <f>'Start here when entering data'!$D$13</f>
        <v>10.1016/j.palaeo.2012.10.011</v>
      </c>
      <c r="E6" s="75">
        <f t="shared" si="0"/>
        <v>51600</v>
      </c>
      <c r="F6" s="75">
        <f t="shared" si="1"/>
        <v>200</v>
      </c>
      <c r="G6" s="51">
        <f t="shared" si="2"/>
        <v>200</v>
      </c>
      <c r="H6" s="84">
        <f t="shared" si="3"/>
        <v>1184</v>
      </c>
      <c r="I6" s="84">
        <f t="shared" si="4"/>
        <v>221</v>
      </c>
      <c r="J6" s="84">
        <f t="shared" si="5"/>
        <v>221</v>
      </c>
      <c r="K6" s="85" t="str">
        <f>'Start here when entering data'!$D$8</f>
        <v>Jiawei Da</v>
      </c>
      <c r="L6" s="35" t="str">
        <f>'Start here when entering data'!$D$9</f>
        <v>jiawei@utexas.edu</v>
      </c>
      <c r="M6" s="86" t="str">
        <f>'Start here when entering data'!$D$14</f>
        <v>Hyland E G, Sheldon N D. Coupled CO2-climate response during the early Eocene climatic optimum[J]. Palaeogeography, Palaeoclimatology, Palaeoecology, 2013, 369: 125-135.</v>
      </c>
      <c r="N6" s="122" t="s">
        <v>26</v>
      </c>
      <c r="O6" s="122" t="s">
        <v>26</v>
      </c>
      <c r="P6" s="123" t="s">
        <v>510</v>
      </c>
      <c r="Q6" s="123" t="s">
        <v>517</v>
      </c>
      <c r="R6" s="123">
        <v>42.2179</v>
      </c>
      <c r="S6" s="123">
        <v>-108.545</v>
      </c>
      <c r="T6" s="123" t="s">
        <v>26</v>
      </c>
      <c r="U6" s="123" t="s">
        <v>26</v>
      </c>
      <c r="V6" s="123" t="s">
        <v>26</v>
      </c>
      <c r="W6" s="123" t="s">
        <v>26</v>
      </c>
      <c r="X6" s="123" t="s">
        <v>26</v>
      </c>
      <c r="Y6" s="124">
        <v>35.5</v>
      </c>
      <c r="Z6" s="125">
        <v>51.6</v>
      </c>
      <c r="AA6" s="125">
        <v>0.2</v>
      </c>
      <c r="AB6" s="125">
        <v>0.2</v>
      </c>
      <c r="AC6" s="125" t="s">
        <v>26</v>
      </c>
      <c r="AD6" s="125" t="s">
        <v>26</v>
      </c>
      <c r="AE6" s="123" t="s">
        <v>26</v>
      </c>
      <c r="AF6" s="123" t="s">
        <v>26</v>
      </c>
      <c r="AG6" s="126">
        <v>-5.4</v>
      </c>
      <c r="AH6" s="126">
        <v>0.1</v>
      </c>
      <c r="AI6" s="126">
        <v>5</v>
      </c>
      <c r="AJ6" s="126" t="s">
        <v>518</v>
      </c>
      <c r="AK6" s="126" t="s">
        <v>26</v>
      </c>
      <c r="AL6" s="126" t="s">
        <v>26</v>
      </c>
      <c r="AM6" s="126" t="s">
        <v>26</v>
      </c>
      <c r="AN6" s="126">
        <v>-22.1</v>
      </c>
      <c r="AO6" s="126">
        <v>0.1</v>
      </c>
      <c r="AP6" s="126">
        <v>2</v>
      </c>
      <c r="AQ6" s="126" t="s">
        <v>518</v>
      </c>
      <c r="AR6" s="126" t="s">
        <v>26</v>
      </c>
      <c r="AS6" s="126" t="s">
        <v>26</v>
      </c>
      <c r="AT6" s="126" t="s">
        <v>26</v>
      </c>
      <c r="AU6" s="126" t="s">
        <v>26</v>
      </c>
      <c r="AV6" s="126">
        <v>-5.15</v>
      </c>
      <c r="AW6" s="126" t="s">
        <v>519</v>
      </c>
      <c r="AX6" s="126" t="s">
        <v>519</v>
      </c>
      <c r="AY6" s="126" t="s">
        <v>26</v>
      </c>
      <c r="AZ6" s="126">
        <v>10</v>
      </c>
      <c r="BA6" s="126" t="s">
        <v>520</v>
      </c>
      <c r="BB6" s="126" t="s">
        <v>26</v>
      </c>
      <c r="BC6" s="126" t="s">
        <v>26</v>
      </c>
      <c r="BD6" s="126" t="s">
        <v>26</v>
      </c>
      <c r="BE6" s="126" t="s">
        <v>26</v>
      </c>
      <c r="BF6" s="126" t="s">
        <v>26</v>
      </c>
      <c r="BG6" s="126" t="s">
        <v>26</v>
      </c>
      <c r="BH6" s="126" t="s">
        <v>26</v>
      </c>
      <c r="BI6" s="126" t="s">
        <v>26</v>
      </c>
      <c r="BJ6" s="126" t="s">
        <v>26</v>
      </c>
      <c r="BK6" s="126" t="s">
        <v>26</v>
      </c>
      <c r="BL6" s="126" t="s">
        <v>26</v>
      </c>
      <c r="BM6" s="126" t="s">
        <v>26</v>
      </c>
      <c r="BN6" s="126" t="s">
        <v>26</v>
      </c>
      <c r="BO6" s="126" t="s">
        <v>26</v>
      </c>
      <c r="BP6" s="126" t="s">
        <v>26</v>
      </c>
      <c r="BQ6" s="126" t="s">
        <v>26</v>
      </c>
      <c r="BR6" s="126" t="s">
        <v>26</v>
      </c>
      <c r="BS6" s="126" t="s">
        <v>26</v>
      </c>
      <c r="BT6" s="126" t="s">
        <v>26</v>
      </c>
      <c r="BU6" s="126" t="s">
        <v>26</v>
      </c>
      <c r="BV6" s="126" t="s">
        <v>26</v>
      </c>
      <c r="BW6" s="126" t="s">
        <v>26</v>
      </c>
      <c r="BX6" s="126">
        <v>0</v>
      </c>
      <c r="BY6" s="127">
        <v>-22.1</v>
      </c>
      <c r="BZ6" s="127" t="s">
        <v>324</v>
      </c>
      <c r="CA6" s="127" t="s">
        <v>521</v>
      </c>
      <c r="CB6" s="127" t="s">
        <v>26</v>
      </c>
      <c r="CC6" s="127" t="s">
        <v>26</v>
      </c>
      <c r="CD6" s="127" t="s">
        <v>26</v>
      </c>
      <c r="CE6" s="127" t="s">
        <v>26</v>
      </c>
      <c r="CF6" s="127" t="s">
        <v>26</v>
      </c>
      <c r="CG6" s="127">
        <v>-6</v>
      </c>
      <c r="CH6" s="127" t="s">
        <v>490</v>
      </c>
      <c r="CI6" s="127" t="s">
        <v>26</v>
      </c>
      <c r="CJ6" s="127" t="s">
        <v>521</v>
      </c>
      <c r="CK6" s="127" t="s">
        <v>26</v>
      </c>
      <c r="CL6" s="127" t="s">
        <v>26</v>
      </c>
      <c r="CM6" s="127" t="s">
        <v>26</v>
      </c>
      <c r="CN6" s="127" t="s">
        <v>26</v>
      </c>
      <c r="CO6" s="127">
        <v>15.6</v>
      </c>
      <c r="CP6" s="127" t="s">
        <v>335</v>
      </c>
      <c r="CQ6" s="127" t="s">
        <v>26</v>
      </c>
      <c r="CR6" s="127" t="s">
        <v>26</v>
      </c>
      <c r="CS6" s="127" t="s">
        <v>26</v>
      </c>
      <c r="CT6" s="127" t="s">
        <v>522</v>
      </c>
      <c r="CU6" s="127">
        <v>4.0999999999999996</v>
      </c>
      <c r="CV6" s="127" t="s">
        <v>523</v>
      </c>
      <c r="CW6" s="127" t="s">
        <v>26</v>
      </c>
      <c r="CX6" s="127" t="s">
        <v>26</v>
      </c>
      <c r="CY6" s="127" t="s">
        <v>26</v>
      </c>
      <c r="CZ6" s="127" t="s">
        <v>26</v>
      </c>
      <c r="DA6" s="127">
        <v>-15.4</v>
      </c>
      <c r="DB6" s="127" t="s">
        <v>26</v>
      </c>
      <c r="DC6" s="127">
        <v>0.5</v>
      </c>
      <c r="DD6" s="127">
        <v>10</v>
      </c>
      <c r="DE6" s="127">
        <v>890</v>
      </c>
      <c r="DF6" s="127" t="s">
        <v>346</v>
      </c>
      <c r="DG6" s="127" t="s">
        <v>26</v>
      </c>
      <c r="DH6" s="127" t="s">
        <v>26</v>
      </c>
      <c r="DI6" s="127" t="s">
        <v>26</v>
      </c>
      <c r="DJ6" s="127">
        <v>182</v>
      </c>
      <c r="DK6" s="127" t="s">
        <v>523</v>
      </c>
      <c r="DL6" s="127" t="s">
        <v>26</v>
      </c>
      <c r="DM6" s="127">
        <v>4778</v>
      </c>
      <c r="DN6" s="127" t="s">
        <v>349</v>
      </c>
      <c r="DO6" s="127" t="s">
        <v>26</v>
      </c>
      <c r="DP6" s="127">
        <v>681</v>
      </c>
      <c r="DQ6" s="127">
        <v>681</v>
      </c>
      <c r="DR6" s="127" t="s">
        <v>524</v>
      </c>
      <c r="DS6" s="127" t="s">
        <v>523</v>
      </c>
      <c r="DT6" s="127" t="s">
        <v>26</v>
      </c>
      <c r="DU6" s="128" t="s">
        <v>526</v>
      </c>
      <c r="DV6" s="128" t="s">
        <v>355</v>
      </c>
      <c r="DW6" s="128" t="s">
        <v>26</v>
      </c>
      <c r="DX6" s="128" t="s">
        <v>26</v>
      </c>
      <c r="DY6" s="128">
        <v>30</v>
      </c>
      <c r="DZ6" s="128" t="s">
        <v>364</v>
      </c>
      <c r="EA6" s="128" t="s">
        <v>365</v>
      </c>
      <c r="EB6" s="128" t="s">
        <v>26</v>
      </c>
      <c r="EC6" s="128">
        <v>10</v>
      </c>
      <c r="ED6" s="128" t="s">
        <v>498</v>
      </c>
      <c r="EE6" s="128" t="s">
        <v>370</v>
      </c>
      <c r="EF6" s="128" t="s">
        <v>26</v>
      </c>
      <c r="EG6" s="128" t="s">
        <v>26</v>
      </c>
      <c r="EH6" s="128" t="s">
        <v>26</v>
      </c>
      <c r="EI6" s="128" t="s">
        <v>26</v>
      </c>
      <c r="EJ6" s="128" t="s">
        <v>26</v>
      </c>
      <c r="EK6" s="128" t="s">
        <v>527</v>
      </c>
      <c r="EL6" s="128" t="s">
        <v>528</v>
      </c>
      <c r="EM6" s="128" t="s">
        <v>467</v>
      </c>
      <c r="EN6" s="128" t="s">
        <v>26</v>
      </c>
      <c r="EO6" s="128" t="s">
        <v>379</v>
      </c>
      <c r="EP6" s="128" t="s">
        <v>26</v>
      </c>
      <c r="EQ6" s="7" t="s">
        <v>529</v>
      </c>
      <c r="ER6" s="128" t="s">
        <v>26</v>
      </c>
      <c r="ES6" s="128" t="s">
        <v>26</v>
      </c>
      <c r="ET6" s="128" t="s">
        <v>26</v>
      </c>
      <c r="EU6" s="128" t="s">
        <v>26</v>
      </c>
      <c r="EV6" s="128" t="s">
        <v>26</v>
      </c>
      <c r="EW6" s="129">
        <v>1184</v>
      </c>
      <c r="EX6" s="129" t="s">
        <v>26</v>
      </c>
      <c r="EY6" s="130">
        <v>221</v>
      </c>
      <c r="EZ6" s="130">
        <v>221</v>
      </c>
      <c r="FA6" s="130" t="s">
        <v>499</v>
      </c>
      <c r="FB6" s="130" t="s">
        <v>500</v>
      </c>
      <c r="FC6" s="130" t="s">
        <v>26</v>
      </c>
      <c r="FD6" s="129" t="s">
        <v>26</v>
      </c>
      <c r="FE6" s="129" t="s">
        <v>26</v>
      </c>
      <c r="FF6" s="131" t="s">
        <v>530</v>
      </c>
    </row>
    <row r="7" spans="1:162" ht="19" customHeight="1" x14ac:dyDescent="0.2">
      <c r="A7" s="3" t="s">
        <v>507</v>
      </c>
      <c r="B7" s="50" t="str">
        <f>'Start here when entering data'!$D$11</f>
        <v>Hyland</v>
      </c>
      <c r="C7" s="50">
        <f>'Start here when entering data'!$D$12</f>
        <v>2013</v>
      </c>
      <c r="D7" s="3" t="str">
        <f>'Start here when entering data'!$D$13</f>
        <v>10.1016/j.palaeo.2012.10.011</v>
      </c>
      <c r="E7" s="75">
        <f t="shared" si="0"/>
        <v>51500</v>
      </c>
      <c r="F7" s="75">
        <f t="shared" si="1"/>
        <v>200</v>
      </c>
      <c r="G7" s="51">
        <f t="shared" si="2"/>
        <v>200</v>
      </c>
      <c r="H7" s="84">
        <f t="shared" si="3"/>
        <v>1696</v>
      </c>
      <c r="I7" s="84">
        <f t="shared" si="4"/>
        <v>284</v>
      </c>
      <c r="J7" s="84">
        <f t="shared" si="5"/>
        <v>284</v>
      </c>
      <c r="K7" s="85" t="str">
        <f>'Start here when entering data'!$D$8</f>
        <v>Jiawei Da</v>
      </c>
      <c r="L7" s="35" t="str">
        <f>'Start here when entering data'!$D$9</f>
        <v>jiawei@utexas.edu</v>
      </c>
      <c r="M7" s="86" t="str">
        <f>'Start here when entering data'!$D$14</f>
        <v>Hyland E G, Sheldon N D. Coupled CO2-climate response during the early Eocene climatic optimum[J]. Palaeogeography, Palaeoclimatology, Palaeoecology, 2013, 369: 125-135.</v>
      </c>
      <c r="N7" s="122" t="s">
        <v>26</v>
      </c>
      <c r="O7" s="122" t="s">
        <v>26</v>
      </c>
      <c r="P7" s="123" t="s">
        <v>511</v>
      </c>
      <c r="Q7" s="123" t="s">
        <v>517</v>
      </c>
      <c r="R7" s="123">
        <v>42.2179</v>
      </c>
      <c r="S7" s="123">
        <v>-108.545</v>
      </c>
      <c r="T7" s="123" t="s">
        <v>26</v>
      </c>
      <c r="U7" s="123" t="s">
        <v>26</v>
      </c>
      <c r="V7" s="123" t="s">
        <v>26</v>
      </c>
      <c r="W7" s="123" t="s">
        <v>26</v>
      </c>
      <c r="X7" s="123" t="s">
        <v>26</v>
      </c>
      <c r="Y7" s="124">
        <v>39</v>
      </c>
      <c r="Z7" s="125">
        <v>51.5</v>
      </c>
      <c r="AA7" s="125">
        <v>0.2</v>
      </c>
      <c r="AB7" s="125">
        <v>0.2</v>
      </c>
      <c r="AC7" s="125" t="s">
        <v>26</v>
      </c>
      <c r="AD7" s="125" t="s">
        <v>26</v>
      </c>
      <c r="AE7" s="123" t="s">
        <v>26</v>
      </c>
      <c r="AF7" s="123" t="s">
        <v>26</v>
      </c>
      <c r="AG7" s="126">
        <v>-6.3</v>
      </c>
      <c r="AH7" s="126">
        <v>0.3</v>
      </c>
      <c r="AI7" s="126">
        <v>3</v>
      </c>
      <c r="AJ7" s="126" t="s">
        <v>518</v>
      </c>
      <c r="AK7" s="126">
        <v>-10.87</v>
      </c>
      <c r="AL7" s="126">
        <v>0.8</v>
      </c>
      <c r="AM7" s="126">
        <v>2</v>
      </c>
      <c r="AN7" s="126">
        <v>-23.7</v>
      </c>
      <c r="AO7" s="126">
        <v>0.8</v>
      </c>
      <c r="AP7" s="126">
        <v>2</v>
      </c>
      <c r="AQ7" s="126" t="s">
        <v>518</v>
      </c>
      <c r="AR7" s="126" t="s">
        <v>26</v>
      </c>
      <c r="AS7" s="126" t="s">
        <v>26</v>
      </c>
      <c r="AT7" s="126" t="s">
        <v>26</v>
      </c>
      <c r="AU7" s="126" t="s">
        <v>26</v>
      </c>
      <c r="AV7" s="126">
        <v>-5.41</v>
      </c>
      <c r="AW7" s="126" t="s">
        <v>519</v>
      </c>
      <c r="AX7" s="126" t="s">
        <v>519</v>
      </c>
      <c r="AY7" s="126" t="s">
        <v>26</v>
      </c>
      <c r="AZ7" s="126">
        <v>230</v>
      </c>
      <c r="BA7" s="126" t="s">
        <v>520</v>
      </c>
      <c r="BB7" s="126">
        <v>60.38</v>
      </c>
      <c r="BC7" s="126">
        <v>0.11</v>
      </c>
      <c r="BD7" s="126">
        <v>0.56999999999999995</v>
      </c>
      <c r="BE7" s="126">
        <v>0.02</v>
      </c>
      <c r="BF7" s="126">
        <v>14.69</v>
      </c>
      <c r="BG7" s="126">
        <v>0.02</v>
      </c>
      <c r="BH7" s="126">
        <v>5.55</v>
      </c>
      <c r="BI7" s="126">
        <v>0.01</v>
      </c>
      <c r="BJ7" s="126">
        <v>0.03</v>
      </c>
      <c r="BK7" s="126">
        <v>0</v>
      </c>
      <c r="BL7" s="126">
        <v>2.34</v>
      </c>
      <c r="BM7" s="126">
        <v>0.01</v>
      </c>
      <c r="BN7" s="126">
        <v>0.61</v>
      </c>
      <c r="BO7" s="126">
        <v>0</v>
      </c>
      <c r="BP7" s="126">
        <v>2.15</v>
      </c>
      <c r="BQ7" s="126">
        <v>0.01</v>
      </c>
      <c r="BR7" s="126">
        <v>2.96</v>
      </c>
      <c r="BS7" s="126">
        <v>0.01</v>
      </c>
      <c r="BT7" s="126">
        <v>8.2000000000000003E-2</v>
      </c>
      <c r="BU7" s="126">
        <v>0</v>
      </c>
      <c r="BV7" s="126">
        <v>0.03</v>
      </c>
      <c r="BW7" s="126">
        <v>0</v>
      </c>
      <c r="BX7" s="126">
        <v>2</v>
      </c>
      <c r="BY7" s="127">
        <v>-23.7</v>
      </c>
      <c r="BZ7" s="127" t="s">
        <v>324</v>
      </c>
      <c r="CA7" s="127" t="s">
        <v>521</v>
      </c>
      <c r="CB7" s="127" t="s">
        <v>26</v>
      </c>
      <c r="CC7" s="127" t="s">
        <v>26</v>
      </c>
      <c r="CD7" s="127" t="s">
        <v>26</v>
      </c>
      <c r="CE7" s="127" t="s">
        <v>26</v>
      </c>
      <c r="CF7" s="127" t="s">
        <v>26</v>
      </c>
      <c r="CG7" s="127">
        <v>-6</v>
      </c>
      <c r="CH7" s="127" t="s">
        <v>491</v>
      </c>
      <c r="CI7" s="127" t="s">
        <v>26</v>
      </c>
      <c r="CJ7" s="127" t="s">
        <v>521</v>
      </c>
      <c r="CK7" s="127" t="s">
        <v>26</v>
      </c>
      <c r="CL7" s="127" t="s">
        <v>26</v>
      </c>
      <c r="CM7" s="127" t="s">
        <v>26</v>
      </c>
      <c r="CN7" s="127" t="s">
        <v>26</v>
      </c>
      <c r="CO7" s="127">
        <v>14.8</v>
      </c>
      <c r="CP7" s="127" t="s">
        <v>335</v>
      </c>
      <c r="CQ7" s="127" t="s">
        <v>26</v>
      </c>
      <c r="CR7" s="127" t="s">
        <v>26</v>
      </c>
      <c r="CS7" s="127" t="s">
        <v>26</v>
      </c>
      <c r="CT7" s="127" t="s">
        <v>522</v>
      </c>
      <c r="CU7" s="127">
        <v>4.0999999999999996</v>
      </c>
      <c r="CV7" s="127" t="s">
        <v>523</v>
      </c>
      <c r="CW7" s="127" t="s">
        <v>26</v>
      </c>
      <c r="CX7" s="127" t="s">
        <v>26</v>
      </c>
      <c r="CY7" s="127" t="s">
        <v>26</v>
      </c>
      <c r="CZ7" s="127" t="s">
        <v>26</v>
      </c>
      <c r="DA7" s="127">
        <v>-16.2</v>
      </c>
      <c r="DB7" s="127" t="s">
        <v>26</v>
      </c>
      <c r="DC7" s="127">
        <v>0.64</v>
      </c>
      <c r="DD7" s="127">
        <v>230</v>
      </c>
      <c r="DE7" s="127">
        <v>988</v>
      </c>
      <c r="DF7" s="127" t="s">
        <v>346</v>
      </c>
      <c r="DG7" s="127" t="s">
        <v>26</v>
      </c>
      <c r="DH7" s="127" t="s">
        <v>26</v>
      </c>
      <c r="DI7" s="127" t="s">
        <v>26</v>
      </c>
      <c r="DJ7" s="127">
        <v>182</v>
      </c>
      <c r="DK7" s="127" t="s">
        <v>523</v>
      </c>
      <c r="DL7" s="127" t="s">
        <v>26</v>
      </c>
      <c r="DM7" s="127">
        <v>5330</v>
      </c>
      <c r="DN7" s="127" t="s">
        <v>349</v>
      </c>
      <c r="DO7" s="127" t="s">
        <v>26</v>
      </c>
      <c r="DP7" s="127">
        <v>681</v>
      </c>
      <c r="DQ7" s="127">
        <v>681</v>
      </c>
      <c r="DR7" s="127" t="s">
        <v>524</v>
      </c>
      <c r="DS7" s="127" t="s">
        <v>523</v>
      </c>
      <c r="DT7" s="127" t="s">
        <v>26</v>
      </c>
      <c r="DU7" s="128" t="s">
        <v>525</v>
      </c>
      <c r="DV7" s="128" t="s">
        <v>355</v>
      </c>
      <c r="DW7" s="128" t="s">
        <v>26</v>
      </c>
      <c r="DX7" s="128" t="s">
        <v>26</v>
      </c>
      <c r="DY7" s="128">
        <v>300</v>
      </c>
      <c r="DZ7" s="128" t="s">
        <v>364</v>
      </c>
      <c r="EA7" s="128" t="s">
        <v>365</v>
      </c>
      <c r="EB7" s="128" t="s">
        <v>26</v>
      </c>
      <c r="EC7" s="128">
        <v>230</v>
      </c>
      <c r="ED7" s="128" t="s">
        <v>498</v>
      </c>
      <c r="EE7" s="128" t="s">
        <v>370</v>
      </c>
      <c r="EF7" s="128" t="s">
        <v>26</v>
      </c>
      <c r="EG7" s="128" t="s">
        <v>26</v>
      </c>
      <c r="EH7" s="128" t="s">
        <v>26</v>
      </c>
      <c r="EI7" s="128" t="s">
        <v>26</v>
      </c>
      <c r="EJ7" s="128" t="s">
        <v>26</v>
      </c>
      <c r="EK7" s="128" t="s">
        <v>527</v>
      </c>
      <c r="EL7" s="128" t="s">
        <v>528</v>
      </c>
      <c r="EM7" s="128" t="s">
        <v>467</v>
      </c>
      <c r="EN7" s="128" t="s">
        <v>26</v>
      </c>
      <c r="EO7" s="128" t="s">
        <v>379</v>
      </c>
      <c r="EP7" s="128" t="s">
        <v>26</v>
      </c>
      <c r="EQ7" s="7" t="s">
        <v>529</v>
      </c>
      <c r="ER7" s="128" t="s">
        <v>26</v>
      </c>
      <c r="ES7" s="128" t="s">
        <v>26</v>
      </c>
      <c r="ET7" s="128" t="s">
        <v>26</v>
      </c>
      <c r="EU7" s="128" t="s">
        <v>26</v>
      </c>
      <c r="EV7" s="128" t="s">
        <v>26</v>
      </c>
      <c r="EW7" s="129">
        <v>1696</v>
      </c>
      <c r="EX7" s="129" t="s">
        <v>26</v>
      </c>
      <c r="EY7" s="130">
        <v>284</v>
      </c>
      <c r="EZ7" s="130">
        <v>284</v>
      </c>
      <c r="FA7" s="130" t="s">
        <v>499</v>
      </c>
      <c r="FB7" s="130" t="s">
        <v>500</v>
      </c>
      <c r="FC7" s="130" t="s">
        <v>26</v>
      </c>
      <c r="FD7" s="129" t="s">
        <v>26</v>
      </c>
      <c r="FE7" s="129" t="s">
        <v>26</v>
      </c>
      <c r="FF7" s="131" t="s">
        <v>530</v>
      </c>
    </row>
    <row r="8" spans="1:162" ht="19" customHeight="1" x14ac:dyDescent="0.2">
      <c r="A8" s="3" t="s">
        <v>507</v>
      </c>
      <c r="B8" s="50" t="str">
        <f>'Start here when entering data'!$D$11</f>
        <v>Hyland</v>
      </c>
      <c r="C8" s="50">
        <f>'Start here when entering data'!$D$12</f>
        <v>2013</v>
      </c>
      <c r="D8" s="3" t="str">
        <f>'Start here when entering data'!$D$13</f>
        <v>10.1016/j.palaeo.2012.10.011</v>
      </c>
      <c r="E8" s="75">
        <f t="shared" si="0"/>
        <v>51400</v>
      </c>
      <c r="F8" s="75">
        <f t="shared" si="1"/>
        <v>200</v>
      </c>
      <c r="G8" s="51">
        <f t="shared" si="2"/>
        <v>200</v>
      </c>
      <c r="H8" s="84">
        <f t="shared" si="3"/>
        <v>930</v>
      </c>
      <c r="I8" s="84">
        <f t="shared" si="4"/>
        <v>133</v>
      </c>
      <c r="J8" s="84">
        <f t="shared" si="5"/>
        <v>133</v>
      </c>
      <c r="K8" s="85" t="str">
        <f>'Start here when entering data'!$D$8</f>
        <v>Jiawei Da</v>
      </c>
      <c r="L8" s="35" t="str">
        <f>'Start here when entering data'!$D$9</f>
        <v>jiawei@utexas.edu</v>
      </c>
      <c r="M8" s="86" t="str">
        <f>'Start here when entering data'!$D$14</f>
        <v>Hyland E G, Sheldon N D. Coupled CO2-climate response during the early Eocene climatic optimum[J]. Palaeogeography, Palaeoclimatology, Palaeoecology, 2013, 369: 125-135.</v>
      </c>
      <c r="N8" s="122" t="s">
        <v>26</v>
      </c>
      <c r="O8" s="122" t="s">
        <v>26</v>
      </c>
      <c r="P8" s="123" t="s">
        <v>512</v>
      </c>
      <c r="Q8" s="123" t="s">
        <v>517</v>
      </c>
      <c r="R8" s="123">
        <v>42.2288</v>
      </c>
      <c r="S8" s="123">
        <v>-108.5307</v>
      </c>
      <c r="T8" s="123" t="s">
        <v>26</v>
      </c>
      <c r="U8" s="123" t="s">
        <v>26</v>
      </c>
      <c r="V8" s="123" t="s">
        <v>26</v>
      </c>
      <c r="W8" s="123" t="s">
        <v>26</v>
      </c>
      <c r="X8" s="123" t="s">
        <v>26</v>
      </c>
      <c r="Y8" s="124">
        <v>46</v>
      </c>
      <c r="Z8" s="125">
        <v>51.4</v>
      </c>
      <c r="AA8" s="125">
        <v>0.2</v>
      </c>
      <c r="AB8" s="125">
        <v>0.2</v>
      </c>
      <c r="AC8" s="125" t="s">
        <v>26</v>
      </c>
      <c r="AD8" s="125" t="s">
        <v>26</v>
      </c>
      <c r="AE8" s="123" t="s">
        <v>26</v>
      </c>
      <c r="AF8" s="123" t="s">
        <v>26</v>
      </c>
      <c r="AG8" s="126">
        <v>-6.9</v>
      </c>
      <c r="AH8" s="126">
        <v>0</v>
      </c>
      <c r="AI8" s="126">
        <v>2</v>
      </c>
      <c r="AJ8" s="126" t="s">
        <v>518</v>
      </c>
      <c r="AK8" s="126" t="s">
        <v>26</v>
      </c>
      <c r="AL8" s="126" t="s">
        <v>26</v>
      </c>
      <c r="AM8" s="126" t="s">
        <v>26</v>
      </c>
      <c r="AN8" s="126">
        <v>-22.7</v>
      </c>
      <c r="AO8" s="126">
        <v>0.1</v>
      </c>
      <c r="AP8" s="126">
        <v>2</v>
      </c>
      <c r="AQ8" s="126" t="s">
        <v>518</v>
      </c>
      <c r="AR8" s="126" t="s">
        <v>26</v>
      </c>
      <c r="AS8" s="126" t="s">
        <v>26</v>
      </c>
      <c r="AT8" s="126" t="s">
        <v>26</v>
      </c>
      <c r="AU8" s="126" t="s">
        <v>26</v>
      </c>
      <c r="AV8" s="126">
        <v>-5.0999999999999996</v>
      </c>
      <c r="AW8" s="126" t="s">
        <v>519</v>
      </c>
      <c r="AX8" s="126" t="s">
        <v>519</v>
      </c>
      <c r="AY8" s="126" t="s">
        <v>26</v>
      </c>
      <c r="AZ8" s="126">
        <v>85</v>
      </c>
      <c r="BA8" s="126" t="s">
        <v>520</v>
      </c>
      <c r="BB8" s="126" t="s">
        <v>26</v>
      </c>
      <c r="BC8" s="126" t="s">
        <v>26</v>
      </c>
      <c r="BD8" s="126" t="s">
        <v>26</v>
      </c>
      <c r="BE8" s="126" t="s">
        <v>26</v>
      </c>
      <c r="BF8" s="126" t="s">
        <v>26</v>
      </c>
      <c r="BG8" s="126" t="s">
        <v>26</v>
      </c>
      <c r="BH8" s="126" t="s">
        <v>26</v>
      </c>
      <c r="BI8" s="126" t="s">
        <v>26</v>
      </c>
      <c r="BJ8" s="126" t="s">
        <v>26</v>
      </c>
      <c r="BK8" s="126" t="s">
        <v>26</v>
      </c>
      <c r="BL8" s="126" t="s">
        <v>26</v>
      </c>
      <c r="BM8" s="126" t="s">
        <v>26</v>
      </c>
      <c r="BN8" s="126" t="s">
        <v>26</v>
      </c>
      <c r="BO8" s="126" t="s">
        <v>26</v>
      </c>
      <c r="BP8" s="126" t="s">
        <v>26</v>
      </c>
      <c r="BQ8" s="126" t="s">
        <v>26</v>
      </c>
      <c r="BR8" s="126" t="s">
        <v>26</v>
      </c>
      <c r="BS8" s="126" t="s">
        <v>26</v>
      </c>
      <c r="BT8" s="126" t="s">
        <v>26</v>
      </c>
      <c r="BU8" s="126" t="s">
        <v>26</v>
      </c>
      <c r="BV8" s="126" t="s">
        <v>26</v>
      </c>
      <c r="BW8" s="126" t="s">
        <v>26</v>
      </c>
      <c r="BX8" s="126">
        <v>0</v>
      </c>
      <c r="BY8" s="127">
        <v>-22.7</v>
      </c>
      <c r="BZ8" s="127" t="s">
        <v>324</v>
      </c>
      <c r="CA8" s="127" t="s">
        <v>521</v>
      </c>
      <c r="CB8" s="127" t="s">
        <v>26</v>
      </c>
      <c r="CC8" s="127" t="s">
        <v>26</v>
      </c>
      <c r="CD8" s="127" t="s">
        <v>26</v>
      </c>
      <c r="CE8" s="127" t="s">
        <v>26</v>
      </c>
      <c r="CF8" s="127" t="s">
        <v>26</v>
      </c>
      <c r="CG8" s="127">
        <v>-6</v>
      </c>
      <c r="CH8" s="127" t="s">
        <v>492</v>
      </c>
      <c r="CI8" s="127" t="s">
        <v>26</v>
      </c>
      <c r="CJ8" s="127" t="s">
        <v>521</v>
      </c>
      <c r="CK8" s="127" t="s">
        <v>26</v>
      </c>
      <c r="CL8" s="127" t="s">
        <v>26</v>
      </c>
      <c r="CM8" s="127" t="s">
        <v>26</v>
      </c>
      <c r="CN8" s="127" t="s">
        <v>26</v>
      </c>
      <c r="CO8" s="127">
        <v>15.4</v>
      </c>
      <c r="CP8" s="127" t="s">
        <v>335</v>
      </c>
      <c r="CQ8" s="127" t="s">
        <v>26</v>
      </c>
      <c r="CR8" s="127" t="s">
        <v>26</v>
      </c>
      <c r="CS8" s="127" t="s">
        <v>26</v>
      </c>
      <c r="CT8" s="127" t="s">
        <v>522</v>
      </c>
      <c r="CU8" s="127">
        <v>4.0999999999999996</v>
      </c>
      <c r="CV8" s="127" t="s">
        <v>523</v>
      </c>
      <c r="CW8" s="127" t="s">
        <v>26</v>
      </c>
      <c r="CX8" s="127" t="s">
        <v>26</v>
      </c>
      <c r="CY8" s="127" t="s">
        <v>26</v>
      </c>
      <c r="CZ8" s="127" t="s">
        <v>26</v>
      </c>
      <c r="DA8" s="127">
        <v>-16.8</v>
      </c>
      <c r="DB8" s="127" t="s">
        <v>26</v>
      </c>
      <c r="DC8" s="127">
        <v>0.3</v>
      </c>
      <c r="DD8" s="127">
        <v>85</v>
      </c>
      <c r="DE8" s="127">
        <v>950</v>
      </c>
      <c r="DF8" s="127" t="s">
        <v>346</v>
      </c>
      <c r="DG8" s="127" t="s">
        <v>26</v>
      </c>
      <c r="DH8" s="127" t="s">
        <v>26</v>
      </c>
      <c r="DI8" s="127" t="s">
        <v>26</v>
      </c>
      <c r="DJ8" s="127">
        <v>182</v>
      </c>
      <c r="DK8" s="127" t="s">
        <v>523</v>
      </c>
      <c r="DL8" s="127" t="s">
        <v>26</v>
      </c>
      <c r="DM8" s="127">
        <v>5117</v>
      </c>
      <c r="DN8" s="127" t="s">
        <v>349</v>
      </c>
      <c r="DO8" s="127" t="s">
        <v>26</v>
      </c>
      <c r="DP8" s="127">
        <v>681</v>
      </c>
      <c r="DQ8" s="127">
        <v>681</v>
      </c>
      <c r="DR8" s="127" t="s">
        <v>524</v>
      </c>
      <c r="DS8" s="127" t="s">
        <v>523</v>
      </c>
      <c r="DT8" s="127" t="s">
        <v>26</v>
      </c>
      <c r="DU8" s="128" t="s">
        <v>525</v>
      </c>
      <c r="DV8" s="128" t="s">
        <v>355</v>
      </c>
      <c r="DW8" s="128" t="s">
        <v>26</v>
      </c>
      <c r="DX8" s="128" t="s">
        <v>26</v>
      </c>
      <c r="DY8" s="128">
        <v>110</v>
      </c>
      <c r="DZ8" s="128" t="s">
        <v>364</v>
      </c>
      <c r="EA8" s="128" t="s">
        <v>365</v>
      </c>
      <c r="EB8" s="128" t="s">
        <v>26</v>
      </c>
      <c r="EC8" s="128">
        <v>85</v>
      </c>
      <c r="ED8" s="128" t="s">
        <v>498</v>
      </c>
      <c r="EE8" s="128" t="s">
        <v>370</v>
      </c>
      <c r="EF8" s="128" t="s">
        <v>26</v>
      </c>
      <c r="EG8" s="128" t="s">
        <v>26</v>
      </c>
      <c r="EH8" s="128" t="s">
        <v>26</v>
      </c>
      <c r="EI8" s="128" t="s">
        <v>26</v>
      </c>
      <c r="EJ8" s="128" t="s">
        <v>26</v>
      </c>
      <c r="EK8" s="128" t="s">
        <v>527</v>
      </c>
      <c r="EL8" s="128" t="s">
        <v>528</v>
      </c>
      <c r="EM8" s="128" t="s">
        <v>467</v>
      </c>
      <c r="EN8" s="128" t="s">
        <v>26</v>
      </c>
      <c r="EO8" s="128" t="s">
        <v>379</v>
      </c>
      <c r="EP8" s="128" t="s">
        <v>26</v>
      </c>
      <c r="EQ8" s="7" t="s">
        <v>529</v>
      </c>
      <c r="ER8" s="128" t="s">
        <v>26</v>
      </c>
      <c r="ES8" s="128" t="s">
        <v>26</v>
      </c>
      <c r="ET8" s="128" t="s">
        <v>26</v>
      </c>
      <c r="EU8" s="128" t="s">
        <v>26</v>
      </c>
      <c r="EV8" s="128" t="s">
        <v>26</v>
      </c>
      <c r="EW8" s="129">
        <v>930</v>
      </c>
      <c r="EX8" s="129" t="s">
        <v>26</v>
      </c>
      <c r="EY8" s="130">
        <v>133</v>
      </c>
      <c r="EZ8" s="130">
        <v>133</v>
      </c>
      <c r="FA8" s="130" t="s">
        <v>499</v>
      </c>
      <c r="FB8" s="130" t="s">
        <v>500</v>
      </c>
      <c r="FC8" s="130" t="s">
        <v>26</v>
      </c>
      <c r="FD8" s="129" t="s">
        <v>26</v>
      </c>
      <c r="FE8" s="129" t="s">
        <v>26</v>
      </c>
      <c r="FF8" s="131" t="s">
        <v>530</v>
      </c>
    </row>
    <row r="9" spans="1:162" ht="19" customHeight="1" x14ac:dyDescent="0.2">
      <c r="A9" s="3" t="s">
        <v>507</v>
      </c>
      <c r="B9" s="50" t="str">
        <f>'Start here when entering data'!$D$11</f>
        <v>Hyland</v>
      </c>
      <c r="C9" s="50">
        <f>'Start here when entering data'!$D$12</f>
        <v>2013</v>
      </c>
      <c r="D9" s="3" t="str">
        <f>'Start here when entering data'!$D$13</f>
        <v>10.1016/j.palaeo.2012.10.011</v>
      </c>
      <c r="E9" s="75">
        <f t="shared" si="0"/>
        <v>51300</v>
      </c>
      <c r="F9" s="75">
        <f t="shared" si="1"/>
        <v>200</v>
      </c>
      <c r="G9" s="51">
        <f t="shared" si="2"/>
        <v>200</v>
      </c>
      <c r="H9" s="84">
        <f t="shared" si="3"/>
        <v>1327</v>
      </c>
      <c r="I9" s="84">
        <f t="shared" si="4"/>
        <v>89</v>
      </c>
      <c r="J9" s="84">
        <f t="shared" si="5"/>
        <v>89</v>
      </c>
      <c r="K9" s="85" t="str">
        <f>'Start here when entering data'!$D$8</f>
        <v>Jiawei Da</v>
      </c>
      <c r="L9" s="35" t="str">
        <f>'Start here when entering data'!$D$9</f>
        <v>jiawei@utexas.edu</v>
      </c>
      <c r="M9" s="86" t="str">
        <f>'Start here when entering data'!$D$14</f>
        <v>Hyland E G, Sheldon N D. Coupled CO2-climate response during the early Eocene climatic optimum[J]. Palaeogeography, Palaeoclimatology, Palaeoecology, 2013, 369: 125-135.</v>
      </c>
      <c r="N9" s="122" t="s">
        <v>26</v>
      </c>
      <c r="O9" s="122" t="s">
        <v>26</v>
      </c>
      <c r="P9" s="123" t="s">
        <v>513</v>
      </c>
      <c r="Q9" s="123" t="s">
        <v>517</v>
      </c>
      <c r="R9" s="123">
        <v>42.2288</v>
      </c>
      <c r="S9" s="123">
        <v>-108.5307</v>
      </c>
      <c r="T9" s="123" t="s">
        <v>26</v>
      </c>
      <c r="U9" s="123" t="s">
        <v>26</v>
      </c>
      <c r="V9" s="123" t="s">
        <v>26</v>
      </c>
      <c r="W9" s="123" t="s">
        <v>26</v>
      </c>
      <c r="X9" s="123" t="s">
        <v>26</v>
      </c>
      <c r="Y9" s="124">
        <v>55</v>
      </c>
      <c r="Z9" s="125">
        <v>51.3</v>
      </c>
      <c r="AA9" s="125">
        <v>0.2</v>
      </c>
      <c r="AB9" s="125">
        <v>0.2</v>
      </c>
      <c r="AC9" s="125" t="s">
        <v>26</v>
      </c>
      <c r="AD9" s="125" t="s">
        <v>26</v>
      </c>
      <c r="AE9" s="123" t="s">
        <v>26</v>
      </c>
      <c r="AF9" s="123" t="s">
        <v>26</v>
      </c>
      <c r="AG9" s="126">
        <v>-6.2</v>
      </c>
      <c r="AH9" s="126">
        <v>0</v>
      </c>
      <c r="AI9" s="126">
        <v>5</v>
      </c>
      <c r="AJ9" s="126" t="s">
        <v>518</v>
      </c>
      <c r="AK9" s="126" t="s">
        <v>26</v>
      </c>
      <c r="AL9" s="126" t="s">
        <v>26</v>
      </c>
      <c r="AM9" s="126" t="s">
        <v>26</v>
      </c>
      <c r="AN9" s="126">
        <v>-21.2</v>
      </c>
      <c r="AO9" s="126">
        <v>0.5</v>
      </c>
      <c r="AP9" s="126">
        <v>2</v>
      </c>
      <c r="AQ9" s="126" t="s">
        <v>518</v>
      </c>
      <c r="AR9" s="126" t="s">
        <v>26</v>
      </c>
      <c r="AS9" s="126" t="s">
        <v>26</v>
      </c>
      <c r="AT9" s="126" t="s">
        <v>26</v>
      </c>
      <c r="AU9" s="126" t="s">
        <v>26</v>
      </c>
      <c r="AV9" s="126">
        <v>-4.42</v>
      </c>
      <c r="AW9" s="126" t="s">
        <v>519</v>
      </c>
      <c r="AX9" s="126" t="s">
        <v>519</v>
      </c>
      <c r="AY9" s="126" t="s">
        <v>26</v>
      </c>
      <c r="AZ9" s="126">
        <v>190</v>
      </c>
      <c r="BA9" s="126" t="s">
        <v>520</v>
      </c>
      <c r="BB9" s="126">
        <v>55.2</v>
      </c>
      <c r="BC9" s="126">
        <v>0.02</v>
      </c>
      <c r="BD9" s="126">
        <v>0.52</v>
      </c>
      <c r="BE9" s="126">
        <v>0.01</v>
      </c>
      <c r="BF9" s="126">
        <v>10.83</v>
      </c>
      <c r="BG9" s="126">
        <v>0.02</v>
      </c>
      <c r="BH9" s="126">
        <v>4.53</v>
      </c>
      <c r="BI9" s="126">
        <v>0.01</v>
      </c>
      <c r="BJ9" s="126">
        <v>0.15</v>
      </c>
      <c r="BK9" s="126">
        <v>0.01</v>
      </c>
      <c r="BL9" s="126">
        <v>2.1</v>
      </c>
      <c r="BM9" s="126">
        <v>0.01</v>
      </c>
      <c r="BN9" s="126">
        <v>8.15</v>
      </c>
      <c r="BO9" s="126">
        <v>0.1</v>
      </c>
      <c r="BP9" s="126">
        <v>1.86</v>
      </c>
      <c r="BQ9" s="126">
        <v>0.01</v>
      </c>
      <c r="BR9" s="126">
        <v>2.19</v>
      </c>
      <c r="BS9" s="126">
        <v>0.01</v>
      </c>
      <c r="BT9" s="126">
        <v>0.16400000000000001</v>
      </c>
      <c r="BU9" s="126">
        <v>0</v>
      </c>
      <c r="BV9" s="126">
        <v>0.03</v>
      </c>
      <c r="BW9" s="126">
        <v>0</v>
      </c>
      <c r="BX9" s="126">
        <v>2</v>
      </c>
      <c r="BY9" s="127">
        <v>-21.3</v>
      </c>
      <c r="BZ9" s="127" t="s">
        <v>324</v>
      </c>
      <c r="CA9" s="127" t="s">
        <v>521</v>
      </c>
      <c r="CB9" s="127" t="s">
        <v>26</v>
      </c>
      <c r="CC9" s="127" t="s">
        <v>26</v>
      </c>
      <c r="CD9" s="127" t="s">
        <v>26</v>
      </c>
      <c r="CE9" s="127" t="s">
        <v>26</v>
      </c>
      <c r="CF9" s="127" t="s">
        <v>26</v>
      </c>
      <c r="CG9" s="127">
        <v>-6</v>
      </c>
      <c r="CH9" s="127" t="s">
        <v>493</v>
      </c>
      <c r="CI9" s="127" t="s">
        <v>26</v>
      </c>
      <c r="CJ9" s="127" t="s">
        <v>521</v>
      </c>
      <c r="CK9" s="127" t="s">
        <v>26</v>
      </c>
      <c r="CL9" s="127" t="s">
        <v>26</v>
      </c>
      <c r="CM9" s="127" t="s">
        <v>26</v>
      </c>
      <c r="CN9" s="127" t="s">
        <v>26</v>
      </c>
      <c r="CO9" s="127">
        <v>16.8</v>
      </c>
      <c r="CP9" s="127" t="s">
        <v>335</v>
      </c>
      <c r="CQ9" s="127" t="s">
        <v>26</v>
      </c>
      <c r="CR9" s="127" t="s">
        <v>26</v>
      </c>
      <c r="CS9" s="127" t="s">
        <v>26</v>
      </c>
      <c r="CT9" s="127" t="s">
        <v>522</v>
      </c>
      <c r="CU9" s="127">
        <v>4.0999999999999996</v>
      </c>
      <c r="CV9" s="127" t="s">
        <v>523</v>
      </c>
      <c r="CW9" s="127" t="s">
        <v>26</v>
      </c>
      <c r="CX9" s="127" t="s">
        <v>26</v>
      </c>
      <c r="CY9" s="127" t="s">
        <v>26</v>
      </c>
      <c r="CZ9" s="127" t="s">
        <v>26</v>
      </c>
      <c r="DA9" s="127">
        <v>-15.9</v>
      </c>
      <c r="DB9" s="127" t="s">
        <v>26</v>
      </c>
      <c r="DC9" s="127">
        <v>0.2</v>
      </c>
      <c r="DD9" s="127">
        <v>190</v>
      </c>
      <c r="DE9" s="127">
        <v>1205</v>
      </c>
      <c r="DF9" s="127" t="s">
        <v>346</v>
      </c>
      <c r="DG9" s="127" t="s">
        <v>26</v>
      </c>
      <c r="DH9" s="127" t="s">
        <v>26</v>
      </c>
      <c r="DI9" s="127" t="s">
        <v>26</v>
      </c>
      <c r="DJ9" s="127">
        <v>182</v>
      </c>
      <c r="DK9" s="127" t="s">
        <v>523</v>
      </c>
      <c r="DL9" s="127" t="s">
        <v>26</v>
      </c>
      <c r="DM9" s="127">
        <v>6562</v>
      </c>
      <c r="DN9" s="127" t="s">
        <v>349</v>
      </c>
      <c r="DO9" s="127" t="s">
        <v>26</v>
      </c>
      <c r="DP9" s="127">
        <v>681</v>
      </c>
      <c r="DQ9" s="127">
        <v>681</v>
      </c>
      <c r="DR9" s="127" t="s">
        <v>524</v>
      </c>
      <c r="DS9" s="127" t="s">
        <v>523</v>
      </c>
      <c r="DT9" s="127" t="s">
        <v>26</v>
      </c>
      <c r="DU9" s="128" t="s">
        <v>525</v>
      </c>
      <c r="DV9" s="128" t="s">
        <v>355</v>
      </c>
      <c r="DW9" s="128" t="s">
        <v>26</v>
      </c>
      <c r="DX9" s="128" t="s">
        <v>26</v>
      </c>
      <c r="DY9" s="128">
        <v>255</v>
      </c>
      <c r="DZ9" s="128" t="s">
        <v>364</v>
      </c>
      <c r="EA9" s="128" t="s">
        <v>365</v>
      </c>
      <c r="EB9" s="128" t="s">
        <v>26</v>
      </c>
      <c r="EC9" s="128">
        <v>190</v>
      </c>
      <c r="ED9" s="128" t="s">
        <v>498</v>
      </c>
      <c r="EE9" s="128" t="s">
        <v>370</v>
      </c>
      <c r="EF9" s="128" t="s">
        <v>26</v>
      </c>
      <c r="EG9" s="128" t="s">
        <v>26</v>
      </c>
      <c r="EH9" s="128" t="s">
        <v>26</v>
      </c>
      <c r="EI9" s="128" t="s">
        <v>26</v>
      </c>
      <c r="EJ9" s="128" t="s">
        <v>26</v>
      </c>
      <c r="EK9" s="128" t="s">
        <v>527</v>
      </c>
      <c r="EL9" s="128" t="s">
        <v>528</v>
      </c>
      <c r="EM9" s="128" t="s">
        <v>467</v>
      </c>
      <c r="EN9" s="128" t="s">
        <v>26</v>
      </c>
      <c r="EO9" s="128" t="s">
        <v>379</v>
      </c>
      <c r="EP9" s="128" t="s">
        <v>26</v>
      </c>
      <c r="EQ9" s="7" t="s">
        <v>529</v>
      </c>
      <c r="ER9" s="128" t="s">
        <v>26</v>
      </c>
      <c r="ES9" s="128" t="s">
        <v>26</v>
      </c>
      <c r="ET9" s="128" t="s">
        <v>26</v>
      </c>
      <c r="EU9" s="128" t="s">
        <v>26</v>
      </c>
      <c r="EV9" s="128" t="s">
        <v>26</v>
      </c>
      <c r="EW9" s="129">
        <v>1327</v>
      </c>
      <c r="EX9" s="129" t="s">
        <v>26</v>
      </c>
      <c r="EY9" s="130">
        <v>89</v>
      </c>
      <c r="EZ9" s="130">
        <v>89</v>
      </c>
      <c r="FA9" s="130" t="s">
        <v>499</v>
      </c>
      <c r="FB9" s="130" t="s">
        <v>500</v>
      </c>
      <c r="FC9" s="130" t="s">
        <v>26</v>
      </c>
      <c r="FD9" s="129" t="s">
        <v>26</v>
      </c>
      <c r="FE9" s="129" t="s">
        <v>26</v>
      </c>
      <c r="FF9" s="131" t="s">
        <v>530</v>
      </c>
    </row>
    <row r="10" spans="1:162" ht="19" customHeight="1" x14ac:dyDescent="0.2">
      <c r="A10" s="3" t="s">
        <v>507</v>
      </c>
      <c r="B10" s="50" t="str">
        <f>'Start here when entering data'!$D$11</f>
        <v>Hyland</v>
      </c>
      <c r="C10" s="50">
        <f>'Start here when entering data'!$D$12</f>
        <v>2013</v>
      </c>
      <c r="D10" s="3" t="str">
        <f>'Start here when entering data'!$D$13</f>
        <v>10.1016/j.palaeo.2012.10.011</v>
      </c>
      <c r="E10" s="75">
        <f t="shared" si="0"/>
        <v>51200</v>
      </c>
      <c r="F10" s="75">
        <f t="shared" si="1"/>
        <v>200</v>
      </c>
      <c r="G10" s="51">
        <f t="shared" si="2"/>
        <v>200</v>
      </c>
      <c r="H10" s="84">
        <f t="shared" si="3"/>
        <v>1205</v>
      </c>
      <c r="I10" s="84">
        <f t="shared" si="4"/>
        <v>239</v>
      </c>
      <c r="J10" s="84">
        <f t="shared" si="5"/>
        <v>239</v>
      </c>
      <c r="K10" s="85" t="str">
        <f>'Start here when entering data'!$D$8</f>
        <v>Jiawei Da</v>
      </c>
      <c r="L10" s="35" t="str">
        <f>'Start here when entering data'!$D$9</f>
        <v>jiawei@utexas.edu</v>
      </c>
      <c r="M10" s="86" t="str">
        <f>'Start here when entering data'!$D$14</f>
        <v>Hyland E G, Sheldon N D. Coupled CO2-climate response during the early Eocene climatic optimum[J]. Palaeogeography, Palaeoclimatology, Palaeoecology, 2013, 369: 125-135.</v>
      </c>
      <c r="N10" s="122" t="s">
        <v>26</v>
      </c>
      <c r="O10" s="122" t="s">
        <v>26</v>
      </c>
      <c r="P10" s="123" t="s">
        <v>514</v>
      </c>
      <c r="Q10" s="123" t="s">
        <v>517</v>
      </c>
      <c r="R10" s="123">
        <v>42.2288</v>
      </c>
      <c r="S10" s="123">
        <v>-108.5307</v>
      </c>
      <c r="T10" s="123" t="s">
        <v>26</v>
      </c>
      <c r="U10" s="123" t="s">
        <v>26</v>
      </c>
      <c r="V10" s="123" t="s">
        <v>26</v>
      </c>
      <c r="W10" s="123" t="s">
        <v>26</v>
      </c>
      <c r="X10" s="123" t="s">
        <v>26</v>
      </c>
      <c r="Y10" s="124">
        <v>61</v>
      </c>
      <c r="Z10" s="125">
        <v>51.2</v>
      </c>
      <c r="AA10" s="125">
        <v>0.2</v>
      </c>
      <c r="AB10" s="125">
        <v>0.2</v>
      </c>
      <c r="AC10" s="125" t="s">
        <v>26</v>
      </c>
      <c r="AD10" s="125" t="s">
        <v>26</v>
      </c>
      <c r="AE10" s="123" t="s">
        <v>26</v>
      </c>
      <c r="AF10" s="123" t="s">
        <v>26</v>
      </c>
      <c r="AG10" s="126">
        <v>-5.7</v>
      </c>
      <c r="AH10" s="126">
        <v>0.1</v>
      </c>
      <c r="AI10" s="126">
        <v>4</v>
      </c>
      <c r="AJ10" s="126" t="s">
        <v>518</v>
      </c>
      <c r="AK10" s="126" t="s">
        <v>26</v>
      </c>
      <c r="AL10" s="126" t="s">
        <v>26</v>
      </c>
      <c r="AM10" s="126" t="s">
        <v>26</v>
      </c>
      <c r="AN10" s="126">
        <v>-22.7</v>
      </c>
      <c r="AO10" s="126">
        <v>0.1</v>
      </c>
      <c r="AP10" s="126">
        <v>2</v>
      </c>
      <c r="AQ10" s="126" t="s">
        <v>518</v>
      </c>
      <c r="AR10" s="126" t="s">
        <v>26</v>
      </c>
      <c r="AS10" s="126" t="s">
        <v>26</v>
      </c>
      <c r="AT10" s="126" t="s">
        <v>26</v>
      </c>
      <c r="AU10" s="126" t="s">
        <v>26</v>
      </c>
      <c r="AV10" s="126">
        <v>-5.13</v>
      </c>
      <c r="AW10" s="126" t="s">
        <v>519</v>
      </c>
      <c r="AX10" s="126" t="s">
        <v>519</v>
      </c>
      <c r="AY10" s="126" t="s">
        <v>26</v>
      </c>
      <c r="AZ10" s="126">
        <v>0</v>
      </c>
      <c r="BA10" s="126" t="s">
        <v>520</v>
      </c>
      <c r="BB10" s="126">
        <v>58.08</v>
      </c>
      <c r="BC10" s="126">
        <v>0.21</v>
      </c>
      <c r="BD10" s="126">
        <v>0.69</v>
      </c>
      <c r="BE10" s="126">
        <v>0.01</v>
      </c>
      <c r="BF10" s="126">
        <v>15.1</v>
      </c>
      <c r="BG10" s="126">
        <v>0.02</v>
      </c>
      <c r="BH10" s="126">
        <v>6.3</v>
      </c>
      <c r="BI10" s="126">
        <v>0.01</v>
      </c>
      <c r="BJ10" s="126">
        <v>0.03</v>
      </c>
      <c r="BK10" s="126">
        <v>0</v>
      </c>
      <c r="BL10" s="126">
        <v>2.58</v>
      </c>
      <c r="BM10" s="126">
        <v>0.01</v>
      </c>
      <c r="BN10" s="126">
        <v>0.57999999999999996</v>
      </c>
      <c r="BO10" s="126">
        <v>0</v>
      </c>
      <c r="BP10" s="126">
        <v>1.55</v>
      </c>
      <c r="BQ10" s="126">
        <v>0.01</v>
      </c>
      <c r="BR10" s="126">
        <v>3.03</v>
      </c>
      <c r="BS10" s="126">
        <v>0.01</v>
      </c>
      <c r="BT10" s="126">
        <v>9.4E-2</v>
      </c>
      <c r="BU10" s="126">
        <v>0</v>
      </c>
      <c r="BV10" s="126">
        <v>0.03</v>
      </c>
      <c r="BW10" s="126">
        <v>0</v>
      </c>
      <c r="BX10" s="126">
        <v>2</v>
      </c>
      <c r="BY10" s="127">
        <v>-22.7</v>
      </c>
      <c r="BZ10" s="127" t="s">
        <v>324</v>
      </c>
      <c r="CA10" s="127" t="s">
        <v>521</v>
      </c>
      <c r="CB10" s="127" t="s">
        <v>26</v>
      </c>
      <c r="CC10" s="127" t="s">
        <v>26</v>
      </c>
      <c r="CD10" s="127" t="s">
        <v>26</v>
      </c>
      <c r="CE10" s="127" t="s">
        <v>26</v>
      </c>
      <c r="CF10" s="127" t="s">
        <v>26</v>
      </c>
      <c r="CG10" s="127">
        <v>-6</v>
      </c>
      <c r="CH10" s="127" t="s">
        <v>494</v>
      </c>
      <c r="CI10" s="127" t="s">
        <v>26</v>
      </c>
      <c r="CJ10" s="127" t="s">
        <v>521</v>
      </c>
      <c r="CK10" s="127" t="s">
        <v>26</v>
      </c>
      <c r="CL10" s="127" t="s">
        <v>26</v>
      </c>
      <c r="CM10" s="127" t="s">
        <v>26</v>
      </c>
      <c r="CN10" s="127" t="s">
        <v>26</v>
      </c>
      <c r="CO10" s="127">
        <v>15.3</v>
      </c>
      <c r="CP10" s="127" t="s">
        <v>335</v>
      </c>
      <c r="CQ10" s="127" t="s">
        <v>26</v>
      </c>
      <c r="CR10" s="127" t="s">
        <v>26</v>
      </c>
      <c r="CS10" s="127" t="s">
        <v>26</v>
      </c>
      <c r="CT10" s="127" t="s">
        <v>522</v>
      </c>
      <c r="CU10" s="127">
        <v>4.0999999999999996</v>
      </c>
      <c r="CV10" s="127" t="s">
        <v>523</v>
      </c>
      <c r="CW10" s="127" t="s">
        <v>26</v>
      </c>
      <c r="CX10" s="127" t="s">
        <v>26</v>
      </c>
      <c r="CY10" s="127" t="s">
        <v>26</v>
      </c>
      <c r="CZ10" s="127" t="s">
        <v>26</v>
      </c>
      <c r="DA10" s="127">
        <v>-15.8</v>
      </c>
      <c r="DB10" s="127" t="s">
        <v>26</v>
      </c>
      <c r="DC10" s="127">
        <v>0.54</v>
      </c>
      <c r="DD10" s="127">
        <v>0</v>
      </c>
      <c r="DE10" s="127">
        <v>842</v>
      </c>
      <c r="DF10" s="127" t="s">
        <v>346</v>
      </c>
      <c r="DG10" s="127" t="s">
        <v>26</v>
      </c>
      <c r="DH10" s="127" t="s">
        <v>26</v>
      </c>
      <c r="DI10" s="127" t="s">
        <v>26</v>
      </c>
      <c r="DJ10" s="127">
        <v>182</v>
      </c>
      <c r="DK10" s="127" t="s">
        <v>523</v>
      </c>
      <c r="DL10" s="127" t="s">
        <v>26</v>
      </c>
      <c r="DM10" s="127">
        <v>4502</v>
      </c>
      <c r="DN10" s="127" t="s">
        <v>349</v>
      </c>
      <c r="DO10" s="127" t="s">
        <v>26</v>
      </c>
      <c r="DP10" s="127">
        <v>681</v>
      </c>
      <c r="DQ10" s="127">
        <v>681</v>
      </c>
      <c r="DR10" s="127" t="s">
        <v>524</v>
      </c>
      <c r="DS10" s="127" t="s">
        <v>523</v>
      </c>
      <c r="DT10" s="127" t="s">
        <v>26</v>
      </c>
      <c r="DU10" s="128" t="s">
        <v>526</v>
      </c>
      <c r="DV10" s="128" t="s">
        <v>355</v>
      </c>
      <c r="DW10" s="128" t="s">
        <v>26</v>
      </c>
      <c r="DX10" s="128" t="s">
        <v>26</v>
      </c>
      <c r="DY10" s="128">
        <v>50</v>
      </c>
      <c r="DZ10" s="128" t="s">
        <v>364</v>
      </c>
      <c r="EA10" s="128" t="s">
        <v>365</v>
      </c>
      <c r="EB10" s="128" t="s">
        <v>26</v>
      </c>
      <c r="EC10" s="128">
        <v>0</v>
      </c>
      <c r="ED10" s="128" t="s">
        <v>498</v>
      </c>
      <c r="EE10" s="128" t="s">
        <v>370</v>
      </c>
      <c r="EF10" s="128" t="s">
        <v>26</v>
      </c>
      <c r="EG10" s="128" t="s">
        <v>26</v>
      </c>
      <c r="EH10" s="128" t="s">
        <v>26</v>
      </c>
      <c r="EI10" s="128" t="s">
        <v>26</v>
      </c>
      <c r="EJ10" s="128" t="s">
        <v>26</v>
      </c>
      <c r="EK10" s="128" t="s">
        <v>527</v>
      </c>
      <c r="EL10" s="128" t="s">
        <v>528</v>
      </c>
      <c r="EM10" s="128" t="s">
        <v>467</v>
      </c>
      <c r="EN10" s="128" t="s">
        <v>26</v>
      </c>
      <c r="EO10" s="128" t="s">
        <v>379</v>
      </c>
      <c r="EP10" s="128" t="s">
        <v>26</v>
      </c>
      <c r="EQ10" s="7" t="s">
        <v>529</v>
      </c>
      <c r="ER10" s="128" t="s">
        <v>26</v>
      </c>
      <c r="ES10" s="128" t="s">
        <v>26</v>
      </c>
      <c r="ET10" s="128" t="s">
        <v>26</v>
      </c>
      <c r="EU10" s="128" t="s">
        <v>26</v>
      </c>
      <c r="EV10" s="128" t="s">
        <v>26</v>
      </c>
      <c r="EW10" s="129">
        <v>1205</v>
      </c>
      <c r="EX10" s="129" t="s">
        <v>26</v>
      </c>
      <c r="EY10" s="130">
        <v>239</v>
      </c>
      <c r="EZ10" s="130">
        <v>239</v>
      </c>
      <c r="FA10" s="130" t="s">
        <v>499</v>
      </c>
      <c r="FB10" s="130" t="s">
        <v>500</v>
      </c>
      <c r="FC10" s="130" t="s">
        <v>26</v>
      </c>
      <c r="FD10" s="129" t="s">
        <v>26</v>
      </c>
      <c r="FE10" s="129" t="s">
        <v>26</v>
      </c>
      <c r="FF10" s="131" t="s">
        <v>530</v>
      </c>
    </row>
    <row r="11" spans="1:162" ht="19" customHeight="1" x14ac:dyDescent="0.2">
      <c r="A11" s="3" t="s">
        <v>507</v>
      </c>
      <c r="B11" s="50" t="str">
        <f>'Start here when entering data'!$D$11</f>
        <v>Hyland</v>
      </c>
      <c r="C11" s="50">
        <f>'Start here when entering data'!$D$12</f>
        <v>2013</v>
      </c>
      <c r="D11" s="3" t="str">
        <f>'Start here when entering data'!$D$13</f>
        <v>10.1016/j.palaeo.2012.10.011</v>
      </c>
      <c r="E11" s="75">
        <f t="shared" si="0"/>
        <v>50900</v>
      </c>
      <c r="F11" s="75">
        <f t="shared" si="1"/>
        <v>200</v>
      </c>
      <c r="G11" s="51">
        <f t="shared" si="2"/>
        <v>200</v>
      </c>
      <c r="H11" s="84">
        <f t="shared" si="3"/>
        <v>198</v>
      </c>
      <c r="I11" s="84">
        <f t="shared" si="4"/>
        <v>59</v>
      </c>
      <c r="J11" s="84">
        <f t="shared" si="5"/>
        <v>59</v>
      </c>
      <c r="K11" s="85" t="str">
        <f>'Start here when entering data'!$D$8</f>
        <v>Jiawei Da</v>
      </c>
      <c r="L11" s="35" t="str">
        <f>'Start here when entering data'!$D$9</f>
        <v>jiawei@utexas.edu</v>
      </c>
      <c r="M11" s="86" t="str">
        <f>'Start here when entering data'!$D$14</f>
        <v>Hyland E G, Sheldon N D. Coupled CO2-climate response during the early Eocene climatic optimum[J]. Palaeogeography, Palaeoclimatology, Palaeoecology, 2013, 369: 125-135.</v>
      </c>
      <c r="N11" s="122" t="s">
        <v>26</v>
      </c>
      <c r="O11" s="122" t="s">
        <v>26</v>
      </c>
      <c r="P11" s="123" t="s">
        <v>488</v>
      </c>
      <c r="Q11" s="123" t="s">
        <v>517</v>
      </c>
      <c r="R11" s="123">
        <v>42.2179</v>
      </c>
      <c r="S11" s="123">
        <v>-108.545</v>
      </c>
      <c r="T11" s="123" t="s">
        <v>26</v>
      </c>
      <c r="U11" s="123" t="s">
        <v>26</v>
      </c>
      <c r="V11" s="123" t="s">
        <v>26</v>
      </c>
      <c r="W11" s="123" t="s">
        <v>26</v>
      </c>
      <c r="X11" s="123" t="s">
        <v>26</v>
      </c>
      <c r="Y11" s="124">
        <v>78.5</v>
      </c>
      <c r="Z11" s="125">
        <v>50.9</v>
      </c>
      <c r="AA11" s="125">
        <v>0.2</v>
      </c>
      <c r="AB11" s="125">
        <v>0.2</v>
      </c>
      <c r="AC11" s="125" t="s">
        <v>26</v>
      </c>
      <c r="AD11" s="125" t="s">
        <v>26</v>
      </c>
      <c r="AE11" s="123" t="s">
        <v>26</v>
      </c>
      <c r="AF11" s="123" t="s">
        <v>26</v>
      </c>
      <c r="AG11" s="126">
        <v>-7.5</v>
      </c>
      <c r="AH11" s="126">
        <v>0.5</v>
      </c>
      <c r="AI11" s="126">
        <v>6</v>
      </c>
      <c r="AJ11" s="126" t="s">
        <v>518</v>
      </c>
      <c r="AK11" s="126">
        <v>-22.7</v>
      </c>
      <c r="AL11" s="126">
        <v>0.4</v>
      </c>
      <c r="AM11" s="126">
        <v>2</v>
      </c>
      <c r="AN11" s="126">
        <v>-23</v>
      </c>
      <c r="AO11" s="126">
        <v>0.3</v>
      </c>
      <c r="AP11" s="126">
        <v>2</v>
      </c>
      <c r="AQ11" s="126" t="s">
        <v>518</v>
      </c>
      <c r="AR11" s="126" t="s">
        <v>26</v>
      </c>
      <c r="AS11" s="126" t="s">
        <v>26</v>
      </c>
      <c r="AT11" s="126" t="s">
        <v>26</v>
      </c>
      <c r="AU11" s="126" t="s">
        <v>26</v>
      </c>
      <c r="AV11" s="126">
        <v>-8.49</v>
      </c>
      <c r="AW11" s="126" t="s">
        <v>519</v>
      </c>
      <c r="AX11" s="126" t="s">
        <v>519</v>
      </c>
      <c r="AY11" s="126" t="s">
        <v>26</v>
      </c>
      <c r="AZ11" s="126">
        <v>60</v>
      </c>
      <c r="BA11" s="126" t="s">
        <v>520</v>
      </c>
      <c r="BB11" s="126">
        <v>63.56</v>
      </c>
      <c r="BC11" s="126">
        <v>0.09</v>
      </c>
      <c r="BD11" s="126">
        <v>0.71</v>
      </c>
      <c r="BE11" s="126">
        <v>0.02</v>
      </c>
      <c r="BF11" s="126">
        <v>13.76</v>
      </c>
      <c r="BG11" s="126">
        <v>0.1</v>
      </c>
      <c r="BH11" s="126">
        <v>6.3</v>
      </c>
      <c r="BI11" s="126">
        <v>0.01</v>
      </c>
      <c r="BJ11" s="126">
        <v>0.04</v>
      </c>
      <c r="BK11" s="126">
        <v>0</v>
      </c>
      <c r="BL11" s="126">
        <v>2.29</v>
      </c>
      <c r="BM11" s="126">
        <v>0.01</v>
      </c>
      <c r="BN11" s="126">
        <v>0.72</v>
      </c>
      <c r="BO11" s="126">
        <v>0</v>
      </c>
      <c r="BP11" s="126">
        <v>1.59</v>
      </c>
      <c r="BQ11" s="126">
        <v>0.01</v>
      </c>
      <c r="BR11" s="126">
        <v>2.5299999999999998</v>
      </c>
      <c r="BS11" s="126">
        <v>0.01</v>
      </c>
      <c r="BT11" s="126">
        <v>9.0999999999999998E-2</v>
      </c>
      <c r="BU11" s="126">
        <v>0</v>
      </c>
      <c r="BV11" s="126">
        <v>0.03</v>
      </c>
      <c r="BW11" s="126">
        <v>0</v>
      </c>
      <c r="BX11" s="126">
        <v>2</v>
      </c>
      <c r="BY11" s="127">
        <v>-23</v>
      </c>
      <c r="BZ11" s="127" t="s">
        <v>324</v>
      </c>
      <c r="CA11" s="127" t="s">
        <v>521</v>
      </c>
      <c r="CB11" s="127" t="s">
        <v>26</v>
      </c>
      <c r="CC11" s="127" t="s">
        <v>26</v>
      </c>
      <c r="CD11" s="127" t="s">
        <v>26</v>
      </c>
      <c r="CE11" s="127" t="s">
        <v>26</v>
      </c>
      <c r="CF11" s="127" t="s">
        <v>26</v>
      </c>
      <c r="CG11" s="127">
        <v>-5.6</v>
      </c>
      <c r="CH11" s="127" t="s">
        <v>495</v>
      </c>
      <c r="CI11" s="127" t="s">
        <v>26</v>
      </c>
      <c r="CJ11" s="127" t="s">
        <v>521</v>
      </c>
      <c r="CK11" s="127" t="s">
        <v>26</v>
      </c>
      <c r="CL11" s="127" t="s">
        <v>26</v>
      </c>
      <c r="CM11" s="127" t="s">
        <v>26</v>
      </c>
      <c r="CN11" s="127" t="s">
        <v>26</v>
      </c>
      <c r="CO11" s="127">
        <v>11.7</v>
      </c>
      <c r="CP11" s="127" t="s">
        <v>335</v>
      </c>
      <c r="CQ11" s="127" t="s">
        <v>26</v>
      </c>
      <c r="CR11" s="127" t="s">
        <v>26</v>
      </c>
      <c r="CS11" s="127" t="s">
        <v>26</v>
      </c>
      <c r="CT11" s="127" t="s">
        <v>522</v>
      </c>
      <c r="CU11" s="127">
        <v>4.0999999999999996</v>
      </c>
      <c r="CV11" s="127" t="s">
        <v>523</v>
      </c>
      <c r="CW11" s="127" t="s">
        <v>26</v>
      </c>
      <c r="CX11" s="127" t="s">
        <v>26</v>
      </c>
      <c r="CY11" s="127" t="s">
        <v>26</v>
      </c>
      <c r="CZ11" s="127" t="s">
        <v>26</v>
      </c>
      <c r="DA11" s="127">
        <v>-17.899999999999999</v>
      </c>
      <c r="DB11" s="127" t="s">
        <v>26</v>
      </c>
      <c r="DC11" s="127">
        <v>0.14000000000000001</v>
      </c>
      <c r="DD11" s="127">
        <v>60</v>
      </c>
      <c r="DE11" s="127">
        <v>579</v>
      </c>
      <c r="DF11" s="127" t="s">
        <v>346</v>
      </c>
      <c r="DG11" s="127" t="s">
        <v>26</v>
      </c>
      <c r="DH11" s="127" t="s">
        <v>26</v>
      </c>
      <c r="DI11" s="127" t="s">
        <v>26</v>
      </c>
      <c r="DJ11" s="127">
        <v>182</v>
      </c>
      <c r="DK11" s="127" t="s">
        <v>523</v>
      </c>
      <c r="DL11" s="127" t="s">
        <v>26</v>
      </c>
      <c r="DM11" s="127">
        <v>3015</v>
      </c>
      <c r="DN11" s="127" t="s">
        <v>349</v>
      </c>
      <c r="DO11" s="127" t="s">
        <v>26</v>
      </c>
      <c r="DP11" s="127">
        <v>681</v>
      </c>
      <c r="DQ11" s="127">
        <v>681</v>
      </c>
      <c r="DR11" s="127" t="s">
        <v>524</v>
      </c>
      <c r="DS11" s="127" t="s">
        <v>523</v>
      </c>
      <c r="DT11" s="127" t="s">
        <v>26</v>
      </c>
      <c r="DU11" s="128" t="s">
        <v>525</v>
      </c>
      <c r="DV11" s="128" t="s">
        <v>355</v>
      </c>
      <c r="DW11" s="128" t="s">
        <v>26</v>
      </c>
      <c r="DX11" s="128" t="s">
        <v>26</v>
      </c>
      <c r="DY11" s="128">
        <v>95</v>
      </c>
      <c r="DZ11" s="128" t="s">
        <v>364</v>
      </c>
      <c r="EA11" s="128" t="s">
        <v>365</v>
      </c>
      <c r="EB11" s="128" t="s">
        <v>26</v>
      </c>
      <c r="EC11" s="128">
        <v>60</v>
      </c>
      <c r="ED11" s="128" t="s">
        <v>498</v>
      </c>
      <c r="EE11" s="128" t="s">
        <v>370</v>
      </c>
      <c r="EF11" s="128" t="s">
        <v>26</v>
      </c>
      <c r="EG11" s="128" t="s">
        <v>26</v>
      </c>
      <c r="EH11" s="128" t="s">
        <v>26</v>
      </c>
      <c r="EI11" s="128" t="s">
        <v>26</v>
      </c>
      <c r="EJ11" s="128" t="s">
        <v>26</v>
      </c>
      <c r="EK11" s="128" t="s">
        <v>527</v>
      </c>
      <c r="EL11" s="128" t="s">
        <v>528</v>
      </c>
      <c r="EM11" s="128" t="s">
        <v>467</v>
      </c>
      <c r="EN11" s="128" t="s">
        <v>26</v>
      </c>
      <c r="EO11" s="128" t="s">
        <v>379</v>
      </c>
      <c r="EP11" s="128" t="s">
        <v>26</v>
      </c>
      <c r="EQ11" s="7" t="s">
        <v>529</v>
      </c>
      <c r="ER11" s="128" t="s">
        <v>26</v>
      </c>
      <c r="ES11" s="128" t="s">
        <v>26</v>
      </c>
      <c r="ET11" s="128" t="s">
        <v>26</v>
      </c>
      <c r="EU11" s="128" t="s">
        <v>26</v>
      </c>
      <c r="EV11" s="128" t="s">
        <v>26</v>
      </c>
      <c r="EW11" s="129">
        <v>198</v>
      </c>
      <c r="EX11" s="129" t="s">
        <v>26</v>
      </c>
      <c r="EY11" s="130">
        <v>59</v>
      </c>
      <c r="EZ11" s="130">
        <v>59</v>
      </c>
      <c r="FA11" s="130" t="s">
        <v>499</v>
      </c>
      <c r="FB11" s="130" t="s">
        <v>500</v>
      </c>
      <c r="FC11" s="130" t="s">
        <v>26</v>
      </c>
      <c r="FD11" s="129" t="s">
        <v>26</v>
      </c>
      <c r="FE11" s="129" t="s">
        <v>26</v>
      </c>
      <c r="FF11" s="131" t="s">
        <v>530</v>
      </c>
    </row>
    <row r="12" spans="1:162" ht="19" customHeight="1" x14ac:dyDescent="0.2">
      <c r="A12" s="3" t="s">
        <v>507</v>
      </c>
      <c r="B12" s="50" t="str">
        <f>'Start here when entering data'!$D$11</f>
        <v>Hyland</v>
      </c>
      <c r="C12" s="50">
        <f>'Start here when entering data'!$D$12</f>
        <v>2013</v>
      </c>
      <c r="D12" s="3" t="str">
        <f>'Start here when entering data'!$D$13</f>
        <v>10.1016/j.palaeo.2012.10.011</v>
      </c>
      <c r="E12" s="75">
        <f t="shared" si="0"/>
        <v>50700</v>
      </c>
      <c r="F12" s="75">
        <f t="shared" si="1"/>
        <v>200</v>
      </c>
      <c r="G12" s="51">
        <f t="shared" si="2"/>
        <v>200</v>
      </c>
      <c r="H12" s="84">
        <f t="shared" si="3"/>
        <v>368</v>
      </c>
      <c r="I12" s="84">
        <f t="shared" si="4"/>
        <v>183</v>
      </c>
      <c r="J12" s="84">
        <f t="shared" si="5"/>
        <v>183</v>
      </c>
      <c r="K12" s="85" t="str">
        <f>'Start here when entering data'!$D$8</f>
        <v>Jiawei Da</v>
      </c>
      <c r="L12" s="35" t="str">
        <f>'Start here when entering data'!$D$9</f>
        <v>jiawei@utexas.edu</v>
      </c>
      <c r="M12" s="86" t="str">
        <f>'Start here when entering data'!$D$14</f>
        <v>Hyland E G, Sheldon N D. Coupled CO2-climate response during the early Eocene climatic optimum[J]. Palaeogeography, Palaeoclimatology, Palaeoecology, 2013, 369: 125-135.</v>
      </c>
      <c r="N12" s="122" t="s">
        <v>26</v>
      </c>
      <c r="O12" s="122" t="s">
        <v>26</v>
      </c>
      <c r="P12" s="123" t="s">
        <v>515</v>
      </c>
      <c r="Q12" s="123" t="s">
        <v>517</v>
      </c>
      <c r="R12" s="123">
        <v>42.2288</v>
      </c>
      <c r="S12" s="123">
        <v>-108.5307</v>
      </c>
      <c r="T12" s="123" t="s">
        <v>26</v>
      </c>
      <c r="U12" s="123" t="s">
        <v>26</v>
      </c>
      <c r="V12" s="123" t="s">
        <v>26</v>
      </c>
      <c r="W12" s="123" t="s">
        <v>26</v>
      </c>
      <c r="X12" s="123" t="s">
        <v>26</v>
      </c>
      <c r="Y12" s="124">
        <v>94.5</v>
      </c>
      <c r="Z12" s="125">
        <v>50.7</v>
      </c>
      <c r="AA12" s="125">
        <v>0.2</v>
      </c>
      <c r="AB12" s="125">
        <v>0.2</v>
      </c>
      <c r="AC12" s="125" t="s">
        <v>26</v>
      </c>
      <c r="AD12" s="125" t="s">
        <v>26</v>
      </c>
      <c r="AE12" s="123" t="s">
        <v>26</v>
      </c>
      <c r="AF12" s="123" t="s">
        <v>26</v>
      </c>
      <c r="AG12" s="126">
        <v>-6.1</v>
      </c>
      <c r="AH12" s="126">
        <v>0.1</v>
      </c>
      <c r="AI12" s="126">
        <v>3</v>
      </c>
      <c r="AJ12" s="126" t="s">
        <v>518</v>
      </c>
      <c r="AK12" s="126">
        <v>-22.9</v>
      </c>
      <c r="AL12" s="126">
        <v>0.3</v>
      </c>
      <c r="AM12" s="126">
        <v>2</v>
      </c>
      <c r="AN12" s="126">
        <v>-23.1</v>
      </c>
      <c r="AO12" s="126">
        <v>0.2</v>
      </c>
      <c r="AP12" s="126">
        <v>2</v>
      </c>
      <c r="AQ12" s="126" t="s">
        <v>518</v>
      </c>
      <c r="AR12" s="126" t="s">
        <v>26</v>
      </c>
      <c r="AS12" s="126" t="s">
        <v>26</v>
      </c>
      <c r="AT12" s="126" t="s">
        <v>26</v>
      </c>
      <c r="AU12" s="126" t="s">
        <v>26</v>
      </c>
      <c r="AV12" s="126">
        <v>-4.09</v>
      </c>
      <c r="AW12" s="126" t="s">
        <v>519</v>
      </c>
      <c r="AX12" s="126" t="s">
        <v>519</v>
      </c>
      <c r="AY12" s="126" t="s">
        <v>26</v>
      </c>
      <c r="AZ12" s="126">
        <v>90</v>
      </c>
      <c r="BA12" s="126" t="s">
        <v>520</v>
      </c>
      <c r="BB12" s="126">
        <v>49.18</v>
      </c>
      <c r="BC12" s="126">
        <v>0.14000000000000001</v>
      </c>
      <c r="BD12" s="126">
        <v>0.37</v>
      </c>
      <c r="BE12" s="126">
        <v>0.01</v>
      </c>
      <c r="BF12" s="126">
        <v>9.43</v>
      </c>
      <c r="BG12" s="126">
        <v>7.0000000000000007E-2</v>
      </c>
      <c r="BH12" s="126">
        <v>3.13</v>
      </c>
      <c r="BI12" s="126">
        <v>0.01</v>
      </c>
      <c r="BJ12" s="126">
        <v>0.28999999999999998</v>
      </c>
      <c r="BK12" s="126">
        <v>0.01</v>
      </c>
      <c r="BL12" s="126">
        <v>1.9</v>
      </c>
      <c r="BM12" s="126">
        <v>0.01</v>
      </c>
      <c r="BN12" s="126">
        <v>13.78</v>
      </c>
      <c r="BO12" s="126">
        <v>0.1</v>
      </c>
      <c r="BP12" s="126">
        <v>1.64</v>
      </c>
      <c r="BQ12" s="126">
        <v>0.01</v>
      </c>
      <c r="BR12" s="126">
        <v>2.0099999999999998</v>
      </c>
      <c r="BS12" s="126">
        <v>0.01</v>
      </c>
      <c r="BT12" s="126">
        <v>0.38400000000000001</v>
      </c>
      <c r="BU12" s="126">
        <v>0</v>
      </c>
      <c r="BV12" s="126">
        <v>0.02</v>
      </c>
      <c r="BW12" s="126">
        <v>0</v>
      </c>
      <c r="BX12" s="126">
        <v>2</v>
      </c>
      <c r="BY12" s="127">
        <v>-23.1</v>
      </c>
      <c r="BZ12" s="127" t="s">
        <v>324</v>
      </c>
      <c r="CA12" s="127" t="s">
        <v>521</v>
      </c>
      <c r="CB12" s="127" t="s">
        <v>26</v>
      </c>
      <c r="CC12" s="127" t="s">
        <v>26</v>
      </c>
      <c r="CD12" s="127" t="s">
        <v>26</v>
      </c>
      <c r="CE12" s="127" t="s">
        <v>26</v>
      </c>
      <c r="CF12" s="127" t="s">
        <v>26</v>
      </c>
      <c r="CG12" s="127">
        <v>-5.6</v>
      </c>
      <c r="CH12" s="127" t="s">
        <v>496</v>
      </c>
      <c r="CI12" s="127" t="s">
        <v>26</v>
      </c>
      <c r="CJ12" s="127" t="s">
        <v>521</v>
      </c>
      <c r="CK12" s="127" t="s">
        <v>26</v>
      </c>
      <c r="CL12" s="127" t="s">
        <v>26</v>
      </c>
      <c r="CM12" s="127" t="s">
        <v>26</v>
      </c>
      <c r="CN12" s="127" t="s">
        <v>26</v>
      </c>
      <c r="CO12" s="127">
        <v>10.9</v>
      </c>
      <c r="CP12" s="127" t="s">
        <v>335</v>
      </c>
      <c r="CQ12" s="127" t="s">
        <v>26</v>
      </c>
      <c r="CR12" s="127" t="s">
        <v>26</v>
      </c>
      <c r="CS12" s="127" t="s">
        <v>26</v>
      </c>
      <c r="CT12" s="127" t="s">
        <v>522</v>
      </c>
      <c r="CU12" s="127">
        <v>4.0999999999999996</v>
      </c>
      <c r="CV12" s="127" t="s">
        <v>523</v>
      </c>
      <c r="CW12" s="127" t="s">
        <v>26</v>
      </c>
      <c r="CX12" s="127" t="s">
        <v>26</v>
      </c>
      <c r="CY12" s="127" t="s">
        <v>26</v>
      </c>
      <c r="CZ12" s="127" t="s">
        <v>26</v>
      </c>
      <c r="DA12" s="127">
        <v>-16.600000000000001</v>
      </c>
      <c r="DB12" s="127" t="s">
        <v>26</v>
      </c>
      <c r="DC12" s="127">
        <v>0.42</v>
      </c>
      <c r="DD12" s="127">
        <v>90</v>
      </c>
      <c r="DE12" s="127">
        <v>364</v>
      </c>
      <c r="DF12" s="127" t="s">
        <v>346</v>
      </c>
      <c r="DG12" s="127" t="s">
        <v>26</v>
      </c>
      <c r="DH12" s="127" t="s">
        <v>26</v>
      </c>
      <c r="DI12" s="127" t="s">
        <v>26</v>
      </c>
      <c r="DJ12" s="127">
        <v>182</v>
      </c>
      <c r="DK12" s="127" t="s">
        <v>523</v>
      </c>
      <c r="DL12" s="127" t="s">
        <v>26</v>
      </c>
      <c r="DM12" s="127">
        <v>1796</v>
      </c>
      <c r="DN12" s="127" t="s">
        <v>349</v>
      </c>
      <c r="DO12" s="127" t="s">
        <v>26</v>
      </c>
      <c r="DP12" s="127">
        <v>681</v>
      </c>
      <c r="DQ12" s="127">
        <v>681</v>
      </c>
      <c r="DR12" s="127" t="s">
        <v>524</v>
      </c>
      <c r="DS12" s="127" t="s">
        <v>523</v>
      </c>
      <c r="DT12" s="127" t="s">
        <v>26</v>
      </c>
      <c r="DU12" s="128" t="s">
        <v>525</v>
      </c>
      <c r="DV12" s="128" t="s">
        <v>355</v>
      </c>
      <c r="DW12" s="128" t="s">
        <v>26</v>
      </c>
      <c r="DX12" s="128" t="s">
        <v>26</v>
      </c>
      <c r="DY12" s="128">
        <v>170</v>
      </c>
      <c r="DZ12" s="128" t="s">
        <v>364</v>
      </c>
      <c r="EA12" s="128" t="s">
        <v>365</v>
      </c>
      <c r="EB12" s="128" t="s">
        <v>26</v>
      </c>
      <c r="EC12" s="128">
        <v>90</v>
      </c>
      <c r="ED12" s="128" t="s">
        <v>498</v>
      </c>
      <c r="EE12" s="128" t="s">
        <v>370</v>
      </c>
      <c r="EF12" s="128" t="s">
        <v>26</v>
      </c>
      <c r="EG12" s="128" t="s">
        <v>26</v>
      </c>
      <c r="EH12" s="128" t="s">
        <v>26</v>
      </c>
      <c r="EI12" s="128" t="s">
        <v>26</v>
      </c>
      <c r="EJ12" s="128" t="s">
        <v>26</v>
      </c>
      <c r="EK12" s="128" t="s">
        <v>527</v>
      </c>
      <c r="EL12" s="128" t="s">
        <v>528</v>
      </c>
      <c r="EM12" s="128" t="s">
        <v>467</v>
      </c>
      <c r="EN12" s="128" t="s">
        <v>26</v>
      </c>
      <c r="EO12" s="128" t="s">
        <v>379</v>
      </c>
      <c r="EP12" s="128" t="s">
        <v>26</v>
      </c>
      <c r="EQ12" s="7" t="s">
        <v>529</v>
      </c>
      <c r="ER12" s="128" t="s">
        <v>26</v>
      </c>
      <c r="ES12" s="128" t="s">
        <v>26</v>
      </c>
      <c r="ET12" s="128" t="s">
        <v>26</v>
      </c>
      <c r="EU12" s="128" t="s">
        <v>26</v>
      </c>
      <c r="EV12" s="128" t="s">
        <v>26</v>
      </c>
      <c r="EW12" s="129">
        <v>368</v>
      </c>
      <c r="EX12" s="129" t="s">
        <v>26</v>
      </c>
      <c r="EY12" s="130">
        <v>183</v>
      </c>
      <c r="EZ12" s="130">
        <v>183</v>
      </c>
      <c r="FA12" s="130" t="s">
        <v>499</v>
      </c>
      <c r="FB12" s="130" t="s">
        <v>500</v>
      </c>
      <c r="FC12" s="130" t="s">
        <v>26</v>
      </c>
      <c r="FD12" s="129" t="s">
        <v>26</v>
      </c>
      <c r="FE12" s="129" t="s">
        <v>26</v>
      </c>
      <c r="FF12" s="131" t="s">
        <v>530</v>
      </c>
    </row>
    <row r="13" spans="1:162" ht="19" customHeight="1" x14ac:dyDescent="0.2">
      <c r="A13" s="3" t="s">
        <v>507</v>
      </c>
      <c r="B13" s="50" t="str">
        <f>'Start here when entering data'!$D$11</f>
        <v>Hyland</v>
      </c>
      <c r="C13" s="50">
        <f>'Start here when entering data'!$D$12</f>
        <v>2013</v>
      </c>
      <c r="D13" s="3" t="str">
        <f>'Start here when entering data'!$D$13</f>
        <v>10.1016/j.palaeo.2012.10.011</v>
      </c>
      <c r="E13" s="75">
        <f t="shared" si="0"/>
        <v>50500</v>
      </c>
      <c r="F13" s="75">
        <f t="shared" si="1"/>
        <v>200</v>
      </c>
      <c r="G13" s="51">
        <f t="shared" si="2"/>
        <v>200</v>
      </c>
      <c r="H13" s="84">
        <f t="shared" si="3"/>
        <v>685</v>
      </c>
      <c r="I13" s="84">
        <f t="shared" si="4"/>
        <v>119</v>
      </c>
      <c r="J13" s="84">
        <f t="shared" si="5"/>
        <v>119</v>
      </c>
      <c r="K13" s="85" t="str">
        <f>'Start here when entering data'!$D$8</f>
        <v>Jiawei Da</v>
      </c>
      <c r="L13" s="35" t="str">
        <f>'Start here when entering data'!$D$9</f>
        <v>jiawei@utexas.edu</v>
      </c>
      <c r="M13" s="86" t="str">
        <f>'Start here when entering data'!$D$14</f>
        <v>Hyland E G, Sheldon N D. Coupled CO2-climate response during the early Eocene climatic optimum[J]. Palaeogeography, Palaeoclimatology, Palaeoecology, 2013, 369: 125-135.</v>
      </c>
      <c r="N13" s="122" t="s">
        <v>26</v>
      </c>
      <c r="O13" s="122" t="s">
        <v>26</v>
      </c>
      <c r="P13" s="123" t="s">
        <v>516</v>
      </c>
      <c r="Q13" s="123" t="s">
        <v>517</v>
      </c>
      <c r="R13" s="123">
        <v>42.2179</v>
      </c>
      <c r="S13" s="123">
        <v>-108.545</v>
      </c>
      <c r="T13" s="123" t="s">
        <v>26</v>
      </c>
      <c r="U13" s="123" t="s">
        <v>26</v>
      </c>
      <c r="V13" s="123" t="s">
        <v>26</v>
      </c>
      <c r="W13" s="123" t="s">
        <v>26</v>
      </c>
      <c r="X13" s="123" t="s">
        <v>26</v>
      </c>
      <c r="Y13" s="124">
        <v>112</v>
      </c>
      <c r="Z13" s="125">
        <v>50.5</v>
      </c>
      <c r="AA13" s="125">
        <v>0.2</v>
      </c>
      <c r="AB13" s="125">
        <v>0.2</v>
      </c>
      <c r="AC13" s="125" t="s">
        <v>26</v>
      </c>
      <c r="AD13" s="125" t="s">
        <v>26</v>
      </c>
      <c r="AE13" s="123" t="s">
        <v>26</v>
      </c>
      <c r="AF13" s="123" t="s">
        <v>26</v>
      </c>
      <c r="AG13" s="126">
        <v>-6.5</v>
      </c>
      <c r="AH13" s="126">
        <v>0.2</v>
      </c>
      <c r="AI13" s="126">
        <v>4</v>
      </c>
      <c r="AJ13" s="126" t="s">
        <v>518</v>
      </c>
      <c r="AK13" s="126">
        <v>-21.7</v>
      </c>
      <c r="AL13" s="126">
        <v>0.3</v>
      </c>
      <c r="AM13" s="126">
        <v>2</v>
      </c>
      <c r="AN13" s="126">
        <v>-22.8</v>
      </c>
      <c r="AO13" s="126">
        <v>0.6</v>
      </c>
      <c r="AP13" s="126">
        <v>2</v>
      </c>
      <c r="AQ13" s="126" t="s">
        <v>518</v>
      </c>
      <c r="AR13" s="126" t="s">
        <v>26</v>
      </c>
      <c r="AS13" s="126" t="s">
        <v>26</v>
      </c>
      <c r="AT13" s="126" t="s">
        <v>26</v>
      </c>
      <c r="AU13" s="126" t="s">
        <v>26</v>
      </c>
      <c r="AV13" s="126">
        <v>-5.16</v>
      </c>
      <c r="AW13" s="126" t="s">
        <v>519</v>
      </c>
      <c r="AX13" s="126" t="s">
        <v>519</v>
      </c>
      <c r="AY13" s="126" t="s">
        <v>26</v>
      </c>
      <c r="AZ13" s="126">
        <v>85</v>
      </c>
      <c r="BA13" s="126" t="s">
        <v>520</v>
      </c>
      <c r="BB13" s="126">
        <v>58.36</v>
      </c>
      <c r="BC13" s="126">
        <v>0.16</v>
      </c>
      <c r="BD13" s="126">
        <v>0.74</v>
      </c>
      <c r="BE13" s="126">
        <v>0.03</v>
      </c>
      <c r="BF13" s="126">
        <v>14.96</v>
      </c>
      <c r="BG13" s="126">
        <v>0.05</v>
      </c>
      <c r="BH13" s="126">
        <v>6.22</v>
      </c>
      <c r="BI13" s="126">
        <v>0.01</v>
      </c>
      <c r="BJ13" s="126">
        <v>0.03</v>
      </c>
      <c r="BK13" s="126">
        <v>0</v>
      </c>
      <c r="BL13" s="126">
        <v>2.33</v>
      </c>
      <c r="BM13" s="126">
        <v>0.01</v>
      </c>
      <c r="BN13" s="126">
        <v>0.83</v>
      </c>
      <c r="BO13" s="126">
        <v>0</v>
      </c>
      <c r="BP13" s="126">
        <v>2.06</v>
      </c>
      <c r="BQ13" s="126">
        <v>0.01</v>
      </c>
      <c r="BR13" s="126">
        <v>2.4900000000000002</v>
      </c>
      <c r="BS13" s="126">
        <v>0.01</v>
      </c>
      <c r="BT13" s="126">
        <v>0.17599999999999999</v>
      </c>
      <c r="BU13" s="126">
        <v>0</v>
      </c>
      <c r="BV13" s="126">
        <v>0.02</v>
      </c>
      <c r="BW13" s="126">
        <v>0</v>
      </c>
      <c r="BX13" s="126">
        <v>2</v>
      </c>
      <c r="BY13" s="127">
        <v>-22.8</v>
      </c>
      <c r="BZ13" s="127" t="s">
        <v>324</v>
      </c>
      <c r="CA13" s="127" t="s">
        <v>521</v>
      </c>
      <c r="CB13" s="127" t="s">
        <v>26</v>
      </c>
      <c r="CC13" s="127" t="s">
        <v>26</v>
      </c>
      <c r="CD13" s="127" t="s">
        <v>26</v>
      </c>
      <c r="CE13" s="127" t="s">
        <v>26</v>
      </c>
      <c r="CF13" s="127" t="s">
        <v>26</v>
      </c>
      <c r="CG13" s="127">
        <v>-5.6</v>
      </c>
      <c r="CH13" s="127" t="s">
        <v>497</v>
      </c>
      <c r="CI13" s="127" t="s">
        <v>26</v>
      </c>
      <c r="CJ13" s="127" t="s">
        <v>521</v>
      </c>
      <c r="CK13" s="127" t="s">
        <v>26</v>
      </c>
      <c r="CL13" s="127" t="s">
        <v>26</v>
      </c>
      <c r="CM13" s="127" t="s">
        <v>26</v>
      </c>
      <c r="CN13" s="127" t="s">
        <v>26</v>
      </c>
      <c r="CO13" s="127">
        <v>10.9</v>
      </c>
      <c r="CP13" s="127" t="s">
        <v>335</v>
      </c>
      <c r="CQ13" s="127" t="s">
        <v>26</v>
      </c>
      <c r="CR13" s="127" t="s">
        <v>26</v>
      </c>
      <c r="CS13" s="127" t="s">
        <v>26</v>
      </c>
      <c r="CT13" s="127" t="s">
        <v>522</v>
      </c>
      <c r="CU13" s="127">
        <v>4.0999999999999996</v>
      </c>
      <c r="CV13" s="127" t="s">
        <v>523</v>
      </c>
      <c r="CW13" s="127" t="s">
        <v>26</v>
      </c>
      <c r="CX13" s="127" t="s">
        <v>26</v>
      </c>
      <c r="CY13" s="127" t="s">
        <v>26</v>
      </c>
      <c r="CZ13" s="127" t="s">
        <v>26</v>
      </c>
      <c r="DA13" s="127">
        <v>-17</v>
      </c>
      <c r="DB13" s="127" t="s">
        <v>26</v>
      </c>
      <c r="DC13" s="127">
        <v>0.26</v>
      </c>
      <c r="DD13" s="127">
        <v>85</v>
      </c>
      <c r="DE13" s="127">
        <v>952</v>
      </c>
      <c r="DF13" s="127" t="s">
        <v>346</v>
      </c>
      <c r="DG13" s="127" t="s">
        <v>26</v>
      </c>
      <c r="DH13" s="127" t="s">
        <v>26</v>
      </c>
      <c r="DI13" s="127" t="s">
        <v>26</v>
      </c>
      <c r="DJ13" s="127">
        <v>182</v>
      </c>
      <c r="DK13" s="127" t="s">
        <v>523</v>
      </c>
      <c r="DL13" s="127" t="s">
        <v>26</v>
      </c>
      <c r="DM13" s="127">
        <v>5126</v>
      </c>
      <c r="DN13" s="127" t="s">
        <v>349</v>
      </c>
      <c r="DO13" s="127" t="s">
        <v>26</v>
      </c>
      <c r="DP13" s="127">
        <v>681</v>
      </c>
      <c r="DQ13" s="127">
        <v>681</v>
      </c>
      <c r="DR13" s="127" t="s">
        <v>524</v>
      </c>
      <c r="DS13" s="127" t="s">
        <v>523</v>
      </c>
      <c r="DT13" s="127" t="s">
        <v>26</v>
      </c>
      <c r="DU13" s="128" t="s">
        <v>525</v>
      </c>
      <c r="DV13" s="128" t="s">
        <v>355</v>
      </c>
      <c r="DW13" s="128" t="s">
        <v>26</v>
      </c>
      <c r="DX13" s="128" t="s">
        <v>26</v>
      </c>
      <c r="DY13" s="128">
        <v>160</v>
      </c>
      <c r="DZ13" s="128" t="s">
        <v>364</v>
      </c>
      <c r="EA13" s="128" t="s">
        <v>365</v>
      </c>
      <c r="EB13" s="128" t="s">
        <v>26</v>
      </c>
      <c r="EC13" s="128">
        <v>85</v>
      </c>
      <c r="ED13" s="128" t="s">
        <v>498</v>
      </c>
      <c r="EE13" s="128" t="s">
        <v>370</v>
      </c>
      <c r="EF13" s="128" t="s">
        <v>26</v>
      </c>
      <c r="EG13" s="128" t="s">
        <v>26</v>
      </c>
      <c r="EH13" s="128" t="s">
        <v>26</v>
      </c>
      <c r="EI13" s="128" t="s">
        <v>26</v>
      </c>
      <c r="EJ13" s="128" t="s">
        <v>26</v>
      </c>
      <c r="EK13" s="128" t="s">
        <v>527</v>
      </c>
      <c r="EL13" s="128" t="s">
        <v>528</v>
      </c>
      <c r="EM13" s="128" t="s">
        <v>467</v>
      </c>
      <c r="EN13" s="128" t="s">
        <v>26</v>
      </c>
      <c r="EO13" s="128" t="s">
        <v>379</v>
      </c>
      <c r="EP13" s="128" t="s">
        <v>26</v>
      </c>
      <c r="EQ13" s="7" t="s">
        <v>529</v>
      </c>
      <c r="ER13" s="128" t="s">
        <v>26</v>
      </c>
      <c r="ES13" s="128" t="s">
        <v>26</v>
      </c>
      <c r="ET13" s="128" t="s">
        <v>26</v>
      </c>
      <c r="EU13" s="128" t="s">
        <v>26</v>
      </c>
      <c r="EV13" s="128" t="s">
        <v>26</v>
      </c>
      <c r="EW13" s="129">
        <v>685</v>
      </c>
      <c r="EX13" s="129" t="s">
        <v>26</v>
      </c>
      <c r="EY13" s="130">
        <v>119</v>
      </c>
      <c r="EZ13" s="130">
        <v>119</v>
      </c>
      <c r="FA13" s="130" t="s">
        <v>499</v>
      </c>
      <c r="FB13" s="130" t="s">
        <v>500</v>
      </c>
      <c r="FC13" s="130" t="s">
        <v>26</v>
      </c>
      <c r="FD13" s="129" t="s">
        <v>26</v>
      </c>
      <c r="FE13" s="129" t="s">
        <v>26</v>
      </c>
      <c r="FF13" s="131" t="s">
        <v>530</v>
      </c>
    </row>
    <row r="14" spans="1:162" ht="19" customHeight="1" x14ac:dyDescent="0.2">
      <c r="A14" s="3"/>
      <c r="B14" s="50"/>
      <c r="C14" s="50"/>
      <c r="D14" s="3"/>
      <c r="E14" s="75"/>
      <c r="F14" s="75"/>
      <c r="G14" s="51"/>
      <c r="H14" s="84"/>
      <c r="I14" s="84"/>
      <c r="J14" s="84"/>
      <c r="K14" s="85"/>
      <c r="M14" s="86"/>
      <c r="N14" s="122"/>
      <c r="O14" s="122"/>
      <c r="P14" s="123"/>
      <c r="Q14" s="123"/>
      <c r="R14" s="123"/>
      <c r="S14" s="123"/>
      <c r="T14" s="123"/>
      <c r="U14" s="123"/>
      <c r="V14" s="123"/>
      <c r="W14" s="123"/>
      <c r="X14" s="123"/>
      <c r="Y14" s="124"/>
      <c r="Z14" s="125"/>
      <c r="AA14" s="125"/>
      <c r="AB14" s="125"/>
      <c r="AC14" s="125"/>
      <c r="AD14" s="125"/>
      <c r="AE14" s="123"/>
      <c r="AF14" s="123"/>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7"/>
      <c r="BZ14" s="127"/>
      <c r="CA14" s="127"/>
      <c r="CB14" s="127"/>
      <c r="CC14" s="127"/>
      <c r="CD14" s="127"/>
      <c r="CE14" s="127"/>
      <c r="CF14" s="127"/>
      <c r="CG14" s="127"/>
      <c r="CH14" s="127"/>
      <c r="CI14" s="127"/>
      <c r="CJ14" s="127"/>
      <c r="CK14" s="127"/>
      <c r="CL14" s="127"/>
      <c r="CM14" s="127"/>
      <c r="CN14" s="127"/>
      <c r="CO14" s="127"/>
      <c r="CP14" s="127"/>
      <c r="CQ14" s="127"/>
      <c r="CR14" s="127"/>
      <c r="CS14" s="127"/>
      <c r="CT14" s="127"/>
      <c r="CU14" s="127"/>
      <c r="CV14" s="127"/>
      <c r="CW14" s="127"/>
      <c r="CX14" s="127"/>
      <c r="CY14" s="127"/>
      <c r="CZ14" s="127"/>
      <c r="DA14" s="127"/>
      <c r="DB14" s="127"/>
      <c r="DC14" s="127"/>
      <c r="DD14" s="127"/>
      <c r="DE14" s="127"/>
      <c r="DF14" s="127"/>
      <c r="DG14" s="127"/>
      <c r="DH14" s="127"/>
      <c r="DI14" s="127"/>
      <c r="DJ14" s="127"/>
      <c r="DK14" s="127"/>
      <c r="DL14" s="127"/>
      <c r="DM14" s="127"/>
      <c r="DN14" s="127"/>
      <c r="DO14" s="127"/>
      <c r="DP14" s="127"/>
      <c r="DQ14" s="127"/>
      <c r="DR14" s="127"/>
      <c r="DS14" s="127"/>
      <c r="DT14" s="127"/>
      <c r="DU14" s="128"/>
      <c r="DV14" s="128"/>
      <c r="DW14" s="128"/>
      <c r="DX14" s="128"/>
      <c r="DY14" s="128"/>
      <c r="DZ14" s="128"/>
      <c r="EA14" s="128"/>
      <c r="EB14" s="128"/>
      <c r="EC14" s="128"/>
      <c r="ED14" s="128"/>
      <c r="EE14" s="128"/>
      <c r="EF14" s="128"/>
      <c r="EG14" s="128"/>
      <c r="EH14" s="128"/>
      <c r="EI14" s="128"/>
      <c r="EJ14" s="128"/>
      <c r="EK14" s="128"/>
      <c r="EL14" s="128"/>
      <c r="EM14" s="128"/>
      <c r="EN14" s="128"/>
      <c r="EO14" s="128"/>
      <c r="EP14" s="128"/>
      <c r="EQ14" s="128"/>
      <c r="ER14" s="128"/>
      <c r="ES14" s="128"/>
      <c r="ET14" s="128"/>
      <c r="EU14" s="128"/>
      <c r="EV14" s="128"/>
      <c r="EW14" s="129"/>
      <c r="EX14" s="129"/>
      <c r="EY14" s="129"/>
      <c r="EZ14" s="129"/>
      <c r="FA14" s="130"/>
      <c r="FB14" s="130"/>
      <c r="FC14" s="130"/>
      <c r="FD14" s="129"/>
      <c r="FE14" s="129"/>
      <c r="FF14" s="131"/>
    </row>
    <row r="15" spans="1:162" ht="19" customHeight="1" x14ac:dyDescent="0.2">
      <c r="A15" s="3"/>
      <c r="B15" s="50"/>
      <c r="C15" s="50"/>
      <c r="D15" s="3"/>
      <c r="E15" s="75"/>
      <c r="F15" s="75"/>
      <c r="G15" s="51"/>
      <c r="H15" s="84"/>
      <c r="I15" s="84"/>
      <c r="J15" s="84"/>
      <c r="K15" s="85"/>
      <c r="M15" s="86"/>
      <c r="N15" s="122"/>
      <c r="O15" s="122"/>
      <c r="P15" s="123"/>
      <c r="Q15" s="123"/>
      <c r="R15" s="123"/>
      <c r="S15" s="123"/>
      <c r="T15" s="123"/>
      <c r="U15" s="123"/>
      <c r="V15" s="123"/>
      <c r="W15" s="123"/>
      <c r="X15" s="123"/>
      <c r="Y15" s="124"/>
      <c r="Z15" s="125"/>
      <c r="AA15" s="125"/>
      <c r="AB15" s="125"/>
      <c r="AC15" s="125"/>
      <c r="AD15" s="125"/>
      <c r="AE15" s="123"/>
      <c r="AF15" s="123"/>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7"/>
      <c r="BZ15" s="127"/>
      <c r="CA15" s="127"/>
      <c r="CB15" s="127"/>
      <c r="CC15" s="127"/>
      <c r="CD15" s="127"/>
      <c r="CE15" s="127"/>
      <c r="CF15" s="127"/>
      <c r="CG15" s="127"/>
      <c r="CH15" s="127"/>
      <c r="CI15" s="127"/>
      <c r="CJ15" s="127"/>
      <c r="CK15" s="127"/>
      <c r="CL15" s="127"/>
      <c r="CM15" s="127"/>
      <c r="CN15" s="127"/>
      <c r="CO15" s="127"/>
      <c r="CP15" s="127"/>
      <c r="CQ15" s="127"/>
      <c r="CR15" s="127"/>
      <c r="CS15" s="127"/>
      <c r="CT15" s="127"/>
      <c r="CU15" s="127"/>
      <c r="CV15" s="127"/>
      <c r="CW15" s="127"/>
      <c r="CX15" s="127"/>
      <c r="CY15" s="127"/>
      <c r="CZ15" s="127"/>
      <c r="DA15" s="127"/>
      <c r="DB15" s="127"/>
      <c r="DC15" s="127"/>
      <c r="DD15" s="127"/>
      <c r="DE15" s="127"/>
      <c r="DF15" s="127"/>
      <c r="DG15" s="127"/>
      <c r="DH15" s="127"/>
      <c r="DI15" s="127"/>
      <c r="DJ15" s="127"/>
      <c r="DK15" s="127"/>
      <c r="DL15" s="127"/>
      <c r="DM15" s="127"/>
      <c r="DN15" s="127"/>
      <c r="DO15" s="127"/>
      <c r="DP15" s="127"/>
      <c r="DQ15" s="127"/>
      <c r="DR15" s="127"/>
      <c r="DS15" s="127"/>
      <c r="DT15" s="127"/>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9"/>
      <c r="EX15" s="129"/>
      <c r="EY15" s="129"/>
      <c r="EZ15" s="129"/>
      <c r="FA15" s="130"/>
      <c r="FB15" s="130"/>
      <c r="FC15" s="130"/>
      <c r="FD15" s="129"/>
      <c r="FE15" s="129"/>
      <c r="FF15" s="131"/>
    </row>
    <row r="16" spans="1:162" ht="19" customHeight="1" x14ac:dyDescent="0.2">
      <c r="A16" s="3"/>
      <c r="B16" s="50"/>
      <c r="C16" s="50"/>
      <c r="D16" s="3"/>
      <c r="E16" s="75"/>
      <c r="F16" s="75"/>
      <c r="G16" s="51"/>
      <c r="H16" s="84"/>
      <c r="I16" s="84"/>
      <c r="J16" s="84"/>
      <c r="K16" s="85"/>
      <c r="M16" s="86"/>
      <c r="N16" s="122"/>
      <c r="O16" s="122"/>
      <c r="P16" s="123"/>
      <c r="Q16" s="123"/>
      <c r="R16" s="123"/>
      <c r="S16" s="123"/>
      <c r="T16" s="123"/>
      <c r="U16" s="123"/>
      <c r="V16" s="123"/>
      <c r="W16" s="123"/>
      <c r="X16" s="123"/>
      <c r="Y16" s="124"/>
      <c r="Z16" s="125"/>
      <c r="AA16" s="125"/>
      <c r="AB16" s="125"/>
      <c r="AC16" s="125"/>
      <c r="AD16" s="125"/>
      <c r="AE16" s="123"/>
      <c r="AF16" s="123"/>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7"/>
      <c r="BZ16" s="127"/>
      <c r="CA16" s="127"/>
      <c r="CB16" s="127"/>
      <c r="CC16" s="127"/>
      <c r="CD16" s="127"/>
      <c r="CE16" s="127"/>
      <c r="CF16" s="127"/>
      <c r="CG16" s="127"/>
      <c r="CH16" s="127"/>
      <c r="CI16" s="127"/>
      <c r="CJ16" s="127"/>
      <c r="CK16" s="127"/>
      <c r="CL16" s="127"/>
      <c r="CM16" s="127"/>
      <c r="CN16" s="127"/>
      <c r="CO16" s="127"/>
      <c r="CP16" s="127"/>
      <c r="CQ16" s="127"/>
      <c r="CR16" s="127"/>
      <c r="CS16" s="127"/>
      <c r="CT16" s="127"/>
      <c r="CU16" s="127"/>
      <c r="CV16" s="127"/>
      <c r="CW16" s="127"/>
      <c r="CX16" s="127"/>
      <c r="CY16" s="127"/>
      <c r="CZ16" s="127"/>
      <c r="DA16" s="127"/>
      <c r="DB16" s="127"/>
      <c r="DC16" s="127"/>
      <c r="DD16" s="127"/>
      <c r="DE16" s="127"/>
      <c r="DF16" s="127"/>
      <c r="DG16" s="127"/>
      <c r="DH16" s="127"/>
      <c r="DI16" s="127"/>
      <c r="DJ16" s="127"/>
      <c r="DK16" s="127"/>
      <c r="DL16" s="127"/>
      <c r="DM16" s="127"/>
      <c r="DN16" s="127"/>
      <c r="DO16" s="127"/>
      <c r="DP16" s="127"/>
      <c r="DQ16" s="127"/>
      <c r="DR16" s="127"/>
      <c r="DS16" s="127"/>
      <c r="DT16" s="127"/>
      <c r="DU16" s="128"/>
      <c r="DV16" s="128"/>
      <c r="DW16" s="128"/>
      <c r="DX16" s="128"/>
      <c r="DY16" s="128"/>
      <c r="DZ16" s="128"/>
      <c r="EA16" s="128"/>
      <c r="EB16" s="128"/>
      <c r="EC16" s="128"/>
      <c r="ED16" s="128"/>
      <c r="EE16" s="128"/>
      <c r="EF16" s="128"/>
      <c r="EG16" s="128"/>
      <c r="EH16" s="128"/>
      <c r="EI16" s="128"/>
      <c r="EJ16" s="128"/>
      <c r="EK16" s="128"/>
      <c r="EL16" s="128"/>
      <c r="EM16" s="128"/>
      <c r="EN16" s="128"/>
      <c r="EO16" s="128"/>
      <c r="EP16" s="128"/>
      <c r="EQ16" s="128"/>
      <c r="ER16" s="128"/>
      <c r="ES16" s="128"/>
      <c r="ET16" s="128"/>
      <c r="EU16" s="128"/>
      <c r="EV16" s="128"/>
      <c r="EW16" s="129"/>
      <c r="EX16" s="129"/>
      <c r="EY16" s="129"/>
      <c r="EZ16" s="129"/>
      <c r="FA16" s="130"/>
      <c r="FB16" s="130"/>
      <c r="FC16" s="130"/>
      <c r="FD16" s="129"/>
      <c r="FE16" s="129"/>
      <c r="FF16" s="131"/>
    </row>
    <row r="17" spans="1:162" ht="19" customHeight="1" x14ac:dyDescent="0.2">
      <c r="A17" s="3"/>
      <c r="B17" s="50"/>
      <c r="C17" s="50"/>
      <c r="D17" s="3"/>
      <c r="E17" s="75"/>
      <c r="F17" s="75"/>
      <c r="G17" s="51"/>
      <c r="H17" s="84"/>
      <c r="I17" s="84"/>
      <c r="J17" s="84"/>
      <c r="K17" s="85"/>
      <c r="M17" s="86"/>
      <c r="N17" s="122"/>
      <c r="O17" s="122"/>
      <c r="P17" s="123"/>
      <c r="Q17" s="123"/>
      <c r="R17" s="123"/>
      <c r="S17" s="123"/>
      <c r="T17" s="123"/>
      <c r="U17" s="123"/>
      <c r="V17" s="123"/>
      <c r="W17" s="123"/>
      <c r="X17" s="123"/>
      <c r="Y17" s="124"/>
      <c r="Z17" s="125"/>
      <c r="AA17" s="125"/>
      <c r="AB17" s="125"/>
      <c r="AC17" s="125"/>
      <c r="AD17" s="125"/>
      <c r="AE17" s="123"/>
      <c r="AF17" s="123"/>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7"/>
      <c r="BZ17" s="127"/>
      <c r="CA17" s="127"/>
      <c r="CB17" s="127"/>
      <c r="CC17" s="127"/>
      <c r="CD17" s="127"/>
      <c r="CE17" s="127"/>
      <c r="CF17" s="127"/>
      <c r="CG17" s="127"/>
      <c r="CH17" s="127"/>
      <c r="CI17" s="127"/>
      <c r="CJ17" s="127"/>
      <c r="CK17" s="127"/>
      <c r="CL17" s="127"/>
      <c r="CM17" s="127"/>
      <c r="CN17" s="127"/>
      <c r="CO17" s="127"/>
      <c r="CP17" s="127"/>
      <c r="CQ17" s="127"/>
      <c r="CR17" s="127"/>
      <c r="CS17" s="127"/>
      <c r="CT17" s="127"/>
      <c r="CU17" s="127"/>
      <c r="CV17" s="127"/>
      <c r="CW17" s="127"/>
      <c r="CX17" s="127"/>
      <c r="CY17" s="127"/>
      <c r="CZ17" s="127"/>
      <c r="DA17" s="127"/>
      <c r="DB17" s="127"/>
      <c r="DC17" s="127"/>
      <c r="DD17" s="127"/>
      <c r="DE17" s="127"/>
      <c r="DF17" s="127"/>
      <c r="DG17" s="127"/>
      <c r="DH17" s="127"/>
      <c r="DI17" s="127"/>
      <c r="DJ17" s="127"/>
      <c r="DK17" s="127"/>
      <c r="DL17" s="127"/>
      <c r="DM17" s="127"/>
      <c r="DN17" s="127"/>
      <c r="DO17" s="127"/>
      <c r="DP17" s="127"/>
      <c r="DQ17" s="127"/>
      <c r="DR17" s="127"/>
      <c r="DS17" s="127"/>
      <c r="DT17" s="127"/>
      <c r="DU17" s="128"/>
      <c r="DV17" s="128"/>
      <c r="DW17" s="128"/>
      <c r="DX17" s="128"/>
      <c r="DY17" s="128"/>
      <c r="DZ17" s="128"/>
      <c r="EA17" s="128"/>
      <c r="EB17" s="128"/>
      <c r="EC17" s="128"/>
      <c r="ED17" s="128"/>
      <c r="EE17" s="128"/>
      <c r="EF17" s="128"/>
      <c r="EG17" s="128"/>
      <c r="EH17" s="128"/>
      <c r="EI17" s="128"/>
      <c r="EJ17" s="128"/>
      <c r="EK17" s="128"/>
      <c r="EL17" s="128"/>
      <c r="EM17" s="128"/>
      <c r="EN17" s="128"/>
      <c r="EO17" s="128"/>
      <c r="EP17" s="128"/>
      <c r="EQ17" s="128"/>
      <c r="ER17" s="128"/>
      <c r="ES17" s="128"/>
      <c r="ET17" s="128"/>
      <c r="EU17" s="128"/>
      <c r="EV17" s="128"/>
      <c r="EW17" s="129"/>
      <c r="EX17" s="129"/>
      <c r="EY17" s="129"/>
      <c r="EZ17" s="129"/>
      <c r="FA17" s="130"/>
      <c r="FB17" s="130"/>
      <c r="FC17" s="130"/>
      <c r="FD17" s="129"/>
      <c r="FE17" s="129"/>
      <c r="FF17" s="131"/>
    </row>
    <row r="18" spans="1:162" ht="19" customHeight="1" x14ac:dyDescent="0.2">
      <c r="A18" s="3"/>
      <c r="B18" s="50"/>
      <c r="C18" s="50"/>
      <c r="D18" s="3"/>
      <c r="E18" s="75"/>
      <c r="F18" s="75"/>
      <c r="G18" s="51"/>
      <c r="H18" s="84"/>
      <c r="I18" s="84"/>
      <c r="J18" s="84"/>
      <c r="K18" s="85"/>
      <c r="M18" s="86"/>
      <c r="N18" s="122"/>
      <c r="O18" s="122"/>
      <c r="P18" s="123"/>
      <c r="Q18" s="123"/>
      <c r="R18" s="123"/>
      <c r="S18" s="123"/>
      <c r="T18" s="123"/>
      <c r="U18" s="123"/>
      <c r="V18" s="123"/>
      <c r="W18" s="123"/>
      <c r="X18" s="123"/>
      <c r="Y18" s="124"/>
      <c r="Z18" s="125"/>
      <c r="AA18" s="125"/>
      <c r="AB18" s="125"/>
      <c r="AC18" s="125"/>
      <c r="AD18" s="125"/>
      <c r="AE18" s="123"/>
      <c r="AF18" s="123"/>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7"/>
      <c r="BZ18" s="127"/>
      <c r="CA18" s="127"/>
      <c r="CB18" s="127"/>
      <c r="CC18" s="127"/>
      <c r="CD18" s="127"/>
      <c r="CE18" s="127"/>
      <c r="CF18" s="127"/>
      <c r="CG18" s="127"/>
      <c r="CH18" s="127"/>
      <c r="CI18" s="127"/>
      <c r="CJ18" s="127"/>
      <c r="CK18" s="127"/>
      <c r="CL18" s="127"/>
      <c r="CM18" s="127"/>
      <c r="CN18" s="127"/>
      <c r="CO18" s="127"/>
      <c r="CP18" s="127"/>
      <c r="CQ18" s="127"/>
      <c r="CR18" s="127"/>
      <c r="CS18" s="127"/>
      <c r="CT18" s="127"/>
      <c r="CU18" s="127"/>
      <c r="CV18" s="127"/>
      <c r="CW18" s="127"/>
      <c r="CX18" s="127"/>
      <c r="CY18" s="127"/>
      <c r="CZ18" s="127"/>
      <c r="DA18" s="127"/>
      <c r="DB18" s="127"/>
      <c r="DC18" s="127"/>
      <c r="DD18" s="127"/>
      <c r="DE18" s="127"/>
      <c r="DF18" s="127"/>
      <c r="DG18" s="127"/>
      <c r="DH18" s="127"/>
      <c r="DI18" s="127"/>
      <c r="DJ18" s="127"/>
      <c r="DK18" s="127"/>
      <c r="DL18" s="127"/>
      <c r="DM18" s="127"/>
      <c r="DN18" s="127"/>
      <c r="DO18" s="127"/>
      <c r="DP18" s="127"/>
      <c r="DQ18" s="127"/>
      <c r="DR18" s="127"/>
      <c r="DS18" s="127"/>
      <c r="DT18" s="127"/>
      <c r="DU18" s="128"/>
      <c r="DV18" s="128"/>
      <c r="DW18" s="128"/>
      <c r="DX18" s="128"/>
      <c r="DY18" s="128"/>
      <c r="DZ18" s="128"/>
      <c r="EA18" s="128"/>
      <c r="EB18" s="128"/>
      <c r="EC18" s="128"/>
      <c r="ED18" s="128"/>
      <c r="EE18" s="128"/>
      <c r="EF18" s="128"/>
      <c r="EG18" s="128"/>
      <c r="EH18" s="128"/>
      <c r="EI18" s="128"/>
      <c r="EJ18" s="128"/>
      <c r="EK18" s="128"/>
      <c r="EL18" s="128"/>
      <c r="EM18" s="128"/>
      <c r="EN18" s="128"/>
      <c r="EO18" s="128"/>
      <c r="EP18" s="128"/>
      <c r="EQ18" s="128"/>
      <c r="ER18" s="128"/>
      <c r="ES18" s="128"/>
      <c r="ET18" s="128"/>
      <c r="EU18" s="128"/>
      <c r="EV18" s="128"/>
      <c r="EW18" s="129"/>
      <c r="EX18" s="129"/>
      <c r="EY18" s="129"/>
      <c r="EZ18" s="129"/>
      <c r="FA18" s="130"/>
      <c r="FB18" s="130"/>
      <c r="FC18" s="130"/>
      <c r="FD18" s="129"/>
      <c r="FE18" s="129"/>
      <c r="FF18" s="131"/>
    </row>
    <row r="19" spans="1:162" ht="19" customHeight="1" x14ac:dyDescent="0.2">
      <c r="A19" s="3"/>
      <c r="B19" s="50"/>
      <c r="C19" s="50"/>
      <c r="D19" s="3"/>
      <c r="E19" s="75"/>
      <c r="F19" s="75"/>
      <c r="G19" s="51"/>
      <c r="H19" s="84"/>
      <c r="I19" s="84"/>
      <c r="J19" s="84"/>
      <c r="K19" s="85"/>
      <c r="M19" s="86"/>
      <c r="N19" s="122"/>
      <c r="O19" s="122"/>
      <c r="P19" s="123"/>
      <c r="Q19" s="123"/>
      <c r="R19" s="123"/>
      <c r="S19" s="123"/>
      <c r="T19" s="123"/>
      <c r="U19" s="123"/>
      <c r="V19" s="123"/>
      <c r="W19" s="123"/>
      <c r="X19" s="123"/>
      <c r="Y19" s="124"/>
      <c r="Z19" s="125"/>
      <c r="AA19" s="125"/>
      <c r="AB19" s="125"/>
      <c r="AC19" s="125"/>
      <c r="AD19" s="125"/>
      <c r="AE19" s="123"/>
      <c r="AF19" s="123"/>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7"/>
      <c r="BZ19" s="127"/>
      <c r="CA19" s="127"/>
      <c r="CB19" s="127"/>
      <c r="CC19" s="127"/>
      <c r="CD19" s="127"/>
      <c r="CE19" s="127"/>
      <c r="CF19" s="127"/>
      <c r="CG19" s="127"/>
      <c r="CH19" s="127"/>
      <c r="CI19" s="127"/>
      <c r="CJ19" s="127"/>
      <c r="CK19" s="127"/>
      <c r="CL19" s="127"/>
      <c r="CM19" s="127"/>
      <c r="CN19" s="127"/>
      <c r="CO19" s="127"/>
      <c r="CP19" s="127"/>
      <c r="CQ19" s="127"/>
      <c r="CR19" s="127"/>
      <c r="CS19" s="127"/>
      <c r="CT19" s="127"/>
      <c r="CU19" s="127"/>
      <c r="CV19" s="127"/>
      <c r="CW19" s="127"/>
      <c r="CX19" s="127"/>
      <c r="CY19" s="127"/>
      <c r="CZ19" s="127"/>
      <c r="DA19" s="127"/>
      <c r="DB19" s="127"/>
      <c r="DC19" s="127"/>
      <c r="DD19" s="127"/>
      <c r="DE19" s="127"/>
      <c r="DF19" s="127"/>
      <c r="DG19" s="127"/>
      <c r="DH19" s="127"/>
      <c r="DI19" s="127"/>
      <c r="DJ19" s="127"/>
      <c r="DK19" s="127"/>
      <c r="DL19" s="127"/>
      <c r="DM19" s="127"/>
      <c r="DN19" s="127"/>
      <c r="DO19" s="127"/>
      <c r="DP19" s="127"/>
      <c r="DQ19" s="127"/>
      <c r="DR19" s="127"/>
      <c r="DS19" s="127"/>
      <c r="DT19" s="127"/>
      <c r="DU19" s="128"/>
      <c r="DV19" s="128"/>
      <c r="DW19" s="128"/>
      <c r="DX19" s="128"/>
      <c r="DY19" s="128"/>
      <c r="DZ19" s="128"/>
      <c r="EA19" s="128"/>
      <c r="EB19" s="128"/>
      <c r="EC19" s="128"/>
      <c r="ED19" s="128"/>
      <c r="EE19" s="128"/>
      <c r="EF19" s="128"/>
      <c r="EG19" s="128"/>
      <c r="EH19" s="128"/>
      <c r="EI19" s="128"/>
      <c r="EJ19" s="128"/>
      <c r="EK19" s="128"/>
      <c r="EL19" s="128"/>
      <c r="EM19" s="128"/>
      <c r="EN19" s="128"/>
      <c r="EO19" s="128"/>
      <c r="EP19" s="128"/>
      <c r="EQ19" s="128"/>
      <c r="ER19" s="128"/>
      <c r="ES19" s="128"/>
      <c r="ET19" s="128"/>
      <c r="EU19" s="128"/>
      <c r="EV19" s="128"/>
      <c r="EW19" s="129"/>
      <c r="EX19" s="129"/>
      <c r="EY19" s="129"/>
      <c r="EZ19" s="129"/>
      <c r="FA19" s="130"/>
      <c r="FB19" s="130"/>
      <c r="FC19" s="130"/>
      <c r="FD19" s="129"/>
      <c r="FE19" s="129"/>
      <c r="FF19" s="131"/>
    </row>
    <row r="20" spans="1:162" ht="19" customHeight="1" x14ac:dyDescent="0.2">
      <c r="A20" s="3"/>
      <c r="B20" s="50"/>
      <c r="C20" s="50"/>
      <c r="D20" s="3"/>
      <c r="E20" s="75"/>
      <c r="F20" s="75"/>
      <c r="G20" s="51"/>
      <c r="H20" s="84"/>
      <c r="I20" s="84"/>
      <c r="J20" s="84"/>
      <c r="K20" s="85"/>
      <c r="M20" s="86"/>
      <c r="N20" s="122"/>
      <c r="O20" s="122"/>
      <c r="P20" s="123"/>
      <c r="Q20" s="123"/>
      <c r="R20" s="123"/>
      <c r="S20" s="123"/>
      <c r="T20" s="123"/>
      <c r="U20" s="123"/>
      <c r="V20" s="123"/>
      <c r="W20" s="123"/>
      <c r="X20" s="123"/>
      <c r="Y20" s="124"/>
      <c r="Z20" s="125"/>
      <c r="AA20" s="125"/>
      <c r="AB20" s="125"/>
      <c r="AC20" s="125"/>
      <c r="AD20" s="125"/>
      <c r="AE20" s="123"/>
      <c r="AF20" s="123"/>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7"/>
      <c r="BZ20" s="127"/>
      <c r="CA20" s="127"/>
      <c r="CB20" s="127"/>
      <c r="CC20" s="127"/>
      <c r="CD20" s="127"/>
      <c r="CE20" s="127"/>
      <c r="CF20" s="127"/>
      <c r="CG20" s="127"/>
      <c r="CH20" s="127"/>
      <c r="CI20" s="127"/>
      <c r="CJ20" s="127"/>
      <c r="CK20" s="127"/>
      <c r="CL20" s="127"/>
      <c r="CM20" s="127"/>
      <c r="CN20" s="127"/>
      <c r="CO20" s="127"/>
      <c r="CP20" s="127"/>
      <c r="CQ20" s="127"/>
      <c r="CR20" s="127"/>
      <c r="CS20" s="127"/>
      <c r="CT20" s="127"/>
      <c r="CU20" s="127"/>
      <c r="CV20" s="127"/>
      <c r="CW20" s="127"/>
      <c r="CX20" s="127"/>
      <c r="CY20" s="127"/>
      <c r="CZ20" s="127"/>
      <c r="DA20" s="127"/>
      <c r="DB20" s="127"/>
      <c r="DC20" s="127"/>
      <c r="DD20" s="127"/>
      <c r="DE20" s="127"/>
      <c r="DF20" s="127"/>
      <c r="DG20" s="127"/>
      <c r="DH20" s="127"/>
      <c r="DI20" s="127"/>
      <c r="DJ20" s="127"/>
      <c r="DK20" s="127"/>
      <c r="DL20" s="127"/>
      <c r="DM20" s="127"/>
      <c r="DN20" s="127"/>
      <c r="DO20" s="127"/>
      <c r="DP20" s="127"/>
      <c r="DQ20" s="127"/>
      <c r="DR20" s="127"/>
      <c r="DS20" s="127"/>
      <c r="DT20" s="127"/>
      <c r="DU20" s="128"/>
      <c r="DV20" s="128"/>
      <c r="DW20" s="128"/>
      <c r="DX20" s="128"/>
      <c r="DY20" s="128"/>
      <c r="DZ20" s="128"/>
      <c r="EA20" s="128"/>
      <c r="EB20" s="128"/>
      <c r="EC20" s="128"/>
      <c r="ED20" s="128"/>
      <c r="EE20" s="128"/>
      <c r="EF20" s="128"/>
      <c r="EG20" s="128"/>
      <c r="EH20" s="128"/>
      <c r="EI20" s="128"/>
      <c r="EJ20" s="128"/>
      <c r="EK20" s="128"/>
      <c r="EL20" s="128"/>
      <c r="EM20" s="128"/>
      <c r="EN20" s="128"/>
      <c r="EO20" s="128"/>
      <c r="EP20" s="128"/>
      <c r="EQ20" s="128"/>
      <c r="ER20" s="128"/>
      <c r="ES20" s="128"/>
      <c r="ET20" s="128"/>
      <c r="EU20" s="128"/>
      <c r="EV20" s="128"/>
      <c r="EW20" s="129"/>
      <c r="EX20" s="129"/>
      <c r="EY20" s="129"/>
      <c r="EZ20" s="129"/>
      <c r="FA20" s="130"/>
      <c r="FB20" s="130"/>
      <c r="FC20" s="130"/>
      <c r="FD20" s="129"/>
      <c r="FE20" s="129"/>
      <c r="FF20" s="131"/>
    </row>
    <row r="21" spans="1:162" ht="19" customHeight="1" x14ac:dyDescent="0.2">
      <c r="A21" s="3"/>
      <c r="B21" s="50"/>
      <c r="C21" s="50"/>
      <c r="D21" s="3"/>
      <c r="E21" s="75"/>
      <c r="F21" s="75"/>
      <c r="G21" s="51"/>
      <c r="H21" s="84"/>
      <c r="I21" s="84"/>
      <c r="J21" s="84"/>
      <c r="K21" s="85"/>
      <c r="M21" s="86"/>
      <c r="N21" s="122"/>
      <c r="O21" s="122"/>
      <c r="P21" s="123"/>
      <c r="Q21" s="123"/>
      <c r="R21" s="123"/>
      <c r="S21" s="123"/>
      <c r="T21" s="123"/>
      <c r="U21" s="123"/>
      <c r="V21" s="123"/>
      <c r="W21" s="123"/>
      <c r="X21" s="123"/>
      <c r="Y21" s="124"/>
      <c r="Z21" s="125"/>
      <c r="AA21" s="125"/>
      <c r="AB21" s="125"/>
      <c r="AC21" s="125"/>
      <c r="AD21" s="125"/>
      <c r="AE21" s="123"/>
      <c r="AF21" s="123"/>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7"/>
      <c r="BZ21" s="127"/>
      <c r="CA21" s="127"/>
      <c r="CB21" s="127"/>
      <c r="CC21" s="127"/>
      <c r="CD21" s="127"/>
      <c r="CE21" s="127"/>
      <c r="CF21" s="127"/>
      <c r="CG21" s="127"/>
      <c r="CH21" s="127"/>
      <c r="CI21" s="127"/>
      <c r="CJ21" s="127"/>
      <c r="CK21" s="127"/>
      <c r="CL21" s="127"/>
      <c r="CM21" s="127"/>
      <c r="CN21" s="127"/>
      <c r="CO21" s="127"/>
      <c r="CP21" s="127"/>
      <c r="CQ21" s="127"/>
      <c r="CR21" s="127"/>
      <c r="CS21" s="127"/>
      <c r="CT21" s="127"/>
      <c r="CU21" s="127"/>
      <c r="CV21" s="127"/>
      <c r="CW21" s="127"/>
      <c r="CX21" s="127"/>
      <c r="CY21" s="127"/>
      <c r="CZ21" s="127"/>
      <c r="DA21" s="127"/>
      <c r="DB21" s="127"/>
      <c r="DC21" s="127"/>
      <c r="DD21" s="127"/>
      <c r="DE21" s="127"/>
      <c r="DF21" s="127"/>
      <c r="DG21" s="127"/>
      <c r="DH21" s="127"/>
      <c r="DI21" s="127"/>
      <c r="DJ21" s="127"/>
      <c r="DK21" s="127"/>
      <c r="DL21" s="127"/>
      <c r="DM21" s="127"/>
      <c r="DN21" s="127"/>
      <c r="DO21" s="127"/>
      <c r="DP21" s="127"/>
      <c r="DQ21" s="127"/>
      <c r="DR21" s="127"/>
      <c r="DS21" s="127"/>
      <c r="DT21" s="127"/>
      <c r="DU21" s="128"/>
      <c r="DV21" s="128"/>
      <c r="DW21" s="128"/>
      <c r="DX21" s="128"/>
      <c r="DY21" s="128"/>
      <c r="DZ21" s="128"/>
      <c r="EA21" s="128"/>
      <c r="EB21" s="128"/>
      <c r="EC21" s="128"/>
      <c r="ED21" s="128"/>
      <c r="EE21" s="128"/>
      <c r="EF21" s="128"/>
      <c r="EG21" s="128"/>
      <c r="EH21" s="128"/>
      <c r="EI21" s="128"/>
      <c r="EJ21" s="128"/>
      <c r="EK21" s="128"/>
      <c r="EL21" s="128"/>
      <c r="EM21" s="128"/>
      <c r="EN21" s="128"/>
      <c r="EO21" s="128"/>
      <c r="EP21" s="128"/>
      <c r="EQ21" s="128"/>
      <c r="ER21" s="128"/>
      <c r="ES21" s="128"/>
      <c r="ET21" s="128"/>
      <c r="EU21" s="128"/>
      <c r="EV21" s="128"/>
      <c r="EW21" s="129"/>
      <c r="EX21" s="129"/>
      <c r="EY21" s="129"/>
      <c r="EZ21" s="129"/>
      <c r="FA21" s="130"/>
      <c r="FB21" s="130"/>
      <c r="FC21" s="130"/>
      <c r="FD21" s="129"/>
      <c r="FE21" s="129"/>
      <c r="FF21" s="131"/>
    </row>
    <row r="22" spans="1:162" ht="19" customHeight="1" x14ac:dyDescent="0.2">
      <c r="A22" s="3"/>
      <c r="B22" s="50"/>
      <c r="C22" s="50"/>
      <c r="D22" s="3"/>
      <c r="E22" s="75"/>
      <c r="F22" s="75"/>
      <c r="G22" s="51"/>
      <c r="H22" s="84"/>
      <c r="I22" s="84"/>
      <c r="J22" s="84"/>
      <c r="K22" s="85"/>
      <c r="M22" s="86"/>
      <c r="N22" s="122"/>
      <c r="O22" s="122"/>
      <c r="P22" s="123"/>
      <c r="Q22" s="123"/>
      <c r="R22" s="123"/>
      <c r="S22" s="123"/>
      <c r="T22" s="123"/>
      <c r="U22" s="123"/>
      <c r="V22" s="123"/>
      <c r="W22" s="123"/>
      <c r="X22" s="123"/>
      <c r="Y22" s="124"/>
      <c r="Z22" s="125"/>
      <c r="AA22" s="125"/>
      <c r="AB22" s="125"/>
      <c r="AC22" s="125"/>
      <c r="AD22" s="125"/>
      <c r="AE22" s="123"/>
      <c r="AF22" s="123"/>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7"/>
      <c r="BZ22" s="127"/>
      <c r="CA22" s="127"/>
      <c r="CB22" s="127"/>
      <c r="CC22" s="127"/>
      <c r="CD22" s="127"/>
      <c r="CE22" s="127"/>
      <c r="CF22" s="127"/>
      <c r="CG22" s="127"/>
      <c r="CH22" s="127"/>
      <c r="CI22" s="127"/>
      <c r="CJ22" s="127"/>
      <c r="CK22" s="127"/>
      <c r="CL22" s="127"/>
      <c r="CM22" s="127"/>
      <c r="CN22" s="127"/>
      <c r="CO22" s="127"/>
      <c r="CP22" s="127"/>
      <c r="CQ22" s="127"/>
      <c r="CR22" s="127"/>
      <c r="CS22" s="127"/>
      <c r="CT22" s="127"/>
      <c r="CU22" s="127"/>
      <c r="CV22" s="127"/>
      <c r="CW22" s="127"/>
      <c r="CX22" s="127"/>
      <c r="CY22" s="127"/>
      <c r="CZ22" s="127"/>
      <c r="DA22" s="127"/>
      <c r="DB22" s="127"/>
      <c r="DC22" s="127"/>
      <c r="DD22" s="127"/>
      <c r="DE22" s="127"/>
      <c r="DF22" s="127"/>
      <c r="DG22" s="127"/>
      <c r="DH22" s="127"/>
      <c r="DI22" s="127"/>
      <c r="DJ22" s="127"/>
      <c r="DK22" s="127"/>
      <c r="DL22" s="127"/>
      <c r="DM22" s="127"/>
      <c r="DN22" s="127"/>
      <c r="DO22" s="127"/>
      <c r="DP22" s="127"/>
      <c r="DQ22" s="127"/>
      <c r="DR22" s="127"/>
      <c r="DS22" s="127"/>
      <c r="DT22" s="127"/>
      <c r="DU22" s="128"/>
      <c r="DV22" s="128"/>
      <c r="DW22" s="128"/>
      <c r="DX22" s="128"/>
      <c r="DY22" s="128"/>
      <c r="DZ22" s="128"/>
      <c r="EA22" s="128"/>
      <c r="EB22" s="128"/>
      <c r="EC22" s="128"/>
      <c r="ED22" s="128"/>
      <c r="EE22" s="128"/>
      <c r="EF22" s="128"/>
      <c r="EG22" s="128"/>
      <c r="EH22" s="128"/>
      <c r="EI22" s="128"/>
      <c r="EJ22" s="128"/>
      <c r="EK22" s="128"/>
      <c r="EL22" s="128"/>
      <c r="EM22" s="128"/>
      <c r="EN22" s="128"/>
      <c r="EO22" s="128"/>
      <c r="EP22" s="128"/>
      <c r="EQ22" s="128"/>
      <c r="ER22" s="128"/>
      <c r="ES22" s="128"/>
      <c r="ET22" s="128"/>
      <c r="EU22" s="128"/>
      <c r="EV22" s="128"/>
      <c r="EW22" s="129"/>
      <c r="EX22" s="129"/>
      <c r="EY22" s="129"/>
      <c r="EZ22" s="129"/>
      <c r="FA22" s="130"/>
      <c r="FB22" s="130"/>
      <c r="FC22" s="130"/>
      <c r="FD22" s="129"/>
      <c r="FE22" s="129"/>
      <c r="FF22" s="131"/>
    </row>
    <row r="23" spans="1:162" ht="19" customHeight="1" x14ac:dyDescent="0.2">
      <c r="A23" s="3"/>
      <c r="B23" s="50"/>
      <c r="C23" s="50"/>
      <c r="D23" s="3"/>
      <c r="E23" s="75"/>
      <c r="F23" s="75"/>
      <c r="G23" s="51"/>
      <c r="H23" s="84"/>
      <c r="I23" s="84"/>
      <c r="J23" s="84"/>
      <c r="K23" s="85"/>
      <c r="M23" s="86"/>
      <c r="N23" s="122"/>
      <c r="O23" s="122"/>
      <c r="P23" s="123"/>
      <c r="Q23" s="123"/>
      <c r="R23" s="123"/>
      <c r="S23" s="123"/>
      <c r="T23" s="123"/>
      <c r="U23" s="123"/>
      <c r="V23" s="123"/>
      <c r="W23" s="123"/>
      <c r="X23" s="123"/>
      <c r="Y23" s="124"/>
      <c r="Z23" s="125"/>
      <c r="AA23" s="125"/>
      <c r="AB23" s="125"/>
      <c r="AC23" s="125"/>
      <c r="AD23" s="125"/>
      <c r="AE23" s="123"/>
      <c r="AF23" s="123"/>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7"/>
      <c r="BZ23" s="127"/>
      <c r="CA23" s="127"/>
      <c r="CB23" s="127"/>
      <c r="CC23" s="127"/>
      <c r="CD23" s="127"/>
      <c r="CE23" s="127"/>
      <c r="CF23" s="127"/>
      <c r="CG23" s="127"/>
      <c r="CH23" s="127"/>
      <c r="CI23" s="127"/>
      <c r="CJ23" s="127"/>
      <c r="CK23" s="127"/>
      <c r="CL23" s="127"/>
      <c r="CM23" s="127"/>
      <c r="CN23" s="127"/>
      <c r="CO23" s="127"/>
      <c r="CP23" s="127"/>
      <c r="CQ23" s="127"/>
      <c r="CR23" s="127"/>
      <c r="CS23" s="127"/>
      <c r="CT23" s="127"/>
      <c r="CU23" s="127"/>
      <c r="CV23" s="127"/>
      <c r="CW23" s="127"/>
      <c r="CX23" s="127"/>
      <c r="CY23" s="127"/>
      <c r="CZ23" s="127"/>
      <c r="DA23" s="127"/>
      <c r="DB23" s="127"/>
      <c r="DC23" s="127"/>
      <c r="DD23" s="127"/>
      <c r="DE23" s="127"/>
      <c r="DF23" s="127"/>
      <c r="DG23" s="127"/>
      <c r="DH23" s="127"/>
      <c r="DI23" s="127"/>
      <c r="DJ23" s="127"/>
      <c r="DK23" s="127"/>
      <c r="DL23" s="127"/>
      <c r="DM23" s="127"/>
      <c r="DN23" s="127"/>
      <c r="DO23" s="127"/>
      <c r="DP23" s="127"/>
      <c r="DQ23" s="127"/>
      <c r="DR23" s="127"/>
      <c r="DS23" s="127"/>
      <c r="DT23" s="127"/>
      <c r="DU23" s="128"/>
      <c r="DV23" s="128"/>
      <c r="DW23" s="128"/>
      <c r="DX23" s="128"/>
      <c r="DY23" s="128"/>
      <c r="DZ23" s="128"/>
      <c r="EA23" s="128"/>
      <c r="EB23" s="128"/>
      <c r="EC23" s="128"/>
      <c r="ED23" s="128"/>
      <c r="EE23" s="128"/>
      <c r="EF23" s="128"/>
      <c r="EG23" s="128"/>
      <c r="EH23" s="128"/>
      <c r="EI23" s="128"/>
      <c r="EJ23" s="128"/>
      <c r="EK23" s="128"/>
      <c r="EL23" s="128"/>
      <c r="EM23" s="128"/>
      <c r="EN23" s="128"/>
      <c r="EO23" s="128"/>
      <c r="EP23" s="128"/>
      <c r="EQ23" s="128"/>
      <c r="ER23" s="128"/>
      <c r="ES23" s="128"/>
      <c r="ET23" s="128"/>
      <c r="EU23" s="128"/>
      <c r="EV23" s="128"/>
      <c r="EW23" s="129"/>
      <c r="EX23" s="129"/>
      <c r="EY23" s="129"/>
      <c r="EZ23" s="129"/>
      <c r="FA23" s="130"/>
      <c r="FB23" s="130"/>
      <c r="FC23" s="130"/>
      <c r="FD23" s="129"/>
      <c r="FE23" s="129"/>
      <c r="FF23" s="131"/>
    </row>
    <row r="24" spans="1:162" ht="19" customHeight="1" x14ac:dyDescent="0.2">
      <c r="A24" s="3"/>
      <c r="B24" s="50"/>
      <c r="C24" s="50"/>
      <c r="D24" s="3"/>
      <c r="E24" s="75"/>
      <c r="F24" s="75"/>
      <c r="G24" s="51"/>
      <c r="H24" s="84"/>
      <c r="I24" s="84"/>
      <c r="J24" s="84"/>
      <c r="K24" s="85"/>
      <c r="M24" s="86"/>
      <c r="N24" s="122"/>
      <c r="O24" s="122"/>
      <c r="P24" s="123"/>
      <c r="Q24" s="123"/>
      <c r="R24" s="123"/>
      <c r="S24" s="123"/>
      <c r="T24" s="123"/>
      <c r="U24" s="123"/>
      <c r="V24" s="123"/>
      <c r="W24" s="123"/>
      <c r="X24" s="123"/>
      <c r="Y24" s="124"/>
      <c r="Z24" s="125"/>
      <c r="AA24" s="125"/>
      <c r="AB24" s="125"/>
      <c r="AC24" s="125"/>
      <c r="AD24" s="125"/>
      <c r="AE24" s="123"/>
      <c r="AF24" s="123"/>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7"/>
      <c r="BZ24" s="127"/>
      <c r="CA24" s="127"/>
      <c r="CB24" s="127"/>
      <c r="CC24" s="127"/>
      <c r="CD24" s="127"/>
      <c r="CE24" s="127"/>
      <c r="CF24" s="127"/>
      <c r="CG24" s="127"/>
      <c r="CH24" s="127"/>
      <c r="CI24" s="127"/>
      <c r="CJ24" s="127"/>
      <c r="CK24" s="127"/>
      <c r="CL24" s="127"/>
      <c r="CM24" s="127"/>
      <c r="CN24" s="127"/>
      <c r="CO24" s="127"/>
      <c r="CP24" s="127"/>
      <c r="CQ24" s="127"/>
      <c r="CR24" s="127"/>
      <c r="CS24" s="127"/>
      <c r="CT24" s="127"/>
      <c r="CU24" s="127"/>
      <c r="CV24" s="127"/>
      <c r="CW24" s="127"/>
      <c r="CX24" s="127"/>
      <c r="CY24" s="127"/>
      <c r="CZ24" s="127"/>
      <c r="DA24" s="127"/>
      <c r="DB24" s="127"/>
      <c r="DC24" s="127"/>
      <c r="DD24" s="127"/>
      <c r="DE24" s="127"/>
      <c r="DF24" s="127"/>
      <c r="DG24" s="127"/>
      <c r="DH24" s="127"/>
      <c r="DI24" s="127"/>
      <c r="DJ24" s="127"/>
      <c r="DK24" s="127"/>
      <c r="DL24" s="127"/>
      <c r="DM24" s="127"/>
      <c r="DN24" s="127"/>
      <c r="DO24" s="127"/>
      <c r="DP24" s="127"/>
      <c r="DQ24" s="127"/>
      <c r="DR24" s="127"/>
      <c r="DS24" s="127"/>
      <c r="DT24" s="127"/>
      <c r="DU24" s="128"/>
      <c r="DV24" s="128"/>
      <c r="DW24" s="128"/>
      <c r="DX24" s="128"/>
      <c r="DY24" s="128"/>
      <c r="DZ24" s="128"/>
      <c r="EA24" s="128"/>
      <c r="EB24" s="128"/>
      <c r="EC24" s="128"/>
      <c r="ED24" s="128"/>
      <c r="EE24" s="128"/>
      <c r="EF24" s="128"/>
      <c r="EG24" s="128"/>
      <c r="EH24" s="128"/>
      <c r="EI24" s="128"/>
      <c r="EJ24" s="128"/>
      <c r="EK24" s="128"/>
      <c r="EL24" s="128"/>
      <c r="EM24" s="128"/>
      <c r="EN24" s="128"/>
      <c r="EO24" s="128"/>
      <c r="EP24" s="128"/>
      <c r="EQ24" s="128"/>
      <c r="ER24" s="128"/>
      <c r="ES24" s="128"/>
      <c r="ET24" s="128"/>
      <c r="EU24" s="128"/>
      <c r="EV24" s="128"/>
      <c r="EW24" s="129"/>
      <c r="EX24" s="129"/>
      <c r="EY24" s="129"/>
      <c r="EZ24" s="129"/>
      <c r="FA24" s="130"/>
      <c r="FB24" s="130"/>
      <c r="FC24" s="130"/>
      <c r="FD24" s="129"/>
      <c r="FE24" s="129"/>
      <c r="FF24" s="131"/>
    </row>
    <row r="25" spans="1:162" ht="19" customHeight="1" x14ac:dyDescent="0.2">
      <c r="A25" s="3"/>
      <c r="B25" s="50"/>
      <c r="C25" s="50"/>
      <c r="D25" s="3"/>
      <c r="E25" s="75"/>
      <c r="F25" s="75"/>
      <c r="G25" s="51"/>
      <c r="H25" s="84"/>
      <c r="I25" s="84"/>
      <c r="J25" s="84"/>
      <c r="K25" s="85"/>
      <c r="M25" s="86"/>
      <c r="N25" s="122"/>
      <c r="O25" s="122"/>
      <c r="P25" s="123"/>
      <c r="Q25" s="123"/>
      <c r="R25" s="123"/>
      <c r="S25" s="123"/>
      <c r="T25" s="123"/>
      <c r="U25" s="123"/>
      <c r="V25" s="123"/>
      <c r="W25" s="123"/>
      <c r="X25" s="123"/>
      <c r="Y25" s="124"/>
      <c r="Z25" s="125"/>
      <c r="AA25" s="125"/>
      <c r="AB25" s="125"/>
      <c r="AC25" s="125"/>
      <c r="AD25" s="125"/>
      <c r="AE25" s="123"/>
      <c r="AF25" s="123"/>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7"/>
      <c r="BZ25" s="127"/>
      <c r="CA25" s="127"/>
      <c r="CB25" s="127"/>
      <c r="CC25" s="127"/>
      <c r="CD25" s="127"/>
      <c r="CE25" s="127"/>
      <c r="CF25" s="127"/>
      <c r="CG25" s="127"/>
      <c r="CH25" s="127"/>
      <c r="CI25" s="127"/>
      <c r="CJ25" s="127"/>
      <c r="CK25" s="127"/>
      <c r="CL25" s="127"/>
      <c r="CM25" s="127"/>
      <c r="CN25" s="127"/>
      <c r="CO25" s="127"/>
      <c r="CP25" s="127"/>
      <c r="CQ25" s="127"/>
      <c r="CR25" s="127"/>
      <c r="CS25" s="127"/>
      <c r="CT25" s="127"/>
      <c r="CU25" s="127"/>
      <c r="CV25" s="127"/>
      <c r="CW25" s="127"/>
      <c r="CX25" s="127"/>
      <c r="CY25" s="127"/>
      <c r="CZ25" s="127"/>
      <c r="DA25" s="127"/>
      <c r="DB25" s="127"/>
      <c r="DC25" s="127"/>
      <c r="DD25" s="127"/>
      <c r="DE25" s="127"/>
      <c r="DF25" s="127"/>
      <c r="DG25" s="127"/>
      <c r="DH25" s="127"/>
      <c r="DI25" s="127"/>
      <c r="DJ25" s="127"/>
      <c r="DK25" s="127"/>
      <c r="DL25" s="127"/>
      <c r="DM25" s="127"/>
      <c r="DN25" s="127"/>
      <c r="DO25" s="127"/>
      <c r="DP25" s="127"/>
      <c r="DQ25" s="127"/>
      <c r="DR25" s="127"/>
      <c r="DS25" s="127"/>
      <c r="DT25" s="127"/>
      <c r="DU25" s="128"/>
      <c r="DV25" s="128"/>
      <c r="DW25" s="128"/>
      <c r="DX25" s="128"/>
      <c r="DY25" s="128"/>
      <c r="DZ25" s="128"/>
      <c r="EA25" s="128"/>
      <c r="EB25" s="128"/>
      <c r="EC25" s="128"/>
      <c r="ED25" s="128"/>
      <c r="EE25" s="128"/>
      <c r="EF25" s="128"/>
      <c r="EG25" s="128"/>
      <c r="EH25" s="128"/>
      <c r="EI25" s="128"/>
      <c r="EJ25" s="128"/>
      <c r="EK25" s="128"/>
      <c r="EL25" s="128"/>
      <c r="EM25" s="128"/>
      <c r="EN25" s="128"/>
      <c r="EO25" s="128"/>
      <c r="EP25" s="128"/>
      <c r="EQ25" s="128"/>
      <c r="ER25" s="128"/>
      <c r="ES25" s="128"/>
      <c r="ET25" s="128"/>
      <c r="EU25" s="128"/>
      <c r="EV25" s="128"/>
      <c r="EW25" s="129"/>
      <c r="EX25" s="129"/>
      <c r="EY25" s="129"/>
      <c r="EZ25" s="129"/>
      <c r="FA25" s="130"/>
      <c r="FB25" s="130"/>
      <c r="FC25" s="130"/>
      <c r="FD25" s="129"/>
      <c r="FE25" s="129"/>
      <c r="FF25" s="131"/>
    </row>
    <row r="26" spans="1:162" ht="19" customHeight="1" x14ac:dyDescent="0.2">
      <c r="A26" s="3"/>
      <c r="B26" s="50"/>
      <c r="C26" s="50"/>
      <c r="D26" s="3"/>
      <c r="E26" s="75"/>
      <c r="F26" s="75"/>
      <c r="G26" s="51"/>
      <c r="H26" s="84"/>
      <c r="I26" s="84"/>
      <c r="J26" s="84"/>
      <c r="K26" s="85"/>
      <c r="M26" s="86"/>
      <c r="N26" s="122"/>
      <c r="O26" s="122"/>
      <c r="P26" s="123"/>
      <c r="Q26" s="123"/>
      <c r="R26" s="123"/>
      <c r="S26" s="123"/>
      <c r="T26" s="123"/>
      <c r="U26" s="123"/>
      <c r="V26" s="123"/>
      <c r="W26" s="123"/>
      <c r="X26" s="123"/>
      <c r="Y26" s="124"/>
      <c r="Z26" s="125"/>
      <c r="AA26" s="125"/>
      <c r="AB26" s="125"/>
      <c r="AC26" s="125"/>
      <c r="AD26" s="125"/>
      <c r="AE26" s="123"/>
      <c r="AF26" s="123"/>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7"/>
      <c r="BZ26" s="127"/>
      <c r="CA26" s="127"/>
      <c r="CB26" s="127"/>
      <c r="CC26" s="127"/>
      <c r="CD26" s="127"/>
      <c r="CE26" s="127"/>
      <c r="CF26" s="127"/>
      <c r="CG26" s="127"/>
      <c r="CH26" s="127"/>
      <c r="CI26" s="127"/>
      <c r="CJ26" s="127"/>
      <c r="CK26" s="127"/>
      <c r="CL26" s="127"/>
      <c r="CM26" s="127"/>
      <c r="CN26" s="127"/>
      <c r="CO26" s="127"/>
      <c r="CP26" s="127"/>
      <c r="CQ26" s="127"/>
      <c r="CR26" s="127"/>
      <c r="CS26" s="127"/>
      <c r="CT26" s="127"/>
      <c r="CU26" s="127"/>
      <c r="CV26" s="127"/>
      <c r="CW26" s="127"/>
      <c r="CX26" s="127"/>
      <c r="CY26" s="127"/>
      <c r="CZ26" s="127"/>
      <c r="DA26" s="127"/>
      <c r="DB26" s="127"/>
      <c r="DC26" s="127"/>
      <c r="DD26" s="127"/>
      <c r="DE26" s="127"/>
      <c r="DF26" s="127"/>
      <c r="DG26" s="127"/>
      <c r="DH26" s="127"/>
      <c r="DI26" s="127"/>
      <c r="DJ26" s="127"/>
      <c r="DK26" s="127"/>
      <c r="DL26" s="127"/>
      <c r="DM26" s="127"/>
      <c r="DN26" s="127"/>
      <c r="DO26" s="127"/>
      <c r="DP26" s="127"/>
      <c r="DQ26" s="127"/>
      <c r="DR26" s="127"/>
      <c r="DS26" s="127"/>
      <c r="DT26" s="127"/>
      <c r="DU26" s="128"/>
      <c r="DV26" s="128"/>
      <c r="DW26" s="128"/>
      <c r="DX26" s="128"/>
      <c r="DY26" s="128"/>
      <c r="DZ26" s="128"/>
      <c r="EA26" s="128"/>
      <c r="EB26" s="128"/>
      <c r="EC26" s="128"/>
      <c r="ED26" s="128"/>
      <c r="EE26" s="128"/>
      <c r="EF26" s="128"/>
      <c r="EG26" s="128"/>
      <c r="EH26" s="128"/>
      <c r="EI26" s="128"/>
      <c r="EJ26" s="128"/>
      <c r="EK26" s="128"/>
      <c r="EL26" s="128"/>
      <c r="EM26" s="128"/>
      <c r="EN26" s="128"/>
      <c r="EO26" s="128"/>
      <c r="EP26" s="128"/>
      <c r="EQ26" s="128"/>
      <c r="ER26" s="128"/>
      <c r="ES26" s="128"/>
      <c r="ET26" s="128"/>
      <c r="EU26" s="128"/>
      <c r="EV26" s="128"/>
      <c r="EW26" s="129"/>
      <c r="EX26" s="129"/>
      <c r="EY26" s="129"/>
      <c r="EZ26" s="129"/>
      <c r="FA26" s="130"/>
      <c r="FB26" s="130"/>
      <c r="FC26" s="130"/>
      <c r="FD26" s="129"/>
      <c r="FE26" s="129"/>
      <c r="FF26" s="131"/>
    </row>
    <row r="27" spans="1:162" ht="19" customHeight="1" x14ac:dyDescent="0.2">
      <c r="A27" s="3"/>
      <c r="B27" s="50"/>
      <c r="C27" s="50"/>
      <c r="D27" s="3"/>
      <c r="E27" s="75"/>
      <c r="F27" s="75"/>
      <c r="G27" s="51"/>
      <c r="H27" s="84"/>
      <c r="I27" s="84"/>
      <c r="J27" s="84"/>
      <c r="K27" s="85"/>
      <c r="M27" s="86"/>
      <c r="N27" s="122"/>
      <c r="O27" s="122"/>
      <c r="P27" s="123"/>
      <c r="Q27" s="123"/>
      <c r="R27" s="123"/>
      <c r="S27" s="123"/>
      <c r="T27" s="123"/>
      <c r="U27" s="123"/>
      <c r="V27" s="123"/>
      <c r="W27" s="123"/>
      <c r="X27" s="123"/>
      <c r="Y27" s="124"/>
      <c r="Z27" s="125"/>
      <c r="AA27" s="125"/>
      <c r="AB27" s="125"/>
      <c r="AC27" s="125"/>
      <c r="AD27" s="125"/>
      <c r="AE27" s="123"/>
      <c r="AF27" s="123"/>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7"/>
      <c r="BZ27" s="127"/>
      <c r="CA27" s="127"/>
      <c r="CB27" s="127"/>
      <c r="CC27" s="127"/>
      <c r="CD27" s="127"/>
      <c r="CE27" s="127"/>
      <c r="CF27" s="127"/>
      <c r="CG27" s="127"/>
      <c r="CH27" s="127"/>
      <c r="CI27" s="127"/>
      <c r="CJ27" s="127"/>
      <c r="CK27" s="127"/>
      <c r="CL27" s="127"/>
      <c r="CM27" s="127"/>
      <c r="CN27" s="127"/>
      <c r="CO27" s="127"/>
      <c r="CP27" s="127"/>
      <c r="CQ27" s="127"/>
      <c r="CR27" s="127"/>
      <c r="CS27" s="127"/>
      <c r="CT27" s="127"/>
      <c r="CU27" s="127"/>
      <c r="CV27" s="127"/>
      <c r="CW27" s="127"/>
      <c r="CX27" s="127"/>
      <c r="CY27" s="127"/>
      <c r="CZ27" s="127"/>
      <c r="DA27" s="127"/>
      <c r="DB27" s="127"/>
      <c r="DC27" s="127"/>
      <c r="DD27" s="127"/>
      <c r="DE27" s="127"/>
      <c r="DF27" s="127"/>
      <c r="DG27" s="127"/>
      <c r="DH27" s="127"/>
      <c r="DI27" s="127"/>
      <c r="DJ27" s="127"/>
      <c r="DK27" s="127"/>
      <c r="DL27" s="127"/>
      <c r="DM27" s="127"/>
      <c r="DN27" s="127"/>
      <c r="DO27" s="127"/>
      <c r="DP27" s="127"/>
      <c r="DQ27" s="127"/>
      <c r="DR27" s="127"/>
      <c r="DS27" s="127"/>
      <c r="DT27" s="127"/>
      <c r="DU27" s="128"/>
      <c r="DV27" s="128"/>
      <c r="DW27" s="128"/>
      <c r="DX27" s="128"/>
      <c r="DY27" s="128"/>
      <c r="DZ27" s="128"/>
      <c r="EA27" s="128"/>
      <c r="EB27" s="128"/>
      <c r="EC27" s="128"/>
      <c r="ED27" s="128"/>
      <c r="EE27" s="128"/>
      <c r="EF27" s="128"/>
      <c r="EG27" s="128"/>
      <c r="EH27" s="128"/>
      <c r="EI27" s="128"/>
      <c r="EJ27" s="128"/>
      <c r="EK27" s="128"/>
      <c r="EL27" s="128"/>
      <c r="EM27" s="128"/>
      <c r="EN27" s="128"/>
      <c r="EO27" s="128"/>
      <c r="EP27" s="128"/>
      <c r="EQ27" s="128"/>
      <c r="ER27" s="128"/>
      <c r="ES27" s="128"/>
      <c r="ET27" s="128"/>
      <c r="EU27" s="128"/>
      <c r="EV27" s="128"/>
      <c r="EW27" s="129"/>
      <c r="EX27" s="129"/>
      <c r="EY27" s="129"/>
      <c r="EZ27" s="129"/>
      <c r="FA27" s="130"/>
      <c r="FB27" s="130"/>
      <c r="FC27" s="130"/>
      <c r="FD27" s="129"/>
      <c r="FE27" s="129"/>
      <c r="FF27" s="131"/>
    </row>
    <row r="28" spans="1:162" ht="19" customHeight="1" x14ac:dyDescent="0.2">
      <c r="A28" s="3"/>
      <c r="B28" s="50"/>
      <c r="C28" s="50"/>
      <c r="D28" s="3"/>
      <c r="E28" s="75"/>
      <c r="F28" s="75"/>
      <c r="G28" s="51"/>
      <c r="H28" s="84"/>
      <c r="I28" s="84"/>
      <c r="J28" s="84"/>
      <c r="K28" s="85"/>
      <c r="M28" s="86"/>
      <c r="N28" s="122"/>
      <c r="O28" s="122"/>
      <c r="P28" s="123"/>
      <c r="Q28" s="123"/>
      <c r="R28" s="123"/>
      <c r="S28" s="123"/>
      <c r="T28" s="123"/>
      <c r="U28" s="123"/>
      <c r="V28" s="123"/>
      <c r="W28" s="123"/>
      <c r="X28" s="123"/>
      <c r="Y28" s="124"/>
      <c r="Z28" s="125"/>
      <c r="AA28" s="125"/>
      <c r="AB28" s="125"/>
      <c r="AC28" s="125"/>
      <c r="AD28" s="125"/>
      <c r="AE28" s="123"/>
      <c r="AF28" s="123"/>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7"/>
      <c r="BZ28" s="127"/>
      <c r="CA28" s="127"/>
      <c r="CB28" s="127"/>
      <c r="CC28" s="127"/>
      <c r="CD28" s="127"/>
      <c r="CE28" s="127"/>
      <c r="CF28" s="127"/>
      <c r="CG28" s="127"/>
      <c r="CH28" s="127"/>
      <c r="CI28" s="127"/>
      <c r="CJ28" s="127"/>
      <c r="CK28" s="127"/>
      <c r="CL28" s="127"/>
      <c r="CM28" s="127"/>
      <c r="CN28" s="127"/>
      <c r="CO28" s="127"/>
      <c r="CP28" s="127"/>
      <c r="CQ28" s="127"/>
      <c r="CR28" s="127"/>
      <c r="CS28" s="127"/>
      <c r="CT28" s="127"/>
      <c r="CU28" s="127"/>
      <c r="CV28" s="127"/>
      <c r="CW28" s="127"/>
      <c r="CX28" s="127"/>
      <c r="CY28" s="127"/>
      <c r="CZ28" s="127"/>
      <c r="DA28" s="127"/>
      <c r="DB28" s="127"/>
      <c r="DC28" s="127"/>
      <c r="DD28" s="127"/>
      <c r="DE28" s="127"/>
      <c r="DF28" s="127"/>
      <c r="DG28" s="127"/>
      <c r="DH28" s="127"/>
      <c r="DI28" s="127"/>
      <c r="DJ28" s="127"/>
      <c r="DK28" s="127"/>
      <c r="DL28" s="127"/>
      <c r="DM28" s="127"/>
      <c r="DN28" s="127"/>
      <c r="DO28" s="127"/>
      <c r="DP28" s="127"/>
      <c r="DQ28" s="127"/>
      <c r="DR28" s="127"/>
      <c r="DS28" s="127"/>
      <c r="DT28" s="127"/>
      <c r="DU28" s="128"/>
      <c r="DV28" s="128"/>
      <c r="DW28" s="128"/>
      <c r="DX28" s="128"/>
      <c r="DY28" s="128"/>
      <c r="DZ28" s="128"/>
      <c r="EA28" s="128"/>
      <c r="EB28" s="128"/>
      <c r="EC28" s="128"/>
      <c r="ED28" s="128"/>
      <c r="EE28" s="128"/>
      <c r="EF28" s="128"/>
      <c r="EG28" s="128"/>
      <c r="EH28" s="128"/>
      <c r="EI28" s="128"/>
      <c r="EJ28" s="128"/>
      <c r="EK28" s="128"/>
      <c r="EL28" s="128"/>
      <c r="EM28" s="128"/>
      <c r="EN28" s="128"/>
      <c r="EO28" s="128"/>
      <c r="EP28" s="128"/>
      <c r="EQ28" s="128"/>
      <c r="ER28" s="128"/>
      <c r="ES28" s="128"/>
      <c r="ET28" s="128"/>
      <c r="EU28" s="128"/>
      <c r="EV28" s="128"/>
      <c r="EW28" s="129"/>
      <c r="EX28" s="129"/>
      <c r="EY28" s="129"/>
      <c r="EZ28" s="129"/>
      <c r="FA28" s="130"/>
      <c r="FB28" s="130"/>
      <c r="FC28" s="130"/>
      <c r="FD28" s="129"/>
      <c r="FE28" s="129"/>
      <c r="FF28" s="131"/>
    </row>
    <row r="29" spans="1:162" ht="19" customHeight="1" x14ac:dyDescent="0.2">
      <c r="A29" s="3"/>
      <c r="B29" s="50"/>
      <c r="C29" s="50"/>
      <c r="D29" s="3"/>
      <c r="E29" s="75"/>
      <c r="F29" s="75"/>
      <c r="G29" s="51"/>
      <c r="H29" s="84"/>
      <c r="I29" s="84"/>
      <c r="J29" s="84"/>
      <c r="K29" s="85"/>
      <c r="M29" s="86"/>
      <c r="N29" s="122"/>
      <c r="O29" s="122"/>
      <c r="P29" s="123"/>
      <c r="Q29" s="123"/>
      <c r="R29" s="123"/>
      <c r="S29" s="123"/>
      <c r="T29" s="123"/>
      <c r="U29" s="123"/>
      <c r="V29" s="123"/>
      <c r="W29" s="123"/>
      <c r="X29" s="123"/>
      <c r="Y29" s="124"/>
      <c r="Z29" s="125"/>
      <c r="AA29" s="125"/>
      <c r="AB29" s="125"/>
      <c r="AC29" s="125"/>
      <c r="AD29" s="125"/>
      <c r="AE29" s="123"/>
      <c r="AF29" s="123"/>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7"/>
      <c r="BZ29" s="127"/>
      <c r="CA29" s="127"/>
      <c r="CB29" s="127"/>
      <c r="CC29" s="127"/>
      <c r="CD29" s="127"/>
      <c r="CE29" s="127"/>
      <c r="CF29" s="127"/>
      <c r="CG29" s="127"/>
      <c r="CH29" s="127"/>
      <c r="CI29" s="127"/>
      <c r="CJ29" s="127"/>
      <c r="CK29" s="127"/>
      <c r="CL29" s="127"/>
      <c r="CM29" s="127"/>
      <c r="CN29" s="127"/>
      <c r="CO29" s="127"/>
      <c r="CP29" s="127"/>
      <c r="CQ29" s="127"/>
      <c r="CR29" s="127"/>
      <c r="CS29" s="127"/>
      <c r="CT29" s="127"/>
      <c r="CU29" s="127"/>
      <c r="CV29" s="127"/>
      <c r="CW29" s="127"/>
      <c r="CX29" s="127"/>
      <c r="CY29" s="127"/>
      <c r="CZ29" s="127"/>
      <c r="DA29" s="127"/>
      <c r="DB29" s="127"/>
      <c r="DC29" s="127"/>
      <c r="DD29" s="127"/>
      <c r="DE29" s="127"/>
      <c r="DF29" s="127"/>
      <c r="DG29" s="127"/>
      <c r="DH29" s="127"/>
      <c r="DI29" s="127"/>
      <c r="DJ29" s="127"/>
      <c r="DK29" s="127"/>
      <c r="DL29" s="127"/>
      <c r="DM29" s="127"/>
      <c r="DN29" s="127"/>
      <c r="DO29" s="127"/>
      <c r="DP29" s="127"/>
      <c r="DQ29" s="127"/>
      <c r="DR29" s="127"/>
      <c r="DS29" s="127"/>
      <c r="DT29" s="127"/>
      <c r="DU29" s="128"/>
      <c r="DV29" s="128"/>
      <c r="DW29" s="128"/>
      <c r="DX29" s="128"/>
      <c r="DY29" s="128"/>
      <c r="DZ29" s="128"/>
      <c r="EA29" s="128"/>
      <c r="EB29" s="128"/>
      <c r="EC29" s="128"/>
      <c r="ED29" s="128"/>
      <c r="EE29" s="128"/>
      <c r="EF29" s="128"/>
      <c r="EG29" s="128"/>
      <c r="EH29" s="128"/>
      <c r="EI29" s="128"/>
      <c r="EJ29" s="128"/>
      <c r="EK29" s="128"/>
      <c r="EL29" s="128"/>
      <c r="EM29" s="128"/>
      <c r="EN29" s="128"/>
      <c r="EO29" s="128"/>
      <c r="EP29" s="128"/>
      <c r="EQ29" s="128"/>
      <c r="ER29" s="128"/>
      <c r="ES29" s="128"/>
      <c r="ET29" s="128"/>
      <c r="EU29" s="128"/>
      <c r="EV29" s="128"/>
      <c r="EW29" s="129"/>
      <c r="EX29" s="129"/>
      <c r="EY29" s="129"/>
      <c r="EZ29" s="129"/>
      <c r="FA29" s="130"/>
      <c r="FB29" s="130"/>
      <c r="FC29" s="130"/>
      <c r="FD29" s="129"/>
      <c r="FE29" s="129"/>
      <c r="FF29" s="131"/>
    </row>
    <row r="30" spans="1:162" ht="19" customHeight="1" x14ac:dyDescent="0.2">
      <c r="A30" s="3"/>
      <c r="B30" s="50"/>
      <c r="C30" s="50"/>
      <c r="D30" s="3"/>
      <c r="E30" s="75"/>
      <c r="F30" s="75"/>
      <c r="G30" s="51"/>
      <c r="H30" s="84"/>
      <c r="I30" s="84"/>
      <c r="J30" s="84"/>
      <c r="K30" s="85"/>
      <c r="M30" s="86"/>
      <c r="N30" s="122"/>
      <c r="O30" s="122"/>
      <c r="P30" s="123"/>
      <c r="Q30" s="123"/>
      <c r="R30" s="123"/>
      <c r="S30" s="123"/>
      <c r="T30" s="123"/>
      <c r="U30" s="123"/>
      <c r="V30" s="123"/>
      <c r="W30" s="123"/>
      <c r="X30" s="123"/>
      <c r="Y30" s="124"/>
      <c r="Z30" s="125"/>
      <c r="AA30" s="125"/>
      <c r="AB30" s="125"/>
      <c r="AC30" s="125"/>
      <c r="AD30" s="125"/>
      <c r="AE30" s="123"/>
      <c r="AF30" s="123"/>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7"/>
      <c r="BZ30" s="127"/>
      <c r="CA30" s="127"/>
      <c r="CB30" s="127"/>
      <c r="CC30" s="127"/>
      <c r="CD30" s="127"/>
      <c r="CE30" s="127"/>
      <c r="CF30" s="127"/>
      <c r="CG30" s="127"/>
      <c r="CH30" s="127"/>
      <c r="CI30" s="127"/>
      <c r="CJ30" s="127"/>
      <c r="CK30" s="127"/>
      <c r="CL30" s="127"/>
      <c r="CM30" s="127"/>
      <c r="CN30" s="127"/>
      <c r="CO30" s="127"/>
      <c r="CP30" s="127"/>
      <c r="CQ30" s="127"/>
      <c r="CR30" s="127"/>
      <c r="CS30" s="127"/>
      <c r="CT30" s="127"/>
      <c r="CU30" s="127"/>
      <c r="CV30" s="127"/>
      <c r="CW30" s="127"/>
      <c r="CX30" s="127"/>
      <c r="CY30" s="127"/>
      <c r="CZ30" s="127"/>
      <c r="DA30" s="127"/>
      <c r="DB30" s="127"/>
      <c r="DC30" s="127"/>
      <c r="DD30" s="127"/>
      <c r="DE30" s="127"/>
      <c r="DF30" s="127"/>
      <c r="DG30" s="127"/>
      <c r="DH30" s="127"/>
      <c r="DI30" s="127"/>
      <c r="DJ30" s="127"/>
      <c r="DK30" s="127"/>
      <c r="DL30" s="127"/>
      <c r="DM30" s="127"/>
      <c r="DN30" s="127"/>
      <c r="DO30" s="127"/>
      <c r="DP30" s="127"/>
      <c r="DQ30" s="127"/>
      <c r="DR30" s="127"/>
      <c r="DS30" s="127"/>
      <c r="DT30" s="127"/>
      <c r="DU30" s="128"/>
      <c r="DV30" s="128"/>
      <c r="DW30" s="128"/>
      <c r="DX30" s="128"/>
      <c r="DY30" s="128"/>
      <c r="DZ30" s="128"/>
      <c r="EA30" s="128"/>
      <c r="EB30" s="128"/>
      <c r="EC30" s="128"/>
      <c r="ED30" s="128"/>
      <c r="EE30" s="128"/>
      <c r="EF30" s="128"/>
      <c r="EG30" s="128"/>
      <c r="EH30" s="128"/>
      <c r="EI30" s="128"/>
      <c r="EJ30" s="128"/>
      <c r="EK30" s="128"/>
      <c r="EL30" s="128"/>
      <c r="EM30" s="128"/>
      <c r="EN30" s="128"/>
      <c r="EO30" s="128"/>
      <c r="EP30" s="128"/>
      <c r="EQ30" s="128"/>
      <c r="ER30" s="128"/>
      <c r="ES30" s="128"/>
      <c r="ET30" s="128"/>
      <c r="EU30" s="128"/>
      <c r="EV30" s="128"/>
      <c r="EW30" s="129"/>
      <c r="EX30" s="129"/>
      <c r="EY30" s="129"/>
      <c r="EZ30" s="129"/>
      <c r="FA30" s="130"/>
      <c r="FB30" s="130"/>
      <c r="FC30" s="130"/>
      <c r="FD30" s="129"/>
      <c r="FE30" s="129"/>
      <c r="FF30" s="131"/>
    </row>
    <row r="31" spans="1:162" ht="19" customHeight="1" x14ac:dyDescent="0.2">
      <c r="A31" s="3"/>
      <c r="B31" s="50"/>
      <c r="C31" s="50"/>
      <c r="D31" s="3"/>
      <c r="E31" s="75"/>
      <c r="F31" s="75"/>
      <c r="G31" s="51"/>
      <c r="H31" s="84"/>
      <c r="I31" s="84"/>
      <c r="J31" s="84"/>
      <c r="K31" s="85"/>
      <c r="M31" s="86"/>
      <c r="N31" s="122"/>
      <c r="O31" s="122"/>
      <c r="P31" s="123"/>
      <c r="Q31" s="123"/>
      <c r="R31" s="123"/>
      <c r="S31" s="123"/>
      <c r="T31" s="123"/>
      <c r="U31" s="123"/>
      <c r="V31" s="123"/>
      <c r="W31" s="123"/>
      <c r="X31" s="123"/>
      <c r="Y31" s="124"/>
      <c r="Z31" s="125"/>
      <c r="AA31" s="125"/>
      <c r="AB31" s="125"/>
      <c r="AC31" s="125"/>
      <c r="AD31" s="125"/>
      <c r="AE31" s="123"/>
      <c r="AF31" s="123"/>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7"/>
      <c r="BZ31" s="127"/>
      <c r="CA31" s="127"/>
      <c r="CB31" s="127"/>
      <c r="CC31" s="127"/>
      <c r="CD31" s="127"/>
      <c r="CE31" s="127"/>
      <c r="CF31" s="127"/>
      <c r="CG31" s="127"/>
      <c r="CH31" s="127"/>
      <c r="CI31" s="127"/>
      <c r="CJ31" s="127"/>
      <c r="CK31" s="127"/>
      <c r="CL31" s="127"/>
      <c r="CM31" s="127"/>
      <c r="CN31" s="127"/>
      <c r="CO31" s="127"/>
      <c r="CP31" s="127"/>
      <c r="CQ31" s="127"/>
      <c r="CR31" s="127"/>
      <c r="CS31" s="127"/>
      <c r="CT31" s="127"/>
      <c r="CU31" s="127"/>
      <c r="CV31" s="127"/>
      <c r="CW31" s="127"/>
      <c r="CX31" s="127"/>
      <c r="CY31" s="127"/>
      <c r="CZ31" s="127"/>
      <c r="DA31" s="127"/>
      <c r="DB31" s="127"/>
      <c r="DC31" s="127"/>
      <c r="DD31" s="127"/>
      <c r="DE31" s="127"/>
      <c r="DF31" s="127"/>
      <c r="DG31" s="127"/>
      <c r="DH31" s="127"/>
      <c r="DI31" s="127"/>
      <c r="DJ31" s="127"/>
      <c r="DK31" s="127"/>
      <c r="DL31" s="127"/>
      <c r="DM31" s="127"/>
      <c r="DN31" s="127"/>
      <c r="DO31" s="127"/>
      <c r="DP31" s="127"/>
      <c r="DQ31" s="127"/>
      <c r="DR31" s="127"/>
      <c r="DS31" s="127"/>
      <c r="DT31" s="127"/>
      <c r="DU31" s="128"/>
      <c r="DV31" s="128"/>
      <c r="DW31" s="128"/>
      <c r="DX31" s="128"/>
      <c r="DY31" s="128"/>
      <c r="DZ31" s="128"/>
      <c r="EA31" s="128"/>
      <c r="EB31" s="128"/>
      <c r="EC31" s="128"/>
      <c r="ED31" s="128"/>
      <c r="EE31" s="128"/>
      <c r="EF31" s="128"/>
      <c r="EG31" s="128"/>
      <c r="EH31" s="128"/>
      <c r="EI31" s="128"/>
      <c r="EJ31" s="128"/>
      <c r="EK31" s="128"/>
      <c r="EL31" s="128"/>
      <c r="EM31" s="128"/>
      <c r="EN31" s="128"/>
      <c r="EO31" s="128"/>
      <c r="EP31" s="128"/>
      <c r="EQ31" s="128"/>
      <c r="ER31" s="128"/>
      <c r="ES31" s="128"/>
      <c r="ET31" s="128"/>
      <c r="EU31" s="128"/>
      <c r="EV31" s="128"/>
      <c r="EW31" s="129"/>
      <c r="EX31" s="129"/>
      <c r="EY31" s="129"/>
      <c r="EZ31" s="129"/>
      <c r="FA31" s="130"/>
      <c r="FB31" s="130"/>
      <c r="FC31" s="130"/>
      <c r="FD31" s="129"/>
      <c r="FE31" s="129"/>
      <c r="FF31" s="131"/>
    </row>
    <row r="32" spans="1:162" ht="19" customHeight="1" x14ac:dyDescent="0.2">
      <c r="A32" s="3"/>
      <c r="B32" s="50"/>
      <c r="C32" s="50"/>
      <c r="D32" s="3"/>
      <c r="E32" s="75"/>
      <c r="F32" s="75"/>
      <c r="G32" s="51"/>
      <c r="H32" s="84"/>
      <c r="I32" s="84"/>
      <c r="J32" s="84"/>
      <c r="K32" s="85"/>
      <c r="M32" s="86"/>
      <c r="N32" s="122"/>
      <c r="O32" s="122"/>
      <c r="P32" s="123"/>
      <c r="Q32" s="123"/>
      <c r="R32" s="123"/>
      <c r="S32" s="123"/>
      <c r="T32" s="123"/>
      <c r="U32" s="123"/>
      <c r="V32" s="123"/>
      <c r="W32" s="123"/>
      <c r="X32" s="123"/>
      <c r="Y32" s="124"/>
      <c r="Z32" s="125"/>
      <c r="AA32" s="125"/>
      <c r="AB32" s="125"/>
      <c r="AC32" s="125"/>
      <c r="AD32" s="125"/>
      <c r="AE32" s="123"/>
      <c r="AF32" s="123"/>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7"/>
      <c r="BZ32" s="127"/>
      <c r="CA32" s="127"/>
      <c r="CB32" s="127"/>
      <c r="CC32" s="127"/>
      <c r="CD32" s="127"/>
      <c r="CE32" s="127"/>
      <c r="CF32" s="127"/>
      <c r="CG32" s="127"/>
      <c r="CH32" s="127"/>
      <c r="CI32" s="127"/>
      <c r="CJ32" s="127"/>
      <c r="CK32" s="127"/>
      <c r="CL32" s="127"/>
      <c r="CM32" s="127"/>
      <c r="CN32" s="127"/>
      <c r="CO32" s="127"/>
      <c r="CP32" s="127"/>
      <c r="CQ32" s="127"/>
      <c r="CR32" s="127"/>
      <c r="CS32" s="127"/>
      <c r="CT32" s="127"/>
      <c r="CU32" s="127"/>
      <c r="CV32" s="127"/>
      <c r="CW32" s="127"/>
      <c r="CX32" s="127"/>
      <c r="CY32" s="127"/>
      <c r="CZ32" s="127"/>
      <c r="DA32" s="127"/>
      <c r="DB32" s="127"/>
      <c r="DC32" s="127"/>
      <c r="DD32" s="127"/>
      <c r="DE32" s="127"/>
      <c r="DF32" s="127"/>
      <c r="DG32" s="127"/>
      <c r="DH32" s="127"/>
      <c r="DI32" s="127"/>
      <c r="DJ32" s="127"/>
      <c r="DK32" s="127"/>
      <c r="DL32" s="127"/>
      <c r="DM32" s="127"/>
      <c r="DN32" s="127"/>
      <c r="DO32" s="127"/>
      <c r="DP32" s="127"/>
      <c r="DQ32" s="127"/>
      <c r="DR32" s="127"/>
      <c r="DS32" s="127"/>
      <c r="DT32" s="127"/>
      <c r="DU32" s="128"/>
      <c r="DV32" s="128"/>
      <c r="DW32" s="128"/>
      <c r="DX32" s="128"/>
      <c r="DY32" s="128"/>
      <c r="DZ32" s="128"/>
      <c r="EA32" s="128"/>
      <c r="EB32" s="128"/>
      <c r="EC32" s="128"/>
      <c r="ED32" s="128"/>
      <c r="EE32" s="128"/>
      <c r="EF32" s="128"/>
      <c r="EG32" s="128"/>
      <c r="EH32" s="128"/>
      <c r="EI32" s="128"/>
      <c r="EJ32" s="128"/>
      <c r="EK32" s="128"/>
      <c r="EL32" s="128"/>
      <c r="EM32" s="128"/>
      <c r="EN32" s="128"/>
      <c r="EO32" s="128"/>
      <c r="EP32" s="128"/>
      <c r="EQ32" s="128"/>
      <c r="ER32" s="128"/>
      <c r="ES32" s="128"/>
      <c r="ET32" s="128"/>
      <c r="EU32" s="128"/>
      <c r="EV32" s="128"/>
      <c r="EW32" s="129"/>
      <c r="EX32" s="129"/>
      <c r="EY32" s="129"/>
      <c r="EZ32" s="129"/>
      <c r="FA32" s="130"/>
      <c r="FB32" s="130"/>
      <c r="FC32" s="130"/>
      <c r="FD32" s="129"/>
      <c r="FE32" s="129"/>
      <c r="FF32" s="131"/>
    </row>
    <row r="33" spans="1:162" ht="19" customHeight="1" x14ac:dyDescent="0.2">
      <c r="A33" s="3"/>
      <c r="B33" s="50"/>
      <c r="C33" s="50"/>
      <c r="D33" s="3"/>
      <c r="E33" s="75"/>
      <c r="F33" s="75"/>
      <c r="G33" s="51"/>
      <c r="H33" s="84"/>
      <c r="I33" s="84"/>
      <c r="J33" s="84"/>
      <c r="K33" s="85"/>
      <c r="M33" s="86"/>
      <c r="N33" s="122"/>
      <c r="O33" s="122"/>
      <c r="P33" s="123"/>
      <c r="Q33" s="123"/>
      <c r="R33" s="123"/>
      <c r="S33" s="123"/>
      <c r="T33" s="123"/>
      <c r="U33" s="123"/>
      <c r="V33" s="123"/>
      <c r="W33" s="123"/>
      <c r="X33" s="123"/>
      <c r="Y33" s="124"/>
      <c r="Z33" s="125"/>
      <c r="AA33" s="125"/>
      <c r="AB33" s="125"/>
      <c r="AC33" s="125"/>
      <c r="AD33" s="125"/>
      <c r="AE33" s="123"/>
      <c r="AF33" s="123"/>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7"/>
      <c r="BZ33" s="127"/>
      <c r="CA33" s="127"/>
      <c r="CB33" s="127"/>
      <c r="CC33" s="127"/>
      <c r="CD33" s="127"/>
      <c r="CE33" s="127"/>
      <c r="CF33" s="127"/>
      <c r="CG33" s="127"/>
      <c r="CH33" s="127"/>
      <c r="CI33" s="127"/>
      <c r="CJ33" s="127"/>
      <c r="CK33" s="127"/>
      <c r="CL33" s="127"/>
      <c r="CM33" s="127"/>
      <c r="CN33" s="127"/>
      <c r="CO33" s="127"/>
      <c r="CP33" s="127"/>
      <c r="CQ33" s="127"/>
      <c r="CR33" s="127"/>
      <c r="CS33" s="127"/>
      <c r="CT33" s="127"/>
      <c r="CU33" s="127"/>
      <c r="CV33" s="127"/>
      <c r="CW33" s="127"/>
      <c r="CX33" s="127"/>
      <c r="CY33" s="127"/>
      <c r="CZ33" s="127"/>
      <c r="DA33" s="127"/>
      <c r="DB33" s="127"/>
      <c r="DC33" s="127"/>
      <c r="DD33" s="127"/>
      <c r="DE33" s="127"/>
      <c r="DF33" s="127"/>
      <c r="DG33" s="127"/>
      <c r="DH33" s="127"/>
      <c r="DI33" s="127"/>
      <c r="DJ33" s="127"/>
      <c r="DK33" s="127"/>
      <c r="DL33" s="127"/>
      <c r="DM33" s="127"/>
      <c r="DN33" s="127"/>
      <c r="DO33" s="127"/>
      <c r="DP33" s="127"/>
      <c r="DQ33" s="127"/>
      <c r="DR33" s="127"/>
      <c r="DS33" s="127"/>
      <c r="DT33" s="127"/>
      <c r="DU33" s="128"/>
      <c r="DV33" s="128"/>
      <c r="DW33" s="128"/>
      <c r="DX33" s="128"/>
      <c r="DY33" s="128"/>
      <c r="DZ33" s="128"/>
      <c r="EA33" s="128"/>
      <c r="EB33" s="128"/>
      <c r="EC33" s="128"/>
      <c r="ED33" s="128"/>
      <c r="EE33" s="128"/>
      <c r="EF33" s="128"/>
      <c r="EG33" s="128"/>
      <c r="EH33" s="128"/>
      <c r="EI33" s="128"/>
      <c r="EJ33" s="128"/>
      <c r="EK33" s="128"/>
      <c r="EL33" s="128"/>
      <c r="EM33" s="128"/>
      <c r="EN33" s="128"/>
      <c r="EO33" s="128"/>
      <c r="EP33" s="128"/>
      <c r="EQ33" s="128"/>
      <c r="ER33" s="128"/>
      <c r="ES33" s="128"/>
      <c r="ET33" s="128"/>
      <c r="EU33" s="128"/>
      <c r="EV33" s="128"/>
      <c r="EW33" s="129"/>
      <c r="EX33" s="129"/>
      <c r="EY33" s="129"/>
      <c r="EZ33" s="129"/>
      <c r="FA33" s="130"/>
      <c r="FB33" s="130"/>
      <c r="FC33" s="130"/>
      <c r="FD33" s="129"/>
      <c r="FE33" s="129"/>
      <c r="FF33" s="131"/>
    </row>
    <row r="34" spans="1:162" ht="19" customHeight="1" x14ac:dyDescent="0.2">
      <c r="A34" s="3"/>
      <c r="B34" s="50"/>
      <c r="C34" s="50"/>
      <c r="D34" s="3"/>
      <c r="E34" s="75"/>
      <c r="F34" s="75"/>
      <c r="G34" s="51"/>
      <c r="H34" s="84"/>
      <c r="I34" s="84"/>
      <c r="J34" s="84"/>
      <c r="K34" s="85"/>
      <c r="M34" s="86"/>
      <c r="N34" s="122"/>
      <c r="O34" s="122"/>
      <c r="P34" s="123"/>
      <c r="Q34" s="123"/>
      <c r="R34" s="123"/>
      <c r="S34" s="123"/>
      <c r="T34" s="123"/>
      <c r="U34" s="123"/>
      <c r="V34" s="123"/>
      <c r="W34" s="123"/>
      <c r="X34" s="123"/>
      <c r="Y34" s="124"/>
      <c r="Z34" s="125"/>
      <c r="AA34" s="125"/>
      <c r="AB34" s="125"/>
      <c r="AC34" s="125"/>
      <c r="AD34" s="125"/>
      <c r="AE34" s="123"/>
      <c r="AF34" s="123"/>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7"/>
      <c r="BZ34" s="127"/>
      <c r="CA34" s="127"/>
      <c r="CB34" s="127"/>
      <c r="CC34" s="127"/>
      <c r="CD34" s="127"/>
      <c r="CE34" s="127"/>
      <c r="CF34" s="127"/>
      <c r="CG34" s="127"/>
      <c r="CH34" s="127"/>
      <c r="CI34" s="127"/>
      <c r="CJ34" s="127"/>
      <c r="CK34" s="127"/>
      <c r="CL34" s="127"/>
      <c r="CM34" s="127"/>
      <c r="CN34" s="127"/>
      <c r="CO34" s="127"/>
      <c r="CP34" s="127"/>
      <c r="CQ34" s="127"/>
      <c r="CR34" s="127"/>
      <c r="CS34" s="127"/>
      <c r="CT34" s="127"/>
      <c r="CU34" s="127"/>
      <c r="CV34" s="127"/>
      <c r="CW34" s="127"/>
      <c r="CX34" s="127"/>
      <c r="CY34" s="127"/>
      <c r="CZ34" s="127"/>
      <c r="DA34" s="127"/>
      <c r="DB34" s="127"/>
      <c r="DC34" s="127"/>
      <c r="DD34" s="127"/>
      <c r="DE34" s="127"/>
      <c r="DF34" s="127"/>
      <c r="DG34" s="127"/>
      <c r="DH34" s="127"/>
      <c r="DI34" s="127"/>
      <c r="DJ34" s="127"/>
      <c r="DK34" s="127"/>
      <c r="DL34" s="127"/>
      <c r="DM34" s="127"/>
      <c r="DN34" s="127"/>
      <c r="DO34" s="127"/>
      <c r="DP34" s="127"/>
      <c r="DQ34" s="127"/>
      <c r="DR34" s="127"/>
      <c r="DS34" s="127"/>
      <c r="DT34" s="127"/>
      <c r="DU34" s="128"/>
      <c r="DV34" s="128"/>
      <c r="DW34" s="128"/>
      <c r="DX34" s="128"/>
      <c r="DY34" s="128"/>
      <c r="DZ34" s="128"/>
      <c r="EA34" s="128"/>
      <c r="EB34" s="128"/>
      <c r="EC34" s="128"/>
      <c r="ED34" s="128"/>
      <c r="EE34" s="128"/>
      <c r="EF34" s="128"/>
      <c r="EG34" s="128"/>
      <c r="EH34" s="128"/>
      <c r="EI34" s="128"/>
      <c r="EJ34" s="128"/>
      <c r="EK34" s="128"/>
      <c r="EL34" s="128"/>
      <c r="EM34" s="128"/>
      <c r="EN34" s="128"/>
      <c r="EO34" s="128"/>
      <c r="EP34" s="128"/>
      <c r="EQ34" s="128"/>
      <c r="ER34" s="128"/>
      <c r="ES34" s="128"/>
      <c r="ET34" s="128"/>
      <c r="EU34" s="128"/>
      <c r="EV34" s="128"/>
      <c r="EW34" s="129"/>
      <c r="EX34" s="129"/>
      <c r="EY34" s="129"/>
      <c r="EZ34" s="129"/>
      <c r="FA34" s="130"/>
      <c r="FB34" s="130"/>
      <c r="FC34" s="130"/>
      <c r="FD34" s="129"/>
      <c r="FE34" s="129"/>
      <c r="FF34" s="131"/>
    </row>
    <row r="35" spans="1:162" ht="19" customHeight="1" x14ac:dyDescent="0.2">
      <c r="A35" s="3"/>
      <c r="B35" s="50"/>
      <c r="C35" s="50"/>
      <c r="D35" s="3"/>
      <c r="E35" s="75"/>
      <c r="F35" s="75"/>
      <c r="G35" s="51"/>
      <c r="H35" s="84"/>
      <c r="I35" s="84"/>
      <c r="J35" s="84"/>
      <c r="K35" s="85"/>
      <c r="M35" s="86"/>
      <c r="N35" s="122"/>
      <c r="O35" s="122"/>
      <c r="P35" s="123"/>
      <c r="Q35" s="123"/>
      <c r="R35" s="123"/>
      <c r="S35" s="123"/>
      <c r="T35" s="123"/>
      <c r="U35" s="123"/>
      <c r="V35" s="123"/>
      <c r="W35" s="123"/>
      <c r="X35" s="123"/>
      <c r="Y35" s="124"/>
      <c r="Z35" s="125"/>
      <c r="AA35" s="125"/>
      <c r="AB35" s="125"/>
      <c r="AC35" s="125"/>
      <c r="AD35" s="125"/>
      <c r="AE35" s="123"/>
      <c r="AF35" s="123"/>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7"/>
      <c r="BZ35" s="127"/>
      <c r="CA35" s="127"/>
      <c r="CB35" s="127"/>
      <c r="CC35" s="127"/>
      <c r="CD35" s="127"/>
      <c r="CE35" s="127"/>
      <c r="CF35" s="127"/>
      <c r="CG35" s="127"/>
      <c r="CH35" s="127"/>
      <c r="CI35" s="127"/>
      <c r="CJ35" s="127"/>
      <c r="CK35" s="127"/>
      <c r="CL35" s="127"/>
      <c r="CM35" s="127"/>
      <c r="CN35" s="127"/>
      <c r="CO35" s="127"/>
      <c r="CP35" s="127"/>
      <c r="CQ35" s="127"/>
      <c r="CR35" s="127"/>
      <c r="CS35" s="127"/>
      <c r="CT35" s="127"/>
      <c r="CU35" s="127"/>
      <c r="CV35" s="127"/>
      <c r="CW35" s="127"/>
      <c r="CX35" s="127"/>
      <c r="CY35" s="127"/>
      <c r="CZ35" s="127"/>
      <c r="DA35" s="127"/>
      <c r="DB35" s="127"/>
      <c r="DC35" s="127"/>
      <c r="DD35" s="127"/>
      <c r="DE35" s="127"/>
      <c r="DF35" s="127"/>
      <c r="DG35" s="127"/>
      <c r="DH35" s="127"/>
      <c r="DI35" s="127"/>
      <c r="DJ35" s="127"/>
      <c r="DK35" s="127"/>
      <c r="DL35" s="127"/>
      <c r="DM35" s="127"/>
      <c r="DN35" s="127"/>
      <c r="DO35" s="127"/>
      <c r="DP35" s="127"/>
      <c r="DQ35" s="127"/>
      <c r="DR35" s="127"/>
      <c r="DS35" s="127"/>
      <c r="DT35" s="127"/>
      <c r="DU35" s="128"/>
      <c r="DV35" s="128"/>
      <c r="DW35" s="128"/>
      <c r="DX35" s="128"/>
      <c r="DY35" s="128"/>
      <c r="DZ35" s="128"/>
      <c r="EA35" s="128"/>
      <c r="EB35" s="128"/>
      <c r="EC35" s="128"/>
      <c r="ED35" s="128"/>
      <c r="EE35" s="128"/>
      <c r="EF35" s="128"/>
      <c r="EG35" s="128"/>
      <c r="EH35" s="128"/>
      <c r="EI35" s="128"/>
      <c r="EJ35" s="128"/>
      <c r="EK35" s="128"/>
      <c r="EL35" s="128"/>
      <c r="EM35" s="128"/>
      <c r="EN35" s="128"/>
      <c r="EO35" s="128"/>
      <c r="EP35" s="128"/>
      <c r="EQ35" s="128"/>
      <c r="ER35" s="128"/>
      <c r="ES35" s="128"/>
      <c r="ET35" s="128"/>
      <c r="EU35" s="128"/>
      <c r="EV35" s="128"/>
      <c r="EW35" s="129"/>
      <c r="EX35" s="129"/>
      <c r="EY35" s="129"/>
      <c r="EZ35" s="129"/>
      <c r="FA35" s="130"/>
      <c r="FB35" s="130"/>
      <c r="FC35" s="130"/>
      <c r="FD35" s="129"/>
      <c r="FE35" s="129"/>
      <c r="FF35" s="131"/>
    </row>
    <row r="36" spans="1:162" ht="19" customHeight="1" x14ac:dyDescent="0.2">
      <c r="A36" s="3"/>
      <c r="B36" s="50"/>
      <c r="C36" s="50"/>
      <c r="D36" s="3"/>
      <c r="E36" s="75"/>
      <c r="F36" s="75"/>
      <c r="G36" s="51"/>
      <c r="H36" s="84"/>
      <c r="I36" s="84"/>
      <c r="J36" s="84"/>
      <c r="K36" s="85"/>
      <c r="M36" s="86"/>
      <c r="N36" s="122"/>
      <c r="O36" s="122"/>
      <c r="P36" s="123"/>
      <c r="Q36" s="123"/>
      <c r="R36" s="123"/>
      <c r="S36" s="123"/>
      <c r="T36" s="123"/>
      <c r="U36" s="123"/>
      <c r="V36" s="123"/>
      <c r="W36" s="123"/>
      <c r="X36" s="123"/>
      <c r="Y36" s="124"/>
      <c r="Z36" s="125"/>
      <c r="AA36" s="125"/>
      <c r="AB36" s="125"/>
      <c r="AC36" s="125"/>
      <c r="AD36" s="125"/>
      <c r="AE36" s="123"/>
      <c r="AF36" s="123"/>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7"/>
      <c r="BZ36" s="127"/>
      <c r="CA36" s="127"/>
      <c r="CB36" s="127"/>
      <c r="CC36" s="127"/>
      <c r="CD36" s="127"/>
      <c r="CE36" s="127"/>
      <c r="CF36" s="127"/>
      <c r="CG36" s="127"/>
      <c r="CH36" s="127"/>
      <c r="CI36" s="127"/>
      <c r="CJ36" s="127"/>
      <c r="CK36" s="127"/>
      <c r="CL36" s="127"/>
      <c r="CM36" s="127"/>
      <c r="CN36" s="127"/>
      <c r="CO36" s="127"/>
      <c r="CP36" s="127"/>
      <c r="CQ36" s="127"/>
      <c r="CR36" s="127"/>
      <c r="CS36" s="127"/>
      <c r="CT36" s="127"/>
      <c r="CU36" s="127"/>
      <c r="CV36" s="127"/>
      <c r="CW36" s="127"/>
      <c r="CX36" s="127"/>
      <c r="CY36" s="127"/>
      <c r="CZ36" s="127"/>
      <c r="DA36" s="127"/>
      <c r="DB36" s="127"/>
      <c r="DC36" s="127"/>
      <c r="DD36" s="127"/>
      <c r="DE36" s="127"/>
      <c r="DF36" s="127"/>
      <c r="DG36" s="127"/>
      <c r="DH36" s="127"/>
      <c r="DI36" s="127"/>
      <c r="DJ36" s="127"/>
      <c r="DK36" s="127"/>
      <c r="DL36" s="127"/>
      <c r="DM36" s="127"/>
      <c r="DN36" s="127"/>
      <c r="DO36" s="127"/>
      <c r="DP36" s="127"/>
      <c r="DQ36" s="127"/>
      <c r="DR36" s="127"/>
      <c r="DS36" s="127"/>
      <c r="DT36" s="127"/>
      <c r="DU36" s="128"/>
      <c r="DV36" s="128"/>
      <c r="DW36" s="128"/>
      <c r="DX36" s="128"/>
      <c r="DY36" s="128"/>
      <c r="DZ36" s="128"/>
      <c r="EA36" s="128"/>
      <c r="EB36" s="128"/>
      <c r="EC36" s="128"/>
      <c r="ED36" s="128"/>
      <c r="EE36" s="128"/>
      <c r="EF36" s="128"/>
      <c r="EG36" s="128"/>
      <c r="EH36" s="128"/>
      <c r="EI36" s="128"/>
      <c r="EJ36" s="128"/>
      <c r="EK36" s="128"/>
      <c r="EL36" s="128"/>
      <c r="EM36" s="128"/>
      <c r="EN36" s="128"/>
      <c r="EO36" s="128"/>
      <c r="EP36" s="128"/>
      <c r="EQ36" s="128"/>
      <c r="ER36" s="128"/>
      <c r="ES36" s="128"/>
      <c r="ET36" s="128"/>
      <c r="EU36" s="128"/>
      <c r="EV36" s="128"/>
      <c r="EW36" s="129"/>
      <c r="EX36" s="129"/>
      <c r="EY36" s="129"/>
      <c r="EZ36" s="129"/>
      <c r="FA36" s="130"/>
      <c r="FB36" s="130"/>
      <c r="FC36" s="130"/>
      <c r="FD36" s="129"/>
      <c r="FE36" s="129"/>
      <c r="FF36" s="131"/>
    </row>
    <row r="37" spans="1:162" ht="19" customHeight="1" x14ac:dyDescent="0.2">
      <c r="A37" s="3"/>
      <c r="B37" s="50"/>
      <c r="C37" s="50"/>
      <c r="D37" s="3"/>
      <c r="E37" s="75"/>
      <c r="F37" s="75"/>
      <c r="G37" s="51"/>
      <c r="H37" s="84"/>
      <c r="I37" s="84"/>
      <c r="J37" s="84"/>
      <c r="K37" s="85"/>
      <c r="M37" s="86"/>
      <c r="N37" s="122"/>
      <c r="O37" s="122"/>
      <c r="P37" s="123"/>
      <c r="Q37" s="123"/>
      <c r="R37" s="123"/>
      <c r="S37" s="123"/>
      <c r="T37" s="123"/>
      <c r="U37" s="123"/>
      <c r="V37" s="123"/>
      <c r="W37" s="123"/>
      <c r="X37" s="123"/>
      <c r="Y37" s="124"/>
      <c r="Z37" s="125"/>
      <c r="AA37" s="125"/>
      <c r="AB37" s="125"/>
      <c r="AC37" s="125"/>
      <c r="AD37" s="125"/>
      <c r="AE37" s="123"/>
      <c r="AF37" s="123"/>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7"/>
      <c r="BZ37" s="127"/>
      <c r="CA37" s="127"/>
      <c r="CB37" s="127"/>
      <c r="CC37" s="127"/>
      <c r="CD37" s="127"/>
      <c r="CE37" s="127"/>
      <c r="CF37" s="127"/>
      <c r="CG37" s="127"/>
      <c r="CH37" s="127"/>
      <c r="CI37" s="127"/>
      <c r="CJ37" s="127"/>
      <c r="CK37" s="127"/>
      <c r="CL37" s="127"/>
      <c r="CM37" s="127"/>
      <c r="CN37" s="127"/>
      <c r="CO37" s="127"/>
      <c r="CP37" s="127"/>
      <c r="CQ37" s="127"/>
      <c r="CR37" s="127"/>
      <c r="CS37" s="127"/>
      <c r="CT37" s="127"/>
      <c r="CU37" s="127"/>
      <c r="CV37" s="127"/>
      <c r="CW37" s="127"/>
      <c r="CX37" s="127"/>
      <c r="CY37" s="127"/>
      <c r="CZ37" s="127"/>
      <c r="DA37" s="127"/>
      <c r="DB37" s="127"/>
      <c r="DC37" s="127"/>
      <c r="DD37" s="127"/>
      <c r="DE37" s="127"/>
      <c r="DF37" s="127"/>
      <c r="DG37" s="127"/>
      <c r="DH37" s="127"/>
      <c r="DI37" s="127"/>
      <c r="DJ37" s="127"/>
      <c r="DK37" s="127"/>
      <c r="DL37" s="127"/>
      <c r="DM37" s="127"/>
      <c r="DN37" s="127"/>
      <c r="DO37" s="127"/>
      <c r="DP37" s="127"/>
      <c r="DQ37" s="127"/>
      <c r="DR37" s="127"/>
      <c r="DS37" s="127"/>
      <c r="DT37" s="127"/>
      <c r="DU37" s="128"/>
      <c r="DV37" s="128"/>
      <c r="DW37" s="128"/>
      <c r="DX37" s="128"/>
      <c r="DY37" s="128"/>
      <c r="DZ37" s="128"/>
      <c r="EA37" s="128"/>
      <c r="EB37" s="128"/>
      <c r="EC37" s="128"/>
      <c r="ED37" s="128"/>
      <c r="EE37" s="128"/>
      <c r="EF37" s="128"/>
      <c r="EG37" s="128"/>
      <c r="EH37" s="128"/>
      <c r="EI37" s="128"/>
      <c r="EJ37" s="128"/>
      <c r="EK37" s="128"/>
      <c r="EL37" s="128"/>
      <c r="EM37" s="128"/>
      <c r="EN37" s="128"/>
      <c r="EO37" s="128"/>
      <c r="EP37" s="128"/>
      <c r="EQ37" s="128"/>
      <c r="ER37" s="128"/>
      <c r="ES37" s="128"/>
      <c r="ET37" s="128"/>
      <c r="EU37" s="128"/>
      <c r="EV37" s="128"/>
      <c r="EW37" s="129"/>
      <c r="EX37" s="129"/>
      <c r="EY37" s="129"/>
      <c r="EZ37" s="129"/>
      <c r="FA37" s="130"/>
      <c r="FB37" s="130"/>
      <c r="FC37" s="130"/>
      <c r="FD37" s="129"/>
      <c r="FE37" s="129"/>
      <c r="FF37" s="131"/>
    </row>
    <row r="38" spans="1:162" ht="19" customHeight="1" x14ac:dyDescent="0.2">
      <c r="A38" s="3"/>
      <c r="B38" s="50"/>
      <c r="C38" s="50"/>
      <c r="D38" s="3"/>
      <c r="E38" s="75"/>
      <c r="F38" s="75"/>
      <c r="G38" s="51"/>
      <c r="H38" s="84"/>
      <c r="I38" s="84"/>
      <c r="J38" s="84"/>
      <c r="K38" s="85"/>
      <c r="M38" s="86"/>
      <c r="N38" s="122"/>
      <c r="O38" s="122"/>
      <c r="P38" s="123"/>
      <c r="Q38" s="123"/>
      <c r="R38" s="123"/>
      <c r="S38" s="123"/>
      <c r="T38" s="123"/>
      <c r="U38" s="123"/>
      <c r="V38" s="123"/>
      <c r="W38" s="123"/>
      <c r="X38" s="123"/>
      <c r="Y38" s="124"/>
      <c r="Z38" s="125"/>
      <c r="AA38" s="125"/>
      <c r="AB38" s="125"/>
      <c r="AC38" s="125"/>
      <c r="AD38" s="125"/>
      <c r="AE38" s="123"/>
      <c r="AF38" s="123"/>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7"/>
      <c r="BZ38" s="127"/>
      <c r="CA38" s="127"/>
      <c r="CB38" s="127"/>
      <c r="CC38" s="127"/>
      <c r="CD38" s="127"/>
      <c r="CE38" s="127"/>
      <c r="CF38" s="127"/>
      <c r="CG38" s="127"/>
      <c r="CH38" s="127"/>
      <c r="CI38" s="127"/>
      <c r="CJ38" s="127"/>
      <c r="CK38" s="127"/>
      <c r="CL38" s="127"/>
      <c r="CM38" s="127"/>
      <c r="CN38" s="127"/>
      <c r="CO38" s="127"/>
      <c r="CP38" s="127"/>
      <c r="CQ38" s="127"/>
      <c r="CR38" s="127"/>
      <c r="CS38" s="127"/>
      <c r="CT38" s="127"/>
      <c r="CU38" s="127"/>
      <c r="CV38" s="127"/>
      <c r="CW38" s="127"/>
      <c r="CX38" s="127"/>
      <c r="CY38" s="127"/>
      <c r="CZ38" s="127"/>
      <c r="DA38" s="127"/>
      <c r="DB38" s="127"/>
      <c r="DC38" s="127"/>
      <c r="DD38" s="127"/>
      <c r="DE38" s="127"/>
      <c r="DF38" s="127"/>
      <c r="DG38" s="127"/>
      <c r="DH38" s="127"/>
      <c r="DI38" s="127"/>
      <c r="DJ38" s="127"/>
      <c r="DK38" s="127"/>
      <c r="DL38" s="127"/>
      <c r="DM38" s="127"/>
      <c r="DN38" s="127"/>
      <c r="DO38" s="127"/>
      <c r="DP38" s="127"/>
      <c r="DQ38" s="127"/>
      <c r="DR38" s="127"/>
      <c r="DS38" s="127"/>
      <c r="DT38" s="127"/>
      <c r="DU38" s="128"/>
      <c r="DV38" s="128"/>
      <c r="DW38" s="128"/>
      <c r="DX38" s="128"/>
      <c r="DY38" s="128"/>
      <c r="DZ38" s="128"/>
      <c r="EA38" s="128"/>
      <c r="EB38" s="128"/>
      <c r="EC38" s="128"/>
      <c r="ED38" s="128"/>
      <c r="EE38" s="128"/>
      <c r="EF38" s="128"/>
      <c r="EG38" s="128"/>
      <c r="EH38" s="128"/>
      <c r="EI38" s="128"/>
      <c r="EJ38" s="128"/>
      <c r="EK38" s="128"/>
      <c r="EL38" s="128"/>
      <c r="EM38" s="128"/>
      <c r="EN38" s="128"/>
      <c r="EO38" s="128"/>
      <c r="EP38" s="128"/>
      <c r="EQ38" s="128"/>
      <c r="ER38" s="128"/>
      <c r="ES38" s="128"/>
      <c r="ET38" s="128"/>
      <c r="EU38" s="128"/>
      <c r="EV38" s="128"/>
      <c r="EW38" s="129"/>
      <c r="EX38" s="129"/>
      <c r="EY38" s="129"/>
      <c r="EZ38" s="129"/>
      <c r="FA38" s="130"/>
      <c r="FB38" s="130"/>
      <c r="FC38" s="130"/>
      <c r="FD38" s="129"/>
      <c r="FE38" s="129"/>
      <c r="FF38" s="131"/>
    </row>
    <row r="39" spans="1:162" ht="19" customHeight="1" x14ac:dyDescent="0.2">
      <c r="A39" s="3"/>
      <c r="B39" s="50"/>
      <c r="C39" s="50"/>
      <c r="D39" s="3"/>
      <c r="E39" s="75"/>
      <c r="F39" s="75"/>
      <c r="G39" s="51"/>
      <c r="H39" s="84"/>
      <c r="I39" s="84"/>
      <c r="J39" s="84"/>
      <c r="K39" s="85"/>
      <c r="M39" s="86"/>
      <c r="N39" s="122"/>
      <c r="O39" s="122"/>
      <c r="P39" s="123"/>
      <c r="Q39" s="123"/>
      <c r="R39" s="123"/>
      <c r="S39" s="123"/>
      <c r="T39" s="123"/>
      <c r="U39" s="123"/>
      <c r="V39" s="123"/>
      <c r="W39" s="123"/>
      <c r="X39" s="123"/>
      <c r="Y39" s="124"/>
      <c r="Z39" s="125"/>
      <c r="AA39" s="125"/>
      <c r="AB39" s="125"/>
      <c r="AC39" s="125"/>
      <c r="AD39" s="125"/>
      <c r="AE39" s="123"/>
      <c r="AF39" s="123"/>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7"/>
      <c r="BZ39" s="127"/>
      <c r="CA39" s="127"/>
      <c r="CB39" s="127"/>
      <c r="CC39" s="127"/>
      <c r="CD39" s="127"/>
      <c r="CE39" s="127"/>
      <c r="CF39" s="127"/>
      <c r="CG39" s="127"/>
      <c r="CH39" s="127"/>
      <c r="CI39" s="127"/>
      <c r="CJ39" s="127"/>
      <c r="CK39" s="127"/>
      <c r="CL39" s="127"/>
      <c r="CM39" s="127"/>
      <c r="CN39" s="127"/>
      <c r="CO39" s="127"/>
      <c r="CP39" s="127"/>
      <c r="CQ39" s="127"/>
      <c r="CR39" s="127"/>
      <c r="CS39" s="127"/>
      <c r="CT39" s="127"/>
      <c r="CU39" s="127"/>
      <c r="CV39" s="127"/>
      <c r="CW39" s="127"/>
      <c r="CX39" s="127"/>
      <c r="CY39" s="127"/>
      <c r="CZ39" s="127"/>
      <c r="DA39" s="127"/>
      <c r="DB39" s="127"/>
      <c r="DC39" s="127"/>
      <c r="DD39" s="127"/>
      <c r="DE39" s="127"/>
      <c r="DF39" s="127"/>
      <c r="DG39" s="127"/>
      <c r="DH39" s="127"/>
      <c r="DI39" s="127"/>
      <c r="DJ39" s="127"/>
      <c r="DK39" s="127"/>
      <c r="DL39" s="127"/>
      <c r="DM39" s="127"/>
      <c r="DN39" s="127"/>
      <c r="DO39" s="127"/>
      <c r="DP39" s="127"/>
      <c r="DQ39" s="127"/>
      <c r="DR39" s="127"/>
      <c r="DS39" s="127"/>
      <c r="DT39" s="127"/>
      <c r="DU39" s="128"/>
      <c r="DV39" s="128"/>
      <c r="DW39" s="128"/>
      <c r="DX39" s="128"/>
      <c r="DY39" s="128"/>
      <c r="DZ39" s="128"/>
      <c r="EA39" s="128"/>
      <c r="EB39" s="128"/>
      <c r="EC39" s="128"/>
      <c r="ED39" s="128"/>
      <c r="EE39" s="128"/>
      <c r="EF39" s="128"/>
      <c r="EG39" s="128"/>
      <c r="EH39" s="128"/>
      <c r="EI39" s="128"/>
      <c r="EJ39" s="128"/>
      <c r="EK39" s="128"/>
      <c r="EL39" s="128"/>
      <c r="EM39" s="128"/>
      <c r="EN39" s="128"/>
      <c r="EO39" s="128"/>
      <c r="EP39" s="128"/>
      <c r="EQ39" s="128"/>
      <c r="ER39" s="128"/>
      <c r="ES39" s="128"/>
      <c r="ET39" s="128"/>
      <c r="EU39" s="128"/>
      <c r="EV39" s="128"/>
      <c r="EW39" s="129"/>
      <c r="EX39" s="129"/>
      <c r="EY39" s="129"/>
      <c r="EZ39" s="129"/>
      <c r="FA39" s="130"/>
      <c r="FB39" s="130"/>
      <c r="FC39" s="130"/>
      <c r="FD39" s="129"/>
      <c r="FE39" s="129"/>
      <c r="FF39" s="131"/>
    </row>
    <row r="40" spans="1:162" ht="19" customHeight="1" x14ac:dyDescent="0.2">
      <c r="A40" s="3"/>
      <c r="B40" s="50"/>
      <c r="C40" s="50"/>
      <c r="D40" s="3"/>
      <c r="E40" s="75"/>
      <c r="F40" s="75"/>
      <c r="G40" s="51"/>
      <c r="H40" s="84"/>
      <c r="I40" s="84"/>
      <c r="J40" s="84"/>
      <c r="K40" s="85"/>
      <c r="M40" s="86"/>
      <c r="N40" s="122"/>
      <c r="O40" s="122"/>
      <c r="P40" s="123"/>
      <c r="Q40" s="123"/>
      <c r="R40" s="123"/>
      <c r="S40" s="123"/>
      <c r="T40" s="123"/>
      <c r="U40" s="123"/>
      <c r="V40" s="123"/>
      <c r="W40" s="123"/>
      <c r="X40" s="123"/>
      <c r="Y40" s="124"/>
      <c r="Z40" s="125"/>
      <c r="AA40" s="125"/>
      <c r="AB40" s="125"/>
      <c r="AC40" s="125"/>
      <c r="AD40" s="125"/>
      <c r="AE40" s="123"/>
      <c r="AF40" s="123"/>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7"/>
      <c r="BZ40" s="127"/>
      <c r="CA40" s="127"/>
      <c r="CB40" s="127"/>
      <c r="CC40" s="127"/>
      <c r="CD40" s="127"/>
      <c r="CE40" s="127"/>
      <c r="CF40" s="127"/>
      <c r="CG40" s="127"/>
      <c r="CH40" s="127"/>
      <c r="CI40" s="127"/>
      <c r="CJ40" s="127"/>
      <c r="CK40" s="127"/>
      <c r="CL40" s="127"/>
      <c r="CM40" s="127"/>
      <c r="CN40" s="127"/>
      <c r="CO40" s="127"/>
      <c r="CP40" s="127"/>
      <c r="CQ40" s="127"/>
      <c r="CR40" s="127"/>
      <c r="CS40" s="127"/>
      <c r="CT40" s="127"/>
      <c r="CU40" s="127"/>
      <c r="CV40" s="127"/>
      <c r="CW40" s="127"/>
      <c r="CX40" s="127"/>
      <c r="CY40" s="127"/>
      <c r="CZ40" s="127"/>
      <c r="DA40" s="127"/>
      <c r="DB40" s="127"/>
      <c r="DC40" s="127"/>
      <c r="DD40" s="127"/>
      <c r="DE40" s="127"/>
      <c r="DF40" s="127"/>
      <c r="DG40" s="127"/>
      <c r="DH40" s="127"/>
      <c r="DI40" s="127"/>
      <c r="DJ40" s="127"/>
      <c r="DK40" s="127"/>
      <c r="DL40" s="127"/>
      <c r="DM40" s="127"/>
      <c r="DN40" s="127"/>
      <c r="DO40" s="127"/>
      <c r="DP40" s="127"/>
      <c r="DQ40" s="127"/>
      <c r="DR40" s="127"/>
      <c r="DS40" s="127"/>
      <c r="DT40" s="127"/>
      <c r="DU40" s="128"/>
      <c r="DV40" s="128"/>
      <c r="DW40" s="128"/>
      <c r="DX40" s="128"/>
      <c r="DY40" s="128"/>
      <c r="DZ40" s="128"/>
      <c r="EA40" s="128"/>
      <c r="EB40" s="128"/>
      <c r="EC40" s="128"/>
      <c r="ED40" s="128"/>
      <c r="EE40" s="128"/>
      <c r="EF40" s="128"/>
      <c r="EG40" s="128"/>
      <c r="EH40" s="128"/>
      <c r="EI40" s="128"/>
      <c r="EJ40" s="128"/>
      <c r="EK40" s="128"/>
      <c r="EL40" s="128"/>
      <c r="EM40" s="128"/>
      <c r="EN40" s="128"/>
      <c r="EO40" s="128"/>
      <c r="EP40" s="128"/>
      <c r="EQ40" s="128"/>
      <c r="ER40" s="128"/>
      <c r="ES40" s="128"/>
      <c r="ET40" s="128"/>
      <c r="EU40" s="128"/>
      <c r="EV40" s="128"/>
      <c r="EW40" s="129"/>
      <c r="EX40" s="129"/>
      <c r="EY40" s="129"/>
      <c r="EZ40" s="129"/>
      <c r="FA40" s="130"/>
      <c r="FB40" s="130"/>
      <c r="FC40" s="130"/>
      <c r="FD40" s="129"/>
      <c r="FE40" s="129"/>
      <c r="FF40" s="131"/>
    </row>
    <row r="41" spans="1:162" ht="19" customHeight="1" x14ac:dyDescent="0.2">
      <c r="A41" s="3"/>
      <c r="B41" s="50"/>
      <c r="C41" s="50"/>
      <c r="D41" s="3"/>
      <c r="E41" s="75"/>
      <c r="F41" s="75"/>
      <c r="G41" s="51"/>
      <c r="H41" s="84"/>
      <c r="I41" s="84"/>
      <c r="J41" s="84"/>
      <c r="K41" s="85"/>
      <c r="M41" s="86"/>
      <c r="N41" s="122"/>
      <c r="O41" s="122"/>
      <c r="P41" s="123"/>
      <c r="Q41" s="123"/>
      <c r="R41" s="123"/>
      <c r="S41" s="123"/>
      <c r="T41" s="123"/>
      <c r="U41" s="123"/>
      <c r="V41" s="123"/>
      <c r="W41" s="123"/>
      <c r="X41" s="123"/>
      <c r="Y41" s="124"/>
      <c r="Z41" s="125"/>
      <c r="AA41" s="125"/>
      <c r="AB41" s="125"/>
      <c r="AC41" s="125"/>
      <c r="AD41" s="125"/>
      <c r="AE41" s="123"/>
      <c r="AF41" s="123"/>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7"/>
      <c r="BZ41" s="127"/>
      <c r="CA41" s="127"/>
      <c r="CB41" s="127"/>
      <c r="CC41" s="127"/>
      <c r="CD41" s="127"/>
      <c r="CE41" s="127"/>
      <c r="CF41" s="127"/>
      <c r="CG41" s="127"/>
      <c r="CH41" s="127"/>
      <c r="CI41" s="127"/>
      <c r="CJ41" s="127"/>
      <c r="CK41" s="127"/>
      <c r="CL41" s="127"/>
      <c r="CM41" s="127"/>
      <c r="CN41" s="127"/>
      <c r="CO41" s="127"/>
      <c r="CP41" s="127"/>
      <c r="CQ41" s="127"/>
      <c r="CR41" s="127"/>
      <c r="CS41" s="127"/>
      <c r="CT41" s="127"/>
      <c r="CU41" s="127"/>
      <c r="CV41" s="127"/>
      <c r="CW41" s="127"/>
      <c r="CX41" s="127"/>
      <c r="CY41" s="127"/>
      <c r="CZ41" s="127"/>
      <c r="DA41" s="127"/>
      <c r="DB41" s="127"/>
      <c r="DC41" s="127"/>
      <c r="DD41" s="127"/>
      <c r="DE41" s="127"/>
      <c r="DF41" s="127"/>
      <c r="DG41" s="127"/>
      <c r="DH41" s="127"/>
      <c r="DI41" s="127"/>
      <c r="DJ41" s="127"/>
      <c r="DK41" s="127"/>
      <c r="DL41" s="127"/>
      <c r="DM41" s="127"/>
      <c r="DN41" s="127"/>
      <c r="DO41" s="127"/>
      <c r="DP41" s="127"/>
      <c r="DQ41" s="127"/>
      <c r="DR41" s="127"/>
      <c r="DS41" s="127"/>
      <c r="DT41" s="127"/>
      <c r="DU41" s="128"/>
      <c r="DV41" s="128"/>
      <c r="DW41" s="128"/>
      <c r="DX41" s="128"/>
      <c r="DY41" s="128"/>
      <c r="DZ41" s="128"/>
      <c r="EA41" s="128"/>
      <c r="EB41" s="128"/>
      <c r="EC41" s="128"/>
      <c r="ED41" s="128"/>
      <c r="EE41" s="128"/>
      <c r="EF41" s="128"/>
      <c r="EG41" s="128"/>
      <c r="EH41" s="128"/>
      <c r="EI41" s="128"/>
      <c r="EJ41" s="128"/>
      <c r="EK41" s="128"/>
      <c r="EL41" s="128"/>
      <c r="EM41" s="128"/>
      <c r="EN41" s="128"/>
      <c r="EO41" s="128"/>
      <c r="EP41" s="128"/>
      <c r="EQ41" s="128"/>
      <c r="ER41" s="128"/>
      <c r="ES41" s="128"/>
      <c r="ET41" s="128"/>
      <c r="EU41" s="128"/>
      <c r="EV41" s="128"/>
      <c r="EW41" s="129"/>
      <c r="EX41" s="129"/>
      <c r="EY41" s="129"/>
      <c r="EZ41" s="129"/>
      <c r="FA41" s="130"/>
      <c r="FB41" s="130"/>
      <c r="FC41" s="130"/>
      <c r="FD41" s="129"/>
      <c r="FE41" s="129"/>
      <c r="FF41" s="131"/>
    </row>
    <row r="42" spans="1:162" ht="19" customHeight="1" x14ac:dyDescent="0.2">
      <c r="A42" s="3"/>
      <c r="B42" s="50"/>
      <c r="C42" s="50"/>
      <c r="D42" s="3"/>
      <c r="E42" s="75"/>
      <c r="F42" s="75"/>
      <c r="G42" s="51"/>
      <c r="H42" s="84"/>
      <c r="I42" s="84"/>
      <c r="J42" s="84"/>
      <c r="K42" s="85"/>
      <c r="M42" s="86"/>
      <c r="N42" s="122"/>
      <c r="O42" s="122"/>
      <c r="P42" s="123"/>
      <c r="Q42" s="123"/>
      <c r="R42" s="123"/>
      <c r="S42" s="123"/>
      <c r="T42" s="123"/>
      <c r="U42" s="123"/>
      <c r="V42" s="123"/>
      <c r="W42" s="123"/>
      <c r="X42" s="123"/>
      <c r="Y42" s="124"/>
      <c r="Z42" s="125"/>
      <c r="AA42" s="125"/>
      <c r="AB42" s="125"/>
      <c r="AC42" s="125"/>
      <c r="AD42" s="125"/>
      <c r="AE42" s="123"/>
      <c r="AF42" s="123"/>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7"/>
      <c r="BZ42" s="127"/>
      <c r="CA42" s="127"/>
      <c r="CB42" s="127"/>
      <c r="CC42" s="127"/>
      <c r="CD42" s="127"/>
      <c r="CE42" s="127"/>
      <c r="CF42" s="127"/>
      <c r="CG42" s="127"/>
      <c r="CH42" s="127"/>
      <c r="CI42" s="127"/>
      <c r="CJ42" s="127"/>
      <c r="CK42" s="127"/>
      <c r="CL42" s="127"/>
      <c r="CM42" s="127"/>
      <c r="CN42" s="127"/>
      <c r="CO42" s="127"/>
      <c r="CP42" s="127"/>
      <c r="CQ42" s="127"/>
      <c r="CR42" s="127"/>
      <c r="CS42" s="127"/>
      <c r="CT42" s="127"/>
      <c r="CU42" s="127"/>
      <c r="CV42" s="127"/>
      <c r="CW42" s="127"/>
      <c r="CX42" s="127"/>
      <c r="CY42" s="127"/>
      <c r="CZ42" s="127"/>
      <c r="DA42" s="127"/>
      <c r="DB42" s="127"/>
      <c r="DC42" s="127"/>
      <c r="DD42" s="127"/>
      <c r="DE42" s="127"/>
      <c r="DF42" s="127"/>
      <c r="DG42" s="127"/>
      <c r="DH42" s="127"/>
      <c r="DI42" s="127"/>
      <c r="DJ42" s="127"/>
      <c r="DK42" s="127"/>
      <c r="DL42" s="127"/>
      <c r="DM42" s="127"/>
      <c r="DN42" s="127"/>
      <c r="DO42" s="127"/>
      <c r="DP42" s="127"/>
      <c r="DQ42" s="127"/>
      <c r="DR42" s="127"/>
      <c r="DS42" s="127"/>
      <c r="DT42" s="127"/>
      <c r="DU42" s="128"/>
      <c r="DV42" s="128"/>
      <c r="DW42" s="128"/>
      <c r="DX42" s="128"/>
      <c r="DY42" s="128"/>
      <c r="DZ42" s="128"/>
      <c r="EA42" s="128"/>
      <c r="EB42" s="128"/>
      <c r="EC42" s="128"/>
      <c r="ED42" s="128"/>
      <c r="EE42" s="128"/>
      <c r="EF42" s="128"/>
      <c r="EG42" s="128"/>
      <c r="EH42" s="128"/>
      <c r="EI42" s="128"/>
      <c r="EJ42" s="128"/>
      <c r="EK42" s="128"/>
      <c r="EL42" s="128"/>
      <c r="EM42" s="128"/>
      <c r="EN42" s="128"/>
      <c r="EO42" s="128"/>
      <c r="EP42" s="128"/>
      <c r="EQ42" s="128"/>
      <c r="ER42" s="128"/>
      <c r="ES42" s="128"/>
      <c r="ET42" s="128"/>
      <c r="EU42" s="128"/>
      <c r="EV42" s="128"/>
      <c r="EW42" s="129"/>
      <c r="EX42" s="129"/>
      <c r="EY42" s="129"/>
      <c r="EZ42" s="129"/>
      <c r="FA42" s="130"/>
      <c r="FB42" s="130"/>
      <c r="FC42" s="130"/>
      <c r="FD42" s="129"/>
      <c r="FE42" s="129"/>
      <c r="FF42" s="131"/>
    </row>
    <row r="43" spans="1:162" ht="19" customHeight="1" x14ac:dyDescent="0.2">
      <c r="A43" s="3"/>
      <c r="B43" s="50"/>
      <c r="C43" s="50"/>
      <c r="D43" s="3"/>
      <c r="E43" s="75"/>
      <c r="F43" s="75"/>
      <c r="G43" s="51"/>
      <c r="H43" s="84"/>
      <c r="I43" s="84"/>
      <c r="J43" s="84"/>
      <c r="K43" s="85"/>
      <c r="M43" s="86"/>
      <c r="N43" s="122"/>
      <c r="O43" s="122"/>
      <c r="P43" s="123"/>
      <c r="Q43" s="123"/>
      <c r="R43" s="123"/>
      <c r="S43" s="123"/>
      <c r="T43" s="123"/>
      <c r="U43" s="123"/>
      <c r="V43" s="123"/>
      <c r="W43" s="123"/>
      <c r="X43" s="123"/>
      <c r="Y43" s="124"/>
      <c r="Z43" s="125"/>
      <c r="AA43" s="125"/>
      <c r="AB43" s="125"/>
      <c r="AC43" s="125"/>
      <c r="AD43" s="125"/>
      <c r="AE43" s="123"/>
      <c r="AF43" s="123"/>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7"/>
      <c r="BZ43" s="127"/>
      <c r="CA43" s="127"/>
      <c r="CB43" s="127"/>
      <c r="CC43" s="127"/>
      <c r="CD43" s="127"/>
      <c r="CE43" s="127"/>
      <c r="CF43" s="127"/>
      <c r="CG43" s="127"/>
      <c r="CH43" s="127"/>
      <c r="CI43" s="127"/>
      <c r="CJ43" s="127"/>
      <c r="CK43" s="127"/>
      <c r="CL43" s="127"/>
      <c r="CM43" s="127"/>
      <c r="CN43" s="127"/>
      <c r="CO43" s="127"/>
      <c r="CP43" s="127"/>
      <c r="CQ43" s="127"/>
      <c r="CR43" s="127"/>
      <c r="CS43" s="127"/>
      <c r="CT43" s="127"/>
      <c r="CU43" s="127"/>
      <c r="CV43" s="127"/>
      <c r="CW43" s="127"/>
      <c r="CX43" s="127"/>
      <c r="CY43" s="127"/>
      <c r="CZ43" s="127"/>
      <c r="DA43" s="127"/>
      <c r="DB43" s="127"/>
      <c r="DC43" s="127"/>
      <c r="DD43" s="127"/>
      <c r="DE43" s="127"/>
      <c r="DF43" s="127"/>
      <c r="DG43" s="127"/>
      <c r="DH43" s="127"/>
      <c r="DI43" s="127"/>
      <c r="DJ43" s="127"/>
      <c r="DK43" s="127"/>
      <c r="DL43" s="127"/>
      <c r="DM43" s="127"/>
      <c r="DN43" s="127"/>
      <c r="DO43" s="127"/>
      <c r="DP43" s="127"/>
      <c r="DQ43" s="127"/>
      <c r="DR43" s="127"/>
      <c r="DS43" s="127"/>
      <c r="DT43" s="127"/>
      <c r="DU43" s="128"/>
      <c r="DV43" s="128"/>
      <c r="DW43" s="128"/>
      <c r="DX43" s="128"/>
      <c r="DY43" s="128"/>
      <c r="DZ43" s="128"/>
      <c r="EA43" s="128"/>
      <c r="EB43" s="128"/>
      <c r="EC43" s="128"/>
      <c r="ED43" s="128"/>
      <c r="EE43" s="128"/>
      <c r="EF43" s="128"/>
      <c r="EG43" s="128"/>
      <c r="EH43" s="128"/>
      <c r="EI43" s="128"/>
      <c r="EJ43" s="128"/>
      <c r="EK43" s="128"/>
      <c r="EL43" s="128"/>
      <c r="EM43" s="128"/>
      <c r="EN43" s="128"/>
      <c r="EO43" s="128"/>
      <c r="EP43" s="128"/>
      <c r="EQ43" s="128"/>
      <c r="ER43" s="128"/>
      <c r="ES43" s="128"/>
      <c r="ET43" s="128"/>
      <c r="EU43" s="128"/>
      <c r="EV43" s="128"/>
      <c r="EW43" s="129"/>
      <c r="EX43" s="129"/>
      <c r="EY43" s="129"/>
      <c r="EZ43" s="129"/>
      <c r="FA43" s="130"/>
      <c r="FB43" s="130"/>
      <c r="FC43" s="130"/>
      <c r="FD43" s="129"/>
      <c r="FE43" s="129"/>
      <c r="FF43" s="131"/>
    </row>
    <row r="44" spans="1:162" ht="19" customHeight="1" x14ac:dyDescent="0.2">
      <c r="A44" s="3"/>
      <c r="B44" s="50"/>
      <c r="C44" s="50"/>
      <c r="D44" s="3"/>
      <c r="E44" s="75"/>
      <c r="F44" s="75"/>
      <c r="G44" s="51"/>
      <c r="H44" s="84"/>
      <c r="I44" s="84"/>
      <c r="J44" s="84"/>
      <c r="K44" s="85"/>
      <c r="M44" s="86"/>
      <c r="N44" s="122"/>
      <c r="O44" s="122"/>
      <c r="P44" s="123"/>
      <c r="Q44" s="123"/>
      <c r="R44" s="123"/>
      <c r="S44" s="123"/>
      <c r="T44" s="123"/>
      <c r="U44" s="123"/>
      <c r="V44" s="123"/>
      <c r="W44" s="123"/>
      <c r="X44" s="123"/>
      <c r="Y44" s="124"/>
      <c r="Z44" s="125"/>
      <c r="AA44" s="125"/>
      <c r="AB44" s="125"/>
      <c r="AC44" s="125"/>
      <c r="AD44" s="125"/>
      <c r="AE44" s="123"/>
      <c r="AF44" s="123"/>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7"/>
      <c r="BZ44" s="127"/>
      <c r="CA44" s="127"/>
      <c r="CB44" s="127"/>
      <c r="CC44" s="127"/>
      <c r="CD44" s="127"/>
      <c r="CE44" s="127"/>
      <c r="CF44" s="127"/>
      <c r="CG44" s="127"/>
      <c r="CH44" s="127"/>
      <c r="CI44" s="127"/>
      <c r="CJ44" s="127"/>
      <c r="CK44" s="127"/>
      <c r="CL44" s="127"/>
      <c r="CM44" s="127"/>
      <c r="CN44" s="127"/>
      <c r="CO44" s="127"/>
      <c r="CP44" s="127"/>
      <c r="CQ44" s="127"/>
      <c r="CR44" s="127"/>
      <c r="CS44" s="127"/>
      <c r="CT44" s="127"/>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8"/>
      <c r="DV44" s="128"/>
      <c r="DW44" s="128"/>
      <c r="DX44" s="128"/>
      <c r="DY44" s="128"/>
      <c r="DZ44" s="128"/>
      <c r="EA44" s="128"/>
      <c r="EB44" s="128"/>
      <c r="EC44" s="128"/>
      <c r="ED44" s="128"/>
      <c r="EE44" s="128"/>
      <c r="EF44" s="128"/>
      <c r="EG44" s="128"/>
      <c r="EH44" s="128"/>
      <c r="EI44" s="128"/>
      <c r="EJ44" s="128"/>
      <c r="EK44" s="128"/>
      <c r="EL44" s="128"/>
      <c r="EM44" s="128"/>
      <c r="EN44" s="128"/>
      <c r="EO44" s="128"/>
      <c r="EP44" s="128"/>
      <c r="EQ44" s="128"/>
      <c r="ER44" s="128"/>
      <c r="ES44" s="128"/>
      <c r="ET44" s="128"/>
      <c r="EU44" s="128"/>
      <c r="EV44" s="128"/>
      <c r="EW44" s="129"/>
      <c r="EX44" s="129"/>
      <c r="EY44" s="129"/>
      <c r="EZ44" s="129"/>
      <c r="FA44" s="130"/>
      <c r="FB44" s="130"/>
      <c r="FC44" s="130"/>
      <c r="FD44" s="129"/>
      <c r="FE44" s="129"/>
      <c r="FF44" s="131"/>
    </row>
    <row r="45" spans="1:162" ht="19" customHeight="1" x14ac:dyDescent="0.2">
      <c r="A45" s="3"/>
      <c r="B45" s="50"/>
      <c r="C45" s="50"/>
      <c r="D45" s="3"/>
      <c r="E45" s="75"/>
      <c r="F45" s="75"/>
      <c r="G45" s="51"/>
      <c r="H45" s="84"/>
      <c r="I45" s="84"/>
      <c r="J45" s="84"/>
      <c r="K45" s="85"/>
      <c r="M45" s="86"/>
      <c r="N45" s="122"/>
      <c r="O45" s="122"/>
      <c r="P45" s="123"/>
      <c r="Q45" s="123"/>
      <c r="R45" s="123"/>
      <c r="S45" s="123"/>
      <c r="T45" s="123"/>
      <c r="U45" s="123"/>
      <c r="V45" s="123"/>
      <c r="W45" s="123"/>
      <c r="X45" s="123"/>
      <c r="Y45" s="124"/>
      <c r="Z45" s="125"/>
      <c r="AA45" s="125"/>
      <c r="AB45" s="125"/>
      <c r="AC45" s="125"/>
      <c r="AD45" s="125"/>
      <c r="AE45" s="123"/>
      <c r="AF45" s="123"/>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7"/>
      <c r="BZ45" s="127"/>
      <c r="CA45" s="127"/>
      <c r="CB45" s="127"/>
      <c r="CC45" s="127"/>
      <c r="CD45" s="127"/>
      <c r="CE45" s="127"/>
      <c r="CF45" s="127"/>
      <c r="CG45" s="127"/>
      <c r="CH45" s="127"/>
      <c r="CI45" s="127"/>
      <c r="CJ45" s="127"/>
      <c r="CK45" s="127"/>
      <c r="CL45" s="127"/>
      <c r="CM45" s="127"/>
      <c r="CN45" s="127"/>
      <c r="CO45" s="127"/>
      <c r="CP45" s="127"/>
      <c r="CQ45" s="127"/>
      <c r="CR45" s="127"/>
      <c r="CS45" s="127"/>
      <c r="CT45" s="127"/>
      <c r="CU45" s="127"/>
      <c r="CV45" s="127"/>
      <c r="CW45" s="127"/>
      <c r="CX45" s="127"/>
      <c r="CY45" s="127"/>
      <c r="CZ45" s="127"/>
      <c r="DA45" s="127"/>
      <c r="DB45" s="127"/>
      <c r="DC45" s="127"/>
      <c r="DD45" s="127"/>
      <c r="DE45" s="127"/>
      <c r="DF45" s="127"/>
      <c r="DG45" s="127"/>
      <c r="DH45" s="127"/>
      <c r="DI45" s="127"/>
      <c r="DJ45" s="127"/>
      <c r="DK45" s="127"/>
      <c r="DL45" s="127"/>
      <c r="DM45" s="127"/>
      <c r="DN45" s="127"/>
      <c r="DO45" s="127"/>
      <c r="DP45" s="127"/>
      <c r="DQ45" s="127"/>
      <c r="DR45" s="127"/>
      <c r="DS45" s="127"/>
      <c r="DT45" s="127"/>
      <c r="DU45" s="128"/>
      <c r="DV45" s="128"/>
      <c r="DW45" s="128"/>
      <c r="DX45" s="128"/>
      <c r="DY45" s="128"/>
      <c r="DZ45" s="128"/>
      <c r="EA45" s="128"/>
      <c r="EB45" s="128"/>
      <c r="EC45" s="128"/>
      <c r="ED45" s="128"/>
      <c r="EE45" s="128"/>
      <c r="EF45" s="128"/>
      <c r="EG45" s="128"/>
      <c r="EH45" s="128"/>
      <c r="EI45" s="128"/>
      <c r="EJ45" s="128"/>
      <c r="EK45" s="128"/>
      <c r="EL45" s="128"/>
      <c r="EM45" s="128"/>
      <c r="EN45" s="128"/>
      <c r="EO45" s="128"/>
      <c r="EP45" s="128"/>
      <c r="EQ45" s="128"/>
      <c r="ER45" s="128"/>
      <c r="ES45" s="128"/>
      <c r="ET45" s="128"/>
      <c r="EU45" s="128"/>
      <c r="EV45" s="128"/>
      <c r="EW45" s="129"/>
      <c r="EX45" s="129"/>
      <c r="EY45" s="129"/>
      <c r="EZ45" s="129"/>
      <c r="FA45" s="130"/>
      <c r="FB45" s="130"/>
      <c r="FC45" s="130"/>
      <c r="FD45" s="129"/>
      <c r="FE45" s="129"/>
      <c r="FF45" s="131"/>
    </row>
    <row r="46" spans="1:162" ht="19" customHeight="1" x14ac:dyDescent="0.2">
      <c r="A46" s="3"/>
      <c r="B46" s="50"/>
      <c r="C46" s="50"/>
      <c r="D46" s="3"/>
      <c r="E46" s="75"/>
      <c r="F46" s="75"/>
      <c r="G46" s="51"/>
      <c r="H46" s="84"/>
      <c r="I46" s="84"/>
      <c r="J46" s="84"/>
      <c r="K46" s="85"/>
      <c r="M46" s="86"/>
      <c r="N46" s="122"/>
      <c r="O46" s="122"/>
      <c r="P46" s="123"/>
      <c r="Q46" s="123"/>
      <c r="R46" s="123"/>
      <c r="S46" s="123"/>
      <c r="T46" s="123"/>
      <c r="U46" s="123"/>
      <c r="V46" s="123"/>
      <c r="W46" s="123"/>
      <c r="X46" s="123"/>
      <c r="Y46" s="124"/>
      <c r="Z46" s="125"/>
      <c r="AA46" s="125"/>
      <c r="AB46" s="125"/>
      <c r="AC46" s="125"/>
      <c r="AD46" s="125"/>
      <c r="AE46" s="123"/>
      <c r="AF46" s="123"/>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7"/>
      <c r="BZ46" s="127"/>
      <c r="CA46" s="127"/>
      <c r="CB46" s="127"/>
      <c r="CC46" s="127"/>
      <c r="CD46" s="127"/>
      <c r="CE46" s="127"/>
      <c r="CF46" s="127"/>
      <c r="CG46" s="127"/>
      <c r="CH46" s="127"/>
      <c r="CI46" s="127"/>
      <c r="CJ46" s="127"/>
      <c r="CK46" s="127"/>
      <c r="CL46" s="127"/>
      <c r="CM46" s="127"/>
      <c r="CN46" s="127"/>
      <c r="CO46" s="127"/>
      <c r="CP46" s="127"/>
      <c r="CQ46" s="127"/>
      <c r="CR46" s="127"/>
      <c r="CS46" s="127"/>
      <c r="CT46" s="127"/>
      <c r="CU46" s="127"/>
      <c r="CV46" s="127"/>
      <c r="CW46" s="127"/>
      <c r="CX46" s="127"/>
      <c r="CY46" s="127"/>
      <c r="CZ46" s="127"/>
      <c r="DA46" s="127"/>
      <c r="DB46" s="127"/>
      <c r="DC46" s="127"/>
      <c r="DD46" s="127"/>
      <c r="DE46" s="127"/>
      <c r="DF46" s="127"/>
      <c r="DG46" s="127"/>
      <c r="DH46" s="127"/>
      <c r="DI46" s="127"/>
      <c r="DJ46" s="127"/>
      <c r="DK46" s="127"/>
      <c r="DL46" s="127"/>
      <c r="DM46" s="127"/>
      <c r="DN46" s="127"/>
      <c r="DO46" s="127"/>
      <c r="DP46" s="127"/>
      <c r="DQ46" s="127"/>
      <c r="DR46" s="127"/>
      <c r="DS46" s="127"/>
      <c r="DT46" s="127"/>
      <c r="DU46" s="128"/>
      <c r="DV46" s="128"/>
      <c r="DW46" s="128"/>
      <c r="DX46" s="128"/>
      <c r="DY46" s="128"/>
      <c r="DZ46" s="128"/>
      <c r="EA46" s="128"/>
      <c r="EB46" s="128"/>
      <c r="EC46" s="128"/>
      <c r="ED46" s="128"/>
      <c r="EE46" s="128"/>
      <c r="EF46" s="128"/>
      <c r="EG46" s="128"/>
      <c r="EH46" s="128"/>
      <c r="EI46" s="128"/>
      <c r="EJ46" s="128"/>
      <c r="EK46" s="128"/>
      <c r="EL46" s="128"/>
      <c r="EM46" s="128"/>
      <c r="EN46" s="128"/>
      <c r="EO46" s="128"/>
      <c r="EP46" s="128"/>
      <c r="EQ46" s="128"/>
      <c r="ER46" s="128"/>
      <c r="ES46" s="128"/>
      <c r="ET46" s="128"/>
      <c r="EU46" s="128"/>
      <c r="EV46" s="128"/>
      <c r="EW46" s="129"/>
      <c r="EX46" s="129"/>
      <c r="EY46" s="129"/>
      <c r="EZ46" s="129"/>
      <c r="FA46" s="130"/>
      <c r="FB46" s="130"/>
      <c r="FC46" s="130"/>
      <c r="FD46" s="129"/>
      <c r="FE46" s="129"/>
      <c r="FF46" s="131"/>
    </row>
    <row r="47" spans="1:162" ht="19" customHeight="1" x14ac:dyDescent="0.2">
      <c r="A47" s="3"/>
      <c r="B47" s="50"/>
      <c r="C47" s="50"/>
      <c r="D47" s="3"/>
      <c r="E47" s="75"/>
      <c r="F47" s="75"/>
      <c r="G47" s="51"/>
      <c r="H47" s="84"/>
      <c r="I47" s="84"/>
      <c r="J47" s="84"/>
      <c r="K47" s="85"/>
      <c r="M47" s="86"/>
      <c r="N47" s="122"/>
      <c r="O47" s="122"/>
      <c r="P47" s="123"/>
      <c r="Q47" s="123"/>
      <c r="R47" s="123"/>
      <c r="S47" s="123"/>
      <c r="T47" s="123"/>
      <c r="U47" s="123"/>
      <c r="V47" s="123"/>
      <c r="W47" s="123"/>
      <c r="X47" s="123"/>
      <c r="Y47" s="124"/>
      <c r="Z47" s="125"/>
      <c r="AA47" s="125"/>
      <c r="AB47" s="125"/>
      <c r="AC47" s="125"/>
      <c r="AD47" s="125"/>
      <c r="AE47" s="123"/>
      <c r="AF47" s="123"/>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6"/>
      <c r="BS47" s="126"/>
      <c r="BT47" s="126"/>
      <c r="BU47" s="126"/>
      <c r="BV47" s="126"/>
      <c r="BW47" s="126"/>
      <c r="BX47" s="126"/>
      <c r="BY47" s="127"/>
      <c r="BZ47" s="127"/>
      <c r="CA47" s="127"/>
      <c r="CB47" s="127"/>
      <c r="CC47" s="127"/>
      <c r="CD47" s="127"/>
      <c r="CE47" s="127"/>
      <c r="CF47" s="127"/>
      <c r="CG47" s="127"/>
      <c r="CH47" s="127"/>
      <c r="CI47" s="127"/>
      <c r="CJ47" s="127"/>
      <c r="CK47" s="127"/>
      <c r="CL47" s="127"/>
      <c r="CM47" s="127"/>
      <c r="CN47" s="127"/>
      <c r="CO47" s="127"/>
      <c r="CP47" s="127"/>
      <c r="CQ47" s="127"/>
      <c r="CR47" s="127"/>
      <c r="CS47" s="127"/>
      <c r="CT47" s="127"/>
      <c r="CU47" s="127"/>
      <c r="CV47" s="127"/>
      <c r="CW47" s="127"/>
      <c r="CX47" s="127"/>
      <c r="CY47" s="127"/>
      <c r="CZ47" s="127"/>
      <c r="DA47" s="127"/>
      <c r="DB47" s="127"/>
      <c r="DC47" s="127"/>
      <c r="DD47" s="127"/>
      <c r="DE47" s="127"/>
      <c r="DF47" s="127"/>
      <c r="DG47" s="127"/>
      <c r="DH47" s="127"/>
      <c r="DI47" s="127"/>
      <c r="DJ47" s="127"/>
      <c r="DK47" s="127"/>
      <c r="DL47" s="127"/>
      <c r="DM47" s="127"/>
      <c r="DN47" s="127"/>
      <c r="DO47" s="127"/>
      <c r="DP47" s="127"/>
      <c r="DQ47" s="127"/>
      <c r="DR47" s="127"/>
      <c r="DS47" s="127"/>
      <c r="DT47" s="127"/>
      <c r="DU47" s="128"/>
      <c r="DV47" s="128"/>
      <c r="DW47" s="128"/>
      <c r="DX47" s="128"/>
      <c r="DY47" s="128"/>
      <c r="DZ47" s="128"/>
      <c r="EA47" s="128"/>
      <c r="EB47" s="128"/>
      <c r="EC47" s="128"/>
      <c r="ED47" s="128"/>
      <c r="EE47" s="128"/>
      <c r="EF47" s="128"/>
      <c r="EG47" s="128"/>
      <c r="EH47" s="128"/>
      <c r="EI47" s="128"/>
      <c r="EJ47" s="128"/>
      <c r="EK47" s="128"/>
      <c r="EL47" s="128"/>
      <c r="EM47" s="128"/>
      <c r="EN47" s="128"/>
      <c r="EO47" s="128"/>
      <c r="EP47" s="128"/>
      <c r="EQ47" s="128"/>
      <c r="ER47" s="128"/>
      <c r="ES47" s="128"/>
      <c r="ET47" s="128"/>
      <c r="EU47" s="128"/>
      <c r="EV47" s="128"/>
      <c r="EW47" s="129"/>
      <c r="EX47" s="129"/>
      <c r="EY47" s="129"/>
      <c r="EZ47" s="129"/>
      <c r="FA47" s="130"/>
      <c r="FB47" s="130"/>
      <c r="FC47" s="130"/>
      <c r="FD47" s="129"/>
      <c r="FE47" s="129"/>
      <c r="FF47" s="131"/>
    </row>
    <row r="48" spans="1:162" ht="19" customHeight="1" x14ac:dyDescent="0.2">
      <c r="A48" s="3"/>
      <c r="B48" s="50"/>
      <c r="C48" s="50"/>
      <c r="D48" s="3"/>
      <c r="E48" s="75"/>
      <c r="F48" s="75"/>
      <c r="G48" s="51"/>
      <c r="H48" s="84"/>
      <c r="I48" s="84"/>
      <c r="J48" s="84"/>
      <c r="K48" s="85"/>
      <c r="M48" s="86"/>
      <c r="N48" s="122"/>
      <c r="O48" s="122"/>
      <c r="P48" s="123"/>
      <c r="Q48" s="123"/>
      <c r="R48" s="123"/>
      <c r="S48" s="123"/>
      <c r="T48" s="123"/>
      <c r="U48" s="123"/>
      <c r="V48" s="123"/>
      <c r="W48" s="123"/>
      <c r="X48" s="123"/>
      <c r="Y48" s="124"/>
      <c r="Z48" s="125"/>
      <c r="AA48" s="125"/>
      <c r="AB48" s="125"/>
      <c r="AC48" s="125"/>
      <c r="AD48" s="125"/>
      <c r="AE48" s="123"/>
      <c r="AF48" s="123"/>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7"/>
      <c r="BZ48" s="127"/>
      <c r="CA48" s="127"/>
      <c r="CB48" s="127"/>
      <c r="CC48" s="127"/>
      <c r="CD48" s="127"/>
      <c r="CE48" s="127"/>
      <c r="CF48" s="127"/>
      <c r="CG48" s="127"/>
      <c r="CH48" s="127"/>
      <c r="CI48" s="127"/>
      <c r="CJ48" s="127"/>
      <c r="CK48" s="127"/>
      <c r="CL48" s="127"/>
      <c r="CM48" s="127"/>
      <c r="CN48" s="127"/>
      <c r="CO48" s="127"/>
      <c r="CP48" s="127"/>
      <c r="CQ48" s="127"/>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8"/>
      <c r="DV48" s="128"/>
      <c r="DW48" s="128"/>
      <c r="DX48" s="128"/>
      <c r="DY48" s="128"/>
      <c r="DZ48" s="128"/>
      <c r="EA48" s="128"/>
      <c r="EB48" s="128"/>
      <c r="EC48" s="128"/>
      <c r="ED48" s="128"/>
      <c r="EE48" s="128"/>
      <c r="EF48" s="128"/>
      <c r="EG48" s="128"/>
      <c r="EH48" s="128"/>
      <c r="EI48" s="128"/>
      <c r="EJ48" s="128"/>
      <c r="EK48" s="128"/>
      <c r="EL48" s="128"/>
      <c r="EM48" s="128"/>
      <c r="EN48" s="128"/>
      <c r="EO48" s="128"/>
      <c r="EP48" s="128"/>
      <c r="EQ48" s="128"/>
      <c r="ER48" s="128"/>
      <c r="ES48" s="128"/>
      <c r="ET48" s="128"/>
      <c r="EU48" s="128"/>
      <c r="EV48" s="128"/>
      <c r="EW48" s="129"/>
      <c r="EX48" s="129"/>
      <c r="EY48" s="129"/>
      <c r="EZ48" s="129"/>
      <c r="FA48" s="130"/>
      <c r="FB48" s="130"/>
      <c r="FC48" s="130"/>
      <c r="FD48" s="129"/>
      <c r="FE48" s="129"/>
      <c r="FF48" s="131"/>
    </row>
    <row r="49" spans="1:162" ht="19" customHeight="1" x14ac:dyDescent="0.2">
      <c r="A49" s="3"/>
      <c r="B49" s="50"/>
      <c r="C49" s="50"/>
      <c r="D49" s="3"/>
      <c r="E49" s="75"/>
      <c r="F49" s="75"/>
      <c r="G49" s="51"/>
      <c r="H49" s="84"/>
      <c r="I49" s="84"/>
      <c r="J49" s="84"/>
      <c r="K49" s="85"/>
      <c r="M49" s="86"/>
      <c r="N49" s="122"/>
      <c r="O49" s="122"/>
      <c r="P49" s="123"/>
      <c r="Q49" s="123"/>
      <c r="R49" s="123"/>
      <c r="S49" s="123"/>
      <c r="T49" s="123"/>
      <c r="U49" s="123"/>
      <c r="V49" s="123"/>
      <c r="W49" s="123"/>
      <c r="X49" s="123"/>
      <c r="Y49" s="124"/>
      <c r="Z49" s="125"/>
      <c r="AA49" s="125"/>
      <c r="AB49" s="125"/>
      <c r="AC49" s="125"/>
      <c r="AD49" s="125"/>
      <c r="AE49" s="123"/>
      <c r="AF49" s="123"/>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7"/>
      <c r="BZ49" s="127"/>
      <c r="CA49" s="127"/>
      <c r="CB49" s="127"/>
      <c r="CC49" s="127"/>
      <c r="CD49" s="127"/>
      <c r="CE49" s="127"/>
      <c r="CF49" s="127"/>
      <c r="CG49" s="127"/>
      <c r="CH49" s="127"/>
      <c r="CI49" s="127"/>
      <c r="CJ49" s="127"/>
      <c r="CK49" s="127"/>
      <c r="CL49" s="127"/>
      <c r="CM49" s="127"/>
      <c r="CN49" s="127"/>
      <c r="CO49" s="127"/>
      <c r="CP49" s="127"/>
      <c r="CQ49" s="127"/>
      <c r="CR49" s="127"/>
      <c r="CS49" s="127"/>
      <c r="CT49" s="127"/>
      <c r="CU49" s="127"/>
      <c r="CV49" s="127"/>
      <c r="CW49" s="127"/>
      <c r="CX49" s="127"/>
      <c r="CY49" s="127"/>
      <c r="CZ49" s="127"/>
      <c r="DA49" s="127"/>
      <c r="DB49" s="127"/>
      <c r="DC49" s="127"/>
      <c r="DD49" s="127"/>
      <c r="DE49" s="127"/>
      <c r="DF49" s="127"/>
      <c r="DG49" s="127"/>
      <c r="DH49" s="127"/>
      <c r="DI49" s="127"/>
      <c r="DJ49" s="127"/>
      <c r="DK49" s="127"/>
      <c r="DL49" s="127"/>
      <c r="DM49" s="127"/>
      <c r="DN49" s="127"/>
      <c r="DO49" s="127"/>
      <c r="DP49" s="127"/>
      <c r="DQ49" s="127"/>
      <c r="DR49" s="127"/>
      <c r="DS49" s="127"/>
      <c r="DT49" s="127"/>
      <c r="DU49" s="128"/>
      <c r="DV49" s="128"/>
      <c r="DW49" s="128"/>
      <c r="DX49" s="128"/>
      <c r="DY49" s="128"/>
      <c r="DZ49" s="128"/>
      <c r="EA49" s="128"/>
      <c r="EB49" s="128"/>
      <c r="EC49" s="128"/>
      <c r="ED49" s="128"/>
      <c r="EE49" s="128"/>
      <c r="EF49" s="128"/>
      <c r="EG49" s="128"/>
      <c r="EH49" s="128"/>
      <c r="EI49" s="128"/>
      <c r="EJ49" s="128"/>
      <c r="EK49" s="128"/>
      <c r="EL49" s="128"/>
      <c r="EM49" s="128"/>
      <c r="EN49" s="128"/>
      <c r="EO49" s="128"/>
      <c r="EP49" s="128"/>
      <c r="EQ49" s="128"/>
      <c r="ER49" s="128"/>
      <c r="ES49" s="128"/>
      <c r="ET49" s="128"/>
      <c r="EU49" s="128"/>
      <c r="EV49" s="128"/>
      <c r="EW49" s="129"/>
      <c r="EX49" s="129"/>
      <c r="EY49" s="129"/>
      <c r="EZ49" s="129"/>
      <c r="FA49" s="130"/>
      <c r="FB49" s="130"/>
      <c r="FC49" s="130"/>
      <c r="FD49" s="129"/>
      <c r="FE49" s="129"/>
      <c r="FF49" s="131"/>
    </row>
    <row r="50" spans="1:162" ht="19" customHeight="1" x14ac:dyDescent="0.2">
      <c r="A50" s="3"/>
      <c r="B50" s="50"/>
      <c r="C50" s="50"/>
      <c r="D50" s="3"/>
      <c r="E50" s="75"/>
      <c r="F50" s="75"/>
      <c r="G50" s="51"/>
      <c r="H50" s="84"/>
      <c r="I50" s="84"/>
      <c r="J50" s="84"/>
      <c r="K50" s="85"/>
      <c r="M50" s="86"/>
      <c r="N50" s="122"/>
      <c r="O50" s="122"/>
      <c r="P50" s="123"/>
      <c r="Q50" s="123"/>
      <c r="R50" s="123"/>
      <c r="S50" s="123"/>
      <c r="T50" s="123"/>
      <c r="U50" s="123"/>
      <c r="V50" s="123"/>
      <c r="W50" s="123"/>
      <c r="X50" s="123"/>
      <c r="Y50" s="124"/>
      <c r="Z50" s="125"/>
      <c r="AA50" s="125"/>
      <c r="AB50" s="125"/>
      <c r="AC50" s="125"/>
      <c r="AD50" s="125"/>
      <c r="AE50" s="123"/>
      <c r="AF50" s="123"/>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7"/>
      <c r="BZ50" s="127"/>
      <c r="CA50" s="127"/>
      <c r="CB50" s="127"/>
      <c r="CC50" s="127"/>
      <c r="CD50" s="127"/>
      <c r="CE50" s="127"/>
      <c r="CF50" s="127"/>
      <c r="CG50" s="127"/>
      <c r="CH50" s="127"/>
      <c r="CI50" s="127"/>
      <c r="CJ50" s="127"/>
      <c r="CK50" s="127"/>
      <c r="CL50" s="127"/>
      <c r="CM50" s="127"/>
      <c r="CN50" s="127"/>
      <c r="CO50" s="127"/>
      <c r="CP50" s="127"/>
      <c r="CQ50" s="127"/>
      <c r="CR50" s="127"/>
      <c r="CS50" s="127"/>
      <c r="CT50" s="127"/>
      <c r="CU50" s="127"/>
      <c r="CV50" s="127"/>
      <c r="CW50" s="127"/>
      <c r="CX50" s="127"/>
      <c r="CY50" s="127"/>
      <c r="CZ50" s="127"/>
      <c r="DA50" s="127"/>
      <c r="DB50" s="127"/>
      <c r="DC50" s="127"/>
      <c r="DD50" s="127"/>
      <c r="DE50" s="127"/>
      <c r="DF50" s="127"/>
      <c r="DG50" s="127"/>
      <c r="DH50" s="127"/>
      <c r="DI50" s="127"/>
      <c r="DJ50" s="127"/>
      <c r="DK50" s="127"/>
      <c r="DL50" s="127"/>
      <c r="DM50" s="127"/>
      <c r="DN50" s="127"/>
      <c r="DO50" s="127"/>
      <c r="DP50" s="127"/>
      <c r="DQ50" s="127"/>
      <c r="DR50" s="127"/>
      <c r="DS50" s="127"/>
      <c r="DT50" s="127"/>
      <c r="DU50" s="128"/>
      <c r="DV50" s="128"/>
      <c r="DW50" s="128"/>
      <c r="DX50" s="128"/>
      <c r="DY50" s="128"/>
      <c r="DZ50" s="128"/>
      <c r="EA50" s="128"/>
      <c r="EB50" s="128"/>
      <c r="EC50" s="128"/>
      <c r="ED50" s="128"/>
      <c r="EE50" s="128"/>
      <c r="EF50" s="128"/>
      <c r="EG50" s="128"/>
      <c r="EH50" s="128"/>
      <c r="EI50" s="128"/>
      <c r="EJ50" s="128"/>
      <c r="EK50" s="128"/>
      <c r="EL50" s="128"/>
      <c r="EM50" s="128"/>
      <c r="EN50" s="128"/>
      <c r="EO50" s="128"/>
      <c r="EP50" s="128"/>
      <c r="EQ50" s="128"/>
      <c r="ER50" s="128"/>
      <c r="ES50" s="128"/>
      <c r="ET50" s="128"/>
      <c r="EU50" s="128"/>
      <c r="EV50" s="128"/>
      <c r="EW50" s="129"/>
      <c r="EX50" s="129"/>
      <c r="EY50" s="129"/>
      <c r="EZ50" s="129"/>
      <c r="FA50" s="130"/>
      <c r="FB50" s="130"/>
      <c r="FC50" s="130"/>
      <c r="FD50" s="129"/>
      <c r="FE50" s="129"/>
      <c r="FF50" s="131"/>
    </row>
    <row r="51" spans="1:162" ht="19" customHeight="1" x14ac:dyDescent="0.2">
      <c r="A51" s="3"/>
      <c r="B51" s="50"/>
      <c r="C51" s="50"/>
      <c r="D51" s="3"/>
      <c r="E51" s="75"/>
      <c r="F51" s="75"/>
      <c r="G51" s="51"/>
      <c r="H51" s="84"/>
      <c r="I51" s="84"/>
      <c r="J51" s="84"/>
      <c r="K51" s="85"/>
      <c r="M51" s="86"/>
      <c r="N51" s="122"/>
      <c r="O51" s="122"/>
      <c r="P51" s="123"/>
      <c r="Q51" s="123"/>
      <c r="R51" s="123"/>
      <c r="S51" s="123"/>
      <c r="T51" s="123"/>
      <c r="U51" s="123"/>
      <c r="V51" s="123"/>
      <c r="W51" s="123"/>
      <c r="X51" s="123"/>
      <c r="Y51" s="124"/>
      <c r="Z51" s="125"/>
      <c r="AA51" s="125"/>
      <c r="AB51" s="125"/>
      <c r="AC51" s="125"/>
      <c r="AD51" s="125"/>
      <c r="AE51" s="123"/>
      <c r="AF51" s="123"/>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7"/>
      <c r="BZ51" s="127"/>
      <c r="CA51" s="127"/>
      <c r="CB51" s="127"/>
      <c r="CC51" s="127"/>
      <c r="CD51" s="127"/>
      <c r="CE51" s="127"/>
      <c r="CF51" s="127"/>
      <c r="CG51" s="127"/>
      <c r="CH51" s="127"/>
      <c r="CI51" s="127"/>
      <c r="CJ51" s="127"/>
      <c r="CK51" s="127"/>
      <c r="CL51" s="127"/>
      <c r="CM51" s="127"/>
      <c r="CN51" s="127"/>
      <c r="CO51" s="127"/>
      <c r="CP51" s="127"/>
      <c r="CQ51" s="127"/>
      <c r="CR51" s="127"/>
      <c r="CS51" s="127"/>
      <c r="CT51" s="127"/>
      <c r="CU51" s="127"/>
      <c r="CV51" s="127"/>
      <c r="CW51" s="127"/>
      <c r="CX51" s="127"/>
      <c r="CY51" s="127"/>
      <c r="CZ51" s="127"/>
      <c r="DA51" s="127"/>
      <c r="DB51" s="127"/>
      <c r="DC51" s="127"/>
      <c r="DD51" s="127"/>
      <c r="DE51" s="127"/>
      <c r="DF51" s="127"/>
      <c r="DG51" s="127"/>
      <c r="DH51" s="127"/>
      <c r="DI51" s="127"/>
      <c r="DJ51" s="127"/>
      <c r="DK51" s="127"/>
      <c r="DL51" s="127"/>
      <c r="DM51" s="127"/>
      <c r="DN51" s="127"/>
      <c r="DO51" s="127"/>
      <c r="DP51" s="127"/>
      <c r="DQ51" s="127"/>
      <c r="DR51" s="127"/>
      <c r="DS51" s="127"/>
      <c r="DT51" s="127"/>
      <c r="DU51" s="128"/>
      <c r="DV51" s="128"/>
      <c r="DW51" s="128"/>
      <c r="DX51" s="128"/>
      <c r="DY51" s="128"/>
      <c r="DZ51" s="128"/>
      <c r="EA51" s="128"/>
      <c r="EB51" s="128"/>
      <c r="EC51" s="128"/>
      <c r="ED51" s="128"/>
      <c r="EE51" s="128"/>
      <c r="EF51" s="128"/>
      <c r="EG51" s="128"/>
      <c r="EH51" s="128"/>
      <c r="EI51" s="128"/>
      <c r="EJ51" s="128"/>
      <c r="EK51" s="128"/>
      <c r="EL51" s="128"/>
      <c r="EM51" s="128"/>
      <c r="EN51" s="128"/>
      <c r="EO51" s="128"/>
      <c r="EP51" s="128"/>
      <c r="EQ51" s="128"/>
      <c r="ER51" s="128"/>
      <c r="ES51" s="128"/>
      <c r="ET51" s="128"/>
      <c r="EU51" s="128"/>
      <c r="EV51" s="128"/>
      <c r="EW51" s="129"/>
      <c r="EX51" s="129"/>
      <c r="EY51" s="129"/>
      <c r="EZ51" s="129"/>
      <c r="FA51" s="130"/>
      <c r="FB51" s="130"/>
      <c r="FC51" s="130"/>
      <c r="FD51" s="129"/>
      <c r="FE51" s="129"/>
      <c r="FF51" s="131"/>
    </row>
    <row r="52" spans="1:162" ht="19" customHeight="1" x14ac:dyDescent="0.2">
      <c r="A52" s="3"/>
      <c r="B52" s="50"/>
      <c r="C52" s="50"/>
      <c r="D52" s="3"/>
      <c r="E52" s="75"/>
      <c r="F52" s="75"/>
      <c r="G52" s="51"/>
      <c r="H52" s="84"/>
      <c r="I52" s="84"/>
      <c r="J52" s="84"/>
      <c r="K52" s="85"/>
      <c r="M52" s="86"/>
      <c r="N52" s="122"/>
      <c r="O52" s="122"/>
      <c r="P52" s="123"/>
      <c r="Q52" s="123"/>
      <c r="R52" s="123"/>
      <c r="S52" s="123"/>
      <c r="T52" s="123"/>
      <c r="U52" s="123"/>
      <c r="V52" s="123"/>
      <c r="W52" s="123"/>
      <c r="X52" s="123"/>
      <c r="Y52" s="124"/>
      <c r="Z52" s="125"/>
      <c r="AA52" s="125"/>
      <c r="AB52" s="125"/>
      <c r="AC52" s="125"/>
      <c r="AD52" s="125"/>
      <c r="AE52" s="123"/>
      <c r="AF52" s="123"/>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7"/>
      <c r="BZ52" s="127"/>
      <c r="CA52" s="127"/>
      <c r="CB52" s="127"/>
      <c r="CC52" s="127"/>
      <c r="CD52" s="127"/>
      <c r="CE52" s="127"/>
      <c r="CF52" s="127"/>
      <c r="CG52" s="127"/>
      <c r="CH52" s="127"/>
      <c r="CI52" s="127"/>
      <c r="CJ52" s="127"/>
      <c r="CK52" s="127"/>
      <c r="CL52" s="127"/>
      <c r="CM52" s="127"/>
      <c r="CN52" s="127"/>
      <c r="CO52" s="127"/>
      <c r="CP52" s="127"/>
      <c r="CQ52" s="127"/>
      <c r="CR52" s="127"/>
      <c r="CS52" s="127"/>
      <c r="CT52" s="127"/>
      <c r="CU52" s="127"/>
      <c r="CV52" s="127"/>
      <c r="CW52" s="127"/>
      <c r="CX52" s="127"/>
      <c r="CY52" s="127"/>
      <c r="CZ52" s="127"/>
      <c r="DA52" s="127"/>
      <c r="DB52" s="127"/>
      <c r="DC52" s="127"/>
      <c r="DD52" s="127"/>
      <c r="DE52" s="127"/>
      <c r="DF52" s="127"/>
      <c r="DG52" s="127"/>
      <c r="DH52" s="127"/>
      <c r="DI52" s="127"/>
      <c r="DJ52" s="127"/>
      <c r="DK52" s="127"/>
      <c r="DL52" s="127"/>
      <c r="DM52" s="127"/>
      <c r="DN52" s="127"/>
      <c r="DO52" s="127"/>
      <c r="DP52" s="127"/>
      <c r="DQ52" s="127"/>
      <c r="DR52" s="127"/>
      <c r="DS52" s="127"/>
      <c r="DT52" s="127"/>
      <c r="DU52" s="128"/>
      <c r="DV52" s="128"/>
      <c r="DW52" s="128"/>
      <c r="DX52" s="128"/>
      <c r="DY52" s="128"/>
      <c r="DZ52" s="128"/>
      <c r="EA52" s="128"/>
      <c r="EB52" s="128"/>
      <c r="EC52" s="128"/>
      <c r="ED52" s="128"/>
      <c r="EE52" s="128"/>
      <c r="EF52" s="128"/>
      <c r="EG52" s="128"/>
      <c r="EH52" s="128"/>
      <c r="EI52" s="128"/>
      <c r="EJ52" s="128"/>
      <c r="EK52" s="128"/>
      <c r="EL52" s="128"/>
      <c r="EM52" s="128"/>
      <c r="EN52" s="128"/>
      <c r="EO52" s="128"/>
      <c r="EP52" s="128"/>
      <c r="EQ52" s="128"/>
      <c r="ER52" s="128"/>
      <c r="ES52" s="128"/>
      <c r="ET52" s="128"/>
      <c r="EU52" s="128"/>
      <c r="EV52" s="128"/>
      <c r="EW52" s="129"/>
      <c r="EX52" s="129"/>
      <c r="EY52" s="129"/>
      <c r="EZ52" s="129"/>
      <c r="FA52" s="130"/>
      <c r="FB52" s="130"/>
      <c r="FC52" s="130"/>
      <c r="FD52" s="129"/>
      <c r="FE52" s="129"/>
      <c r="FF52" s="131"/>
    </row>
    <row r="53" spans="1:162" ht="19" customHeight="1" x14ac:dyDescent="0.2">
      <c r="A53" s="3"/>
      <c r="B53" s="50"/>
      <c r="C53" s="50"/>
      <c r="D53" s="3"/>
      <c r="E53" s="75"/>
      <c r="F53" s="75"/>
      <c r="G53" s="51"/>
      <c r="H53" s="84"/>
      <c r="I53" s="84"/>
      <c r="J53" s="84"/>
      <c r="K53" s="85"/>
      <c r="M53" s="86"/>
      <c r="N53" s="122"/>
      <c r="O53" s="122"/>
      <c r="P53" s="123"/>
      <c r="Q53" s="123"/>
      <c r="R53" s="123"/>
      <c r="S53" s="123"/>
      <c r="T53" s="123"/>
      <c r="U53" s="123"/>
      <c r="V53" s="123"/>
      <c r="W53" s="123"/>
      <c r="X53" s="123"/>
      <c r="Y53" s="124"/>
      <c r="Z53" s="125"/>
      <c r="AA53" s="125"/>
      <c r="AB53" s="125"/>
      <c r="AC53" s="125"/>
      <c r="AD53" s="125"/>
      <c r="AE53" s="123"/>
      <c r="AF53" s="123"/>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7"/>
      <c r="BZ53" s="127"/>
      <c r="CA53" s="127"/>
      <c r="CB53" s="127"/>
      <c r="CC53" s="127"/>
      <c r="CD53" s="127"/>
      <c r="CE53" s="127"/>
      <c r="CF53" s="127"/>
      <c r="CG53" s="127"/>
      <c r="CH53" s="127"/>
      <c r="CI53" s="127"/>
      <c r="CJ53" s="127"/>
      <c r="CK53" s="127"/>
      <c r="CL53" s="127"/>
      <c r="CM53" s="127"/>
      <c r="CN53" s="127"/>
      <c r="CO53" s="127"/>
      <c r="CP53" s="127"/>
      <c r="CQ53" s="127"/>
      <c r="CR53" s="127"/>
      <c r="CS53" s="127"/>
      <c r="CT53" s="127"/>
      <c r="CU53" s="127"/>
      <c r="CV53" s="127"/>
      <c r="CW53" s="127"/>
      <c r="CX53" s="127"/>
      <c r="CY53" s="127"/>
      <c r="CZ53" s="127"/>
      <c r="DA53" s="127"/>
      <c r="DB53" s="127"/>
      <c r="DC53" s="127"/>
      <c r="DD53" s="127"/>
      <c r="DE53" s="127"/>
      <c r="DF53" s="127"/>
      <c r="DG53" s="127"/>
      <c r="DH53" s="127"/>
      <c r="DI53" s="127"/>
      <c r="DJ53" s="127"/>
      <c r="DK53" s="127"/>
      <c r="DL53" s="127"/>
      <c r="DM53" s="127"/>
      <c r="DN53" s="127"/>
      <c r="DO53" s="127"/>
      <c r="DP53" s="127"/>
      <c r="DQ53" s="127"/>
      <c r="DR53" s="127"/>
      <c r="DS53" s="127"/>
      <c r="DT53" s="127"/>
      <c r="DU53" s="128"/>
      <c r="DV53" s="128"/>
      <c r="DW53" s="128"/>
      <c r="DX53" s="128"/>
      <c r="DY53" s="128"/>
      <c r="DZ53" s="128"/>
      <c r="EA53" s="128"/>
      <c r="EB53" s="128"/>
      <c r="EC53" s="128"/>
      <c r="ED53" s="128"/>
      <c r="EE53" s="128"/>
      <c r="EF53" s="128"/>
      <c r="EG53" s="128"/>
      <c r="EH53" s="128"/>
      <c r="EI53" s="128"/>
      <c r="EJ53" s="128"/>
      <c r="EK53" s="128"/>
      <c r="EL53" s="128"/>
      <c r="EM53" s="128"/>
      <c r="EN53" s="128"/>
      <c r="EO53" s="128"/>
      <c r="EP53" s="128"/>
      <c r="EQ53" s="128"/>
      <c r="ER53" s="128"/>
      <c r="ES53" s="128"/>
      <c r="ET53" s="128"/>
      <c r="EU53" s="128"/>
      <c r="EV53" s="128"/>
      <c r="EW53" s="129"/>
      <c r="EX53" s="129"/>
      <c r="EY53" s="129"/>
      <c r="EZ53" s="129"/>
      <c r="FA53" s="130"/>
      <c r="FB53" s="130"/>
      <c r="FC53" s="130"/>
      <c r="FD53" s="129"/>
      <c r="FE53" s="129"/>
      <c r="FF53" s="131"/>
    </row>
    <row r="54" spans="1:162" ht="19" customHeight="1" x14ac:dyDescent="0.2">
      <c r="A54" s="3"/>
      <c r="B54" s="50"/>
      <c r="C54" s="50"/>
      <c r="D54" s="3"/>
      <c r="E54" s="75"/>
      <c r="F54" s="75"/>
      <c r="G54" s="51"/>
      <c r="H54" s="84"/>
      <c r="I54" s="84"/>
      <c r="J54" s="84"/>
      <c r="K54" s="85"/>
      <c r="M54" s="86"/>
      <c r="N54" s="122"/>
      <c r="O54" s="122"/>
      <c r="P54" s="123"/>
      <c r="Q54" s="123"/>
      <c r="R54" s="123"/>
      <c r="S54" s="123"/>
      <c r="T54" s="123"/>
      <c r="U54" s="123"/>
      <c r="V54" s="123"/>
      <c r="W54" s="123"/>
      <c r="X54" s="123"/>
      <c r="Y54" s="124"/>
      <c r="Z54" s="125"/>
      <c r="AA54" s="125"/>
      <c r="AB54" s="125"/>
      <c r="AC54" s="125"/>
      <c r="AD54" s="125"/>
      <c r="AE54" s="123"/>
      <c r="AF54" s="123"/>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7"/>
      <c r="BZ54" s="127"/>
      <c r="CA54" s="127"/>
      <c r="CB54" s="127"/>
      <c r="CC54" s="127"/>
      <c r="CD54" s="127"/>
      <c r="CE54" s="127"/>
      <c r="CF54" s="127"/>
      <c r="CG54" s="127"/>
      <c r="CH54" s="127"/>
      <c r="CI54" s="127"/>
      <c r="CJ54" s="127"/>
      <c r="CK54" s="127"/>
      <c r="CL54" s="127"/>
      <c r="CM54" s="127"/>
      <c r="CN54" s="127"/>
      <c r="CO54" s="127"/>
      <c r="CP54" s="127"/>
      <c r="CQ54" s="127"/>
      <c r="CR54" s="127"/>
      <c r="CS54" s="127"/>
      <c r="CT54" s="127"/>
      <c r="CU54" s="127"/>
      <c r="CV54" s="127"/>
      <c r="CW54" s="127"/>
      <c r="CX54" s="127"/>
      <c r="CY54" s="127"/>
      <c r="CZ54" s="127"/>
      <c r="DA54" s="127"/>
      <c r="DB54" s="127"/>
      <c r="DC54" s="127"/>
      <c r="DD54" s="127"/>
      <c r="DE54" s="127"/>
      <c r="DF54" s="127"/>
      <c r="DG54" s="127"/>
      <c r="DH54" s="127"/>
      <c r="DI54" s="127"/>
      <c r="DJ54" s="127"/>
      <c r="DK54" s="127"/>
      <c r="DL54" s="127"/>
      <c r="DM54" s="127"/>
      <c r="DN54" s="127"/>
      <c r="DO54" s="127"/>
      <c r="DP54" s="127"/>
      <c r="DQ54" s="127"/>
      <c r="DR54" s="127"/>
      <c r="DS54" s="127"/>
      <c r="DT54" s="127"/>
      <c r="DU54" s="128"/>
      <c r="DV54" s="128"/>
      <c r="DW54" s="128"/>
      <c r="DX54" s="128"/>
      <c r="DY54" s="128"/>
      <c r="DZ54" s="128"/>
      <c r="EA54" s="128"/>
      <c r="EB54" s="128"/>
      <c r="EC54" s="128"/>
      <c r="ED54" s="128"/>
      <c r="EE54" s="128"/>
      <c r="EF54" s="128"/>
      <c r="EG54" s="128"/>
      <c r="EH54" s="128"/>
      <c r="EI54" s="128"/>
      <c r="EJ54" s="128"/>
      <c r="EK54" s="128"/>
      <c r="EL54" s="128"/>
      <c r="EM54" s="128"/>
      <c r="EN54" s="128"/>
      <c r="EO54" s="128"/>
      <c r="EP54" s="128"/>
      <c r="EQ54" s="128"/>
      <c r="ER54" s="128"/>
      <c r="ES54" s="128"/>
      <c r="ET54" s="128"/>
      <c r="EU54" s="128"/>
      <c r="EV54" s="128"/>
      <c r="EW54" s="129"/>
      <c r="EX54" s="129"/>
      <c r="EY54" s="129"/>
      <c r="EZ54" s="129"/>
      <c r="FA54" s="130"/>
      <c r="FB54" s="130"/>
      <c r="FC54" s="130"/>
      <c r="FD54" s="129"/>
      <c r="FE54" s="129"/>
      <c r="FF54" s="131"/>
    </row>
    <row r="55" spans="1:162" ht="19" customHeight="1" x14ac:dyDescent="0.2">
      <c r="A55" s="3"/>
      <c r="B55" s="50"/>
      <c r="C55" s="50"/>
      <c r="D55" s="3"/>
      <c r="E55" s="75"/>
      <c r="F55" s="75"/>
      <c r="G55" s="51"/>
      <c r="H55" s="84"/>
      <c r="I55" s="84"/>
      <c r="J55" s="84"/>
      <c r="K55" s="85"/>
      <c r="M55" s="86"/>
      <c r="N55" s="122"/>
      <c r="O55" s="122"/>
      <c r="P55" s="123"/>
      <c r="Q55" s="123"/>
      <c r="R55" s="123"/>
      <c r="S55" s="123"/>
      <c r="T55" s="123"/>
      <c r="U55" s="123"/>
      <c r="V55" s="123"/>
      <c r="W55" s="123"/>
      <c r="X55" s="123"/>
      <c r="Y55" s="124"/>
      <c r="Z55" s="125"/>
      <c r="AA55" s="125"/>
      <c r="AB55" s="125"/>
      <c r="AC55" s="125"/>
      <c r="AD55" s="125"/>
      <c r="AE55" s="123"/>
      <c r="AF55" s="123"/>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7"/>
      <c r="BZ55" s="127"/>
      <c r="CA55" s="127"/>
      <c r="CB55" s="127"/>
      <c r="CC55" s="127"/>
      <c r="CD55" s="127"/>
      <c r="CE55" s="127"/>
      <c r="CF55" s="127"/>
      <c r="CG55" s="127"/>
      <c r="CH55" s="127"/>
      <c r="CI55" s="127"/>
      <c r="CJ55" s="127"/>
      <c r="CK55" s="127"/>
      <c r="CL55" s="127"/>
      <c r="CM55" s="127"/>
      <c r="CN55" s="127"/>
      <c r="CO55" s="127"/>
      <c r="CP55" s="127"/>
      <c r="CQ55" s="127"/>
      <c r="CR55" s="127"/>
      <c r="CS55" s="127"/>
      <c r="CT55" s="127"/>
      <c r="CU55" s="127"/>
      <c r="CV55" s="127"/>
      <c r="CW55" s="127"/>
      <c r="CX55" s="127"/>
      <c r="CY55" s="127"/>
      <c r="CZ55" s="127"/>
      <c r="DA55" s="127"/>
      <c r="DB55" s="127"/>
      <c r="DC55" s="127"/>
      <c r="DD55" s="127"/>
      <c r="DE55" s="127"/>
      <c r="DF55" s="127"/>
      <c r="DG55" s="127"/>
      <c r="DH55" s="127"/>
      <c r="DI55" s="127"/>
      <c r="DJ55" s="127"/>
      <c r="DK55" s="127"/>
      <c r="DL55" s="127"/>
      <c r="DM55" s="127"/>
      <c r="DN55" s="127"/>
      <c r="DO55" s="127"/>
      <c r="DP55" s="127"/>
      <c r="DQ55" s="127"/>
      <c r="DR55" s="127"/>
      <c r="DS55" s="127"/>
      <c r="DT55" s="127"/>
      <c r="DU55" s="128"/>
      <c r="DV55" s="128"/>
      <c r="DW55" s="128"/>
      <c r="DX55" s="128"/>
      <c r="DY55" s="128"/>
      <c r="DZ55" s="128"/>
      <c r="EA55" s="128"/>
      <c r="EB55" s="128"/>
      <c r="EC55" s="128"/>
      <c r="ED55" s="128"/>
      <c r="EE55" s="128"/>
      <c r="EF55" s="128"/>
      <c r="EG55" s="128"/>
      <c r="EH55" s="128"/>
      <c r="EI55" s="128"/>
      <c r="EJ55" s="128"/>
      <c r="EK55" s="128"/>
      <c r="EL55" s="128"/>
      <c r="EM55" s="128"/>
      <c r="EN55" s="128"/>
      <c r="EO55" s="128"/>
      <c r="EP55" s="128"/>
      <c r="EQ55" s="128"/>
      <c r="ER55" s="128"/>
      <c r="ES55" s="128"/>
      <c r="ET55" s="128"/>
      <c r="EU55" s="128"/>
      <c r="EV55" s="128"/>
      <c r="EW55" s="129"/>
      <c r="EX55" s="129"/>
      <c r="EY55" s="129"/>
      <c r="EZ55" s="129"/>
      <c r="FA55" s="130"/>
      <c r="FB55" s="130"/>
      <c r="FC55" s="130"/>
      <c r="FD55" s="129"/>
      <c r="FE55" s="129"/>
      <c r="FF55" s="131"/>
    </row>
    <row r="56" spans="1:162" ht="19" customHeight="1" x14ac:dyDescent="0.2">
      <c r="A56" s="3"/>
      <c r="B56" s="50"/>
      <c r="C56" s="50"/>
      <c r="D56" s="3"/>
      <c r="E56" s="75"/>
      <c r="F56" s="75"/>
      <c r="G56" s="51"/>
      <c r="H56" s="84"/>
      <c r="I56" s="84"/>
      <c r="J56" s="84"/>
      <c r="K56" s="85"/>
      <c r="M56" s="86"/>
      <c r="N56" s="122"/>
      <c r="O56" s="122"/>
      <c r="P56" s="123"/>
      <c r="Q56" s="123"/>
      <c r="R56" s="123"/>
      <c r="S56" s="123"/>
      <c r="T56" s="123"/>
      <c r="U56" s="123"/>
      <c r="V56" s="123"/>
      <c r="W56" s="123"/>
      <c r="X56" s="123"/>
      <c r="Y56" s="124"/>
      <c r="Z56" s="125"/>
      <c r="AA56" s="125"/>
      <c r="AB56" s="125"/>
      <c r="AC56" s="125"/>
      <c r="AD56" s="125"/>
      <c r="AE56" s="123"/>
      <c r="AF56" s="123"/>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7"/>
      <c r="BZ56" s="127"/>
      <c r="CA56" s="127"/>
      <c r="CB56" s="127"/>
      <c r="CC56" s="127"/>
      <c r="CD56" s="127"/>
      <c r="CE56" s="127"/>
      <c r="CF56" s="127"/>
      <c r="CG56" s="127"/>
      <c r="CH56" s="127"/>
      <c r="CI56" s="127"/>
      <c r="CJ56" s="127"/>
      <c r="CK56" s="127"/>
      <c r="CL56" s="127"/>
      <c r="CM56" s="127"/>
      <c r="CN56" s="127"/>
      <c r="CO56" s="127"/>
      <c r="CP56" s="127"/>
      <c r="CQ56" s="127"/>
      <c r="CR56" s="127"/>
      <c r="CS56" s="127"/>
      <c r="CT56" s="127"/>
      <c r="CU56" s="127"/>
      <c r="CV56" s="127"/>
      <c r="CW56" s="127"/>
      <c r="CX56" s="127"/>
      <c r="CY56" s="127"/>
      <c r="CZ56" s="127"/>
      <c r="DA56" s="127"/>
      <c r="DB56" s="127"/>
      <c r="DC56" s="127"/>
      <c r="DD56" s="127"/>
      <c r="DE56" s="127"/>
      <c r="DF56" s="127"/>
      <c r="DG56" s="127"/>
      <c r="DH56" s="127"/>
      <c r="DI56" s="127"/>
      <c r="DJ56" s="127"/>
      <c r="DK56" s="127"/>
      <c r="DL56" s="127"/>
      <c r="DM56" s="127"/>
      <c r="DN56" s="127"/>
      <c r="DO56" s="127"/>
      <c r="DP56" s="127"/>
      <c r="DQ56" s="127"/>
      <c r="DR56" s="127"/>
      <c r="DS56" s="127"/>
      <c r="DT56" s="127"/>
      <c r="DU56" s="128"/>
      <c r="DV56" s="128"/>
      <c r="DW56" s="128"/>
      <c r="DX56" s="128"/>
      <c r="DY56" s="128"/>
      <c r="DZ56" s="128"/>
      <c r="EA56" s="128"/>
      <c r="EB56" s="128"/>
      <c r="EC56" s="128"/>
      <c r="ED56" s="128"/>
      <c r="EE56" s="128"/>
      <c r="EF56" s="128"/>
      <c r="EG56" s="128"/>
      <c r="EH56" s="128"/>
      <c r="EI56" s="128"/>
      <c r="EJ56" s="128"/>
      <c r="EK56" s="128"/>
      <c r="EL56" s="128"/>
      <c r="EM56" s="128"/>
      <c r="EN56" s="128"/>
      <c r="EO56" s="128"/>
      <c r="EP56" s="128"/>
      <c r="EQ56" s="128"/>
      <c r="ER56" s="128"/>
      <c r="ES56" s="128"/>
      <c r="ET56" s="128"/>
      <c r="EU56" s="128"/>
      <c r="EV56" s="128"/>
      <c r="EW56" s="129"/>
      <c r="EX56" s="129"/>
      <c r="EY56" s="129"/>
      <c r="EZ56" s="129"/>
      <c r="FA56" s="130"/>
      <c r="FB56" s="130"/>
      <c r="FC56" s="130"/>
      <c r="FD56" s="129"/>
      <c r="FE56" s="129"/>
      <c r="FF56" s="131"/>
    </row>
    <row r="57" spans="1:162" ht="19" customHeight="1" x14ac:dyDescent="0.2">
      <c r="A57" s="3"/>
      <c r="B57" s="50"/>
      <c r="C57" s="50"/>
      <c r="D57" s="3"/>
      <c r="E57" s="75"/>
      <c r="F57" s="75"/>
      <c r="G57" s="51"/>
      <c r="H57" s="84"/>
      <c r="I57" s="84"/>
      <c r="J57" s="84"/>
      <c r="K57" s="85"/>
      <c r="M57" s="86"/>
      <c r="N57" s="122"/>
      <c r="O57" s="122"/>
      <c r="P57" s="123"/>
      <c r="Q57" s="123"/>
      <c r="R57" s="123"/>
      <c r="S57" s="123"/>
      <c r="T57" s="123"/>
      <c r="U57" s="123"/>
      <c r="V57" s="123"/>
      <c r="W57" s="123"/>
      <c r="X57" s="123"/>
      <c r="Y57" s="124"/>
      <c r="Z57" s="125"/>
      <c r="AA57" s="125"/>
      <c r="AB57" s="125"/>
      <c r="AC57" s="125"/>
      <c r="AD57" s="125"/>
      <c r="AE57" s="123"/>
      <c r="AF57" s="123"/>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7"/>
      <c r="BZ57" s="127"/>
      <c r="CA57" s="127"/>
      <c r="CB57" s="127"/>
      <c r="CC57" s="127"/>
      <c r="CD57" s="127"/>
      <c r="CE57" s="127"/>
      <c r="CF57" s="127"/>
      <c r="CG57" s="127"/>
      <c r="CH57" s="127"/>
      <c r="CI57" s="127"/>
      <c r="CJ57" s="127"/>
      <c r="CK57" s="127"/>
      <c r="CL57" s="127"/>
      <c r="CM57" s="127"/>
      <c r="CN57" s="127"/>
      <c r="CO57" s="127"/>
      <c r="CP57" s="127"/>
      <c r="CQ57" s="127"/>
      <c r="CR57" s="127"/>
      <c r="CS57" s="127"/>
      <c r="CT57" s="127"/>
      <c r="CU57" s="127"/>
      <c r="CV57" s="127"/>
      <c r="CW57" s="127"/>
      <c r="CX57" s="127"/>
      <c r="CY57" s="127"/>
      <c r="CZ57" s="127"/>
      <c r="DA57" s="127"/>
      <c r="DB57" s="127"/>
      <c r="DC57" s="127"/>
      <c r="DD57" s="127"/>
      <c r="DE57" s="127"/>
      <c r="DF57" s="127"/>
      <c r="DG57" s="127"/>
      <c r="DH57" s="127"/>
      <c r="DI57" s="127"/>
      <c r="DJ57" s="127"/>
      <c r="DK57" s="127"/>
      <c r="DL57" s="127"/>
      <c r="DM57" s="127"/>
      <c r="DN57" s="127"/>
      <c r="DO57" s="127"/>
      <c r="DP57" s="127"/>
      <c r="DQ57" s="127"/>
      <c r="DR57" s="127"/>
      <c r="DS57" s="127"/>
      <c r="DT57" s="127"/>
      <c r="DU57" s="128"/>
      <c r="DV57" s="128"/>
      <c r="DW57" s="128"/>
      <c r="DX57" s="128"/>
      <c r="DY57" s="128"/>
      <c r="DZ57" s="128"/>
      <c r="EA57" s="128"/>
      <c r="EB57" s="128"/>
      <c r="EC57" s="128"/>
      <c r="ED57" s="128"/>
      <c r="EE57" s="128"/>
      <c r="EF57" s="128"/>
      <c r="EG57" s="128"/>
      <c r="EH57" s="128"/>
      <c r="EI57" s="128"/>
      <c r="EJ57" s="128"/>
      <c r="EK57" s="128"/>
      <c r="EL57" s="128"/>
      <c r="EM57" s="128"/>
      <c r="EN57" s="128"/>
      <c r="EO57" s="128"/>
      <c r="EP57" s="128"/>
      <c r="EQ57" s="128"/>
      <c r="ER57" s="128"/>
      <c r="ES57" s="128"/>
      <c r="ET57" s="128"/>
      <c r="EU57" s="128"/>
      <c r="EV57" s="128"/>
      <c r="EW57" s="129"/>
      <c r="EX57" s="129"/>
      <c r="EY57" s="129"/>
      <c r="EZ57" s="129"/>
      <c r="FA57" s="130"/>
      <c r="FB57" s="130"/>
      <c r="FC57" s="130"/>
      <c r="FD57" s="129"/>
      <c r="FE57" s="129"/>
      <c r="FF57" s="131"/>
    </row>
    <row r="58" spans="1:162" ht="19" customHeight="1" x14ac:dyDescent="0.2">
      <c r="A58" s="3"/>
      <c r="B58" s="50"/>
      <c r="C58" s="50"/>
      <c r="D58" s="3"/>
      <c r="E58" s="75"/>
      <c r="F58" s="75"/>
      <c r="G58" s="51"/>
      <c r="H58" s="84"/>
      <c r="I58" s="84"/>
      <c r="J58" s="84"/>
      <c r="K58" s="85"/>
      <c r="M58" s="86"/>
      <c r="N58" s="122"/>
      <c r="O58" s="122"/>
      <c r="P58" s="123"/>
      <c r="Q58" s="123"/>
      <c r="R58" s="123"/>
      <c r="S58" s="123"/>
      <c r="T58" s="123"/>
      <c r="U58" s="123"/>
      <c r="V58" s="123"/>
      <c r="W58" s="123"/>
      <c r="X58" s="123"/>
      <c r="Y58" s="124"/>
      <c r="Z58" s="125"/>
      <c r="AA58" s="125"/>
      <c r="AB58" s="125"/>
      <c r="AC58" s="125"/>
      <c r="AD58" s="125"/>
      <c r="AE58" s="123"/>
      <c r="AF58" s="123"/>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7"/>
      <c r="BZ58" s="127"/>
      <c r="CA58" s="127"/>
      <c r="CB58" s="127"/>
      <c r="CC58" s="127"/>
      <c r="CD58" s="127"/>
      <c r="CE58" s="127"/>
      <c r="CF58" s="127"/>
      <c r="CG58" s="127"/>
      <c r="CH58" s="127"/>
      <c r="CI58" s="127"/>
      <c r="CJ58" s="127"/>
      <c r="CK58" s="127"/>
      <c r="CL58" s="127"/>
      <c r="CM58" s="127"/>
      <c r="CN58" s="127"/>
      <c r="CO58" s="127"/>
      <c r="CP58" s="127"/>
      <c r="CQ58" s="127"/>
      <c r="CR58" s="127"/>
      <c r="CS58" s="127"/>
      <c r="CT58" s="127"/>
      <c r="CU58" s="127"/>
      <c r="CV58" s="127"/>
      <c r="CW58" s="127"/>
      <c r="CX58" s="127"/>
      <c r="CY58" s="127"/>
      <c r="CZ58" s="127"/>
      <c r="DA58" s="127"/>
      <c r="DB58" s="127"/>
      <c r="DC58" s="127"/>
      <c r="DD58" s="127"/>
      <c r="DE58" s="127"/>
      <c r="DF58" s="127"/>
      <c r="DG58" s="127"/>
      <c r="DH58" s="127"/>
      <c r="DI58" s="127"/>
      <c r="DJ58" s="127"/>
      <c r="DK58" s="127"/>
      <c r="DL58" s="127"/>
      <c r="DM58" s="127"/>
      <c r="DN58" s="127"/>
      <c r="DO58" s="127"/>
      <c r="DP58" s="127"/>
      <c r="DQ58" s="127"/>
      <c r="DR58" s="127"/>
      <c r="DS58" s="127"/>
      <c r="DT58" s="127"/>
      <c r="DU58" s="128"/>
      <c r="DV58" s="128"/>
      <c r="DW58" s="128"/>
      <c r="DX58" s="128"/>
      <c r="DY58" s="128"/>
      <c r="DZ58" s="128"/>
      <c r="EA58" s="128"/>
      <c r="EB58" s="128"/>
      <c r="EC58" s="128"/>
      <c r="ED58" s="128"/>
      <c r="EE58" s="128"/>
      <c r="EF58" s="128"/>
      <c r="EG58" s="128"/>
      <c r="EH58" s="128"/>
      <c r="EI58" s="128"/>
      <c r="EJ58" s="128"/>
      <c r="EK58" s="128"/>
      <c r="EL58" s="128"/>
      <c r="EM58" s="128"/>
      <c r="EN58" s="128"/>
      <c r="EO58" s="128"/>
      <c r="EP58" s="128"/>
      <c r="EQ58" s="128"/>
      <c r="ER58" s="128"/>
      <c r="ES58" s="128"/>
      <c r="ET58" s="128"/>
      <c r="EU58" s="128"/>
      <c r="EV58" s="128"/>
      <c r="EW58" s="129"/>
      <c r="EX58" s="129"/>
      <c r="EY58" s="129"/>
      <c r="EZ58" s="129"/>
      <c r="FA58" s="130"/>
      <c r="FB58" s="130"/>
      <c r="FC58" s="130"/>
      <c r="FD58" s="129"/>
      <c r="FE58" s="129"/>
      <c r="FF58" s="131"/>
    </row>
    <row r="59" spans="1:162" ht="19" customHeight="1" x14ac:dyDescent="0.2">
      <c r="A59" s="3"/>
      <c r="B59" s="50"/>
      <c r="C59" s="50"/>
      <c r="D59" s="3"/>
      <c r="E59" s="75"/>
      <c r="F59" s="75"/>
      <c r="G59" s="51"/>
      <c r="H59" s="84"/>
      <c r="I59" s="84"/>
      <c r="J59" s="84"/>
      <c r="K59" s="85"/>
      <c r="M59" s="86"/>
      <c r="N59" s="122"/>
      <c r="O59" s="122"/>
      <c r="P59" s="123"/>
      <c r="Q59" s="123"/>
      <c r="R59" s="123"/>
      <c r="S59" s="123"/>
      <c r="T59" s="123"/>
      <c r="U59" s="123"/>
      <c r="V59" s="123"/>
      <c r="W59" s="123"/>
      <c r="X59" s="123"/>
      <c r="Y59" s="124"/>
      <c r="Z59" s="125"/>
      <c r="AA59" s="125"/>
      <c r="AB59" s="125"/>
      <c r="AC59" s="125"/>
      <c r="AD59" s="125"/>
      <c r="AE59" s="123"/>
      <c r="AF59" s="123"/>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26"/>
      <c r="BW59" s="126"/>
      <c r="BX59" s="126"/>
      <c r="BY59" s="127"/>
      <c r="BZ59" s="127"/>
      <c r="CA59" s="127"/>
      <c r="CB59" s="127"/>
      <c r="CC59" s="127"/>
      <c r="CD59" s="127"/>
      <c r="CE59" s="127"/>
      <c r="CF59" s="127"/>
      <c r="CG59" s="127"/>
      <c r="CH59" s="127"/>
      <c r="CI59" s="127"/>
      <c r="CJ59" s="127"/>
      <c r="CK59" s="127"/>
      <c r="CL59" s="127"/>
      <c r="CM59" s="127"/>
      <c r="CN59" s="127"/>
      <c r="CO59" s="127"/>
      <c r="CP59" s="127"/>
      <c r="CQ59" s="127"/>
      <c r="CR59" s="127"/>
      <c r="CS59" s="127"/>
      <c r="CT59" s="127"/>
      <c r="CU59" s="127"/>
      <c r="CV59" s="127"/>
      <c r="CW59" s="127"/>
      <c r="CX59" s="127"/>
      <c r="CY59" s="127"/>
      <c r="CZ59" s="127"/>
      <c r="DA59" s="127"/>
      <c r="DB59" s="127"/>
      <c r="DC59" s="127"/>
      <c r="DD59" s="127"/>
      <c r="DE59" s="127"/>
      <c r="DF59" s="127"/>
      <c r="DG59" s="127"/>
      <c r="DH59" s="127"/>
      <c r="DI59" s="127"/>
      <c r="DJ59" s="127"/>
      <c r="DK59" s="127"/>
      <c r="DL59" s="127"/>
      <c r="DM59" s="127"/>
      <c r="DN59" s="127"/>
      <c r="DO59" s="127"/>
      <c r="DP59" s="127"/>
      <c r="DQ59" s="127"/>
      <c r="DR59" s="127"/>
      <c r="DS59" s="127"/>
      <c r="DT59" s="127"/>
      <c r="DU59" s="128"/>
      <c r="DV59" s="128"/>
      <c r="DW59" s="128"/>
      <c r="DX59" s="128"/>
      <c r="DY59" s="128"/>
      <c r="DZ59" s="128"/>
      <c r="EA59" s="128"/>
      <c r="EB59" s="128"/>
      <c r="EC59" s="128"/>
      <c r="ED59" s="128"/>
      <c r="EE59" s="128"/>
      <c r="EF59" s="128"/>
      <c r="EG59" s="128"/>
      <c r="EH59" s="128"/>
      <c r="EI59" s="128"/>
      <c r="EJ59" s="128"/>
      <c r="EK59" s="128"/>
      <c r="EL59" s="128"/>
      <c r="EM59" s="128"/>
      <c r="EN59" s="128"/>
      <c r="EO59" s="128"/>
      <c r="EP59" s="128"/>
      <c r="EQ59" s="128"/>
      <c r="ER59" s="128"/>
      <c r="ES59" s="128"/>
      <c r="ET59" s="128"/>
      <c r="EU59" s="128"/>
      <c r="EV59" s="128"/>
      <c r="EW59" s="129"/>
      <c r="EX59" s="129"/>
      <c r="EY59" s="129"/>
      <c r="EZ59" s="129"/>
      <c r="FA59" s="130"/>
      <c r="FB59" s="130"/>
      <c r="FC59" s="130"/>
      <c r="FD59" s="129"/>
      <c r="FE59" s="129"/>
      <c r="FF59" s="131"/>
    </row>
    <row r="60" spans="1:162" ht="19" customHeight="1" x14ac:dyDescent="0.2">
      <c r="A60" s="3"/>
      <c r="B60" s="50"/>
      <c r="C60" s="50"/>
      <c r="D60" s="3"/>
      <c r="E60" s="75"/>
      <c r="F60" s="75"/>
      <c r="G60" s="51"/>
      <c r="H60" s="84"/>
      <c r="I60" s="84"/>
      <c r="J60" s="84"/>
      <c r="K60" s="85"/>
      <c r="M60" s="86"/>
      <c r="N60" s="122"/>
      <c r="O60" s="122"/>
      <c r="P60" s="123"/>
      <c r="Q60" s="123"/>
      <c r="R60" s="123"/>
      <c r="S60" s="123"/>
      <c r="T60" s="123"/>
      <c r="U60" s="123"/>
      <c r="V60" s="123"/>
      <c r="W60" s="123"/>
      <c r="X60" s="123"/>
      <c r="Y60" s="124"/>
      <c r="Z60" s="125"/>
      <c r="AA60" s="125"/>
      <c r="AB60" s="125"/>
      <c r="AC60" s="125"/>
      <c r="AD60" s="125"/>
      <c r="AE60" s="123"/>
      <c r="AF60" s="123"/>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c r="BX60" s="126"/>
      <c r="BY60" s="127"/>
      <c r="BZ60" s="127"/>
      <c r="CA60" s="127"/>
      <c r="CB60" s="127"/>
      <c r="CC60" s="127"/>
      <c r="CD60" s="127"/>
      <c r="CE60" s="127"/>
      <c r="CF60" s="127"/>
      <c r="CG60" s="127"/>
      <c r="CH60" s="127"/>
      <c r="CI60" s="127"/>
      <c r="CJ60" s="127"/>
      <c r="CK60" s="127"/>
      <c r="CL60" s="127"/>
      <c r="CM60" s="127"/>
      <c r="CN60" s="127"/>
      <c r="CO60" s="127"/>
      <c r="CP60" s="127"/>
      <c r="CQ60" s="127"/>
      <c r="CR60" s="127"/>
      <c r="CS60" s="127"/>
      <c r="CT60" s="127"/>
      <c r="CU60" s="127"/>
      <c r="CV60" s="127"/>
      <c r="CW60" s="127"/>
      <c r="CX60" s="127"/>
      <c r="CY60" s="127"/>
      <c r="CZ60" s="127"/>
      <c r="DA60" s="127"/>
      <c r="DB60" s="127"/>
      <c r="DC60" s="127"/>
      <c r="DD60" s="127"/>
      <c r="DE60" s="127"/>
      <c r="DF60" s="127"/>
      <c r="DG60" s="127"/>
      <c r="DH60" s="127"/>
      <c r="DI60" s="127"/>
      <c r="DJ60" s="127"/>
      <c r="DK60" s="127"/>
      <c r="DL60" s="127"/>
      <c r="DM60" s="127"/>
      <c r="DN60" s="127"/>
      <c r="DO60" s="127"/>
      <c r="DP60" s="127"/>
      <c r="DQ60" s="127"/>
      <c r="DR60" s="127"/>
      <c r="DS60" s="127"/>
      <c r="DT60" s="127"/>
      <c r="DU60" s="128"/>
      <c r="DV60" s="128"/>
      <c r="DW60" s="128"/>
      <c r="DX60" s="128"/>
      <c r="DY60" s="128"/>
      <c r="DZ60" s="128"/>
      <c r="EA60" s="128"/>
      <c r="EB60" s="128"/>
      <c r="EC60" s="128"/>
      <c r="ED60" s="128"/>
      <c r="EE60" s="128"/>
      <c r="EF60" s="128"/>
      <c r="EG60" s="128"/>
      <c r="EH60" s="128"/>
      <c r="EI60" s="128"/>
      <c r="EJ60" s="128"/>
      <c r="EK60" s="128"/>
      <c r="EL60" s="128"/>
      <c r="EM60" s="128"/>
      <c r="EN60" s="128"/>
      <c r="EO60" s="128"/>
      <c r="EP60" s="128"/>
      <c r="EQ60" s="128"/>
      <c r="ER60" s="128"/>
      <c r="ES60" s="128"/>
      <c r="ET60" s="128"/>
      <c r="EU60" s="128"/>
      <c r="EV60" s="128"/>
      <c r="EW60" s="129"/>
      <c r="EX60" s="129"/>
      <c r="EY60" s="129"/>
      <c r="EZ60" s="129"/>
      <c r="FA60" s="130"/>
      <c r="FB60" s="130"/>
      <c r="FC60" s="130"/>
      <c r="FD60" s="129"/>
      <c r="FE60" s="129"/>
      <c r="FF60" s="131"/>
    </row>
    <row r="61" spans="1:162" ht="19" customHeight="1" x14ac:dyDescent="0.2">
      <c r="A61" s="3"/>
      <c r="B61" s="50"/>
      <c r="C61" s="50"/>
      <c r="D61" s="3"/>
      <c r="E61" s="75"/>
      <c r="F61" s="75"/>
      <c r="G61" s="51"/>
      <c r="H61" s="84"/>
      <c r="I61" s="84"/>
      <c r="J61" s="84"/>
      <c r="K61" s="85"/>
      <c r="M61" s="86"/>
      <c r="N61" s="122"/>
      <c r="O61" s="122"/>
      <c r="P61" s="123"/>
      <c r="Q61" s="123"/>
      <c r="R61" s="123"/>
      <c r="S61" s="123"/>
      <c r="T61" s="123"/>
      <c r="U61" s="123"/>
      <c r="V61" s="123"/>
      <c r="W61" s="123"/>
      <c r="X61" s="123"/>
      <c r="Y61" s="124"/>
      <c r="Z61" s="125"/>
      <c r="AA61" s="125"/>
      <c r="AB61" s="125"/>
      <c r="AC61" s="125"/>
      <c r="AD61" s="125"/>
      <c r="AE61" s="123"/>
      <c r="AF61" s="123"/>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7"/>
      <c r="BZ61" s="127"/>
      <c r="CA61" s="127"/>
      <c r="CB61" s="127"/>
      <c r="CC61" s="127"/>
      <c r="CD61" s="127"/>
      <c r="CE61" s="127"/>
      <c r="CF61" s="127"/>
      <c r="CG61" s="127"/>
      <c r="CH61" s="127"/>
      <c r="CI61" s="127"/>
      <c r="CJ61" s="127"/>
      <c r="CK61" s="127"/>
      <c r="CL61" s="127"/>
      <c r="CM61" s="127"/>
      <c r="CN61" s="127"/>
      <c r="CO61" s="127"/>
      <c r="CP61" s="127"/>
      <c r="CQ61" s="127"/>
      <c r="CR61" s="127"/>
      <c r="CS61" s="127"/>
      <c r="CT61" s="127"/>
      <c r="CU61" s="127"/>
      <c r="CV61" s="127"/>
      <c r="CW61" s="127"/>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127"/>
      <c r="DU61" s="128"/>
      <c r="DV61" s="128"/>
      <c r="DW61" s="128"/>
      <c r="DX61" s="128"/>
      <c r="DY61" s="128"/>
      <c r="DZ61" s="128"/>
      <c r="EA61" s="128"/>
      <c r="EB61" s="128"/>
      <c r="EC61" s="128"/>
      <c r="ED61" s="128"/>
      <c r="EE61" s="128"/>
      <c r="EF61" s="128"/>
      <c r="EG61" s="128"/>
      <c r="EH61" s="128"/>
      <c r="EI61" s="128"/>
      <c r="EJ61" s="128"/>
      <c r="EK61" s="128"/>
      <c r="EL61" s="128"/>
      <c r="EM61" s="128"/>
      <c r="EN61" s="128"/>
      <c r="EO61" s="128"/>
      <c r="EP61" s="128"/>
      <c r="EQ61" s="128"/>
      <c r="ER61" s="128"/>
      <c r="ES61" s="128"/>
      <c r="ET61" s="128"/>
      <c r="EU61" s="128"/>
      <c r="EV61" s="128"/>
      <c r="EW61" s="129"/>
      <c r="EX61" s="129"/>
      <c r="EY61" s="129"/>
      <c r="EZ61" s="129"/>
      <c r="FA61" s="130"/>
      <c r="FB61" s="130"/>
      <c r="FC61" s="130"/>
      <c r="FD61" s="129"/>
      <c r="FE61" s="129"/>
      <c r="FF61" s="131"/>
    </row>
    <row r="62" spans="1:162" ht="19" customHeight="1" x14ac:dyDescent="0.2">
      <c r="A62" s="3"/>
      <c r="B62" s="50"/>
      <c r="C62" s="50"/>
      <c r="D62" s="3"/>
      <c r="E62" s="75"/>
      <c r="F62" s="75"/>
      <c r="G62" s="51"/>
      <c r="H62" s="84"/>
      <c r="I62" s="84"/>
      <c r="J62" s="84"/>
      <c r="K62" s="85"/>
      <c r="M62" s="86"/>
      <c r="N62" s="122"/>
      <c r="O62" s="122"/>
      <c r="P62" s="123"/>
      <c r="Q62" s="123"/>
      <c r="R62" s="123"/>
      <c r="S62" s="123"/>
      <c r="T62" s="123"/>
      <c r="U62" s="123"/>
      <c r="V62" s="123"/>
      <c r="W62" s="123"/>
      <c r="X62" s="123"/>
      <c r="Y62" s="124"/>
      <c r="Z62" s="125"/>
      <c r="AA62" s="125"/>
      <c r="AB62" s="125"/>
      <c r="AC62" s="125"/>
      <c r="AD62" s="125"/>
      <c r="AE62" s="123"/>
      <c r="AF62" s="123"/>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26"/>
      <c r="BW62" s="126"/>
      <c r="BX62" s="126"/>
      <c r="BY62" s="127"/>
      <c r="BZ62" s="127"/>
      <c r="CA62" s="127"/>
      <c r="CB62" s="127"/>
      <c r="CC62" s="127"/>
      <c r="CD62" s="127"/>
      <c r="CE62" s="127"/>
      <c r="CF62" s="127"/>
      <c r="CG62" s="127"/>
      <c r="CH62" s="127"/>
      <c r="CI62" s="127"/>
      <c r="CJ62" s="127"/>
      <c r="CK62" s="127"/>
      <c r="CL62" s="127"/>
      <c r="CM62" s="127"/>
      <c r="CN62" s="127"/>
      <c r="CO62" s="127"/>
      <c r="CP62" s="127"/>
      <c r="CQ62" s="127"/>
      <c r="CR62" s="127"/>
      <c r="CS62" s="127"/>
      <c r="CT62" s="127"/>
      <c r="CU62" s="127"/>
      <c r="CV62" s="127"/>
      <c r="CW62" s="127"/>
      <c r="CX62" s="127"/>
      <c r="CY62" s="127"/>
      <c r="CZ62" s="127"/>
      <c r="DA62" s="127"/>
      <c r="DB62" s="127"/>
      <c r="DC62" s="127"/>
      <c r="DD62" s="127"/>
      <c r="DE62" s="127"/>
      <c r="DF62" s="127"/>
      <c r="DG62" s="127"/>
      <c r="DH62" s="127"/>
      <c r="DI62" s="127"/>
      <c r="DJ62" s="127"/>
      <c r="DK62" s="127"/>
      <c r="DL62" s="127"/>
      <c r="DM62" s="127"/>
      <c r="DN62" s="127"/>
      <c r="DO62" s="127"/>
      <c r="DP62" s="127"/>
      <c r="DQ62" s="127"/>
      <c r="DR62" s="127"/>
      <c r="DS62" s="127"/>
      <c r="DT62" s="127"/>
      <c r="DU62" s="128"/>
      <c r="DV62" s="128"/>
      <c r="DW62" s="128"/>
      <c r="DX62" s="128"/>
      <c r="DY62" s="128"/>
      <c r="DZ62" s="128"/>
      <c r="EA62" s="128"/>
      <c r="EB62" s="128"/>
      <c r="EC62" s="128"/>
      <c r="ED62" s="128"/>
      <c r="EE62" s="128"/>
      <c r="EF62" s="128"/>
      <c r="EG62" s="128"/>
      <c r="EH62" s="128"/>
      <c r="EI62" s="128"/>
      <c r="EJ62" s="128"/>
      <c r="EK62" s="128"/>
      <c r="EL62" s="128"/>
      <c r="EM62" s="128"/>
      <c r="EN62" s="128"/>
      <c r="EO62" s="128"/>
      <c r="EP62" s="128"/>
      <c r="EQ62" s="128"/>
      <c r="ER62" s="128"/>
      <c r="ES62" s="128"/>
      <c r="ET62" s="128"/>
      <c r="EU62" s="128"/>
      <c r="EV62" s="128"/>
      <c r="EW62" s="129"/>
      <c r="EX62" s="129"/>
      <c r="EY62" s="129"/>
      <c r="EZ62" s="129"/>
      <c r="FA62" s="130"/>
      <c r="FB62" s="130"/>
      <c r="FC62" s="130"/>
      <c r="FD62" s="129"/>
      <c r="FE62" s="129"/>
      <c r="FF62" s="131"/>
    </row>
    <row r="63" spans="1:162" ht="19" customHeight="1" x14ac:dyDescent="0.2">
      <c r="A63" s="3"/>
      <c r="B63" s="50"/>
      <c r="C63" s="50"/>
      <c r="D63" s="3"/>
      <c r="E63" s="75"/>
      <c r="F63" s="75"/>
      <c r="G63" s="51"/>
      <c r="H63" s="84"/>
      <c r="I63" s="84"/>
      <c r="J63" s="84"/>
      <c r="K63" s="85"/>
      <c r="M63" s="86"/>
      <c r="N63" s="122"/>
      <c r="O63" s="122"/>
      <c r="P63" s="123"/>
      <c r="Q63" s="123"/>
      <c r="R63" s="123"/>
      <c r="S63" s="123"/>
      <c r="T63" s="123"/>
      <c r="U63" s="123"/>
      <c r="V63" s="123"/>
      <c r="W63" s="123"/>
      <c r="X63" s="123"/>
      <c r="Y63" s="124"/>
      <c r="Z63" s="125"/>
      <c r="AA63" s="125"/>
      <c r="AB63" s="125"/>
      <c r="AC63" s="125"/>
      <c r="AD63" s="125"/>
      <c r="AE63" s="123"/>
      <c r="AF63" s="123"/>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7"/>
      <c r="BZ63" s="127"/>
      <c r="CA63" s="127"/>
      <c r="CB63" s="127"/>
      <c r="CC63" s="127"/>
      <c r="CD63" s="127"/>
      <c r="CE63" s="127"/>
      <c r="CF63" s="127"/>
      <c r="CG63" s="127"/>
      <c r="CH63" s="127"/>
      <c r="CI63" s="127"/>
      <c r="CJ63" s="127"/>
      <c r="CK63" s="127"/>
      <c r="CL63" s="127"/>
      <c r="CM63" s="127"/>
      <c r="CN63" s="127"/>
      <c r="CO63" s="127"/>
      <c r="CP63" s="127"/>
      <c r="CQ63" s="127"/>
      <c r="CR63" s="127"/>
      <c r="CS63" s="127"/>
      <c r="CT63" s="127"/>
      <c r="CU63" s="127"/>
      <c r="CV63" s="127"/>
      <c r="CW63" s="127"/>
      <c r="CX63" s="127"/>
      <c r="CY63" s="127"/>
      <c r="CZ63" s="127"/>
      <c r="DA63" s="127"/>
      <c r="DB63" s="127"/>
      <c r="DC63" s="127"/>
      <c r="DD63" s="127"/>
      <c r="DE63" s="127"/>
      <c r="DF63" s="127"/>
      <c r="DG63" s="127"/>
      <c r="DH63" s="127"/>
      <c r="DI63" s="127"/>
      <c r="DJ63" s="127"/>
      <c r="DK63" s="127"/>
      <c r="DL63" s="127"/>
      <c r="DM63" s="127"/>
      <c r="DN63" s="127"/>
      <c r="DO63" s="127"/>
      <c r="DP63" s="127"/>
      <c r="DQ63" s="127"/>
      <c r="DR63" s="127"/>
      <c r="DS63" s="127"/>
      <c r="DT63" s="127"/>
      <c r="DU63" s="128"/>
      <c r="DV63" s="128"/>
      <c r="DW63" s="128"/>
      <c r="DX63" s="128"/>
      <c r="DY63" s="128"/>
      <c r="DZ63" s="128"/>
      <c r="EA63" s="128"/>
      <c r="EB63" s="128"/>
      <c r="EC63" s="128"/>
      <c r="ED63" s="128"/>
      <c r="EE63" s="128"/>
      <c r="EF63" s="128"/>
      <c r="EG63" s="128"/>
      <c r="EH63" s="128"/>
      <c r="EI63" s="128"/>
      <c r="EJ63" s="128"/>
      <c r="EK63" s="128"/>
      <c r="EL63" s="128"/>
      <c r="EM63" s="128"/>
      <c r="EN63" s="128"/>
      <c r="EO63" s="128"/>
      <c r="EP63" s="128"/>
      <c r="EQ63" s="128"/>
      <c r="ER63" s="128"/>
      <c r="ES63" s="128"/>
      <c r="ET63" s="128"/>
      <c r="EU63" s="128"/>
      <c r="EV63" s="128"/>
      <c r="EW63" s="129"/>
      <c r="EX63" s="129"/>
      <c r="EY63" s="129"/>
      <c r="EZ63" s="129"/>
      <c r="FA63" s="130"/>
      <c r="FB63" s="130"/>
      <c r="FC63" s="130"/>
      <c r="FD63" s="129"/>
      <c r="FE63" s="129"/>
      <c r="FF63" s="131"/>
    </row>
    <row r="64" spans="1:162" ht="19" customHeight="1" x14ac:dyDescent="0.2">
      <c r="A64" s="3"/>
      <c r="B64" s="50"/>
      <c r="C64" s="50"/>
      <c r="D64" s="3"/>
      <c r="E64" s="75"/>
      <c r="F64" s="75"/>
      <c r="G64" s="51"/>
      <c r="H64" s="84"/>
      <c r="I64" s="84"/>
      <c r="J64" s="84"/>
      <c r="K64" s="85"/>
      <c r="M64" s="86"/>
      <c r="N64" s="122"/>
      <c r="O64" s="122"/>
      <c r="P64" s="123"/>
      <c r="Q64" s="123"/>
      <c r="R64" s="123"/>
      <c r="S64" s="123"/>
      <c r="T64" s="123"/>
      <c r="U64" s="123"/>
      <c r="V64" s="123"/>
      <c r="W64" s="123"/>
      <c r="X64" s="123"/>
      <c r="Y64" s="124"/>
      <c r="Z64" s="125"/>
      <c r="AA64" s="125"/>
      <c r="AB64" s="125"/>
      <c r="AC64" s="125"/>
      <c r="AD64" s="125"/>
      <c r="AE64" s="123"/>
      <c r="AF64" s="123"/>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26"/>
      <c r="BW64" s="126"/>
      <c r="BX64" s="126"/>
      <c r="BY64" s="127"/>
      <c r="BZ64" s="127"/>
      <c r="CA64" s="127"/>
      <c r="CB64" s="127"/>
      <c r="CC64" s="127"/>
      <c r="CD64" s="127"/>
      <c r="CE64" s="127"/>
      <c r="CF64" s="127"/>
      <c r="CG64" s="127"/>
      <c r="CH64" s="127"/>
      <c r="CI64" s="127"/>
      <c r="CJ64" s="127"/>
      <c r="CK64" s="127"/>
      <c r="CL64" s="127"/>
      <c r="CM64" s="127"/>
      <c r="CN64" s="127"/>
      <c r="CO64" s="127"/>
      <c r="CP64" s="127"/>
      <c r="CQ64" s="127"/>
      <c r="CR64" s="127"/>
      <c r="CS64" s="127"/>
      <c r="CT64" s="127"/>
      <c r="CU64" s="127"/>
      <c r="CV64" s="127"/>
      <c r="CW64" s="127"/>
      <c r="CX64" s="127"/>
      <c r="CY64" s="127"/>
      <c r="CZ64" s="127"/>
      <c r="DA64" s="127"/>
      <c r="DB64" s="127"/>
      <c r="DC64" s="127"/>
      <c r="DD64" s="127"/>
      <c r="DE64" s="127"/>
      <c r="DF64" s="127"/>
      <c r="DG64" s="127"/>
      <c r="DH64" s="127"/>
      <c r="DI64" s="127"/>
      <c r="DJ64" s="127"/>
      <c r="DK64" s="127"/>
      <c r="DL64" s="127"/>
      <c r="DM64" s="127"/>
      <c r="DN64" s="127"/>
      <c r="DO64" s="127"/>
      <c r="DP64" s="127"/>
      <c r="DQ64" s="127"/>
      <c r="DR64" s="127"/>
      <c r="DS64" s="127"/>
      <c r="DT64" s="127"/>
      <c r="DU64" s="128"/>
      <c r="DV64" s="128"/>
      <c r="DW64" s="128"/>
      <c r="DX64" s="128"/>
      <c r="DY64" s="128"/>
      <c r="DZ64" s="128"/>
      <c r="EA64" s="128"/>
      <c r="EB64" s="128"/>
      <c r="EC64" s="128"/>
      <c r="ED64" s="128"/>
      <c r="EE64" s="128"/>
      <c r="EF64" s="128"/>
      <c r="EG64" s="128"/>
      <c r="EH64" s="128"/>
      <c r="EI64" s="128"/>
      <c r="EJ64" s="128"/>
      <c r="EK64" s="128"/>
      <c r="EL64" s="128"/>
      <c r="EM64" s="128"/>
      <c r="EN64" s="128"/>
      <c r="EO64" s="128"/>
      <c r="EP64" s="128"/>
      <c r="EQ64" s="128"/>
      <c r="ER64" s="128"/>
      <c r="ES64" s="128"/>
      <c r="ET64" s="128"/>
      <c r="EU64" s="128"/>
      <c r="EV64" s="128"/>
      <c r="EW64" s="129"/>
      <c r="EX64" s="129"/>
      <c r="EY64" s="129"/>
      <c r="EZ64" s="129"/>
      <c r="FA64" s="130"/>
      <c r="FB64" s="130"/>
      <c r="FC64" s="130"/>
      <c r="FD64" s="129"/>
      <c r="FE64" s="129"/>
      <c r="FF64" s="131"/>
    </row>
    <row r="65" spans="1:162" ht="19" customHeight="1" x14ac:dyDescent="0.2">
      <c r="A65" s="3"/>
      <c r="B65" s="50"/>
      <c r="C65" s="50"/>
      <c r="D65" s="3"/>
      <c r="E65" s="75"/>
      <c r="F65" s="75"/>
      <c r="G65" s="51"/>
      <c r="H65" s="84"/>
      <c r="I65" s="84"/>
      <c r="J65" s="84"/>
      <c r="K65" s="85"/>
      <c r="M65" s="86"/>
      <c r="N65" s="122"/>
      <c r="O65" s="122"/>
      <c r="P65" s="123"/>
      <c r="Q65" s="123"/>
      <c r="R65" s="123"/>
      <c r="S65" s="123"/>
      <c r="T65" s="123"/>
      <c r="U65" s="123"/>
      <c r="V65" s="123"/>
      <c r="W65" s="123"/>
      <c r="X65" s="123"/>
      <c r="Y65" s="124"/>
      <c r="Z65" s="125"/>
      <c r="AA65" s="125"/>
      <c r="AB65" s="125"/>
      <c r="AC65" s="125"/>
      <c r="AD65" s="125"/>
      <c r="AE65" s="123"/>
      <c r="AF65" s="123"/>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7"/>
      <c r="BZ65" s="127"/>
      <c r="CA65" s="127"/>
      <c r="CB65" s="127"/>
      <c r="CC65" s="127"/>
      <c r="CD65" s="127"/>
      <c r="CE65" s="127"/>
      <c r="CF65" s="127"/>
      <c r="CG65" s="127"/>
      <c r="CH65" s="127"/>
      <c r="CI65" s="127"/>
      <c r="CJ65" s="127"/>
      <c r="CK65" s="127"/>
      <c r="CL65" s="127"/>
      <c r="CM65" s="127"/>
      <c r="CN65" s="127"/>
      <c r="CO65" s="127"/>
      <c r="CP65" s="127"/>
      <c r="CQ65" s="127"/>
      <c r="CR65" s="127"/>
      <c r="CS65" s="127"/>
      <c r="CT65" s="127"/>
      <c r="CU65" s="127"/>
      <c r="CV65" s="127"/>
      <c r="CW65" s="127"/>
      <c r="CX65" s="127"/>
      <c r="CY65" s="127"/>
      <c r="CZ65" s="127"/>
      <c r="DA65" s="127"/>
      <c r="DB65" s="127"/>
      <c r="DC65" s="127"/>
      <c r="DD65" s="127"/>
      <c r="DE65" s="127"/>
      <c r="DF65" s="127"/>
      <c r="DG65" s="127"/>
      <c r="DH65" s="127"/>
      <c r="DI65" s="127"/>
      <c r="DJ65" s="127"/>
      <c r="DK65" s="127"/>
      <c r="DL65" s="127"/>
      <c r="DM65" s="127"/>
      <c r="DN65" s="127"/>
      <c r="DO65" s="127"/>
      <c r="DP65" s="127"/>
      <c r="DQ65" s="127"/>
      <c r="DR65" s="127"/>
      <c r="DS65" s="127"/>
      <c r="DT65" s="127"/>
      <c r="DU65" s="128"/>
      <c r="DV65" s="128"/>
      <c r="DW65" s="128"/>
      <c r="DX65" s="128"/>
      <c r="DY65" s="128"/>
      <c r="DZ65" s="128"/>
      <c r="EA65" s="128"/>
      <c r="EB65" s="128"/>
      <c r="EC65" s="128"/>
      <c r="ED65" s="128"/>
      <c r="EE65" s="128"/>
      <c r="EF65" s="128"/>
      <c r="EG65" s="128"/>
      <c r="EH65" s="128"/>
      <c r="EI65" s="128"/>
      <c r="EJ65" s="128"/>
      <c r="EK65" s="128"/>
      <c r="EL65" s="128"/>
      <c r="EM65" s="128"/>
      <c r="EN65" s="128"/>
      <c r="EO65" s="128"/>
      <c r="EP65" s="128"/>
      <c r="EQ65" s="128"/>
      <c r="ER65" s="128"/>
      <c r="ES65" s="128"/>
      <c r="ET65" s="128"/>
      <c r="EU65" s="128"/>
      <c r="EV65" s="128"/>
      <c r="EW65" s="129"/>
      <c r="EX65" s="129"/>
      <c r="EY65" s="129"/>
      <c r="EZ65" s="129"/>
      <c r="FA65" s="130"/>
      <c r="FB65" s="130"/>
      <c r="FC65" s="130"/>
      <c r="FD65" s="129"/>
      <c r="FE65" s="129"/>
      <c r="FF65" s="131"/>
    </row>
    <row r="66" spans="1:162" ht="19" customHeight="1" x14ac:dyDescent="0.2">
      <c r="A66" s="3"/>
      <c r="B66" s="50"/>
      <c r="C66" s="50"/>
      <c r="D66" s="3"/>
      <c r="E66" s="75"/>
      <c r="F66" s="75"/>
      <c r="G66" s="51"/>
      <c r="H66" s="84"/>
      <c r="I66" s="84"/>
      <c r="J66" s="84"/>
      <c r="K66" s="85"/>
      <c r="M66" s="86"/>
      <c r="N66" s="122"/>
      <c r="O66" s="122"/>
      <c r="P66" s="123"/>
      <c r="Q66" s="123"/>
      <c r="R66" s="123"/>
      <c r="S66" s="123"/>
      <c r="T66" s="123"/>
      <c r="U66" s="123"/>
      <c r="V66" s="123"/>
      <c r="W66" s="123"/>
      <c r="X66" s="123"/>
      <c r="Y66" s="124"/>
      <c r="Z66" s="125"/>
      <c r="AA66" s="125"/>
      <c r="AB66" s="125"/>
      <c r="AC66" s="125"/>
      <c r="AD66" s="125"/>
      <c r="AE66" s="123"/>
      <c r="AF66" s="123"/>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c r="BX66" s="126"/>
      <c r="BY66" s="127"/>
      <c r="BZ66" s="127"/>
      <c r="CA66" s="127"/>
      <c r="CB66" s="127"/>
      <c r="CC66" s="127"/>
      <c r="CD66" s="127"/>
      <c r="CE66" s="127"/>
      <c r="CF66" s="127"/>
      <c r="CG66" s="127"/>
      <c r="CH66" s="127"/>
      <c r="CI66" s="127"/>
      <c r="CJ66" s="127"/>
      <c r="CK66" s="127"/>
      <c r="CL66" s="127"/>
      <c r="CM66" s="127"/>
      <c r="CN66" s="127"/>
      <c r="CO66" s="127"/>
      <c r="CP66" s="127"/>
      <c r="CQ66" s="127"/>
      <c r="CR66" s="127"/>
      <c r="CS66" s="127"/>
      <c r="CT66" s="127"/>
      <c r="CU66" s="127"/>
      <c r="CV66" s="127"/>
      <c r="CW66" s="127"/>
      <c r="CX66" s="127"/>
      <c r="CY66" s="127"/>
      <c r="CZ66" s="127"/>
      <c r="DA66" s="127"/>
      <c r="DB66" s="127"/>
      <c r="DC66" s="127"/>
      <c r="DD66" s="127"/>
      <c r="DE66" s="127"/>
      <c r="DF66" s="127"/>
      <c r="DG66" s="127"/>
      <c r="DH66" s="127"/>
      <c r="DI66" s="127"/>
      <c r="DJ66" s="127"/>
      <c r="DK66" s="127"/>
      <c r="DL66" s="127"/>
      <c r="DM66" s="127"/>
      <c r="DN66" s="127"/>
      <c r="DO66" s="127"/>
      <c r="DP66" s="127"/>
      <c r="DQ66" s="127"/>
      <c r="DR66" s="127"/>
      <c r="DS66" s="127"/>
      <c r="DT66" s="127"/>
      <c r="DU66" s="128"/>
      <c r="DV66" s="128"/>
      <c r="DW66" s="128"/>
      <c r="DX66" s="128"/>
      <c r="DY66" s="128"/>
      <c r="DZ66" s="128"/>
      <c r="EA66" s="128"/>
      <c r="EB66" s="128"/>
      <c r="EC66" s="128"/>
      <c r="ED66" s="128"/>
      <c r="EE66" s="128"/>
      <c r="EF66" s="128"/>
      <c r="EG66" s="128"/>
      <c r="EH66" s="128"/>
      <c r="EI66" s="128"/>
      <c r="EJ66" s="128"/>
      <c r="EK66" s="128"/>
      <c r="EL66" s="128"/>
      <c r="EM66" s="128"/>
      <c r="EN66" s="128"/>
      <c r="EO66" s="128"/>
      <c r="EP66" s="128"/>
      <c r="EQ66" s="128"/>
      <c r="ER66" s="128"/>
      <c r="ES66" s="128"/>
      <c r="ET66" s="128"/>
      <c r="EU66" s="128"/>
      <c r="EV66" s="128"/>
      <c r="EW66" s="129"/>
      <c r="EX66" s="129"/>
      <c r="EY66" s="129"/>
      <c r="EZ66" s="129"/>
      <c r="FA66" s="130"/>
      <c r="FB66" s="130"/>
      <c r="FC66" s="130"/>
      <c r="FD66" s="129"/>
      <c r="FE66" s="129"/>
      <c r="FF66" s="131"/>
    </row>
    <row r="67" spans="1:162" ht="19" customHeight="1" x14ac:dyDescent="0.2">
      <c r="A67" s="3"/>
      <c r="B67" s="50"/>
      <c r="C67" s="50"/>
      <c r="D67" s="3"/>
      <c r="E67" s="75"/>
      <c r="F67" s="75"/>
      <c r="G67" s="51"/>
      <c r="H67" s="84"/>
      <c r="I67" s="84"/>
      <c r="J67" s="84"/>
      <c r="K67" s="85"/>
      <c r="M67" s="86"/>
      <c r="N67" s="122"/>
      <c r="O67" s="122"/>
      <c r="P67" s="123"/>
      <c r="Q67" s="123"/>
      <c r="R67" s="123"/>
      <c r="S67" s="123"/>
      <c r="T67" s="123"/>
      <c r="U67" s="123"/>
      <c r="V67" s="123"/>
      <c r="W67" s="123"/>
      <c r="X67" s="123"/>
      <c r="Y67" s="124"/>
      <c r="Z67" s="125"/>
      <c r="AA67" s="125"/>
      <c r="AB67" s="125"/>
      <c r="AC67" s="125"/>
      <c r="AD67" s="125"/>
      <c r="AE67" s="123"/>
      <c r="AF67" s="123"/>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7"/>
      <c r="BZ67" s="127"/>
      <c r="CA67" s="127"/>
      <c r="CB67" s="127"/>
      <c r="CC67" s="127"/>
      <c r="CD67" s="127"/>
      <c r="CE67" s="127"/>
      <c r="CF67" s="127"/>
      <c r="CG67" s="127"/>
      <c r="CH67" s="127"/>
      <c r="CI67" s="127"/>
      <c r="CJ67" s="127"/>
      <c r="CK67" s="127"/>
      <c r="CL67" s="127"/>
      <c r="CM67" s="127"/>
      <c r="CN67" s="127"/>
      <c r="CO67" s="127"/>
      <c r="CP67" s="127"/>
      <c r="CQ67" s="127"/>
      <c r="CR67" s="127"/>
      <c r="CS67" s="127"/>
      <c r="CT67" s="127"/>
      <c r="CU67" s="127"/>
      <c r="CV67" s="127"/>
      <c r="CW67" s="127"/>
      <c r="CX67" s="127"/>
      <c r="CY67" s="127"/>
      <c r="CZ67" s="127"/>
      <c r="DA67" s="127"/>
      <c r="DB67" s="127"/>
      <c r="DC67" s="127"/>
      <c r="DD67" s="127"/>
      <c r="DE67" s="127"/>
      <c r="DF67" s="127"/>
      <c r="DG67" s="127"/>
      <c r="DH67" s="127"/>
      <c r="DI67" s="127"/>
      <c r="DJ67" s="127"/>
      <c r="DK67" s="127"/>
      <c r="DL67" s="127"/>
      <c r="DM67" s="127"/>
      <c r="DN67" s="127"/>
      <c r="DO67" s="127"/>
      <c r="DP67" s="127"/>
      <c r="DQ67" s="127"/>
      <c r="DR67" s="127"/>
      <c r="DS67" s="127"/>
      <c r="DT67" s="127"/>
      <c r="DU67" s="128"/>
      <c r="DV67" s="128"/>
      <c r="DW67" s="128"/>
      <c r="DX67" s="128"/>
      <c r="DY67" s="128"/>
      <c r="DZ67" s="128"/>
      <c r="EA67" s="128"/>
      <c r="EB67" s="128"/>
      <c r="EC67" s="128"/>
      <c r="ED67" s="128"/>
      <c r="EE67" s="128"/>
      <c r="EF67" s="128"/>
      <c r="EG67" s="128"/>
      <c r="EH67" s="128"/>
      <c r="EI67" s="128"/>
      <c r="EJ67" s="128"/>
      <c r="EK67" s="128"/>
      <c r="EL67" s="128"/>
      <c r="EM67" s="128"/>
      <c r="EN67" s="128"/>
      <c r="EO67" s="128"/>
      <c r="EP67" s="128"/>
      <c r="EQ67" s="128"/>
      <c r="ER67" s="128"/>
      <c r="ES67" s="128"/>
      <c r="ET67" s="128"/>
      <c r="EU67" s="128"/>
      <c r="EV67" s="128"/>
      <c r="EW67" s="129"/>
      <c r="EX67" s="129"/>
      <c r="EY67" s="129"/>
      <c r="EZ67" s="129"/>
      <c r="FA67" s="130"/>
      <c r="FB67" s="130"/>
      <c r="FC67" s="130"/>
      <c r="FD67" s="129"/>
      <c r="FE67" s="129"/>
      <c r="FF67" s="131"/>
    </row>
    <row r="68" spans="1:162" ht="19" customHeight="1" x14ac:dyDescent="0.2">
      <c r="A68" s="3"/>
      <c r="B68" s="50"/>
      <c r="C68" s="50"/>
      <c r="D68" s="3"/>
      <c r="E68" s="75"/>
      <c r="F68" s="75"/>
      <c r="G68" s="51"/>
      <c r="H68" s="84"/>
      <c r="I68" s="84"/>
      <c r="J68" s="84"/>
      <c r="K68" s="85"/>
      <c r="M68" s="86"/>
      <c r="N68" s="122"/>
      <c r="O68" s="122"/>
      <c r="P68" s="123"/>
      <c r="Q68" s="123"/>
      <c r="R68" s="123"/>
      <c r="S68" s="123"/>
      <c r="T68" s="123"/>
      <c r="U68" s="123"/>
      <c r="V68" s="123"/>
      <c r="W68" s="123"/>
      <c r="X68" s="123"/>
      <c r="Y68" s="124"/>
      <c r="Z68" s="125"/>
      <c r="AA68" s="125"/>
      <c r="AB68" s="125"/>
      <c r="AC68" s="125"/>
      <c r="AD68" s="125"/>
      <c r="AE68" s="123"/>
      <c r="AF68" s="123"/>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26"/>
      <c r="BW68" s="126"/>
      <c r="BX68" s="126"/>
      <c r="BY68" s="127"/>
      <c r="BZ68" s="127"/>
      <c r="CA68" s="127"/>
      <c r="CB68" s="127"/>
      <c r="CC68" s="127"/>
      <c r="CD68" s="127"/>
      <c r="CE68" s="127"/>
      <c r="CF68" s="127"/>
      <c r="CG68" s="127"/>
      <c r="CH68" s="127"/>
      <c r="CI68" s="127"/>
      <c r="CJ68" s="127"/>
      <c r="CK68" s="127"/>
      <c r="CL68" s="127"/>
      <c r="CM68" s="127"/>
      <c r="CN68" s="127"/>
      <c r="CO68" s="127"/>
      <c r="CP68" s="127"/>
      <c r="CQ68" s="127"/>
      <c r="CR68" s="127"/>
      <c r="CS68" s="127"/>
      <c r="CT68" s="127"/>
      <c r="CU68" s="127"/>
      <c r="CV68" s="127"/>
      <c r="CW68" s="127"/>
      <c r="CX68" s="127"/>
      <c r="CY68" s="127"/>
      <c r="CZ68" s="127"/>
      <c r="DA68" s="127"/>
      <c r="DB68" s="127"/>
      <c r="DC68" s="127"/>
      <c r="DD68" s="127"/>
      <c r="DE68" s="127"/>
      <c r="DF68" s="127"/>
      <c r="DG68" s="127"/>
      <c r="DH68" s="127"/>
      <c r="DI68" s="127"/>
      <c r="DJ68" s="127"/>
      <c r="DK68" s="127"/>
      <c r="DL68" s="127"/>
      <c r="DM68" s="127"/>
      <c r="DN68" s="127"/>
      <c r="DO68" s="127"/>
      <c r="DP68" s="127"/>
      <c r="DQ68" s="127"/>
      <c r="DR68" s="127"/>
      <c r="DS68" s="127"/>
      <c r="DT68" s="127"/>
      <c r="DU68" s="128"/>
      <c r="DV68" s="128"/>
      <c r="DW68" s="128"/>
      <c r="DX68" s="128"/>
      <c r="DY68" s="128"/>
      <c r="DZ68" s="128"/>
      <c r="EA68" s="128"/>
      <c r="EB68" s="128"/>
      <c r="EC68" s="128"/>
      <c r="ED68" s="128"/>
      <c r="EE68" s="128"/>
      <c r="EF68" s="128"/>
      <c r="EG68" s="128"/>
      <c r="EH68" s="128"/>
      <c r="EI68" s="128"/>
      <c r="EJ68" s="128"/>
      <c r="EK68" s="128"/>
      <c r="EL68" s="128"/>
      <c r="EM68" s="128"/>
      <c r="EN68" s="128"/>
      <c r="EO68" s="128"/>
      <c r="EP68" s="128"/>
      <c r="EQ68" s="128"/>
      <c r="ER68" s="128"/>
      <c r="ES68" s="128"/>
      <c r="ET68" s="128"/>
      <c r="EU68" s="128"/>
      <c r="EV68" s="128"/>
      <c r="EW68" s="129"/>
      <c r="EX68" s="129"/>
      <c r="EY68" s="129"/>
      <c r="EZ68" s="129"/>
      <c r="FA68" s="130"/>
      <c r="FB68" s="130"/>
      <c r="FC68" s="130"/>
      <c r="FD68" s="129"/>
      <c r="FE68" s="129"/>
      <c r="FF68" s="131"/>
    </row>
    <row r="69" spans="1:162" ht="19" customHeight="1" x14ac:dyDescent="0.2">
      <c r="A69" s="3"/>
      <c r="B69" s="50"/>
      <c r="C69" s="50"/>
      <c r="D69" s="3"/>
      <c r="E69" s="75"/>
      <c r="F69" s="75"/>
      <c r="G69" s="51"/>
      <c r="H69" s="84"/>
      <c r="I69" s="84"/>
      <c r="J69" s="84"/>
      <c r="K69" s="85"/>
      <c r="M69" s="86"/>
      <c r="N69" s="122"/>
      <c r="O69" s="122"/>
      <c r="P69" s="123"/>
      <c r="Q69" s="123"/>
      <c r="R69" s="123"/>
      <c r="S69" s="123"/>
      <c r="T69" s="123"/>
      <c r="U69" s="123"/>
      <c r="V69" s="123"/>
      <c r="W69" s="123"/>
      <c r="X69" s="123"/>
      <c r="Y69" s="124"/>
      <c r="Z69" s="125"/>
      <c r="AA69" s="125"/>
      <c r="AB69" s="125"/>
      <c r="AC69" s="125"/>
      <c r="AD69" s="125"/>
      <c r="AE69" s="123"/>
      <c r="AF69" s="123"/>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7"/>
      <c r="BZ69" s="127"/>
      <c r="CA69" s="127"/>
      <c r="CB69" s="127"/>
      <c r="CC69" s="127"/>
      <c r="CD69" s="127"/>
      <c r="CE69" s="127"/>
      <c r="CF69" s="127"/>
      <c r="CG69" s="127"/>
      <c r="CH69" s="127"/>
      <c r="CI69" s="127"/>
      <c r="CJ69" s="127"/>
      <c r="CK69" s="127"/>
      <c r="CL69" s="127"/>
      <c r="CM69" s="127"/>
      <c r="CN69" s="127"/>
      <c r="CO69" s="127"/>
      <c r="CP69" s="127"/>
      <c r="CQ69" s="127"/>
      <c r="CR69" s="127"/>
      <c r="CS69" s="127"/>
      <c r="CT69" s="127"/>
      <c r="CU69" s="127"/>
      <c r="CV69" s="127"/>
      <c r="CW69" s="127"/>
      <c r="CX69" s="127"/>
      <c r="CY69" s="127"/>
      <c r="CZ69" s="127"/>
      <c r="DA69" s="127"/>
      <c r="DB69" s="127"/>
      <c r="DC69" s="127"/>
      <c r="DD69" s="127"/>
      <c r="DE69" s="127"/>
      <c r="DF69" s="127"/>
      <c r="DG69" s="127"/>
      <c r="DH69" s="127"/>
      <c r="DI69" s="127"/>
      <c r="DJ69" s="127"/>
      <c r="DK69" s="127"/>
      <c r="DL69" s="127"/>
      <c r="DM69" s="127"/>
      <c r="DN69" s="127"/>
      <c r="DO69" s="127"/>
      <c r="DP69" s="127"/>
      <c r="DQ69" s="127"/>
      <c r="DR69" s="127"/>
      <c r="DS69" s="127"/>
      <c r="DT69" s="127"/>
      <c r="DU69" s="128"/>
      <c r="DV69" s="128"/>
      <c r="DW69" s="128"/>
      <c r="DX69" s="128"/>
      <c r="DY69" s="128"/>
      <c r="DZ69" s="128"/>
      <c r="EA69" s="128"/>
      <c r="EB69" s="128"/>
      <c r="EC69" s="128"/>
      <c r="ED69" s="128"/>
      <c r="EE69" s="128"/>
      <c r="EF69" s="128"/>
      <c r="EG69" s="128"/>
      <c r="EH69" s="128"/>
      <c r="EI69" s="128"/>
      <c r="EJ69" s="128"/>
      <c r="EK69" s="128"/>
      <c r="EL69" s="128"/>
      <c r="EM69" s="128"/>
      <c r="EN69" s="128"/>
      <c r="EO69" s="128"/>
      <c r="EP69" s="128"/>
      <c r="EQ69" s="128"/>
      <c r="ER69" s="128"/>
      <c r="ES69" s="128"/>
      <c r="ET69" s="128"/>
      <c r="EU69" s="128"/>
      <c r="EV69" s="128"/>
      <c r="EW69" s="129"/>
      <c r="EX69" s="129"/>
      <c r="EY69" s="129"/>
      <c r="EZ69" s="129"/>
      <c r="FA69" s="130"/>
      <c r="FB69" s="130"/>
      <c r="FC69" s="130"/>
      <c r="FD69" s="129"/>
      <c r="FE69" s="129"/>
      <c r="FF69" s="131"/>
    </row>
    <row r="70" spans="1:162" ht="19" customHeight="1" x14ac:dyDescent="0.2">
      <c r="A70" s="3"/>
      <c r="B70" s="50"/>
      <c r="C70" s="50"/>
      <c r="D70" s="3"/>
      <c r="E70" s="75"/>
      <c r="F70" s="75"/>
      <c r="G70" s="51"/>
      <c r="H70" s="84"/>
      <c r="I70" s="84"/>
      <c r="J70" s="84"/>
      <c r="K70" s="85"/>
      <c r="M70" s="86"/>
      <c r="N70" s="122"/>
      <c r="O70" s="122"/>
      <c r="P70" s="123"/>
      <c r="Q70" s="123"/>
      <c r="R70" s="123"/>
      <c r="S70" s="123"/>
      <c r="T70" s="123"/>
      <c r="U70" s="123"/>
      <c r="V70" s="123"/>
      <c r="W70" s="123"/>
      <c r="X70" s="123"/>
      <c r="Y70" s="124"/>
      <c r="Z70" s="125"/>
      <c r="AA70" s="125"/>
      <c r="AB70" s="125"/>
      <c r="AC70" s="125"/>
      <c r="AD70" s="125"/>
      <c r="AE70" s="123"/>
      <c r="AF70" s="123"/>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7"/>
      <c r="BZ70" s="127"/>
      <c r="CA70" s="127"/>
      <c r="CB70" s="127"/>
      <c r="CC70" s="127"/>
      <c r="CD70" s="127"/>
      <c r="CE70" s="127"/>
      <c r="CF70" s="127"/>
      <c r="CG70" s="127"/>
      <c r="CH70" s="127"/>
      <c r="CI70" s="127"/>
      <c r="CJ70" s="127"/>
      <c r="CK70" s="127"/>
      <c r="CL70" s="127"/>
      <c r="CM70" s="127"/>
      <c r="CN70" s="127"/>
      <c r="CO70" s="127"/>
      <c r="CP70" s="127"/>
      <c r="CQ70" s="127"/>
      <c r="CR70" s="127"/>
      <c r="CS70" s="127"/>
      <c r="CT70" s="127"/>
      <c r="CU70" s="127"/>
      <c r="CV70" s="127"/>
      <c r="CW70" s="127"/>
      <c r="CX70" s="127"/>
      <c r="CY70" s="127"/>
      <c r="CZ70" s="127"/>
      <c r="DA70" s="127"/>
      <c r="DB70" s="127"/>
      <c r="DC70" s="127"/>
      <c r="DD70" s="127"/>
      <c r="DE70" s="127"/>
      <c r="DF70" s="127"/>
      <c r="DG70" s="127"/>
      <c r="DH70" s="127"/>
      <c r="DI70" s="127"/>
      <c r="DJ70" s="127"/>
      <c r="DK70" s="127"/>
      <c r="DL70" s="127"/>
      <c r="DM70" s="127"/>
      <c r="DN70" s="127"/>
      <c r="DO70" s="127"/>
      <c r="DP70" s="127"/>
      <c r="DQ70" s="127"/>
      <c r="DR70" s="127"/>
      <c r="DS70" s="127"/>
      <c r="DT70" s="127"/>
      <c r="DU70" s="128"/>
      <c r="DV70" s="128"/>
      <c r="DW70" s="128"/>
      <c r="DX70" s="128"/>
      <c r="DY70" s="128"/>
      <c r="DZ70" s="128"/>
      <c r="EA70" s="128"/>
      <c r="EB70" s="128"/>
      <c r="EC70" s="128"/>
      <c r="ED70" s="128"/>
      <c r="EE70" s="128"/>
      <c r="EF70" s="128"/>
      <c r="EG70" s="128"/>
      <c r="EH70" s="128"/>
      <c r="EI70" s="128"/>
      <c r="EJ70" s="128"/>
      <c r="EK70" s="128"/>
      <c r="EL70" s="128"/>
      <c r="EM70" s="128"/>
      <c r="EN70" s="128"/>
      <c r="EO70" s="128"/>
      <c r="EP70" s="128"/>
      <c r="EQ70" s="128"/>
      <c r="ER70" s="128"/>
      <c r="ES70" s="128"/>
      <c r="ET70" s="128"/>
      <c r="EU70" s="128"/>
      <c r="EV70" s="128"/>
      <c r="EW70" s="129"/>
      <c r="EX70" s="129"/>
      <c r="EY70" s="129"/>
      <c r="EZ70" s="129"/>
      <c r="FA70" s="130"/>
      <c r="FB70" s="130"/>
      <c r="FC70" s="130"/>
      <c r="FD70" s="129"/>
      <c r="FE70" s="129"/>
      <c r="FF70" s="131"/>
    </row>
    <row r="71" spans="1:162" ht="19" customHeight="1" x14ac:dyDescent="0.2">
      <c r="A71" s="3"/>
      <c r="B71" s="50"/>
      <c r="C71" s="50"/>
      <c r="D71" s="3"/>
      <c r="E71" s="75"/>
      <c r="F71" s="75"/>
      <c r="G71" s="51"/>
      <c r="H71" s="84"/>
      <c r="I71" s="84"/>
      <c r="J71" s="84"/>
      <c r="K71" s="85"/>
      <c r="M71" s="86"/>
      <c r="N71" s="122"/>
      <c r="O71" s="122"/>
      <c r="P71" s="123"/>
      <c r="Q71" s="123"/>
      <c r="R71" s="123"/>
      <c r="S71" s="123"/>
      <c r="T71" s="123"/>
      <c r="U71" s="123"/>
      <c r="V71" s="123"/>
      <c r="W71" s="123"/>
      <c r="X71" s="123"/>
      <c r="Y71" s="124"/>
      <c r="Z71" s="125"/>
      <c r="AA71" s="125"/>
      <c r="AB71" s="125"/>
      <c r="AC71" s="125"/>
      <c r="AD71" s="125"/>
      <c r="AE71" s="123"/>
      <c r="AF71" s="123"/>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c r="BX71" s="126"/>
      <c r="BY71" s="127"/>
      <c r="BZ71" s="127"/>
      <c r="CA71" s="127"/>
      <c r="CB71" s="127"/>
      <c r="CC71" s="127"/>
      <c r="CD71" s="127"/>
      <c r="CE71" s="127"/>
      <c r="CF71" s="127"/>
      <c r="CG71" s="127"/>
      <c r="CH71" s="127"/>
      <c r="CI71" s="127"/>
      <c r="CJ71" s="127"/>
      <c r="CK71" s="127"/>
      <c r="CL71" s="127"/>
      <c r="CM71" s="127"/>
      <c r="CN71" s="127"/>
      <c r="CO71" s="127"/>
      <c r="CP71" s="127"/>
      <c r="CQ71" s="127"/>
      <c r="CR71" s="127"/>
      <c r="CS71" s="127"/>
      <c r="CT71" s="127"/>
      <c r="CU71" s="127"/>
      <c r="CV71" s="127"/>
      <c r="CW71" s="127"/>
      <c r="CX71" s="127"/>
      <c r="CY71" s="127"/>
      <c r="CZ71" s="127"/>
      <c r="DA71" s="127"/>
      <c r="DB71" s="127"/>
      <c r="DC71" s="127"/>
      <c r="DD71" s="127"/>
      <c r="DE71" s="127"/>
      <c r="DF71" s="127"/>
      <c r="DG71" s="127"/>
      <c r="DH71" s="127"/>
      <c r="DI71" s="127"/>
      <c r="DJ71" s="127"/>
      <c r="DK71" s="127"/>
      <c r="DL71" s="127"/>
      <c r="DM71" s="127"/>
      <c r="DN71" s="127"/>
      <c r="DO71" s="127"/>
      <c r="DP71" s="127"/>
      <c r="DQ71" s="127"/>
      <c r="DR71" s="127"/>
      <c r="DS71" s="127"/>
      <c r="DT71" s="127"/>
      <c r="DU71" s="128"/>
      <c r="DV71" s="128"/>
      <c r="DW71" s="128"/>
      <c r="DX71" s="128"/>
      <c r="DY71" s="128"/>
      <c r="DZ71" s="128"/>
      <c r="EA71" s="128"/>
      <c r="EB71" s="128"/>
      <c r="EC71" s="128"/>
      <c r="ED71" s="128"/>
      <c r="EE71" s="128"/>
      <c r="EF71" s="128"/>
      <c r="EG71" s="128"/>
      <c r="EH71" s="128"/>
      <c r="EI71" s="128"/>
      <c r="EJ71" s="128"/>
      <c r="EK71" s="128"/>
      <c r="EL71" s="128"/>
      <c r="EM71" s="128"/>
      <c r="EN71" s="128"/>
      <c r="EO71" s="128"/>
      <c r="EP71" s="128"/>
      <c r="EQ71" s="128"/>
      <c r="ER71" s="128"/>
      <c r="ES71" s="128"/>
      <c r="ET71" s="128"/>
      <c r="EU71" s="128"/>
      <c r="EV71" s="128"/>
      <c r="EW71" s="129"/>
      <c r="EX71" s="129"/>
      <c r="EY71" s="129"/>
      <c r="EZ71" s="129"/>
      <c r="FA71" s="130"/>
      <c r="FB71" s="130"/>
      <c r="FC71" s="130"/>
      <c r="FD71" s="129"/>
      <c r="FE71" s="129"/>
      <c r="FF71" s="131"/>
    </row>
    <row r="72" spans="1:162" ht="19" customHeight="1" x14ac:dyDescent="0.2">
      <c r="A72" s="3"/>
      <c r="B72" s="50"/>
      <c r="C72" s="50"/>
      <c r="D72" s="3"/>
      <c r="E72" s="75"/>
      <c r="F72" s="75"/>
      <c r="G72" s="51"/>
      <c r="H72" s="84"/>
      <c r="I72" s="84"/>
      <c r="J72" s="84"/>
      <c r="K72" s="85"/>
      <c r="M72" s="86"/>
      <c r="N72" s="122"/>
      <c r="O72" s="122"/>
      <c r="P72" s="123"/>
      <c r="Q72" s="123"/>
      <c r="R72" s="123"/>
      <c r="S72" s="123"/>
      <c r="T72" s="123"/>
      <c r="U72" s="123"/>
      <c r="V72" s="123"/>
      <c r="W72" s="123"/>
      <c r="X72" s="123"/>
      <c r="Y72" s="124"/>
      <c r="Z72" s="125"/>
      <c r="AA72" s="125"/>
      <c r="AB72" s="125"/>
      <c r="AC72" s="125"/>
      <c r="AD72" s="125"/>
      <c r="AE72" s="123"/>
      <c r="AF72" s="123"/>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26"/>
      <c r="BW72" s="126"/>
      <c r="BX72" s="126"/>
      <c r="BY72" s="127"/>
      <c r="BZ72" s="127"/>
      <c r="CA72" s="127"/>
      <c r="CB72" s="127"/>
      <c r="CC72" s="127"/>
      <c r="CD72" s="127"/>
      <c r="CE72" s="127"/>
      <c r="CF72" s="127"/>
      <c r="CG72" s="127"/>
      <c r="CH72" s="127"/>
      <c r="CI72" s="127"/>
      <c r="CJ72" s="127"/>
      <c r="CK72" s="127"/>
      <c r="CL72" s="127"/>
      <c r="CM72" s="127"/>
      <c r="CN72" s="127"/>
      <c r="CO72" s="127"/>
      <c r="CP72" s="127"/>
      <c r="CQ72" s="127"/>
      <c r="CR72" s="127"/>
      <c r="CS72" s="127"/>
      <c r="CT72" s="127"/>
      <c r="CU72" s="127"/>
      <c r="CV72" s="127"/>
      <c r="CW72" s="127"/>
      <c r="CX72" s="127"/>
      <c r="CY72" s="127"/>
      <c r="CZ72" s="127"/>
      <c r="DA72" s="127"/>
      <c r="DB72" s="127"/>
      <c r="DC72" s="127"/>
      <c r="DD72" s="127"/>
      <c r="DE72" s="127"/>
      <c r="DF72" s="127"/>
      <c r="DG72" s="127"/>
      <c r="DH72" s="127"/>
      <c r="DI72" s="127"/>
      <c r="DJ72" s="127"/>
      <c r="DK72" s="127"/>
      <c r="DL72" s="127"/>
      <c r="DM72" s="127"/>
      <c r="DN72" s="127"/>
      <c r="DO72" s="127"/>
      <c r="DP72" s="127"/>
      <c r="DQ72" s="127"/>
      <c r="DR72" s="127"/>
      <c r="DS72" s="127"/>
      <c r="DT72" s="127"/>
      <c r="DU72" s="128"/>
      <c r="DV72" s="128"/>
      <c r="DW72" s="128"/>
      <c r="DX72" s="128"/>
      <c r="DY72" s="128"/>
      <c r="DZ72" s="128"/>
      <c r="EA72" s="128"/>
      <c r="EB72" s="128"/>
      <c r="EC72" s="128"/>
      <c r="ED72" s="128"/>
      <c r="EE72" s="128"/>
      <c r="EF72" s="128"/>
      <c r="EG72" s="128"/>
      <c r="EH72" s="128"/>
      <c r="EI72" s="128"/>
      <c r="EJ72" s="128"/>
      <c r="EK72" s="128"/>
      <c r="EL72" s="128"/>
      <c r="EM72" s="128"/>
      <c r="EN72" s="128"/>
      <c r="EO72" s="128"/>
      <c r="EP72" s="128"/>
      <c r="EQ72" s="128"/>
      <c r="ER72" s="128"/>
      <c r="ES72" s="128"/>
      <c r="ET72" s="128"/>
      <c r="EU72" s="128"/>
      <c r="EV72" s="128"/>
      <c r="EW72" s="129"/>
      <c r="EX72" s="129"/>
      <c r="EY72" s="129"/>
      <c r="EZ72" s="129"/>
      <c r="FA72" s="130"/>
      <c r="FB72" s="130"/>
      <c r="FC72" s="130"/>
      <c r="FD72" s="129"/>
      <c r="FE72" s="129"/>
      <c r="FF72" s="131"/>
    </row>
    <row r="73" spans="1:162" ht="19" customHeight="1" x14ac:dyDescent="0.2">
      <c r="A73" s="3"/>
      <c r="B73" s="50"/>
      <c r="C73" s="50"/>
      <c r="D73" s="3"/>
      <c r="E73" s="75"/>
      <c r="F73" s="75"/>
      <c r="G73" s="51"/>
      <c r="H73" s="84"/>
      <c r="I73" s="84"/>
      <c r="J73" s="84"/>
      <c r="K73" s="85"/>
      <c r="M73" s="86"/>
      <c r="N73" s="122"/>
      <c r="O73" s="122"/>
      <c r="P73" s="123"/>
      <c r="Q73" s="123"/>
      <c r="R73" s="123"/>
      <c r="S73" s="123"/>
      <c r="T73" s="123"/>
      <c r="U73" s="123"/>
      <c r="V73" s="123"/>
      <c r="W73" s="123"/>
      <c r="X73" s="123"/>
      <c r="Y73" s="124"/>
      <c r="Z73" s="125"/>
      <c r="AA73" s="125"/>
      <c r="AB73" s="125"/>
      <c r="AC73" s="125"/>
      <c r="AD73" s="125"/>
      <c r="AE73" s="123"/>
      <c r="AF73" s="123"/>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26"/>
      <c r="BW73" s="126"/>
      <c r="BX73" s="126"/>
      <c r="BY73" s="127"/>
      <c r="BZ73" s="127"/>
      <c r="CA73" s="127"/>
      <c r="CB73" s="127"/>
      <c r="CC73" s="127"/>
      <c r="CD73" s="127"/>
      <c r="CE73" s="127"/>
      <c r="CF73" s="127"/>
      <c r="CG73" s="127"/>
      <c r="CH73" s="127"/>
      <c r="CI73" s="127"/>
      <c r="CJ73" s="127"/>
      <c r="CK73" s="127"/>
      <c r="CL73" s="127"/>
      <c r="CM73" s="127"/>
      <c r="CN73" s="127"/>
      <c r="CO73" s="127"/>
      <c r="CP73" s="127"/>
      <c r="CQ73" s="127"/>
      <c r="CR73" s="127"/>
      <c r="CS73" s="127"/>
      <c r="CT73" s="127"/>
      <c r="CU73" s="127"/>
      <c r="CV73" s="127"/>
      <c r="CW73" s="127"/>
      <c r="CX73" s="127"/>
      <c r="CY73" s="127"/>
      <c r="CZ73" s="127"/>
      <c r="DA73" s="127"/>
      <c r="DB73" s="127"/>
      <c r="DC73" s="127"/>
      <c r="DD73" s="127"/>
      <c r="DE73" s="127"/>
      <c r="DF73" s="127"/>
      <c r="DG73" s="127"/>
      <c r="DH73" s="127"/>
      <c r="DI73" s="127"/>
      <c r="DJ73" s="127"/>
      <c r="DK73" s="127"/>
      <c r="DL73" s="127"/>
      <c r="DM73" s="127"/>
      <c r="DN73" s="127"/>
      <c r="DO73" s="127"/>
      <c r="DP73" s="127"/>
      <c r="DQ73" s="127"/>
      <c r="DR73" s="127"/>
      <c r="DS73" s="127"/>
      <c r="DT73" s="127"/>
      <c r="DU73" s="128"/>
      <c r="DV73" s="128"/>
      <c r="DW73" s="128"/>
      <c r="DX73" s="128"/>
      <c r="DY73" s="128"/>
      <c r="DZ73" s="128"/>
      <c r="EA73" s="128"/>
      <c r="EB73" s="128"/>
      <c r="EC73" s="128"/>
      <c r="ED73" s="128"/>
      <c r="EE73" s="128"/>
      <c r="EF73" s="128"/>
      <c r="EG73" s="128"/>
      <c r="EH73" s="128"/>
      <c r="EI73" s="128"/>
      <c r="EJ73" s="128"/>
      <c r="EK73" s="128"/>
      <c r="EL73" s="128"/>
      <c r="EM73" s="128"/>
      <c r="EN73" s="128"/>
      <c r="EO73" s="128"/>
      <c r="EP73" s="128"/>
      <c r="EQ73" s="128"/>
      <c r="ER73" s="128"/>
      <c r="ES73" s="128"/>
      <c r="ET73" s="128"/>
      <c r="EU73" s="128"/>
      <c r="EV73" s="128"/>
      <c r="EW73" s="129"/>
      <c r="EX73" s="129"/>
      <c r="EY73" s="129"/>
      <c r="EZ73" s="129"/>
      <c r="FA73" s="130"/>
      <c r="FB73" s="130"/>
      <c r="FC73" s="130"/>
      <c r="FD73" s="129"/>
      <c r="FE73" s="129"/>
      <c r="FF73" s="131"/>
    </row>
    <row r="74" spans="1:162" ht="19" customHeight="1" x14ac:dyDescent="0.2">
      <c r="A74" s="3"/>
      <c r="B74" s="50"/>
      <c r="C74" s="50"/>
      <c r="D74" s="3"/>
      <c r="E74" s="75"/>
      <c r="F74" s="75"/>
      <c r="G74" s="51"/>
      <c r="H74" s="84"/>
      <c r="I74" s="84"/>
      <c r="J74" s="84"/>
      <c r="K74" s="85"/>
      <c r="M74" s="86"/>
      <c r="N74" s="122"/>
      <c r="O74" s="122"/>
      <c r="P74" s="123"/>
      <c r="Q74" s="123"/>
      <c r="R74" s="123"/>
      <c r="S74" s="123"/>
      <c r="T74" s="123"/>
      <c r="U74" s="123"/>
      <c r="V74" s="123"/>
      <c r="W74" s="123"/>
      <c r="X74" s="123"/>
      <c r="Y74" s="124"/>
      <c r="Z74" s="125"/>
      <c r="AA74" s="125"/>
      <c r="AB74" s="125"/>
      <c r="AC74" s="125"/>
      <c r="AD74" s="125"/>
      <c r="AE74" s="123"/>
      <c r="AF74" s="123"/>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c r="BX74" s="126"/>
      <c r="BY74" s="127"/>
      <c r="BZ74" s="127"/>
      <c r="CA74" s="127"/>
      <c r="CB74" s="127"/>
      <c r="CC74" s="127"/>
      <c r="CD74" s="127"/>
      <c r="CE74" s="127"/>
      <c r="CF74" s="127"/>
      <c r="CG74" s="127"/>
      <c r="CH74" s="127"/>
      <c r="CI74" s="127"/>
      <c r="CJ74" s="127"/>
      <c r="CK74" s="127"/>
      <c r="CL74" s="127"/>
      <c r="CM74" s="127"/>
      <c r="CN74" s="127"/>
      <c r="CO74" s="127"/>
      <c r="CP74" s="127"/>
      <c r="CQ74" s="127"/>
      <c r="CR74" s="127"/>
      <c r="CS74" s="127"/>
      <c r="CT74" s="127"/>
      <c r="CU74" s="127"/>
      <c r="CV74" s="127"/>
      <c r="CW74" s="127"/>
      <c r="CX74" s="127"/>
      <c r="CY74" s="127"/>
      <c r="CZ74" s="127"/>
      <c r="DA74" s="127"/>
      <c r="DB74" s="127"/>
      <c r="DC74" s="127"/>
      <c r="DD74" s="127"/>
      <c r="DE74" s="127"/>
      <c r="DF74" s="127"/>
      <c r="DG74" s="127"/>
      <c r="DH74" s="127"/>
      <c r="DI74" s="127"/>
      <c r="DJ74" s="127"/>
      <c r="DK74" s="127"/>
      <c r="DL74" s="127"/>
      <c r="DM74" s="127"/>
      <c r="DN74" s="127"/>
      <c r="DO74" s="127"/>
      <c r="DP74" s="127"/>
      <c r="DQ74" s="127"/>
      <c r="DR74" s="127"/>
      <c r="DS74" s="127"/>
      <c r="DT74" s="127"/>
      <c r="DU74" s="128"/>
      <c r="DV74" s="128"/>
      <c r="DW74" s="128"/>
      <c r="DX74" s="128"/>
      <c r="DY74" s="128"/>
      <c r="DZ74" s="128"/>
      <c r="EA74" s="128"/>
      <c r="EB74" s="128"/>
      <c r="EC74" s="128"/>
      <c r="ED74" s="128"/>
      <c r="EE74" s="128"/>
      <c r="EF74" s="128"/>
      <c r="EG74" s="128"/>
      <c r="EH74" s="128"/>
      <c r="EI74" s="128"/>
      <c r="EJ74" s="128"/>
      <c r="EK74" s="128"/>
      <c r="EL74" s="128"/>
      <c r="EM74" s="128"/>
      <c r="EN74" s="128"/>
      <c r="EO74" s="128"/>
      <c r="EP74" s="128"/>
      <c r="EQ74" s="128"/>
      <c r="ER74" s="128"/>
      <c r="ES74" s="128"/>
      <c r="ET74" s="128"/>
      <c r="EU74" s="128"/>
      <c r="EV74" s="128"/>
      <c r="EW74" s="129"/>
      <c r="EX74" s="129"/>
      <c r="EY74" s="129"/>
      <c r="EZ74" s="129"/>
      <c r="FA74" s="130"/>
      <c r="FB74" s="130"/>
      <c r="FC74" s="130"/>
      <c r="FD74" s="129"/>
      <c r="FE74" s="129"/>
      <c r="FF74" s="131"/>
    </row>
    <row r="75" spans="1:162" ht="19" customHeight="1" x14ac:dyDescent="0.2">
      <c r="A75" s="3"/>
      <c r="B75" s="50"/>
      <c r="C75" s="50"/>
      <c r="D75" s="3"/>
      <c r="E75" s="75"/>
      <c r="F75" s="75"/>
      <c r="G75" s="51"/>
      <c r="H75" s="84"/>
      <c r="I75" s="84"/>
      <c r="J75" s="84"/>
      <c r="K75" s="85"/>
      <c r="M75" s="86"/>
      <c r="N75" s="122"/>
      <c r="O75" s="122"/>
      <c r="P75" s="123"/>
      <c r="Q75" s="123"/>
      <c r="R75" s="123"/>
      <c r="S75" s="123"/>
      <c r="T75" s="123"/>
      <c r="U75" s="123"/>
      <c r="V75" s="123"/>
      <c r="W75" s="123"/>
      <c r="X75" s="123"/>
      <c r="Y75" s="124"/>
      <c r="Z75" s="125"/>
      <c r="AA75" s="125"/>
      <c r="AB75" s="125"/>
      <c r="AC75" s="125"/>
      <c r="AD75" s="125"/>
      <c r="AE75" s="123"/>
      <c r="AF75" s="123"/>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26"/>
      <c r="BW75" s="126"/>
      <c r="BX75" s="126"/>
      <c r="BY75" s="127"/>
      <c r="BZ75" s="127"/>
      <c r="CA75" s="127"/>
      <c r="CB75" s="127"/>
      <c r="CC75" s="127"/>
      <c r="CD75" s="127"/>
      <c r="CE75" s="127"/>
      <c r="CF75" s="127"/>
      <c r="CG75" s="127"/>
      <c r="CH75" s="127"/>
      <c r="CI75" s="127"/>
      <c r="CJ75" s="127"/>
      <c r="CK75" s="127"/>
      <c r="CL75" s="127"/>
      <c r="CM75" s="127"/>
      <c r="CN75" s="127"/>
      <c r="CO75" s="127"/>
      <c r="CP75" s="127"/>
      <c r="CQ75" s="127"/>
      <c r="CR75" s="127"/>
      <c r="CS75" s="127"/>
      <c r="CT75" s="127"/>
      <c r="CU75" s="127"/>
      <c r="CV75" s="127"/>
      <c r="CW75" s="127"/>
      <c r="CX75" s="127"/>
      <c r="CY75" s="127"/>
      <c r="CZ75" s="127"/>
      <c r="DA75" s="127"/>
      <c r="DB75" s="127"/>
      <c r="DC75" s="127"/>
      <c r="DD75" s="127"/>
      <c r="DE75" s="127"/>
      <c r="DF75" s="127"/>
      <c r="DG75" s="127"/>
      <c r="DH75" s="127"/>
      <c r="DI75" s="127"/>
      <c r="DJ75" s="127"/>
      <c r="DK75" s="127"/>
      <c r="DL75" s="127"/>
      <c r="DM75" s="127"/>
      <c r="DN75" s="127"/>
      <c r="DO75" s="127"/>
      <c r="DP75" s="127"/>
      <c r="DQ75" s="127"/>
      <c r="DR75" s="127"/>
      <c r="DS75" s="127"/>
      <c r="DT75" s="127"/>
      <c r="DU75" s="128"/>
      <c r="DV75" s="128"/>
      <c r="DW75" s="128"/>
      <c r="DX75" s="128"/>
      <c r="DY75" s="128"/>
      <c r="DZ75" s="128"/>
      <c r="EA75" s="128"/>
      <c r="EB75" s="128"/>
      <c r="EC75" s="128"/>
      <c r="ED75" s="128"/>
      <c r="EE75" s="128"/>
      <c r="EF75" s="128"/>
      <c r="EG75" s="128"/>
      <c r="EH75" s="128"/>
      <c r="EI75" s="128"/>
      <c r="EJ75" s="128"/>
      <c r="EK75" s="128"/>
      <c r="EL75" s="128"/>
      <c r="EM75" s="128"/>
      <c r="EN75" s="128"/>
      <c r="EO75" s="128"/>
      <c r="EP75" s="128"/>
      <c r="EQ75" s="128"/>
      <c r="ER75" s="128"/>
      <c r="ES75" s="128"/>
      <c r="ET75" s="128"/>
      <c r="EU75" s="128"/>
      <c r="EV75" s="128"/>
      <c r="EW75" s="129"/>
      <c r="EX75" s="129"/>
      <c r="EY75" s="129"/>
      <c r="EZ75" s="129"/>
      <c r="FA75" s="130"/>
      <c r="FB75" s="130"/>
      <c r="FC75" s="130"/>
      <c r="FD75" s="129"/>
      <c r="FE75" s="129"/>
      <c r="FF75" s="131"/>
    </row>
    <row r="76" spans="1:162" ht="19" customHeight="1" x14ac:dyDescent="0.2">
      <c r="A76" s="3"/>
      <c r="B76" s="50"/>
      <c r="C76" s="50"/>
      <c r="D76" s="3"/>
      <c r="E76" s="75"/>
      <c r="F76" s="75"/>
      <c r="G76" s="51"/>
      <c r="H76" s="84"/>
      <c r="I76" s="84"/>
      <c r="J76" s="84"/>
      <c r="K76" s="85"/>
      <c r="M76" s="86"/>
      <c r="N76" s="122"/>
      <c r="O76" s="122"/>
      <c r="P76" s="123"/>
      <c r="Q76" s="123"/>
      <c r="R76" s="123"/>
      <c r="S76" s="123"/>
      <c r="T76" s="123"/>
      <c r="U76" s="123"/>
      <c r="V76" s="123"/>
      <c r="W76" s="123"/>
      <c r="X76" s="123"/>
      <c r="Y76" s="124"/>
      <c r="Z76" s="125"/>
      <c r="AA76" s="125"/>
      <c r="AB76" s="125"/>
      <c r="AC76" s="125"/>
      <c r="AD76" s="125"/>
      <c r="AE76" s="123"/>
      <c r="AF76" s="123"/>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7"/>
      <c r="BZ76" s="127"/>
      <c r="CA76" s="127"/>
      <c r="CB76" s="127"/>
      <c r="CC76" s="127"/>
      <c r="CD76" s="127"/>
      <c r="CE76" s="127"/>
      <c r="CF76" s="127"/>
      <c r="CG76" s="127"/>
      <c r="CH76" s="127"/>
      <c r="CI76" s="127"/>
      <c r="CJ76" s="127"/>
      <c r="CK76" s="127"/>
      <c r="CL76" s="127"/>
      <c r="CM76" s="127"/>
      <c r="CN76" s="127"/>
      <c r="CO76" s="127"/>
      <c r="CP76" s="127"/>
      <c r="CQ76" s="127"/>
      <c r="CR76" s="127"/>
      <c r="CS76" s="127"/>
      <c r="CT76" s="127"/>
      <c r="CU76" s="127"/>
      <c r="CV76" s="127"/>
      <c r="CW76" s="127"/>
      <c r="CX76" s="127"/>
      <c r="CY76" s="127"/>
      <c r="CZ76" s="127"/>
      <c r="DA76" s="127"/>
      <c r="DB76" s="127"/>
      <c r="DC76" s="127"/>
      <c r="DD76" s="127"/>
      <c r="DE76" s="127"/>
      <c r="DF76" s="127"/>
      <c r="DG76" s="127"/>
      <c r="DH76" s="127"/>
      <c r="DI76" s="127"/>
      <c r="DJ76" s="127"/>
      <c r="DK76" s="127"/>
      <c r="DL76" s="127"/>
      <c r="DM76" s="127"/>
      <c r="DN76" s="127"/>
      <c r="DO76" s="127"/>
      <c r="DP76" s="127"/>
      <c r="DQ76" s="127"/>
      <c r="DR76" s="127"/>
      <c r="DS76" s="127"/>
      <c r="DT76" s="127"/>
      <c r="DU76" s="128"/>
      <c r="DV76" s="128"/>
      <c r="DW76" s="128"/>
      <c r="DX76" s="128"/>
      <c r="DY76" s="128"/>
      <c r="DZ76" s="128"/>
      <c r="EA76" s="128"/>
      <c r="EB76" s="128"/>
      <c r="EC76" s="128"/>
      <c r="ED76" s="128"/>
      <c r="EE76" s="128"/>
      <c r="EF76" s="128"/>
      <c r="EG76" s="128"/>
      <c r="EH76" s="128"/>
      <c r="EI76" s="128"/>
      <c r="EJ76" s="128"/>
      <c r="EK76" s="128"/>
      <c r="EL76" s="128"/>
      <c r="EM76" s="128"/>
      <c r="EN76" s="128"/>
      <c r="EO76" s="128"/>
      <c r="EP76" s="128"/>
      <c r="EQ76" s="128"/>
      <c r="ER76" s="128"/>
      <c r="ES76" s="128"/>
      <c r="ET76" s="128"/>
      <c r="EU76" s="128"/>
      <c r="EV76" s="128"/>
      <c r="EW76" s="129"/>
      <c r="EX76" s="129"/>
      <c r="EY76" s="129"/>
      <c r="EZ76" s="129"/>
      <c r="FA76" s="130"/>
      <c r="FB76" s="130"/>
      <c r="FC76" s="130"/>
      <c r="FD76" s="129"/>
      <c r="FE76" s="129"/>
      <c r="FF76" s="131"/>
    </row>
    <row r="77" spans="1:162" ht="19" customHeight="1" x14ac:dyDescent="0.2">
      <c r="A77" s="3"/>
      <c r="B77" s="50"/>
      <c r="C77" s="50"/>
      <c r="D77" s="3"/>
      <c r="E77" s="75"/>
      <c r="F77" s="75"/>
      <c r="G77" s="51"/>
      <c r="H77" s="84"/>
      <c r="I77" s="84"/>
      <c r="J77" s="84"/>
      <c r="K77" s="85"/>
      <c r="M77" s="86"/>
      <c r="N77" s="122"/>
      <c r="O77" s="122"/>
      <c r="P77" s="123"/>
      <c r="Q77" s="123"/>
      <c r="R77" s="123"/>
      <c r="S77" s="123"/>
      <c r="T77" s="123"/>
      <c r="U77" s="123"/>
      <c r="V77" s="123"/>
      <c r="W77" s="123"/>
      <c r="X77" s="123"/>
      <c r="Y77" s="124"/>
      <c r="Z77" s="125"/>
      <c r="AA77" s="125"/>
      <c r="AB77" s="125"/>
      <c r="AC77" s="125"/>
      <c r="AD77" s="125"/>
      <c r="AE77" s="123"/>
      <c r="AF77" s="123"/>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26"/>
      <c r="BW77" s="126"/>
      <c r="BX77" s="126"/>
      <c r="BY77" s="127"/>
      <c r="BZ77" s="127"/>
      <c r="CA77" s="127"/>
      <c r="CB77" s="127"/>
      <c r="CC77" s="127"/>
      <c r="CD77" s="127"/>
      <c r="CE77" s="127"/>
      <c r="CF77" s="127"/>
      <c r="CG77" s="127"/>
      <c r="CH77" s="127"/>
      <c r="CI77" s="127"/>
      <c r="CJ77" s="127"/>
      <c r="CK77" s="127"/>
      <c r="CL77" s="127"/>
      <c r="CM77" s="127"/>
      <c r="CN77" s="127"/>
      <c r="CO77" s="127"/>
      <c r="CP77" s="127"/>
      <c r="CQ77" s="127"/>
      <c r="CR77" s="127"/>
      <c r="CS77" s="127"/>
      <c r="CT77" s="127"/>
      <c r="CU77" s="127"/>
      <c r="CV77" s="127"/>
      <c r="CW77" s="127"/>
      <c r="CX77" s="127"/>
      <c r="CY77" s="127"/>
      <c r="CZ77" s="127"/>
      <c r="DA77" s="127"/>
      <c r="DB77" s="127"/>
      <c r="DC77" s="127"/>
      <c r="DD77" s="127"/>
      <c r="DE77" s="127"/>
      <c r="DF77" s="127"/>
      <c r="DG77" s="127"/>
      <c r="DH77" s="127"/>
      <c r="DI77" s="127"/>
      <c r="DJ77" s="127"/>
      <c r="DK77" s="127"/>
      <c r="DL77" s="127"/>
      <c r="DM77" s="127"/>
      <c r="DN77" s="127"/>
      <c r="DO77" s="127"/>
      <c r="DP77" s="127"/>
      <c r="DQ77" s="127"/>
      <c r="DR77" s="127"/>
      <c r="DS77" s="127"/>
      <c r="DT77" s="127"/>
      <c r="DU77" s="128"/>
      <c r="DV77" s="128"/>
      <c r="DW77" s="128"/>
      <c r="DX77" s="128"/>
      <c r="DY77" s="128"/>
      <c r="DZ77" s="128"/>
      <c r="EA77" s="128"/>
      <c r="EB77" s="128"/>
      <c r="EC77" s="128"/>
      <c r="ED77" s="128"/>
      <c r="EE77" s="128"/>
      <c r="EF77" s="128"/>
      <c r="EG77" s="128"/>
      <c r="EH77" s="128"/>
      <c r="EI77" s="128"/>
      <c r="EJ77" s="128"/>
      <c r="EK77" s="128"/>
      <c r="EL77" s="128"/>
      <c r="EM77" s="128"/>
      <c r="EN77" s="128"/>
      <c r="EO77" s="128"/>
      <c r="EP77" s="128"/>
      <c r="EQ77" s="128"/>
      <c r="ER77" s="128"/>
      <c r="ES77" s="128"/>
      <c r="ET77" s="128"/>
      <c r="EU77" s="128"/>
      <c r="EV77" s="128"/>
      <c r="EW77" s="129"/>
      <c r="EX77" s="129"/>
      <c r="EY77" s="129"/>
      <c r="EZ77" s="129"/>
      <c r="FA77" s="130"/>
      <c r="FB77" s="130"/>
      <c r="FC77" s="130"/>
      <c r="FD77" s="129"/>
      <c r="FE77" s="129"/>
      <c r="FF77" s="131"/>
    </row>
    <row r="78" spans="1:162" ht="19" customHeight="1" x14ac:dyDescent="0.2">
      <c r="A78" s="3"/>
      <c r="B78" s="50"/>
      <c r="C78" s="50"/>
      <c r="D78" s="3"/>
      <c r="E78" s="75"/>
      <c r="F78" s="75"/>
      <c r="G78" s="51"/>
      <c r="H78" s="84"/>
      <c r="I78" s="84"/>
      <c r="J78" s="84"/>
      <c r="K78" s="85"/>
      <c r="M78" s="86"/>
      <c r="N78" s="122"/>
      <c r="O78" s="122"/>
      <c r="P78" s="123"/>
      <c r="Q78" s="123"/>
      <c r="R78" s="123"/>
      <c r="S78" s="123"/>
      <c r="T78" s="123"/>
      <c r="U78" s="123"/>
      <c r="V78" s="123"/>
      <c r="W78" s="123"/>
      <c r="X78" s="123"/>
      <c r="Y78" s="124"/>
      <c r="Z78" s="125"/>
      <c r="AA78" s="125"/>
      <c r="AB78" s="125"/>
      <c r="AC78" s="125"/>
      <c r="AD78" s="125"/>
      <c r="AE78" s="123"/>
      <c r="AF78" s="123"/>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7"/>
      <c r="BZ78" s="127"/>
      <c r="CA78" s="127"/>
      <c r="CB78" s="127"/>
      <c r="CC78" s="127"/>
      <c r="CD78" s="127"/>
      <c r="CE78" s="127"/>
      <c r="CF78" s="127"/>
      <c r="CG78" s="127"/>
      <c r="CH78" s="127"/>
      <c r="CI78" s="127"/>
      <c r="CJ78" s="127"/>
      <c r="CK78" s="127"/>
      <c r="CL78" s="127"/>
      <c r="CM78" s="127"/>
      <c r="CN78" s="127"/>
      <c r="CO78" s="127"/>
      <c r="CP78" s="127"/>
      <c r="CQ78" s="127"/>
      <c r="CR78" s="127"/>
      <c r="CS78" s="127"/>
      <c r="CT78" s="127"/>
      <c r="CU78" s="127"/>
      <c r="CV78" s="127"/>
      <c r="CW78" s="127"/>
      <c r="CX78" s="127"/>
      <c r="CY78" s="127"/>
      <c r="CZ78" s="127"/>
      <c r="DA78" s="127"/>
      <c r="DB78" s="127"/>
      <c r="DC78" s="127"/>
      <c r="DD78" s="127"/>
      <c r="DE78" s="127"/>
      <c r="DF78" s="127"/>
      <c r="DG78" s="127"/>
      <c r="DH78" s="127"/>
      <c r="DI78" s="127"/>
      <c r="DJ78" s="127"/>
      <c r="DK78" s="127"/>
      <c r="DL78" s="127"/>
      <c r="DM78" s="127"/>
      <c r="DN78" s="127"/>
      <c r="DO78" s="127"/>
      <c r="DP78" s="127"/>
      <c r="DQ78" s="127"/>
      <c r="DR78" s="127"/>
      <c r="DS78" s="127"/>
      <c r="DT78" s="127"/>
      <c r="DU78" s="128"/>
      <c r="DV78" s="128"/>
      <c r="DW78" s="128"/>
      <c r="DX78" s="128"/>
      <c r="DY78" s="128"/>
      <c r="DZ78" s="128"/>
      <c r="EA78" s="128"/>
      <c r="EB78" s="128"/>
      <c r="EC78" s="128"/>
      <c r="ED78" s="128"/>
      <c r="EE78" s="128"/>
      <c r="EF78" s="128"/>
      <c r="EG78" s="128"/>
      <c r="EH78" s="128"/>
      <c r="EI78" s="128"/>
      <c r="EJ78" s="128"/>
      <c r="EK78" s="128"/>
      <c r="EL78" s="128"/>
      <c r="EM78" s="128"/>
      <c r="EN78" s="128"/>
      <c r="EO78" s="128"/>
      <c r="EP78" s="128"/>
      <c r="EQ78" s="128"/>
      <c r="ER78" s="128"/>
      <c r="ES78" s="128"/>
      <c r="ET78" s="128"/>
      <c r="EU78" s="128"/>
      <c r="EV78" s="128"/>
      <c r="EW78" s="129"/>
      <c r="EX78" s="129"/>
      <c r="EY78" s="129"/>
      <c r="EZ78" s="129"/>
      <c r="FA78" s="130"/>
      <c r="FB78" s="130"/>
      <c r="FC78" s="130"/>
      <c r="FD78" s="129"/>
      <c r="FE78" s="129"/>
      <c r="FF78" s="131"/>
    </row>
    <row r="79" spans="1:162" ht="19" customHeight="1" x14ac:dyDescent="0.2">
      <c r="A79" s="3"/>
      <c r="B79" s="50"/>
      <c r="C79" s="50"/>
      <c r="D79" s="3"/>
      <c r="E79" s="75"/>
      <c r="F79" s="75"/>
      <c r="G79" s="51"/>
      <c r="H79" s="84"/>
      <c r="I79" s="84"/>
      <c r="J79" s="84"/>
      <c r="K79" s="85"/>
      <c r="M79" s="86"/>
      <c r="N79" s="122"/>
      <c r="O79" s="122"/>
      <c r="P79" s="123"/>
      <c r="Q79" s="123"/>
      <c r="R79" s="123"/>
      <c r="S79" s="123"/>
      <c r="T79" s="123"/>
      <c r="U79" s="123"/>
      <c r="V79" s="123"/>
      <c r="W79" s="123"/>
      <c r="X79" s="123"/>
      <c r="Y79" s="124"/>
      <c r="Z79" s="125"/>
      <c r="AA79" s="125"/>
      <c r="AB79" s="125"/>
      <c r="AC79" s="125"/>
      <c r="AD79" s="125"/>
      <c r="AE79" s="123"/>
      <c r="AF79" s="123"/>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7"/>
      <c r="BZ79" s="127"/>
      <c r="CA79" s="127"/>
      <c r="CB79" s="127"/>
      <c r="CC79" s="127"/>
      <c r="CD79" s="127"/>
      <c r="CE79" s="127"/>
      <c r="CF79" s="127"/>
      <c r="CG79" s="127"/>
      <c r="CH79" s="127"/>
      <c r="CI79" s="127"/>
      <c r="CJ79" s="127"/>
      <c r="CK79" s="127"/>
      <c r="CL79" s="127"/>
      <c r="CM79" s="127"/>
      <c r="CN79" s="127"/>
      <c r="CO79" s="127"/>
      <c r="CP79" s="127"/>
      <c r="CQ79" s="127"/>
      <c r="CR79" s="127"/>
      <c r="CS79" s="127"/>
      <c r="CT79" s="127"/>
      <c r="CU79" s="127"/>
      <c r="CV79" s="127"/>
      <c r="CW79" s="127"/>
      <c r="CX79" s="127"/>
      <c r="CY79" s="127"/>
      <c r="CZ79" s="127"/>
      <c r="DA79" s="127"/>
      <c r="DB79" s="127"/>
      <c r="DC79" s="127"/>
      <c r="DD79" s="127"/>
      <c r="DE79" s="127"/>
      <c r="DF79" s="127"/>
      <c r="DG79" s="127"/>
      <c r="DH79" s="127"/>
      <c r="DI79" s="127"/>
      <c r="DJ79" s="127"/>
      <c r="DK79" s="127"/>
      <c r="DL79" s="127"/>
      <c r="DM79" s="127"/>
      <c r="DN79" s="127"/>
      <c r="DO79" s="127"/>
      <c r="DP79" s="127"/>
      <c r="DQ79" s="127"/>
      <c r="DR79" s="127"/>
      <c r="DS79" s="127"/>
      <c r="DT79" s="127"/>
      <c r="DU79" s="128"/>
      <c r="DV79" s="128"/>
      <c r="DW79" s="128"/>
      <c r="DX79" s="128"/>
      <c r="DY79" s="128"/>
      <c r="DZ79" s="128"/>
      <c r="EA79" s="128"/>
      <c r="EB79" s="128"/>
      <c r="EC79" s="128"/>
      <c r="ED79" s="128"/>
      <c r="EE79" s="128"/>
      <c r="EF79" s="128"/>
      <c r="EG79" s="128"/>
      <c r="EH79" s="128"/>
      <c r="EI79" s="128"/>
      <c r="EJ79" s="128"/>
      <c r="EK79" s="128"/>
      <c r="EL79" s="128"/>
      <c r="EM79" s="128"/>
      <c r="EN79" s="128"/>
      <c r="EO79" s="128"/>
      <c r="EP79" s="128"/>
      <c r="EQ79" s="128"/>
      <c r="ER79" s="128"/>
      <c r="ES79" s="128"/>
      <c r="ET79" s="128"/>
      <c r="EU79" s="128"/>
      <c r="EV79" s="128"/>
      <c r="EW79" s="129"/>
      <c r="EX79" s="129"/>
      <c r="EY79" s="129"/>
      <c r="EZ79" s="129"/>
      <c r="FA79" s="130"/>
      <c r="FB79" s="130"/>
      <c r="FC79" s="130"/>
      <c r="FD79" s="129"/>
      <c r="FE79" s="129"/>
      <c r="FF79" s="131"/>
    </row>
    <row r="80" spans="1:162" ht="19" customHeight="1" x14ac:dyDescent="0.2">
      <c r="A80" s="3"/>
      <c r="B80" s="50"/>
      <c r="C80" s="50"/>
      <c r="D80" s="3"/>
      <c r="E80" s="75"/>
      <c r="F80" s="75"/>
      <c r="G80" s="51"/>
      <c r="H80" s="84"/>
      <c r="I80" s="84"/>
      <c r="J80" s="84"/>
      <c r="K80" s="85"/>
      <c r="M80" s="86"/>
      <c r="N80" s="122"/>
      <c r="O80" s="122"/>
      <c r="P80" s="123"/>
      <c r="Q80" s="123"/>
      <c r="R80" s="123"/>
      <c r="S80" s="123"/>
      <c r="T80" s="123"/>
      <c r="U80" s="123"/>
      <c r="V80" s="123"/>
      <c r="W80" s="123"/>
      <c r="X80" s="123"/>
      <c r="Y80" s="124"/>
      <c r="Z80" s="125"/>
      <c r="AA80" s="125"/>
      <c r="AB80" s="125"/>
      <c r="AC80" s="125"/>
      <c r="AD80" s="125"/>
      <c r="AE80" s="123"/>
      <c r="AF80" s="123"/>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7"/>
      <c r="BZ80" s="127"/>
      <c r="CA80" s="127"/>
      <c r="CB80" s="127"/>
      <c r="CC80" s="127"/>
      <c r="CD80" s="127"/>
      <c r="CE80" s="127"/>
      <c r="CF80" s="127"/>
      <c r="CG80" s="127"/>
      <c r="CH80" s="127"/>
      <c r="CI80" s="127"/>
      <c r="CJ80" s="127"/>
      <c r="CK80" s="127"/>
      <c r="CL80" s="127"/>
      <c r="CM80" s="127"/>
      <c r="CN80" s="127"/>
      <c r="CO80" s="127"/>
      <c r="CP80" s="127"/>
      <c r="CQ80" s="127"/>
      <c r="CR80" s="127"/>
      <c r="CS80" s="127"/>
      <c r="CT80" s="127"/>
      <c r="CU80" s="127"/>
      <c r="CV80" s="127"/>
      <c r="CW80" s="127"/>
      <c r="CX80" s="127"/>
      <c r="CY80" s="127"/>
      <c r="CZ80" s="127"/>
      <c r="DA80" s="127"/>
      <c r="DB80" s="127"/>
      <c r="DC80" s="127"/>
      <c r="DD80" s="127"/>
      <c r="DE80" s="127"/>
      <c r="DF80" s="127"/>
      <c r="DG80" s="127"/>
      <c r="DH80" s="127"/>
      <c r="DI80" s="127"/>
      <c r="DJ80" s="127"/>
      <c r="DK80" s="127"/>
      <c r="DL80" s="127"/>
      <c r="DM80" s="127"/>
      <c r="DN80" s="127"/>
      <c r="DO80" s="127"/>
      <c r="DP80" s="127"/>
      <c r="DQ80" s="127"/>
      <c r="DR80" s="127"/>
      <c r="DS80" s="127"/>
      <c r="DT80" s="127"/>
      <c r="DU80" s="128"/>
      <c r="DV80" s="128"/>
      <c r="DW80" s="128"/>
      <c r="DX80" s="128"/>
      <c r="DY80" s="128"/>
      <c r="DZ80" s="128"/>
      <c r="EA80" s="128"/>
      <c r="EB80" s="128"/>
      <c r="EC80" s="128"/>
      <c r="ED80" s="128"/>
      <c r="EE80" s="128"/>
      <c r="EF80" s="128"/>
      <c r="EG80" s="128"/>
      <c r="EH80" s="128"/>
      <c r="EI80" s="128"/>
      <c r="EJ80" s="128"/>
      <c r="EK80" s="128"/>
      <c r="EL80" s="128"/>
      <c r="EM80" s="128"/>
      <c r="EN80" s="128"/>
      <c r="EO80" s="128"/>
      <c r="EP80" s="128"/>
      <c r="EQ80" s="128"/>
      <c r="ER80" s="128"/>
      <c r="ES80" s="128"/>
      <c r="ET80" s="128"/>
      <c r="EU80" s="128"/>
      <c r="EV80" s="128"/>
      <c r="EW80" s="129"/>
      <c r="EX80" s="129"/>
      <c r="EY80" s="129"/>
      <c r="EZ80" s="129"/>
      <c r="FA80" s="130"/>
      <c r="FB80" s="130"/>
      <c r="FC80" s="130"/>
      <c r="FD80" s="129"/>
      <c r="FE80" s="129"/>
      <c r="FF80" s="131"/>
    </row>
    <row r="81" spans="1:162" ht="19" customHeight="1" x14ac:dyDescent="0.2">
      <c r="A81" s="3"/>
      <c r="B81" s="50"/>
      <c r="C81" s="50"/>
      <c r="D81" s="3"/>
      <c r="E81" s="75"/>
      <c r="F81" s="75"/>
      <c r="G81" s="51"/>
      <c r="H81" s="84"/>
      <c r="I81" s="84"/>
      <c r="J81" s="84"/>
      <c r="K81" s="85"/>
      <c r="M81" s="86"/>
      <c r="N81" s="122"/>
      <c r="O81" s="122"/>
      <c r="P81" s="123"/>
      <c r="Q81" s="123"/>
      <c r="R81" s="123"/>
      <c r="S81" s="123"/>
      <c r="T81" s="123"/>
      <c r="U81" s="123"/>
      <c r="V81" s="123"/>
      <c r="W81" s="123"/>
      <c r="X81" s="123"/>
      <c r="Y81" s="124"/>
      <c r="Z81" s="125"/>
      <c r="AA81" s="125"/>
      <c r="AB81" s="125"/>
      <c r="AC81" s="125"/>
      <c r="AD81" s="125"/>
      <c r="AE81" s="123"/>
      <c r="AF81" s="123"/>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7"/>
      <c r="BZ81" s="127"/>
      <c r="CA81" s="127"/>
      <c r="CB81" s="127"/>
      <c r="CC81" s="127"/>
      <c r="CD81" s="127"/>
      <c r="CE81" s="127"/>
      <c r="CF81" s="127"/>
      <c r="CG81" s="127"/>
      <c r="CH81" s="127"/>
      <c r="CI81" s="127"/>
      <c r="CJ81" s="127"/>
      <c r="CK81" s="127"/>
      <c r="CL81" s="127"/>
      <c r="CM81" s="127"/>
      <c r="CN81" s="127"/>
      <c r="CO81" s="127"/>
      <c r="CP81" s="127"/>
      <c r="CQ81" s="127"/>
      <c r="CR81" s="127"/>
      <c r="CS81" s="127"/>
      <c r="CT81" s="127"/>
      <c r="CU81" s="127"/>
      <c r="CV81" s="127"/>
      <c r="CW81" s="127"/>
      <c r="CX81" s="127"/>
      <c r="CY81" s="127"/>
      <c r="CZ81" s="127"/>
      <c r="DA81" s="127"/>
      <c r="DB81" s="127"/>
      <c r="DC81" s="127"/>
      <c r="DD81" s="127"/>
      <c r="DE81" s="127"/>
      <c r="DF81" s="127"/>
      <c r="DG81" s="127"/>
      <c r="DH81" s="127"/>
      <c r="DI81" s="127"/>
      <c r="DJ81" s="127"/>
      <c r="DK81" s="127"/>
      <c r="DL81" s="127"/>
      <c r="DM81" s="127"/>
      <c r="DN81" s="127"/>
      <c r="DO81" s="127"/>
      <c r="DP81" s="127"/>
      <c r="DQ81" s="127"/>
      <c r="DR81" s="127"/>
      <c r="DS81" s="127"/>
      <c r="DT81" s="127"/>
      <c r="DU81" s="128"/>
      <c r="DV81" s="128"/>
      <c r="DW81" s="128"/>
      <c r="DX81" s="128"/>
      <c r="DY81" s="128"/>
      <c r="DZ81" s="128"/>
      <c r="EA81" s="128"/>
      <c r="EB81" s="128"/>
      <c r="EC81" s="128"/>
      <c r="ED81" s="128"/>
      <c r="EE81" s="128"/>
      <c r="EF81" s="128"/>
      <c r="EG81" s="128"/>
      <c r="EH81" s="128"/>
      <c r="EI81" s="128"/>
      <c r="EJ81" s="128"/>
      <c r="EK81" s="128"/>
      <c r="EL81" s="128"/>
      <c r="EM81" s="128"/>
      <c r="EN81" s="128"/>
      <c r="EO81" s="128"/>
      <c r="EP81" s="128"/>
      <c r="EQ81" s="128"/>
      <c r="ER81" s="128"/>
      <c r="ES81" s="128"/>
      <c r="ET81" s="128"/>
      <c r="EU81" s="128"/>
      <c r="EV81" s="128"/>
      <c r="EW81" s="129"/>
      <c r="EX81" s="129"/>
      <c r="EY81" s="129"/>
      <c r="EZ81" s="129"/>
      <c r="FA81" s="130"/>
      <c r="FB81" s="130"/>
      <c r="FC81" s="130"/>
      <c r="FD81" s="129"/>
      <c r="FE81" s="129"/>
      <c r="FF81" s="131"/>
    </row>
    <row r="82" spans="1:162" ht="19" customHeight="1" x14ac:dyDescent="0.2">
      <c r="A82" s="3"/>
      <c r="B82" s="50"/>
      <c r="C82" s="50"/>
      <c r="D82" s="3"/>
      <c r="E82" s="75"/>
      <c r="F82" s="75"/>
      <c r="G82" s="51"/>
      <c r="H82" s="84"/>
      <c r="I82" s="84"/>
      <c r="J82" s="84"/>
      <c r="K82" s="85"/>
      <c r="M82" s="86"/>
      <c r="N82" s="122"/>
      <c r="O82" s="122"/>
      <c r="P82" s="123"/>
      <c r="Q82" s="123"/>
      <c r="R82" s="123"/>
      <c r="S82" s="123"/>
      <c r="T82" s="123"/>
      <c r="U82" s="123"/>
      <c r="V82" s="123"/>
      <c r="W82" s="123"/>
      <c r="X82" s="123"/>
      <c r="Y82" s="124"/>
      <c r="Z82" s="125"/>
      <c r="AA82" s="125"/>
      <c r="AB82" s="125"/>
      <c r="AC82" s="125"/>
      <c r="AD82" s="125"/>
      <c r="AE82" s="123"/>
      <c r="AF82" s="123"/>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7"/>
      <c r="BZ82" s="127"/>
      <c r="CA82" s="127"/>
      <c r="CB82" s="127"/>
      <c r="CC82" s="127"/>
      <c r="CD82" s="127"/>
      <c r="CE82" s="127"/>
      <c r="CF82" s="127"/>
      <c r="CG82" s="127"/>
      <c r="CH82" s="127"/>
      <c r="CI82" s="127"/>
      <c r="CJ82" s="127"/>
      <c r="CK82" s="127"/>
      <c r="CL82" s="127"/>
      <c r="CM82" s="127"/>
      <c r="CN82" s="127"/>
      <c r="CO82" s="127"/>
      <c r="CP82" s="127"/>
      <c r="CQ82" s="127"/>
      <c r="CR82" s="127"/>
      <c r="CS82" s="127"/>
      <c r="CT82" s="127"/>
      <c r="CU82" s="127"/>
      <c r="CV82" s="127"/>
      <c r="CW82" s="127"/>
      <c r="CX82" s="127"/>
      <c r="CY82" s="127"/>
      <c r="CZ82" s="127"/>
      <c r="DA82" s="127"/>
      <c r="DB82" s="127"/>
      <c r="DC82" s="127"/>
      <c r="DD82" s="127"/>
      <c r="DE82" s="127"/>
      <c r="DF82" s="127"/>
      <c r="DG82" s="127"/>
      <c r="DH82" s="127"/>
      <c r="DI82" s="127"/>
      <c r="DJ82" s="127"/>
      <c r="DK82" s="127"/>
      <c r="DL82" s="127"/>
      <c r="DM82" s="127"/>
      <c r="DN82" s="127"/>
      <c r="DO82" s="127"/>
      <c r="DP82" s="127"/>
      <c r="DQ82" s="127"/>
      <c r="DR82" s="127"/>
      <c r="DS82" s="127"/>
      <c r="DT82" s="127"/>
      <c r="DU82" s="128"/>
      <c r="DV82" s="128"/>
      <c r="DW82" s="128"/>
      <c r="DX82" s="128"/>
      <c r="DY82" s="128"/>
      <c r="DZ82" s="128"/>
      <c r="EA82" s="128"/>
      <c r="EB82" s="128"/>
      <c r="EC82" s="128"/>
      <c r="ED82" s="128"/>
      <c r="EE82" s="128"/>
      <c r="EF82" s="128"/>
      <c r="EG82" s="128"/>
      <c r="EH82" s="128"/>
      <c r="EI82" s="128"/>
      <c r="EJ82" s="128"/>
      <c r="EK82" s="128"/>
      <c r="EL82" s="128"/>
      <c r="EM82" s="128"/>
      <c r="EN82" s="128"/>
      <c r="EO82" s="128"/>
      <c r="EP82" s="128"/>
      <c r="EQ82" s="128"/>
      <c r="ER82" s="128"/>
      <c r="ES82" s="128"/>
      <c r="ET82" s="128"/>
      <c r="EU82" s="128"/>
      <c r="EV82" s="128"/>
      <c r="EW82" s="129"/>
      <c r="EX82" s="129"/>
      <c r="EY82" s="129"/>
      <c r="EZ82" s="129"/>
      <c r="FA82" s="130"/>
      <c r="FB82" s="130"/>
      <c r="FC82" s="130"/>
      <c r="FD82" s="129"/>
      <c r="FE82" s="129"/>
      <c r="FF82" s="131"/>
    </row>
    <row r="83" spans="1:162" ht="19" customHeight="1" x14ac:dyDescent="0.2">
      <c r="A83" s="3"/>
      <c r="B83" s="50"/>
      <c r="C83" s="50"/>
      <c r="D83" s="3"/>
      <c r="E83" s="75"/>
      <c r="F83" s="75"/>
      <c r="G83" s="51"/>
      <c r="H83" s="84"/>
      <c r="I83" s="84"/>
      <c r="J83" s="84"/>
      <c r="K83" s="85"/>
      <c r="M83" s="86"/>
      <c r="N83" s="122"/>
      <c r="O83" s="122"/>
      <c r="P83" s="123"/>
      <c r="Q83" s="123"/>
      <c r="R83" s="123"/>
      <c r="S83" s="123"/>
      <c r="T83" s="123"/>
      <c r="U83" s="123"/>
      <c r="V83" s="123"/>
      <c r="W83" s="123"/>
      <c r="X83" s="123"/>
      <c r="Y83" s="124"/>
      <c r="Z83" s="125"/>
      <c r="AA83" s="125"/>
      <c r="AB83" s="125"/>
      <c r="AC83" s="125"/>
      <c r="AD83" s="125"/>
      <c r="AE83" s="123"/>
      <c r="AF83" s="123"/>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7"/>
      <c r="BZ83" s="127"/>
      <c r="CA83" s="127"/>
      <c r="CB83" s="127"/>
      <c r="CC83" s="127"/>
      <c r="CD83" s="127"/>
      <c r="CE83" s="127"/>
      <c r="CF83" s="127"/>
      <c r="CG83" s="127"/>
      <c r="CH83" s="127"/>
      <c r="CI83" s="127"/>
      <c r="CJ83" s="127"/>
      <c r="CK83" s="127"/>
      <c r="CL83" s="127"/>
      <c r="CM83" s="127"/>
      <c r="CN83" s="127"/>
      <c r="CO83" s="127"/>
      <c r="CP83" s="127"/>
      <c r="CQ83" s="127"/>
      <c r="CR83" s="127"/>
      <c r="CS83" s="127"/>
      <c r="CT83" s="127"/>
      <c r="CU83" s="127"/>
      <c r="CV83" s="127"/>
      <c r="CW83" s="127"/>
      <c r="CX83" s="127"/>
      <c r="CY83" s="127"/>
      <c r="CZ83" s="127"/>
      <c r="DA83" s="127"/>
      <c r="DB83" s="127"/>
      <c r="DC83" s="127"/>
      <c r="DD83" s="127"/>
      <c r="DE83" s="127"/>
      <c r="DF83" s="127"/>
      <c r="DG83" s="127"/>
      <c r="DH83" s="127"/>
      <c r="DI83" s="127"/>
      <c r="DJ83" s="127"/>
      <c r="DK83" s="127"/>
      <c r="DL83" s="127"/>
      <c r="DM83" s="127"/>
      <c r="DN83" s="127"/>
      <c r="DO83" s="127"/>
      <c r="DP83" s="127"/>
      <c r="DQ83" s="127"/>
      <c r="DR83" s="127"/>
      <c r="DS83" s="127"/>
      <c r="DT83" s="127"/>
      <c r="DU83" s="128"/>
      <c r="DV83" s="128"/>
      <c r="DW83" s="128"/>
      <c r="DX83" s="128"/>
      <c r="DY83" s="128"/>
      <c r="DZ83" s="128"/>
      <c r="EA83" s="128"/>
      <c r="EB83" s="128"/>
      <c r="EC83" s="128"/>
      <c r="ED83" s="128"/>
      <c r="EE83" s="128"/>
      <c r="EF83" s="128"/>
      <c r="EG83" s="128"/>
      <c r="EH83" s="128"/>
      <c r="EI83" s="128"/>
      <c r="EJ83" s="128"/>
      <c r="EK83" s="128"/>
      <c r="EL83" s="128"/>
      <c r="EM83" s="128"/>
      <c r="EN83" s="128"/>
      <c r="EO83" s="128"/>
      <c r="EP83" s="128"/>
      <c r="EQ83" s="128"/>
      <c r="ER83" s="128"/>
      <c r="ES83" s="128"/>
      <c r="ET83" s="128"/>
      <c r="EU83" s="128"/>
      <c r="EV83" s="128"/>
      <c r="EW83" s="129"/>
      <c r="EX83" s="129"/>
      <c r="EY83" s="129"/>
      <c r="EZ83" s="129"/>
      <c r="FA83" s="130"/>
      <c r="FB83" s="130"/>
      <c r="FC83" s="130"/>
      <c r="FD83" s="129"/>
      <c r="FE83" s="129"/>
      <c r="FF83" s="131"/>
    </row>
    <row r="84" spans="1:162" ht="19" customHeight="1" x14ac:dyDescent="0.2">
      <c r="A84" s="3"/>
      <c r="B84" s="50"/>
      <c r="C84" s="50"/>
      <c r="D84" s="3"/>
      <c r="E84" s="75"/>
      <c r="F84" s="75"/>
      <c r="G84" s="51"/>
      <c r="H84" s="84"/>
      <c r="I84" s="84"/>
      <c r="J84" s="84"/>
      <c r="K84" s="85"/>
      <c r="M84" s="86"/>
      <c r="N84" s="122"/>
      <c r="O84" s="122"/>
      <c r="P84" s="123"/>
      <c r="Q84" s="123"/>
      <c r="R84" s="123"/>
      <c r="S84" s="123"/>
      <c r="T84" s="123"/>
      <c r="U84" s="123"/>
      <c r="V84" s="123"/>
      <c r="W84" s="123"/>
      <c r="X84" s="123"/>
      <c r="Y84" s="124"/>
      <c r="Z84" s="125"/>
      <c r="AA84" s="125"/>
      <c r="AB84" s="125"/>
      <c r="AC84" s="125"/>
      <c r="AD84" s="125"/>
      <c r="AE84" s="123"/>
      <c r="AF84" s="123"/>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7"/>
      <c r="BZ84" s="127"/>
      <c r="CA84" s="127"/>
      <c r="CB84" s="127"/>
      <c r="CC84" s="127"/>
      <c r="CD84" s="127"/>
      <c r="CE84" s="127"/>
      <c r="CF84" s="127"/>
      <c r="CG84" s="127"/>
      <c r="CH84" s="127"/>
      <c r="CI84" s="127"/>
      <c r="CJ84" s="127"/>
      <c r="CK84" s="127"/>
      <c r="CL84" s="127"/>
      <c r="CM84" s="127"/>
      <c r="CN84" s="127"/>
      <c r="CO84" s="127"/>
      <c r="CP84" s="127"/>
      <c r="CQ84" s="127"/>
      <c r="CR84" s="127"/>
      <c r="CS84" s="127"/>
      <c r="CT84" s="127"/>
      <c r="CU84" s="127"/>
      <c r="CV84" s="127"/>
      <c r="CW84" s="127"/>
      <c r="CX84" s="127"/>
      <c r="CY84" s="127"/>
      <c r="CZ84" s="127"/>
      <c r="DA84" s="127"/>
      <c r="DB84" s="127"/>
      <c r="DC84" s="127"/>
      <c r="DD84" s="127"/>
      <c r="DE84" s="127"/>
      <c r="DF84" s="127"/>
      <c r="DG84" s="127"/>
      <c r="DH84" s="127"/>
      <c r="DI84" s="127"/>
      <c r="DJ84" s="127"/>
      <c r="DK84" s="127"/>
      <c r="DL84" s="127"/>
      <c r="DM84" s="127"/>
      <c r="DN84" s="127"/>
      <c r="DO84" s="127"/>
      <c r="DP84" s="127"/>
      <c r="DQ84" s="127"/>
      <c r="DR84" s="127"/>
      <c r="DS84" s="127"/>
      <c r="DT84" s="127"/>
      <c r="DU84" s="128"/>
      <c r="DV84" s="128"/>
      <c r="DW84" s="128"/>
      <c r="DX84" s="128"/>
      <c r="DY84" s="128"/>
      <c r="DZ84" s="128"/>
      <c r="EA84" s="128"/>
      <c r="EB84" s="128"/>
      <c r="EC84" s="128"/>
      <c r="ED84" s="128"/>
      <c r="EE84" s="128"/>
      <c r="EF84" s="128"/>
      <c r="EG84" s="128"/>
      <c r="EH84" s="128"/>
      <c r="EI84" s="128"/>
      <c r="EJ84" s="128"/>
      <c r="EK84" s="128"/>
      <c r="EL84" s="128"/>
      <c r="EM84" s="128"/>
      <c r="EN84" s="128"/>
      <c r="EO84" s="128"/>
      <c r="EP84" s="128"/>
      <c r="EQ84" s="128"/>
      <c r="ER84" s="128"/>
      <c r="ES84" s="128"/>
      <c r="ET84" s="128"/>
      <c r="EU84" s="128"/>
      <c r="EV84" s="128"/>
      <c r="EW84" s="129"/>
      <c r="EX84" s="129"/>
      <c r="EY84" s="129"/>
      <c r="EZ84" s="129"/>
      <c r="FA84" s="130"/>
      <c r="FB84" s="130"/>
      <c r="FC84" s="130"/>
      <c r="FD84" s="129"/>
      <c r="FE84" s="129"/>
      <c r="FF84" s="131"/>
    </row>
    <row r="85" spans="1:162" ht="19" customHeight="1" x14ac:dyDescent="0.2">
      <c r="A85" s="3"/>
      <c r="B85" s="50"/>
      <c r="C85" s="50"/>
      <c r="D85" s="3"/>
      <c r="E85" s="75"/>
      <c r="F85" s="75"/>
      <c r="G85" s="51"/>
      <c r="H85" s="84"/>
      <c r="I85" s="84"/>
      <c r="J85" s="84"/>
      <c r="K85" s="85"/>
      <c r="M85" s="86"/>
      <c r="N85" s="122"/>
      <c r="O85" s="122"/>
      <c r="P85" s="123"/>
      <c r="Q85" s="123"/>
      <c r="R85" s="123"/>
      <c r="S85" s="123"/>
      <c r="T85" s="123"/>
      <c r="U85" s="123"/>
      <c r="V85" s="123"/>
      <c r="W85" s="123"/>
      <c r="X85" s="123"/>
      <c r="Y85" s="124"/>
      <c r="Z85" s="125"/>
      <c r="AA85" s="125"/>
      <c r="AB85" s="125"/>
      <c r="AC85" s="125"/>
      <c r="AD85" s="125"/>
      <c r="AE85" s="123"/>
      <c r="AF85" s="123"/>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7"/>
      <c r="BZ85" s="127"/>
      <c r="CA85" s="127"/>
      <c r="CB85" s="127"/>
      <c r="CC85" s="127"/>
      <c r="CD85" s="127"/>
      <c r="CE85" s="127"/>
      <c r="CF85" s="127"/>
      <c r="CG85" s="127"/>
      <c r="CH85" s="127"/>
      <c r="CI85" s="127"/>
      <c r="CJ85" s="127"/>
      <c r="CK85" s="127"/>
      <c r="CL85" s="127"/>
      <c r="CM85" s="127"/>
      <c r="CN85" s="127"/>
      <c r="CO85" s="127"/>
      <c r="CP85" s="127"/>
      <c r="CQ85" s="127"/>
      <c r="CR85" s="127"/>
      <c r="CS85" s="127"/>
      <c r="CT85" s="127"/>
      <c r="CU85" s="127"/>
      <c r="CV85" s="127"/>
      <c r="CW85" s="127"/>
      <c r="CX85" s="127"/>
      <c r="CY85" s="127"/>
      <c r="CZ85" s="127"/>
      <c r="DA85" s="127"/>
      <c r="DB85" s="127"/>
      <c r="DC85" s="127"/>
      <c r="DD85" s="127"/>
      <c r="DE85" s="127"/>
      <c r="DF85" s="127"/>
      <c r="DG85" s="127"/>
      <c r="DH85" s="127"/>
      <c r="DI85" s="127"/>
      <c r="DJ85" s="127"/>
      <c r="DK85" s="127"/>
      <c r="DL85" s="127"/>
      <c r="DM85" s="127"/>
      <c r="DN85" s="127"/>
      <c r="DO85" s="127"/>
      <c r="DP85" s="127"/>
      <c r="DQ85" s="127"/>
      <c r="DR85" s="127"/>
      <c r="DS85" s="127"/>
      <c r="DT85" s="127"/>
      <c r="DU85" s="128"/>
      <c r="DV85" s="128"/>
      <c r="DW85" s="128"/>
      <c r="DX85" s="128"/>
      <c r="DY85" s="128"/>
      <c r="DZ85" s="128"/>
      <c r="EA85" s="128"/>
      <c r="EB85" s="128"/>
      <c r="EC85" s="128"/>
      <c r="ED85" s="128"/>
      <c r="EE85" s="128"/>
      <c r="EF85" s="128"/>
      <c r="EG85" s="128"/>
      <c r="EH85" s="128"/>
      <c r="EI85" s="128"/>
      <c r="EJ85" s="128"/>
      <c r="EK85" s="128"/>
      <c r="EL85" s="128"/>
      <c r="EM85" s="128"/>
      <c r="EN85" s="128"/>
      <c r="EO85" s="128"/>
      <c r="EP85" s="128"/>
      <c r="EQ85" s="128"/>
      <c r="ER85" s="128"/>
      <c r="ES85" s="128"/>
      <c r="ET85" s="128"/>
      <c r="EU85" s="128"/>
      <c r="EV85" s="128"/>
      <c r="EW85" s="129"/>
      <c r="EX85" s="129"/>
      <c r="EY85" s="129"/>
      <c r="EZ85" s="129"/>
      <c r="FA85" s="130"/>
      <c r="FB85" s="130"/>
      <c r="FC85" s="130"/>
      <c r="FD85" s="129"/>
      <c r="FE85" s="129"/>
      <c r="FF85" s="131"/>
    </row>
    <row r="86" spans="1:162" ht="19" customHeight="1" x14ac:dyDescent="0.2">
      <c r="A86" s="3"/>
      <c r="B86" s="50"/>
      <c r="C86" s="50"/>
      <c r="D86" s="3"/>
      <c r="E86" s="75"/>
      <c r="F86" s="75"/>
      <c r="G86" s="51"/>
      <c r="H86" s="84"/>
      <c r="I86" s="84"/>
      <c r="J86" s="84"/>
      <c r="K86" s="85"/>
      <c r="M86" s="86"/>
      <c r="N86" s="122"/>
      <c r="O86" s="122"/>
      <c r="P86" s="123"/>
      <c r="Q86" s="123"/>
      <c r="R86" s="123"/>
      <c r="S86" s="123"/>
      <c r="T86" s="123"/>
      <c r="U86" s="123"/>
      <c r="V86" s="123"/>
      <c r="W86" s="123"/>
      <c r="X86" s="123"/>
      <c r="Y86" s="124"/>
      <c r="Z86" s="125"/>
      <c r="AA86" s="125"/>
      <c r="AB86" s="125"/>
      <c r="AC86" s="125"/>
      <c r="AD86" s="125"/>
      <c r="AE86" s="123"/>
      <c r="AF86" s="123"/>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26"/>
      <c r="BW86" s="126"/>
      <c r="BX86" s="126"/>
      <c r="BY86" s="127"/>
      <c r="BZ86" s="127"/>
      <c r="CA86" s="127"/>
      <c r="CB86" s="127"/>
      <c r="CC86" s="127"/>
      <c r="CD86" s="127"/>
      <c r="CE86" s="127"/>
      <c r="CF86" s="127"/>
      <c r="CG86" s="127"/>
      <c r="CH86" s="127"/>
      <c r="CI86" s="127"/>
      <c r="CJ86" s="127"/>
      <c r="CK86" s="127"/>
      <c r="CL86" s="127"/>
      <c r="CM86" s="127"/>
      <c r="CN86" s="127"/>
      <c r="CO86" s="127"/>
      <c r="CP86" s="127"/>
      <c r="CQ86" s="127"/>
      <c r="CR86" s="127"/>
      <c r="CS86" s="127"/>
      <c r="CT86" s="127"/>
      <c r="CU86" s="127"/>
      <c r="CV86" s="127"/>
      <c r="CW86" s="127"/>
      <c r="CX86" s="127"/>
      <c r="CY86" s="127"/>
      <c r="CZ86" s="127"/>
      <c r="DA86" s="127"/>
      <c r="DB86" s="127"/>
      <c r="DC86" s="127"/>
      <c r="DD86" s="127"/>
      <c r="DE86" s="127"/>
      <c r="DF86" s="127"/>
      <c r="DG86" s="127"/>
      <c r="DH86" s="127"/>
      <c r="DI86" s="127"/>
      <c r="DJ86" s="127"/>
      <c r="DK86" s="127"/>
      <c r="DL86" s="127"/>
      <c r="DM86" s="127"/>
      <c r="DN86" s="127"/>
      <c r="DO86" s="127"/>
      <c r="DP86" s="127"/>
      <c r="DQ86" s="127"/>
      <c r="DR86" s="127"/>
      <c r="DS86" s="127"/>
      <c r="DT86" s="127"/>
      <c r="DU86" s="128"/>
      <c r="DV86" s="128"/>
      <c r="DW86" s="128"/>
      <c r="DX86" s="128"/>
      <c r="DY86" s="128"/>
      <c r="DZ86" s="128"/>
      <c r="EA86" s="128"/>
      <c r="EB86" s="128"/>
      <c r="EC86" s="128"/>
      <c r="ED86" s="128"/>
      <c r="EE86" s="128"/>
      <c r="EF86" s="128"/>
      <c r="EG86" s="128"/>
      <c r="EH86" s="128"/>
      <c r="EI86" s="128"/>
      <c r="EJ86" s="128"/>
      <c r="EK86" s="128"/>
      <c r="EL86" s="128"/>
      <c r="EM86" s="128"/>
      <c r="EN86" s="128"/>
      <c r="EO86" s="128"/>
      <c r="EP86" s="128"/>
      <c r="EQ86" s="128"/>
      <c r="ER86" s="128"/>
      <c r="ES86" s="128"/>
      <c r="ET86" s="128"/>
      <c r="EU86" s="128"/>
      <c r="EV86" s="128"/>
      <c r="EW86" s="129"/>
      <c r="EX86" s="129"/>
      <c r="EY86" s="129"/>
      <c r="EZ86" s="129"/>
      <c r="FA86" s="130"/>
      <c r="FB86" s="130"/>
      <c r="FC86" s="130"/>
      <c r="FD86" s="129"/>
      <c r="FE86" s="129"/>
      <c r="FF86" s="131"/>
    </row>
    <row r="87" spans="1:162" ht="19" customHeight="1" x14ac:dyDescent="0.2">
      <c r="A87" s="3"/>
      <c r="B87" s="50"/>
      <c r="C87" s="50"/>
      <c r="D87" s="3"/>
      <c r="E87" s="75"/>
      <c r="F87" s="75"/>
      <c r="G87" s="51"/>
      <c r="H87" s="84"/>
      <c r="I87" s="84"/>
      <c r="J87" s="84"/>
      <c r="K87" s="85"/>
      <c r="M87" s="86"/>
      <c r="N87" s="122"/>
      <c r="O87" s="122"/>
      <c r="P87" s="123"/>
      <c r="Q87" s="123"/>
      <c r="R87" s="123"/>
      <c r="S87" s="123"/>
      <c r="T87" s="123"/>
      <c r="U87" s="123"/>
      <c r="V87" s="123"/>
      <c r="W87" s="123"/>
      <c r="X87" s="123"/>
      <c r="Y87" s="124"/>
      <c r="Z87" s="125"/>
      <c r="AA87" s="125"/>
      <c r="AB87" s="125"/>
      <c r="AC87" s="125"/>
      <c r="AD87" s="125"/>
      <c r="AE87" s="123"/>
      <c r="AF87" s="123"/>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26"/>
      <c r="BW87" s="126"/>
      <c r="BX87" s="126"/>
      <c r="BY87" s="127"/>
      <c r="BZ87" s="127"/>
      <c r="CA87" s="127"/>
      <c r="CB87" s="127"/>
      <c r="CC87" s="127"/>
      <c r="CD87" s="127"/>
      <c r="CE87" s="127"/>
      <c r="CF87" s="127"/>
      <c r="CG87" s="127"/>
      <c r="CH87" s="127"/>
      <c r="CI87" s="127"/>
      <c r="CJ87" s="127"/>
      <c r="CK87" s="127"/>
      <c r="CL87" s="127"/>
      <c r="CM87" s="127"/>
      <c r="CN87" s="127"/>
      <c r="CO87" s="127"/>
      <c r="CP87" s="127"/>
      <c r="CQ87" s="127"/>
      <c r="CR87" s="127"/>
      <c r="CS87" s="127"/>
      <c r="CT87" s="127"/>
      <c r="CU87" s="127"/>
      <c r="CV87" s="127"/>
      <c r="CW87" s="127"/>
      <c r="CX87" s="127"/>
      <c r="CY87" s="127"/>
      <c r="CZ87" s="127"/>
      <c r="DA87" s="127"/>
      <c r="DB87" s="127"/>
      <c r="DC87" s="127"/>
      <c r="DD87" s="127"/>
      <c r="DE87" s="127"/>
      <c r="DF87" s="127"/>
      <c r="DG87" s="127"/>
      <c r="DH87" s="127"/>
      <c r="DI87" s="127"/>
      <c r="DJ87" s="127"/>
      <c r="DK87" s="127"/>
      <c r="DL87" s="127"/>
      <c r="DM87" s="127"/>
      <c r="DN87" s="127"/>
      <c r="DO87" s="127"/>
      <c r="DP87" s="127"/>
      <c r="DQ87" s="127"/>
      <c r="DR87" s="127"/>
      <c r="DS87" s="127"/>
      <c r="DT87" s="127"/>
      <c r="DU87" s="128"/>
      <c r="DV87" s="128"/>
      <c r="DW87" s="128"/>
      <c r="DX87" s="128"/>
      <c r="DY87" s="128"/>
      <c r="DZ87" s="128"/>
      <c r="EA87" s="128"/>
      <c r="EB87" s="128"/>
      <c r="EC87" s="128"/>
      <c r="ED87" s="128"/>
      <c r="EE87" s="128"/>
      <c r="EF87" s="128"/>
      <c r="EG87" s="128"/>
      <c r="EH87" s="128"/>
      <c r="EI87" s="128"/>
      <c r="EJ87" s="128"/>
      <c r="EK87" s="128"/>
      <c r="EL87" s="128"/>
      <c r="EM87" s="128"/>
      <c r="EN87" s="128"/>
      <c r="EO87" s="128"/>
      <c r="EP87" s="128"/>
      <c r="EQ87" s="128"/>
      <c r="ER87" s="128"/>
      <c r="ES87" s="128"/>
      <c r="ET87" s="128"/>
      <c r="EU87" s="128"/>
      <c r="EV87" s="128"/>
      <c r="EW87" s="129"/>
      <c r="EX87" s="129"/>
      <c r="EY87" s="129"/>
      <c r="EZ87" s="129"/>
      <c r="FA87" s="130"/>
      <c r="FB87" s="130"/>
      <c r="FC87" s="130"/>
      <c r="FD87" s="129"/>
      <c r="FE87" s="129"/>
      <c r="FF87" s="131"/>
    </row>
    <row r="88" spans="1:162" ht="19" customHeight="1" x14ac:dyDescent="0.2">
      <c r="A88" s="3"/>
      <c r="B88" s="50"/>
      <c r="C88" s="50"/>
      <c r="D88" s="3"/>
      <c r="E88" s="75"/>
      <c r="F88" s="75"/>
      <c r="G88" s="51"/>
      <c r="H88" s="84"/>
      <c r="I88" s="84"/>
      <c r="J88" s="84"/>
      <c r="K88" s="85"/>
      <c r="M88" s="86"/>
      <c r="N88" s="122"/>
      <c r="O88" s="122"/>
      <c r="P88" s="123"/>
      <c r="Q88" s="123"/>
      <c r="R88" s="123"/>
      <c r="S88" s="123"/>
      <c r="T88" s="123"/>
      <c r="U88" s="123"/>
      <c r="V88" s="123"/>
      <c r="W88" s="123"/>
      <c r="X88" s="123"/>
      <c r="Y88" s="124"/>
      <c r="Z88" s="125"/>
      <c r="AA88" s="125"/>
      <c r="AB88" s="125"/>
      <c r="AC88" s="125"/>
      <c r="AD88" s="125"/>
      <c r="AE88" s="123"/>
      <c r="AF88" s="123"/>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7"/>
      <c r="BZ88" s="127"/>
      <c r="CA88" s="127"/>
      <c r="CB88" s="127"/>
      <c r="CC88" s="127"/>
      <c r="CD88" s="127"/>
      <c r="CE88" s="127"/>
      <c r="CF88" s="127"/>
      <c r="CG88" s="127"/>
      <c r="CH88" s="127"/>
      <c r="CI88" s="127"/>
      <c r="CJ88" s="127"/>
      <c r="CK88" s="127"/>
      <c r="CL88" s="127"/>
      <c r="CM88" s="127"/>
      <c r="CN88" s="127"/>
      <c r="CO88" s="127"/>
      <c r="CP88" s="127"/>
      <c r="CQ88" s="127"/>
      <c r="CR88" s="127"/>
      <c r="CS88" s="127"/>
      <c r="CT88" s="127"/>
      <c r="CU88" s="127"/>
      <c r="CV88" s="127"/>
      <c r="CW88" s="127"/>
      <c r="CX88" s="127"/>
      <c r="CY88" s="127"/>
      <c r="CZ88" s="127"/>
      <c r="DA88" s="127"/>
      <c r="DB88" s="127"/>
      <c r="DC88" s="127"/>
      <c r="DD88" s="127"/>
      <c r="DE88" s="127"/>
      <c r="DF88" s="127"/>
      <c r="DG88" s="127"/>
      <c r="DH88" s="127"/>
      <c r="DI88" s="127"/>
      <c r="DJ88" s="127"/>
      <c r="DK88" s="127"/>
      <c r="DL88" s="127"/>
      <c r="DM88" s="127"/>
      <c r="DN88" s="127"/>
      <c r="DO88" s="127"/>
      <c r="DP88" s="127"/>
      <c r="DQ88" s="127"/>
      <c r="DR88" s="127"/>
      <c r="DS88" s="127"/>
      <c r="DT88" s="127"/>
      <c r="DU88" s="128"/>
      <c r="DV88" s="128"/>
      <c r="DW88" s="128"/>
      <c r="DX88" s="128"/>
      <c r="DY88" s="128"/>
      <c r="DZ88" s="128"/>
      <c r="EA88" s="128"/>
      <c r="EB88" s="128"/>
      <c r="EC88" s="128"/>
      <c r="ED88" s="128"/>
      <c r="EE88" s="128"/>
      <c r="EF88" s="128"/>
      <c r="EG88" s="128"/>
      <c r="EH88" s="128"/>
      <c r="EI88" s="128"/>
      <c r="EJ88" s="128"/>
      <c r="EK88" s="128"/>
      <c r="EL88" s="128"/>
      <c r="EM88" s="128"/>
      <c r="EN88" s="128"/>
      <c r="EO88" s="128"/>
      <c r="EP88" s="128"/>
      <c r="EQ88" s="128"/>
      <c r="ER88" s="128"/>
      <c r="ES88" s="128"/>
      <c r="ET88" s="128"/>
      <c r="EU88" s="128"/>
      <c r="EV88" s="128"/>
      <c r="EW88" s="129"/>
      <c r="EX88" s="129"/>
      <c r="EY88" s="129"/>
      <c r="EZ88" s="129"/>
      <c r="FA88" s="130"/>
      <c r="FB88" s="130"/>
      <c r="FC88" s="130"/>
      <c r="FD88" s="129"/>
      <c r="FE88" s="129"/>
      <c r="FF88" s="131"/>
    </row>
    <row r="89" spans="1:162" ht="19" customHeight="1" x14ac:dyDescent="0.2">
      <c r="A89" s="3"/>
      <c r="B89" s="50"/>
      <c r="C89" s="50"/>
      <c r="D89" s="3"/>
      <c r="E89" s="75"/>
      <c r="F89" s="75"/>
      <c r="G89" s="51"/>
      <c r="H89" s="84"/>
      <c r="I89" s="84"/>
      <c r="J89" s="84"/>
      <c r="K89" s="85"/>
      <c r="M89" s="86"/>
      <c r="N89" s="122"/>
      <c r="O89" s="122"/>
      <c r="P89" s="123"/>
      <c r="Q89" s="123"/>
      <c r="R89" s="123"/>
      <c r="S89" s="123"/>
      <c r="T89" s="123"/>
      <c r="U89" s="123"/>
      <c r="V89" s="123"/>
      <c r="W89" s="123"/>
      <c r="X89" s="123"/>
      <c r="Y89" s="124"/>
      <c r="Z89" s="125"/>
      <c r="AA89" s="125"/>
      <c r="AB89" s="125"/>
      <c r="AC89" s="125"/>
      <c r="AD89" s="125"/>
      <c r="AE89" s="123"/>
      <c r="AF89" s="123"/>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26"/>
      <c r="BW89" s="126"/>
      <c r="BX89" s="126"/>
      <c r="BY89" s="127"/>
      <c r="BZ89" s="127"/>
      <c r="CA89" s="127"/>
      <c r="CB89" s="127"/>
      <c r="CC89" s="127"/>
      <c r="CD89" s="127"/>
      <c r="CE89" s="127"/>
      <c r="CF89" s="127"/>
      <c r="CG89" s="127"/>
      <c r="CH89" s="127"/>
      <c r="CI89" s="127"/>
      <c r="CJ89" s="127"/>
      <c r="CK89" s="127"/>
      <c r="CL89" s="127"/>
      <c r="CM89" s="127"/>
      <c r="CN89" s="127"/>
      <c r="CO89" s="127"/>
      <c r="CP89" s="127"/>
      <c r="CQ89" s="127"/>
      <c r="CR89" s="127"/>
      <c r="CS89" s="127"/>
      <c r="CT89" s="127"/>
      <c r="CU89" s="127"/>
      <c r="CV89" s="127"/>
      <c r="CW89" s="127"/>
      <c r="CX89" s="127"/>
      <c r="CY89" s="127"/>
      <c r="CZ89" s="127"/>
      <c r="DA89" s="127"/>
      <c r="DB89" s="127"/>
      <c r="DC89" s="127"/>
      <c r="DD89" s="127"/>
      <c r="DE89" s="127"/>
      <c r="DF89" s="127"/>
      <c r="DG89" s="127"/>
      <c r="DH89" s="127"/>
      <c r="DI89" s="127"/>
      <c r="DJ89" s="127"/>
      <c r="DK89" s="127"/>
      <c r="DL89" s="127"/>
      <c r="DM89" s="127"/>
      <c r="DN89" s="127"/>
      <c r="DO89" s="127"/>
      <c r="DP89" s="127"/>
      <c r="DQ89" s="127"/>
      <c r="DR89" s="127"/>
      <c r="DS89" s="127"/>
      <c r="DT89" s="127"/>
      <c r="DU89" s="128"/>
      <c r="DV89" s="128"/>
      <c r="DW89" s="128"/>
      <c r="DX89" s="128"/>
      <c r="DY89" s="128"/>
      <c r="DZ89" s="128"/>
      <c r="EA89" s="128"/>
      <c r="EB89" s="128"/>
      <c r="EC89" s="128"/>
      <c r="ED89" s="128"/>
      <c r="EE89" s="128"/>
      <c r="EF89" s="128"/>
      <c r="EG89" s="128"/>
      <c r="EH89" s="128"/>
      <c r="EI89" s="128"/>
      <c r="EJ89" s="128"/>
      <c r="EK89" s="128"/>
      <c r="EL89" s="128"/>
      <c r="EM89" s="128"/>
      <c r="EN89" s="128"/>
      <c r="EO89" s="128"/>
      <c r="EP89" s="128"/>
      <c r="EQ89" s="128"/>
      <c r="ER89" s="128"/>
      <c r="ES89" s="128"/>
      <c r="ET89" s="128"/>
      <c r="EU89" s="128"/>
      <c r="EV89" s="128"/>
      <c r="EW89" s="129"/>
      <c r="EX89" s="129"/>
      <c r="EY89" s="129"/>
      <c r="EZ89" s="129"/>
      <c r="FA89" s="130"/>
      <c r="FB89" s="130"/>
      <c r="FC89" s="130"/>
      <c r="FD89" s="129"/>
      <c r="FE89" s="129"/>
      <c r="FF89" s="131"/>
    </row>
    <row r="90" spans="1:162" ht="19" customHeight="1" x14ac:dyDescent="0.2">
      <c r="A90" s="3"/>
      <c r="B90" s="50"/>
      <c r="C90" s="50"/>
      <c r="D90" s="3"/>
      <c r="E90" s="75"/>
      <c r="F90" s="75"/>
      <c r="G90" s="51"/>
      <c r="H90" s="84"/>
      <c r="I90" s="84"/>
      <c r="J90" s="84"/>
      <c r="K90" s="85"/>
      <c r="M90" s="86"/>
      <c r="N90" s="122"/>
      <c r="O90" s="122"/>
      <c r="P90" s="123"/>
      <c r="Q90" s="123"/>
      <c r="R90" s="123"/>
      <c r="S90" s="123"/>
      <c r="T90" s="123"/>
      <c r="U90" s="123"/>
      <c r="V90" s="123"/>
      <c r="W90" s="123"/>
      <c r="X90" s="123"/>
      <c r="Y90" s="124"/>
      <c r="Z90" s="125"/>
      <c r="AA90" s="125"/>
      <c r="AB90" s="125"/>
      <c r="AC90" s="125"/>
      <c r="AD90" s="125"/>
      <c r="AE90" s="123"/>
      <c r="AF90" s="123"/>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c r="BP90" s="126"/>
      <c r="BQ90" s="126"/>
      <c r="BR90" s="126"/>
      <c r="BS90" s="126"/>
      <c r="BT90" s="126"/>
      <c r="BU90" s="126"/>
      <c r="BV90" s="126"/>
      <c r="BW90" s="126"/>
      <c r="BX90" s="126"/>
      <c r="BY90" s="127"/>
      <c r="BZ90" s="127"/>
      <c r="CA90" s="127"/>
      <c r="CB90" s="127"/>
      <c r="CC90" s="127"/>
      <c r="CD90" s="127"/>
      <c r="CE90" s="127"/>
      <c r="CF90" s="127"/>
      <c r="CG90" s="127"/>
      <c r="CH90" s="127"/>
      <c r="CI90" s="127"/>
      <c r="CJ90" s="127"/>
      <c r="CK90" s="127"/>
      <c r="CL90" s="127"/>
      <c r="CM90" s="127"/>
      <c r="CN90" s="127"/>
      <c r="CO90" s="127"/>
      <c r="CP90" s="127"/>
      <c r="CQ90" s="127"/>
      <c r="CR90" s="127"/>
      <c r="CS90" s="127"/>
      <c r="CT90" s="127"/>
      <c r="CU90" s="127"/>
      <c r="CV90" s="127"/>
      <c r="CW90" s="127"/>
      <c r="CX90" s="127"/>
      <c r="CY90" s="127"/>
      <c r="CZ90" s="127"/>
      <c r="DA90" s="127"/>
      <c r="DB90" s="127"/>
      <c r="DC90" s="127"/>
      <c r="DD90" s="127"/>
      <c r="DE90" s="127"/>
      <c r="DF90" s="127"/>
      <c r="DG90" s="127"/>
      <c r="DH90" s="127"/>
      <c r="DI90" s="127"/>
      <c r="DJ90" s="127"/>
      <c r="DK90" s="127"/>
      <c r="DL90" s="127"/>
      <c r="DM90" s="127"/>
      <c r="DN90" s="127"/>
      <c r="DO90" s="127"/>
      <c r="DP90" s="127"/>
      <c r="DQ90" s="127"/>
      <c r="DR90" s="127"/>
      <c r="DS90" s="127"/>
      <c r="DT90" s="127"/>
      <c r="DU90" s="128"/>
      <c r="DV90" s="128"/>
      <c r="DW90" s="128"/>
      <c r="DX90" s="128"/>
      <c r="DY90" s="128"/>
      <c r="DZ90" s="128"/>
      <c r="EA90" s="128"/>
      <c r="EB90" s="128"/>
      <c r="EC90" s="128"/>
      <c r="ED90" s="128"/>
      <c r="EE90" s="128"/>
      <c r="EF90" s="128"/>
      <c r="EG90" s="128"/>
      <c r="EH90" s="128"/>
      <c r="EI90" s="128"/>
      <c r="EJ90" s="128"/>
      <c r="EK90" s="128"/>
      <c r="EL90" s="128"/>
      <c r="EM90" s="128"/>
      <c r="EN90" s="128"/>
      <c r="EO90" s="128"/>
      <c r="EP90" s="128"/>
      <c r="EQ90" s="128"/>
      <c r="ER90" s="128"/>
      <c r="ES90" s="128"/>
      <c r="ET90" s="128"/>
      <c r="EU90" s="128"/>
      <c r="EV90" s="128"/>
      <c r="EW90" s="129"/>
      <c r="EX90" s="129"/>
      <c r="EY90" s="129"/>
      <c r="EZ90" s="129"/>
      <c r="FA90" s="130"/>
      <c r="FB90" s="130"/>
      <c r="FC90" s="130"/>
      <c r="FD90" s="129"/>
      <c r="FE90" s="129"/>
      <c r="FF90" s="131"/>
    </row>
    <row r="91" spans="1:162" ht="19" customHeight="1" x14ac:dyDescent="0.2">
      <c r="A91" s="3"/>
      <c r="B91" s="50"/>
      <c r="C91" s="50"/>
      <c r="D91" s="3"/>
      <c r="E91" s="75"/>
      <c r="F91" s="75"/>
      <c r="G91" s="51"/>
      <c r="H91" s="84"/>
      <c r="I91" s="84"/>
      <c r="J91" s="84"/>
      <c r="K91" s="85"/>
      <c r="M91" s="86"/>
      <c r="N91" s="122"/>
      <c r="O91" s="122"/>
      <c r="P91" s="123"/>
      <c r="Q91" s="123"/>
      <c r="R91" s="123"/>
      <c r="S91" s="123"/>
      <c r="T91" s="123"/>
      <c r="U91" s="123"/>
      <c r="V91" s="123"/>
      <c r="W91" s="123"/>
      <c r="X91" s="123"/>
      <c r="Y91" s="124"/>
      <c r="Z91" s="125"/>
      <c r="AA91" s="125"/>
      <c r="AB91" s="125"/>
      <c r="AC91" s="125"/>
      <c r="AD91" s="125"/>
      <c r="AE91" s="123"/>
      <c r="AF91" s="123"/>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c r="BP91" s="126"/>
      <c r="BQ91" s="126"/>
      <c r="BR91" s="126"/>
      <c r="BS91" s="126"/>
      <c r="BT91" s="126"/>
      <c r="BU91" s="126"/>
      <c r="BV91" s="126"/>
      <c r="BW91" s="126"/>
      <c r="BX91" s="126"/>
      <c r="BY91" s="127"/>
      <c r="BZ91" s="127"/>
      <c r="CA91" s="127"/>
      <c r="CB91" s="127"/>
      <c r="CC91" s="127"/>
      <c r="CD91" s="127"/>
      <c r="CE91" s="127"/>
      <c r="CF91" s="127"/>
      <c r="CG91" s="127"/>
      <c r="CH91" s="127"/>
      <c r="CI91" s="127"/>
      <c r="CJ91" s="127"/>
      <c r="CK91" s="127"/>
      <c r="CL91" s="127"/>
      <c r="CM91" s="127"/>
      <c r="CN91" s="127"/>
      <c r="CO91" s="127"/>
      <c r="CP91" s="127"/>
      <c r="CQ91" s="127"/>
      <c r="CR91" s="127"/>
      <c r="CS91" s="127"/>
      <c r="CT91" s="127"/>
      <c r="CU91" s="127"/>
      <c r="CV91" s="127"/>
      <c r="CW91" s="127"/>
      <c r="CX91" s="127"/>
      <c r="CY91" s="127"/>
      <c r="CZ91" s="127"/>
      <c r="DA91" s="127"/>
      <c r="DB91" s="127"/>
      <c r="DC91" s="127"/>
      <c r="DD91" s="127"/>
      <c r="DE91" s="127"/>
      <c r="DF91" s="127"/>
      <c r="DG91" s="127"/>
      <c r="DH91" s="127"/>
      <c r="DI91" s="127"/>
      <c r="DJ91" s="127"/>
      <c r="DK91" s="127"/>
      <c r="DL91" s="127"/>
      <c r="DM91" s="127"/>
      <c r="DN91" s="127"/>
      <c r="DO91" s="127"/>
      <c r="DP91" s="127"/>
      <c r="DQ91" s="127"/>
      <c r="DR91" s="127"/>
      <c r="DS91" s="127"/>
      <c r="DT91" s="127"/>
      <c r="DU91" s="128"/>
      <c r="DV91" s="128"/>
      <c r="DW91" s="128"/>
      <c r="DX91" s="128"/>
      <c r="DY91" s="128"/>
      <c r="DZ91" s="128"/>
      <c r="EA91" s="128"/>
      <c r="EB91" s="128"/>
      <c r="EC91" s="128"/>
      <c r="ED91" s="128"/>
      <c r="EE91" s="128"/>
      <c r="EF91" s="128"/>
      <c r="EG91" s="128"/>
      <c r="EH91" s="128"/>
      <c r="EI91" s="128"/>
      <c r="EJ91" s="128"/>
      <c r="EK91" s="128"/>
      <c r="EL91" s="128"/>
      <c r="EM91" s="128"/>
      <c r="EN91" s="128"/>
      <c r="EO91" s="128"/>
      <c r="EP91" s="128"/>
      <c r="EQ91" s="128"/>
      <c r="ER91" s="128"/>
      <c r="ES91" s="128"/>
      <c r="ET91" s="128"/>
      <c r="EU91" s="128"/>
      <c r="EV91" s="128"/>
      <c r="EW91" s="129"/>
      <c r="EX91" s="129"/>
      <c r="EY91" s="129"/>
      <c r="EZ91" s="129"/>
      <c r="FA91" s="130"/>
      <c r="FB91" s="130"/>
      <c r="FC91" s="130"/>
      <c r="FD91" s="129"/>
      <c r="FE91" s="129"/>
      <c r="FF91" s="131"/>
    </row>
    <row r="92" spans="1:162" ht="19" customHeight="1" x14ac:dyDescent="0.2">
      <c r="A92" s="3"/>
      <c r="B92" s="50"/>
      <c r="C92" s="50"/>
      <c r="D92" s="3"/>
      <c r="E92" s="75"/>
      <c r="F92" s="75"/>
      <c r="G92" s="51"/>
      <c r="H92" s="84"/>
      <c r="I92" s="84"/>
      <c r="J92" s="84"/>
      <c r="K92" s="85"/>
      <c r="M92" s="86"/>
      <c r="N92" s="122"/>
      <c r="O92" s="122"/>
      <c r="P92" s="123"/>
      <c r="Q92" s="123"/>
      <c r="R92" s="123"/>
      <c r="S92" s="123"/>
      <c r="T92" s="123"/>
      <c r="U92" s="123"/>
      <c r="V92" s="123"/>
      <c r="W92" s="123"/>
      <c r="X92" s="123"/>
      <c r="Y92" s="124"/>
      <c r="Z92" s="125"/>
      <c r="AA92" s="125"/>
      <c r="AB92" s="125"/>
      <c r="AC92" s="125"/>
      <c r="AD92" s="125"/>
      <c r="AE92" s="123"/>
      <c r="AF92" s="123"/>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c r="BP92" s="126"/>
      <c r="BQ92" s="126"/>
      <c r="BR92" s="126"/>
      <c r="BS92" s="126"/>
      <c r="BT92" s="126"/>
      <c r="BU92" s="126"/>
      <c r="BV92" s="126"/>
      <c r="BW92" s="126"/>
      <c r="BX92" s="126"/>
      <c r="BY92" s="127"/>
      <c r="BZ92" s="127"/>
      <c r="CA92" s="127"/>
      <c r="CB92" s="127"/>
      <c r="CC92" s="127"/>
      <c r="CD92" s="127"/>
      <c r="CE92" s="127"/>
      <c r="CF92" s="127"/>
      <c r="CG92" s="127"/>
      <c r="CH92" s="127"/>
      <c r="CI92" s="127"/>
      <c r="CJ92" s="127"/>
      <c r="CK92" s="127"/>
      <c r="CL92" s="127"/>
      <c r="CM92" s="127"/>
      <c r="CN92" s="127"/>
      <c r="CO92" s="127"/>
      <c r="CP92" s="127"/>
      <c r="CQ92" s="127"/>
      <c r="CR92" s="127"/>
      <c r="CS92" s="127"/>
      <c r="CT92" s="127"/>
      <c r="CU92" s="127"/>
      <c r="CV92" s="127"/>
      <c r="CW92" s="127"/>
      <c r="CX92" s="127"/>
      <c r="CY92" s="127"/>
      <c r="CZ92" s="127"/>
      <c r="DA92" s="127"/>
      <c r="DB92" s="127"/>
      <c r="DC92" s="127"/>
      <c r="DD92" s="127"/>
      <c r="DE92" s="127"/>
      <c r="DF92" s="127"/>
      <c r="DG92" s="127"/>
      <c r="DH92" s="127"/>
      <c r="DI92" s="127"/>
      <c r="DJ92" s="127"/>
      <c r="DK92" s="127"/>
      <c r="DL92" s="127"/>
      <c r="DM92" s="127"/>
      <c r="DN92" s="127"/>
      <c r="DO92" s="127"/>
      <c r="DP92" s="127"/>
      <c r="DQ92" s="127"/>
      <c r="DR92" s="127"/>
      <c r="DS92" s="127"/>
      <c r="DT92" s="127"/>
      <c r="DU92" s="128"/>
      <c r="DV92" s="128"/>
      <c r="DW92" s="128"/>
      <c r="DX92" s="128"/>
      <c r="DY92" s="128"/>
      <c r="DZ92" s="128"/>
      <c r="EA92" s="128"/>
      <c r="EB92" s="128"/>
      <c r="EC92" s="128"/>
      <c r="ED92" s="128"/>
      <c r="EE92" s="128"/>
      <c r="EF92" s="128"/>
      <c r="EG92" s="128"/>
      <c r="EH92" s="128"/>
      <c r="EI92" s="128"/>
      <c r="EJ92" s="128"/>
      <c r="EK92" s="128"/>
      <c r="EL92" s="128"/>
      <c r="EM92" s="128"/>
      <c r="EN92" s="128"/>
      <c r="EO92" s="128"/>
      <c r="EP92" s="128"/>
      <c r="EQ92" s="128"/>
      <c r="ER92" s="128"/>
      <c r="ES92" s="128"/>
      <c r="ET92" s="128"/>
      <c r="EU92" s="128"/>
      <c r="EV92" s="128"/>
      <c r="EW92" s="129"/>
      <c r="EX92" s="129"/>
      <c r="EY92" s="129"/>
      <c r="EZ92" s="129"/>
      <c r="FA92" s="130"/>
      <c r="FB92" s="130"/>
      <c r="FC92" s="130"/>
      <c r="FD92" s="129"/>
      <c r="FE92" s="129"/>
      <c r="FF92" s="131"/>
    </row>
    <row r="93" spans="1:162" ht="19" customHeight="1" x14ac:dyDescent="0.2">
      <c r="A93" s="3"/>
      <c r="B93" s="50"/>
      <c r="C93" s="50"/>
      <c r="D93" s="3"/>
      <c r="E93" s="75"/>
      <c r="F93" s="75"/>
      <c r="G93" s="51"/>
      <c r="H93" s="84"/>
      <c r="I93" s="84"/>
      <c r="J93" s="84"/>
      <c r="K93" s="85"/>
      <c r="M93" s="86"/>
      <c r="N93" s="122"/>
      <c r="O93" s="122"/>
      <c r="P93" s="123"/>
      <c r="Q93" s="123"/>
      <c r="R93" s="123"/>
      <c r="S93" s="123"/>
      <c r="T93" s="123"/>
      <c r="U93" s="123"/>
      <c r="V93" s="123"/>
      <c r="W93" s="123"/>
      <c r="X93" s="123"/>
      <c r="Y93" s="124"/>
      <c r="Z93" s="125"/>
      <c r="AA93" s="125"/>
      <c r="AB93" s="125"/>
      <c r="AC93" s="125"/>
      <c r="AD93" s="125"/>
      <c r="AE93" s="123"/>
      <c r="AF93" s="123"/>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c r="BL93" s="126"/>
      <c r="BM93" s="126"/>
      <c r="BN93" s="126"/>
      <c r="BO93" s="126"/>
      <c r="BP93" s="126"/>
      <c r="BQ93" s="126"/>
      <c r="BR93" s="126"/>
      <c r="BS93" s="126"/>
      <c r="BT93" s="126"/>
      <c r="BU93" s="126"/>
      <c r="BV93" s="126"/>
      <c r="BW93" s="126"/>
      <c r="BX93" s="126"/>
      <c r="BY93" s="127"/>
      <c r="BZ93" s="127"/>
      <c r="CA93" s="127"/>
      <c r="CB93" s="127"/>
      <c r="CC93" s="127"/>
      <c r="CD93" s="127"/>
      <c r="CE93" s="127"/>
      <c r="CF93" s="127"/>
      <c r="CG93" s="127"/>
      <c r="CH93" s="127"/>
      <c r="CI93" s="127"/>
      <c r="CJ93" s="127"/>
      <c r="CK93" s="127"/>
      <c r="CL93" s="127"/>
      <c r="CM93" s="127"/>
      <c r="CN93" s="127"/>
      <c r="CO93" s="127"/>
      <c r="CP93" s="127"/>
      <c r="CQ93" s="127"/>
      <c r="CR93" s="127"/>
      <c r="CS93" s="127"/>
      <c r="CT93" s="127"/>
      <c r="CU93" s="127"/>
      <c r="CV93" s="127"/>
      <c r="CW93" s="127"/>
      <c r="CX93" s="127"/>
      <c r="CY93" s="127"/>
      <c r="CZ93" s="127"/>
      <c r="DA93" s="127"/>
      <c r="DB93" s="127"/>
      <c r="DC93" s="127"/>
      <c r="DD93" s="127"/>
      <c r="DE93" s="127"/>
      <c r="DF93" s="127"/>
      <c r="DG93" s="127"/>
      <c r="DH93" s="127"/>
      <c r="DI93" s="127"/>
      <c r="DJ93" s="127"/>
      <c r="DK93" s="127"/>
      <c r="DL93" s="127"/>
      <c r="DM93" s="127"/>
      <c r="DN93" s="127"/>
      <c r="DO93" s="127"/>
      <c r="DP93" s="127"/>
      <c r="DQ93" s="127"/>
      <c r="DR93" s="127"/>
      <c r="DS93" s="127"/>
      <c r="DT93" s="127"/>
      <c r="DU93" s="128"/>
      <c r="DV93" s="128"/>
      <c r="DW93" s="128"/>
      <c r="DX93" s="128"/>
      <c r="DY93" s="128"/>
      <c r="DZ93" s="128"/>
      <c r="EA93" s="128"/>
      <c r="EB93" s="128"/>
      <c r="EC93" s="128"/>
      <c r="ED93" s="128"/>
      <c r="EE93" s="128"/>
      <c r="EF93" s="128"/>
      <c r="EG93" s="128"/>
      <c r="EH93" s="128"/>
      <c r="EI93" s="128"/>
      <c r="EJ93" s="128"/>
      <c r="EK93" s="128"/>
      <c r="EL93" s="128"/>
      <c r="EM93" s="128"/>
      <c r="EN93" s="128"/>
      <c r="EO93" s="128"/>
      <c r="EP93" s="128"/>
      <c r="EQ93" s="128"/>
      <c r="ER93" s="128"/>
      <c r="ES93" s="128"/>
      <c r="ET93" s="128"/>
      <c r="EU93" s="128"/>
      <c r="EV93" s="128"/>
      <c r="EW93" s="129"/>
      <c r="EX93" s="129"/>
      <c r="EY93" s="129"/>
      <c r="EZ93" s="129"/>
      <c r="FA93" s="130"/>
      <c r="FB93" s="130"/>
      <c r="FC93" s="130"/>
      <c r="FD93" s="129"/>
      <c r="FE93" s="129"/>
      <c r="FF93" s="131"/>
    </row>
    <row r="94" spans="1:162" ht="19" customHeight="1" x14ac:dyDescent="0.2">
      <c r="A94" s="3"/>
      <c r="B94" s="50"/>
      <c r="C94" s="50"/>
      <c r="D94" s="3"/>
      <c r="E94" s="75"/>
      <c r="F94" s="75"/>
      <c r="G94" s="51"/>
      <c r="H94" s="84"/>
      <c r="I94" s="84"/>
      <c r="J94" s="84"/>
      <c r="K94" s="85"/>
      <c r="M94" s="86"/>
      <c r="N94" s="122"/>
      <c r="O94" s="122"/>
      <c r="P94" s="123"/>
      <c r="Q94" s="123"/>
      <c r="R94" s="123"/>
      <c r="S94" s="123"/>
      <c r="T94" s="123"/>
      <c r="U94" s="123"/>
      <c r="V94" s="123"/>
      <c r="W94" s="123"/>
      <c r="X94" s="123"/>
      <c r="Y94" s="124"/>
      <c r="Z94" s="125"/>
      <c r="AA94" s="125"/>
      <c r="AB94" s="125"/>
      <c r="AC94" s="125"/>
      <c r="AD94" s="125"/>
      <c r="AE94" s="123"/>
      <c r="AF94" s="123"/>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7"/>
      <c r="BZ94" s="127"/>
      <c r="CA94" s="127"/>
      <c r="CB94" s="127"/>
      <c r="CC94" s="127"/>
      <c r="CD94" s="127"/>
      <c r="CE94" s="127"/>
      <c r="CF94" s="127"/>
      <c r="CG94" s="127"/>
      <c r="CH94" s="127"/>
      <c r="CI94" s="127"/>
      <c r="CJ94" s="127"/>
      <c r="CK94" s="127"/>
      <c r="CL94" s="127"/>
      <c r="CM94" s="127"/>
      <c r="CN94" s="127"/>
      <c r="CO94" s="127"/>
      <c r="CP94" s="127"/>
      <c r="CQ94" s="127"/>
      <c r="CR94" s="127"/>
      <c r="CS94" s="127"/>
      <c r="CT94" s="127"/>
      <c r="CU94" s="127"/>
      <c r="CV94" s="127"/>
      <c r="CW94" s="127"/>
      <c r="CX94" s="127"/>
      <c r="CY94" s="127"/>
      <c r="CZ94" s="127"/>
      <c r="DA94" s="127"/>
      <c r="DB94" s="127"/>
      <c r="DC94" s="127"/>
      <c r="DD94" s="127"/>
      <c r="DE94" s="127"/>
      <c r="DF94" s="127"/>
      <c r="DG94" s="127"/>
      <c r="DH94" s="127"/>
      <c r="DI94" s="127"/>
      <c r="DJ94" s="127"/>
      <c r="DK94" s="127"/>
      <c r="DL94" s="127"/>
      <c r="DM94" s="127"/>
      <c r="DN94" s="127"/>
      <c r="DO94" s="127"/>
      <c r="DP94" s="127"/>
      <c r="DQ94" s="127"/>
      <c r="DR94" s="127"/>
      <c r="DS94" s="127"/>
      <c r="DT94" s="127"/>
      <c r="DU94" s="128"/>
      <c r="DV94" s="128"/>
      <c r="DW94" s="128"/>
      <c r="DX94" s="128"/>
      <c r="DY94" s="128"/>
      <c r="DZ94" s="128"/>
      <c r="EA94" s="128"/>
      <c r="EB94" s="128"/>
      <c r="EC94" s="128"/>
      <c r="ED94" s="128"/>
      <c r="EE94" s="128"/>
      <c r="EF94" s="128"/>
      <c r="EG94" s="128"/>
      <c r="EH94" s="128"/>
      <c r="EI94" s="128"/>
      <c r="EJ94" s="128"/>
      <c r="EK94" s="128"/>
      <c r="EL94" s="128"/>
      <c r="EM94" s="128"/>
      <c r="EN94" s="128"/>
      <c r="EO94" s="128"/>
      <c r="EP94" s="128"/>
      <c r="EQ94" s="128"/>
      <c r="ER94" s="128"/>
      <c r="ES94" s="128"/>
      <c r="ET94" s="128"/>
      <c r="EU94" s="128"/>
      <c r="EV94" s="128"/>
      <c r="EW94" s="129"/>
      <c r="EX94" s="129"/>
      <c r="EY94" s="129"/>
      <c r="EZ94" s="129"/>
      <c r="FA94" s="130"/>
      <c r="FB94" s="130"/>
      <c r="FC94" s="130"/>
      <c r="FD94" s="129"/>
      <c r="FE94" s="129"/>
      <c r="FF94" s="131"/>
    </row>
    <row r="95" spans="1:162" ht="19" customHeight="1" x14ac:dyDescent="0.2">
      <c r="A95" s="3"/>
      <c r="B95" s="50"/>
      <c r="C95" s="50"/>
      <c r="D95" s="3"/>
      <c r="E95" s="75"/>
      <c r="F95" s="75"/>
      <c r="G95" s="51"/>
      <c r="H95" s="84"/>
      <c r="I95" s="84"/>
      <c r="J95" s="84"/>
      <c r="K95" s="85"/>
      <c r="M95" s="86"/>
      <c r="N95" s="122"/>
      <c r="O95" s="122"/>
      <c r="P95" s="123"/>
      <c r="Q95" s="123"/>
      <c r="R95" s="123"/>
      <c r="S95" s="123"/>
      <c r="T95" s="123"/>
      <c r="U95" s="123"/>
      <c r="V95" s="123"/>
      <c r="W95" s="123"/>
      <c r="X95" s="123"/>
      <c r="Y95" s="124"/>
      <c r="Z95" s="125"/>
      <c r="AA95" s="125"/>
      <c r="AB95" s="125"/>
      <c r="AC95" s="125"/>
      <c r="AD95" s="125"/>
      <c r="AE95" s="123"/>
      <c r="AF95" s="123"/>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c r="BL95" s="126"/>
      <c r="BM95" s="126"/>
      <c r="BN95" s="126"/>
      <c r="BO95" s="126"/>
      <c r="BP95" s="126"/>
      <c r="BQ95" s="126"/>
      <c r="BR95" s="126"/>
      <c r="BS95" s="126"/>
      <c r="BT95" s="126"/>
      <c r="BU95" s="126"/>
      <c r="BV95" s="126"/>
      <c r="BW95" s="126"/>
      <c r="BX95" s="126"/>
      <c r="BY95" s="127"/>
      <c r="BZ95" s="127"/>
      <c r="CA95" s="127"/>
      <c r="CB95" s="127"/>
      <c r="CC95" s="127"/>
      <c r="CD95" s="127"/>
      <c r="CE95" s="127"/>
      <c r="CF95" s="127"/>
      <c r="CG95" s="127"/>
      <c r="CH95" s="127"/>
      <c r="CI95" s="127"/>
      <c r="CJ95" s="127"/>
      <c r="CK95" s="127"/>
      <c r="CL95" s="127"/>
      <c r="CM95" s="127"/>
      <c r="CN95" s="127"/>
      <c r="CO95" s="127"/>
      <c r="CP95" s="127"/>
      <c r="CQ95" s="127"/>
      <c r="CR95" s="127"/>
      <c r="CS95" s="127"/>
      <c r="CT95" s="127"/>
      <c r="CU95" s="127"/>
      <c r="CV95" s="127"/>
      <c r="CW95" s="127"/>
      <c r="CX95" s="127"/>
      <c r="CY95" s="127"/>
      <c r="CZ95" s="127"/>
      <c r="DA95" s="127"/>
      <c r="DB95" s="127"/>
      <c r="DC95" s="127"/>
      <c r="DD95" s="127"/>
      <c r="DE95" s="127"/>
      <c r="DF95" s="127"/>
      <c r="DG95" s="127"/>
      <c r="DH95" s="127"/>
      <c r="DI95" s="127"/>
      <c r="DJ95" s="127"/>
      <c r="DK95" s="127"/>
      <c r="DL95" s="127"/>
      <c r="DM95" s="127"/>
      <c r="DN95" s="127"/>
      <c r="DO95" s="127"/>
      <c r="DP95" s="127"/>
      <c r="DQ95" s="127"/>
      <c r="DR95" s="127"/>
      <c r="DS95" s="127"/>
      <c r="DT95" s="127"/>
      <c r="DU95" s="128"/>
      <c r="DV95" s="128"/>
      <c r="DW95" s="128"/>
      <c r="DX95" s="128"/>
      <c r="DY95" s="128"/>
      <c r="DZ95" s="128"/>
      <c r="EA95" s="128"/>
      <c r="EB95" s="128"/>
      <c r="EC95" s="128"/>
      <c r="ED95" s="128"/>
      <c r="EE95" s="128"/>
      <c r="EF95" s="128"/>
      <c r="EG95" s="128"/>
      <c r="EH95" s="128"/>
      <c r="EI95" s="128"/>
      <c r="EJ95" s="128"/>
      <c r="EK95" s="128"/>
      <c r="EL95" s="128"/>
      <c r="EM95" s="128"/>
      <c r="EN95" s="128"/>
      <c r="EO95" s="128"/>
      <c r="EP95" s="128"/>
      <c r="EQ95" s="128"/>
      <c r="ER95" s="128"/>
      <c r="ES95" s="128"/>
      <c r="ET95" s="128"/>
      <c r="EU95" s="128"/>
      <c r="EV95" s="128"/>
      <c r="EW95" s="129"/>
      <c r="EX95" s="129"/>
      <c r="EY95" s="129"/>
      <c r="EZ95" s="129"/>
      <c r="FA95" s="130"/>
      <c r="FB95" s="130"/>
      <c r="FC95" s="130"/>
      <c r="FD95" s="129"/>
      <c r="FE95" s="129"/>
      <c r="FF95" s="131"/>
    </row>
    <row r="96" spans="1:162" ht="19" customHeight="1" x14ac:dyDescent="0.2">
      <c r="A96" s="3"/>
      <c r="B96" s="50"/>
      <c r="C96" s="50"/>
      <c r="D96" s="3"/>
      <c r="E96" s="75"/>
      <c r="F96" s="75"/>
      <c r="G96" s="51"/>
      <c r="H96" s="84"/>
      <c r="I96" s="84"/>
      <c r="J96" s="84"/>
      <c r="K96" s="85"/>
      <c r="M96" s="86"/>
      <c r="N96" s="122"/>
      <c r="O96" s="122"/>
      <c r="P96" s="123"/>
      <c r="Q96" s="123"/>
      <c r="R96" s="123"/>
      <c r="S96" s="123"/>
      <c r="T96" s="123"/>
      <c r="U96" s="123"/>
      <c r="V96" s="123"/>
      <c r="W96" s="123"/>
      <c r="X96" s="123"/>
      <c r="Y96" s="124"/>
      <c r="Z96" s="125"/>
      <c r="AA96" s="125"/>
      <c r="AB96" s="125"/>
      <c r="AC96" s="125"/>
      <c r="AD96" s="125"/>
      <c r="AE96" s="123"/>
      <c r="AF96" s="123"/>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c r="BL96" s="126"/>
      <c r="BM96" s="126"/>
      <c r="BN96" s="126"/>
      <c r="BO96" s="126"/>
      <c r="BP96" s="126"/>
      <c r="BQ96" s="126"/>
      <c r="BR96" s="126"/>
      <c r="BS96" s="126"/>
      <c r="BT96" s="126"/>
      <c r="BU96" s="126"/>
      <c r="BV96" s="126"/>
      <c r="BW96" s="126"/>
      <c r="BX96" s="126"/>
      <c r="BY96" s="127"/>
      <c r="BZ96" s="127"/>
      <c r="CA96" s="127"/>
      <c r="CB96" s="127"/>
      <c r="CC96" s="127"/>
      <c r="CD96" s="127"/>
      <c r="CE96" s="127"/>
      <c r="CF96" s="127"/>
      <c r="CG96" s="127"/>
      <c r="CH96" s="127"/>
      <c r="CI96" s="127"/>
      <c r="CJ96" s="127"/>
      <c r="CK96" s="127"/>
      <c r="CL96" s="127"/>
      <c r="CM96" s="127"/>
      <c r="CN96" s="127"/>
      <c r="CO96" s="127"/>
      <c r="CP96" s="127"/>
      <c r="CQ96" s="127"/>
      <c r="CR96" s="127"/>
      <c r="CS96" s="127"/>
      <c r="CT96" s="127"/>
      <c r="CU96" s="127"/>
      <c r="CV96" s="127"/>
      <c r="CW96" s="127"/>
      <c r="CX96" s="127"/>
      <c r="CY96" s="127"/>
      <c r="CZ96" s="127"/>
      <c r="DA96" s="127"/>
      <c r="DB96" s="127"/>
      <c r="DC96" s="127"/>
      <c r="DD96" s="127"/>
      <c r="DE96" s="127"/>
      <c r="DF96" s="127"/>
      <c r="DG96" s="127"/>
      <c r="DH96" s="127"/>
      <c r="DI96" s="127"/>
      <c r="DJ96" s="127"/>
      <c r="DK96" s="127"/>
      <c r="DL96" s="127"/>
      <c r="DM96" s="127"/>
      <c r="DN96" s="127"/>
      <c r="DO96" s="127"/>
      <c r="DP96" s="127"/>
      <c r="DQ96" s="127"/>
      <c r="DR96" s="127"/>
      <c r="DS96" s="127"/>
      <c r="DT96" s="127"/>
      <c r="DU96" s="128"/>
      <c r="DV96" s="128"/>
      <c r="DW96" s="128"/>
      <c r="DX96" s="128"/>
      <c r="DY96" s="128"/>
      <c r="DZ96" s="128"/>
      <c r="EA96" s="128"/>
      <c r="EB96" s="128"/>
      <c r="EC96" s="128"/>
      <c r="ED96" s="128"/>
      <c r="EE96" s="128"/>
      <c r="EF96" s="128"/>
      <c r="EG96" s="128"/>
      <c r="EH96" s="128"/>
      <c r="EI96" s="128"/>
      <c r="EJ96" s="128"/>
      <c r="EK96" s="128"/>
      <c r="EL96" s="128"/>
      <c r="EM96" s="128"/>
      <c r="EN96" s="128"/>
      <c r="EO96" s="128"/>
      <c r="EP96" s="128"/>
      <c r="EQ96" s="128"/>
      <c r="ER96" s="128"/>
      <c r="ES96" s="128"/>
      <c r="ET96" s="128"/>
      <c r="EU96" s="128"/>
      <c r="EV96" s="128"/>
      <c r="EW96" s="129"/>
      <c r="EX96" s="129"/>
      <c r="EY96" s="129"/>
      <c r="EZ96" s="129"/>
      <c r="FA96" s="130"/>
      <c r="FB96" s="130"/>
      <c r="FC96" s="130"/>
      <c r="FD96" s="129"/>
      <c r="FE96" s="129"/>
      <c r="FF96" s="131"/>
    </row>
    <row r="97" spans="1:162" ht="19" customHeight="1" x14ac:dyDescent="0.2">
      <c r="A97" s="3"/>
      <c r="B97" s="50"/>
      <c r="C97" s="50"/>
      <c r="D97" s="3"/>
      <c r="E97" s="75"/>
      <c r="F97" s="75"/>
      <c r="G97" s="51"/>
      <c r="H97" s="84"/>
      <c r="I97" s="84"/>
      <c r="J97" s="84"/>
      <c r="K97" s="85"/>
      <c r="M97" s="86"/>
      <c r="N97" s="122"/>
      <c r="O97" s="122"/>
      <c r="P97" s="123"/>
      <c r="Q97" s="123"/>
      <c r="R97" s="123"/>
      <c r="S97" s="123"/>
      <c r="T97" s="123"/>
      <c r="U97" s="123"/>
      <c r="V97" s="123"/>
      <c r="W97" s="123"/>
      <c r="X97" s="123"/>
      <c r="Y97" s="124"/>
      <c r="Z97" s="125"/>
      <c r="AA97" s="125"/>
      <c r="AB97" s="125"/>
      <c r="AC97" s="125"/>
      <c r="AD97" s="125"/>
      <c r="AE97" s="123"/>
      <c r="AF97" s="123"/>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c r="BP97" s="126"/>
      <c r="BQ97" s="126"/>
      <c r="BR97" s="126"/>
      <c r="BS97" s="126"/>
      <c r="BT97" s="126"/>
      <c r="BU97" s="126"/>
      <c r="BV97" s="126"/>
      <c r="BW97" s="126"/>
      <c r="BX97" s="126"/>
      <c r="BY97" s="127"/>
      <c r="BZ97" s="127"/>
      <c r="CA97" s="127"/>
      <c r="CB97" s="127"/>
      <c r="CC97" s="127"/>
      <c r="CD97" s="127"/>
      <c r="CE97" s="127"/>
      <c r="CF97" s="127"/>
      <c r="CG97" s="127"/>
      <c r="CH97" s="127"/>
      <c r="CI97" s="127"/>
      <c r="CJ97" s="127"/>
      <c r="CK97" s="127"/>
      <c r="CL97" s="127"/>
      <c r="CM97" s="127"/>
      <c r="CN97" s="127"/>
      <c r="CO97" s="127"/>
      <c r="CP97" s="127"/>
      <c r="CQ97" s="127"/>
      <c r="CR97" s="127"/>
      <c r="CS97" s="127"/>
      <c r="CT97" s="127"/>
      <c r="CU97" s="127"/>
      <c r="CV97" s="127"/>
      <c r="CW97" s="127"/>
      <c r="CX97" s="127"/>
      <c r="CY97" s="127"/>
      <c r="CZ97" s="127"/>
      <c r="DA97" s="127"/>
      <c r="DB97" s="127"/>
      <c r="DC97" s="127"/>
      <c r="DD97" s="127"/>
      <c r="DE97" s="127"/>
      <c r="DF97" s="127"/>
      <c r="DG97" s="127"/>
      <c r="DH97" s="127"/>
      <c r="DI97" s="127"/>
      <c r="DJ97" s="127"/>
      <c r="DK97" s="127"/>
      <c r="DL97" s="127"/>
      <c r="DM97" s="127"/>
      <c r="DN97" s="127"/>
      <c r="DO97" s="127"/>
      <c r="DP97" s="127"/>
      <c r="DQ97" s="127"/>
      <c r="DR97" s="127"/>
      <c r="DS97" s="127"/>
      <c r="DT97" s="127"/>
      <c r="DU97" s="128"/>
      <c r="DV97" s="128"/>
      <c r="DW97" s="128"/>
      <c r="DX97" s="128"/>
      <c r="DY97" s="128"/>
      <c r="DZ97" s="128"/>
      <c r="EA97" s="128"/>
      <c r="EB97" s="128"/>
      <c r="EC97" s="128"/>
      <c r="ED97" s="128"/>
      <c r="EE97" s="128"/>
      <c r="EF97" s="128"/>
      <c r="EG97" s="128"/>
      <c r="EH97" s="128"/>
      <c r="EI97" s="128"/>
      <c r="EJ97" s="128"/>
      <c r="EK97" s="128"/>
      <c r="EL97" s="128"/>
      <c r="EM97" s="128"/>
      <c r="EN97" s="128"/>
      <c r="EO97" s="128"/>
      <c r="EP97" s="128"/>
      <c r="EQ97" s="128"/>
      <c r="ER97" s="128"/>
      <c r="ES97" s="128"/>
      <c r="ET97" s="128"/>
      <c r="EU97" s="128"/>
      <c r="EV97" s="128"/>
      <c r="EW97" s="129"/>
      <c r="EX97" s="129"/>
      <c r="EY97" s="129"/>
      <c r="EZ97" s="129"/>
      <c r="FA97" s="130"/>
      <c r="FB97" s="130"/>
      <c r="FC97" s="130"/>
      <c r="FD97" s="129"/>
      <c r="FE97" s="129"/>
      <c r="FF97" s="131"/>
    </row>
    <row r="98" spans="1:162" ht="19" customHeight="1" x14ac:dyDescent="0.2">
      <c r="A98" s="3"/>
      <c r="B98" s="50"/>
      <c r="C98" s="50"/>
      <c r="D98" s="3"/>
      <c r="E98" s="75"/>
      <c r="F98" s="75"/>
      <c r="G98" s="51"/>
      <c r="H98" s="84"/>
      <c r="I98" s="84"/>
      <c r="J98" s="84"/>
      <c r="K98" s="85"/>
      <c r="M98" s="86"/>
      <c r="N98" s="122"/>
      <c r="O98" s="122"/>
      <c r="P98" s="123"/>
      <c r="Q98" s="123"/>
      <c r="R98" s="123"/>
      <c r="S98" s="123"/>
      <c r="T98" s="123"/>
      <c r="U98" s="123"/>
      <c r="V98" s="123"/>
      <c r="W98" s="123"/>
      <c r="X98" s="123"/>
      <c r="Y98" s="124"/>
      <c r="Z98" s="125"/>
      <c r="AA98" s="125"/>
      <c r="AB98" s="125"/>
      <c r="AC98" s="125"/>
      <c r="AD98" s="125"/>
      <c r="AE98" s="123"/>
      <c r="AF98" s="123"/>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c r="BX98" s="126"/>
      <c r="BY98" s="127"/>
      <c r="BZ98" s="127"/>
      <c r="CA98" s="127"/>
      <c r="CB98" s="127"/>
      <c r="CC98" s="127"/>
      <c r="CD98" s="127"/>
      <c r="CE98" s="127"/>
      <c r="CF98" s="127"/>
      <c r="CG98" s="127"/>
      <c r="CH98" s="127"/>
      <c r="CI98" s="127"/>
      <c r="CJ98" s="127"/>
      <c r="CK98" s="127"/>
      <c r="CL98" s="127"/>
      <c r="CM98" s="127"/>
      <c r="CN98" s="127"/>
      <c r="CO98" s="127"/>
      <c r="CP98" s="127"/>
      <c r="CQ98" s="127"/>
      <c r="CR98" s="127"/>
      <c r="CS98" s="127"/>
      <c r="CT98" s="127"/>
      <c r="CU98" s="127"/>
      <c r="CV98" s="127"/>
      <c r="CW98" s="127"/>
      <c r="CX98" s="127"/>
      <c r="CY98" s="127"/>
      <c r="CZ98" s="127"/>
      <c r="DA98" s="127"/>
      <c r="DB98" s="127"/>
      <c r="DC98" s="127"/>
      <c r="DD98" s="127"/>
      <c r="DE98" s="127"/>
      <c r="DF98" s="127"/>
      <c r="DG98" s="127"/>
      <c r="DH98" s="127"/>
      <c r="DI98" s="127"/>
      <c r="DJ98" s="127"/>
      <c r="DK98" s="127"/>
      <c r="DL98" s="127"/>
      <c r="DM98" s="127"/>
      <c r="DN98" s="127"/>
      <c r="DO98" s="127"/>
      <c r="DP98" s="127"/>
      <c r="DQ98" s="127"/>
      <c r="DR98" s="127"/>
      <c r="DS98" s="127"/>
      <c r="DT98" s="127"/>
      <c r="DU98" s="128"/>
      <c r="DV98" s="128"/>
      <c r="DW98" s="128"/>
      <c r="DX98" s="128"/>
      <c r="DY98" s="128"/>
      <c r="DZ98" s="128"/>
      <c r="EA98" s="128"/>
      <c r="EB98" s="128"/>
      <c r="EC98" s="128"/>
      <c r="ED98" s="128"/>
      <c r="EE98" s="128"/>
      <c r="EF98" s="128"/>
      <c r="EG98" s="128"/>
      <c r="EH98" s="128"/>
      <c r="EI98" s="128"/>
      <c r="EJ98" s="128"/>
      <c r="EK98" s="128"/>
      <c r="EL98" s="128"/>
      <c r="EM98" s="128"/>
      <c r="EN98" s="128"/>
      <c r="EO98" s="128"/>
      <c r="EP98" s="128"/>
      <c r="EQ98" s="128"/>
      <c r="ER98" s="128"/>
      <c r="ES98" s="128"/>
      <c r="ET98" s="128"/>
      <c r="EU98" s="128"/>
      <c r="EV98" s="128"/>
      <c r="EW98" s="129"/>
      <c r="EX98" s="129"/>
      <c r="EY98" s="129"/>
      <c r="EZ98" s="129"/>
      <c r="FA98" s="130"/>
      <c r="FB98" s="130"/>
      <c r="FC98" s="130"/>
      <c r="FD98" s="129"/>
      <c r="FE98" s="129"/>
      <c r="FF98" s="131"/>
    </row>
    <row r="99" spans="1:162" ht="19" customHeight="1" x14ac:dyDescent="0.2">
      <c r="A99" s="3"/>
      <c r="B99" s="50"/>
      <c r="C99" s="50"/>
      <c r="D99" s="3"/>
      <c r="E99" s="75"/>
      <c r="F99" s="75"/>
      <c r="G99" s="51"/>
      <c r="H99" s="84"/>
      <c r="I99" s="84"/>
      <c r="J99" s="84"/>
      <c r="K99" s="85"/>
      <c r="M99" s="86"/>
      <c r="N99" s="122"/>
      <c r="O99" s="122"/>
      <c r="P99" s="123"/>
      <c r="Q99" s="123"/>
      <c r="R99" s="123"/>
      <c r="S99" s="123"/>
      <c r="T99" s="123"/>
      <c r="U99" s="123"/>
      <c r="V99" s="123"/>
      <c r="W99" s="123"/>
      <c r="X99" s="123"/>
      <c r="Y99" s="124"/>
      <c r="Z99" s="125"/>
      <c r="AA99" s="125"/>
      <c r="AB99" s="125"/>
      <c r="AC99" s="125"/>
      <c r="AD99" s="125"/>
      <c r="AE99" s="123"/>
      <c r="AF99" s="123"/>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c r="BL99" s="126"/>
      <c r="BM99" s="126"/>
      <c r="BN99" s="126"/>
      <c r="BO99" s="126"/>
      <c r="BP99" s="126"/>
      <c r="BQ99" s="126"/>
      <c r="BR99" s="126"/>
      <c r="BS99" s="126"/>
      <c r="BT99" s="126"/>
      <c r="BU99" s="126"/>
      <c r="BV99" s="126"/>
      <c r="BW99" s="126"/>
      <c r="BX99" s="126"/>
      <c r="BY99" s="127"/>
      <c r="BZ99" s="127"/>
      <c r="CA99" s="127"/>
      <c r="CB99" s="127"/>
      <c r="CC99" s="127"/>
      <c r="CD99" s="127"/>
      <c r="CE99" s="127"/>
      <c r="CF99" s="127"/>
      <c r="CG99" s="127"/>
      <c r="CH99" s="127"/>
      <c r="CI99" s="127"/>
      <c r="CJ99" s="127"/>
      <c r="CK99" s="127"/>
      <c r="CL99" s="127"/>
      <c r="CM99" s="127"/>
      <c r="CN99" s="127"/>
      <c r="CO99" s="127"/>
      <c r="CP99" s="127"/>
      <c r="CQ99" s="127"/>
      <c r="CR99" s="127"/>
      <c r="CS99" s="127"/>
      <c r="CT99" s="127"/>
      <c r="CU99" s="127"/>
      <c r="CV99" s="127"/>
      <c r="CW99" s="127"/>
      <c r="CX99" s="127"/>
      <c r="CY99" s="127"/>
      <c r="CZ99" s="127"/>
      <c r="DA99" s="127"/>
      <c r="DB99" s="127"/>
      <c r="DC99" s="127"/>
      <c r="DD99" s="127"/>
      <c r="DE99" s="127"/>
      <c r="DF99" s="127"/>
      <c r="DG99" s="127"/>
      <c r="DH99" s="127"/>
      <c r="DI99" s="127"/>
      <c r="DJ99" s="127"/>
      <c r="DK99" s="127"/>
      <c r="DL99" s="127"/>
      <c r="DM99" s="127"/>
      <c r="DN99" s="127"/>
      <c r="DO99" s="127"/>
      <c r="DP99" s="127"/>
      <c r="DQ99" s="127"/>
      <c r="DR99" s="127"/>
      <c r="DS99" s="127"/>
      <c r="DT99" s="127"/>
      <c r="DU99" s="128"/>
      <c r="DV99" s="128"/>
      <c r="DW99" s="128"/>
      <c r="DX99" s="128"/>
      <c r="DY99" s="128"/>
      <c r="DZ99" s="128"/>
      <c r="EA99" s="128"/>
      <c r="EB99" s="128"/>
      <c r="EC99" s="128"/>
      <c r="ED99" s="128"/>
      <c r="EE99" s="128"/>
      <c r="EF99" s="128"/>
      <c r="EG99" s="128"/>
      <c r="EH99" s="128"/>
      <c r="EI99" s="128"/>
      <c r="EJ99" s="128"/>
      <c r="EK99" s="128"/>
      <c r="EL99" s="128"/>
      <c r="EM99" s="128"/>
      <c r="EN99" s="128"/>
      <c r="EO99" s="128"/>
      <c r="EP99" s="128"/>
      <c r="EQ99" s="128"/>
      <c r="ER99" s="128"/>
      <c r="ES99" s="128"/>
      <c r="ET99" s="128"/>
      <c r="EU99" s="128"/>
      <c r="EV99" s="128"/>
      <c r="EW99" s="129"/>
      <c r="EX99" s="129"/>
      <c r="EY99" s="129"/>
      <c r="EZ99" s="129"/>
      <c r="FA99" s="130"/>
      <c r="FB99" s="130"/>
      <c r="FC99" s="130"/>
      <c r="FD99" s="129"/>
      <c r="FE99" s="129"/>
      <c r="FF99" s="131"/>
    </row>
    <row r="100" spans="1:162" ht="19" customHeight="1" x14ac:dyDescent="0.2">
      <c r="A100" s="3"/>
      <c r="B100" s="50"/>
      <c r="C100" s="50"/>
      <c r="D100" s="3"/>
      <c r="E100" s="75"/>
      <c r="F100" s="75"/>
      <c r="G100" s="51"/>
      <c r="H100" s="84"/>
      <c r="I100" s="84"/>
      <c r="J100" s="84"/>
      <c r="K100" s="85"/>
      <c r="M100" s="86"/>
      <c r="N100" s="122"/>
      <c r="O100" s="122"/>
      <c r="P100" s="123"/>
      <c r="Q100" s="123"/>
      <c r="R100" s="123"/>
      <c r="S100" s="123"/>
      <c r="T100" s="123"/>
      <c r="U100" s="123"/>
      <c r="V100" s="123"/>
      <c r="W100" s="123"/>
      <c r="X100" s="123"/>
      <c r="Y100" s="124"/>
      <c r="Z100" s="125"/>
      <c r="AA100" s="125"/>
      <c r="AB100" s="125"/>
      <c r="AC100" s="125"/>
      <c r="AD100" s="125"/>
      <c r="AE100" s="123"/>
      <c r="AF100" s="123"/>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126"/>
      <c r="BV100" s="126"/>
      <c r="BW100" s="126"/>
      <c r="BX100" s="126"/>
      <c r="BY100" s="127"/>
      <c r="BZ100" s="127"/>
      <c r="CA100" s="127"/>
      <c r="CB100" s="127"/>
      <c r="CC100" s="127"/>
      <c r="CD100" s="127"/>
      <c r="CE100" s="127"/>
      <c r="CF100" s="127"/>
      <c r="CG100" s="127"/>
      <c r="CH100" s="127"/>
      <c r="CI100" s="127"/>
      <c r="CJ100" s="127"/>
      <c r="CK100" s="127"/>
      <c r="CL100" s="127"/>
      <c r="CM100" s="127"/>
      <c r="CN100" s="127"/>
      <c r="CO100" s="127"/>
      <c r="CP100" s="127"/>
      <c r="CQ100" s="127"/>
      <c r="CR100" s="127"/>
      <c r="CS100" s="127"/>
      <c r="CT100" s="127"/>
      <c r="CU100" s="127"/>
      <c r="CV100" s="127"/>
      <c r="CW100" s="127"/>
      <c r="CX100" s="127"/>
      <c r="CY100" s="127"/>
      <c r="CZ100" s="127"/>
      <c r="DA100" s="127"/>
      <c r="DB100" s="127"/>
      <c r="DC100" s="127"/>
      <c r="DD100" s="127"/>
      <c r="DE100" s="127"/>
      <c r="DF100" s="127"/>
      <c r="DG100" s="127"/>
      <c r="DH100" s="127"/>
      <c r="DI100" s="127"/>
      <c r="DJ100" s="127"/>
      <c r="DK100" s="127"/>
      <c r="DL100" s="127"/>
      <c r="DM100" s="127"/>
      <c r="DN100" s="127"/>
      <c r="DO100" s="127"/>
      <c r="DP100" s="127"/>
      <c r="DQ100" s="127"/>
      <c r="DR100" s="127"/>
      <c r="DS100" s="127"/>
      <c r="DT100" s="127"/>
      <c r="DU100" s="128"/>
      <c r="DV100" s="128"/>
      <c r="DW100" s="128"/>
      <c r="DX100" s="128"/>
      <c r="DY100" s="128"/>
      <c r="DZ100" s="128"/>
      <c r="EA100" s="128"/>
      <c r="EB100" s="128"/>
      <c r="EC100" s="128"/>
      <c r="ED100" s="128"/>
      <c r="EE100" s="128"/>
      <c r="EF100" s="128"/>
      <c r="EG100" s="128"/>
      <c r="EH100" s="128"/>
      <c r="EI100" s="128"/>
      <c r="EJ100" s="128"/>
      <c r="EK100" s="128"/>
      <c r="EL100" s="128"/>
      <c r="EM100" s="128"/>
      <c r="EN100" s="128"/>
      <c r="EO100" s="128"/>
      <c r="EP100" s="128"/>
      <c r="EQ100" s="128"/>
      <c r="ER100" s="128"/>
      <c r="ES100" s="128"/>
      <c r="ET100" s="128"/>
      <c r="EU100" s="128"/>
      <c r="EV100" s="128"/>
      <c r="EW100" s="129"/>
      <c r="EX100" s="129"/>
      <c r="EY100" s="129"/>
      <c r="EZ100" s="129"/>
      <c r="FA100" s="130"/>
      <c r="FB100" s="130"/>
      <c r="FC100" s="130"/>
      <c r="FD100" s="129"/>
      <c r="FE100" s="129"/>
      <c r="FF100" s="131"/>
    </row>
    <row r="101" spans="1:162" ht="19" customHeight="1" x14ac:dyDescent="0.2">
      <c r="A101" s="3"/>
      <c r="B101" s="50"/>
      <c r="C101" s="50"/>
      <c r="D101" s="3"/>
      <c r="E101" s="75"/>
      <c r="F101" s="75"/>
      <c r="G101" s="51"/>
      <c r="H101" s="84"/>
      <c r="I101" s="84"/>
      <c r="J101" s="84"/>
      <c r="K101" s="85"/>
      <c r="M101" s="86"/>
      <c r="N101" s="122"/>
      <c r="O101" s="122"/>
      <c r="P101" s="123"/>
      <c r="Q101" s="123"/>
      <c r="R101" s="123"/>
      <c r="S101" s="123"/>
      <c r="T101" s="123"/>
      <c r="U101" s="123"/>
      <c r="V101" s="123"/>
      <c r="W101" s="123"/>
      <c r="X101" s="123"/>
      <c r="Y101" s="124"/>
      <c r="Z101" s="125"/>
      <c r="AA101" s="125"/>
      <c r="AB101" s="125"/>
      <c r="AC101" s="125"/>
      <c r="AD101" s="125"/>
      <c r="AE101" s="123"/>
      <c r="AF101" s="123"/>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7"/>
      <c r="BZ101" s="127"/>
      <c r="CA101" s="127"/>
      <c r="CB101" s="127"/>
      <c r="CC101" s="127"/>
      <c r="CD101" s="127"/>
      <c r="CE101" s="127"/>
      <c r="CF101" s="127"/>
      <c r="CG101" s="127"/>
      <c r="CH101" s="127"/>
      <c r="CI101" s="127"/>
      <c r="CJ101" s="127"/>
      <c r="CK101" s="127"/>
      <c r="CL101" s="127"/>
      <c r="CM101" s="127"/>
      <c r="CN101" s="127"/>
      <c r="CO101" s="127"/>
      <c r="CP101" s="127"/>
      <c r="CQ101" s="127"/>
      <c r="CR101" s="127"/>
      <c r="CS101" s="127"/>
      <c r="CT101" s="127"/>
      <c r="CU101" s="127"/>
      <c r="CV101" s="127"/>
      <c r="CW101" s="127"/>
      <c r="CX101" s="127"/>
      <c r="CY101" s="127"/>
      <c r="CZ101" s="127"/>
      <c r="DA101" s="127"/>
      <c r="DB101" s="127"/>
      <c r="DC101" s="127"/>
      <c r="DD101" s="127"/>
      <c r="DE101" s="127"/>
      <c r="DF101" s="127"/>
      <c r="DG101" s="127"/>
      <c r="DH101" s="127"/>
      <c r="DI101" s="127"/>
      <c r="DJ101" s="127"/>
      <c r="DK101" s="127"/>
      <c r="DL101" s="127"/>
      <c r="DM101" s="127"/>
      <c r="DN101" s="127"/>
      <c r="DO101" s="127"/>
      <c r="DP101" s="127"/>
      <c r="DQ101" s="127"/>
      <c r="DR101" s="127"/>
      <c r="DS101" s="127"/>
      <c r="DT101" s="127"/>
      <c r="DU101" s="128"/>
      <c r="DV101" s="128"/>
      <c r="DW101" s="128"/>
      <c r="DX101" s="128"/>
      <c r="DY101" s="128"/>
      <c r="DZ101" s="128"/>
      <c r="EA101" s="128"/>
      <c r="EB101" s="128"/>
      <c r="EC101" s="128"/>
      <c r="ED101" s="128"/>
      <c r="EE101" s="128"/>
      <c r="EF101" s="128"/>
      <c r="EG101" s="128"/>
      <c r="EH101" s="128"/>
      <c r="EI101" s="128"/>
      <c r="EJ101" s="128"/>
      <c r="EK101" s="128"/>
      <c r="EL101" s="128"/>
      <c r="EM101" s="128"/>
      <c r="EN101" s="128"/>
      <c r="EO101" s="128"/>
      <c r="EP101" s="128"/>
      <c r="EQ101" s="128"/>
      <c r="ER101" s="128"/>
      <c r="ES101" s="128"/>
      <c r="ET101" s="128"/>
      <c r="EU101" s="128"/>
      <c r="EV101" s="128"/>
      <c r="EW101" s="129"/>
      <c r="EX101" s="129"/>
      <c r="EY101" s="129"/>
      <c r="EZ101" s="129"/>
      <c r="FA101" s="130"/>
      <c r="FB101" s="130"/>
      <c r="FC101" s="130"/>
      <c r="FD101" s="129"/>
      <c r="FE101" s="129"/>
      <c r="FF101" s="131"/>
    </row>
    <row r="102" spans="1:162" ht="19" customHeight="1" x14ac:dyDescent="0.2">
      <c r="A102" s="3"/>
      <c r="B102" s="50"/>
      <c r="C102" s="50"/>
      <c r="D102" s="3"/>
      <c r="E102" s="75"/>
      <c r="F102" s="75"/>
      <c r="G102" s="51"/>
      <c r="H102" s="84"/>
      <c r="I102" s="84"/>
      <c r="J102" s="84"/>
      <c r="K102" s="85"/>
      <c r="M102" s="86"/>
      <c r="N102" s="122"/>
      <c r="O102" s="122"/>
      <c r="P102" s="123"/>
      <c r="Q102" s="123"/>
      <c r="R102" s="123"/>
      <c r="S102" s="123"/>
      <c r="T102" s="123"/>
      <c r="U102" s="123"/>
      <c r="V102" s="123"/>
      <c r="W102" s="123"/>
      <c r="X102" s="123"/>
      <c r="Y102" s="124"/>
      <c r="Z102" s="125"/>
      <c r="AA102" s="125"/>
      <c r="AB102" s="125"/>
      <c r="AC102" s="125"/>
      <c r="AD102" s="125"/>
      <c r="AE102" s="123"/>
      <c r="AF102" s="123"/>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126"/>
      <c r="BV102" s="126"/>
      <c r="BW102" s="126"/>
      <c r="BX102" s="126"/>
      <c r="BY102" s="127"/>
      <c r="BZ102" s="127"/>
      <c r="CA102" s="127"/>
      <c r="CB102" s="127"/>
      <c r="CC102" s="127"/>
      <c r="CD102" s="127"/>
      <c r="CE102" s="127"/>
      <c r="CF102" s="127"/>
      <c r="CG102" s="127"/>
      <c r="CH102" s="127"/>
      <c r="CI102" s="127"/>
      <c r="CJ102" s="127"/>
      <c r="CK102" s="127"/>
      <c r="CL102" s="127"/>
      <c r="CM102" s="127"/>
      <c r="CN102" s="127"/>
      <c r="CO102" s="127"/>
      <c r="CP102" s="127"/>
      <c r="CQ102" s="127"/>
      <c r="CR102" s="127"/>
      <c r="CS102" s="127"/>
      <c r="CT102" s="127"/>
      <c r="CU102" s="127"/>
      <c r="CV102" s="127"/>
      <c r="CW102" s="127"/>
      <c r="CX102" s="127"/>
      <c r="CY102" s="127"/>
      <c r="CZ102" s="127"/>
      <c r="DA102" s="127"/>
      <c r="DB102" s="127"/>
      <c r="DC102" s="127"/>
      <c r="DD102" s="127"/>
      <c r="DE102" s="127"/>
      <c r="DF102" s="127"/>
      <c r="DG102" s="127"/>
      <c r="DH102" s="127"/>
      <c r="DI102" s="127"/>
      <c r="DJ102" s="127"/>
      <c r="DK102" s="127"/>
      <c r="DL102" s="127"/>
      <c r="DM102" s="127"/>
      <c r="DN102" s="127"/>
      <c r="DO102" s="127"/>
      <c r="DP102" s="127"/>
      <c r="DQ102" s="127"/>
      <c r="DR102" s="127"/>
      <c r="DS102" s="127"/>
      <c r="DT102" s="127"/>
      <c r="DU102" s="128"/>
      <c r="DV102" s="128"/>
      <c r="DW102" s="128"/>
      <c r="DX102" s="128"/>
      <c r="DY102" s="128"/>
      <c r="DZ102" s="128"/>
      <c r="EA102" s="128"/>
      <c r="EB102" s="128"/>
      <c r="EC102" s="128"/>
      <c r="ED102" s="128"/>
      <c r="EE102" s="128"/>
      <c r="EF102" s="128"/>
      <c r="EG102" s="128"/>
      <c r="EH102" s="128"/>
      <c r="EI102" s="128"/>
      <c r="EJ102" s="128"/>
      <c r="EK102" s="128"/>
      <c r="EL102" s="128"/>
      <c r="EM102" s="128"/>
      <c r="EN102" s="128"/>
      <c r="EO102" s="128"/>
      <c r="EP102" s="128"/>
      <c r="EQ102" s="128"/>
      <c r="ER102" s="128"/>
      <c r="ES102" s="128"/>
      <c r="ET102" s="128"/>
      <c r="EU102" s="128"/>
      <c r="EV102" s="128"/>
      <c r="EW102" s="129"/>
      <c r="EX102" s="129"/>
      <c r="EY102" s="129"/>
      <c r="EZ102" s="129"/>
      <c r="FA102" s="130"/>
      <c r="FB102" s="130"/>
      <c r="FC102" s="130"/>
      <c r="FD102" s="129"/>
      <c r="FE102" s="129"/>
      <c r="FF102" s="131"/>
    </row>
    <row r="103" spans="1:162" ht="19" customHeight="1" x14ac:dyDescent="0.2">
      <c r="A103" s="3"/>
      <c r="B103" s="50"/>
      <c r="C103" s="50"/>
      <c r="D103" s="3"/>
      <c r="E103" s="75"/>
      <c r="F103" s="75"/>
      <c r="G103" s="51"/>
      <c r="H103" s="84"/>
      <c r="I103" s="84"/>
      <c r="J103" s="84"/>
      <c r="K103" s="85"/>
      <c r="M103" s="86"/>
      <c r="N103" s="122"/>
      <c r="O103" s="122"/>
      <c r="P103" s="123"/>
      <c r="Q103" s="123"/>
      <c r="R103" s="123"/>
      <c r="S103" s="123"/>
      <c r="T103" s="123"/>
      <c r="U103" s="123"/>
      <c r="V103" s="123"/>
      <c r="W103" s="123"/>
      <c r="X103" s="123"/>
      <c r="Y103" s="124"/>
      <c r="Z103" s="125"/>
      <c r="AA103" s="125"/>
      <c r="AB103" s="125"/>
      <c r="AC103" s="125"/>
      <c r="AD103" s="125"/>
      <c r="AE103" s="123"/>
      <c r="AF103" s="123"/>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126"/>
      <c r="BV103" s="126"/>
      <c r="BW103" s="126"/>
      <c r="BX103" s="126"/>
      <c r="BY103" s="127"/>
      <c r="BZ103" s="127"/>
      <c r="CA103" s="127"/>
      <c r="CB103" s="127"/>
      <c r="CC103" s="127"/>
      <c r="CD103" s="127"/>
      <c r="CE103" s="127"/>
      <c r="CF103" s="127"/>
      <c r="CG103" s="127"/>
      <c r="CH103" s="127"/>
      <c r="CI103" s="127"/>
      <c r="CJ103" s="127"/>
      <c r="CK103" s="127"/>
      <c r="CL103" s="127"/>
      <c r="CM103" s="127"/>
      <c r="CN103" s="127"/>
      <c r="CO103" s="127"/>
      <c r="CP103" s="127"/>
      <c r="CQ103" s="127"/>
      <c r="CR103" s="127"/>
      <c r="CS103" s="127"/>
      <c r="CT103" s="127"/>
      <c r="CU103" s="127"/>
      <c r="CV103" s="127"/>
      <c r="CW103" s="127"/>
      <c r="CX103" s="127"/>
      <c r="CY103" s="127"/>
      <c r="CZ103" s="127"/>
      <c r="DA103" s="127"/>
      <c r="DB103" s="127"/>
      <c r="DC103" s="127"/>
      <c r="DD103" s="127"/>
      <c r="DE103" s="127"/>
      <c r="DF103" s="127"/>
      <c r="DG103" s="127"/>
      <c r="DH103" s="127"/>
      <c r="DI103" s="127"/>
      <c r="DJ103" s="127"/>
      <c r="DK103" s="127"/>
      <c r="DL103" s="127"/>
      <c r="DM103" s="127"/>
      <c r="DN103" s="127"/>
      <c r="DO103" s="127"/>
      <c r="DP103" s="127"/>
      <c r="DQ103" s="127"/>
      <c r="DR103" s="127"/>
      <c r="DS103" s="127"/>
      <c r="DT103" s="127"/>
      <c r="DU103" s="128"/>
      <c r="DV103" s="128"/>
      <c r="DW103" s="128"/>
      <c r="DX103" s="128"/>
      <c r="DY103" s="128"/>
      <c r="DZ103" s="128"/>
      <c r="EA103" s="128"/>
      <c r="EB103" s="128"/>
      <c r="EC103" s="128"/>
      <c r="ED103" s="128"/>
      <c r="EE103" s="128"/>
      <c r="EF103" s="128"/>
      <c r="EG103" s="128"/>
      <c r="EH103" s="128"/>
      <c r="EI103" s="128"/>
      <c r="EJ103" s="128"/>
      <c r="EK103" s="128"/>
      <c r="EL103" s="128"/>
      <c r="EM103" s="128"/>
      <c r="EN103" s="128"/>
      <c r="EO103" s="128"/>
      <c r="EP103" s="128"/>
      <c r="EQ103" s="128"/>
      <c r="ER103" s="128"/>
      <c r="ES103" s="128"/>
      <c r="ET103" s="128"/>
      <c r="EU103" s="128"/>
      <c r="EV103" s="128"/>
      <c r="EW103" s="129"/>
      <c r="EX103" s="129"/>
      <c r="EY103" s="129"/>
      <c r="EZ103" s="129"/>
      <c r="FA103" s="130"/>
      <c r="FB103" s="130"/>
      <c r="FC103" s="130"/>
      <c r="FD103" s="129"/>
      <c r="FE103" s="129"/>
      <c r="FF103" s="131"/>
    </row>
    <row r="104" spans="1:162" ht="19" customHeight="1" x14ac:dyDescent="0.2">
      <c r="A104" s="3"/>
      <c r="B104" s="50"/>
      <c r="C104" s="50"/>
      <c r="D104" s="3"/>
      <c r="E104" s="75"/>
      <c r="F104" s="75"/>
      <c r="G104" s="51"/>
      <c r="H104" s="84"/>
      <c r="I104" s="84"/>
      <c r="J104" s="84"/>
      <c r="K104" s="85"/>
      <c r="M104" s="86"/>
      <c r="N104" s="122"/>
      <c r="O104" s="122"/>
      <c r="P104" s="123"/>
      <c r="Q104" s="123"/>
      <c r="R104" s="123"/>
      <c r="S104" s="123"/>
      <c r="T104" s="123"/>
      <c r="U104" s="123"/>
      <c r="V104" s="123"/>
      <c r="W104" s="123"/>
      <c r="X104" s="123"/>
      <c r="Y104" s="124"/>
      <c r="Z104" s="125"/>
      <c r="AA104" s="125"/>
      <c r="AB104" s="125"/>
      <c r="AC104" s="125"/>
      <c r="AD104" s="125"/>
      <c r="AE104" s="123"/>
      <c r="AF104" s="123"/>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126"/>
      <c r="BV104" s="126"/>
      <c r="BW104" s="126"/>
      <c r="BX104" s="126"/>
      <c r="BY104" s="127"/>
      <c r="BZ104" s="127"/>
      <c r="CA104" s="127"/>
      <c r="CB104" s="127"/>
      <c r="CC104" s="127"/>
      <c r="CD104" s="127"/>
      <c r="CE104" s="127"/>
      <c r="CF104" s="127"/>
      <c r="CG104" s="127"/>
      <c r="CH104" s="127"/>
      <c r="CI104" s="127"/>
      <c r="CJ104" s="127"/>
      <c r="CK104" s="127"/>
      <c r="CL104" s="127"/>
      <c r="CM104" s="127"/>
      <c r="CN104" s="127"/>
      <c r="CO104" s="127"/>
      <c r="CP104" s="127"/>
      <c r="CQ104" s="127"/>
      <c r="CR104" s="127"/>
      <c r="CS104" s="127"/>
      <c r="CT104" s="127"/>
      <c r="CU104" s="127"/>
      <c r="CV104" s="127"/>
      <c r="CW104" s="127"/>
      <c r="CX104" s="127"/>
      <c r="CY104" s="127"/>
      <c r="CZ104" s="127"/>
      <c r="DA104" s="127"/>
      <c r="DB104" s="127"/>
      <c r="DC104" s="127"/>
      <c r="DD104" s="127"/>
      <c r="DE104" s="127"/>
      <c r="DF104" s="127"/>
      <c r="DG104" s="127"/>
      <c r="DH104" s="127"/>
      <c r="DI104" s="127"/>
      <c r="DJ104" s="127"/>
      <c r="DK104" s="127"/>
      <c r="DL104" s="127"/>
      <c r="DM104" s="127"/>
      <c r="DN104" s="127"/>
      <c r="DO104" s="127"/>
      <c r="DP104" s="127"/>
      <c r="DQ104" s="127"/>
      <c r="DR104" s="127"/>
      <c r="DS104" s="127"/>
      <c r="DT104" s="127"/>
      <c r="DU104" s="128"/>
      <c r="DV104" s="128"/>
      <c r="DW104" s="128"/>
      <c r="DX104" s="128"/>
      <c r="DY104" s="128"/>
      <c r="DZ104" s="128"/>
      <c r="EA104" s="128"/>
      <c r="EB104" s="128"/>
      <c r="EC104" s="128"/>
      <c r="ED104" s="128"/>
      <c r="EE104" s="128"/>
      <c r="EF104" s="128"/>
      <c r="EG104" s="128"/>
      <c r="EH104" s="128"/>
      <c r="EI104" s="128"/>
      <c r="EJ104" s="128"/>
      <c r="EK104" s="128"/>
      <c r="EL104" s="128"/>
      <c r="EM104" s="128"/>
      <c r="EN104" s="128"/>
      <c r="EO104" s="128"/>
      <c r="EP104" s="128"/>
      <c r="EQ104" s="128"/>
      <c r="ER104" s="128"/>
      <c r="ES104" s="128"/>
      <c r="ET104" s="128"/>
      <c r="EU104" s="128"/>
      <c r="EV104" s="128"/>
      <c r="EW104" s="129"/>
      <c r="EX104" s="129"/>
      <c r="EY104" s="129"/>
      <c r="EZ104" s="129"/>
      <c r="FA104" s="130"/>
      <c r="FB104" s="130"/>
      <c r="FC104" s="130"/>
      <c r="FD104" s="129"/>
      <c r="FE104" s="129"/>
      <c r="FF104" s="131"/>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B12" sqref="B12"/>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100" t="s">
        <v>159</v>
      </c>
      <c r="B1" s="38"/>
      <c r="C1" s="38"/>
      <c r="D1" s="38"/>
      <c r="E1" s="39"/>
      <c r="S1" s="40"/>
      <c r="T1" s="41"/>
      <c r="U1" s="41"/>
      <c r="V1" s="41"/>
      <c r="W1" s="41"/>
      <c r="X1" s="41"/>
      <c r="Y1" s="41"/>
      <c r="Z1" s="41"/>
      <c r="AA1" s="41"/>
      <c r="AB1" s="41"/>
      <c r="AC1" s="41"/>
      <c r="AD1" s="41"/>
      <c r="AE1" s="42"/>
      <c r="AF1" s="34"/>
    </row>
    <row r="2" spans="1:32" x14ac:dyDescent="0.2">
      <c r="A2" s="154" t="s">
        <v>114</v>
      </c>
      <c r="B2" s="155"/>
      <c r="C2" s="155"/>
      <c r="D2" s="155"/>
      <c r="E2" s="156"/>
      <c r="F2" s="169" t="s">
        <v>101</v>
      </c>
      <c r="G2" s="169"/>
      <c r="H2" s="169"/>
      <c r="I2" s="169"/>
      <c r="J2" s="169"/>
      <c r="K2" s="169"/>
      <c r="L2" s="169"/>
      <c r="M2" s="169"/>
      <c r="N2" s="169"/>
      <c r="O2" s="169"/>
      <c r="P2" s="169"/>
      <c r="Q2" s="169"/>
      <c r="R2" s="169"/>
      <c r="S2" s="167" t="s">
        <v>98</v>
      </c>
      <c r="T2" s="168"/>
      <c r="U2" s="168"/>
      <c r="V2" s="168"/>
      <c r="W2" s="168"/>
      <c r="X2" s="168"/>
      <c r="Y2" s="168"/>
      <c r="Z2" s="168"/>
      <c r="AA2" s="168"/>
      <c r="AB2" s="168"/>
      <c r="AC2" s="155"/>
      <c r="AD2" s="155"/>
      <c r="AE2" s="156"/>
      <c r="AF2" s="163"/>
    </row>
    <row r="3" spans="1:32" x14ac:dyDescent="0.2">
      <c r="A3" s="157"/>
      <c r="B3" s="158"/>
      <c r="C3" s="158"/>
      <c r="D3" s="158"/>
      <c r="E3" s="159"/>
      <c r="F3" s="165" t="s">
        <v>74</v>
      </c>
      <c r="G3" s="165"/>
      <c r="H3" s="166"/>
      <c r="I3" s="166"/>
      <c r="J3" s="160" t="s">
        <v>73</v>
      </c>
      <c r="K3" s="162"/>
      <c r="L3" s="160" t="s">
        <v>107</v>
      </c>
      <c r="M3" s="161"/>
      <c r="N3" s="161"/>
      <c r="O3" s="162"/>
      <c r="P3" s="165" t="s">
        <v>112</v>
      </c>
      <c r="Q3" s="166"/>
      <c r="R3" s="166"/>
      <c r="S3" s="157"/>
      <c r="T3" s="158"/>
      <c r="U3" s="158"/>
      <c r="V3" s="158"/>
      <c r="W3" s="158"/>
      <c r="X3" s="158"/>
      <c r="Y3" s="158"/>
      <c r="Z3" s="158"/>
      <c r="AA3" s="158"/>
      <c r="AB3" s="158"/>
      <c r="AC3" s="158"/>
      <c r="AD3" s="158"/>
      <c r="AE3" s="159"/>
      <c r="AF3" s="164"/>
    </row>
    <row r="4" spans="1:32" ht="237" hidden="1" x14ac:dyDescent="0.2">
      <c r="A4" s="32"/>
      <c r="B4" s="32"/>
      <c r="C4" s="99" t="s">
        <v>438</v>
      </c>
      <c r="D4" s="32"/>
      <c r="E4" s="32"/>
      <c r="F4" s="98"/>
      <c r="G4" s="98"/>
      <c r="H4" s="98"/>
      <c r="I4" s="98"/>
      <c r="J4" s="98"/>
      <c r="K4" s="98"/>
      <c r="L4" s="98"/>
      <c r="M4" s="98"/>
      <c r="N4" s="98"/>
      <c r="O4" s="98"/>
      <c r="P4" s="98"/>
      <c r="Q4" s="98"/>
      <c r="R4" s="98"/>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t="s">
        <v>501</v>
      </c>
      <c r="B7" s="76">
        <v>0</v>
      </c>
      <c r="C7" s="52" t="s">
        <v>416</v>
      </c>
      <c r="D7" s="52">
        <v>52</v>
      </c>
      <c r="E7" s="52"/>
      <c r="F7" s="77" t="s">
        <v>503</v>
      </c>
      <c r="G7" s="77" t="s">
        <v>505</v>
      </c>
      <c r="H7" s="77"/>
      <c r="I7" s="77"/>
      <c r="J7" s="77"/>
      <c r="K7" s="77"/>
      <c r="L7" s="77"/>
      <c r="M7" s="77"/>
      <c r="N7" s="77"/>
      <c r="O7" s="77"/>
      <c r="P7" s="77"/>
      <c r="Q7" s="77"/>
      <c r="R7" s="77"/>
      <c r="S7" s="78"/>
      <c r="T7" s="78"/>
      <c r="U7" s="78"/>
      <c r="V7" s="78"/>
      <c r="W7" s="78"/>
      <c r="X7" s="78"/>
      <c r="Y7" s="78"/>
      <c r="Z7" s="78"/>
      <c r="AA7" s="78"/>
      <c r="AB7" s="78"/>
      <c r="AC7" s="78"/>
      <c r="AD7" s="78"/>
      <c r="AE7" s="78"/>
      <c r="AF7" s="43"/>
    </row>
    <row r="8" spans="1:32" x14ac:dyDescent="0.2">
      <c r="B8" s="76">
        <v>113</v>
      </c>
      <c r="C8" s="52" t="s">
        <v>416</v>
      </c>
      <c r="D8" s="52">
        <v>50.6</v>
      </c>
      <c r="E8" s="52"/>
      <c r="F8" s="77" t="s">
        <v>504</v>
      </c>
      <c r="G8" s="77" t="s">
        <v>505</v>
      </c>
      <c r="H8" s="77"/>
      <c r="I8" s="77"/>
      <c r="J8" s="77"/>
      <c r="K8" s="77"/>
      <c r="L8" s="77"/>
      <c r="M8" s="77"/>
      <c r="N8" s="77"/>
      <c r="O8" s="77"/>
      <c r="P8" s="77"/>
      <c r="Q8" s="77"/>
      <c r="R8" s="77"/>
      <c r="S8" s="78"/>
      <c r="T8" s="78"/>
      <c r="U8" s="78"/>
      <c r="V8" s="78"/>
      <c r="W8" s="78"/>
      <c r="X8" s="78"/>
      <c r="Y8" s="78"/>
      <c r="Z8" s="78"/>
      <c r="AA8" s="78"/>
      <c r="AB8" s="78"/>
      <c r="AC8" s="78"/>
      <c r="AD8" s="78"/>
      <c r="AE8" s="78"/>
      <c r="AF8" s="43"/>
    </row>
    <row r="9" spans="1:32" x14ac:dyDescent="0.2">
      <c r="A9" s="76" t="s">
        <v>502</v>
      </c>
      <c r="B9" s="76">
        <v>0</v>
      </c>
      <c r="C9" s="52" t="s">
        <v>416</v>
      </c>
      <c r="D9" s="52">
        <v>52</v>
      </c>
      <c r="E9" s="52"/>
      <c r="F9" s="77" t="s">
        <v>503</v>
      </c>
      <c r="G9" s="77" t="s">
        <v>505</v>
      </c>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v>113</v>
      </c>
      <c r="C10" s="52" t="s">
        <v>416</v>
      </c>
      <c r="D10" s="52">
        <v>50.6</v>
      </c>
      <c r="E10" s="52"/>
      <c r="F10" s="77" t="s">
        <v>504</v>
      </c>
      <c r="G10" s="77" t="s">
        <v>505</v>
      </c>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abSelected="1" zoomScale="110" zoomScaleNormal="110" workbookViewId="0">
      <selection activeCell="C12" sqref="C12:C13"/>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70" t="s">
        <v>450</v>
      </c>
      <c r="B5" s="171"/>
      <c r="C5" s="171"/>
      <c r="D5" s="172"/>
    </row>
    <row r="6" spans="1:12" x14ac:dyDescent="0.2">
      <c r="A6" s="104"/>
      <c r="B6" s="105"/>
      <c r="D6" s="106"/>
    </row>
    <row r="7" spans="1:12" ht="17" thickBot="1" x14ac:dyDescent="0.25">
      <c r="A7" s="107" t="s">
        <v>435</v>
      </c>
      <c r="C7" s="103"/>
      <c r="D7" s="108" t="s">
        <v>433</v>
      </c>
    </row>
    <row r="8" spans="1:12" ht="20" thickBot="1" x14ac:dyDescent="0.25">
      <c r="A8" s="104"/>
      <c r="B8" s="87"/>
      <c r="C8" s="112" t="s">
        <v>444</v>
      </c>
      <c r="D8" s="119" t="s">
        <v>484</v>
      </c>
    </row>
    <row r="9" spans="1:12" ht="20" thickBot="1" x14ac:dyDescent="0.25">
      <c r="A9" s="104"/>
      <c r="B9" s="87"/>
      <c r="C9" s="112" t="s">
        <v>445</v>
      </c>
      <c r="D9" s="135" t="s">
        <v>485</v>
      </c>
    </row>
    <row r="10" spans="1:12" ht="20" thickBot="1" x14ac:dyDescent="0.3">
      <c r="A10" s="107" t="s">
        <v>434</v>
      </c>
      <c r="C10" s="113"/>
      <c r="D10" s="120"/>
    </row>
    <row r="11" spans="1:12" ht="41" thickBot="1" x14ac:dyDescent="0.25">
      <c r="A11" s="104"/>
      <c r="B11" s="87"/>
      <c r="C11" s="114" t="s">
        <v>439</v>
      </c>
      <c r="D11" s="121" t="s">
        <v>486</v>
      </c>
    </row>
    <row r="12" spans="1:12" ht="20" thickBot="1" x14ac:dyDescent="0.3">
      <c r="A12" s="104"/>
      <c r="B12" s="87"/>
      <c r="C12" s="115" t="s">
        <v>306</v>
      </c>
      <c r="D12" s="121">
        <v>2013</v>
      </c>
    </row>
    <row r="13" spans="1:12" ht="20" thickBot="1" x14ac:dyDescent="0.25">
      <c r="A13" s="104"/>
      <c r="B13" s="87"/>
      <c r="C13" s="112" t="s">
        <v>307</v>
      </c>
      <c r="D13" s="136" t="s">
        <v>506</v>
      </c>
    </row>
    <row r="14" spans="1:12" ht="20" thickBot="1" x14ac:dyDescent="0.25">
      <c r="A14" s="104"/>
      <c r="B14" s="87"/>
      <c r="C14" s="112" t="s">
        <v>308</v>
      </c>
      <c r="D14" s="121" t="s">
        <v>487</v>
      </c>
    </row>
    <row r="15" spans="1:12" ht="17" thickBot="1" x14ac:dyDescent="0.25">
      <c r="A15" s="109"/>
      <c r="B15" s="110"/>
      <c r="C15" s="110"/>
      <c r="D15" s="111"/>
    </row>
    <row r="16" spans="1:12" ht="17" thickBot="1" x14ac:dyDescent="0.25"/>
    <row r="17" spans="1:4" ht="79" customHeight="1" thickBot="1" x14ac:dyDescent="0.35">
      <c r="A17" s="170" t="s">
        <v>440</v>
      </c>
      <c r="B17" s="171"/>
      <c r="C17" s="171"/>
      <c r="D17" s="172"/>
    </row>
    <row r="18" spans="1:4" ht="17" thickBot="1" x14ac:dyDescent="0.25">
      <c r="A18" s="104"/>
      <c r="D18" s="117" t="s">
        <v>433</v>
      </c>
    </row>
    <row r="19" spans="1:4" ht="21" thickBot="1" x14ac:dyDescent="0.25">
      <c r="A19" s="104"/>
      <c r="C19" s="114" t="s">
        <v>311</v>
      </c>
      <c r="D19" s="94" t="s">
        <v>310</v>
      </c>
    </row>
    <row r="20" spans="1:4" ht="19" customHeight="1" thickBot="1" x14ac:dyDescent="0.25">
      <c r="A20" s="104"/>
      <c r="C20" s="114" t="s">
        <v>446</v>
      </c>
      <c r="D20" s="95" t="s">
        <v>310</v>
      </c>
    </row>
    <row r="21" spans="1:4" ht="24" thickBot="1" x14ac:dyDescent="0.25">
      <c r="A21" s="104"/>
      <c r="C21" s="114" t="s">
        <v>447</v>
      </c>
      <c r="D21" s="95" t="s">
        <v>310</v>
      </c>
    </row>
    <row r="22" spans="1:4" ht="24" thickBot="1" x14ac:dyDescent="0.25">
      <c r="A22" s="104"/>
      <c r="C22" s="114" t="s">
        <v>448</v>
      </c>
      <c r="D22" s="96" t="s">
        <v>309</v>
      </c>
    </row>
    <row r="23" spans="1:4" ht="24" thickBot="1" x14ac:dyDescent="0.25">
      <c r="A23" s="104"/>
      <c r="C23" s="114" t="s">
        <v>449</v>
      </c>
      <c r="D23" s="95" t="s">
        <v>310</v>
      </c>
    </row>
    <row r="24" spans="1:4" ht="21" thickBot="1" x14ac:dyDescent="0.25">
      <c r="A24" s="109"/>
      <c r="B24" s="110"/>
      <c r="C24" s="116" t="s">
        <v>312</v>
      </c>
      <c r="D24" s="97" t="s">
        <v>309</v>
      </c>
    </row>
    <row r="25" spans="1:4" ht="17" thickBot="1" x14ac:dyDescent="0.25"/>
    <row r="26" spans="1:4" ht="25" thickBot="1" x14ac:dyDescent="0.35">
      <c r="A26" s="170" t="s">
        <v>441</v>
      </c>
      <c r="B26" s="171"/>
      <c r="C26" s="171"/>
      <c r="D26" s="172"/>
    </row>
    <row r="27" spans="1:4" ht="99" thickBot="1" x14ac:dyDescent="0.35">
      <c r="A27" s="101"/>
      <c r="B27" s="101"/>
      <c r="C27" s="102" t="s">
        <v>470</v>
      </c>
      <c r="D27" s="101"/>
    </row>
    <row r="28" spans="1:4" ht="51" customHeight="1" thickBot="1" x14ac:dyDescent="0.35">
      <c r="A28" s="170" t="s">
        <v>471</v>
      </c>
      <c r="B28" s="171"/>
      <c r="C28" s="171"/>
      <c r="D28" s="172"/>
    </row>
    <row r="29" spans="1:4" ht="25" thickBot="1" x14ac:dyDescent="0.35">
      <c r="A29" s="101"/>
      <c r="B29" s="101"/>
      <c r="C29" s="101"/>
      <c r="D29" s="117" t="s">
        <v>433</v>
      </c>
    </row>
    <row r="30" spans="1:4" ht="33" thickBot="1" x14ac:dyDescent="0.35">
      <c r="A30" s="101"/>
      <c r="C30" s="92" t="s">
        <v>443</v>
      </c>
      <c r="D30" s="118">
        <v>10</v>
      </c>
    </row>
    <row r="31" spans="1:4" x14ac:dyDescent="0.2">
      <c r="A31" s="93"/>
    </row>
  </sheetData>
  <mergeCells count="4">
    <mergeCell ref="A5:D5"/>
    <mergeCell ref="A17:D17"/>
    <mergeCell ref="A26:D26"/>
    <mergeCell ref="A28:D28"/>
  </mergeCells>
  <hyperlinks>
    <hyperlink ref="D9" r:id="rId1" xr:uid="{3C462A77-C7D1-8A4D-B689-248EAF0B8433}"/>
    <hyperlink ref="D13" r:id="rId2" display="https://doi.org/10.1016/j.palaeo.2012.10.011" xr:uid="{637FF6E8-F4CF-D94B-90EC-7304926642E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2024-05-30T20:41:56Z</dcterms:modified>
</cp:coreProperties>
</file>