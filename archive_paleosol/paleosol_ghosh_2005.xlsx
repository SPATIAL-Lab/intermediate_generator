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BE4FCF34-941F-064C-9C3E-2213416E2192}" xr6:coauthVersionLast="47" xr6:coauthVersionMax="47" xr10:uidLastSave="{00000000-0000-0000-0000-000000000000}"/>
  <bookViews>
    <workbookView xWindow="-1520" yWindow="-21100" windowWidth="30240" windowHeight="1704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I8" i="1" l="1"/>
  <c r="J8" i="1"/>
  <c r="I6" i="1"/>
  <c r="I7" i="1"/>
  <c r="M7" i="1"/>
  <c r="M6" i="1"/>
  <c r="M5" i="1"/>
  <c r="M4" i="1"/>
  <c r="M8" i="1"/>
  <c r="L8" i="1"/>
  <c r="B4" i="1"/>
  <c r="C4" i="1"/>
  <c r="D4" i="1"/>
  <c r="E4" i="1"/>
  <c r="F4" i="1"/>
  <c r="G4" i="1"/>
  <c r="H4" i="1"/>
  <c r="I4" i="1"/>
  <c r="J4" i="1"/>
  <c r="K4" i="1"/>
  <c r="L4" i="1"/>
  <c r="B5" i="1"/>
  <c r="C5" i="1"/>
  <c r="D5" i="1"/>
  <c r="E5" i="1"/>
  <c r="F5" i="1"/>
  <c r="G5" i="1"/>
  <c r="H5" i="1"/>
  <c r="I5" i="1"/>
  <c r="J5" i="1"/>
  <c r="K5" i="1"/>
  <c r="L5" i="1"/>
  <c r="B6" i="1"/>
  <c r="C6" i="1"/>
  <c r="D6" i="1"/>
  <c r="E6" i="1"/>
  <c r="F6" i="1"/>
  <c r="G6" i="1"/>
  <c r="H6" i="1"/>
  <c r="J6" i="1"/>
  <c r="K6" i="1"/>
  <c r="L6" i="1"/>
  <c r="B7" i="1"/>
  <c r="C7" i="1"/>
  <c r="D7" i="1"/>
  <c r="E7" i="1"/>
  <c r="F7" i="1"/>
  <c r="G7" i="1"/>
  <c r="H7" i="1"/>
  <c r="J7" i="1"/>
  <c r="K7" i="1"/>
  <c r="L7" i="1"/>
  <c r="K8" i="1"/>
  <c r="B8" i="1"/>
  <c r="D8" i="1"/>
  <c r="C8" i="1"/>
  <c r="E8" i="1"/>
  <c r="H8" i="1"/>
  <c r="G8" i="1"/>
  <c r="F8" i="1"/>
</calcChain>
</file>

<file path=xl/sharedStrings.xml><?xml version="1.0" encoding="utf-8"?>
<sst xmlns="http://schemas.openxmlformats.org/spreadsheetml/2006/main" count="1226" uniqueCount="516">
  <si>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</si>
  <si>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</si>
  <si>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</si>
  <si>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</si>
  <si>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</si>
  <si>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</si>
  <si>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</si>
  <si>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</si>
  <si>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</si>
  <si>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</si>
  <si>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</si>
  <si>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</si>
  <si>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</si>
  <si>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</si>
  <si>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</si>
  <si>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</si>
  <si>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</si>
  <si>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</si>
  <si>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</si>
  <si>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</si>
  <si>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</si>
  <si>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</si>
  <si>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</si>
  <si>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</si>
  <si>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</si>
  <si>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</si>
  <si>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</si>
  <si>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</si>
  <si>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</si>
  <si>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</si>
  <si>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</si>
  <si>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</si>
  <si>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</si>
  <si>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</si>
  <si>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</si>
  <si>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</si>
  <si>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</si>
  <si>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</si>
  <si>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</si>
  <si>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</si>
  <si>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</si>
  <si>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</si>
  <si>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</si>
  <si>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</si>
  <si>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</si>
  <si>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</si>
  <si>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</si>
  <si>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</si>
  <si>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</si>
  <si>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</si>
  <si>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</si>
  <si>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</si>
  <si>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</si>
  <si>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</si>
  <si>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</si>
  <si>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</si>
  <si>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</si>
  <si>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</si>
  <si>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</si>
  <si>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</si>
  <si>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</si>
  <si>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</si>
  <si>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</si>
  <si>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</si>
  <si>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</si>
  <si>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</si>
  <si>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</si>
  <si>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</si>
  <si>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</si>
  <si>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</si>
  <si>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</si>
  <si>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</si>
  <si>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</si>
  <si>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</si>
  <si>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</si>
  <si>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</si>
  <si>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</si>
  <si>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</si>
  <si>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</si>
  <si>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</si>
  <si>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</si>
  <si>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</si>
  <si>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</si>
  <si>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</si>
  <si>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</si>
  <si>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</si>
  <si>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</si>
  <si>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</si>
  <si>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</si>
  <si>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</si>
  <si>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</si>
  <si>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</si>
  <si>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</si>
  <si>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</si>
  <si>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</si>
  <si>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</si>
  <si>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</si>
  <si>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</si>
  <si>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</si>
  <si>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</si>
  <si>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</si>
  <si>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</si>
  <si>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</si>
  <si>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</si>
  <si>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</si>
  <si>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</si>
  <si>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</si>
  <si>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</si>
  <si>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</si>
  <si>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</si>
  <si>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</si>
  <si>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</si>
  <si>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</si>
  <si>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</si>
  <si>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</si>
  <si>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</si>
  <si>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</si>
  <si>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</si>
  <si>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</si>
  <si>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</si>
  <si>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</si>
  <si>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</si>
  <si>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</si>
  <si>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</si>
  <si>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</si>
  <si>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</si>
  <si>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</si>
  <si>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</si>
  <si>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</si>
  <si>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</si>
  <si>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</si>
  <si>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</si>
  <si>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</si>
  <si>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</si>
  <si>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</si>
  <si>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</si>
  <si>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</si>
  <si>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</si>
  <si>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</si>
  <si>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</si>
  <si>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</si>
  <si>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</si>
  <si>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</si>
  <si>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</si>
  <si>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</si>
  <si>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</si>
  <si>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</si>
  <si>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</si>
  <si>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</si>
  <si>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</si>
  <si>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</si>
  <si>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</si>
  <si>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</si>
  <si>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</si>
  <si>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</si>
  <si>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</si>
  <si>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</si>
  <si>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</si>
  <si>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</si>
  <si>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</si>
  <si>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</si>
  <si>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</si>
  <si>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</si>
  <si>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</si>
  <si>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</si>
  <si>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</si>
  <si>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</si>
  <si>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</si>
  <si>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</si>
  <si>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</si>
  <si>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</si>
  <si>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</si>
  <si>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</si>
  <si>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</si>
  <si>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</si>
  <si>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</si>
  <si>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</si>
  <si>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</si>
  <si>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</si>
  <si>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</si>
  <si>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</si>
  <si>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</si>
  <si>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</si>
  <si>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</si>
  <si>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</si>
  <si>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</si>
  <si>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</si>
  <si>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</si>
  <si>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</si>
  <si>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</si>
  <si>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</si>
  <si>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</si>
  <si>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</si>
  <si>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</si>
  <si>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</si>
  <si>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</si>
  <si>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</si>
  <si>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</si>
  <si>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</si>
  <si>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</si>
  <si>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</si>
  <si>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</si>
  <si>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</si>
  <si>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</si>
  <si>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</si>
  <si>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</si>
  <si>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</si>
  <si>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</si>
  <si>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</si>
  <si>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</si>
  <si>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</si>
  <si>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</si>
  <si>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</si>
  <si>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</si>
  <si>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</si>
  <si>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</si>
  <si>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</si>
  <si>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</si>
  <si>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</si>
  <si>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</si>
  <si>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</si>
  <si>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</si>
  <si>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</si>
  <si>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</si>
  <si>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</si>
  <si>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</si>
  <si>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</si>
  <si>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</si>
  <si>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</si>
  <si>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</si>
  <si>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</si>
  <si>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</si>
  <si>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</si>
  <si>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</si>
  <si>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</si>
  <si>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</si>
  <si>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</si>
  <si>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</si>
  <si>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</si>
  <si>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</si>
  <si>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</si>
  <si>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</si>
  <si>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</si>
  <si>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</si>
  <si>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</si>
  <si>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</si>
  <si>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</si>
  <si>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</si>
  <si>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</si>
  <si>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</si>
  <si>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</si>
  <si>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</si>
  <si>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</si>
  <si>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</si>
  <si>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</si>
  <si>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</si>
  <si>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</si>
  <si>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</si>
  <si>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</si>
  <si>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</si>
  <si>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</si>
  <si>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</si>
  <si>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</si>
  <si>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</si>
  <si>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</si>
  <si>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</si>
  <si>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</si>
  <si>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</si>
  <si>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</si>
  <si>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</si>
  <si>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</si>
  <si>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</si>
  <si>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</si>
  <si>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</si>
  <si>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</si>
  <si>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</si>
  <si>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</si>
  <si>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</si>
  <si>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</si>
  <si>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</si>
  <si>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</si>
  <si>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</si>
  <si>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</si>
  <si>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</si>
  <si>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</si>
  <si>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</si>
  <si>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</si>
  <si>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</si>
  <si>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</si>
  <si>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</si>
  <si>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</si>
  <si>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</si>
  <si>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</si>
  <si>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</si>
  <si>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</si>
  <si>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</si>
  <si>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</si>
  <si>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</si>
  <si>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</si>
  <si>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</si>
  <si>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</si>
  <si>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</si>
  <si>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</si>
  <si>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</si>
  <si>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</si>
  <si>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</si>
  <si>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</si>
  <si>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</si>
  <si>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</si>
  <si>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</si>
  <si>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</si>
  <si>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</si>
  <si>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</si>
  <si>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</si>
  <si>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</si>
  <si>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</si>
  <si>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</si>
  <si>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</si>
  <si>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</si>
  <si>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</si>
  <si>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</si>
  <si>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</si>
  <si>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</si>
  <si>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</si>
  <si>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</si>
  <si>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</si>
  <si>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</si>
  <si>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</si>
  <si>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</si>
  <si>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</si>
  <si>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</si>
  <si>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</si>
  <si>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</si>
  <si>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</si>
  <si>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</si>
  <si>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</si>
  <si>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</si>
  <si>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</si>
  <si>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</si>
  <si>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</si>
  <si>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</si>
  <si>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</si>
  <si>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</si>
  <si>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</si>
  <si>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</si>
  <si>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</si>
  <si>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</si>
  <si>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</si>
  <si>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</si>
  <si>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</si>
  <si>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</si>
  <si>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</si>
  <si>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</si>
  <si>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</si>
  <si>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</si>
  <si>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</si>
  <si>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</si>
  <si>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</si>
  <si>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</si>
  <si>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</si>
  <si>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</si>
  <si>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</si>
  <si>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</si>
  <si>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</si>
  <si>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</si>
  <si>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</si>
  <si>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</si>
  <si>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</si>
  <si>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</si>
  <si>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</si>
  <si>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</si>
  <si>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</si>
  <si>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</si>
  <si>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</si>
  <si>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</si>
  <si>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</si>
  <si>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</si>
  <si>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</si>
  <si>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</si>
  <si>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</si>
  <si>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</si>
  <si>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</si>
  <si>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</si>
  <si>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</si>
  <si>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</si>
  <si>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</si>
  <si>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</si>
  <si>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</si>
  <si>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</si>
  <si>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</si>
  <si>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</si>
  <si>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</si>
  <si>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</si>
  <si>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</si>
  <si>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</si>
  <si>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</si>
  <si>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</si>
  <si>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</si>
  <si>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</si>
  <si>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</si>
  <si>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</si>
  <si>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</si>
  <si>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</si>
  <si>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</si>
  <si>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</si>
  <si>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</si>
  <si>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</si>
  <si>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</si>
  <si>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</si>
  <si>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</si>
  <si>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</si>
  <si>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</si>
  <si>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</si>
  <si>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</si>
  <si>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</si>
  <si>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</si>
  <si>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</si>
  <si>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</si>
  <si>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</si>
  <si>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</si>
  <si>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</si>
  <si>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</si>
  <si>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</si>
  <si>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</si>
  <si>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</si>
  <si>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</si>
  <si>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</si>
  <si>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</si>
  <si>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</si>
  <si>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</si>
  <si>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</si>
  <si>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</si>
  <si>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</si>
  <si>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</si>
  <si>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</si>
  <si>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</si>
  <si>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</si>
  <si>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</si>
  <si>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</si>
  <si>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</si>
  <si>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</si>
  <si>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</si>
  <si>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</si>
  <si>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</si>
  <si>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</si>
  <si>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</si>
  <si>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</si>
  <si>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</si>
  <si>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</si>
  <si>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</si>
  <si>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</si>
  <si>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</si>
  <si>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</si>
  <si>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</si>
  <si>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</si>
  <si>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</si>
  <si>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</si>
  <si>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</si>
  <si>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</si>
  <si>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</si>
  <si>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</si>
  <si>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</si>
  <si>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</si>
  <si>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</si>
  <si>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</si>
  <si>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</si>
  <si>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</si>
  <si>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</si>
  <si>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</si>
  <si>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</si>
  <si>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</si>
  <si>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</si>
  <si>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</si>
  <si>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</si>
  <si>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</si>
  <si>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</si>
  <si>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</si>
  <si>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</si>
  <si>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</si>
  <si>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</si>
  <si>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</si>
  <si>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</si>
  <si>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</si>
  <si>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</si>
  <si>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</si>
  <si>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</si>
  <si>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Ghosh</t>
  </si>
  <si>
    <t>Ghosh P, Bhattacharya S K, Ghosh P. Atmospheric CO2 during the Late Paleozoic and Mesozoic: estimates from Indian soils[M]//A history of atmospheric CO2 and its effects on plants, animals, and ecosystems. New York, NY: Springer New York, 2005: 8-34.</t>
  </si>
  <si>
    <t>Lameta</t>
  </si>
  <si>
    <t>Ghosh P, Bhattacharya S K, Jani R A. Palaeoclimate and palaeovegetation in central India during the Upper Cretaceous based on stable isotope composition of the palaeosol carbonates[J]. Palaeogeography, Palaeoclimatology, Palaeoecology, 1995, 114(2-4): 285-296.</t>
  </si>
  <si>
    <t>assuming 21‰ fractionation between d13Ca and d13Corg</t>
  </si>
  <si>
    <t>Mora et al., 1996</t>
  </si>
  <si>
    <t>paleolatitude, maximum monthly temperature</t>
  </si>
  <si>
    <t>Ekart et al., 1999</t>
  </si>
  <si>
    <t>3000-5000</t>
  </si>
  <si>
    <t>aridisol</t>
  </si>
  <si>
    <t>&gt;25</t>
  </si>
  <si>
    <t>B</t>
  </si>
  <si>
    <t>Motur</t>
  </si>
  <si>
    <t>Denwa</t>
  </si>
  <si>
    <t>Tiki</t>
  </si>
  <si>
    <t>Bagra</t>
  </si>
  <si>
    <t>Mora et al., 1992</t>
  </si>
  <si>
    <t>Mora et al., 1993</t>
  </si>
  <si>
    <t>Mora et al., 1994</t>
  </si>
  <si>
    <t>Mora et al., 1995</t>
  </si>
  <si>
    <t>Ekart et al., 1995</t>
  </si>
  <si>
    <t>Ekart et al., 1996</t>
  </si>
  <si>
    <t>Ekart et al., 1997</t>
  </si>
  <si>
    <t>Ekart et al., 1998</t>
  </si>
  <si>
    <t>S(z)</t>
  </si>
  <si>
    <t>Ghosh P, Ghosh P, Bhattacharya S K. CO2 levels in the Late Palaeozoic and Mesozoic atmosphere from soil carbonate and organic matter, Satpura basin, Central India[J]. Palaeogeography, palaeoclimatology, palaeoecology, 2001, 170(3-4): 219-236.</t>
  </si>
  <si>
    <t>Ghosh et al (1995) provided the isotopic data for Lameta formation</t>
  </si>
  <si>
    <t>Ghosh et al (2001) provided the isotope data for Motur, Denwa, and Bagra formation.</t>
  </si>
  <si>
    <t>10.1007/0-387-27048-5_2</t>
  </si>
  <si>
    <t xml:space="preserve">paleosol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</si>
</sst>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6">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4" xfId="0" applyBorder="1"/>
    <xf numFmtId="0" fontId="23" fillId="0" borderId="0" xfId="0" applyFont="1"/>
    <xf numFmtId="0" fontId="0" fillId="0" borderId="25" xfId="0" applyBorder="1"/>
    <xf numFmtId="0" fontId="36" fillId="0" borderId="24" xfId="0" applyFont="1" applyBorder="1"/>
    <xf numFmtId="0" fontId="39"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30" xfId="0" applyFont="1" applyBorder="1" applyAlignment="1">
      <alignment vertical="center" wrapText="1"/>
    </xf>
    <xf numFmtId="0" fontId="39" fillId="0" borderId="18" xfId="0" applyFont="1" applyBorder="1" applyAlignment="1">
      <alignment horizontal="center"/>
    </xf>
    <xf numFmtId="0" fontId="0" fillId="4" borderId="32" xfId="0" applyFill="1" applyBorder="1"/>
    <xf numFmtId="0" fontId="42" fillId="4" borderId="26" xfId="0" applyFont="1" applyFill="1" applyBorder="1"/>
    <xf numFmtId="0" fontId="42" fillId="0" borderId="25" xfId="0" applyFont="1" applyBorder="1"/>
    <xf numFmtId="0" fontId="42" fillId="4" borderId="27"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11" fillId="4" borderId="28" xfId="9" applyFill="1" applyBorder="1" applyAlignment="1">
      <alignment wrapText="1"/>
    </xf>
    <xf numFmtId="0" fontId="42" fillId="4" borderId="27" xfId="0" applyFont="1" applyFill="1" applyBorder="1" applyAlignment="1">
      <alignment wrapText="1"/>
    </xf>
    <xf numFmtId="2" fontId="15" fillId="2" borderId="6" xfId="0" applyNumberFormat="1" applyFont="1" applyFill="1" applyBorder="1"/>
    <xf numFmtId="1" fontId="3" fillId="5" borderId="4" xfId="0" applyNumberFormat="1" applyFont="1" applyFill="1" applyBorder="1"/>
    <xf numFmtId="0" fontId="46" fillId="0" borderId="21" xfId="0" applyFont="1" applyBorder="1" applyAlignment="1">
      <alignment horizontal="left" wrapText="1"/>
    </xf>
    <xf numFmtId="0" fontId="46" fillId="0" borderId="22" xfId="0" applyFont="1" applyBorder="1" applyAlignment="1">
      <alignment horizontal="left" wrapText="1"/>
    </xf>
    <xf numFmtId="0" fontId="46" fillId="0" borderId="23"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10">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oi.org/10.1007/0-387-27048-5_2" TargetMode="External"/><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3"/>
  <sheetViews>
    <sheetView tabSelected="1" zoomScaleNormal="100" workbookViewId="0">
      <selection activeCell="A7" sqref="A7"/>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51" t="s">
        <v>0</v>
      </c>
      <c r="L1" s="151"/>
      <c r="M1" s="151"/>
      <c r="N1" s="151"/>
      <c r="O1" s="151"/>
      <c r="P1" s="152" t="s">
        <v>1</v>
      </c>
      <c r="Q1" s="152"/>
      <c r="R1" s="152"/>
      <c r="S1" s="152"/>
      <c r="T1" s="152"/>
      <c r="U1" s="152"/>
      <c r="V1" s="152"/>
      <c r="W1" s="152"/>
      <c r="X1" s="152"/>
      <c r="Y1" s="152"/>
      <c r="Z1" s="152"/>
      <c r="AA1" s="152"/>
      <c r="AB1" s="152"/>
      <c r="AC1" s="152"/>
      <c r="AD1" s="152"/>
      <c r="AE1" s="46"/>
      <c r="AF1" s="25"/>
      <c r="AG1" s="153" t="s">
        <v>2</v>
      </c>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4"/>
      <c r="BI1" s="154"/>
      <c r="BJ1" s="154"/>
      <c r="BK1" s="154"/>
      <c r="BL1" s="154"/>
      <c r="BM1" s="154"/>
      <c r="BN1" s="154"/>
      <c r="BO1" s="154"/>
      <c r="BP1" s="154"/>
      <c r="BQ1" s="154"/>
      <c r="BR1" s="154"/>
      <c r="BS1" s="154"/>
      <c r="BT1" s="154"/>
      <c r="BU1" s="154"/>
      <c r="BV1" s="154"/>
      <c r="BW1" s="154"/>
      <c r="BX1" s="155"/>
      <c r="BY1" s="156" t="s">
        <v>3</v>
      </c>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157"/>
      <c r="CX1" s="157"/>
      <c r="CY1" s="157"/>
      <c r="CZ1" s="157"/>
      <c r="DA1" s="157"/>
      <c r="DB1" s="157"/>
      <c r="DC1" s="157"/>
      <c r="DD1" s="157"/>
      <c r="DE1" s="157"/>
      <c r="DF1" s="157"/>
      <c r="DG1" s="157"/>
      <c r="DH1" s="157"/>
      <c r="DI1" s="157"/>
      <c r="DJ1" s="157"/>
      <c r="DK1" s="157"/>
      <c r="DL1" s="157"/>
      <c r="DM1" s="157"/>
      <c r="DN1" s="157"/>
      <c r="DO1" s="157"/>
      <c r="DP1" s="157"/>
      <c r="DQ1" s="10"/>
      <c r="DR1" s="10"/>
      <c r="DS1" s="10"/>
      <c r="DT1" s="10"/>
      <c r="DU1" s="158" t="s">
        <v>469</v>
      </c>
      <c r="DV1" s="159"/>
      <c r="DW1" s="159"/>
      <c r="DX1" s="159"/>
      <c r="DY1" s="159"/>
      <c r="DZ1" s="159"/>
      <c r="EA1" s="159"/>
      <c r="EB1" s="159"/>
      <c r="EC1" s="159"/>
      <c r="ED1" s="159"/>
      <c r="EE1" s="159"/>
      <c r="EF1" s="159"/>
      <c r="EG1" s="159"/>
      <c r="EH1" s="159"/>
      <c r="EI1" s="159"/>
      <c r="EJ1" s="159"/>
      <c r="EK1" s="159"/>
      <c r="EL1" s="159"/>
      <c r="EM1" s="159"/>
      <c r="EN1" s="159"/>
      <c r="EO1" s="159"/>
      <c r="EP1" s="159"/>
      <c r="EQ1" s="13"/>
      <c r="ER1" s="48"/>
      <c r="ES1" s="13"/>
      <c r="ET1" s="13"/>
      <c r="EU1" s="13"/>
      <c r="EV1" s="13"/>
      <c r="EW1" s="149" t="s">
        <v>4</v>
      </c>
      <c r="EX1" s="150"/>
      <c r="EY1" s="150"/>
      <c r="EZ1" s="150"/>
      <c r="FA1" s="150"/>
      <c r="FB1" s="150"/>
      <c r="FC1" s="150"/>
      <c r="FD1" s="150"/>
      <c r="FE1" s="150"/>
      <c r="FF1" s="37"/>
    </row>
    <row r="2" spans="1:162" s="19" customFormat="1" ht="169" customHeight="1" x14ac:dyDescent="0.25">
      <c r="A2" s="24"/>
      <c r="B2" s="146" t="s">
        <v>477</v>
      </c>
      <c r="C2" s="147"/>
      <c r="D2" s="148"/>
      <c r="E2" s="143" t="s">
        <v>476</v>
      </c>
      <c r="F2" s="144"/>
      <c r="G2" s="144"/>
      <c r="H2" s="144"/>
      <c r="I2" s="144"/>
      <c r="J2" s="145"/>
      <c r="K2" s="146" t="s">
        <v>477</v>
      </c>
      <c r="L2" s="147"/>
      <c r="M2" s="148"/>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2" t="s">
        <v>25</v>
      </c>
      <c r="F3" s="133" t="s">
        <v>472</v>
      </c>
      <c r="G3" s="133" t="s">
        <v>473</v>
      </c>
      <c r="H3" s="134" t="s">
        <v>27</v>
      </c>
      <c r="I3" s="133" t="s">
        <v>474</v>
      </c>
      <c r="J3" s="133"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515</v>
      </c>
      <c r="B4" s="50" t="str">
        <f>'Start here when entering data'!$D$11</f>
        <v>Ghosh</v>
      </c>
      <c r="C4" s="50">
        <f>'Start here when entering data'!$D$12</f>
        <v>2005</v>
      </c>
      <c r="D4" s="3" t="str">
        <f>'Start here when entering data'!$D$13</f>
        <v>10.1007/0-387-27048-5_2</v>
      </c>
      <c r="E4" s="75">
        <f t="shared" ref="E4:E7" si="0">IF( Z4="NA","NA",Z4*1000)</f>
        <v>275000</v>
      </c>
      <c r="F4" s="75">
        <f t="shared" ref="F4:F7" si="1">IF( AA4="NA","NA",AA4*1000)</f>
        <v>15000</v>
      </c>
      <c r="G4" s="51">
        <f t="shared" ref="G4:G7" si="2">IF( AB4="NA","NA",AB4*1000)</f>
        <v>15000</v>
      </c>
      <c r="H4" s="84">
        <f t="shared" ref="H4:H7" si="3">IF(EX4="NA",EW4,EX4)</f>
        <v>715</v>
      </c>
      <c r="I4" s="84">
        <f t="shared" ref="I4:I7" si="4">IF( EY4="NA","NA",EY4)</f>
        <v>175</v>
      </c>
      <c r="J4" s="84">
        <f t="shared" ref="J4:J7" si="5">IF( EZ4="NA","NA",EZ4)</f>
        <v>175</v>
      </c>
      <c r="K4" s="85" t="str">
        <f>'Start here when entering data'!$D$8</f>
        <v>Jiawei Da</v>
      </c>
      <c r="L4" s="35" t="str">
        <f>'Start here when entering data'!$D$9</f>
        <v>jiawei@utexas.edu</v>
      </c>
      <c r="M4" s="86" t="str">
        <f>'Start here when entering data'!$D$14</f>
        <v>Ghosh P, Bhattacharya S K, Ghosh P. Atmospheric CO2 during the Late Paleozoic and Mesozoic: estimates from Indian soils[M]//A history of atmospheric CO2 and its effects on plants, animals, and ecosystems. New York, NY: Springer New York, 2005: 8-34.</v>
      </c>
      <c r="N4" s="122" t="s">
        <v>511</v>
      </c>
      <c r="O4" s="122" t="s">
        <v>513</v>
      </c>
      <c r="P4" s="123" t="s">
        <v>26</v>
      </c>
      <c r="Q4" s="123" t="s">
        <v>498</v>
      </c>
      <c r="R4" s="123">
        <v>22.2</v>
      </c>
      <c r="S4" s="123">
        <v>78.680000000000007</v>
      </c>
      <c r="T4" s="123" t="s">
        <v>26</v>
      </c>
      <c r="U4" s="123" t="s">
        <v>26</v>
      </c>
      <c r="V4" s="123" t="s">
        <v>26</v>
      </c>
      <c r="W4" s="123" t="s">
        <v>26</v>
      </c>
      <c r="X4" s="123" t="s">
        <v>26</v>
      </c>
      <c r="Y4" s="124" t="s">
        <v>26</v>
      </c>
      <c r="Z4" s="125">
        <v>275</v>
      </c>
      <c r="AA4" s="125">
        <v>15</v>
      </c>
      <c r="AB4" s="125">
        <v>15</v>
      </c>
      <c r="AC4" s="125" t="s">
        <v>26</v>
      </c>
      <c r="AD4" s="125" t="s">
        <v>26</v>
      </c>
      <c r="AE4" s="123" t="s">
        <v>26</v>
      </c>
      <c r="AF4" s="123" t="s">
        <v>26</v>
      </c>
      <c r="AG4" s="126">
        <v>-6.5</v>
      </c>
      <c r="AH4" s="126">
        <v>1.6</v>
      </c>
      <c r="AI4" s="126">
        <v>21</v>
      </c>
      <c r="AJ4" s="126" t="s">
        <v>511</v>
      </c>
      <c r="AK4" s="126">
        <v>-23.5</v>
      </c>
      <c r="AL4" s="126">
        <v>1</v>
      </c>
      <c r="AM4" s="126">
        <v>8</v>
      </c>
      <c r="AN4" s="126" t="s">
        <v>26</v>
      </c>
      <c r="AO4" s="126" t="s">
        <v>26</v>
      </c>
      <c r="AP4" s="126" t="s">
        <v>26</v>
      </c>
      <c r="AQ4" s="126" t="s">
        <v>511</v>
      </c>
      <c r="AR4" s="126" t="s">
        <v>26</v>
      </c>
      <c r="AS4" s="126" t="s">
        <v>26</v>
      </c>
      <c r="AT4" s="126" t="s">
        <v>26</v>
      </c>
      <c r="AU4" s="126" t="s">
        <v>26</v>
      </c>
      <c r="AV4" s="126">
        <v>-12.3</v>
      </c>
      <c r="AW4" s="126">
        <v>1.8</v>
      </c>
      <c r="AX4" s="126">
        <v>21</v>
      </c>
      <c r="AY4" s="126" t="s">
        <v>511</v>
      </c>
      <c r="AZ4" s="126" t="s">
        <v>26</v>
      </c>
      <c r="BA4" s="126" t="s">
        <v>26</v>
      </c>
      <c r="BB4" s="126" t="s">
        <v>26</v>
      </c>
      <c r="BC4" s="126" t="s">
        <v>26</v>
      </c>
      <c r="BD4" s="126" t="s">
        <v>26</v>
      </c>
      <c r="BE4" s="126" t="s">
        <v>26</v>
      </c>
      <c r="BF4" s="126" t="s">
        <v>26</v>
      </c>
      <c r="BG4" s="126" t="s">
        <v>26</v>
      </c>
      <c r="BH4" s="126" t="s">
        <v>26</v>
      </c>
      <c r="BI4" s="126" t="s">
        <v>26</v>
      </c>
      <c r="BJ4" s="126" t="s">
        <v>26</v>
      </c>
      <c r="BK4" s="126" t="s">
        <v>26</v>
      </c>
      <c r="BL4" s="126" t="s">
        <v>26</v>
      </c>
      <c r="BM4" s="126" t="s">
        <v>26</v>
      </c>
      <c r="BN4" s="126" t="s">
        <v>26</v>
      </c>
      <c r="BO4" s="126" t="s">
        <v>26</v>
      </c>
      <c r="BP4" s="126" t="s">
        <v>26</v>
      </c>
      <c r="BQ4" s="126" t="s">
        <v>26</v>
      </c>
      <c r="BR4" s="126" t="s">
        <v>26</v>
      </c>
      <c r="BS4" s="126" t="s">
        <v>26</v>
      </c>
      <c r="BT4" s="126" t="s">
        <v>26</v>
      </c>
      <c r="BU4" s="126" t="s">
        <v>26</v>
      </c>
      <c r="BV4" s="126" t="s">
        <v>26</v>
      </c>
      <c r="BW4" s="126" t="s">
        <v>26</v>
      </c>
      <c r="BX4" s="126" t="s">
        <v>26</v>
      </c>
      <c r="BY4" s="127">
        <v>-23.5</v>
      </c>
      <c r="BZ4" s="127" t="s">
        <v>324</v>
      </c>
      <c r="CA4" s="127" t="s">
        <v>26</v>
      </c>
      <c r="CB4" s="127" t="s">
        <v>26</v>
      </c>
      <c r="CC4" s="127" t="s">
        <v>26</v>
      </c>
      <c r="CD4" s="127" t="s">
        <v>26</v>
      </c>
      <c r="CE4" s="127" t="s">
        <v>26</v>
      </c>
      <c r="CF4" s="127" t="s">
        <v>26</v>
      </c>
      <c r="CG4" s="127">
        <v>-2.5</v>
      </c>
      <c r="CH4" s="127" t="s">
        <v>330</v>
      </c>
      <c r="CI4" s="127" t="s">
        <v>490</v>
      </c>
      <c r="CJ4" s="127" t="s">
        <v>502</v>
      </c>
      <c r="CK4" s="127" t="s">
        <v>26</v>
      </c>
      <c r="CL4" s="127" t="s">
        <v>26</v>
      </c>
      <c r="CM4" s="127" t="s">
        <v>26</v>
      </c>
      <c r="CN4" s="127" t="s">
        <v>26</v>
      </c>
      <c r="CO4" s="127">
        <v>20</v>
      </c>
      <c r="CP4" s="127" t="s">
        <v>330</v>
      </c>
      <c r="CQ4" s="127" t="s">
        <v>492</v>
      </c>
      <c r="CR4" s="127" t="s">
        <v>506</v>
      </c>
      <c r="CS4" s="127" t="s">
        <v>26</v>
      </c>
      <c r="CT4" s="127" t="s">
        <v>26</v>
      </c>
      <c r="CU4" s="127" t="s">
        <v>26</v>
      </c>
      <c r="CV4" s="127" t="s">
        <v>26</v>
      </c>
      <c r="CW4" s="127" t="s">
        <v>26</v>
      </c>
      <c r="CX4" s="127" t="s">
        <v>26</v>
      </c>
      <c r="CY4" s="127" t="s">
        <v>26</v>
      </c>
      <c r="CZ4" s="127" t="s">
        <v>26</v>
      </c>
      <c r="DA4" s="127" t="s">
        <v>26</v>
      </c>
      <c r="DB4" s="127" t="s">
        <v>26</v>
      </c>
      <c r="DC4" s="127" t="s">
        <v>26</v>
      </c>
      <c r="DD4" s="127" t="s">
        <v>26</v>
      </c>
      <c r="DE4" s="127" t="s">
        <v>26</v>
      </c>
      <c r="DF4" s="127" t="s">
        <v>26</v>
      </c>
      <c r="DG4" s="127" t="s">
        <v>26</v>
      </c>
      <c r="DH4" s="127" t="s">
        <v>26</v>
      </c>
      <c r="DI4" s="127" t="s">
        <v>26</v>
      </c>
      <c r="DJ4" s="127" t="s">
        <v>26</v>
      </c>
      <c r="DK4" s="127" t="s">
        <v>26</v>
      </c>
      <c r="DL4" s="127" t="s">
        <v>26</v>
      </c>
      <c r="DM4" s="127" t="s">
        <v>494</v>
      </c>
      <c r="DN4" s="127" t="s">
        <v>26</v>
      </c>
      <c r="DO4" s="127" t="s">
        <v>26</v>
      </c>
      <c r="DP4" s="127" t="s">
        <v>26</v>
      </c>
      <c r="DQ4" s="127" t="s">
        <v>26</v>
      </c>
      <c r="DR4" s="127" t="s">
        <v>26</v>
      </c>
      <c r="DS4" s="127" t="s">
        <v>26</v>
      </c>
      <c r="DT4" s="127" t="s">
        <v>26</v>
      </c>
      <c r="DU4" s="128" t="s">
        <v>495</v>
      </c>
      <c r="DV4" s="128" t="s">
        <v>355</v>
      </c>
      <c r="DW4" s="128" t="s">
        <v>26</v>
      </c>
      <c r="DX4" s="128" t="s">
        <v>26</v>
      </c>
      <c r="DY4" s="128" t="s">
        <v>26</v>
      </c>
      <c r="DZ4" s="128" t="s">
        <v>363</v>
      </c>
      <c r="EA4" s="128" t="s">
        <v>365</v>
      </c>
      <c r="EB4" s="128" t="s">
        <v>26</v>
      </c>
      <c r="EC4" s="128" t="s">
        <v>496</v>
      </c>
      <c r="ED4" s="128" t="s">
        <v>26</v>
      </c>
      <c r="EE4" s="128" t="s">
        <v>26</v>
      </c>
      <c r="EF4" s="128" t="s">
        <v>26</v>
      </c>
      <c r="EG4" s="128" t="s">
        <v>26</v>
      </c>
      <c r="EH4" s="128" t="s">
        <v>26</v>
      </c>
      <c r="EI4" s="128" t="s">
        <v>26</v>
      </c>
      <c r="EJ4" s="128" t="s">
        <v>26</v>
      </c>
      <c r="EK4" s="128" t="s">
        <v>497</v>
      </c>
      <c r="EL4" s="128" t="s">
        <v>26</v>
      </c>
      <c r="EM4" s="128" t="s">
        <v>26</v>
      </c>
      <c r="EN4" s="128" t="s">
        <v>26</v>
      </c>
      <c r="EO4" s="128" t="s">
        <v>26</v>
      </c>
      <c r="EP4" s="128" t="s">
        <v>26</v>
      </c>
      <c r="EQ4" s="128" t="s">
        <v>26</v>
      </c>
      <c r="ER4" s="128" t="s">
        <v>26</v>
      </c>
      <c r="ES4" s="128" t="s">
        <v>26</v>
      </c>
      <c r="ET4" s="128" t="s">
        <v>26</v>
      </c>
      <c r="EU4" s="128" t="s">
        <v>26</v>
      </c>
      <c r="EV4" s="128" t="s">
        <v>26</v>
      </c>
      <c r="EW4" s="129">
        <v>715</v>
      </c>
      <c r="EX4" s="129" t="s">
        <v>26</v>
      </c>
      <c r="EY4" s="129">
        <v>175</v>
      </c>
      <c r="EZ4" s="129">
        <v>175</v>
      </c>
      <c r="FA4" s="130" t="s">
        <v>510</v>
      </c>
      <c r="FB4" s="130" t="s">
        <v>26</v>
      </c>
      <c r="FC4" s="130" t="s">
        <v>26</v>
      </c>
      <c r="FD4" s="129" t="s">
        <v>26</v>
      </c>
      <c r="FE4" s="129" t="s">
        <v>26</v>
      </c>
      <c r="FF4" s="131" t="s">
        <v>26</v>
      </c>
    </row>
    <row r="5" spans="1:162" ht="19" customHeight="1" x14ac:dyDescent="0.2">
      <c r="A5" s="3" t="s">
        <v>515</v>
      </c>
      <c r="B5" s="50" t="str">
        <f>'Start here when entering data'!$D$11</f>
        <v>Ghosh</v>
      </c>
      <c r="C5" s="50">
        <f>'Start here when entering data'!$D$12</f>
        <v>2005</v>
      </c>
      <c r="D5" s="3" t="str">
        <f>'Start here when entering data'!$D$13</f>
        <v>10.1007/0-387-27048-5_2</v>
      </c>
      <c r="E5" s="75">
        <f t="shared" si="0"/>
        <v>235000</v>
      </c>
      <c r="F5" s="75">
        <f t="shared" si="1"/>
        <v>5000</v>
      </c>
      <c r="G5" s="51">
        <f t="shared" si="2"/>
        <v>5000</v>
      </c>
      <c r="H5" s="84">
        <f t="shared" si="3"/>
        <v>1210</v>
      </c>
      <c r="I5" s="84">
        <f t="shared" si="4"/>
        <v>300</v>
      </c>
      <c r="J5" s="84">
        <f t="shared" si="5"/>
        <v>300</v>
      </c>
      <c r="K5" s="85" t="str">
        <f>'Start here when entering data'!$D$8</f>
        <v>Jiawei Da</v>
      </c>
      <c r="L5" s="35" t="str">
        <f>'Start here when entering data'!$D$9</f>
        <v>jiawei@utexas.edu</v>
      </c>
      <c r="M5" s="86" t="str">
        <f>'Start here when entering data'!$D$14</f>
        <v>Ghosh P, Bhattacharya S K, Ghosh P. Atmospheric CO2 during the Late Paleozoic and Mesozoic: estimates from Indian soils[M]//A history of atmospheric CO2 and its effects on plants, animals, and ecosystems. New York, NY: Springer New York, 2005: 8-34.</v>
      </c>
      <c r="N5" s="122" t="s">
        <v>511</v>
      </c>
      <c r="O5" s="122" t="s">
        <v>513</v>
      </c>
      <c r="P5" s="123" t="s">
        <v>26</v>
      </c>
      <c r="Q5" s="123" t="s">
        <v>499</v>
      </c>
      <c r="R5" s="123">
        <v>22.6</v>
      </c>
      <c r="S5" s="123">
        <v>78.099999999999994</v>
      </c>
      <c r="T5" s="123" t="s">
        <v>26</v>
      </c>
      <c r="U5" s="123" t="s">
        <v>26</v>
      </c>
      <c r="V5" s="123" t="s">
        <v>26</v>
      </c>
      <c r="W5" s="123" t="s">
        <v>26</v>
      </c>
      <c r="X5" s="123" t="s">
        <v>26</v>
      </c>
      <c r="Y5" s="124" t="s">
        <v>26</v>
      </c>
      <c r="Z5" s="125">
        <v>235</v>
      </c>
      <c r="AA5" s="125">
        <v>5</v>
      </c>
      <c r="AB5" s="125">
        <v>5</v>
      </c>
      <c r="AC5" s="125" t="s">
        <v>26</v>
      </c>
      <c r="AD5" s="125" t="s">
        <v>26</v>
      </c>
      <c r="AE5" s="123" t="s">
        <v>26</v>
      </c>
      <c r="AF5" s="123" t="s">
        <v>26</v>
      </c>
      <c r="AG5" s="126">
        <v>-6.7</v>
      </c>
      <c r="AH5" s="126">
        <v>1</v>
      </c>
      <c r="AI5" s="126">
        <v>19</v>
      </c>
      <c r="AJ5" s="126" t="s">
        <v>511</v>
      </c>
      <c r="AK5" s="126">
        <v>-24.6</v>
      </c>
      <c r="AL5" s="126">
        <v>1</v>
      </c>
      <c r="AM5" s="126">
        <v>6</v>
      </c>
      <c r="AN5" s="126" t="s">
        <v>26</v>
      </c>
      <c r="AO5" s="126" t="s">
        <v>26</v>
      </c>
      <c r="AP5" s="126" t="s">
        <v>26</v>
      </c>
      <c r="AQ5" s="126" t="s">
        <v>511</v>
      </c>
      <c r="AR5" s="126" t="s">
        <v>26</v>
      </c>
      <c r="AS5" s="126" t="s">
        <v>26</v>
      </c>
      <c r="AT5" s="126" t="s">
        <v>26</v>
      </c>
      <c r="AU5" s="126" t="s">
        <v>26</v>
      </c>
      <c r="AV5" s="126">
        <v>-6.5</v>
      </c>
      <c r="AW5" s="126">
        <v>1.4</v>
      </c>
      <c r="AX5" s="126">
        <v>19</v>
      </c>
      <c r="AY5" s="126" t="s">
        <v>511</v>
      </c>
      <c r="AZ5" s="126" t="s">
        <v>26</v>
      </c>
      <c r="BA5" s="126" t="s">
        <v>26</v>
      </c>
      <c r="BB5" s="126" t="s">
        <v>26</v>
      </c>
      <c r="BC5" s="126" t="s">
        <v>26</v>
      </c>
      <c r="BD5" s="126" t="s">
        <v>26</v>
      </c>
      <c r="BE5" s="126" t="s">
        <v>26</v>
      </c>
      <c r="BF5" s="126" t="s">
        <v>26</v>
      </c>
      <c r="BG5" s="126" t="s">
        <v>26</v>
      </c>
      <c r="BH5" s="126" t="s">
        <v>26</v>
      </c>
      <c r="BI5" s="126" t="s">
        <v>26</v>
      </c>
      <c r="BJ5" s="126" t="s">
        <v>26</v>
      </c>
      <c r="BK5" s="126" t="s">
        <v>26</v>
      </c>
      <c r="BL5" s="126" t="s">
        <v>26</v>
      </c>
      <c r="BM5" s="126" t="s">
        <v>26</v>
      </c>
      <c r="BN5" s="126" t="s">
        <v>26</v>
      </c>
      <c r="BO5" s="126" t="s">
        <v>26</v>
      </c>
      <c r="BP5" s="126" t="s">
        <v>26</v>
      </c>
      <c r="BQ5" s="126" t="s">
        <v>26</v>
      </c>
      <c r="BR5" s="126" t="s">
        <v>26</v>
      </c>
      <c r="BS5" s="126" t="s">
        <v>26</v>
      </c>
      <c r="BT5" s="126" t="s">
        <v>26</v>
      </c>
      <c r="BU5" s="126" t="s">
        <v>26</v>
      </c>
      <c r="BV5" s="126" t="s">
        <v>26</v>
      </c>
      <c r="BW5" s="126" t="s">
        <v>26</v>
      </c>
      <c r="BX5" s="126" t="s">
        <v>26</v>
      </c>
      <c r="BY5" s="127">
        <v>-24.6</v>
      </c>
      <c r="BZ5" s="127" t="s">
        <v>324</v>
      </c>
      <c r="CA5" s="127" t="s">
        <v>26</v>
      </c>
      <c r="CB5" s="127" t="s">
        <v>26</v>
      </c>
      <c r="CC5" s="127" t="s">
        <v>26</v>
      </c>
      <c r="CD5" s="127" t="s">
        <v>26</v>
      </c>
      <c r="CE5" s="127" t="s">
        <v>26</v>
      </c>
      <c r="CF5" s="127" t="s">
        <v>26</v>
      </c>
      <c r="CG5" s="127">
        <v>-3.6</v>
      </c>
      <c r="CH5" s="127" t="s">
        <v>330</v>
      </c>
      <c r="CI5" s="127" t="s">
        <v>490</v>
      </c>
      <c r="CJ5" s="127" t="s">
        <v>503</v>
      </c>
      <c r="CK5" s="127" t="s">
        <v>26</v>
      </c>
      <c r="CL5" s="127" t="s">
        <v>26</v>
      </c>
      <c r="CM5" s="127" t="s">
        <v>26</v>
      </c>
      <c r="CN5" s="127" t="s">
        <v>26</v>
      </c>
      <c r="CO5" s="127">
        <v>25</v>
      </c>
      <c r="CP5" s="127" t="s">
        <v>330</v>
      </c>
      <c r="CQ5" s="127" t="s">
        <v>492</v>
      </c>
      <c r="CR5" s="127" t="s">
        <v>507</v>
      </c>
      <c r="CS5" s="127" t="s">
        <v>26</v>
      </c>
      <c r="CT5" s="127" t="s">
        <v>26</v>
      </c>
      <c r="CU5" s="127" t="s">
        <v>26</v>
      </c>
      <c r="CV5" s="127" t="s">
        <v>26</v>
      </c>
      <c r="CW5" s="127" t="s">
        <v>26</v>
      </c>
      <c r="CX5" s="127" t="s">
        <v>26</v>
      </c>
      <c r="CY5" s="127" t="s">
        <v>26</v>
      </c>
      <c r="CZ5" s="127" t="s">
        <v>26</v>
      </c>
      <c r="DA5" s="127" t="s">
        <v>26</v>
      </c>
      <c r="DB5" s="127" t="s">
        <v>26</v>
      </c>
      <c r="DC5" s="127" t="s">
        <v>26</v>
      </c>
      <c r="DD5" s="127" t="s">
        <v>26</v>
      </c>
      <c r="DE5" s="127" t="s">
        <v>26</v>
      </c>
      <c r="DF5" s="127" t="s">
        <v>26</v>
      </c>
      <c r="DG5" s="127" t="s">
        <v>26</v>
      </c>
      <c r="DH5" s="127" t="s">
        <v>26</v>
      </c>
      <c r="DI5" s="127" t="s">
        <v>26</v>
      </c>
      <c r="DJ5" s="127" t="s">
        <v>26</v>
      </c>
      <c r="DK5" s="127" t="s">
        <v>26</v>
      </c>
      <c r="DL5" s="127" t="s">
        <v>26</v>
      </c>
      <c r="DM5" s="127" t="s">
        <v>494</v>
      </c>
      <c r="DN5" s="127" t="s">
        <v>26</v>
      </c>
      <c r="DO5" s="127" t="s">
        <v>26</v>
      </c>
      <c r="DP5" s="127" t="s">
        <v>26</v>
      </c>
      <c r="DQ5" s="127" t="s">
        <v>26</v>
      </c>
      <c r="DR5" s="127" t="s">
        <v>26</v>
      </c>
      <c r="DS5" s="127" t="s">
        <v>26</v>
      </c>
      <c r="DT5" s="127" t="s">
        <v>26</v>
      </c>
      <c r="DU5" s="128" t="s">
        <v>495</v>
      </c>
      <c r="DV5" s="128" t="s">
        <v>355</v>
      </c>
      <c r="DW5" s="128" t="s">
        <v>26</v>
      </c>
      <c r="DX5" s="128" t="s">
        <v>26</v>
      </c>
      <c r="DY5" s="128" t="s">
        <v>26</v>
      </c>
      <c r="DZ5" s="128" t="s">
        <v>363</v>
      </c>
      <c r="EA5" s="128" t="s">
        <v>365</v>
      </c>
      <c r="EB5" s="128" t="s">
        <v>26</v>
      </c>
      <c r="EC5" s="128" t="s">
        <v>496</v>
      </c>
      <c r="ED5" s="128" t="s">
        <v>26</v>
      </c>
      <c r="EE5" s="128" t="s">
        <v>26</v>
      </c>
      <c r="EF5" s="128" t="s">
        <v>26</v>
      </c>
      <c r="EG5" s="128" t="s">
        <v>26</v>
      </c>
      <c r="EH5" s="128" t="s">
        <v>26</v>
      </c>
      <c r="EI5" s="128" t="s">
        <v>26</v>
      </c>
      <c r="EJ5" s="128" t="s">
        <v>26</v>
      </c>
      <c r="EK5" s="128" t="s">
        <v>497</v>
      </c>
      <c r="EL5" s="128" t="s">
        <v>26</v>
      </c>
      <c r="EM5" s="128" t="s">
        <v>26</v>
      </c>
      <c r="EN5" s="128" t="s">
        <v>26</v>
      </c>
      <c r="EO5" s="128" t="s">
        <v>26</v>
      </c>
      <c r="EP5" s="128" t="s">
        <v>26</v>
      </c>
      <c r="EQ5" s="128" t="s">
        <v>26</v>
      </c>
      <c r="ER5" s="128" t="s">
        <v>26</v>
      </c>
      <c r="ES5" s="128" t="s">
        <v>26</v>
      </c>
      <c r="ET5" s="128" t="s">
        <v>26</v>
      </c>
      <c r="EU5" s="128" t="s">
        <v>26</v>
      </c>
      <c r="EV5" s="128" t="s">
        <v>26</v>
      </c>
      <c r="EW5" s="129">
        <v>1210</v>
      </c>
      <c r="EX5" s="129" t="s">
        <v>26</v>
      </c>
      <c r="EY5" s="129">
        <v>300</v>
      </c>
      <c r="EZ5" s="129">
        <v>300</v>
      </c>
      <c r="FA5" s="130" t="s">
        <v>510</v>
      </c>
      <c r="FB5" s="130" t="s">
        <v>26</v>
      </c>
      <c r="FC5" s="130" t="s">
        <v>26</v>
      </c>
      <c r="FD5" s="129" t="s">
        <v>26</v>
      </c>
      <c r="FE5" s="129" t="s">
        <v>26</v>
      </c>
      <c r="FF5" s="131" t="s">
        <v>26</v>
      </c>
    </row>
    <row r="6" spans="1:162" ht="19" customHeight="1" x14ac:dyDescent="0.2">
      <c r="A6" s="3" t="s">
        <v>515</v>
      </c>
      <c r="B6" s="50" t="str">
        <f>'Start here when entering data'!$D$11</f>
        <v>Ghosh</v>
      </c>
      <c r="C6" s="50">
        <f>'Start here when entering data'!$D$12</f>
        <v>2005</v>
      </c>
      <c r="D6" s="3" t="str">
        <f>'Start here when entering data'!$D$13</f>
        <v>10.1007/0-387-27048-5_2</v>
      </c>
      <c r="E6" s="75">
        <f t="shared" si="0"/>
        <v>225000</v>
      </c>
      <c r="F6" s="75">
        <f t="shared" si="1"/>
        <v>15000</v>
      </c>
      <c r="G6" s="51">
        <f t="shared" si="2"/>
        <v>15000</v>
      </c>
      <c r="H6" s="84">
        <f t="shared" si="3"/>
        <v>1170</v>
      </c>
      <c r="I6" s="84">
        <f t="shared" si="4"/>
        <v>290</v>
      </c>
      <c r="J6" s="84">
        <f t="shared" si="5"/>
        <v>290</v>
      </c>
      <c r="K6" s="85" t="str">
        <f>'Start here when entering data'!$D$8</f>
        <v>Jiawei Da</v>
      </c>
      <c r="L6" s="35" t="str">
        <f>'Start here when entering data'!$D$9</f>
        <v>jiawei@utexas.edu</v>
      </c>
      <c r="M6" s="86" t="str">
        <f>'Start here when entering data'!$D$14</f>
        <v>Ghosh P, Bhattacharya S K, Ghosh P. Atmospheric CO2 during the Late Paleozoic and Mesozoic: estimates from Indian soils[M]//A history of atmospheric CO2 and its effects on plants, animals, and ecosystems. New York, NY: Springer New York, 2005: 8-34.</v>
      </c>
      <c r="N6" s="122"/>
      <c r="O6" s="122" t="s">
        <v>26</v>
      </c>
      <c r="P6" s="123" t="s">
        <v>26</v>
      </c>
      <c r="Q6" s="123" t="s">
        <v>500</v>
      </c>
      <c r="R6" s="123" t="s">
        <v>26</v>
      </c>
      <c r="S6" s="123" t="s">
        <v>26</v>
      </c>
      <c r="T6" s="123" t="s">
        <v>26</v>
      </c>
      <c r="U6" s="123" t="s">
        <v>26</v>
      </c>
      <c r="V6" s="123" t="s">
        <v>26</v>
      </c>
      <c r="W6" s="123" t="s">
        <v>26</v>
      </c>
      <c r="X6" s="123" t="s">
        <v>26</v>
      </c>
      <c r="Y6" s="124" t="s">
        <v>26</v>
      </c>
      <c r="Z6" s="125">
        <v>225</v>
      </c>
      <c r="AA6" s="125">
        <v>15</v>
      </c>
      <c r="AB6" s="125">
        <v>15</v>
      </c>
      <c r="AC6" s="125" t="s">
        <v>26</v>
      </c>
      <c r="AD6" s="125" t="s">
        <v>26</v>
      </c>
      <c r="AE6" s="123" t="s">
        <v>26</v>
      </c>
      <c r="AF6" s="123" t="s">
        <v>26</v>
      </c>
      <c r="AG6" s="126">
        <v>-6.9</v>
      </c>
      <c r="AH6" s="126">
        <v>1.6</v>
      </c>
      <c r="AI6" s="126">
        <v>11</v>
      </c>
      <c r="AJ6" s="126" t="s">
        <v>487</v>
      </c>
      <c r="AK6" s="126">
        <v>-24.7</v>
      </c>
      <c r="AL6" s="126">
        <v>1.2</v>
      </c>
      <c r="AM6" s="126">
        <v>7</v>
      </c>
      <c r="AN6" s="126" t="s">
        <v>26</v>
      </c>
      <c r="AO6" s="126" t="s">
        <v>26</v>
      </c>
      <c r="AP6" s="126" t="s">
        <v>26</v>
      </c>
      <c r="AQ6" s="126" t="s">
        <v>487</v>
      </c>
      <c r="AR6" s="126" t="s">
        <v>26</v>
      </c>
      <c r="AS6" s="126" t="s">
        <v>26</v>
      </c>
      <c r="AT6" s="126" t="s">
        <v>26</v>
      </c>
      <c r="AU6" s="126" t="s">
        <v>26</v>
      </c>
      <c r="AV6" s="126">
        <v>-4.7</v>
      </c>
      <c r="AW6" s="126">
        <v>2</v>
      </c>
      <c r="AX6" s="126">
        <v>11</v>
      </c>
      <c r="AY6" s="126" t="s">
        <v>487</v>
      </c>
      <c r="AZ6" s="126" t="s">
        <v>26</v>
      </c>
      <c r="BA6" s="126" t="s">
        <v>26</v>
      </c>
      <c r="BB6" s="126" t="s">
        <v>26</v>
      </c>
      <c r="BC6" s="126" t="s">
        <v>26</v>
      </c>
      <c r="BD6" s="126" t="s">
        <v>26</v>
      </c>
      <c r="BE6" s="126" t="s">
        <v>26</v>
      </c>
      <c r="BF6" s="126" t="s">
        <v>26</v>
      </c>
      <c r="BG6" s="126" t="s">
        <v>26</v>
      </c>
      <c r="BH6" s="126" t="s">
        <v>26</v>
      </c>
      <c r="BI6" s="126" t="s">
        <v>26</v>
      </c>
      <c r="BJ6" s="126" t="s">
        <v>26</v>
      </c>
      <c r="BK6" s="126" t="s">
        <v>26</v>
      </c>
      <c r="BL6" s="126" t="s">
        <v>26</v>
      </c>
      <c r="BM6" s="126" t="s">
        <v>26</v>
      </c>
      <c r="BN6" s="126" t="s">
        <v>26</v>
      </c>
      <c r="BO6" s="126" t="s">
        <v>26</v>
      </c>
      <c r="BP6" s="126" t="s">
        <v>26</v>
      </c>
      <c r="BQ6" s="126" t="s">
        <v>26</v>
      </c>
      <c r="BR6" s="126" t="s">
        <v>26</v>
      </c>
      <c r="BS6" s="126" t="s">
        <v>26</v>
      </c>
      <c r="BT6" s="126" t="s">
        <v>26</v>
      </c>
      <c r="BU6" s="126" t="s">
        <v>26</v>
      </c>
      <c r="BV6" s="126" t="s">
        <v>26</v>
      </c>
      <c r="BW6" s="126" t="s">
        <v>26</v>
      </c>
      <c r="BX6" s="126" t="s">
        <v>26</v>
      </c>
      <c r="BY6" s="127">
        <v>-24.7</v>
      </c>
      <c r="BZ6" s="127" t="s">
        <v>324</v>
      </c>
      <c r="CA6" s="127" t="s">
        <v>26</v>
      </c>
      <c r="CB6" s="127" t="s">
        <v>26</v>
      </c>
      <c r="CC6" s="127" t="s">
        <v>26</v>
      </c>
      <c r="CD6" s="127" t="s">
        <v>26</v>
      </c>
      <c r="CE6" s="127" t="s">
        <v>26</v>
      </c>
      <c r="CF6" s="127" t="s">
        <v>26</v>
      </c>
      <c r="CG6" s="127">
        <v>-3.7</v>
      </c>
      <c r="CH6" s="127" t="s">
        <v>330</v>
      </c>
      <c r="CI6" s="127" t="s">
        <v>490</v>
      </c>
      <c r="CJ6" s="127" t="s">
        <v>504</v>
      </c>
      <c r="CK6" s="127" t="s">
        <v>26</v>
      </c>
      <c r="CL6" s="127" t="s">
        <v>26</v>
      </c>
      <c r="CM6" s="127" t="s">
        <v>26</v>
      </c>
      <c r="CN6" s="127" t="s">
        <v>26</v>
      </c>
      <c r="CO6" s="127">
        <v>25</v>
      </c>
      <c r="CP6" s="127" t="s">
        <v>330</v>
      </c>
      <c r="CQ6" s="127" t="s">
        <v>492</v>
      </c>
      <c r="CR6" s="127" t="s">
        <v>508</v>
      </c>
      <c r="CS6" s="127" t="s">
        <v>26</v>
      </c>
      <c r="CT6" s="127" t="s">
        <v>26</v>
      </c>
      <c r="CU6" s="127" t="s">
        <v>26</v>
      </c>
      <c r="CV6" s="127" t="s">
        <v>26</v>
      </c>
      <c r="CW6" s="127" t="s">
        <v>26</v>
      </c>
      <c r="CX6" s="127" t="s">
        <v>26</v>
      </c>
      <c r="CY6" s="127" t="s">
        <v>26</v>
      </c>
      <c r="CZ6" s="127" t="s">
        <v>26</v>
      </c>
      <c r="DA6" s="127" t="s">
        <v>26</v>
      </c>
      <c r="DB6" s="127" t="s">
        <v>26</v>
      </c>
      <c r="DC6" s="127" t="s">
        <v>26</v>
      </c>
      <c r="DD6" s="127" t="s">
        <v>26</v>
      </c>
      <c r="DE6" s="127" t="s">
        <v>26</v>
      </c>
      <c r="DF6" s="127" t="s">
        <v>26</v>
      </c>
      <c r="DG6" s="127" t="s">
        <v>26</v>
      </c>
      <c r="DH6" s="127" t="s">
        <v>26</v>
      </c>
      <c r="DI6" s="127" t="s">
        <v>26</v>
      </c>
      <c r="DJ6" s="127" t="s">
        <v>26</v>
      </c>
      <c r="DK6" s="127" t="s">
        <v>26</v>
      </c>
      <c r="DL6" s="127" t="s">
        <v>26</v>
      </c>
      <c r="DM6" s="127" t="s">
        <v>494</v>
      </c>
      <c r="DN6" s="127" t="s">
        <v>26</v>
      </c>
      <c r="DO6" s="127" t="s">
        <v>26</v>
      </c>
      <c r="DP6" s="127" t="s">
        <v>26</v>
      </c>
      <c r="DQ6" s="127" t="s">
        <v>26</v>
      </c>
      <c r="DR6" s="127" t="s">
        <v>26</v>
      </c>
      <c r="DS6" s="127" t="s">
        <v>26</v>
      </c>
      <c r="DT6" s="127" t="s">
        <v>26</v>
      </c>
      <c r="DU6" s="128" t="s">
        <v>495</v>
      </c>
      <c r="DV6" s="128" t="s">
        <v>355</v>
      </c>
      <c r="DW6" s="128" t="s">
        <v>26</v>
      </c>
      <c r="DX6" s="128" t="s">
        <v>26</v>
      </c>
      <c r="DY6" s="128" t="s">
        <v>26</v>
      </c>
      <c r="DZ6" s="128" t="s">
        <v>363</v>
      </c>
      <c r="EA6" s="128" t="s">
        <v>365</v>
      </c>
      <c r="EB6" s="128" t="s">
        <v>26</v>
      </c>
      <c r="EC6" s="128" t="s">
        <v>496</v>
      </c>
      <c r="ED6" s="128" t="s">
        <v>26</v>
      </c>
      <c r="EE6" s="128" t="s">
        <v>26</v>
      </c>
      <c r="EF6" s="128" t="s">
        <v>26</v>
      </c>
      <c r="EG6" s="128" t="s">
        <v>26</v>
      </c>
      <c r="EH6" s="128" t="s">
        <v>26</v>
      </c>
      <c r="EI6" s="128" t="s">
        <v>26</v>
      </c>
      <c r="EJ6" s="128" t="s">
        <v>26</v>
      </c>
      <c r="EK6" s="128" t="s">
        <v>497</v>
      </c>
      <c r="EL6" s="128" t="s">
        <v>26</v>
      </c>
      <c r="EM6" s="128" t="s">
        <v>26</v>
      </c>
      <c r="EN6" s="128" t="s">
        <v>26</v>
      </c>
      <c r="EO6" s="128" t="s">
        <v>26</v>
      </c>
      <c r="EP6" s="128" t="s">
        <v>26</v>
      </c>
      <c r="EQ6" s="128" t="s">
        <v>26</v>
      </c>
      <c r="ER6" s="128" t="s">
        <v>26</v>
      </c>
      <c r="ES6" s="128" t="s">
        <v>26</v>
      </c>
      <c r="ET6" s="128" t="s">
        <v>26</v>
      </c>
      <c r="EU6" s="128" t="s">
        <v>26</v>
      </c>
      <c r="EV6" s="128" t="s">
        <v>26</v>
      </c>
      <c r="EW6" s="129">
        <v>1170</v>
      </c>
      <c r="EX6" s="129" t="s">
        <v>26</v>
      </c>
      <c r="EY6" s="129">
        <v>290</v>
      </c>
      <c r="EZ6" s="129">
        <v>290</v>
      </c>
      <c r="FA6" s="130" t="s">
        <v>510</v>
      </c>
      <c r="FB6" s="130" t="s">
        <v>26</v>
      </c>
      <c r="FC6" s="130" t="s">
        <v>26</v>
      </c>
      <c r="FD6" s="129" t="s">
        <v>26</v>
      </c>
      <c r="FE6" s="129" t="s">
        <v>26</v>
      </c>
      <c r="FF6" s="131" t="s">
        <v>26</v>
      </c>
    </row>
    <row r="7" spans="1:162" ht="19" customHeight="1" x14ac:dyDescent="0.2">
      <c r="A7" s="3" t="s">
        <v>515</v>
      </c>
      <c r="B7" s="50" t="str">
        <f>'Start here when entering data'!$D$11</f>
        <v>Ghosh</v>
      </c>
      <c r="C7" s="50">
        <f>'Start here when entering data'!$D$12</f>
        <v>2005</v>
      </c>
      <c r="D7" s="3" t="str">
        <f>'Start here when entering data'!$D$13</f>
        <v>10.1007/0-387-27048-5_2</v>
      </c>
      <c r="E7" s="75">
        <f t="shared" si="0"/>
        <v>175000</v>
      </c>
      <c r="F7" s="75">
        <f t="shared" si="1"/>
        <v>30000</v>
      </c>
      <c r="G7" s="51">
        <f t="shared" si="2"/>
        <v>30000</v>
      </c>
      <c r="H7" s="84">
        <f t="shared" si="3"/>
        <v>2225</v>
      </c>
      <c r="I7" s="84">
        <f t="shared" si="4"/>
        <v>550</v>
      </c>
      <c r="J7" s="84">
        <f t="shared" si="5"/>
        <v>550</v>
      </c>
      <c r="K7" s="85" t="str">
        <f>'Start here when entering data'!$D$8</f>
        <v>Jiawei Da</v>
      </c>
      <c r="L7" s="35" t="str">
        <f>'Start here when entering data'!$D$9</f>
        <v>jiawei@utexas.edu</v>
      </c>
      <c r="M7" s="86" t="str">
        <f>'Start here when entering data'!$D$14</f>
        <v>Ghosh P, Bhattacharya S K, Ghosh P. Atmospheric CO2 during the Late Paleozoic and Mesozoic: estimates from Indian soils[M]//A history of atmospheric CO2 and its effects on plants, animals, and ecosystems. New York, NY: Springer New York, 2005: 8-34.</v>
      </c>
      <c r="N7" s="122" t="s">
        <v>511</v>
      </c>
      <c r="O7" s="122" t="s">
        <v>513</v>
      </c>
      <c r="P7" s="123" t="s">
        <v>26</v>
      </c>
      <c r="Q7" s="123" t="s">
        <v>501</v>
      </c>
      <c r="R7" s="123">
        <v>22.63</v>
      </c>
      <c r="S7" s="123">
        <v>78.400000000000006</v>
      </c>
      <c r="T7" s="123" t="s">
        <v>26</v>
      </c>
      <c r="U7" s="123" t="s">
        <v>26</v>
      </c>
      <c r="V7" s="123" t="s">
        <v>26</v>
      </c>
      <c r="W7" s="123" t="s">
        <v>26</v>
      </c>
      <c r="X7" s="123" t="s">
        <v>26</v>
      </c>
      <c r="Y7" s="124" t="s">
        <v>26</v>
      </c>
      <c r="Z7" s="125">
        <v>175</v>
      </c>
      <c r="AA7" s="125">
        <v>30</v>
      </c>
      <c r="AB7" s="125">
        <v>30</v>
      </c>
      <c r="AC7" s="125" t="s">
        <v>26</v>
      </c>
      <c r="AD7" s="125" t="s">
        <v>26</v>
      </c>
      <c r="AE7" s="123" t="s">
        <v>26</v>
      </c>
      <c r="AF7" s="123" t="s">
        <v>26</v>
      </c>
      <c r="AG7" s="126">
        <v>-6.1</v>
      </c>
      <c r="AH7" s="126">
        <v>1.6</v>
      </c>
      <c r="AI7" s="126">
        <v>29</v>
      </c>
      <c r="AJ7" s="126" t="s">
        <v>511</v>
      </c>
      <c r="AK7" s="126">
        <v>-26.1</v>
      </c>
      <c r="AL7" s="126">
        <v>2.4</v>
      </c>
      <c r="AM7" s="126">
        <v>6</v>
      </c>
      <c r="AN7" s="126" t="s">
        <v>26</v>
      </c>
      <c r="AO7" s="126" t="s">
        <v>26</v>
      </c>
      <c r="AP7" s="126" t="s">
        <v>26</v>
      </c>
      <c r="AQ7" s="126" t="s">
        <v>511</v>
      </c>
      <c r="AR7" s="126" t="s">
        <v>26</v>
      </c>
      <c r="AS7" s="126" t="s">
        <v>26</v>
      </c>
      <c r="AT7" s="126" t="s">
        <v>26</v>
      </c>
      <c r="AU7" s="126" t="s">
        <v>26</v>
      </c>
      <c r="AV7" s="126">
        <v>-6.6</v>
      </c>
      <c r="AW7" s="126">
        <v>1.6</v>
      </c>
      <c r="AX7" s="126">
        <v>29</v>
      </c>
      <c r="AY7" s="126" t="s">
        <v>511</v>
      </c>
      <c r="AZ7" s="126" t="s">
        <v>26</v>
      </c>
      <c r="BA7" s="126" t="s">
        <v>26</v>
      </c>
      <c r="BB7" s="126" t="s">
        <v>26</v>
      </c>
      <c r="BC7" s="126" t="s">
        <v>26</v>
      </c>
      <c r="BD7" s="126" t="s">
        <v>26</v>
      </c>
      <c r="BE7" s="126" t="s">
        <v>26</v>
      </c>
      <c r="BF7" s="126" t="s">
        <v>26</v>
      </c>
      <c r="BG7" s="126" t="s">
        <v>26</v>
      </c>
      <c r="BH7" s="126" t="s">
        <v>26</v>
      </c>
      <c r="BI7" s="126" t="s">
        <v>26</v>
      </c>
      <c r="BJ7" s="126" t="s">
        <v>26</v>
      </c>
      <c r="BK7" s="126" t="s">
        <v>26</v>
      </c>
      <c r="BL7" s="126" t="s">
        <v>26</v>
      </c>
      <c r="BM7" s="126" t="s">
        <v>26</v>
      </c>
      <c r="BN7" s="126" t="s">
        <v>26</v>
      </c>
      <c r="BO7" s="126" t="s">
        <v>26</v>
      </c>
      <c r="BP7" s="126" t="s">
        <v>26</v>
      </c>
      <c r="BQ7" s="126" t="s">
        <v>26</v>
      </c>
      <c r="BR7" s="126" t="s">
        <v>26</v>
      </c>
      <c r="BS7" s="126" t="s">
        <v>26</v>
      </c>
      <c r="BT7" s="126" t="s">
        <v>26</v>
      </c>
      <c r="BU7" s="126" t="s">
        <v>26</v>
      </c>
      <c r="BV7" s="126" t="s">
        <v>26</v>
      </c>
      <c r="BW7" s="126" t="s">
        <v>26</v>
      </c>
      <c r="BX7" s="126" t="s">
        <v>26</v>
      </c>
      <c r="BY7" s="127">
        <v>-26.1</v>
      </c>
      <c r="BZ7" s="127" t="s">
        <v>324</v>
      </c>
      <c r="CA7" s="127" t="s">
        <v>26</v>
      </c>
      <c r="CB7" s="127" t="s">
        <v>26</v>
      </c>
      <c r="CC7" s="127" t="s">
        <v>26</v>
      </c>
      <c r="CD7" s="127" t="s">
        <v>26</v>
      </c>
      <c r="CE7" s="127" t="s">
        <v>26</v>
      </c>
      <c r="CF7" s="127" t="s">
        <v>26</v>
      </c>
      <c r="CG7" s="127">
        <v>-5.0999999999999996</v>
      </c>
      <c r="CH7" s="127" t="s">
        <v>330</v>
      </c>
      <c r="CI7" s="127" t="s">
        <v>490</v>
      </c>
      <c r="CJ7" s="127" t="s">
        <v>505</v>
      </c>
      <c r="CK7" s="127" t="s">
        <v>26</v>
      </c>
      <c r="CL7" s="127" t="s">
        <v>26</v>
      </c>
      <c r="CM7" s="127" t="s">
        <v>26</v>
      </c>
      <c r="CN7" s="127" t="s">
        <v>26</v>
      </c>
      <c r="CO7" s="127">
        <v>25</v>
      </c>
      <c r="CP7" s="127" t="s">
        <v>330</v>
      </c>
      <c r="CQ7" s="127" t="s">
        <v>492</v>
      </c>
      <c r="CR7" s="127" t="s">
        <v>509</v>
      </c>
      <c r="CS7" s="127" t="s">
        <v>26</v>
      </c>
      <c r="CT7" s="127" t="s">
        <v>26</v>
      </c>
      <c r="CU7" s="127" t="s">
        <v>26</v>
      </c>
      <c r="CV7" s="127" t="s">
        <v>26</v>
      </c>
      <c r="CW7" s="127" t="s">
        <v>26</v>
      </c>
      <c r="CX7" s="127" t="s">
        <v>26</v>
      </c>
      <c r="CY7" s="127" t="s">
        <v>26</v>
      </c>
      <c r="CZ7" s="127" t="s">
        <v>26</v>
      </c>
      <c r="DA7" s="127" t="s">
        <v>26</v>
      </c>
      <c r="DB7" s="127" t="s">
        <v>26</v>
      </c>
      <c r="DC7" s="127" t="s">
        <v>26</v>
      </c>
      <c r="DD7" s="127" t="s">
        <v>26</v>
      </c>
      <c r="DE7" s="127" t="s">
        <v>26</v>
      </c>
      <c r="DF7" s="127" t="s">
        <v>26</v>
      </c>
      <c r="DG7" s="127" t="s">
        <v>26</v>
      </c>
      <c r="DH7" s="127" t="s">
        <v>26</v>
      </c>
      <c r="DI7" s="127" t="s">
        <v>26</v>
      </c>
      <c r="DJ7" s="127" t="s">
        <v>26</v>
      </c>
      <c r="DK7" s="127" t="s">
        <v>26</v>
      </c>
      <c r="DL7" s="127" t="s">
        <v>26</v>
      </c>
      <c r="DM7" s="127" t="s">
        <v>494</v>
      </c>
      <c r="DN7" s="127" t="s">
        <v>26</v>
      </c>
      <c r="DO7" s="127" t="s">
        <v>26</v>
      </c>
      <c r="DP7" s="127" t="s">
        <v>26</v>
      </c>
      <c r="DQ7" s="127" t="s">
        <v>26</v>
      </c>
      <c r="DR7" s="127" t="s">
        <v>26</v>
      </c>
      <c r="DS7" s="127" t="s">
        <v>26</v>
      </c>
      <c r="DT7" s="127" t="s">
        <v>26</v>
      </c>
      <c r="DU7" s="128" t="s">
        <v>495</v>
      </c>
      <c r="DV7" s="128" t="s">
        <v>355</v>
      </c>
      <c r="DW7" s="128" t="s">
        <v>26</v>
      </c>
      <c r="DX7" s="128" t="s">
        <v>26</v>
      </c>
      <c r="DY7" s="128" t="s">
        <v>26</v>
      </c>
      <c r="DZ7" s="128" t="s">
        <v>363</v>
      </c>
      <c r="EA7" s="128" t="s">
        <v>365</v>
      </c>
      <c r="EB7" s="128" t="s">
        <v>26</v>
      </c>
      <c r="EC7" s="128" t="s">
        <v>496</v>
      </c>
      <c r="ED7" s="128" t="s">
        <v>26</v>
      </c>
      <c r="EE7" s="128" t="s">
        <v>26</v>
      </c>
      <c r="EF7" s="128" t="s">
        <v>26</v>
      </c>
      <c r="EG7" s="128" t="s">
        <v>26</v>
      </c>
      <c r="EH7" s="128" t="s">
        <v>26</v>
      </c>
      <c r="EI7" s="128" t="s">
        <v>26</v>
      </c>
      <c r="EJ7" s="128" t="s">
        <v>26</v>
      </c>
      <c r="EK7" s="128" t="s">
        <v>497</v>
      </c>
      <c r="EL7" s="128" t="s">
        <v>26</v>
      </c>
      <c r="EM7" s="128" t="s">
        <v>26</v>
      </c>
      <c r="EN7" s="128" t="s">
        <v>26</v>
      </c>
      <c r="EO7" s="128" t="s">
        <v>26</v>
      </c>
      <c r="EP7" s="128" t="s">
        <v>26</v>
      </c>
      <c r="EQ7" s="128" t="s">
        <v>26</v>
      </c>
      <c r="ER7" s="128" t="s">
        <v>26</v>
      </c>
      <c r="ES7" s="128" t="s">
        <v>26</v>
      </c>
      <c r="ET7" s="128" t="s">
        <v>26</v>
      </c>
      <c r="EU7" s="128" t="s">
        <v>26</v>
      </c>
      <c r="EV7" s="128" t="s">
        <v>26</v>
      </c>
      <c r="EW7" s="129">
        <v>2225</v>
      </c>
      <c r="EX7" s="129" t="s">
        <v>26</v>
      </c>
      <c r="EY7" s="129">
        <v>550</v>
      </c>
      <c r="EZ7" s="129">
        <v>550</v>
      </c>
      <c r="FA7" s="130" t="s">
        <v>510</v>
      </c>
      <c r="FB7" s="130" t="s">
        <v>26</v>
      </c>
      <c r="FC7" s="130" t="s">
        <v>26</v>
      </c>
      <c r="FD7" s="129" t="s">
        <v>26</v>
      </c>
      <c r="FE7" s="129" t="s">
        <v>26</v>
      </c>
      <c r="FF7" s="131" t="s">
        <v>26</v>
      </c>
    </row>
    <row r="8" spans="1:162" ht="19" customHeight="1" x14ac:dyDescent="0.2">
      <c r="A8" s="3" t="s">
        <v>515</v>
      </c>
      <c r="B8" s="50" t="str">
        <f>'Start here when entering data'!$D$11</f>
        <v>Ghosh</v>
      </c>
      <c r="C8" s="50">
        <f>'Start here when entering data'!$D$12</f>
        <v>2005</v>
      </c>
      <c r="D8" s="3" t="str">
        <f>'Start here when entering data'!$D$13</f>
        <v>10.1007/0-387-27048-5_2</v>
      </c>
      <c r="E8" s="75">
        <f>IF( Z8="NA","NA",Z8*1000)</f>
        <v>80000</v>
      </c>
      <c r="F8" s="75">
        <f>IF( AA8="NA","NA",AA8*1000)</f>
        <v>15000</v>
      </c>
      <c r="G8" s="51">
        <f>IF( AB8="NA","NA",AB8*1000)</f>
        <v>15000</v>
      </c>
      <c r="H8" s="84">
        <f>IF(EX8="NA",EW8,EX8)</f>
        <v>1480</v>
      </c>
      <c r="I8" s="84">
        <f>IF( EY8="NA","NA",EY8)</f>
        <v>370</v>
      </c>
      <c r="J8" s="84">
        <f>IF( EZ8="NA","NA",EZ8)</f>
        <v>370</v>
      </c>
      <c r="K8" s="85" t="str">
        <f>'Start here when entering data'!$D$8</f>
        <v>Jiawei Da</v>
      </c>
      <c r="L8" s="35" t="str">
        <f>'Start here when entering data'!$D$9</f>
        <v>jiawei@utexas.edu</v>
      </c>
      <c r="M8" s="86" t="str">
        <f>'Start here when entering data'!$D$14</f>
        <v>Ghosh P, Bhattacharya S K, Ghosh P. Atmospheric CO2 during the Late Paleozoic and Mesozoic: estimates from Indian soils[M]//A history of atmospheric CO2 and its effects on plants, animals, and ecosystems. New York, NY: Springer New York, 2005: 8-34.</v>
      </c>
      <c r="N8" s="122" t="s">
        <v>489</v>
      </c>
      <c r="O8" s="122" t="s">
        <v>512</v>
      </c>
      <c r="P8" s="123" t="s">
        <v>26</v>
      </c>
      <c r="Q8" s="123" t="s">
        <v>488</v>
      </c>
      <c r="R8" s="123" t="s">
        <v>26</v>
      </c>
      <c r="S8" s="123" t="s">
        <v>26</v>
      </c>
      <c r="T8" s="123" t="s">
        <v>26</v>
      </c>
      <c r="U8" s="123" t="s">
        <v>26</v>
      </c>
      <c r="V8" s="123" t="s">
        <v>26</v>
      </c>
      <c r="W8" s="123" t="s">
        <v>26</v>
      </c>
      <c r="X8" s="123" t="s">
        <v>26</v>
      </c>
      <c r="Y8" s="124" t="s">
        <v>26</v>
      </c>
      <c r="Z8" s="125">
        <v>80</v>
      </c>
      <c r="AA8" s="125">
        <v>15</v>
      </c>
      <c r="AB8" s="125">
        <v>15</v>
      </c>
      <c r="AC8" s="125" t="s">
        <v>26</v>
      </c>
      <c r="AD8" s="125" t="s">
        <v>26</v>
      </c>
      <c r="AE8" s="123" t="s">
        <v>26</v>
      </c>
      <c r="AF8" s="123" t="s">
        <v>26</v>
      </c>
      <c r="AG8" s="138">
        <v>-9.1</v>
      </c>
      <c r="AH8" s="126">
        <v>2</v>
      </c>
      <c r="AI8" s="126">
        <v>19</v>
      </c>
      <c r="AJ8" s="126" t="s">
        <v>489</v>
      </c>
      <c r="AK8" s="126">
        <v>-27.3</v>
      </c>
      <c r="AL8" s="126" t="s">
        <v>26</v>
      </c>
      <c r="AM8" s="126">
        <v>1</v>
      </c>
      <c r="AN8" s="126" t="s">
        <v>26</v>
      </c>
      <c r="AO8" s="126" t="s">
        <v>26</v>
      </c>
      <c r="AP8" s="126" t="s">
        <v>26</v>
      </c>
      <c r="AQ8" s="126" t="s">
        <v>489</v>
      </c>
      <c r="AR8" s="126" t="s">
        <v>26</v>
      </c>
      <c r="AS8" s="126" t="s">
        <v>26</v>
      </c>
      <c r="AT8" s="126" t="s">
        <v>26</v>
      </c>
      <c r="AU8" s="126" t="s">
        <v>26</v>
      </c>
      <c r="AV8" s="126">
        <v>-8</v>
      </c>
      <c r="AW8" s="126">
        <v>2</v>
      </c>
      <c r="AX8" s="126">
        <v>19</v>
      </c>
      <c r="AY8" s="126" t="s">
        <v>489</v>
      </c>
      <c r="AZ8" s="126" t="s">
        <v>26</v>
      </c>
      <c r="BA8" s="126" t="s">
        <v>26</v>
      </c>
      <c r="BB8" s="126" t="s">
        <v>26</v>
      </c>
      <c r="BC8" s="126" t="s">
        <v>26</v>
      </c>
      <c r="BD8" s="126" t="s">
        <v>26</v>
      </c>
      <c r="BE8" s="126" t="s">
        <v>26</v>
      </c>
      <c r="BF8" s="126" t="s">
        <v>26</v>
      </c>
      <c r="BG8" s="126" t="s">
        <v>26</v>
      </c>
      <c r="BH8" s="126" t="s">
        <v>26</v>
      </c>
      <c r="BI8" s="126" t="s">
        <v>26</v>
      </c>
      <c r="BJ8" s="126" t="s">
        <v>26</v>
      </c>
      <c r="BK8" s="126" t="s">
        <v>26</v>
      </c>
      <c r="BL8" s="126" t="s">
        <v>26</v>
      </c>
      <c r="BM8" s="126" t="s">
        <v>26</v>
      </c>
      <c r="BN8" s="126" t="s">
        <v>26</v>
      </c>
      <c r="BO8" s="126" t="s">
        <v>26</v>
      </c>
      <c r="BP8" s="126" t="s">
        <v>26</v>
      </c>
      <c r="BQ8" s="126" t="s">
        <v>26</v>
      </c>
      <c r="BR8" s="126" t="s">
        <v>26</v>
      </c>
      <c r="BS8" s="126" t="s">
        <v>26</v>
      </c>
      <c r="BT8" s="126" t="s">
        <v>26</v>
      </c>
      <c r="BU8" s="126" t="s">
        <v>26</v>
      </c>
      <c r="BV8" s="126" t="s">
        <v>26</v>
      </c>
      <c r="BW8" s="126" t="s">
        <v>26</v>
      </c>
      <c r="BX8" s="126" t="s">
        <v>26</v>
      </c>
      <c r="BY8" s="127">
        <v>-27.6</v>
      </c>
      <c r="BZ8" s="127" t="s">
        <v>324</v>
      </c>
      <c r="CA8" s="127" t="s">
        <v>26</v>
      </c>
      <c r="CB8" s="127" t="s">
        <v>26</v>
      </c>
      <c r="CC8" s="127" t="s">
        <v>26</v>
      </c>
      <c r="CD8" s="127" t="s">
        <v>26</v>
      </c>
      <c r="CE8" s="127" t="s">
        <v>26</v>
      </c>
      <c r="CF8" s="127" t="s">
        <v>26</v>
      </c>
      <c r="CG8" s="127">
        <v>-6.6</v>
      </c>
      <c r="CH8" s="127" t="s">
        <v>330</v>
      </c>
      <c r="CI8" s="127" t="s">
        <v>490</v>
      </c>
      <c r="CJ8" s="127" t="s">
        <v>491</v>
      </c>
      <c r="CK8" s="127" t="s">
        <v>26</v>
      </c>
      <c r="CL8" s="127" t="s">
        <v>26</v>
      </c>
      <c r="CM8" s="127" t="s">
        <v>26</v>
      </c>
      <c r="CN8" s="127" t="s">
        <v>26</v>
      </c>
      <c r="CO8" s="127">
        <v>25</v>
      </c>
      <c r="CP8" s="127" t="s">
        <v>330</v>
      </c>
      <c r="CQ8" s="127" t="s">
        <v>492</v>
      </c>
      <c r="CR8" s="127" t="s">
        <v>493</v>
      </c>
      <c r="CS8" s="127" t="s">
        <v>26</v>
      </c>
      <c r="CT8" s="127" t="s">
        <v>26</v>
      </c>
      <c r="CU8" s="127" t="s">
        <v>26</v>
      </c>
      <c r="CV8" s="127" t="s">
        <v>26</v>
      </c>
      <c r="CW8" s="127" t="s">
        <v>26</v>
      </c>
      <c r="CX8" s="127" t="s">
        <v>26</v>
      </c>
      <c r="CY8" s="127" t="s">
        <v>26</v>
      </c>
      <c r="CZ8" s="127" t="s">
        <v>26</v>
      </c>
      <c r="DA8" s="127" t="s">
        <v>26</v>
      </c>
      <c r="DB8" s="127" t="s">
        <v>26</v>
      </c>
      <c r="DC8" s="127" t="s">
        <v>26</v>
      </c>
      <c r="DD8" s="127" t="s">
        <v>26</v>
      </c>
      <c r="DE8" s="127" t="s">
        <v>26</v>
      </c>
      <c r="DF8" s="127" t="s">
        <v>26</v>
      </c>
      <c r="DG8" s="127" t="s">
        <v>26</v>
      </c>
      <c r="DH8" s="127" t="s">
        <v>26</v>
      </c>
      <c r="DI8" s="127" t="s">
        <v>26</v>
      </c>
      <c r="DJ8" s="127" t="s">
        <v>26</v>
      </c>
      <c r="DK8" s="127" t="s">
        <v>26</v>
      </c>
      <c r="DL8" s="127" t="s">
        <v>26</v>
      </c>
      <c r="DM8" s="127" t="s">
        <v>494</v>
      </c>
      <c r="DN8" s="127" t="s">
        <v>26</v>
      </c>
      <c r="DO8" s="127" t="s">
        <v>26</v>
      </c>
      <c r="DP8" s="127" t="s">
        <v>26</v>
      </c>
      <c r="DQ8" s="127" t="s">
        <v>26</v>
      </c>
      <c r="DR8" s="127" t="s">
        <v>26</v>
      </c>
      <c r="DS8" s="127" t="s">
        <v>26</v>
      </c>
      <c r="DT8" s="127" t="s">
        <v>26</v>
      </c>
      <c r="DU8" s="128" t="s">
        <v>495</v>
      </c>
      <c r="DV8" s="128" t="s">
        <v>355</v>
      </c>
      <c r="DW8" s="128" t="s">
        <v>26</v>
      </c>
      <c r="DX8" s="128" t="s">
        <v>26</v>
      </c>
      <c r="DY8" s="128" t="s">
        <v>26</v>
      </c>
      <c r="DZ8" s="128" t="s">
        <v>363</v>
      </c>
      <c r="EA8" s="128" t="s">
        <v>365</v>
      </c>
      <c r="EB8" s="128" t="s">
        <v>26</v>
      </c>
      <c r="EC8" s="128" t="s">
        <v>496</v>
      </c>
      <c r="ED8" s="128" t="s">
        <v>26</v>
      </c>
      <c r="EE8" s="128" t="s">
        <v>26</v>
      </c>
      <c r="EF8" s="128" t="s">
        <v>26</v>
      </c>
      <c r="EG8" s="128" t="s">
        <v>26</v>
      </c>
      <c r="EH8" s="128" t="s">
        <v>26</v>
      </c>
      <c r="EI8" s="128" t="s">
        <v>26</v>
      </c>
      <c r="EJ8" s="128" t="s">
        <v>26</v>
      </c>
      <c r="EK8" s="128" t="s">
        <v>497</v>
      </c>
      <c r="EL8" s="128" t="s">
        <v>26</v>
      </c>
      <c r="EM8" s="128" t="s">
        <v>26</v>
      </c>
      <c r="EN8" s="128" t="s">
        <v>26</v>
      </c>
      <c r="EO8" s="128" t="s">
        <v>26</v>
      </c>
      <c r="EP8" s="128" t="s">
        <v>26</v>
      </c>
      <c r="EQ8" s="128" t="s">
        <v>26</v>
      </c>
      <c r="ER8" s="128" t="s">
        <v>26</v>
      </c>
      <c r="ES8" s="128" t="s">
        <v>26</v>
      </c>
      <c r="ET8" s="128" t="s">
        <v>26</v>
      </c>
      <c r="EU8" s="128" t="s">
        <v>26</v>
      </c>
      <c r="EV8" s="128" t="s">
        <v>26</v>
      </c>
      <c r="EW8" s="129">
        <v>1480</v>
      </c>
      <c r="EX8" s="129" t="s">
        <v>26</v>
      </c>
      <c r="EY8" s="129">
        <v>370</v>
      </c>
      <c r="EZ8" s="129">
        <v>370</v>
      </c>
      <c r="FA8" s="130" t="s">
        <v>510</v>
      </c>
      <c r="FB8" s="130" t="s">
        <v>26</v>
      </c>
      <c r="FC8" s="130" t="s">
        <v>26</v>
      </c>
      <c r="FD8" s="129" t="s">
        <v>26</v>
      </c>
      <c r="FE8" s="129" t="s">
        <v>26</v>
      </c>
      <c r="FF8" s="131" t="s">
        <v>26</v>
      </c>
    </row>
    <row r="9" spans="1:162" x14ac:dyDescent="0.2">
      <c r="EY9" s="139"/>
      <c r="EZ9" s="139"/>
    </row>
    <row r="10" spans="1:162" x14ac:dyDescent="0.2">
      <c r="EY10" s="139"/>
      <c r="EZ10" s="139"/>
    </row>
    <row r="11" spans="1:162" x14ac:dyDescent="0.2">
      <c r="EY11" s="139"/>
      <c r="EZ11" s="139"/>
    </row>
    <row r="12" spans="1:162" x14ac:dyDescent="0.2">
      <c r="EY12" s="139"/>
      <c r="EZ12" s="139"/>
    </row>
    <row r="13" spans="1:162" x14ac:dyDescent="0.2">
      <c r="EY13" s="139"/>
      <c r="EZ13" s="139"/>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4"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1"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8"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9" id="{2BA7E502-236E-5443-BC3C-495A48CA33FB}">
            <xm:f>'Start here when entering data'!$D$23="no"</xm:f>
            <x14:dxf>
              <font>
                <color theme="0" tint="-0.34998626667073579"/>
              </font>
              <fill>
                <patternFill patternType="solid">
                  <bgColor theme="8" tint="0.79998168889431442"/>
                </patternFill>
              </fill>
            </x14:dxf>
          </x14:cfRule>
          <xm:sqref>AV1:AY3 AV4:AW8 AY8 AV9:AY1048576</xm:sqref>
        </x14:conditionalFormatting>
        <x14:conditionalFormatting xmlns:xm="http://schemas.microsoft.com/office/excel/2006/main">
          <x14:cfRule type="expression" priority="1" id="{73AE38C2-0ECD-DD4E-8A3B-597870A67C44}">
            <xm:f>'Start here when entering data'!$D$23="no"</xm:f>
            <x14:dxf>
              <font>
                <color theme="0" tint="-0.34998626667073579"/>
              </font>
              <fill>
                <patternFill patternType="solid">
                  <bgColor theme="8" tint="0.79998168889431442"/>
                </patternFill>
              </fill>
            </x14:dxf>
          </x14:cfRule>
          <xm:sqref>AW8</xm:sqref>
        </x14:conditionalFormatting>
        <x14:conditionalFormatting xmlns:xm="http://schemas.microsoft.com/office/excel/2006/main">
          <x14:cfRule type="expression" priority="7"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2"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6"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disablePrompts="1" count="16">
        <x14:dataValidation type="list" allowBlank="1" showInputMessage="1" showErrorMessage="1" xr:uid="{57E0B490-28E7-654E-AF60-0E2EBE4D37B6}">
          <x14:formula1>
            <xm:f>vocabs!$B$3:$B$8</xm:f>
          </x14:formula1>
          <xm:sqref>T4:T8</xm:sqref>
        </x14:dataValidation>
        <x14:dataValidation type="list" allowBlank="1" showInputMessage="1" showErrorMessage="1" xr:uid="{35D2020A-A9E5-3A46-BE1E-B87AA659B523}">
          <x14:formula1>
            <xm:f>vocabs!$B$40:$B$46</xm:f>
          </x14:formula1>
          <xm:sqref>CP4:CP8</xm:sqref>
        </x14:dataValidation>
        <x14:dataValidation type="list" allowBlank="1" showInputMessage="1" showErrorMessage="1" xr:uid="{F1860545-0B17-E044-825D-E1B47091032E}">
          <x14:formula1>
            <xm:f>vocabs!$B$51:$B$57</xm:f>
          </x14:formula1>
          <xm:sqref>CX4:CX8</xm:sqref>
        </x14:dataValidation>
        <x14:dataValidation type="list" allowBlank="1" showInputMessage="1" showErrorMessage="1" xr:uid="{750742C0-7467-5F44-87B8-11430BC07C7D}">
          <x14:formula1>
            <xm:f>vocabs!$B$63:$B$68</xm:f>
          </x14:formula1>
          <xm:sqref>DF4:DF8</xm:sqref>
        </x14:dataValidation>
        <x14:dataValidation type="list" allowBlank="1" showInputMessage="1" showErrorMessage="1" xr:uid="{8DDEEFCF-0CC0-DD45-856E-B05AF1B5FC31}">
          <x14:formula1>
            <xm:f>vocabs!$B$73:$B$78</xm:f>
          </x14:formula1>
          <xm:sqref>DN4:DN8</xm:sqref>
        </x14:dataValidation>
        <x14:dataValidation type="list" allowBlank="1" showInputMessage="1" showErrorMessage="1" xr:uid="{A937BA34-5AC4-E841-98E5-0E831F07562D}">
          <x14:formula1>
            <xm:f>vocabs!$D$3:$D$11</xm:f>
          </x14:formula1>
          <xm:sqref>DV4:DV8</xm:sqref>
        </x14:dataValidation>
        <x14:dataValidation type="list" allowBlank="1" showInputMessage="1" showErrorMessage="1" xr:uid="{B9A615C4-87C6-F04E-845C-C7CDB9C59613}">
          <x14:formula1>
            <xm:f>vocabs!$D$17:$D$20</xm:f>
          </x14:formula1>
          <xm:sqref>DZ4:DZ8</xm:sqref>
        </x14:dataValidation>
        <x14:dataValidation type="list" allowBlank="1" showInputMessage="1" showErrorMessage="1" xr:uid="{A07554C6-E655-0042-8D87-44FEC6DE82C5}">
          <x14:formula1>
            <xm:f>vocabs!$D$26:$D$32</xm:f>
          </x14:formula1>
          <xm:sqref>EA4:EA8</xm:sqref>
        </x14:dataValidation>
        <x14:dataValidation type="list" allowBlank="1" showInputMessage="1" showErrorMessage="1" xr:uid="{1EC7F492-3743-6746-9480-882FBA5E1BEE}">
          <x14:formula1>
            <xm:f>vocabs!$D$37:$D$41</xm:f>
          </x14:formula1>
          <xm:sqref>EE4:EE8</xm:sqref>
        </x14:dataValidation>
        <x14:dataValidation type="list" allowBlank="1" showInputMessage="1" showErrorMessage="1" xr:uid="{DC736571-2631-544E-B05B-20D97597BB20}">
          <x14:formula1>
            <xm:f>vocabs!$D$49:$D$53</xm:f>
          </x14:formula1>
          <xm:sqref>EI4:EI8</xm:sqref>
        </x14:dataValidation>
        <x14:dataValidation type="list" allowBlank="1" showInputMessage="1" showErrorMessage="1" xr:uid="{B3F5EE55-FA2F-8F46-8A0F-98147532B128}">
          <x14:formula1>
            <xm:f>vocabs!$D$59:$D$63</xm:f>
          </x14:formula1>
          <xm:sqref>EM4:EM8</xm:sqref>
        </x14:dataValidation>
        <x14:dataValidation type="list" allowBlank="1" showInputMessage="1" showErrorMessage="1" xr:uid="{7D05EE1F-1FFF-F742-8C69-6CA23D1ECC99}">
          <x14:formula1>
            <xm:f>vocabs!$D$70:$D$74</xm:f>
          </x14:formula1>
          <xm:sqref>EO4:EO8</xm:sqref>
        </x14:dataValidation>
        <x14:dataValidation type="list" allowBlank="1" showInputMessage="1" showErrorMessage="1" xr:uid="{BEAC425B-40DB-6242-824B-1B7C0EA59233}">
          <x14:formula1>
            <xm:f>vocabs!$D$81:$D$87</xm:f>
          </x14:formula1>
          <xm:sqref>ES4:ES8</xm:sqref>
        </x14:dataValidation>
        <x14:dataValidation type="list" allowBlank="1" showInputMessage="1" showErrorMessage="1" xr:uid="{B9A0CC6D-0F1D-D343-A948-6C324BDF1292}">
          <x14:formula1>
            <xm:f>vocabs!$D$93:$D$99</xm:f>
          </x14:formula1>
          <xm:sqref>EU4:EU8</xm:sqref>
        </x14:dataValidation>
        <x14:dataValidation type="list" allowBlank="1" showInputMessage="1" showErrorMessage="1" xr:uid="{8853500C-1848-3747-B84C-F5A1CB5A8374}">
          <x14:formula1>
            <xm:f>vocabs!$B$31:$B$34</xm:f>
          </x14:formula1>
          <xm:sqref>CH4:CH8</xm:sqref>
        </x14:dataValidation>
        <x14:dataValidation type="list" allowBlank="1" showInputMessage="1" showErrorMessage="1" xr:uid="{C3B5FF14-CC45-B94F-9363-2ABDC0B5AA26}">
          <x14:formula1>
            <xm:f>vocabs!$B$17:$B$24</xm:f>
          </x14:formula1>
          <xm:sqref>BZ4:BZ8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topLeftCell="A14" workbookViewId="0">
      <selection activeCell="C8" sqref="C8"/>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100" t="s">
        <v>159</v>
      </c>
      <c r="B1" s="38"/>
      <c r="C1" s="38"/>
      <c r="D1" s="38"/>
      <c r="E1" s="39"/>
      <c r="S1" s="40"/>
      <c r="T1" s="41"/>
      <c r="U1" s="41"/>
      <c r="V1" s="41"/>
      <c r="W1" s="41"/>
      <c r="X1" s="41"/>
      <c r="Y1" s="41"/>
      <c r="Z1" s="41"/>
      <c r="AA1" s="41"/>
      <c r="AB1" s="41"/>
      <c r="AC1" s="41"/>
      <c r="AD1" s="41"/>
      <c r="AE1" s="42"/>
      <c r="AF1" s="34"/>
    </row>
    <row r="2" spans="1:32" x14ac:dyDescent="0.2">
      <c r="A2" s="160" t="s">
        <v>114</v>
      </c>
      <c r="B2" s="161"/>
      <c r="C2" s="161"/>
      <c r="D2" s="161"/>
      <c r="E2" s="162"/>
      <c r="F2" s="175" t="s">
        <v>101</v>
      </c>
      <c r="G2" s="175"/>
      <c r="H2" s="175"/>
      <c r="I2" s="175"/>
      <c r="J2" s="175"/>
      <c r="K2" s="175"/>
      <c r="L2" s="175"/>
      <c r="M2" s="175"/>
      <c r="N2" s="175"/>
      <c r="O2" s="175"/>
      <c r="P2" s="175"/>
      <c r="Q2" s="175"/>
      <c r="R2" s="175"/>
      <c r="S2" s="173" t="s">
        <v>98</v>
      </c>
      <c r="T2" s="174"/>
      <c r="U2" s="174"/>
      <c r="V2" s="174"/>
      <c r="W2" s="174"/>
      <c r="X2" s="174"/>
      <c r="Y2" s="174"/>
      <c r="Z2" s="174"/>
      <c r="AA2" s="174"/>
      <c r="AB2" s="174"/>
      <c r="AC2" s="161"/>
      <c r="AD2" s="161"/>
      <c r="AE2" s="162"/>
      <c r="AF2" s="169"/>
    </row>
    <row r="3" spans="1:32" x14ac:dyDescent="0.2">
      <c r="A3" s="163"/>
      <c r="B3" s="164"/>
      <c r="C3" s="164"/>
      <c r="D3" s="164"/>
      <c r="E3" s="165"/>
      <c r="F3" s="171" t="s">
        <v>74</v>
      </c>
      <c r="G3" s="171"/>
      <c r="H3" s="172"/>
      <c r="I3" s="172"/>
      <c r="J3" s="166" t="s">
        <v>73</v>
      </c>
      <c r="K3" s="168"/>
      <c r="L3" s="166" t="s">
        <v>107</v>
      </c>
      <c r="M3" s="167"/>
      <c r="N3" s="167"/>
      <c r="O3" s="168"/>
      <c r="P3" s="171" t="s">
        <v>112</v>
      </c>
      <c r="Q3" s="172"/>
      <c r="R3" s="172"/>
      <c r="S3" s="163"/>
      <c r="T3" s="164"/>
      <c r="U3" s="164"/>
      <c r="V3" s="164"/>
      <c r="W3" s="164"/>
      <c r="X3" s="164"/>
      <c r="Y3" s="164"/>
      <c r="Z3" s="164"/>
      <c r="AA3" s="164"/>
      <c r="AB3" s="164"/>
      <c r="AC3" s="164"/>
      <c r="AD3" s="164"/>
      <c r="AE3" s="165"/>
      <c r="AF3" s="170"/>
    </row>
    <row r="4" spans="1:32" ht="237" hidden="1" x14ac:dyDescent="0.2">
      <c r="A4" s="32"/>
      <c r="B4" s="32"/>
      <c r="C4" s="99" t="s">
        <v>438</v>
      </c>
      <c r="D4" s="32"/>
      <c r="E4" s="32"/>
      <c r="F4" s="98"/>
      <c r="G4" s="98"/>
      <c r="H4" s="98"/>
      <c r="I4" s="98"/>
      <c r="J4" s="98"/>
      <c r="K4" s="98"/>
      <c r="L4" s="98"/>
      <c r="M4" s="98"/>
      <c r="N4" s="98"/>
      <c r="O4" s="98"/>
      <c r="P4" s="98"/>
      <c r="Q4" s="98"/>
      <c r="R4" s="98"/>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c r="D7" s="52"/>
      <c r="E7" s="52"/>
      <c r="F7" s="77"/>
      <c r="G7" s="77"/>
      <c r="H7" s="77"/>
      <c r="I7" s="77"/>
      <c r="J7" s="77"/>
      <c r="K7" s="77"/>
      <c r="L7" s="77"/>
      <c r="M7" s="77"/>
      <c r="N7" s="77"/>
      <c r="O7" s="77"/>
      <c r="P7" s="77"/>
      <c r="Q7" s="77"/>
      <c r="R7" s="77"/>
      <c r="S7" s="78"/>
      <c r="T7" s="78"/>
      <c r="U7" s="78"/>
      <c r="V7" s="78"/>
      <c r="W7" s="78"/>
      <c r="X7" s="78"/>
      <c r="Y7" s="78"/>
      <c r="Z7" s="78"/>
      <c r="AA7" s="78"/>
      <c r="AB7" s="78"/>
      <c r="AC7" s="78"/>
      <c r="AD7" s="78"/>
      <c r="AE7" s="78"/>
      <c r="AF7" s="43"/>
    </row>
    <row r="8" spans="1:32" x14ac:dyDescent="0.2">
      <c r="A8" s="76"/>
      <c r="B8" s="76"/>
      <c r="C8" s="52"/>
      <c r="D8" s="52"/>
      <c r="E8" s="52"/>
      <c r="F8" s="77"/>
      <c r="G8" s="77"/>
      <c r="H8" s="77"/>
      <c r="I8" s="77"/>
      <c r="J8" s="77"/>
      <c r="K8" s="77"/>
      <c r="L8" s="77"/>
      <c r="M8" s="77"/>
      <c r="N8" s="77"/>
      <c r="O8" s="77"/>
      <c r="P8" s="77"/>
      <c r="Q8" s="77"/>
      <c r="R8" s="77"/>
      <c r="S8" s="78"/>
      <c r="T8" s="78"/>
      <c r="U8" s="78"/>
      <c r="V8" s="78"/>
      <c r="W8" s="78"/>
      <c r="X8" s="78"/>
      <c r="Y8" s="78"/>
      <c r="Z8" s="78"/>
      <c r="AA8" s="78"/>
      <c r="AB8" s="78"/>
      <c r="AC8" s="78"/>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zoomScale="110" zoomScaleNormal="110" workbookViewId="0">
      <selection activeCell="E11" sqref="E11"/>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40" t="s">
        <v>450</v>
      </c>
      <c r="B5" s="141"/>
      <c r="C5" s="141"/>
      <c r="D5" s="142"/>
    </row>
    <row r="6" spans="1:12" x14ac:dyDescent="0.2">
      <c r="A6" s="104"/>
      <c r="B6" s="105"/>
      <c r="D6" s="106"/>
    </row>
    <row r="7" spans="1:12" ht="17" thickBot="1" x14ac:dyDescent="0.25">
      <c r="A7" s="107" t="s">
        <v>435</v>
      </c>
      <c r="C7" s="103"/>
      <c r="D7" s="108" t="s">
        <v>433</v>
      </c>
    </row>
    <row r="8" spans="1:12" ht="20" thickBot="1" x14ac:dyDescent="0.25">
      <c r="A8" s="104"/>
      <c r="B8" s="87"/>
      <c r="C8" s="112" t="s">
        <v>444</v>
      </c>
      <c r="D8" s="119" t="s">
        <v>484</v>
      </c>
    </row>
    <row r="9" spans="1:12" ht="20" thickBot="1" x14ac:dyDescent="0.25">
      <c r="A9" s="104"/>
      <c r="B9" s="87"/>
      <c r="C9" s="112" t="s">
        <v>445</v>
      </c>
      <c r="D9" s="135" t="s">
        <v>485</v>
      </c>
    </row>
    <row r="10" spans="1:12" ht="20" thickBot="1" x14ac:dyDescent="0.3">
      <c r="A10" s="107" t="s">
        <v>434</v>
      </c>
      <c r="C10" s="113"/>
      <c r="D10" s="120"/>
    </row>
    <row r="11" spans="1:12" ht="41" thickBot="1" x14ac:dyDescent="0.25">
      <c r="A11" s="104"/>
      <c r="B11" s="87"/>
      <c r="C11" s="114" t="s">
        <v>439</v>
      </c>
      <c r="D11" s="121" t="s">
        <v>486</v>
      </c>
    </row>
    <row r="12" spans="1:12" ht="20" thickBot="1" x14ac:dyDescent="0.3">
      <c r="A12" s="104"/>
      <c r="B12" s="87"/>
      <c r="C12" s="115" t="s">
        <v>306</v>
      </c>
      <c r="D12" s="121">
        <v>2005</v>
      </c>
    </row>
    <row r="13" spans="1:12" ht="20" thickBot="1" x14ac:dyDescent="0.25">
      <c r="A13" s="104"/>
      <c r="B13" s="87"/>
      <c r="C13" s="112" t="s">
        <v>307</v>
      </c>
      <c r="D13" s="136" t="s">
        <v>514</v>
      </c>
    </row>
    <row r="14" spans="1:12" ht="137" thickBot="1" x14ac:dyDescent="0.25">
      <c r="A14" s="104"/>
      <c r="B14" s="87"/>
      <c r="C14" s="112" t="s">
        <v>308</v>
      </c>
      <c r="D14" s="137" t="s">
        <v>487</v>
      </c>
    </row>
    <row r="15" spans="1:12" ht="17" thickBot="1" x14ac:dyDescent="0.25">
      <c r="A15" s="109"/>
      <c r="B15" s="110"/>
      <c r="C15" s="110"/>
      <c r="D15" s="111"/>
    </row>
    <row r="16" spans="1:12" ht="17" thickBot="1" x14ac:dyDescent="0.25"/>
    <row r="17" spans="1:4" ht="79" customHeight="1" thickBot="1" x14ac:dyDescent="0.35">
      <c r="A17" s="140" t="s">
        <v>440</v>
      </c>
      <c r="B17" s="141"/>
      <c r="C17" s="141"/>
      <c r="D17" s="142"/>
    </row>
    <row r="18" spans="1:4" ht="17" thickBot="1" x14ac:dyDescent="0.25">
      <c r="A18" s="104"/>
      <c r="D18" s="117" t="s">
        <v>433</v>
      </c>
    </row>
    <row r="19" spans="1:4" ht="21" thickBot="1" x14ac:dyDescent="0.25">
      <c r="A19" s="104"/>
      <c r="C19" s="114" t="s">
        <v>311</v>
      </c>
      <c r="D19" s="94" t="s">
        <v>309</v>
      </c>
    </row>
    <row r="20" spans="1:4" ht="19" customHeight="1" thickBot="1" x14ac:dyDescent="0.25">
      <c r="A20" s="104"/>
      <c r="C20" s="114" t="s">
        <v>446</v>
      </c>
      <c r="D20" s="95" t="s">
        <v>310</v>
      </c>
    </row>
    <row r="21" spans="1:4" ht="24" thickBot="1" x14ac:dyDescent="0.25">
      <c r="A21" s="104"/>
      <c r="C21" s="114" t="s">
        <v>447</v>
      </c>
      <c r="D21" s="95" t="s">
        <v>309</v>
      </c>
    </row>
    <row r="22" spans="1:4" ht="24" thickBot="1" x14ac:dyDescent="0.25">
      <c r="A22" s="104"/>
      <c r="C22" s="114" t="s">
        <v>448</v>
      </c>
      <c r="D22" s="96" t="s">
        <v>309</v>
      </c>
    </row>
    <row r="23" spans="1:4" ht="24" thickBot="1" x14ac:dyDescent="0.25">
      <c r="A23" s="104"/>
      <c r="C23" s="114" t="s">
        <v>449</v>
      </c>
      <c r="D23" s="95" t="s">
        <v>310</v>
      </c>
    </row>
    <row r="24" spans="1:4" ht="21" thickBot="1" x14ac:dyDescent="0.25">
      <c r="A24" s="109"/>
      <c r="B24" s="110"/>
      <c r="C24" s="116" t="s">
        <v>312</v>
      </c>
      <c r="D24" s="97" t="s">
        <v>309</v>
      </c>
    </row>
    <row r="25" spans="1:4" ht="17" thickBot="1" x14ac:dyDescent="0.25"/>
    <row r="26" spans="1:4" ht="25" thickBot="1" x14ac:dyDescent="0.35">
      <c r="A26" s="140" t="s">
        <v>441</v>
      </c>
      <c r="B26" s="141"/>
      <c r="C26" s="141"/>
      <c r="D26" s="142"/>
    </row>
    <row r="27" spans="1:4" ht="99" thickBot="1" x14ac:dyDescent="0.35">
      <c r="A27" s="101"/>
      <c r="B27" s="101"/>
      <c r="C27" s="102" t="s">
        <v>470</v>
      </c>
      <c r="D27" s="101"/>
    </row>
    <row r="28" spans="1:4" ht="51" customHeight="1" thickBot="1" x14ac:dyDescent="0.35">
      <c r="A28" s="140" t="s">
        <v>471</v>
      </c>
      <c r="B28" s="141"/>
      <c r="C28" s="141"/>
      <c r="D28" s="142"/>
    </row>
    <row r="29" spans="1:4" ht="25" thickBot="1" x14ac:dyDescent="0.35">
      <c r="A29" s="101"/>
      <c r="B29" s="101"/>
      <c r="C29" s="101"/>
      <c r="D29" s="117" t="s">
        <v>433</v>
      </c>
    </row>
    <row r="30" spans="1:4" ht="33" thickBot="1" x14ac:dyDescent="0.35">
      <c r="A30" s="101"/>
      <c r="C30" s="92" t="s">
        <v>443</v>
      </c>
      <c r="D30" s="118">
        <v>5</v>
      </c>
    </row>
    <row r="31" spans="1:4" x14ac:dyDescent="0.2">
      <c r="A31" s="93"/>
    </row>
  </sheetData>
  <mergeCells count="4">
    <mergeCell ref="A5:D5"/>
    <mergeCell ref="A17:D17"/>
    <mergeCell ref="A26:D26"/>
    <mergeCell ref="A28:D28"/>
  </mergeCells>
  <hyperlinks>
    <hyperlink ref="D9" r:id="rId1" xr:uid="{E04F43C2-6CC1-A746-9A62-E6024C900003}"/>
    <hyperlink ref="D13" r:id="rId2" display="https://doi.org/10.1007/0-387-27048-5_2" xr:uid="{0609C428-08F4-3541-97E2-A262B0B1C4F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6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2024-04-08T15:26:57Z</dcterms:modified>
</cp:coreProperties>
</file>