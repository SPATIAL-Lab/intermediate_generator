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<sst xmlns="http://schemas.openxmlformats.org/spreadsheetml/2006/main" count="282" uniqueCount="282">
  <si>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</si>
  <si>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</si>
  <si>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</si>
  <si>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</si>
  <si>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</si>
  <si>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</si>
  <si>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</si>
  <si>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</si>
  <si>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</si>
  <si>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</si>
  <si>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</si>
  <si>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</si>
  <si>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</si>
  <si>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</si>
  <si>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</si>
  <si>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</si>
  <si>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</si>
  <si>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</si>
  <si>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</si>
  <si>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</si>
  <si>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</si>
  <si>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</si>
  <si>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</si>
  <si>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</si>
  <si>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</si>
  <si>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</si>
  <si>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</si>
  <si>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</si>
  <si>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</si>
  <si>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</si>
  <si>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</si>
  <si>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</si>
  <si>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</si>
  <si>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</si>
  <si>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</si>
  <si>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</si>
  <si>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</si>
  <si>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</si>
  <si>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</si>
  <si>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</si>
  <si>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</si>
  <si>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</si>
  <si>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</si>
  <si>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</si>
  <si>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</si>
  <si>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</si>
  <si>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</si>
  <si>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</si>
  <si>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</si>
  <si>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</si>
  <si>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</si>
  <si>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</si>
  <si>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</si>
  <si>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</si>
  <si>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</si>
  <si>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</si>
  <si>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</si>
  <si>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</si>
  <si>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</si>
  <si>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</si>
  <si>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</si>
  <si>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</si>
  <si>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</si>
  <si>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</si>
  <si>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</si>
  <si>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</si>
  <si>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</si>
  <si>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</si>
  <si>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</si>
  <si>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</si>
  <si>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</si>
  <si>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</si>
  <si>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</si>
  <si>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</si>
  <si>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</si>
  <si>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</si>
  <si>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</si>
  <si>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</si>
  <si>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</si>
  <si>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</si>
  <si>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</si>
  <si>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</si>
  <si>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</si>
  <si>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</si>
  <si>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</si>
  <si>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</si>
  <si>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</si>
  <si>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</si>
  <si>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</si>
  <si>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</si>
  <si>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</si>
  <si>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</si>
  <si>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</si>
  <si>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</si>
  <si>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</si>
  <si>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</si>
  <si>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</si>
  <si>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</si>
  <si>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</si>
  <si>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</si>
  <si>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</si>
  <si>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</si>
  <si>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</si>
  <si>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</si>
  <si>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</si>
  <si>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</si>
  <si>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</si>
  <si>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</si>
  <si>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</si>
  <si>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</si>
  <si>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</si>
  <si>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</si>
  <si>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</si>
  <si>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</si>
  <si>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</si>
  <si>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</si>
  <si>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</si>
  <si>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</si>
  <si>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</si>
  <si>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</si>
  <si>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</si>
  <si>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</si>
  <si>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</si>
  <si>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</si>
  <si>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</si>
  <si>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</si>
  <si>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</si>
  <si>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</si>
  <si>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</si>
  <si>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</si>
  <si>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</si>
  <si>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</si>
  <si>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</si>
  <si>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</si>
  <si>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</si>
  <si>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</si>
  <si>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</si>
  <si>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</si>
  <si>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</si>
  <si>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</si>
  <si>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</si>
  <si>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</si>
  <si>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</si>
  <si>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</si>
  <si>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</si>
  <si>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</si>
  <si>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</si>
  <si>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</si>
  <si>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</si>
  <si>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</si>
  <si>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</si>
  <si>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</si>
  <si>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</si>
  <si>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</si>
  <si>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</si>
  <si>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</si>
  <si>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</si>
  <si>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</si>
  <si>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</si>
  <si>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</si>
  <si>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</si>
  <si>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</si>
  <si>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</si>
  <si>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</si>
  <si>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</si>
  <si>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</si>
  <si>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</si>
  <si>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</si>
  <si>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</si>
  <si>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</si>
  <si>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</si>
  <si>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</si>
  <si>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</si>
  <si>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</si>
  <si>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</si>
  <si>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</si>
  <si>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</si>
  <si>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</si>
  <si>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</si>
  <si>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</si>
  <si>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</si>
  <si>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</si>
  <si>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</si>
  <si>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</si>
  <si>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</si>
  <si>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</si>
  <si>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</si>
  <si>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</si>
  <si>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</si>
  <si>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</si>
  <si>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</si>
  <si>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</si>
  <si>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</si>
  <si>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</si>
  <si>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</si>
  <si>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</si>
  <si>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</si>
  <si>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</si>
  <si>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</si>
  <si>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</si>
  <si>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</si>
  <si>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</si>
  <si>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</si>
  <si>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</si>
  <si>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</si>
  <si>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</si>
  <si>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</si>
  <si>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</si>
  <si>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</si>
  <si>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</si>
  <si>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</si>
  <si>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</si>
  <si>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</si>
  <si>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</si>
  <si>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</si>
  <si>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</si>
  <si>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</si>
  <si>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</si>
  <si>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</si>
  <si>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</si>
  <si>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</si>
  <si>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</si>
  <si>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</si>
  <si>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</si>
  <si>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</si>
  <si>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</si>
  <si>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</si>
  <si>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</si>
  <si>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</si>
  <si>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</si>
  <si>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</si>
  <si>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</si>
  <si>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</si>
  <si>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</si>
  <si>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</si>
  <si>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</si>
  <si>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</si>
  <si>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</si>
  <si>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</si>
  <si>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</si>
  <si>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ODP 999A_1_1_4_5</t>
  </si>
  <si>
    <t xml:space="preserve">10.1016/j.epsl.2012.12.029 </t>
  </si>
  <si>
    <t xml:space="preserve">please enter value manually</t>
  </si>
  <si>
    <t xml:space="preserve">Harper and Giulivi</t>
  </si>
  <si>
    <t xml:space="preserve">dustin.t.harper@utah.edu; claudiag@ldeo.columbia.edu</t>
  </si>
  <si>
    <t xml:space="preserve">Matthew Schmidt et al. 2006, G-cubed. Doi:10.1029/2005GC000957</t>
  </si>
  <si>
    <t xml:space="preserve">Globigerinoides ruber (ss) </t>
  </si>
  <si>
    <t xml:space="preserve">300-355</t>
  </si>
  <si>
    <t xml:space="preserve">~170</t>
  </si>
  <si>
    <t xml:space="preserve">MC-ICPMS</t>
  </si>
  <si>
    <t xml:space="preserve">Recalculation of data originally published in Foster 2008</t>
  </si>
  <si>
    <t xml:space="preserve">ODP 999A_1_1_10_12</t>
  </si>
  <si>
    <t xml:space="preserve">ODP 999A_1_1_14_15</t>
  </si>
  <si>
    <t xml:space="preserve">ODP 999A_1_1_30_32</t>
  </si>
  <si>
    <t xml:space="preserve">10.1016/j.epsl.2012.12.029</t>
  </si>
  <si>
    <t xml:space="preserve">ODP 999A_1_1_38_40</t>
  </si>
  <si>
    <t xml:space="preserve">ODP 999A_1_1_42_44</t>
  </si>
  <si>
    <t xml:space="preserve">ODP 999A_1_1_47_49</t>
  </si>
  <si>
    <t xml:space="preserve">ODP 999A_1_1_56_58</t>
  </si>
  <si>
    <t xml:space="preserve">ODP 999A_1_1_60_62</t>
  </si>
  <si>
    <t xml:space="preserve">ODP 999A_1_1_70_72</t>
  </si>
  <si>
    <t xml:space="preserve">ODP 999A_1_1_81_82</t>
  </si>
  <si>
    <t xml:space="preserve">ODP 999A_1_1_92_94</t>
  </si>
  <si>
    <t xml:space="preserve">ODP 999A_1_1_101_103</t>
  </si>
  <si>
    <t xml:space="preserve">ODP 999A_1_1_112_114</t>
  </si>
  <si>
    <t xml:space="preserve">ODP 999A_1_1_119_121</t>
  </si>
  <si>
    <t xml:space="preserve">GeoB15231_1_1_5_NA</t>
  </si>
  <si>
    <t xml:space="preserve">Gingele, Franz; Kasten, Sabine; Mulitza, Stefan; Rühlemann, Carsten (2000): Age model and isotopes of sediment core GeoB1523-1. PANGAEA, https://doi.org/10.1594/PANGAEA.56532</t>
  </si>
  <si>
    <t xml:space="preserve">not known but likely ~170</t>
  </si>
  <si>
    <t xml:space="preserve">percentage (3%) based conservatively on long term reproducibility</t>
  </si>
  <si>
    <t xml:space="preserve">GeoB15231_1_1_10_NA</t>
  </si>
  <si>
    <t xml:space="preserve">GeoB15231_1_1_15_NA</t>
  </si>
  <si>
    <t xml:space="preserve">GeoB15231_1_1_20_NA</t>
  </si>
  <si>
    <t xml:space="preserve">GeoB15231_1_1_25_NA</t>
  </si>
  <si>
    <t xml:space="preserve">GeoB15231_1_1_30_NA</t>
  </si>
  <si>
    <t xml:space="preserve">GeoB15231_1_1_35_NA</t>
  </si>
  <si>
    <t xml:space="preserve">GeoB15231_1_1_40_NA</t>
  </si>
  <si>
    <t xml:space="preserve">GeoB15231_1_1_45_NA</t>
  </si>
  <si>
    <t xml:space="preserve">GeoB15231_1_1_55_NA</t>
  </si>
  <si>
    <t xml:space="preserve">GeoB15231_1_1_65_NA</t>
  </si>
  <si>
    <t xml:space="preserve">GeoB15231_1_1_75_NA</t>
  </si>
  <si>
    <t xml:space="preserve">GeoB15231_1_1_85_NA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</si>
</sst>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0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  <xf numFmtId="0" fontId="9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t="s">
        <v>242</v>
      </c>
      <c r="D5" t="s">
        <v>243</v>
      </c>
      <c r="E5" s="8" t="s">
        <v>244</v>
      </c>
      <c r="F5" t="n">
        <v>12.75</v>
      </c>
      <c r="G5" t="n">
        <v>-78.73</v>
      </c>
      <c r="H5" t="n">
        <v>0.003915</v>
      </c>
      <c r="I5" t="n">
        <v>0.000035</v>
      </c>
      <c r="J5" t="e">
        <v>#N/A</v>
      </c>
      <c r="K5" t="e">
        <v>#N/A</v>
      </c>
      <c r="L5" t="s">
        <v>245</v>
      </c>
      <c r="M5" t="s">
        <v>246</v>
      </c>
      <c r="N5" t="s">
        <v>247</v>
      </c>
      <c r="O5" t="s">
        <v>248</v>
      </c>
      <c r="P5" t="s">
        <v>249</v>
      </c>
      <c r="Q5" t="n">
        <v>20.665</v>
      </c>
      <c r="R5" t="n">
        <v>0.25</v>
      </c>
      <c r="S5" s="29" t="e">
        <v>#N/A</v>
      </c>
      <c r="T5" t="e">
        <v>#N/A</v>
      </c>
      <c r="U5" s="9" t="n">
        <v>28.23</v>
      </c>
      <c r="V5" t="e">
        <v>#N/A</v>
      </c>
      <c r="W5" t="e">
        <v>#N/A</v>
      </c>
      <c r="X5" t="e">
        <v>#N/A</v>
      </c>
      <c r="Y5" t="s">
        <v>250</v>
      </c>
    </row>
    <row r="6" ht="19" customHeight="1">
      <c r="A6" t="s">
        <v>251</v>
      </c>
      <c r="B6" t="s">
        <v>241</v>
      </c>
      <c r="C6" t="s">
        <v>242</v>
      </c>
      <c r="D6" t="s">
        <v>243</v>
      </c>
      <c r="E6" s="10" t="s">
        <v>244</v>
      </c>
      <c r="F6" t="n">
        <v>12.75</v>
      </c>
      <c r="G6" t="n">
        <v>-78.73</v>
      </c>
      <c r="H6" t="n">
        <v>0.00463</v>
      </c>
      <c r="I6" t="n">
        <v>0.000035</v>
      </c>
      <c r="J6" t="e">
        <v>#N/A</v>
      </c>
      <c r="K6" t="e">
        <v>#N/A</v>
      </c>
      <c r="L6" t="s">
        <v>245</v>
      </c>
      <c r="M6" t="s">
        <v>246</v>
      </c>
      <c r="N6" t="s">
        <v>247</v>
      </c>
      <c r="O6" t="s">
        <v>248</v>
      </c>
      <c r="P6" t="s">
        <v>249</v>
      </c>
      <c r="Q6" t="n">
        <v>20.7833333333333</v>
      </c>
      <c r="R6" t="n">
        <v>0.25</v>
      </c>
      <c r="S6" s="29" t="e">
        <v>#N/A</v>
      </c>
      <c r="T6" t="e">
        <v>#N/A</v>
      </c>
      <c r="U6" s="9" t="n">
        <v>28.4385419938691</v>
      </c>
      <c r="V6" t="e">
        <v>#N/A</v>
      </c>
      <c r="W6" t="e">
        <v>#N/A</v>
      </c>
      <c r="X6" t="e">
        <v>#N/A</v>
      </c>
      <c r="Y6" t="s">
        <v>250</v>
      </c>
    </row>
    <row r="7" ht="19" customHeight="1">
      <c r="A7" t="s">
        <v>252</v>
      </c>
      <c r="B7" t="s">
        <v>241</v>
      </c>
      <c r="C7" t="s">
        <v>242</v>
      </c>
      <c r="D7" t="s">
        <v>243</v>
      </c>
      <c r="E7" s="10" t="s">
        <v>244</v>
      </c>
      <c r="F7" t="n">
        <v>12.75</v>
      </c>
      <c r="G7" t="n">
        <v>-78.73</v>
      </c>
      <c r="H7" t="n">
        <v>0.005025</v>
      </c>
      <c r="I7" t="n">
        <v>0.000035</v>
      </c>
      <c r="J7" t="e">
        <v>#N/A</v>
      </c>
      <c r="K7" t="e">
        <v>#N/A</v>
      </c>
      <c r="L7" t="s">
        <v>245</v>
      </c>
      <c r="M7" t="s">
        <v>246</v>
      </c>
      <c r="N7" t="s">
        <v>247</v>
      </c>
      <c r="O7" t="s">
        <v>248</v>
      </c>
      <c r="P7" t="s">
        <v>249</v>
      </c>
      <c r="Q7" t="n">
        <v>20.59</v>
      </c>
      <c r="R7" t="n">
        <v>0.25</v>
      </c>
      <c r="S7" s="29" t="e">
        <v>#N/A</v>
      </c>
      <c r="T7" t="e">
        <v>#N/A</v>
      </c>
      <c r="U7" s="9" t="n">
        <v>27.7721415131841</v>
      </c>
      <c r="V7" t="e">
        <v>#N/A</v>
      </c>
      <c r="W7" t="e">
        <v>#N/A</v>
      </c>
      <c r="X7" t="e">
        <v>#N/A</v>
      </c>
      <c r="Y7" t="s">
        <v>250</v>
      </c>
    </row>
    <row r="8" ht="19" customHeight="1">
      <c r="A8" t="s">
        <v>253</v>
      </c>
      <c r="B8" t="s">
        <v>254</v>
      </c>
      <c r="C8" t="s">
        <v>242</v>
      </c>
      <c r="D8" t="s">
        <v>243</v>
      </c>
      <c r="E8" s="10" t="s">
        <v>244</v>
      </c>
      <c r="F8" t="n">
        <v>12.75</v>
      </c>
      <c r="G8" t="n">
        <v>-78.73</v>
      </c>
      <c r="H8" t="n">
        <v>0.00782</v>
      </c>
      <c r="I8" t="n">
        <v>0.000035</v>
      </c>
      <c r="J8" t="e">
        <v>#N/A</v>
      </c>
      <c r="K8" t="e">
        <v>#N/A</v>
      </c>
      <c r="L8" t="s">
        <v>245</v>
      </c>
      <c r="M8" t="s">
        <v>246</v>
      </c>
      <c r="N8" t="s">
        <v>247</v>
      </c>
      <c r="O8" t="s">
        <v>248</v>
      </c>
      <c r="P8" t="s">
        <v>249</v>
      </c>
      <c r="Q8" t="n">
        <v>20.82</v>
      </c>
      <c r="R8" t="n">
        <v>0.25</v>
      </c>
      <c r="S8" s="29" t="e">
        <v>#N/A</v>
      </c>
      <c r="T8" t="e">
        <v>#N/A</v>
      </c>
      <c r="U8" s="9" t="n">
        <v>28.1915674298218</v>
      </c>
      <c r="V8" t="e">
        <v>#N/A</v>
      </c>
      <c r="W8" t="e">
        <v>#N/A</v>
      </c>
      <c r="X8" t="e">
        <v>#N/A</v>
      </c>
      <c r="Y8" t="s">
        <v>250</v>
      </c>
    </row>
    <row r="9" ht="19" customHeight="1">
      <c r="A9" t="s">
        <v>253</v>
      </c>
      <c r="B9" t="s">
        <v>254</v>
      </c>
      <c r="C9" t="s">
        <v>242</v>
      </c>
      <c r="D9" t="s">
        <v>243</v>
      </c>
      <c r="E9" s="10" t="s">
        <v>244</v>
      </c>
      <c r="F9" t="n">
        <v>12.75</v>
      </c>
      <c r="G9" t="n">
        <v>-78.73</v>
      </c>
      <c r="H9" t="n">
        <v>0.00782</v>
      </c>
      <c r="I9" t="n">
        <v>0.000035</v>
      </c>
      <c r="J9" t="e">
        <v>#N/A</v>
      </c>
      <c r="K9" t="e">
        <v>#N/A</v>
      </c>
      <c r="L9" t="s">
        <v>245</v>
      </c>
      <c r="M9" t="s">
        <v>246</v>
      </c>
      <c r="N9" t="s">
        <v>247</v>
      </c>
      <c r="O9" t="s">
        <v>248</v>
      </c>
      <c r="P9" t="s">
        <v>249</v>
      </c>
      <c r="Q9" t="n">
        <v>20.72</v>
      </c>
      <c r="R9" t="n">
        <v>0.25</v>
      </c>
      <c r="S9" s="29" t="e">
        <v>#N/A</v>
      </c>
      <c r="T9" t="e">
        <v>#N/A</v>
      </c>
      <c r="U9" s="9" t="n">
        <v>28.1915674298218</v>
      </c>
      <c r="V9" t="e">
        <v>#N/A</v>
      </c>
      <c r="W9" t="e">
        <v>#N/A</v>
      </c>
      <c r="X9" t="e">
        <v>#N/A</v>
      </c>
      <c r="Y9" t="s">
        <v>250</v>
      </c>
    </row>
    <row r="10" ht="19" customHeight="1">
      <c r="A10" t="s">
        <v>255</v>
      </c>
      <c r="B10" t="s">
        <v>254</v>
      </c>
      <c r="C10" t="s">
        <v>242</v>
      </c>
      <c r="D10" t="s">
        <v>243</v>
      </c>
      <c r="E10" s="10" t="s">
        <v>244</v>
      </c>
      <c r="F10" t="n">
        <v>12.75</v>
      </c>
      <c r="G10" t="n">
        <v>-78.73</v>
      </c>
      <c r="H10" t="n">
        <v>0.009488</v>
      </c>
      <c r="I10" t="n">
        <v>0.000035</v>
      </c>
      <c r="J10" t="e">
        <v>#N/A</v>
      </c>
      <c r="K10" t="e">
        <v>#N/A</v>
      </c>
      <c r="L10" t="s">
        <v>245</v>
      </c>
      <c r="M10" t="s">
        <v>246</v>
      </c>
      <c r="N10" t="s">
        <v>247</v>
      </c>
      <c r="O10" t="s">
        <v>248</v>
      </c>
      <c r="P10" t="s">
        <v>249</v>
      </c>
      <c r="Q10" t="n">
        <v>20.675</v>
      </c>
      <c r="R10" t="n">
        <v>0.25</v>
      </c>
      <c r="S10" s="29" t="e">
        <v>#N/A</v>
      </c>
      <c r="T10" t="e">
        <v>#N/A</v>
      </c>
      <c r="U10" s="9" t="n">
        <v>27.5881223921801</v>
      </c>
      <c r="V10" t="e">
        <v>#N/A</v>
      </c>
      <c r="W10" t="e">
        <v>#N/A</v>
      </c>
      <c r="X10" t="e">
        <v>#N/A</v>
      </c>
      <c r="Y10" t="s">
        <v>250</v>
      </c>
    </row>
    <row r="11" ht="19" customHeight="1">
      <c r="A11" t="s">
        <v>256</v>
      </c>
      <c r="B11" t="s">
        <v>254</v>
      </c>
      <c r="C11" t="s">
        <v>242</v>
      </c>
      <c r="D11" t="s">
        <v>243</v>
      </c>
      <c r="E11" s="10" t="s">
        <v>244</v>
      </c>
      <c r="F11" t="n">
        <v>12.75</v>
      </c>
      <c r="G11" t="n">
        <v>-78.73</v>
      </c>
      <c r="H11" t="n">
        <v>0.01032</v>
      </c>
      <c r="I11" t="n">
        <v>0.000035</v>
      </c>
      <c r="J11" t="e">
        <v>#N/A</v>
      </c>
      <c r="K11" t="e">
        <v>#N/A</v>
      </c>
      <c r="L11" t="s">
        <v>245</v>
      </c>
      <c r="M11" t="s">
        <v>246</v>
      </c>
      <c r="N11" t="s">
        <v>247</v>
      </c>
      <c r="O11" t="s">
        <v>248</v>
      </c>
      <c r="P11" t="s">
        <v>249</v>
      </c>
      <c r="Q11" t="n">
        <v>20.925</v>
      </c>
      <c r="R11" t="n">
        <v>0.25</v>
      </c>
      <c r="S11" s="29" t="e">
        <v>#N/A</v>
      </c>
      <c r="T11" t="e">
        <v>#N/A</v>
      </c>
      <c r="U11" s="9" t="n">
        <v>27.4974189406339</v>
      </c>
      <c r="V11" t="e">
        <v>#N/A</v>
      </c>
      <c r="W11" t="e">
        <v>#N/A</v>
      </c>
      <c r="X11" t="e">
        <v>#N/A</v>
      </c>
      <c r="Y11" t="s">
        <v>250</v>
      </c>
    </row>
    <row r="12" ht="19" customHeight="1">
      <c r="A12" t="s">
        <v>257</v>
      </c>
      <c r="B12" t="s">
        <v>254</v>
      </c>
      <c r="C12" t="s">
        <v>242</v>
      </c>
      <c r="D12" t="s">
        <v>243</v>
      </c>
      <c r="E12" s="10" t="s">
        <v>244</v>
      </c>
      <c r="F12" t="n">
        <v>12.75</v>
      </c>
      <c r="G12" t="n">
        <v>-78.73</v>
      </c>
      <c r="H12" t="n">
        <v>0.01165</v>
      </c>
      <c r="I12" t="n">
        <v>0.000035</v>
      </c>
      <c r="J12" t="e">
        <v>#N/A</v>
      </c>
      <c r="K12" t="e">
        <v>#N/A</v>
      </c>
      <c r="L12" t="s">
        <v>245</v>
      </c>
      <c r="M12" t="s">
        <v>246</v>
      </c>
      <c r="N12" t="s">
        <v>247</v>
      </c>
      <c r="O12" t="s">
        <v>248</v>
      </c>
      <c r="P12" t="s">
        <v>249</v>
      </c>
      <c r="Q12" t="n">
        <v>20.72</v>
      </c>
      <c r="R12" t="n">
        <v>0.25</v>
      </c>
      <c r="S12" s="29" t="e">
        <v>#N/A</v>
      </c>
      <c r="T12" t="e">
        <v>#N/A</v>
      </c>
      <c r="U12" s="9" t="n">
        <v>27.0401483933383</v>
      </c>
      <c r="V12" t="e">
        <v>#N/A</v>
      </c>
      <c r="W12" t="e">
        <v>#N/A</v>
      </c>
      <c r="X12" t="e">
        <v>#N/A</v>
      </c>
      <c r="Y12" t="s">
        <v>250</v>
      </c>
    </row>
    <row r="13" ht="19" customHeight="1">
      <c r="A13" t="s">
        <v>258</v>
      </c>
      <c r="B13" t="s">
        <v>254</v>
      </c>
      <c r="C13" t="s">
        <v>242</v>
      </c>
      <c r="D13" t="s">
        <v>243</v>
      </c>
      <c r="E13" s="10" t="s">
        <v>244</v>
      </c>
      <c r="F13" t="n">
        <v>12.75</v>
      </c>
      <c r="G13" t="n">
        <v>-78.73</v>
      </c>
      <c r="H13" t="n">
        <v>0.014014</v>
      </c>
      <c r="I13" t="n">
        <v>0.000035</v>
      </c>
      <c r="J13" t="e">
        <v>#N/A</v>
      </c>
      <c r="K13" t="e">
        <v>#N/A</v>
      </c>
      <c r="L13" t="s">
        <v>245</v>
      </c>
      <c r="M13" t="s">
        <v>246</v>
      </c>
      <c r="N13" t="s">
        <v>247</v>
      </c>
      <c r="O13" t="s">
        <v>248</v>
      </c>
      <c r="P13" t="s">
        <v>249</v>
      </c>
      <c r="Q13" t="n">
        <v>20.975</v>
      </c>
      <c r="R13" t="n">
        <v>0.25</v>
      </c>
      <c r="S13" s="29" t="e">
        <v>#N/A</v>
      </c>
      <c r="T13" t="e">
        <v>#N/A</v>
      </c>
      <c r="U13" s="9" t="n">
        <v>27.3836100829851</v>
      </c>
      <c r="V13" t="e">
        <v>#N/A</v>
      </c>
      <c r="W13" t="e">
        <v>#N/A</v>
      </c>
      <c r="X13" t="e">
        <v>#N/A</v>
      </c>
      <c r="Y13" t="s">
        <v>250</v>
      </c>
    </row>
    <row r="14" ht="19" customHeight="1">
      <c r="A14" t="s">
        <v>259</v>
      </c>
      <c r="B14" t="s">
        <v>254</v>
      </c>
      <c r="C14" t="s">
        <v>242</v>
      </c>
      <c r="D14" t="s">
        <v>243</v>
      </c>
      <c r="E14" s="10" t="s">
        <v>244</v>
      </c>
      <c r="F14" t="n">
        <v>12.75</v>
      </c>
      <c r="G14" t="n">
        <v>-78.73</v>
      </c>
      <c r="H14" t="n">
        <v>0.01507</v>
      </c>
      <c r="I14" t="n">
        <v>0.000035</v>
      </c>
      <c r="J14" t="e">
        <v>#N/A</v>
      </c>
      <c r="K14" t="e">
        <v>#N/A</v>
      </c>
      <c r="L14" t="s">
        <v>245</v>
      </c>
      <c r="M14" t="s">
        <v>246</v>
      </c>
      <c r="N14" t="s">
        <v>247</v>
      </c>
      <c r="O14" t="s">
        <v>248</v>
      </c>
      <c r="P14" t="s">
        <v>249</v>
      </c>
      <c r="Q14" t="n">
        <v>21.015</v>
      </c>
      <c r="R14" t="n">
        <v>0.25</v>
      </c>
      <c r="S14" s="29" t="e">
        <v>#N/A</v>
      </c>
      <c r="T14" t="e">
        <v>#N/A</v>
      </c>
      <c r="U14" s="9" t="n">
        <v>27.4109314831874</v>
      </c>
      <c r="V14" t="e">
        <v>#N/A</v>
      </c>
      <c r="W14" t="e">
        <v>#N/A</v>
      </c>
      <c r="X14" t="e">
        <v>#N/A</v>
      </c>
      <c r="Y14" t="s">
        <v>250</v>
      </c>
    </row>
    <row r="15" ht="19" customHeight="1">
      <c r="A15" t="s">
        <v>259</v>
      </c>
      <c r="B15" t="s">
        <v>254</v>
      </c>
      <c r="C15" t="s">
        <v>242</v>
      </c>
      <c r="D15" t="s">
        <v>243</v>
      </c>
      <c r="E15" s="10" t="s">
        <v>244</v>
      </c>
      <c r="F15" t="n">
        <v>12.75</v>
      </c>
      <c r="G15" t="n">
        <v>-78.73</v>
      </c>
      <c r="H15" t="n">
        <v>0.01507</v>
      </c>
      <c r="I15" t="n">
        <v>0.000035</v>
      </c>
      <c r="J15" t="e">
        <v>#N/A</v>
      </c>
      <c r="K15" t="e">
        <v>#N/A</v>
      </c>
      <c r="L15" t="s">
        <v>245</v>
      </c>
      <c r="M15" t="s">
        <v>246</v>
      </c>
      <c r="N15" t="s">
        <v>247</v>
      </c>
      <c r="O15" t="s">
        <v>248</v>
      </c>
      <c r="P15" t="s">
        <v>249</v>
      </c>
      <c r="Q15" t="n">
        <v>21.15</v>
      </c>
      <c r="R15" t="n">
        <v>0.25</v>
      </c>
      <c r="S15" s="29" t="e">
        <v>#N/A</v>
      </c>
      <c r="T15" t="e">
        <v>#N/A</v>
      </c>
      <c r="U15" s="9" t="n">
        <v>27.4109314831874</v>
      </c>
      <c r="V15" t="e">
        <v>#N/A</v>
      </c>
      <c r="W15" t="e">
        <v>#N/A</v>
      </c>
      <c r="X15" t="e">
        <v>#N/A</v>
      </c>
      <c r="Y15" t="s">
        <v>250</v>
      </c>
    </row>
    <row r="16" ht="19" customHeight="1">
      <c r="A16" t="s">
        <v>260</v>
      </c>
      <c r="B16" t="s">
        <v>254</v>
      </c>
      <c r="C16" t="s">
        <v>242</v>
      </c>
      <c r="D16" t="s">
        <v>243</v>
      </c>
      <c r="E16" t="s">
        <v>244</v>
      </c>
      <c r="F16" t="n">
        <v>12.75</v>
      </c>
      <c r="G16" t="n">
        <v>-78.73</v>
      </c>
      <c r="H16" t="n">
        <v>0.01726</v>
      </c>
      <c r="I16" t="n">
        <v>0.000035</v>
      </c>
      <c r="J16" t="e">
        <v>#N/A</v>
      </c>
      <c r="K16" t="e">
        <v>#N/A</v>
      </c>
      <c r="L16" t="s">
        <v>245</v>
      </c>
      <c r="M16" t="s">
        <v>246</v>
      </c>
      <c r="N16" t="s">
        <v>247</v>
      </c>
      <c r="O16" t="s">
        <v>248</v>
      </c>
      <c r="P16" t="s">
        <v>249</v>
      </c>
      <c r="Q16" t="n">
        <v>21.045</v>
      </c>
      <c r="R16" t="n">
        <v>0.25</v>
      </c>
      <c r="S16" s="29" t="e">
        <v>#N/A</v>
      </c>
      <c r="T16" t="e">
        <v>#N/A</v>
      </c>
      <c r="U16" s="9" t="n">
        <v>26.6883778957018</v>
      </c>
      <c r="V16" t="e">
        <v>#N/A</v>
      </c>
      <c r="W16" t="e">
        <v>#N/A</v>
      </c>
      <c r="X16" t="e">
        <v>#N/A</v>
      </c>
      <c r="Y16" t="s">
        <v>250</v>
      </c>
    </row>
    <row r="17" ht="19" customHeight="1">
      <c r="A17" t="s">
        <v>261</v>
      </c>
      <c r="B17" t="s">
        <v>254</v>
      </c>
      <c r="C17" t="s">
        <v>242</v>
      </c>
      <c r="D17" t="s">
        <v>243</v>
      </c>
      <c r="E17" t="s">
        <v>244</v>
      </c>
      <c r="F17" t="n">
        <v>12.75</v>
      </c>
      <c r="G17" t="n">
        <v>-78.73</v>
      </c>
      <c r="H17" t="n">
        <v>0.019186</v>
      </c>
      <c r="I17" t="n">
        <v>0.000035</v>
      </c>
      <c r="J17" t="e">
        <v>#N/A</v>
      </c>
      <c r="K17" t="e">
        <v>#N/A</v>
      </c>
      <c r="L17" t="s">
        <v>245</v>
      </c>
      <c r="M17" t="s">
        <v>246</v>
      </c>
      <c r="N17" t="s">
        <v>247</v>
      </c>
      <c r="O17" t="s">
        <v>248</v>
      </c>
      <c r="P17" t="s">
        <v>249</v>
      </c>
      <c r="Q17" t="n">
        <v>21.75</v>
      </c>
      <c r="R17" t="n">
        <v>0.25</v>
      </c>
      <c r="S17" s="29" t="e">
        <v>#N/A</v>
      </c>
      <c r="T17" t="e">
        <v>#N/A</v>
      </c>
      <c r="U17" s="9" t="n">
        <v>26.173631754619</v>
      </c>
      <c r="V17" t="e">
        <v>#N/A</v>
      </c>
      <c r="W17" t="e">
        <v>#N/A</v>
      </c>
      <c r="X17" t="e">
        <v>#N/A</v>
      </c>
      <c r="Y17" t="s">
        <v>250</v>
      </c>
    </row>
    <row r="18" ht="19" customHeight="1">
      <c r="A18" t="s">
        <v>262</v>
      </c>
      <c r="B18" t="s">
        <v>254</v>
      </c>
      <c r="C18" t="s">
        <v>242</v>
      </c>
      <c r="D18" t="s">
        <v>243</v>
      </c>
      <c r="E18" t="s">
        <v>244</v>
      </c>
      <c r="F18" t="n">
        <v>12.75</v>
      </c>
      <c r="G18" t="n">
        <v>-78.73</v>
      </c>
      <c r="H18" t="n">
        <v>0.021122</v>
      </c>
      <c r="I18" t="n">
        <v>0.000035</v>
      </c>
      <c r="J18" t="e">
        <v>#N/A</v>
      </c>
      <c r="K18" t="e">
        <v>#N/A</v>
      </c>
      <c r="L18" t="s">
        <v>245</v>
      </c>
      <c r="M18" t="s">
        <v>246</v>
      </c>
      <c r="N18" t="s">
        <v>247</v>
      </c>
      <c r="O18" t="s">
        <v>248</v>
      </c>
      <c r="P18" t="s">
        <v>249</v>
      </c>
      <c r="Q18" t="n">
        <v>21.2266666666667</v>
      </c>
      <c r="R18" t="n">
        <v>0.25</v>
      </c>
      <c r="S18" s="29" t="e">
        <v>#N/A</v>
      </c>
      <c r="T18" t="e">
        <v>#N/A</v>
      </c>
      <c r="U18" s="9" t="n">
        <v>26.007397906283</v>
      </c>
      <c r="V18" t="e">
        <v>#N/A</v>
      </c>
      <c r="W18" t="e">
        <v>#N/A</v>
      </c>
      <c r="X18" t="e">
        <v>#N/A</v>
      </c>
      <c r="Y18" t="s">
        <v>250</v>
      </c>
    </row>
    <row r="19" ht="19" customHeight="1">
      <c r="A19" t="s">
        <v>263</v>
      </c>
      <c r="B19" t="s">
        <v>254</v>
      </c>
      <c r="C19" t="s">
        <v>242</v>
      </c>
      <c r="D19" t="s">
        <v>243</v>
      </c>
      <c r="E19" t="s">
        <v>244</v>
      </c>
      <c r="F19" t="n">
        <v>12.75</v>
      </c>
      <c r="G19" t="n">
        <v>-78.73</v>
      </c>
      <c r="H19" t="n">
        <v>0.022462</v>
      </c>
      <c r="I19" t="n">
        <v>0.000035</v>
      </c>
      <c r="J19" t="e">
        <v>#N/A</v>
      </c>
      <c r="K19" t="e">
        <v>#N/A</v>
      </c>
      <c r="L19" t="s">
        <v>245</v>
      </c>
      <c r="M19" t="s">
        <v>246</v>
      </c>
      <c r="N19" t="s">
        <v>247</v>
      </c>
      <c r="O19" t="s">
        <v>248</v>
      </c>
      <c r="P19" t="s">
        <v>249</v>
      </c>
      <c r="Q19" t="n">
        <v>21.26</v>
      </c>
      <c r="R19" t="n">
        <v>0.25</v>
      </c>
      <c r="S19" s="29" t="e">
        <v>#N/A</v>
      </c>
      <c r="T19" t="e">
        <v>#N/A</v>
      </c>
      <c r="U19" s="9" t="n">
        <v>26.6883778957018</v>
      </c>
      <c r="V19" t="e">
        <v>#N/A</v>
      </c>
      <c r="W19" t="e">
        <v>#N/A</v>
      </c>
      <c r="X19" t="e">
        <v>#N/A</v>
      </c>
      <c r="Y19" t="s">
        <v>250</v>
      </c>
    </row>
    <row r="20" ht="19" customHeight="1">
      <c r="A20" t="s">
        <v>264</v>
      </c>
      <c r="B20" t="s">
        <v>254</v>
      </c>
      <c r="C20" t="s">
        <v>242</v>
      </c>
      <c r="D20" t="s">
        <v>243</v>
      </c>
      <c r="E20" t="s">
        <v>244</v>
      </c>
      <c r="F20" t="n">
        <v>12.75</v>
      </c>
      <c r="G20" t="n">
        <v>-78.73</v>
      </c>
      <c r="H20" t="n">
        <v>0.024794</v>
      </c>
      <c r="I20" t="n">
        <v>0.000035</v>
      </c>
      <c r="J20" t="e">
        <v>#N/A</v>
      </c>
      <c r="K20" t="e">
        <v>#N/A</v>
      </c>
      <c r="L20" t="s">
        <v>245</v>
      </c>
      <c r="M20" t="s">
        <v>246</v>
      </c>
      <c r="N20" t="s">
        <v>247</v>
      </c>
      <c r="O20" t="s">
        <v>248</v>
      </c>
      <c r="P20" t="s">
        <v>249</v>
      </c>
      <c r="Q20" t="n">
        <v>21.51</v>
      </c>
      <c r="R20" t="n">
        <v>0.25</v>
      </c>
      <c r="S20" s="29" t="e">
        <v>#N/A</v>
      </c>
      <c r="T20" t="e">
        <v>#N/A</v>
      </c>
      <c r="U20" s="9" t="n">
        <v>26.5766272729902</v>
      </c>
      <c r="V20" t="e">
        <v>#N/A</v>
      </c>
      <c r="W20" t="e">
        <v>#N/A</v>
      </c>
      <c r="X20" t="e">
        <v>#N/A</v>
      </c>
      <c r="Y20" t="s">
        <v>250</v>
      </c>
    </row>
    <row r="21" ht="19" customHeight="1">
      <c r="A21" t="s">
        <v>265</v>
      </c>
      <c r="B21" t="s">
        <v>254</v>
      </c>
      <c r="C21" t="s">
        <v>242</v>
      </c>
      <c r="D21" t="s">
        <v>243</v>
      </c>
      <c r="E21" t="s">
        <v>244</v>
      </c>
      <c r="F21" t="n">
        <v>12.75</v>
      </c>
      <c r="G21" t="n">
        <v>-78.73</v>
      </c>
      <c r="H21" t="n">
        <v>0.026278</v>
      </c>
      <c r="I21" t="n">
        <v>0.000035</v>
      </c>
      <c r="J21" t="e">
        <v>#N/A</v>
      </c>
      <c r="K21" t="e">
        <v>#N/A</v>
      </c>
      <c r="L21" t="s">
        <v>245</v>
      </c>
      <c r="M21" t="s">
        <v>246</v>
      </c>
      <c r="N21" t="s">
        <v>247</v>
      </c>
      <c r="O21" t="s">
        <v>248</v>
      </c>
      <c r="P21" t="s">
        <v>249</v>
      </c>
      <c r="Q21" t="n">
        <v>21.625</v>
      </c>
      <c r="R21" t="n">
        <v>0.25</v>
      </c>
      <c r="S21" s="29" t="e">
        <v>#N/A</v>
      </c>
      <c r="T21" t="e">
        <v>#N/A</v>
      </c>
      <c r="U21" s="9" t="n">
        <v>26.3442366142362</v>
      </c>
      <c r="V21" t="e">
        <v>#N/A</v>
      </c>
      <c r="W21" t="e">
        <v>#N/A</v>
      </c>
      <c r="X21" t="e">
        <v>#N/A</v>
      </c>
      <c r="Y21" t="s">
        <v>250</v>
      </c>
    </row>
    <row r="22" ht="19" customHeight="1">
      <c r="A22" t="s">
        <v>265</v>
      </c>
      <c r="B22" t="s">
        <v>254</v>
      </c>
      <c r="C22" t="s">
        <v>242</v>
      </c>
      <c r="D22" t="s">
        <v>243</v>
      </c>
      <c r="E22" t="s">
        <v>244</v>
      </c>
      <c r="F22" t="n">
        <v>12.75</v>
      </c>
      <c r="G22" t="n">
        <v>-78.73</v>
      </c>
      <c r="H22" t="n">
        <v>0.026278</v>
      </c>
      <c r="I22" t="n">
        <v>0.000035</v>
      </c>
      <c r="J22" t="e">
        <v>#N/A</v>
      </c>
      <c r="K22" t="e">
        <v>#N/A</v>
      </c>
      <c r="L22" t="s">
        <v>245</v>
      </c>
      <c r="M22" t="s">
        <v>246</v>
      </c>
      <c r="N22" t="s">
        <v>247</v>
      </c>
      <c r="O22" t="s">
        <v>248</v>
      </c>
      <c r="P22" t="s">
        <v>249</v>
      </c>
      <c r="Q22" t="n">
        <v>21.695</v>
      </c>
      <c r="R22" t="n">
        <v>0.25</v>
      </c>
      <c r="S22" s="29" t="e">
        <v>#N/A</v>
      </c>
      <c r="T22" t="e">
        <v>#N/A</v>
      </c>
      <c r="U22" s="9" t="n">
        <v>26.3442366142362</v>
      </c>
      <c r="V22" t="e">
        <v>#N/A</v>
      </c>
      <c r="W22" t="e">
        <v>#N/A</v>
      </c>
      <c r="X22" t="e">
        <v>#N/A</v>
      </c>
      <c r="Y22" t="s">
        <v>250</v>
      </c>
    </row>
    <row r="23" ht="19" customHeight="1">
      <c r="A23" t="s">
        <v>266</v>
      </c>
      <c r="B23" t="s">
        <v>254</v>
      </c>
      <c r="C23" t="s">
        <v>242</v>
      </c>
      <c r="D23" t="s">
        <v>243</v>
      </c>
      <c r="E23" t="s">
        <v>244</v>
      </c>
      <c r="F23" t="n">
        <v>3.831667</v>
      </c>
      <c r="G23" t="n">
        <v>-41.6216667</v>
      </c>
      <c r="H23" t="n">
        <v>0.003102142</v>
      </c>
      <c r="I23" t="e">
        <v>#N/A</v>
      </c>
      <c r="J23" t="e">
        <v>#N/A</v>
      </c>
      <c r="K23" t="e">
        <v>#N/A</v>
      </c>
      <c r="L23" t="s">
        <v>267</v>
      </c>
      <c r="M23" t="s">
        <v>246</v>
      </c>
      <c r="N23" t="s">
        <v>247</v>
      </c>
      <c r="O23" t="s">
        <v>268</v>
      </c>
      <c r="P23" t="s">
        <v>249</v>
      </c>
      <c r="Q23" t="n">
        <v>20.7785750345456</v>
      </c>
      <c r="R23" t="n">
        <v>0.25</v>
      </c>
      <c r="S23" t="s">
        <v>269</v>
      </c>
      <c r="T23" t="n">
        <v>0.138699137547</v>
      </c>
      <c r="U23" s="9" t="n">
        <v>27.7632639309196</v>
      </c>
      <c r="V23" t="e">
        <v>#N/A</v>
      </c>
      <c r="W23" t="e">
        <v>#N/A</v>
      </c>
      <c r="X23" t="e">
        <v>#N/A</v>
      </c>
      <c r="Y23" t="s">
        <v>45</v>
      </c>
    </row>
    <row r="24" ht="19" customHeight="1">
      <c r="A24" t="s">
        <v>270</v>
      </c>
      <c r="B24" t="s">
        <v>254</v>
      </c>
      <c r="C24" t="s">
        <v>242</v>
      </c>
      <c r="D24" t="s">
        <v>243</v>
      </c>
      <c r="E24" t="s">
        <v>244</v>
      </c>
      <c r="F24" t="n">
        <v>3.831667</v>
      </c>
      <c r="G24" t="n">
        <v>-41.6216667</v>
      </c>
      <c r="H24" t="n">
        <v>0.005982497</v>
      </c>
      <c r="I24" t="e">
        <v>#N/A</v>
      </c>
      <c r="J24" t="e">
        <v>#N/A</v>
      </c>
      <c r="K24" t="e">
        <v>#N/A</v>
      </c>
      <c r="L24" t="s">
        <v>267</v>
      </c>
      <c r="M24" t="s">
        <v>246</v>
      </c>
      <c r="N24" t="s">
        <v>247</v>
      </c>
      <c r="O24" t="s">
        <v>268</v>
      </c>
      <c r="P24" t="s">
        <v>249</v>
      </c>
      <c r="Q24" t="n">
        <v>20.7157879181206</v>
      </c>
      <c r="R24" t="n">
        <v>0.25</v>
      </c>
      <c r="S24" t="s">
        <v>269</v>
      </c>
      <c r="T24" t="n">
        <v>0.134207756347267</v>
      </c>
      <c r="U24" s="9" t="n">
        <v>27.3975073821272</v>
      </c>
      <c r="V24" t="e">
        <v>#N/A</v>
      </c>
      <c r="W24" t="e">
        <v>#N/A</v>
      </c>
      <c r="X24" t="e">
        <v>#N/A</v>
      </c>
      <c r="Y24" t="s">
        <v>45</v>
      </c>
    </row>
    <row r="25" ht="19" customHeight="1">
      <c r="A25" t="s">
        <v>271</v>
      </c>
      <c r="B25" t="s">
        <v>254</v>
      </c>
      <c r="C25" t="s">
        <v>242</v>
      </c>
      <c r="D25" t="s">
        <v>243</v>
      </c>
      <c r="E25" t="s">
        <v>244</v>
      </c>
      <c r="F25" t="n">
        <v>3.831667</v>
      </c>
      <c r="G25" t="n">
        <v>-41.6216667</v>
      </c>
      <c r="H25" t="n">
        <v>0.008517854</v>
      </c>
      <c r="I25" t="e">
        <v>#N/A</v>
      </c>
      <c r="J25" t="e">
        <v>#N/A</v>
      </c>
      <c r="K25" t="e">
        <v>#N/A</v>
      </c>
      <c r="L25" t="s">
        <v>267</v>
      </c>
      <c r="M25" t="s">
        <v>246</v>
      </c>
      <c r="N25" t="s">
        <v>247</v>
      </c>
      <c r="O25" t="s">
        <v>268</v>
      </c>
      <c r="P25" t="s">
        <v>249</v>
      </c>
      <c r="Q25" t="n">
        <v>20.9729433840837</v>
      </c>
      <c r="R25" t="n">
        <v>0.25</v>
      </c>
      <c r="S25" t="s">
        <v>269</v>
      </c>
      <c r="T25" t="n">
        <v>0.136921146670517</v>
      </c>
      <c r="U25" s="9" t="n">
        <v>27.6199092552735</v>
      </c>
      <c r="V25" t="e">
        <v>#N/A</v>
      </c>
      <c r="W25" t="e">
        <v>#N/A</v>
      </c>
      <c r="X25" t="e">
        <v>#N/A</v>
      </c>
      <c r="Y25" t="s">
        <v>45</v>
      </c>
    </row>
    <row r="26" ht="19" customHeight="1">
      <c r="A26" t="s">
        <v>272</v>
      </c>
      <c r="B26" t="s">
        <v>254</v>
      </c>
      <c r="C26" t="s">
        <v>242</v>
      </c>
      <c r="D26" t="s">
        <v>243</v>
      </c>
      <c r="E26" t="s">
        <v>244</v>
      </c>
      <c r="F26" t="n">
        <v>3.831667</v>
      </c>
      <c r="G26" t="n">
        <v>-41.6216667</v>
      </c>
      <c r="H26" t="n">
        <v>0.010535702</v>
      </c>
      <c r="I26" t="e">
        <v>#N/A</v>
      </c>
      <c r="J26" t="e">
        <v>#N/A</v>
      </c>
      <c r="K26" t="e">
        <v>#N/A</v>
      </c>
      <c r="L26" t="s">
        <v>267</v>
      </c>
      <c r="M26" t="s">
        <v>246</v>
      </c>
      <c r="N26" t="s">
        <v>247</v>
      </c>
      <c r="O26" t="s">
        <v>268</v>
      </c>
      <c r="P26" t="s">
        <v>249</v>
      </c>
      <c r="Q26" t="n">
        <v>20.7343232842252</v>
      </c>
      <c r="R26" t="n">
        <v>0.25</v>
      </c>
      <c r="S26" t="s">
        <v>269</v>
      </c>
      <c r="T26" t="n">
        <v>0.128818195577469</v>
      </c>
      <c r="U26" s="9" t="n">
        <v>26.9420968700394</v>
      </c>
      <c r="V26" t="e">
        <v>#N/A</v>
      </c>
      <c r="W26" t="e">
        <v>#N/A</v>
      </c>
      <c r="X26" t="e">
        <v>#N/A</v>
      </c>
      <c r="Y26" t="s">
        <v>45</v>
      </c>
    </row>
    <row r="27" ht="19" customHeight="1">
      <c r="A27" t="s">
        <v>273</v>
      </c>
      <c r="B27" t="s">
        <v>254</v>
      </c>
      <c r="C27" t="s">
        <v>242</v>
      </c>
      <c r="D27" t="s">
        <v>243</v>
      </c>
      <c r="E27" t="s">
        <v>244</v>
      </c>
      <c r="F27" t="n">
        <v>3.831667</v>
      </c>
      <c r="G27" t="n">
        <v>-41.6216667</v>
      </c>
      <c r="H27" t="n">
        <v>0.01255356</v>
      </c>
      <c r="I27" t="e">
        <v>#N/A</v>
      </c>
      <c r="J27" t="e">
        <v>#N/A</v>
      </c>
      <c r="K27" t="e">
        <v>#N/A</v>
      </c>
      <c r="L27" t="s">
        <v>267</v>
      </c>
      <c r="M27" t="s">
        <v>246</v>
      </c>
      <c r="N27" t="s">
        <v>247</v>
      </c>
      <c r="O27" t="s">
        <v>268</v>
      </c>
      <c r="P27" t="s">
        <v>249</v>
      </c>
      <c r="Q27" t="n">
        <v>21.2859557178726</v>
      </c>
      <c r="R27" t="n">
        <v>0.25</v>
      </c>
      <c r="S27" t="s">
        <v>269</v>
      </c>
      <c r="T27" t="n">
        <v>0.124026278274883</v>
      </c>
      <c r="U27" s="9" t="n">
        <v>26.5208901036002</v>
      </c>
      <c r="V27" t="e">
        <v>#N/A</v>
      </c>
      <c r="W27" t="e">
        <v>#N/A</v>
      </c>
      <c r="X27" t="e">
        <v>#N/A</v>
      </c>
      <c r="Y27" t="s">
        <v>45</v>
      </c>
    </row>
    <row r="28" ht="19" customHeight="1">
      <c r="A28" t="s">
        <v>274</v>
      </c>
      <c r="B28" t="s">
        <v>254</v>
      </c>
      <c r="C28" t="s">
        <v>242</v>
      </c>
      <c r="D28" t="s">
        <v>243</v>
      </c>
      <c r="E28" t="s">
        <v>244</v>
      </c>
      <c r="F28" t="n">
        <v>3.831667</v>
      </c>
      <c r="G28" t="n">
        <v>-41.6216667</v>
      </c>
      <c r="H28" t="n">
        <v>0.01457142</v>
      </c>
      <c r="I28" t="e">
        <v>#N/A</v>
      </c>
      <c r="J28" t="e">
        <v>#N/A</v>
      </c>
      <c r="K28" t="e">
        <v>#N/A</v>
      </c>
      <c r="L28" t="s">
        <v>267</v>
      </c>
      <c r="M28" t="s">
        <v>246</v>
      </c>
      <c r="N28" t="s">
        <v>247</v>
      </c>
      <c r="O28" t="s">
        <v>268</v>
      </c>
      <c r="P28" t="s">
        <v>249</v>
      </c>
      <c r="Q28" t="n">
        <v>21.12601382658</v>
      </c>
      <c r="R28" t="n">
        <v>0.25</v>
      </c>
      <c r="S28" t="s">
        <v>269</v>
      </c>
      <c r="T28" t="n">
        <v>0.120703618821363</v>
      </c>
      <c r="U28" s="9" t="n">
        <v>26.2191639355953</v>
      </c>
      <c r="V28" t="e">
        <v>#N/A</v>
      </c>
      <c r="W28" t="e">
        <v>#N/A</v>
      </c>
      <c r="X28" t="e">
        <v>#N/A</v>
      </c>
      <c r="Y28" t="s">
        <v>45</v>
      </c>
    </row>
    <row r="29" ht="19" customHeight="1">
      <c r="A29" t="s">
        <v>275</v>
      </c>
      <c r="B29" t="s">
        <v>254</v>
      </c>
      <c r="C29" t="s">
        <v>242</v>
      </c>
      <c r="D29" t="s">
        <v>243</v>
      </c>
      <c r="E29" t="s">
        <v>244</v>
      </c>
      <c r="F29" t="n">
        <v>3.831667</v>
      </c>
      <c r="G29" t="n">
        <v>-41.6216667</v>
      </c>
      <c r="H29" t="n">
        <v>0.01658926</v>
      </c>
      <c r="I29" t="e">
        <v>#N/A</v>
      </c>
      <c r="J29" t="e">
        <v>#N/A</v>
      </c>
      <c r="K29" t="e">
        <v>#N/A</v>
      </c>
      <c r="L29" t="s">
        <v>267</v>
      </c>
      <c r="M29" t="s">
        <v>246</v>
      </c>
      <c r="N29" t="s">
        <v>247</v>
      </c>
      <c r="O29" t="s">
        <v>268</v>
      </c>
      <c r="P29" t="s">
        <v>249</v>
      </c>
      <c r="Q29" t="n">
        <v>21.3266895868006</v>
      </c>
      <c r="R29" t="n">
        <v>0.25</v>
      </c>
      <c r="S29" t="s">
        <v>269</v>
      </c>
      <c r="T29" t="n">
        <v>0.106538301900076</v>
      </c>
      <c r="U29" s="9" t="n">
        <v>24.8321245260833</v>
      </c>
      <c r="V29" t="e">
        <v>#N/A</v>
      </c>
      <c r="W29" t="e">
        <v>#N/A</v>
      </c>
      <c r="X29" t="e">
        <v>#N/A</v>
      </c>
      <c r="Y29" t="s">
        <v>45</v>
      </c>
    </row>
    <row r="30" ht="19" customHeight="1">
      <c r="A30" t="s">
        <v>276</v>
      </c>
      <c r="B30" t="s">
        <v>254</v>
      </c>
      <c r="C30" t="s">
        <v>242</v>
      </c>
      <c r="D30" t="s">
        <v>243</v>
      </c>
      <c r="E30" t="s">
        <v>244</v>
      </c>
      <c r="F30" t="n">
        <v>3.831667</v>
      </c>
      <c r="G30" t="n">
        <v>-41.6216667</v>
      </c>
      <c r="H30" t="n">
        <v>0.01816</v>
      </c>
      <c r="I30" t="e">
        <v>#N/A</v>
      </c>
      <c r="J30" t="e">
        <v>#N/A</v>
      </c>
      <c r="K30" t="e">
        <v>#N/A</v>
      </c>
      <c r="L30" t="s">
        <v>267</v>
      </c>
      <c r="M30" t="s">
        <v>246</v>
      </c>
      <c r="N30" t="s">
        <v>247</v>
      </c>
      <c r="O30" t="s">
        <v>268</v>
      </c>
      <c r="P30" t="s">
        <v>249</v>
      </c>
      <c r="Q30" t="n">
        <v>21.3674704493407</v>
      </c>
      <c r="R30" t="n">
        <v>0.25</v>
      </c>
      <c r="S30" t="s">
        <v>269</v>
      </c>
      <c r="T30" t="n">
        <v>0.110709784439359</v>
      </c>
      <c r="U30" s="9" t="n">
        <v>25.2588763043813</v>
      </c>
      <c r="V30" t="e">
        <v>#N/A</v>
      </c>
      <c r="W30" t="e">
        <v>#N/A</v>
      </c>
      <c r="X30" t="e">
        <v>#N/A</v>
      </c>
      <c r="Y30" t="s">
        <v>45</v>
      </c>
    </row>
    <row r="31" ht="19" customHeight="1">
      <c r="A31" t="s">
        <v>277</v>
      </c>
      <c r="B31" t="s">
        <v>254</v>
      </c>
      <c r="C31" t="s">
        <v>242</v>
      </c>
      <c r="D31" t="s">
        <v>243</v>
      </c>
      <c r="E31" t="s">
        <v>244</v>
      </c>
      <c r="F31" t="n">
        <v>3.831667</v>
      </c>
      <c r="G31" t="n">
        <v>-41.6216667</v>
      </c>
      <c r="H31" t="n">
        <v>0.01906</v>
      </c>
      <c r="I31" t="e">
        <v>#N/A</v>
      </c>
      <c r="J31" t="e">
        <v>#N/A</v>
      </c>
      <c r="K31" t="e">
        <v>#N/A</v>
      </c>
      <c r="L31" t="s">
        <v>267</v>
      </c>
      <c r="M31" t="s">
        <v>246</v>
      </c>
      <c r="N31" t="s">
        <v>247</v>
      </c>
      <c r="O31" t="s">
        <v>268</v>
      </c>
      <c r="P31" t="s">
        <v>249</v>
      </c>
      <c r="Q31" t="n">
        <v>21.1495858828108</v>
      </c>
      <c r="R31" t="n">
        <v>0.25</v>
      </c>
      <c r="S31" t="s">
        <v>269</v>
      </c>
      <c r="T31" t="n">
        <v>0.106684375297486</v>
      </c>
      <c r="U31" s="9" t="n">
        <v>24.8473484039957</v>
      </c>
      <c r="V31" t="e">
        <v>#N/A</v>
      </c>
      <c r="W31" t="e">
        <v>#N/A</v>
      </c>
      <c r="X31" t="e">
        <v>#N/A</v>
      </c>
      <c r="Y31" t="s">
        <v>45</v>
      </c>
    </row>
    <row r="32" ht="19" customHeight="1">
      <c r="A32" t="s">
        <v>278</v>
      </c>
      <c r="B32" t="s">
        <v>254</v>
      </c>
      <c r="C32" t="s">
        <v>242</v>
      </c>
      <c r="D32" t="s">
        <v>243</v>
      </c>
      <c r="E32" t="s">
        <v>244</v>
      </c>
      <c r="F32" t="n">
        <v>3.831667</v>
      </c>
      <c r="G32" t="n">
        <v>-41.6216667</v>
      </c>
      <c r="H32" t="n">
        <v>0.02086</v>
      </c>
      <c r="I32" t="e">
        <v>#N/A</v>
      </c>
      <c r="J32" t="e">
        <v>#N/A</v>
      </c>
      <c r="K32" t="e">
        <v>#N/A</v>
      </c>
      <c r="L32" t="s">
        <v>267</v>
      </c>
      <c r="M32" t="s">
        <v>246</v>
      </c>
      <c r="N32" t="s">
        <v>247</v>
      </c>
      <c r="O32" t="s">
        <v>268</v>
      </c>
      <c r="P32" t="s">
        <v>249</v>
      </c>
      <c r="Q32" t="n">
        <v>21.143820309814</v>
      </c>
      <c r="R32" t="n">
        <v>0.25</v>
      </c>
      <c r="S32" t="s">
        <v>269</v>
      </c>
      <c r="T32" t="n">
        <v>0.115777767259069</v>
      </c>
      <c r="U32" s="9" t="n">
        <v>25.7562133191563</v>
      </c>
      <c r="V32" t="e">
        <v>#N/A</v>
      </c>
      <c r="W32" t="e">
        <v>#N/A</v>
      </c>
      <c r="X32" t="e">
        <v>#N/A</v>
      </c>
      <c r="Y32" t="s">
        <v>45</v>
      </c>
    </row>
    <row r="33" ht="19" customHeight="1">
      <c r="A33" t="s">
        <v>279</v>
      </c>
      <c r="B33" t="s">
        <v>254</v>
      </c>
      <c r="C33" t="s">
        <v>242</v>
      </c>
      <c r="D33" t="s">
        <v>243</v>
      </c>
      <c r="E33" t="s">
        <v>244</v>
      </c>
      <c r="F33" t="n">
        <v>3.831667</v>
      </c>
      <c r="G33" t="n">
        <v>-41.6216667</v>
      </c>
      <c r="H33" t="n">
        <v>0.0238578</v>
      </c>
      <c r="I33" t="e">
        <v>#N/A</v>
      </c>
      <c r="J33" t="e">
        <v>#N/A</v>
      </c>
      <c r="K33" t="e">
        <v>#N/A</v>
      </c>
      <c r="L33" t="s">
        <v>267</v>
      </c>
      <c r="M33" t="s">
        <v>246</v>
      </c>
      <c r="N33" t="s">
        <v>247</v>
      </c>
      <c r="O33" t="s">
        <v>268</v>
      </c>
      <c r="P33" t="s">
        <v>249</v>
      </c>
      <c r="Q33" t="n">
        <v>20.9925449538543</v>
      </c>
      <c r="R33" t="n">
        <v>0.25</v>
      </c>
      <c r="S33" t="s">
        <v>269</v>
      </c>
      <c r="T33" t="n">
        <v>0.110280488024711</v>
      </c>
      <c r="U33" s="9" t="n">
        <v>25.2157072896575</v>
      </c>
      <c r="V33" t="e">
        <v>#N/A</v>
      </c>
      <c r="W33" t="e">
        <v>#N/A</v>
      </c>
      <c r="X33" t="e">
        <v>#N/A</v>
      </c>
      <c r="Y33" t="s">
        <v>45</v>
      </c>
    </row>
    <row r="34" ht="19" customHeight="1">
      <c r="A34" t="s">
        <v>280</v>
      </c>
      <c r="B34" t="s">
        <v>254</v>
      </c>
      <c r="C34" t="s">
        <v>242</v>
      </c>
      <c r="D34" t="s">
        <v>243</v>
      </c>
      <c r="E34" t="s">
        <v>244</v>
      </c>
      <c r="F34" t="n">
        <v>3.831667</v>
      </c>
      <c r="G34" t="n">
        <v>-41.6216667</v>
      </c>
      <c r="H34" t="n">
        <v>0.0273689</v>
      </c>
      <c r="I34" t="e">
        <v>#N/A</v>
      </c>
      <c r="J34" t="e">
        <v>#N/A</v>
      </c>
      <c r="K34" t="e">
        <v>#N/A</v>
      </c>
      <c r="L34" t="s">
        <v>267</v>
      </c>
      <c r="M34" t="s">
        <v>246</v>
      </c>
      <c r="N34" t="s">
        <v>247</v>
      </c>
      <c r="O34" t="s">
        <v>268</v>
      </c>
      <c r="P34" t="s">
        <v>249</v>
      </c>
      <c r="Q34" t="n">
        <v>21.1743806559453</v>
      </c>
      <c r="R34" t="n">
        <v>0.25</v>
      </c>
      <c r="S34" t="s">
        <v>269</v>
      </c>
      <c r="T34" t="n">
        <v>0.111173944548599</v>
      </c>
      <c r="U34" s="9" t="n">
        <v>25.3053631927495</v>
      </c>
      <c r="V34" t="e">
        <v>#N/A</v>
      </c>
      <c r="W34" t="e">
        <v>#N/A</v>
      </c>
      <c r="X34" t="e">
        <v>#N/A</v>
      </c>
      <c r="Y34" t="s">
        <v>45</v>
      </c>
    </row>
    <row r="35" ht="19" customHeight="1">
      <c r="A35" t="s">
        <v>281</v>
      </c>
      <c r="B35" t="s">
        <v>254</v>
      </c>
      <c r="C35" t="s">
        <v>242</v>
      </c>
      <c r="D35" t="s">
        <v>243</v>
      </c>
      <c r="E35" t="s">
        <v>244</v>
      </c>
      <c r="F35" t="n">
        <v>3.831667</v>
      </c>
      <c r="G35" t="n">
        <v>-41.6216667</v>
      </c>
      <c r="H35" t="n">
        <v>0.03088</v>
      </c>
      <c r="I35" t="e">
        <v>#N/A</v>
      </c>
      <c r="J35" t="e">
        <v>#N/A</v>
      </c>
      <c r="K35" t="e">
        <v>#N/A</v>
      </c>
      <c r="L35" t="s">
        <v>267</v>
      </c>
      <c r="M35" t="s">
        <v>246</v>
      </c>
      <c r="N35" t="s">
        <v>247</v>
      </c>
      <c r="O35" t="s">
        <v>268</v>
      </c>
      <c r="P35" t="s">
        <v>249</v>
      </c>
      <c r="Q35" t="n">
        <v>20.6738619703326</v>
      </c>
      <c r="R35" t="n">
        <v>0.25</v>
      </c>
      <c r="S35" t="s">
        <v>269</v>
      </c>
      <c r="T35" t="n">
        <v>0.107037222016339</v>
      </c>
      <c r="U35" s="9" t="n">
        <v>24.884036532006</v>
      </c>
      <c r="V35" t="e">
        <v>#N/A</v>
      </c>
      <c r="W35" t="e">
        <v>#N/A</v>
      </c>
      <c r="X35" t="e">
        <v>#N/A</v>
      </c>
      <c r="Y35" t="s">
        <v>45</v>
      </c>
    </row>
    <row r="36" ht="19" customHeight="1">
      <c r="U36" s="9"/>
    </row>
    <row r="37" ht="19" customHeight="1">
      <c r="U37" s="9"/>
    </row>
    <row r="38" ht="19" customHeight="1">
      <c r="U38" s="9"/>
    </row>
    <row r="39" ht="19" customHeight="1">
      <c r="U39" s="9"/>
    </row>
    <row r="40" ht="19" customHeight="1">
      <c r="U40" s="9"/>
    </row>
    <row r="41" ht="19" customHeight="1">
      <c r="U41" s="9"/>
    </row>
    <row r="42" ht="19" customHeight="1">
      <c r="U42" s="9"/>
    </row>
    <row r="43" ht="19" customHeight="1">
      <c r="U43" s="9"/>
    </row>
    <row r="44" ht="19" customHeight="1">
      <c r="U44" s="9"/>
    </row>
    <row r="45" ht="19" customHeight="1">
      <c r="U45" s="9"/>
    </row>
    <row r="46" ht="19" customHeight="1">
      <c r="U46" s="9"/>
    </row>
    <row r="47" ht="19" customHeight="1">
      <c r="U47" s="9"/>
    </row>
    <row r="48" ht="19" customHeight="1">
      <c r="U48" s="9"/>
    </row>
    <row r="49" ht="19" customHeight="1">
      <c r="U49" s="9"/>
    </row>
    <row r="50" ht="19" customHeight="1">
      <c r="U50" s="9"/>
    </row>
    <row r="51" ht="19" customHeight="1">
      <c r="U51" s="9"/>
    </row>
    <row r="52" ht="19" customHeight="1">
      <c r="U52" s="9"/>
    </row>
    <row r="53" ht="19" customHeight="1">
      <c r="U53" s="9"/>
    </row>
    <row r="54" ht="19" customHeight="1">
      <c r="U54" s="9"/>
    </row>
    <row r="55" ht="19" customHeight="1">
      <c r="U55" s="9"/>
    </row>
    <row r="56" ht="19" customHeight="1">
      <c r="U56" s="9"/>
    </row>
    <row r="57" ht="19" customHeight="1">
      <c r="U57" s="9"/>
    </row>
    <row r="58" ht="19" customHeight="1">
      <c r="U58" s="9"/>
    </row>
    <row r="59" ht="19" customHeight="1">
      <c r="U59" s="9"/>
    </row>
    <row r="60" ht="19" customHeight="1">
      <c r="U60" s="9"/>
    </row>
    <row r="61" ht="19" customHeight="1">
      <c r="U61" s="9"/>
    </row>
    <row r="62" ht="19" customHeight="1">
      <c r="U62" s="9"/>
    </row>
    <row r="63" ht="19" customHeight="1">
      <c r="U63" s="9"/>
    </row>
    <row r="64" ht="19" customHeight="1">
      <c r="U64" s="9"/>
    </row>
    <row r="65" ht="19" customHeight="1">
      <c r="U65" s="9"/>
    </row>
    <row r="66" ht="19" customHeight="1">
      <c r="U66" s="9"/>
    </row>
    <row r="67" ht="19" customHeight="1">
      <c r="U67" s="9"/>
    </row>
    <row r="68" ht="19" customHeight="1">
      <c r="U68" s="9"/>
    </row>
    <row r="69" ht="19" customHeight="1">
      <c r="U69" s="9"/>
    </row>
    <row r="70" ht="19" customHeight="1">
      <c r="U70" s="9"/>
    </row>
    <row r="71" ht="19" customHeight="1">
      <c r="U71" s="9"/>
    </row>
    <row r="72" ht="19" customHeight="1">
      <c r="U72" s="9"/>
    </row>
    <row r="73" ht="19" customHeight="1">
      <c r="U73" s="9"/>
    </row>
    <row r="74" ht="19" customHeight="1">
      <c r="U74" s="9"/>
    </row>
    <row r="75" ht="19" customHeight="1">
      <c r="U75" s="9"/>
    </row>
    <row r="76" ht="19" customHeight="1">
      <c r="U76" s="9"/>
    </row>
    <row r="77" ht="19" customHeight="1">
      <c r="U77" s="9"/>
    </row>
    <row r="78" ht="19" customHeight="1">
      <c r="U78" s="9"/>
    </row>
    <row r="79" ht="19" customHeight="1">
      <c r="U79" s="9"/>
    </row>
    <row r="80" ht="19" customHeight="1">
      <c r="U80" s="9"/>
    </row>
    <row r="81" ht="19" customHeight="1">
      <c r="U81" s="9"/>
    </row>
    <row r="82" ht="19" customHeight="1">
      <c r="U82" s="9"/>
    </row>
    <row r="83" ht="19" customHeight="1">
      <c r="U83" s="9"/>
    </row>
    <row r="84" ht="19" customHeight="1">
      <c r="U84" s="9"/>
    </row>
    <row r="85" ht="19" customHeight="1">
      <c r="U85" s="9"/>
    </row>
    <row r="86" ht="19" customHeight="1">
      <c r="U86" s="9"/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