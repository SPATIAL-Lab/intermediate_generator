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<sst xmlns="http://schemas.openxmlformats.org/spreadsheetml/2006/main" count="281" uniqueCount="281">
  <si>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</si>
  <si>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</si>
  <si>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</si>
  <si>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</si>
  <si>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</si>
  <si>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</si>
  <si>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</si>
  <si>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</si>
  <si>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</si>
  <si>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</si>
  <si>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</si>
  <si>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</si>
  <si>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</si>
  <si>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</si>
  <si>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</si>
  <si>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</si>
  <si>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</si>
  <si>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</si>
  <si>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</si>
  <si>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</si>
  <si>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</si>
  <si>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</si>
  <si>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</si>
  <si>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</si>
  <si>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</si>
  <si>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</si>
  <si>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</si>
  <si>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</si>
  <si>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</si>
  <si>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</si>
  <si>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</si>
  <si>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</si>
  <si>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</si>
  <si>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</si>
  <si>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</si>
  <si>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</si>
  <si>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</si>
  <si>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</si>
  <si>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</si>
  <si>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</si>
  <si>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</si>
  <si>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</si>
  <si>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</si>
  <si>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</si>
  <si>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</si>
  <si>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</si>
  <si>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</si>
  <si>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</si>
  <si>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</si>
  <si>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</si>
  <si>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</si>
  <si>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</si>
  <si>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</si>
  <si>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</si>
  <si>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</si>
  <si>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</si>
  <si>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</si>
  <si>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</si>
  <si>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</si>
  <si>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</si>
  <si>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</si>
  <si>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</si>
  <si>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</si>
  <si>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</si>
  <si>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</si>
  <si>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</si>
  <si>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</si>
  <si>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</si>
  <si>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</si>
  <si>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</si>
  <si>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</si>
  <si>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</si>
  <si>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</si>
  <si>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</si>
  <si>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</si>
  <si>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</si>
  <si>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</si>
  <si>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</si>
  <si>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</si>
  <si>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</si>
  <si>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</si>
  <si>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</si>
  <si>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</si>
  <si>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</si>
  <si>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</si>
  <si>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</si>
  <si>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</si>
  <si>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</si>
  <si>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</si>
  <si>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</si>
  <si>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</si>
  <si>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</si>
  <si>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</si>
  <si>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</si>
  <si>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</si>
  <si>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</si>
  <si>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</si>
  <si>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</si>
  <si>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</si>
  <si>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</si>
  <si>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</si>
  <si>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</si>
  <si>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</si>
  <si>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</si>
  <si>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</si>
  <si>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</si>
  <si>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</si>
  <si>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</si>
  <si>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</si>
  <si>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</si>
  <si>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</si>
  <si>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</si>
  <si>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</si>
  <si>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</si>
  <si>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</si>
  <si>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</si>
  <si>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</si>
  <si>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</si>
  <si>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</si>
  <si>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</si>
  <si>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</si>
  <si>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</si>
  <si>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</si>
  <si>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</si>
  <si>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</si>
  <si>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</si>
  <si>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</si>
  <si>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</si>
  <si>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</si>
  <si>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</si>
  <si>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</si>
  <si>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</si>
  <si>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</si>
  <si>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</si>
  <si>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</si>
  <si>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</si>
  <si>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</si>
  <si>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</si>
  <si>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</si>
  <si>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</si>
  <si>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</si>
  <si>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</si>
  <si>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</si>
  <si>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</si>
  <si>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</si>
  <si>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</si>
  <si>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</si>
  <si>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</si>
  <si>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</si>
  <si>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</si>
  <si>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</si>
  <si>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</si>
  <si>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</si>
  <si>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</si>
  <si>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</si>
  <si>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</si>
  <si>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</si>
  <si>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</si>
  <si>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</si>
  <si>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</si>
  <si>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</si>
  <si>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</si>
  <si>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</si>
  <si>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</si>
  <si>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</si>
  <si>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</si>
  <si>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</si>
  <si>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</si>
  <si>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</si>
  <si>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</si>
  <si>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</si>
  <si>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</si>
  <si>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</si>
  <si>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</si>
  <si>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</si>
  <si>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</si>
  <si>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</si>
  <si>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</si>
  <si>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</si>
  <si>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</si>
  <si>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</si>
  <si>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</si>
  <si>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</si>
  <si>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</si>
  <si>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</si>
  <si>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</si>
  <si>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</si>
  <si>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</si>
  <si>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</si>
  <si>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</si>
  <si>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</si>
  <si>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</si>
  <si>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</si>
  <si>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</si>
  <si>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</si>
  <si>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</si>
  <si>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</si>
  <si>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</si>
  <si>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</si>
  <si>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</si>
  <si>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</si>
  <si>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</si>
  <si>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</si>
  <si>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</si>
  <si>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</si>
  <si>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</si>
  <si>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</si>
  <si>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</si>
  <si>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</si>
  <si>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</si>
  <si>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</si>
  <si>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</si>
  <si>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</si>
  <si>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</si>
  <si>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</si>
  <si>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</si>
  <si>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</si>
  <si>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</si>
  <si>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</si>
  <si>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</si>
  <si>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</si>
  <si>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</si>
  <si>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</si>
  <si>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</si>
  <si>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</si>
  <si>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</si>
  <si>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</si>
  <si>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</si>
  <si>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</si>
  <si>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</si>
  <si>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</si>
  <si>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</si>
  <si>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</si>
  <si>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</si>
  <si>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</si>
  <si>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</si>
  <si>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</si>
  <si>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</si>
  <si>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</si>
  <si>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</si>
  <si>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TDP3__5_1_0_24</t>
  </si>
  <si>
    <t xml:space="preserve">10.1038/nature17423</t>
  </si>
  <si>
    <t xml:space="preserve">boron_isotopes_anagnostou_2016_p1.0.xlsx</t>
  </si>
  <si>
    <t xml:space="preserve">Harper and Giulivi</t>
  </si>
  <si>
    <t xml:space="preserve">dustin.t.harper@utah.edu; claudiag@ldeo.columbia.edu</t>
  </si>
  <si>
    <t xml:space="preserve">Wade et al. 2011, Pearson et al. 2004</t>
  </si>
  <si>
    <t xml:space="preserve">Acarinina wilcoxensis</t>
  </si>
  <si>
    <t xml:space="preserve">212-250</t>
  </si>
  <si>
    <t xml:space="preserve">~300</t>
  </si>
  <si>
    <t xml:space="preserve">MC-ICP-MS (Neptune)</t>
  </si>
  <si>
    <t xml:space="preserve">No calibration applied, combined two samples: 0-12 cm and 14-24 cm; Mg/Ca: NA- d18O used; T. sac. calibration applied, combined two samples: 0-12 cm and 14-24 cm; Mg/Ca: NA- d18O used</t>
  </si>
  <si>
    <t xml:space="preserve">TDP2__19_1_90_100</t>
  </si>
  <si>
    <t xml:space="preserve">Pearsonites sp.</t>
  </si>
  <si>
    <t xml:space="preserve">No calibration applied; Mg/Ca: NA- d18O used; T. sac. calibration applied; Mg/Ca: NA- d18O used</t>
  </si>
  <si>
    <t xml:space="preserve">TDP2__9_3_90_100</t>
  </si>
  <si>
    <t xml:space="preserve">Wade et al. 2011, Pearson et al. 2004; Wade et al. 2011</t>
  </si>
  <si>
    <t xml:space="preserve">Guembelitrioides nuttalli/ Globigerinatheka transition</t>
  </si>
  <si>
    <t xml:space="preserve">250-300</t>
  </si>
  <si>
    <t xml:space="preserve">No calibration applied; Mg/Ca: NA- d18O used; T. sac. calibration applied; Mg/Ca: NA- d18O used; original publication Anagnostou et al. 2016, processed with MyAMI here</t>
  </si>
  <si>
    <t xml:space="preserve">PP98L-2_Kitunda Shore sample____</t>
  </si>
  <si>
    <t xml:space="preserve">Turborotalia cerroazulensis-offset (-1.79 ± 0.26 ‰ and -2.89 oC)</t>
  </si>
  <si>
    <t xml:space="preserve">&gt;355</t>
  </si>
  <si>
    <t xml:space="preserve">No calibration applied; Mg/Ca: NA- d18O used</t>
  </si>
  <si>
    <t xml:space="preserve">TDP18__18_2_44, 62, 78_54, 70, 81</t>
  </si>
  <si>
    <t xml:space="preserve">Morozovelloides lehneri</t>
  </si>
  <si>
    <t xml:space="preserve">T. sac. calibration applied; Mg/Ca: NA- d18O used</t>
  </si>
  <si>
    <t xml:space="preserve">TDP17__13_2_0_50</t>
  </si>
  <si>
    <t xml:space="preserve">Pearson, P. N. et al. Extinction and environmental change across the Eocene–Oligocene boundary in Tanzania. Geology 36, 179–182 (2008).; Pearson, P. N. et al. Extinction and environmental change across the Eocene–Oligocene boundary in Tanzania. Geology 36, 179–182 (2008).; added age uncertainties based on power fit on LR04 uncertainties</t>
  </si>
  <si>
    <t xml:space="preserve">Turborotalia ampliapertura offseted to mixed layer</t>
  </si>
  <si>
    <t xml:space="preserve">300-1000</t>
  </si>
  <si>
    <t xml:space="preserve">Corrected to mixed layer by Anagnostou et al; original publication Pearson et al. 2009, corrected to mixed layer in Anagnostou et al. 2016, processed with MyAMI here. Temperature not reprocessed as it has a 2C correction. Overkill</t>
  </si>
  <si>
    <t xml:space="preserve">TDP17__19_1_0_50</t>
  </si>
  <si>
    <t xml:space="preserve">TDP17__26_1_40_90</t>
  </si>
  <si>
    <t xml:space="preserve">TDP12__11_2_0_50</t>
  </si>
  <si>
    <t xml:space="preserve">Pearson, P. N. et al. Extinction and environmental change across the Eocene–Oligocene boundary in Tanzania. Geology 36, 179–182 (2008).</t>
  </si>
  <si>
    <t xml:space="preserve">Corrected to mixed layer by Anagnostou et al</t>
  </si>
  <si>
    <t xml:space="preserve">TDP17__34_2_0_50</t>
  </si>
  <si>
    <t xml:space="preserve">TDP12__21_3_20_50</t>
  </si>
  <si>
    <t xml:space="preserve">TDP12__32_1_0_50</t>
  </si>
  <si>
    <t xml:space="preserve">TDP12__40_3_0_50</t>
  </si>
  <si>
    <t xml:space="preserve">TDP12__47_3_0_50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</si>
</sst>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-8.856207</v>
      </c>
      <c r="G5" t="n">
        <v>39.4609115730766</v>
      </c>
      <c r="H5" t="n">
        <v>53.2</v>
      </c>
      <c r="I5" t="e">
        <v>#N/A</v>
      </c>
      <c r="J5" t="n">
        <v>52.8</v>
      </c>
      <c r="K5" t="n">
        <v>53.6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14.3</v>
      </c>
      <c r="R5" t="n">
        <v>0.25</v>
      </c>
      <c r="S5" t="e">
        <v>#N/A</v>
      </c>
      <c r="T5" t="e">
        <v>#N/A</v>
      </c>
      <c r="U5" s="9" t="n">
        <v>32.72</v>
      </c>
      <c r="V5" t="n">
        <v>2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-8.917714</v>
      </c>
      <c r="G6" t="n">
        <v>39.5036471236085</v>
      </c>
      <c r="H6" t="n">
        <v>45.6</v>
      </c>
      <c r="I6" t="e">
        <v>#N/A</v>
      </c>
      <c r="J6" t="n">
        <v>45.5</v>
      </c>
      <c r="K6" t="n">
        <v>45.9</v>
      </c>
      <c r="L6" t="s">
        <v>245</v>
      </c>
      <c r="M6" t="s">
        <v>252</v>
      </c>
      <c r="N6" t="s">
        <v>247</v>
      </c>
      <c r="O6" t="s">
        <v>248</v>
      </c>
      <c r="P6" t="s">
        <v>249</v>
      </c>
      <c r="Q6" t="n">
        <v>14.65</v>
      </c>
      <c r="R6" t="n">
        <v>0.24</v>
      </c>
      <c r="S6" t="e">
        <v>#N/A</v>
      </c>
      <c r="T6" t="e">
        <v>#N/A</v>
      </c>
      <c r="U6" s="9" t="n">
        <v>31.47</v>
      </c>
      <c r="V6" t="n">
        <v>2</v>
      </c>
      <c r="W6" t="e">
        <v>#N/A</v>
      </c>
      <c r="X6" t="e">
        <v>#N/A</v>
      </c>
      <c r="Y6" t="s">
        <v>253</v>
      </c>
    </row>
    <row r="7" ht="19" customHeight="1">
      <c r="A7" t="s">
        <v>254</v>
      </c>
      <c r="B7" t="s">
        <v>241</v>
      </c>
      <c r="C7" t="s">
        <v>242</v>
      </c>
      <c r="D7" t="s">
        <v>243</v>
      </c>
      <c r="E7" s="10" t="s">
        <v>244</v>
      </c>
      <c r="F7" t="n">
        <v>-8.917714</v>
      </c>
      <c r="G7" t="n">
        <v>39.5036471236085</v>
      </c>
      <c r="H7" t="n">
        <v>44.4</v>
      </c>
      <c r="I7" t="n">
        <v>0.25</v>
      </c>
      <c r="J7" t="n">
        <v>44</v>
      </c>
      <c r="K7" t="n">
        <v>44.5</v>
      </c>
      <c r="L7" t="s">
        <v>255</v>
      </c>
      <c r="M7" t="s">
        <v>256</v>
      </c>
      <c r="N7" t="s">
        <v>257</v>
      </c>
      <c r="O7" t="s">
        <v>248</v>
      </c>
      <c r="P7" t="s">
        <v>249</v>
      </c>
      <c r="Q7" t="n">
        <v>14.82</v>
      </c>
      <c r="R7" t="n">
        <v>0.28</v>
      </c>
      <c r="S7" t="e">
        <v>#N/A</v>
      </c>
      <c r="T7" t="e">
        <v>#N/A</v>
      </c>
      <c r="U7" s="9" t="n">
        <v>29.77</v>
      </c>
      <c r="V7" t="n">
        <v>2</v>
      </c>
      <c r="W7" t="e">
        <v>#N/A</v>
      </c>
      <c r="X7" t="e">
        <v>#N/A</v>
      </c>
      <c r="Y7" t="s">
        <v>258</v>
      </c>
    </row>
    <row r="8" ht="19" customHeight="1">
      <c r="A8" t="s">
        <v>259</v>
      </c>
      <c r="B8" t="s">
        <v>241</v>
      </c>
      <c r="C8" t="s">
        <v>242</v>
      </c>
      <c r="D8" t="s">
        <v>243</v>
      </c>
      <c r="E8" s="10" t="s">
        <v>244</v>
      </c>
      <c r="F8" t="n">
        <v>-9.902254</v>
      </c>
      <c r="G8" t="n">
        <v>39.7045835269381</v>
      </c>
      <c r="H8" t="n">
        <v>36.9</v>
      </c>
      <c r="I8" t="e">
        <v>#N/A</v>
      </c>
      <c r="J8" t="n">
        <v>36.3</v>
      </c>
      <c r="K8" t="n">
        <v>37.5</v>
      </c>
      <c r="L8" t="s">
        <v>245</v>
      </c>
      <c r="M8" t="s">
        <v>260</v>
      </c>
      <c r="N8" t="s">
        <v>261</v>
      </c>
      <c r="O8" t="s">
        <v>248</v>
      </c>
      <c r="P8" t="s">
        <v>249</v>
      </c>
      <c r="Q8" t="n">
        <v>13.57</v>
      </c>
      <c r="R8" t="n">
        <v>0.42</v>
      </c>
      <c r="S8" t="e">
        <v>#N/A</v>
      </c>
      <c r="T8" t="e">
        <v>#N/A</v>
      </c>
      <c r="U8" s="9" t="n">
        <v>31.44</v>
      </c>
      <c r="V8" t="n">
        <v>2</v>
      </c>
      <c r="W8" t="e">
        <v>#N/A</v>
      </c>
      <c r="X8" t="e">
        <v>#N/A</v>
      </c>
      <c r="Y8" t="s">
        <v>262</v>
      </c>
    </row>
    <row r="9" ht="19" customHeight="1">
      <c r="A9" t="s">
        <v>263</v>
      </c>
      <c r="B9" t="s">
        <v>241</v>
      </c>
      <c r="C9" t="s">
        <v>242</v>
      </c>
      <c r="D9" t="s">
        <v>243</v>
      </c>
      <c r="E9" s="10" t="s">
        <v>244</v>
      </c>
      <c r="F9" t="n">
        <v>-9.265237</v>
      </c>
      <c r="G9" t="n">
        <v>39.5338952880011</v>
      </c>
      <c r="H9" t="n">
        <v>40.3</v>
      </c>
      <c r="I9" t="e">
        <v>#N/A</v>
      </c>
      <c r="J9" t="n">
        <v>40</v>
      </c>
      <c r="K9" t="n">
        <v>40.6</v>
      </c>
      <c r="L9" t="s">
        <v>245</v>
      </c>
      <c r="M9" t="s">
        <v>264</v>
      </c>
      <c r="N9" t="s">
        <v>247</v>
      </c>
      <c r="O9" t="s">
        <v>248</v>
      </c>
      <c r="P9" t="s">
        <v>249</v>
      </c>
      <c r="Q9" t="n">
        <v>15.5</v>
      </c>
      <c r="R9" t="n">
        <v>0.27</v>
      </c>
      <c r="S9" t="e">
        <v>#N/A</v>
      </c>
      <c r="T9" t="e">
        <v>#N/A</v>
      </c>
      <c r="U9" s="9" t="n">
        <v>31.83</v>
      </c>
      <c r="V9" t="n">
        <v>2</v>
      </c>
      <c r="W9" t="e">
        <v>#N/A</v>
      </c>
      <c r="X9" t="e">
        <v>#N/A</v>
      </c>
      <c r="Y9" t="s">
        <v>253</v>
      </c>
    </row>
    <row r="10" ht="19" customHeight="1">
      <c r="A10" t="s">
        <v>259</v>
      </c>
      <c r="B10" t="s">
        <v>241</v>
      </c>
      <c r="C10" t="s">
        <v>242</v>
      </c>
      <c r="D10" t="s">
        <v>243</v>
      </c>
      <c r="E10" s="10" t="s">
        <v>244</v>
      </c>
      <c r="F10" t="n">
        <v>-9.902254</v>
      </c>
      <c r="G10" t="n">
        <v>39.7045835269381</v>
      </c>
      <c r="H10" t="n">
        <v>36.9</v>
      </c>
      <c r="I10" t="e">
        <v>#N/A</v>
      </c>
      <c r="J10" t="n">
        <v>36.3</v>
      </c>
      <c r="K10" t="n">
        <v>37.5</v>
      </c>
      <c r="L10" t="s">
        <v>245</v>
      </c>
      <c r="M10" t="s">
        <v>260</v>
      </c>
      <c r="N10" t="s">
        <v>261</v>
      </c>
      <c r="O10" t="s">
        <v>248</v>
      </c>
      <c r="P10" t="s">
        <v>249</v>
      </c>
      <c r="Q10" t="n">
        <v>15.21</v>
      </c>
      <c r="R10" t="n">
        <v>0.42</v>
      </c>
      <c r="S10" t="e">
        <v>#N/A</v>
      </c>
      <c r="T10" t="e">
        <v>#N/A</v>
      </c>
      <c r="U10" s="9" t="n">
        <v>31.44</v>
      </c>
      <c r="V10" t="n">
        <v>2</v>
      </c>
      <c r="W10" t="e">
        <v>#N/A</v>
      </c>
      <c r="X10" t="e">
        <v>#N/A</v>
      </c>
      <c r="Y10" t="s">
        <v>265</v>
      </c>
    </row>
    <row r="11" ht="19" customHeight="1">
      <c r="A11" t="s">
        <v>266</v>
      </c>
      <c r="B11" t="s">
        <v>241</v>
      </c>
      <c r="C11" t="s">
        <v>242</v>
      </c>
      <c r="D11" t="s">
        <v>243</v>
      </c>
      <c r="E11" s="10" t="s">
        <v>244</v>
      </c>
      <c r="F11" t="n">
        <v>-9.18638889</v>
      </c>
      <c r="G11" t="n">
        <v>39.55111111</v>
      </c>
      <c r="H11" t="n">
        <v>32.98</v>
      </c>
      <c r="I11" t="n">
        <v>0.159692073492704</v>
      </c>
      <c r="J11" t="e">
        <v>#N/A</v>
      </c>
      <c r="K11" t="e">
        <v>#N/A</v>
      </c>
      <c r="L11" t="s">
        <v>267</v>
      </c>
      <c r="M11" t="s">
        <v>268</v>
      </c>
      <c r="N11" t="s">
        <v>247</v>
      </c>
      <c r="O11" t="s">
        <v>269</v>
      </c>
      <c r="P11" t="s">
        <v>249</v>
      </c>
      <c r="Q11" t="n">
        <v>15.7587169150173</v>
      </c>
      <c r="R11" t="n">
        <v>0.267270708471084</v>
      </c>
      <c r="S11" t="n">
        <v>4.13293704030525</v>
      </c>
      <c r="T11" t="n">
        <v>0.082658740806105</v>
      </c>
      <c r="U11" s="9" t="n">
        <v>29.9253156952888</v>
      </c>
      <c r="V11" t="n">
        <v>2</v>
      </c>
      <c r="W11" t="e">
        <v>#N/A</v>
      </c>
      <c r="X11" t="e">
        <v>#N/A</v>
      </c>
      <c r="Y11" t="s">
        <v>270</v>
      </c>
    </row>
    <row r="12" ht="19" customHeight="1">
      <c r="A12" t="s">
        <v>271</v>
      </c>
      <c r="B12" t="s">
        <v>241</v>
      </c>
      <c r="C12" t="s">
        <v>242</v>
      </c>
      <c r="D12" t="s">
        <v>243</v>
      </c>
      <c r="E12" s="10" t="s">
        <v>244</v>
      </c>
      <c r="F12" t="n">
        <v>-9.18638889</v>
      </c>
      <c r="G12" t="n">
        <v>39.55111111</v>
      </c>
      <c r="H12" t="n">
        <v>33.17</v>
      </c>
      <c r="I12" t="n">
        <v>0.160564284542785</v>
      </c>
      <c r="J12" t="e">
        <v>#N/A</v>
      </c>
      <c r="K12" t="e">
        <v>#N/A</v>
      </c>
      <c r="L12" t="s">
        <v>267</v>
      </c>
      <c r="M12" t="s">
        <v>268</v>
      </c>
      <c r="N12" t="s">
        <v>247</v>
      </c>
      <c r="O12" t="s">
        <v>269</v>
      </c>
      <c r="P12" t="s">
        <v>249</v>
      </c>
      <c r="Q12" t="n">
        <v>15.3109019634866</v>
      </c>
      <c r="R12" t="n">
        <v>0.267930152116834</v>
      </c>
      <c r="S12" t="n">
        <v>4.18773768498259</v>
      </c>
      <c r="T12" t="n">
        <v>0.0837547536996518</v>
      </c>
      <c r="U12" s="9" t="n">
        <v>30.4505624024235</v>
      </c>
      <c r="V12" t="n">
        <v>2</v>
      </c>
      <c r="W12" t="e">
        <v>#N/A</v>
      </c>
      <c r="X12" t="e">
        <v>#N/A</v>
      </c>
      <c r="Y12" t="s">
        <v>270</v>
      </c>
    </row>
    <row r="13" ht="19" customHeight="1">
      <c r="A13" t="s">
        <v>272</v>
      </c>
      <c r="B13" t="s">
        <v>241</v>
      </c>
      <c r="C13" t="s">
        <v>242</v>
      </c>
      <c r="D13" t="s">
        <v>243</v>
      </c>
      <c r="E13" s="10" t="s">
        <v>244</v>
      </c>
      <c r="F13" t="n">
        <v>-9.18638889</v>
      </c>
      <c r="G13" t="n">
        <v>39.55111111</v>
      </c>
      <c r="H13" t="n">
        <v>33.33</v>
      </c>
      <c r="I13" t="n">
        <v>0.161298577294724</v>
      </c>
      <c r="J13" t="e">
        <v>#N/A</v>
      </c>
      <c r="K13" t="e">
        <v>#N/A</v>
      </c>
      <c r="L13" t="s">
        <v>267</v>
      </c>
      <c r="M13" t="s">
        <v>268</v>
      </c>
      <c r="N13" t="s">
        <v>247</v>
      </c>
      <c r="O13" t="s">
        <v>269</v>
      </c>
      <c r="P13" t="s">
        <v>249</v>
      </c>
      <c r="Q13" t="n">
        <v>14.9283671328443</v>
      </c>
      <c r="R13" t="n">
        <v>0.260916286534209</v>
      </c>
      <c r="S13" t="n">
        <v>4.66036527127001</v>
      </c>
      <c r="T13" t="n">
        <v>0.0932073054254002</v>
      </c>
      <c r="U13" s="9" t="n">
        <v>31.0371532473918</v>
      </c>
      <c r="V13" t="n">
        <v>2</v>
      </c>
      <c r="W13" t="e">
        <v>#N/A</v>
      </c>
      <c r="X13" t="e">
        <v>#N/A</v>
      </c>
      <c r="Y13" t="s">
        <v>270</v>
      </c>
    </row>
    <row r="14" ht="19" customHeight="1">
      <c r="A14" t="s">
        <v>273</v>
      </c>
      <c r="B14" t="s">
        <v>241</v>
      </c>
      <c r="C14" t="s">
        <v>242</v>
      </c>
      <c r="D14" t="s">
        <v>243</v>
      </c>
      <c r="E14" s="10" t="s">
        <v>244</v>
      </c>
      <c r="F14" t="n">
        <v>-9.21527778</v>
      </c>
      <c r="G14" t="n">
        <v>39.54833333</v>
      </c>
      <c r="H14" t="n">
        <v>33.47</v>
      </c>
      <c r="I14" t="e">
        <v>#N/A</v>
      </c>
      <c r="J14" t="e">
        <v>#N/A</v>
      </c>
      <c r="K14" t="e">
        <v>#N/A</v>
      </c>
      <c r="L14" t="s">
        <v>274</v>
      </c>
      <c r="M14" t="s">
        <v>268</v>
      </c>
      <c r="N14" t="s">
        <v>247</v>
      </c>
      <c r="O14" t="s">
        <v>269</v>
      </c>
      <c r="P14" t="s">
        <v>249</v>
      </c>
      <c r="Q14" t="n">
        <v>14.8078066504938</v>
      </c>
      <c r="R14" t="n">
        <v>0.264718193309417</v>
      </c>
      <c r="S14" t="n">
        <v>4.02663115121163</v>
      </c>
      <c r="T14" t="n">
        <v>0.0805326230242326</v>
      </c>
      <c r="U14" s="9" t="n">
        <v>29.5058521594775</v>
      </c>
      <c r="V14" t="n">
        <v>2</v>
      </c>
      <c r="W14" t="e">
        <v>#N/A</v>
      </c>
      <c r="X14" t="e">
        <v>#N/A</v>
      </c>
      <c r="Y14" t="s">
        <v>275</v>
      </c>
    </row>
    <row r="15" ht="19" customHeight="1">
      <c r="A15" t="s">
        <v>276</v>
      </c>
      <c r="B15" t="s">
        <v>241</v>
      </c>
      <c r="C15" t="s">
        <v>242</v>
      </c>
      <c r="D15" t="s">
        <v>243</v>
      </c>
      <c r="E15" s="10" t="s">
        <v>244</v>
      </c>
      <c r="F15" t="n">
        <v>-9.18638889</v>
      </c>
      <c r="G15" t="n">
        <v>39.55111111</v>
      </c>
      <c r="H15" t="n">
        <v>33.59</v>
      </c>
      <c r="I15" t="n">
        <v>0.162491414035252</v>
      </c>
      <c r="J15" t="e">
        <v>#N/A</v>
      </c>
      <c r="K15" t="e">
        <v>#N/A</v>
      </c>
      <c r="L15" t="s">
        <v>267</v>
      </c>
      <c r="M15" t="s">
        <v>268</v>
      </c>
      <c r="N15" t="s">
        <v>247</v>
      </c>
      <c r="O15" t="s">
        <v>269</v>
      </c>
      <c r="P15" t="s">
        <v>249</v>
      </c>
      <c r="Q15" t="n">
        <v>15.3404492357632</v>
      </c>
      <c r="R15" t="n">
        <v>0.262869982858634</v>
      </c>
      <c r="S15" t="n">
        <v>4.28665748699225</v>
      </c>
      <c r="T15" t="n">
        <v>0.085733149739845</v>
      </c>
      <c r="U15" s="9" t="n">
        <v>29.9156373616907</v>
      </c>
      <c r="V15" t="n">
        <v>2</v>
      </c>
      <c r="W15" t="e">
        <v>#N/A</v>
      </c>
      <c r="X15" t="e">
        <v>#N/A</v>
      </c>
      <c r="Y15" t="s">
        <v>270</v>
      </c>
    </row>
    <row r="16" ht="19" customHeight="1">
      <c r="A16" t="s">
        <v>277</v>
      </c>
      <c r="B16" t="s">
        <v>241</v>
      </c>
      <c r="C16" t="s">
        <v>242</v>
      </c>
      <c r="D16" t="s">
        <v>243</v>
      </c>
      <c r="E16" t="s">
        <v>244</v>
      </c>
      <c r="F16" t="n">
        <v>-9.21527778</v>
      </c>
      <c r="G16" t="n">
        <v>39.54833333</v>
      </c>
      <c r="H16" t="n">
        <v>33.96</v>
      </c>
      <c r="I16" t="n">
        <v>0.164188088978711</v>
      </c>
      <c r="J16" t="e">
        <v>#N/A</v>
      </c>
      <c r="K16" t="e">
        <v>#N/A</v>
      </c>
      <c r="L16" t="s">
        <v>267</v>
      </c>
      <c r="M16" t="s">
        <v>268</v>
      </c>
      <c r="N16" t="s">
        <v>247</v>
      </c>
      <c r="O16" t="s">
        <v>269</v>
      </c>
      <c r="P16" t="s">
        <v>249</v>
      </c>
      <c r="Q16" t="n">
        <v>14.9253361830786</v>
      </c>
      <c r="R16" t="n">
        <v>0.270212143970285</v>
      </c>
      <c r="S16" t="n">
        <v>4.73964221740206</v>
      </c>
      <c r="T16" t="n">
        <v>0.0947928443480413</v>
      </c>
      <c r="U16" s="9" t="n">
        <v>31.7589498040473</v>
      </c>
      <c r="V16" t="n">
        <v>2</v>
      </c>
      <c r="W16" t="e">
        <v>#N/A</v>
      </c>
      <c r="X16" t="e">
        <v>#N/A</v>
      </c>
      <c r="Y16" t="s">
        <v>270</v>
      </c>
    </row>
    <row r="17" ht="19" customHeight="1">
      <c r="A17" t="s">
        <v>278</v>
      </c>
      <c r="B17" t="s">
        <v>241</v>
      </c>
      <c r="C17" t="s">
        <v>242</v>
      </c>
      <c r="D17" t="s">
        <v>243</v>
      </c>
      <c r="E17" t="s">
        <v>244</v>
      </c>
      <c r="F17" t="n">
        <v>-9.21527778</v>
      </c>
      <c r="G17" t="n">
        <v>39.54833333</v>
      </c>
      <c r="H17" t="n">
        <v>34.21</v>
      </c>
      <c r="I17" t="n">
        <v>0.165333948363948</v>
      </c>
      <c r="J17" t="e">
        <v>#N/A</v>
      </c>
      <c r="K17" t="e">
        <v>#N/A</v>
      </c>
      <c r="L17" t="s">
        <v>267</v>
      </c>
      <c r="M17" t="s">
        <v>268</v>
      </c>
      <c r="N17" t="s">
        <v>247</v>
      </c>
      <c r="O17" t="s">
        <v>269</v>
      </c>
      <c r="P17" t="s">
        <v>249</v>
      </c>
      <c r="Q17" t="n">
        <v>14.8125713730813</v>
      </c>
      <c r="R17" t="n">
        <v>0.271801343979612</v>
      </c>
      <c r="S17" t="n">
        <v>4.69663189012647</v>
      </c>
      <c r="T17" t="n">
        <v>0.0939326378025293</v>
      </c>
      <c r="U17" s="9" t="n">
        <v>31.7177102060163</v>
      </c>
      <c r="V17" t="n">
        <v>2</v>
      </c>
      <c r="W17" t="e">
        <v>#N/A</v>
      </c>
      <c r="X17" t="e">
        <v>#N/A</v>
      </c>
      <c r="Y17" t="s">
        <v>270</v>
      </c>
    </row>
    <row r="18" ht="19" customHeight="1">
      <c r="A18" t="s">
        <v>279</v>
      </c>
      <c r="B18" t="s">
        <v>241</v>
      </c>
      <c r="C18" t="s">
        <v>242</v>
      </c>
      <c r="D18" t="s">
        <v>243</v>
      </c>
      <c r="E18" t="s">
        <v>244</v>
      </c>
      <c r="F18" t="n">
        <v>-9.21527778</v>
      </c>
      <c r="G18" t="n">
        <v>39.54833333</v>
      </c>
      <c r="H18" t="n">
        <v>34.42</v>
      </c>
      <c r="I18" t="n">
        <v>0.16629613496238</v>
      </c>
      <c r="J18" t="e">
        <v>#N/A</v>
      </c>
      <c r="K18" t="e">
        <v>#N/A</v>
      </c>
      <c r="L18" t="s">
        <v>267</v>
      </c>
      <c r="M18" t="s">
        <v>268</v>
      </c>
      <c r="N18" t="s">
        <v>247</v>
      </c>
      <c r="O18" t="s">
        <v>269</v>
      </c>
      <c r="P18" t="s">
        <v>249</v>
      </c>
      <c r="Q18" t="n">
        <v>14.8647170398314</v>
      </c>
      <c r="R18" t="n">
        <v>0.384057247719708</v>
      </c>
      <c r="S18" t="n">
        <v>4.86315365751995</v>
      </c>
      <c r="T18" t="n">
        <v>0.097263073150399</v>
      </c>
      <c r="U18" s="9" t="n">
        <v>32.1256044149867</v>
      </c>
      <c r="V18" t="n">
        <v>2</v>
      </c>
      <c r="W18" t="e">
        <v>#N/A</v>
      </c>
      <c r="X18" t="e">
        <v>#N/A</v>
      </c>
      <c r="Y18" t="s">
        <v>270</v>
      </c>
    </row>
    <row r="19" ht="19" customHeight="1">
      <c r="A19" t="s">
        <v>280</v>
      </c>
      <c r="B19" t="s">
        <v>241</v>
      </c>
      <c r="C19" t="s">
        <v>242</v>
      </c>
      <c r="D19" t="s">
        <v>243</v>
      </c>
      <c r="E19" t="s">
        <v>244</v>
      </c>
      <c r="F19" t="n">
        <v>-9.21527778</v>
      </c>
      <c r="G19" t="n">
        <v>39.54833333</v>
      </c>
      <c r="H19" t="n">
        <v>34.63</v>
      </c>
      <c r="I19" t="n">
        <v>0.167258017520176</v>
      </c>
      <c r="J19" t="e">
        <v>#N/A</v>
      </c>
      <c r="K19" t="e">
        <v>#N/A</v>
      </c>
      <c r="L19" t="s">
        <v>267</v>
      </c>
      <c r="M19" t="s">
        <v>268</v>
      </c>
      <c r="N19" t="s">
        <v>247</v>
      </c>
      <c r="O19" t="s">
        <v>269</v>
      </c>
      <c r="P19" t="s">
        <v>249</v>
      </c>
      <c r="Q19" t="n">
        <v>15.1018625686995</v>
      </c>
      <c r="R19" t="n">
        <v>0.414856555508307</v>
      </c>
      <c r="S19" t="n">
        <v>4.51584795509809</v>
      </c>
      <c r="T19" t="n">
        <v>0.0903169591019618</v>
      </c>
      <c r="U19" s="9" t="n">
        <v>31.1845320481141</v>
      </c>
      <c r="V19" t="n">
        <v>2</v>
      </c>
      <c r="W19" t="e">
        <v>#N/A</v>
      </c>
      <c r="X19" t="e">
        <v>#N/A</v>
      </c>
      <c r="Y19" t="s">
        <v>270</v>
      </c>
    </row>
    <row r="20" ht="19" customHeight="1">
      <c r="U20" s="9"/>
    </row>
    <row r="21" ht="19" customHeight="1">
      <c r="U21" s="9"/>
    </row>
    <row r="22" ht="19" customHeight="1">
      <c r="U22" s="9"/>
    </row>
    <row r="23" ht="19" customHeight="1">
      <c r="U23" s="9"/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