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<sst xmlns="http://schemas.openxmlformats.org/spreadsheetml/2006/main" count="291" uniqueCount="291">
  <si>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</si>
  <si>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</si>
  <si>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</si>
  <si>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</si>
  <si>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</si>
  <si>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</si>
  <si>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</si>
  <si>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</si>
  <si>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</si>
  <si>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</si>
  <si>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</si>
  <si>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</si>
  <si>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</si>
  <si>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</si>
  <si>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</si>
  <si>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</si>
  <si>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</si>
  <si>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</si>
  <si>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</si>
  <si>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</si>
  <si>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</si>
  <si>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</si>
  <si>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</si>
  <si>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</si>
  <si>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</si>
  <si>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</si>
  <si>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</si>
  <si>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</si>
  <si>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</si>
  <si>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</si>
  <si>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</si>
  <si>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</si>
  <si>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</si>
  <si>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</si>
  <si>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</si>
  <si>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</si>
  <si>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</si>
  <si>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</si>
  <si>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</si>
  <si>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</si>
  <si>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</si>
  <si>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</si>
  <si>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</si>
  <si>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</si>
  <si>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</si>
  <si>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</si>
  <si>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</si>
  <si>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</si>
  <si>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</si>
  <si>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</si>
  <si>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</si>
  <si>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</si>
  <si>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</si>
  <si>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</si>
  <si>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</si>
  <si>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</si>
  <si>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</si>
  <si>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</si>
  <si>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</si>
  <si>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</si>
  <si>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</si>
  <si>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</si>
  <si>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</si>
  <si>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</si>
  <si>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</si>
  <si>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</si>
  <si>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</si>
  <si>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</si>
  <si>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</si>
  <si>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</si>
  <si>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</si>
  <si>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</si>
  <si>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</si>
  <si>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</si>
  <si>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</si>
  <si>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</si>
  <si>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</si>
  <si>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</si>
  <si>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</si>
  <si>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</si>
  <si>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</si>
  <si>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</si>
  <si>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</si>
  <si>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</si>
  <si>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</si>
  <si>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</si>
  <si>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</si>
  <si>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</si>
  <si>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</si>
  <si>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</si>
  <si>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</si>
  <si>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</si>
  <si>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</si>
  <si>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</si>
  <si>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</si>
  <si>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</si>
  <si>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</si>
  <si>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</si>
  <si>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</si>
  <si>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</si>
  <si>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</si>
  <si>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</si>
  <si>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</si>
  <si>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</si>
  <si>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</si>
  <si>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</si>
  <si>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</si>
  <si>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</si>
  <si>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</si>
  <si>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</si>
  <si>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</si>
  <si>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</si>
  <si>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</si>
  <si>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</si>
  <si>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</si>
  <si>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</si>
  <si>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</si>
  <si>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</si>
  <si>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</si>
  <si>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</si>
  <si>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</si>
  <si>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</si>
  <si>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</si>
  <si>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</si>
  <si>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</si>
  <si>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</si>
  <si>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</si>
  <si>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</si>
  <si>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</si>
  <si>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</si>
  <si>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</si>
  <si>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</si>
  <si>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</si>
  <si>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</si>
  <si>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</si>
  <si>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</si>
  <si>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</si>
  <si>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</si>
  <si>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</si>
  <si>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</si>
  <si>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</si>
  <si>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</si>
  <si>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</si>
  <si>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</si>
  <si>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</si>
  <si>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</si>
  <si>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</si>
  <si>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</si>
  <si>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</si>
  <si>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</si>
  <si>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</si>
  <si>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</si>
  <si>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</si>
  <si>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</si>
  <si>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</si>
  <si>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</si>
  <si>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</si>
  <si>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</si>
  <si>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</si>
  <si>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</si>
  <si>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</si>
  <si>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</si>
  <si>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</si>
  <si>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</si>
  <si>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</si>
  <si>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</si>
  <si>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</si>
  <si>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</si>
  <si>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</si>
  <si>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</si>
  <si>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</si>
  <si>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</si>
  <si>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</si>
  <si>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</si>
  <si>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</si>
  <si>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</si>
  <si>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</si>
  <si>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</si>
  <si>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</si>
  <si>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</si>
  <si>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</si>
  <si>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</si>
  <si>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</si>
  <si>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</si>
  <si>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</si>
  <si>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</si>
  <si>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</si>
  <si>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</si>
  <si>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</si>
  <si>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</si>
  <si>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</si>
  <si>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</si>
  <si>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</si>
  <si>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</si>
  <si>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</si>
  <si>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</si>
  <si>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</si>
  <si>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</si>
  <si>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</si>
  <si>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</si>
  <si>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</si>
  <si>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</si>
  <si>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</si>
  <si>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</si>
  <si>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</si>
  <si>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</si>
  <si>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</si>
  <si>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</si>
  <si>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</si>
  <si>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</si>
  <si>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</si>
  <si>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</si>
  <si>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</si>
  <si>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</si>
  <si>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</si>
  <si>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</si>
  <si>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</si>
  <si>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</si>
  <si>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</si>
  <si>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</si>
  <si>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</si>
  <si>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</si>
  <si>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</si>
  <si>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</si>
  <si>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</si>
  <si>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</si>
  <si>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</si>
  <si>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</si>
  <si>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</si>
  <si>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</si>
  <si>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</si>
  <si>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</si>
  <si>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</si>
  <si>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</si>
  <si>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</si>
  <si>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</si>
  <si>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</si>
  <si>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</si>
  <si>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</si>
  <si>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</si>
  <si>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</si>
  <si>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</si>
  <si>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</si>
  <si>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</si>
  <si>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</si>
  <si>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</si>
  <si>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</si>
  <si>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</si>
  <si>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</si>
  <si>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</si>
  <si>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</si>
  <si>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</si>
  <si>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</si>
  <si>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</si>
  <si>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</si>
  <si>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</si>
  <si>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</si>
  <si>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</si>
  <si>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</si>
  <si>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</si>
  <si>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</si>
  <si>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</si>
  <si>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</si>
  <si>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</si>
  <si>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</si>
  <si>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</si>
  <si>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</si>
  <si>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</si>
  <si>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</si>
  <si>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</si>
  <si>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925C 2H3 133-135</t>
  </si>
  <si>
    <t xml:space="preserve">10.1029/2020PA004175</t>
  </si>
  <si>
    <t xml:space="preserve">phytoplankton_gonzalez-lanchas_2021_p1.0.xlsx</t>
  </si>
  <si>
    <t xml:space="preserve">Harper and Giulivi</t>
  </si>
  <si>
    <t xml:space="preserve">dustin.t.harper@utah.edu; claudiag@ldeo.columbia.edu</t>
  </si>
  <si>
    <t xml:space="preserve">Wilkens, R. H., Westerhold, T., Drury, A. J., Lyle, M., Gorgas, T., &amp; Tian, J. (2017). Revisiting the Ceara Rise, equatorial Atlantic Ocean: Isotope stratigraphy of ODP Leg 154 from 0 to 5Ma. Climate of the Past, 13, 779–793. https://doi.org/10.5194/cp-13-779-2017</t>
  </si>
  <si>
    <t xml:space="preserve">Mk37_2</t>
  </si>
  <si>
    <t xml:space="preserve">published Uk37 temperature</t>
  </si>
  <si>
    <t xml:space="preserve">This study, using data from Locarnini et al., 2013.</t>
  </si>
  <si>
    <t xml:space="preserve">Henderiks and Pagani (2007): r_cell = 0.5*Dcell = 0.5*0:55 * 0:88*Lcoccolith</t>
  </si>
  <si>
    <t xml:space="preserve">925C 2H4 24-26</t>
  </si>
  <si>
    <t xml:space="preserve">925C 2H4 74-76</t>
  </si>
  <si>
    <t xml:space="preserve">925C 2H4 103-105</t>
  </si>
  <si>
    <t xml:space="preserve">925C 2H4 143-145</t>
  </si>
  <si>
    <t xml:space="preserve">925C 2H5 57-59</t>
  </si>
  <si>
    <t xml:space="preserve">925C 2H5 97.5-100</t>
  </si>
  <si>
    <t xml:space="preserve">925C 2H5 113-115</t>
  </si>
  <si>
    <t xml:space="preserve">925C 2H5 137.5-140</t>
  </si>
  <si>
    <t xml:space="preserve">925C 2H6 19-20</t>
  </si>
  <si>
    <t xml:space="preserve">925B 3H2 76-78</t>
  </si>
  <si>
    <t xml:space="preserve">925B 3H2 85-87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</si>
</sst>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4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t="s">
        <v>272</v>
      </c>
      <c r="D5" t="s">
        <v>273</v>
      </c>
      <c r="E5" s="10" t="s">
        <v>274</v>
      </c>
      <c r="F5" t="n">
        <v>4.20415</v>
      </c>
      <c r="G5" t="n">
        <v>-43.4889</v>
      </c>
      <c r="H5" t="n">
        <v>0.334689</v>
      </c>
      <c r="I5" t="n">
        <v>0.004</v>
      </c>
      <c r="J5" t="e">
        <v>#N/A</v>
      </c>
      <c r="K5" t="e">
        <v>#N/A</v>
      </c>
      <c r="L5" t="s">
        <v>275</v>
      </c>
      <c r="M5" t="s">
        <v>276</v>
      </c>
      <c r="N5" t="n">
        <v>-25.8023608508012</v>
      </c>
      <c r="O5" t="n">
        <v>0.707106781186547</v>
      </c>
      <c r="P5" t="e">
        <v>#N/A</v>
      </c>
      <c r="Q5" t="e">
        <v>#N/A</v>
      </c>
      <c r="R5" s="11" t="n">
        <v>29.42</v>
      </c>
      <c r="S5" t="n">
        <v>3</v>
      </c>
      <c r="T5" t="e">
        <v>#N/A</v>
      </c>
      <c r="U5" t="e">
        <v>#N/A</v>
      </c>
      <c r="V5" s="11" t="s">
        <v>277</v>
      </c>
      <c r="W5" t="n">
        <v>0.15</v>
      </c>
      <c r="X5" t="e">
        <v>#N/A</v>
      </c>
      <c r="Y5" t="n">
        <v>0.12</v>
      </c>
      <c r="Z5" t="n">
        <v>0.18</v>
      </c>
      <c r="AA5" t="s">
        <v>278</v>
      </c>
      <c r="AB5" t="n">
        <v>3.5277</v>
      </c>
      <c r="AC5" t="e">
        <v>#N/A</v>
      </c>
      <c r="AD5" t="e">
        <v>#N/A</v>
      </c>
      <c r="AE5" t="e">
        <v>#N/A</v>
      </c>
      <c r="AF5" t="n">
        <v>1.82249014179082</v>
      </c>
      <c r="AG5" t="s">
        <v>279</v>
      </c>
      <c r="AH5" t="e">
        <v>#N/A</v>
      </c>
      <c r="AI5" t="e">
        <v>#N/A</v>
      </c>
      <c r="AJ5" t="e">
        <v>#N/A</v>
      </c>
    </row>
    <row r="6" ht="19" customHeight="1">
      <c r="A6" t="s">
        <v>280</v>
      </c>
      <c r="B6" t="s">
        <v>271</v>
      </c>
      <c r="C6" t="s">
        <v>272</v>
      </c>
      <c r="D6" t="s">
        <v>273</v>
      </c>
      <c r="E6" s="12" t="s">
        <v>274</v>
      </c>
      <c r="F6" t="n">
        <v>4.20415</v>
      </c>
      <c r="G6" t="n">
        <v>-43.4889</v>
      </c>
      <c r="H6" t="n">
        <v>0.345767</v>
      </c>
      <c r="I6" t="n">
        <v>0.004</v>
      </c>
      <c r="J6" t="e">
        <v>#N/A</v>
      </c>
      <c r="K6" t="e">
        <v>#N/A</v>
      </c>
      <c r="L6" t="s">
        <v>275</v>
      </c>
      <c r="M6" t="s">
        <v>276</v>
      </c>
      <c r="N6" t="n">
        <v>-24.1211666666667</v>
      </c>
      <c r="O6" t="n">
        <v>0.707106781186547</v>
      </c>
      <c r="P6" t="e">
        <v>#N/A</v>
      </c>
      <c r="Q6" t="e">
        <v>#N/A</v>
      </c>
      <c r="R6" s="11" t="n">
        <v>27.56</v>
      </c>
      <c r="S6" t="n">
        <v>3</v>
      </c>
      <c r="T6" t="e">
        <v>#N/A</v>
      </c>
      <c r="U6" t="e">
        <v>#N/A</v>
      </c>
      <c r="V6" s="11" t="s">
        <v>277</v>
      </c>
      <c r="W6" t="n">
        <v>0.15</v>
      </c>
      <c r="X6" t="e">
        <v>#N/A</v>
      </c>
      <c r="Y6" t="n">
        <v>0.12</v>
      </c>
      <c r="Z6" t="n">
        <v>0.18</v>
      </c>
      <c r="AA6" t="s">
        <v>278</v>
      </c>
      <c r="AB6" t="n">
        <v>3.6519</v>
      </c>
      <c r="AC6" t="e">
        <v>#N/A</v>
      </c>
      <c r="AD6" t="e">
        <v>#N/A</v>
      </c>
      <c r="AE6" t="e">
        <v>#N/A</v>
      </c>
      <c r="AF6" t="n">
        <v>1.87704608849927</v>
      </c>
      <c r="AG6" t="s">
        <v>279</v>
      </c>
      <c r="AH6" t="e">
        <v>#N/A</v>
      </c>
      <c r="AI6" t="e">
        <v>#N/A</v>
      </c>
      <c r="AJ6" t="e">
        <v>#N/A</v>
      </c>
    </row>
    <row r="7" ht="19" customHeight="1">
      <c r="A7" t="s">
        <v>281</v>
      </c>
      <c r="B7" t="s">
        <v>271</v>
      </c>
      <c r="C7" t="s">
        <v>272</v>
      </c>
      <c r="D7" t="s">
        <v>273</v>
      </c>
      <c r="E7" s="12" t="s">
        <v>274</v>
      </c>
      <c r="F7" t="n">
        <v>4.20415</v>
      </c>
      <c r="G7" t="n">
        <v>-43.4889</v>
      </c>
      <c r="H7" t="n">
        <v>0.35786</v>
      </c>
      <c r="I7" t="n">
        <v>0.004</v>
      </c>
      <c r="J7" t="e">
        <v>#N/A</v>
      </c>
      <c r="K7" t="e">
        <v>#N/A</v>
      </c>
      <c r="L7" t="s">
        <v>275</v>
      </c>
      <c r="M7" t="s">
        <v>276</v>
      </c>
      <c r="N7" t="n">
        <v>-24.5037185876133</v>
      </c>
      <c r="O7" t="n">
        <v>0.707106781186547</v>
      </c>
      <c r="P7" t="e">
        <v>#N/A</v>
      </c>
      <c r="Q7" t="e">
        <v>#N/A</v>
      </c>
      <c r="R7" s="11" t="n">
        <v>27.97</v>
      </c>
      <c r="S7" t="n">
        <v>3</v>
      </c>
      <c r="T7" t="e">
        <v>#N/A</v>
      </c>
      <c r="U7" t="e">
        <v>#N/A</v>
      </c>
      <c r="V7" s="11" t="s">
        <v>277</v>
      </c>
      <c r="W7" t="n">
        <v>0.15</v>
      </c>
      <c r="X7" t="e">
        <v>#N/A</v>
      </c>
      <c r="Y7" t="n">
        <v>0.12</v>
      </c>
      <c r="Z7" t="n">
        <v>0.18</v>
      </c>
      <c r="AA7" t="s">
        <v>278</v>
      </c>
      <c r="AB7" t="n">
        <v>3.70474747474747</v>
      </c>
      <c r="AC7" t="e">
        <v>#N/A</v>
      </c>
      <c r="AD7" t="e">
        <v>#N/A</v>
      </c>
      <c r="AE7" t="e">
        <v>#N/A</v>
      </c>
      <c r="AF7" t="n">
        <v>1.90025980843485</v>
      </c>
      <c r="AG7" t="s">
        <v>279</v>
      </c>
      <c r="AH7" t="e">
        <v>#N/A</v>
      </c>
      <c r="AI7" t="e">
        <v>#N/A</v>
      </c>
      <c r="AJ7" t="e">
        <v>#N/A</v>
      </c>
    </row>
    <row r="8" ht="19" customHeight="1">
      <c r="A8" t="s">
        <v>282</v>
      </c>
      <c r="B8" t="s">
        <v>271</v>
      </c>
      <c r="C8" t="s">
        <v>272</v>
      </c>
      <c r="D8" t="s">
        <v>273</v>
      </c>
      <c r="E8" s="12" t="s">
        <v>274</v>
      </c>
      <c r="F8" t="n">
        <v>4.20415</v>
      </c>
      <c r="G8" t="n">
        <v>-43.4889</v>
      </c>
      <c r="H8" t="n">
        <v>0.365126</v>
      </c>
      <c r="I8" t="n">
        <v>0.004</v>
      </c>
      <c r="J8" t="e">
        <v>#N/A</v>
      </c>
      <c r="K8" t="e">
        <v>#N/A</v>
      </c>
      <c r="L8" t="s">
        <v>275</v>
      </c>
      <c r="M8" t="s">
        <v>276</v>
      </c>
      <c r="N8" t="n">
        <v>-25.1460964567444</v>
      </c>
      <c r="O8" t="n">
        <v>0.707106781186547</v>
      </c>
      <c r="P8" t="e">
        <v>#N/A</v>
      </c>
      <c r="Q8" t="e">
        <v>#N/A</v>
      </c>
      <c r="R8" s="11" t="n">
        <v>24.74</v>
      </c>
      <c r="S8" t="n">
        <v>3</v>
      </c>
      <c r="T8" t="e">
        <v>#N/A</v>
      </c>
      <c r="U8" t="e">
        <v>#N/A</v>
      </c>
      <c r="V8" s="11" t="s">
        <v>277</v>
      </c>
      <c r="W8" t="n">
        <v>0.15</v>
      </c>
      <c r="X8" t="e">
        <v>#N/A</v>
      </c>
      <c r="Y8" t="n">
        <v>0.12</v>
      </c>
      <c r="Z8" t="n">
        <v>0.18</v>
      </c>
      <c r="AA8" t="s">
        <v>278</v>
      </c>
      <c r="AB8" t="n">
        <v>3.72918367346939</v>
      </c>
      <c r="AC8" t="e">
        <v>#N/A</v>
      </c>
      <c r="AD8" t="e">
        <v>#N/A</v>
      </c>
      <c r="AE8" t="e">
        <v>#N/A</v>
      </c>
      <c r="AF8" t="n">
        <v>1.9109936244995</v>
      </c>
      <c r="AG8" t="s">
        <v>279</v>
      </c>
      <c r="AH8" t="e">
        <v>#N/A</v>
      </c>
      <c r="AI8" t="e">
        <v>#N/A</v>
      </c>
      <c r="AJ8" t="e">
        <v>#N/A</v>
      </c>
    </row>
    <row r="9" ht="19" customHeight="1">
      <c r="A9" t="s">
        <v>283</v>
      </c>
      <c r="B9" t="s">
        <v>271</v>
      </c>
      <c r="C9" t="s">
        <v>272</v>
      </c>
      <c r="D9" t="s">
        <v>273</v>
      </c>
      <c r="E9" s="12" t="s">
        <v>274</v>
      </c>
      <c r="F9" t="n">
        <v>4.20415</v>
      </c>
      <c r="G9" t="n">
        <v>-43.4889</v>
      </c>
      <c r="H9" t="n">
        <v>0.374575</v>
      </c>
      <c r="I9" t="n">
        <v>0.004</v>
      </c>
      <c r="J9" t="e">
        <v>#N/A</v>
      </c>
      <c r="K9" t="e">
        <v>#N/A</v>
      </c>
      <c r="L9" t="s">
        <v>275</v>
      </c>
      <c r="M9" t="s">
        <v>276</v>
      </c>
      <c r="N9" t="n">
        <v>-24.1872666666667</v>
      </c>
      <c r="O9" t="n">
        <v>0.707106781186547</v>
      </c>
      <c r="P9" t="e">
        <v>#N/A</v>
      </c>
      <c r="Q9" t="e">
        <v>#N/A</v>
      </c>
      <c r="R9" s="11" t="n">
        <v>26.43</v>
      </c>
      <c r="S9" t="n">
        <v>3</v>
      </c>
      <c r="T9" t="e">
        <v>#N/A</v>
      </c>
      <c r="U9" t="e">
        <v>#N/A</v>
      </c>
      <c r="V9" s="11" t="s">
        <v>277</v>
      </c>
      <c r="W9" t="n">
        <v>0.15</v>
      </c>
      <c r="X9" t="e">
        <v>#N/A</v>
      </c>
      <c r="Y9" t="n">
        <v>0.12</v>
      </c>
      <c r="Z9" t="n">
        <v>0.18</v>
      </c>
      <c r="AA9" t="s">
        <v>278</v>
      </c>
      <c r="AB9" t="n">
        <v>3.6019387755102</v>
      </c>
      <c r="AC9" t="e">
        <v>#N/A</v>
      </c>
      <c r="AD9" t="e">
        <v>#N/A</v>
      </c>
      <c r="AE9" t="e">
        <v>#N/A</v>
      </c>
      <c r="AF9" t="n">
        <v>1.85510017947548</v>
      </c>
      <c r="AG9" t="s">
        <v>279</v>
      </c>
      <c r="AH9" t="e">
        <v>#N/A</v>
      </c>
      <c r="AI9" t="e">
        <v>#N/A</v>
      </c>
      <c r="AJ9" t="e">
        <v>#N/A</v>
      </c>
    </row>
    <row r="10" ht="19" customHeight="1">
      <c r="A10" t="s">
        <v>284</v>
      </c>
      <c r="B10" t="s">
        <v>271</v>
      </c>
      <c r="C10" t="s">
        <v>272</v>
      </c>
      <c r="D10" t="s">
        <v>273</v>
      </c>
      <c r="E10" s="12" t="s">
        <v>274</v>
      </c>
      <c r="F10" t="n">
        <v>4.20415</v>
      </c>
      <c r="G10" t="n">
        <v>-43.4889</v>
      </c>
      <c r="H10" t="n">
        <v>0.389352</v>
      </c>
      <c r="I10" t="n">
        <v>0.004</v>
      </c>
      <c r="J10" t="e">
        <v>#N/A</v>
      </c>
      <c r="K10" t="e">
        <v>#N/A</v>
      </c>
      <c r="L10" t="s">
        <v>275</v>
      </c>
      <c r="M10" t="s">
        <v>276</v>
      </c>
      <c r="N10" t="n">
        <v>-24.2853333333333</v>
      </c>
      <c r="O10" t="n">
        <v>0.707106781186547</v>
      </c>
      <c r="P10" t="e">
        <v>#N/A</v>
      </c>
      <c r="Q10" t="e">
        <v>#N/A</v>
      </c>
      <c r="R10" s="11" t="n">
        <v>28.52</v>
      </c>
      <c r="S10" t="n">
        <v>3</v>
      </c>
      <c r="T10" t="e">
        <v>#N/A</v>
      </c>
      <c r="U10" t="e">
        <v>#N/A</v>
      </c>
      <c r="V10" s="11" t="s">
        <v>277</v>
      </c>
      <c r="W10" t="n">
        <v>0.15</v>
      </c>
      <c r="X10" t="e">
        <v>#N/A</v>
      </c>
      <c r="Y10" t="n">
        <v>0.12</v>
      </c>
      <c r="Z10" t="n">
        <v>0.18</v>
      </c>
      <c r="AA10" t="s">
        <v>278</v>
      </c>
      <c r="AB10" t="n">
        <v>3.5940404040404</v>
      </c>
      <c r="AC10" t="e">
        <v>#N/A</v>
      </c>
      <c r="AD10" t="e">
        <v>#N/A</v>
      </c>
      <c r="AE10" t="e">
        <v>#N/A</v>
      </c>
      <c r="AF10" t="n">
        <v>1.85163075006332</v>
      </c>
      <c r="AG10" t="s">
        <v>279</v>
      </c>
      <c r="AH10" t="e">
        <v>#N/A</v>
      </c>
      <c r="AI10" t="e">
        <v>#N/A</v>
      </c>
      <c r="AJ10" t="e">
        <v>#N/A</v>
      </c>
    </row>
    <row r="11" ht="19" customHeight="1">
      <c r="A11" t="s">
        <v>285</v>
      </c>
      <c r="B11" t="s">
        <v>271</v>
      </c>
      <c r="C11" t="s">
        <v>272</v>
      </c>
      <c r="D11" t="s">
        <v>273</v>
      </c>
      <c r="E11" s="12" t="s">
        <v>274</v>
      </c>
      <c r="F11" t="n">
        <v>4.20415</v>
      </c>
      <c r="G11" t="n">
        <v>-43.4889</v>
      </c>
      <c r="H11" t="n">
        <v>0.399351</v>
      </c>
      <c r="I11" t="n">
        <v>0.004</v>
      </c>
      <c r="J11" t="e">
        <v>#N/A</v>
      </c>
      <c r="K11" t="e">
        <v>#N/A</v>
      </c>
      <c r="L11" t="s">
        <v>275</v>
      </c>
      <c r="M11" t="s">
        <v>276</v>
      </c>
      <c r="N11" t="n">
        <v>-24.7652978979704</v>
      </c>
      <c r="O11" t="n">
        <v>0.707106781186547</v>
      </c>
      <c r="P11" t="e">
        <v>#N/A</v>
      </c>
      <c r="Q11" t="e">
        <v>#N/A</v>
      </c>
      <c r="R11" s="11" t="n">
        <v>27.57</v>
      </c>
      <c r="S11" t="n">
        <v>3</v>
      </c>
      <c r="T11" t="e">
        <v>#N/A</v>
      </c>
      <c r="U11" t="e">
        <v>#N/A</v>
      </c>
      <c r="V11" s="11" t="s">
        <v>277</v>
      </c>
      <c r="W11" t="n">
        <v>0.15</v>
      </c>
      <c r="X11" t="e">
        <v>#N/A</v>
      </c>
      <c r="Y11" t="n">
        <v>0.12</v>
      </c>
      <c r="Z11" t="n">
        <v>0.18</v>
      </c>
      <c r="AA11" t="s">
        <v>278</v>
      </c>
      <c r="AB11" t="n">
        <v>3.5826</v>
      </c>
      <c r="AC11" t="e">
        <v>#N/A</v>
      </c>
      <c r="AD11" t="e">
        <v>#N/A</v>
      </c>
      <c r="AE11" t="e">
        <v>#N/A</v>
      </c>
      <c r="AF11" t="n">
        <v>1.84660545156774</v>
      </c>
      <c r="AG11" t="s">
        <v>279</v>
      </c>
      <c r="AH11" t="e">
        <v>#N/A</v>
      </c>
      <c r="AI11" t="e">
        <v>#N/A</v>
      </c>
      <c r="AJ11" t="e">
        <v>#N/A</v>
      </c>
    </row>
    <row r="12" ht="19" customHeight="1">
      <c r="A12" t="s">
        <v>286</v>
      </c>
      <c r="B12" t="s">
        <v>271</v>
      </c>
      <c r="C12" t="s">
        <v>272</v>
      </c>
      <c r="D12" t="s">
        <v>273</v>
      </c>
      <c r="E12" s="12" t="s">
        <v>274</v>
      </c>
      <c r="F12" t="n">
        <v>4.20415</v>
      </c>
      <c r="G12" t="n">
        <v>-43.4889</v>
      </c>
      <c r="H12" t="n">
        <v>0.40523</v>
      </c>
      <c r="I12" t="n">
        <v>0.004</v>
      </c>
      <c r="J12" t="e">
        <v>#N/A</v>
      </c>
      <c r="K12" t="e">
        <v>#N/A</v>
      </c>
      <c r="L12" t="s">
        <v>275</v>
      </c>
      <c r="M12" t="s">
        <v>276</v>
      </c>
      <c r="N12" t="n">
        <v>-24.1201182724918</v>
      </c>
      <c r="O12" t="n">
        <v>0.707106781186547</v>
      </c>
      <c r="P12" t="e">
        <v>#N/A</v>
      </c>
      <c r="Q12" t="e">
        <v>#N/A</v>
      </c>
      <c r="R12" s="11" t="n">
        <v>28.26</v>
      </c>
      <c r="S12" t="n">
        <v>3</v>
      </c>
      <c r="T12" t="e">
        <v>#N/A</v>
      </c>
      <c r="U12" t="e">
        <v>#N/A</v>
      </c>
      <c r="V12" s="11" t="s">
        <v>277</v>
      </c>
      <c r="W12" t="n">
        <v>0.15</v>
      </c>
      <c r="X12" t="e">
        <v>#N/A</v>
      </c>
      <c r="Y12" t="n">
        <v>0.12</v>
      </c>
      <c r="Z12" t="n">
        <v>0.18</v>
      </c>
      <c r="AA12" t="s">
        <v>278</v>
      </c>
      <c r="AB12" t="n">
        <v>3.52273684210526</v>
      </c>
      <c r="AC12" t="e">
        <v>#N/A</v>
      </c>
      <c r="AD12" t="e">
        <v>#N/A</v>
      </c>
      <c r="AE12" t="e">
        <v>#N/A</v>
      </c>
      <c r="AF12" t="n">
        <v>1.82031003085997</v>
      </c>
      <c r="AG12" t="s">
        <v>279</v>
      </c>
      <c r="AH12" t="e">
        <v>#N/A</v>
      </c>
      <c r="AI12" t="e">
        <v>#N/A</v>
      </c>
      <c r="AJ12" t="e">
        <v>#N/A</v>
      </c>
    </row>
    <row r="13" ht="19" customHeight="1">
      <c r="A13" t="s">
        <v>287</v>
      </c>
      <c r="B13" t="s">
        <v>271</v>
      </c>
      <c r="C13" t="s">
        <v>272</v>
      </c>
      <c r="D13" t="s">
        <v>273</v>
      </c>
      <c r="E13" s="12" t="s">
        <v>274</v>
      </c>
      <c r="F13" t="n">
        <v>4.20415</v>
      </c>
      <c r="G13" t="n">
        <v>-43.4889</v>
      </c>
      <c r="H13" t="n">
        <v>0.410063</v>
      </c>
      <c r="I13" t="n">
        <v>0.004</v>
      </c>
      <c r="J13" t="e">
        <v>#N/A</v>
      </c>
      <c r="K13" t="e">
        <v>#N/A</v>
      </c>
      <c r="L13" t="s">
        <v>275</v>
      </c>
      <c r="M13" t="s">
        <v>276</v>
      </c>
      <c r="N13" t="n">
        <v>-24.2692333333333</v>
      </c>
      <c r="O13" t="n">
        <v>0.707106781186547</v>
      </c>
      <c r="P13" t="e">
        <v>#N/A</v>
      </c>
      <c r="Q13" t="e">
        <v>#N/A</v>
      </c>
      <c r="R13" s="11" t="n">
        <v>28.86</v>
      </c>
      <c r="S13" t="n">
        <v>3</v>
      </c>
      <c r="T13" t="e">
        <v>#N/A</v>
      </c>
      <c r="U13" t="e">
        <v>#N/A</v>
      </c>
      <c r="V13" s="11" t="s">
        <v>277</v>
      </c>
      <c r="W13" t="n">
        <v>0.15</v>
      </c>
      <c r="X13" t="e">
        <v>#N/A</v>
      </c>
      <c r="Y13" t="n">
        <v>0.12</v>
      </c>
      <c r="Z13" t="n">
        <v>0.18</v>
      </c>
      <c r="AA13" t="s">
        <v>278</v>
      </c>
      <c r="AB13" t="n">
        <v>3.53785714285714</v>
      </c>
      <c r="AC13" t="e">
        <v>#N/A</v>
      </c>
      <c r="AD13" t="e">
        <v>#N/A</v>
      </c>
      <c r="AE13" t="e">
        <v>#N/A</v>
      </c>
      <c r="AF13" t="n">
        <v>1.82695175648022</v>
      </c>
      <c r="AG13" t="s">
        <v>279</v>
      </c>
      <c r="AH13" t="e">
        <v>#N/A</v>
      </c>
      <c r="AI13" t="e">
        <v>#N/A</v>
      </c>
      <c r="AJ13" t="e">
        <v>#N/A</v>
      </c>
    </row>
    <row r="14" ht="19" customHeight="1">
      <c r="A14" t="s">
        <v>288</v>
      </c>
      <c r="B14" t="s">
        <v>271</v>
      </c>
      <c r="C14" t="s">
        <v>272</v>
      </c>
      <c r="D14" t="s">
        <v>273</v>
      </c>
      <c r="E14" s="12" t="s">
        <v>274</v>
      </c>
      <c r="F14" t="n">
        <v>4.20415</v>
      </c>
      <c r="G14" t="n">
        <v>-43.4889</v>
      </c>
      <c r="H14" t="n">
        <v>0.414333</v>
      </c>
      <c r="I14" t="n">
        <v>0.004</v>
      </c>
      <c r="J14" t="e">
        <v>#N/A</v>
      </c>
      <c r="K14" t="e">
        <v>#N/A</v>
      </c>
      <c r="L14" t="s">
        <v>275</v>
      </c>
      <c r="M14" t="s">
        <v>276</v>
      </c>
      <c r="N14" t="n">
        <v>-24.9652</v>
      </c>
      <c r="O14" t="n">
        <v>0.707106781186547</v>
      </c>
      <c r="P14" t="e">
        <v>#N/A</v>
      </c>
      <c r="Q14" t="e">
        <v>#N/A</v>
      </c>
      <c r="R14" s="11" t="n">
        <v>27.13</v>
      </c>
      <c r="S14" t="n">
        <v>3</v>
      </c>
      <c r="T14" t="e">
        <v>#N/A</v>
      </c>
      <c r="U14" t="e">
        <v>#N/A</v>
      </c>
      <c r="V14" s="11" t="s">
        <v>277</v>
      </c>
      <c r="W14" t="n">
        <v>0.15</v>
      </c>
      <c r="X14" t="e">
        <v>#N/A</v>
      </c>
      <c r="Y14" t="n">
        <v>0.12</v>
      </c>
      <c r="Z14" t="n">
        <v>0.18</v>
      </c>
      <c r="AA14" t="s">
        <v>278</v>
      </c>
      <c r="AB14" t="n">
        <v>3.3961</v>
      </c>
      <c r="AC14" t="e">
        <v>#N/A</v>
      </c>
      <c r="AD14" t="e">
        <v>#N/A</v>
      </c>
      <c r="AE14" t="e">
        <v>#N/A</v>
      </c>
      <c r="AF14" t="n">
        <v>1.76468367973903</v>
      </c>
      <c r="AG14" t="s">
        <v>279</v>
      </c>
      <c r="AH14" t="e">
        <v>#N/A</v>
      </c>
      <c r="AI14" t="e">
        <v>#N/A</v>
      </c>
      <c r="AJ14" t="e">
        <v>#N/A</v>
      </c>
    </row>
    <row r="15" ht="19" customHeight="1">
      <c r="A15" t="s">
        <v>289</v>
      </c>
      <c r="B15" t="s">
        <v>271</v>
      </c>
      <c r="C15" t="s">
        <v>272</v>
      </c>
      <c r="D15" t="s">
        <v>273</v>
      </c>
      <c r="E15" s="12" t="s">
        <v>274</v>
      </c>
      <c r="F15" t="n">
        <v>4.20415</v>
      </c>
      <c r="G15" t="n">
        <v>-43.4889</v>
      </c>
      <c r="H15" t="n">
        <v>0.44763</v>
      </c>
      <c r="I15" t="n">
        <v>0.004</v>
      </c>
      <c r="J15" t="e">
        <v>#N/A</v>
      </c>
      <c r="K15" t="e">
        <v>#N/A</v>
      </c>
      <c r="L15" t="s">
        <v>275</v>
      </c>
      <c r="M15" t="s">
        <v>276</v>
      </c>
      <c r="N15" t="n">
        <v>-23.7683333333333</v>
      </c>
      <c r="O15" t="n">
        <v>0.707106781186547</v>
      </c>
      <c r="P15" t="e">
        <v>#N/A</v>
      </c>
      <c r="Q15" t="e">
        <v>#N/A</v>
      </c>
      <c r="R15" s="11" t="n">
        <v>26.91</v>
      </c>
      <c r="S15" t="n">
        <v>3</v>
      </c>
      <c r="T15" t="e">
        <v>#N/A</v>
      </c>
      <c r="U15" t="e">
        <v>#N/A</v>
      </c>
      <c r="V15" s="11" t="s">
        <v>277</v>
      </c>
      <c r="W15" t="n">
        <v>0.15</v>
      </c>
      <c r="X15" t="e">
        <v>#N/A</v>
      </c>
      <c r="Y15" t="n">
        <v>0.12</v>
      </c>
      <c r="Z15" t="n">
        <v>0.18</v>
      </c>
      <c r="AA15" t="s">
        <v>278</v>
      </c>
      <c r="AB15" t="n">
        <v>3.58806122448979</v>
      </c>
      <c r="AC15" t="e">
        <v>#N/A</v>
      </c>
      <c r="AD15" t="e">
        <v>#N/A</v>
      </c>
      <c r="AE15" t="e">
        <v>#N/A</v>
      </c>
      <c r="AF15" t="n">
        <v>1.84900434264848</v>
      </c>
      <c r="AG15" t="s">
        <v>279</v>
      </c>
      <c r="AH15" t="e">
        <v>#N/A</v>
      </c>
      <c r="AI15" t="e">
        <v>#N/A</v>
      </c>
      <c r="AJ15" t="e">
        <v>#N/A</v>
      </c>
    </row>
    <row r="16" ht="19" customHeight="1">
      <c r="A16" t="s">
        <v>290</v>
      </c>
      <c r="B16" t="s">
        <v>271</v>
      </c>
      <c r="C16" t="s">
        <v>272</v>
      </c>
      <c r="D16" t="s">
        <v>273</v>
      </c>
      <c r="E16" t="s">
        <v>274</v>
      </c>
      <c r="F16" t="n">
        <v>4.20415</v>
      </c>
      <c r="G16" t="n">
        <v>-43.4889</v>
      </c>
      <c r="H16" t="n">
        <v>0.454243</v>
      </c>
      <c r="I16" t="n">
        <v>0.004</v>
      </c>
      <c r="J16" t="e">
        <v>#N/A</v>
      </c>
      <c r="K16" t="e">
        <v>#N/A</v>
      </c>
      <c r="L16" t="s">
        <v>275</v>
      </c>
      <c r="M16" t="s">
        <v>276</v>
      </c>
      <c r="N16" t="n">
        <v>-23.3844</v>
      </c>
      <c r="O16" t="n">
        <v>0.707106781186547</v>
      </c>
      <c r="P16" t="e">
        <v>#N/A</v>
      </c>
      <c r="Q16" t="e">
        <v>#N/A</v>
      </c>
      <c r="R16" s="11" t="n">
        <v>26.52</v>
      </c>
      <c r="S16" t="n">
        <v>3</v>
      </c>
      <c r="T16" t="e">
        <v>#N/A</v>
      </c>
      <c r="U16" t="e">
        <v>#N/A</v>
      </c>
      <c r="V16" s="11" t="s">
        <v>277</v>
      </c>
      <c r="W16" t="n">
        <v>0.15</v>
      </c>
      <c r="X16" t="e">
        <v>#N/A</v>
      </c>
      <c r="Y16" t="n">
        <v>0.12</v>
      </c>
      <c r="Z16" t="n">
        <v>0.18</v>
      </c>
      <c r="AA16" t="s">
        <v>278</v>
      </c>
      <c r="AB16" t="n">
        <v>3.51762376237624</v>
      </c>
      <c r="AC16" t="e">
        <v>#N/A</v>
      </c>
      <c r="AD16" t="e">
        <v>#N/A</v>
      </c>
      <c r="AE16" t="e">
        <v>#N/A</v>
      </c>
      <c r="AF16" t="n">
        <v>1.81806406543958</v>
      </c>
      <c r="AG16" t="s">
        <v>279</v>
      </c>
      <c r="AH16" t="e">
        <v>#N/A</v>
      </c>
      <c r="AI16" t="e">
        <v>#N/A</v>
      </c>
      <c r="AJ16" t="e">
        <v>#N/A</v>
      </c>
    </row>
    <row r="17" ht="19" customHeight="1">
      <c r="R17" s="11"/>
      <c r="V17" s="11"/>
    </row>
    <row r="18" ht="19" customHeight="1">
      <c r="R18" s="11"/>
      <c r="V18" s="11"/>
    </row>
    <row r="19" ht="19" customHeight="1">
      <c r="R19" s="11"/>
      <c r="V19" s="11"/>
    </row>
    <row r="20" ht="19" customHeight="1">
      <c r="R20" s="11"/>
      <c r="V20" s="11"/>
    </row>
    <row r="21" ht="19" customHeight="1">
      <c r="R21" s="11"/>
      <c r="V21" s="11"/>
    </row>
    <row r="22" ht="19" customHeight="1">
      <c r="R22" s="11"/>
      <c r="V22" s="11"/>
    </row>
    <row r="23" ht="19" customHeight="1">
      <c r="R23" s="11"/>
      <c r="V23" s="11"/>
    </row>
    <row r="24" ht="19" customHeight="1">
      <c r="R24" s="11"/>
      <c r="V24" s="11"/>
    </row>
    <row r="25" ht="19" customHeight="1">
      <c r="R25" s="11"/>
      <c r="V25" s="11"/>
    </row>
    <row r="26" ht="19" customHeight="1">
      <c r="R26" s="11"/>
      <c r="V26" s="11"/>
    </row>
    <row r="27" ht="19" customHeight="1">
      <c r="R27" s="11"/>
      <c r="V27" s="11"/>
    </row>
    <row r="28" ht="19" customHeight="1">
      <c r="R28" s="11"/>
      <c r="V28" s="11"/>
    </row>
    <row r="29" ht="19" customHeight="1">
      <c r="R29" s="11"/>
      <c r="V29" s="11"/>
    </row>
    <row r="30" ht="19" customHeight="1">
      <c r="R30" s="11"/>
      <c r="V30" s="11"/>
    </row>
    <row r="31" ht="19" customHeight="1">
      <c r="R31" s="11"/>
      <c r="V31" s="11"/>
    </row>
    <row r="32" ht="19" customHeight="1">
      <c r="R32" s="11"/>
      <c r="V32" s="11"/>
    </row>
    <row r="33" ht="19" customHeight="1">
      <c r="R33" s="11"/>
      <c r="V33" s="11"/>
    </row>
    <row r="34" ht="19" customHeight="1">
      <c r="R34" s="11"/>
      <c r="V34" s="11"/>
    </row>
    <row r="35" ht="19" customHeight="1">
      <c r="R35" s="11"/>
      <c r="V35" s="11"/>
    </row>
    <row r="36" ht="19" customHeight="1">
      <c r="R36" s="11"/>
      <c r="V36" s="11"/>
    </row>
    <row r="37" ht="19" customHeight="1">
      <c r="R37" s="11"/>
      <c r="V37" s="11"/>
    </row>
    <row r="38" ht="19" customHeight="1">
      <c r="R38" s="11"/>
      <c r="V38" s="11"/>
    </row>
    <row r="39" ht="19" customHeight="1">
      <c r="R39" s="11"/>
      <c r="V39" s="11"/>
    </row>
    <row r="40" ht="19" customHeight="1">
      <c r="R40" s="11"/>
      <c r="V40" s="11"/>
    </row>
    <row r="41" ht="19" customHeight="1">
      <c r="R41" s="11"/>
      <c r="V41" s="11"/>
    </row>
    <row r="42" ht="19" customHeight="1">
      <c r="R42" s="11"/>
      <c r="V42" s="11"/>
    </row>
    <row r="43" ht="19" customHeight="1">
      <c r="R43" s="11"/>
      <c r="V43" s="11"/>
    </row>
    <row r="44" ht="19" customHeight="1">
      <c r="R44" s="11"/>
      <c r="V44" s="11"/>
    </row>
    <row r="45" ht="19" customHeight="1">
      <c r="R45" s="11"/>
      <c r="V45" s="11"/>
    </row>
    <row r="46" ht="19" customHeight="1">
      <c r="R46" s="11"/>
      <c r="V46" s="11"/>
    </row>
    <row r="47" ht="19" customHeight="1">
      <c r="R47" s="11"/>
      <c r="V47" s="11"/>
    </row>
    <row r="48" ht="19" customHeight="1">
      <c r="R48" s="11"/>
      <c r="V48" s="11"/>
    </row>
    <row r="49" ht="19" customHeight="1">
      <c r="R49" s="11"/>
      <c r="V49" s="11"/>
    </row>
    <row r="50" ht="19" customHeight="1">
      <c r="R50" s="11"/>
      <c r="V50" s="11"/>
    </row>
    <row r="51" ht="19" customHeight="1">
      <c r="R51" s="11"/>
      <c r="V51" s="11"/>
    </row>
    <row r="52" ht="19" customHeight="1">
      <c r="R52" s="11"/>
      <c r="V52" s="11"/>
    </row>
    <row r="53" ht="19" customHeight="1">
      <c r="R53" s="11"/>
      <c r="V53" s="11"/>
    </row>
    <row r="54" ht="19" customHeight="1">
      <c r="R54" s="11"/>
      <c r="V54" s="11"/>
    </row>
    <row r="55" ht="19" customHeight="1">
      <c r="R55" s="11"/>
      <c r="V55" s="11"/>
    </row>
    <row r="56" ht="19" customHeight="1">
      <c r="R56" s="11"/>
      <c r="V56" s="11"/>
    </row>
    <row r="57" ht="19" customHeight="1">
      <c r="R57" s="11"/>
      <c r="V57" s="11"/>
    </row>
    <row r="58" ht="19" customHeight="1">
      <c r="R58" s="11"/>
      <c r="V58" s="11"/>
    </row>
    <row r="59" ht="19" customHeight="1">
      <c r="R59" s="11"/>
      <c r="V59" s="11"/>
    </row>
    <row r="60" ht="19" customHeight="1">
      <c r="R60" s="11"/>
      <c r="V60" s="11"/>
    </row>
    <row r="61" ht="19" customHeight="1">
      <c r="R61" s="11"/>
      <c r="V61" s="11"/>
    </row>
    <row r="62" ht="19" customHeight="1">
      <c r="R62" s="11"/>
      <c r="V62" s="11"/>
    </row>
    <row r="63" ht="19" customHeight="1">
      <c r="R63" s="11"/>
      <c r="V63" s="11"/>
    </row>
    <row r="64" ht="19" customHeight="1">
      <c r="R64" s="11"/>
      <c r="V64" s="11"/>
    </row>
    <row r="65" ht="19" customHeight="1">
      <c r="R65" s="11"/>
      <c r="V65" s="11"/>
    </row>
    <row r="66" ht="19" customHeight="1">
      <c r="R66" s="11"/>
      <c r="V66" s="11"/>
    </row>
    <row r="67" ht="19" customHeight="1">
      <c r="R67" s="11"/>
      <c r="V67" s="11"/>
    </row>
    <row r="68" ht="19" customHeight="1">
      <c r="R68" s="11"/>
      <c r="V68" s="11"/>
    </row>
    <row r="69" ht="19" customHeight="1">
      <c r="R69" s="11"/>
      <c r="V69" s="11"/>
    </row>
    <row r="70" ht="19" customHeight="1">
      <c r="R70" s="11"/>
      <c r="V70" s="11"/>
    </row>
    <row r="71" ht="19" customHeight="1">
      <c r="R71" s="11"/>
      <c r="V71" s="11"/>
    </row>
    <row r="72" ht="19" customHeight="1">
      <c r="R72" s="11"/>
      <c r="V72" s="11"/>
    </row>
    <row r="73" ht="19" customHeight="1">
      <c r="R73" s="11"/>
      <c r="V73" s="11"/>
    </row>
    <row r="74" ht="19" customHeight="1">
      <c r="R74" s="11"/>
      <c r="V74" s="11"/>
    </row>
    <row r="75" ht="19" customHeight="1">
      <c r="R75" s="11"/>
      <c r="V75" s="11"/>
    </row>
    <row r="76" ht="19" customHeight="1">
      <c r="R76" s="11"/>
      <c r="V76" s="11"/>
    </row>
    <row r="77" ht="19" customHeight="1">
      <c r="R77" s="11"/>
      <c r="V77" s="11"/>
    </row>
    <row r="78" ht="19" customHeight="1">
      <c r="R78" s="11"/>
      <c r="V78" s="11"/>
    </row>
    <row r="79" ht="19" customHeight="1">
      <c r="R79" s="11"/>
      <c r="V79" s="11"/>
    </row>
    <row r="80" ht="19" customHeight="1">
      <c r="R80" s="11"/>
      <c r="V80" s="11"/>
    </row>
    <row r="81" ht="19" customHeight="1">
      <c r="R81" s="11"/>
      <c r="V81" s="11"/>
    </row>
    <row r="82" ht="19" customHeight="1">
      <c r="R82" s="11"/>
      <c r="V82" s="11"/>
    </row>
    <row r="83" ht="19" customHeight="1">
      <c r="R83" s="11"/>
      <c r="V83" s="11"/>
    </row>
    <row r="84" ht="19" customHeight="1">
      <c r="R84" s="11"/>
      <c r="V84" s="11"/>
    </row>
    <row r="85" ht="19" customHeight="1">
      <c r="R85" s="11"/>
      <c r="V85" s="11"/>
    </row>
    <row r="86" ht="19" customHeight="1">
      <c r="R86" s="11"/>
      <c r="V86" s="11"/>
    </row>
    <row r="87" ht="19" customHeight="1">
      <c r="R87" s="11"/>
      <c r="V87" s="11"/>
    </row>
    <row r="88" ht="19" customHeight="1">
      <c r="R88" s="11"/>
      <c r="V88" s="11"/>
    </row>
    <row r="89" ht="19" customHeight="1">
      <c r="R89" s="11"/>
      <c r="V89" s="11"/>
    </row>
    <row r="90" ht="19" customHeight="1">
      <c r="R90" s="11"/>
      <c r="V90" s="11"/>
    </row>
    <row r="91" ht="19" customHeight="1">
      <c r="R91" s="11"/>
      <c r="V91" s="11"/>
    </row>
    <row r="92" ht="19" customHeight="1">
      <c r="R92" s="11"/>
      <c r="V92" s="11"/>
    </row>
    <row r="93" ht="19" customHeight="1">
      <c r="R93" s="11"/>
      <c r="V93" s="11"/>
    </row>
    <row r="94" ht="19" customHeight="1">
      <c r="R94" s="11"/>
      <c r="V94" s="11"/>
    </row>
    <row r="95" ht="19" customHeight="1">
      <c r="R95" s="11"/>
      <c r="V95" s="11"/>
    </row>
    <row r="96" ht="19" customHeight="1">
      <c r="R96" s="11"/>
      <c r="V96" s="11"/>
    </row>
    <row r="97" ht="19" customHeight="1">
      <c r="R97" s="11"/>
      <c r="V97" s="11"/>
    </row>
    <row r="98" ht="19" customHeight="1">
      <c r="R98" s="11"/>
      <c r="V98" s="11"/>
    </row>
    <row r="99" ht="19" customHeight="1">
      <c r="R99" s="11"/>
      <c r="V99" s="11"/>
    </row>
    <row r="100" ht="19" customHeight="1">
      <c r="R100" s="11"/>
      <c r="V100" s="11"/>
    </row>
    <row r="101" ht="19" customHeight="1">
      <c r="R101" s="11"/>
      <c r="V101" s="11"/>
    </row>
    <row r="102" ht="19" customHeight="1">
      <c r="R102" s="11"/>
      <c r="V102" s="11"/>
    </row>
    <row r="103" ht="19" customHeight="1">
      <c r="R103" s="11"/>
      <c r="V103" s="11"/>
    </row>
    <row r="104" ht="19" customHeight="1">
      <c r="R104" s="11"/>
      <c r="V104" s="11"/>
    </row>
    <row r="105" ht="19" customHeight="1">
      <c r="R105" s="11"/>
      <c r="V105" s="11"/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