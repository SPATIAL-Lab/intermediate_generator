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<sst xmlns="http://schemas.openxmlformats.org/spreadsheetml/2006/main" count="294" uniqueCount="294">
  <si>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</si>
  <si>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</si>
  <si>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</si>
  <si>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</si>
  <si>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</si>
  <si>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</si>
  <si>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</si>
  <si>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</si>
  <si>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</si>
  <si>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</si>
  <si>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</si>
  <si>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</si>
  <si>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</si>
  <si>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</si>
  <si>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</si>
  <si>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</si>
  <si>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</si>
  <si>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</si>
  <si>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</si>
  <si>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</si>
  <si>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</si>
  <si>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</si>
  <si>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</si>
  <si>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</si>
  <si>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</si>
  <si>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</si>
  <si>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</si>
  <si>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</si>
  <si>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</si>
  <si>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</si>
  <si>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</si>
  <si>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</si>
  <si>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</si>
  <si>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</si>
  <si>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</si>
  <si>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</si>
  <si>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</si>
  <si>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</si>
  <si>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</si>
  <si>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</si>
  <si>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</si>
  <si>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</si>
  <si>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</si>
  <si>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</si>
  <si>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</si>
  <si>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</si>
  <si>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</si>
  <si>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</si>
  <si>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</si>
  <si>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</si>
  <si>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</si>
  <si>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</si>
  <si>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</si>
  <si>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</si>
  <si>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</si>
  <si>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</si>
  <si>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</si>
  <si>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</si>
  <si>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</si>
  <si>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</si>
  <si>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</si>
  <si>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</si>
  <si>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</si>
  <si>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</si>
  <si>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</si>
  <si>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</si>
  <si>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</si>
  <si>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</si>
  <si>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</si>
  <si>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</si>
  <si>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</si>
  <si>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</si>
  <si>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</si>
  <si>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</si>
  <si>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</si>
  <si>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</si>
  <si>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</si>
  <si>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</si>
  <si>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</si>
  <si>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</si>
  <si>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</si>
  <si>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</si>
  <si>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</si>
  <si>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</si>
  <si>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</si>
  <si>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</si>
  <si>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</si>
  <si>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</si>
  <si>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</si>
  <si>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</si>
  <si>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</si>
  <si>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</si>
  <si>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</si>
  <si>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</si>
  <si>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</si>
  <si>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</si>
  <si>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</si>
  <si>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</si>
  <si>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</si>
  <si>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</si>
  <si>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</si>
  <si>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</si>
  <si>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</si>
  <si>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</si>
  <si>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</si>
  <si>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</si>
  <si>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</si>
  <si>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</si>
  <si>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</si>
  <si>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</si>
  <si>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</si>
  <si>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</si>
  <si>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</si>
  <si>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</si>
  <si>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</si>
  <si>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</si>
  <si>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</si>
  <si>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</si>
  <si>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</si>
  <si>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</si>
  <si>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</si>
  <si>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</si>
  <si>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</si>
  <si>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</si>
  <si>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</si>
  <si>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</si>
  <si>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</si>
  <si>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</si>
  <si>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</si>
  <si>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</si>
  <si>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</si>
  <si>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</si>
  <si>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</si>
  <si>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</si>
  <si>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</si>
  <si>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</si>
  <si>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</si>
  <si>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</si>
  <si>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</si>
  <si>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</si>
  <si>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</si>
  <si>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</si>
  <si>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</si>
  <si>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</si>
  <si>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</si>
  <si>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</si>
  <si>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</si>
  <si>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</si>
  <si>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</si>
  <si>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</si>
  <si>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</si>
  <si>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</si>
  <si>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</si>
  <si>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</si>
  <si>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</si>
  <si>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</si>
  <si>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</si>
  <si>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</si>
  <si>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</si>
  <si>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</si>
  <si>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</si>
  <si>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</si>
  <si>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</si>
  <si>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</si>
  <si>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</si>
  <si>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</si>
  <si>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</si>
  <si>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</si>
  <si>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</si>
  <si>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</si>
  <si>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</si>
  <si>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</si>
  <si>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</si>
  <si>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</si>
  <si>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</si>
  <si>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</si>
  <si>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</si>
  <si>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</si>
  <si>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</si>
  <si>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</si>
  <si>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</si>
  <si>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</si>
  <si>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</si>
  <si>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</si>
  <si>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</si>
  <si>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</si>
  <si>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</si>
  <si>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</si>
  <si>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</si>
  <si>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</si>
  <si>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</si>
  <si>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</si>
  <si>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</si>
  <si>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</si>
  <si>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</si>
  <si>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</si>
  <si>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</si>
  <si>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</si>
  <si>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</si>
  <si>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</si>
  <si>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</si>
  <si>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</si>
  <si>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</si>
  <si>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</si>
  <si>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</si>
  <si>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</si>
  <si>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</si>
  <si>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</si>
  <si>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</si>
  <si>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</si>
  <si>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</si>
  <si>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</si>
  <si>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</si>
  <si>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</si>
  <si>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</si>
  <si>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</si>
  <si>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</si>
  <si>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</si>
  <si>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</si>
  <si>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</si>
  <si>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</si>
  <si>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</si>
  <si>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</si>
  <si>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</si>
  <si>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</si>
  <si>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</si>
  <si>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</si>
  <si>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</si>
  <si>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</si>
  <si>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</si>
  <si>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</si>
  <si>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</si>
  <si>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</si>
  <si>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</si>
  <si>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</si>
  <si>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</si>
  <si>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</si>
  <si>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</si>
  <si>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</si>
  <si>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</si>
  <si>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</si>
  <si>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</si>
  <si>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</si>
  <si>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</si>
  <si>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</si>
  <si>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</si>
  <si>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</si>
  <si>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</si>
  <si>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</si>
  <si>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</si>
  <si>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</si>
  <si>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</si>
  <si>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</si>
  <si>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</si>
  <si>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</si>
  <si>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</si>
  <si>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</si>
  <si>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</si>
  <si>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</si>
  <si>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</si>
  <si>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</si>
  <si>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</si>
  <si>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</si>
  <si>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</si>
  <si>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</si>
  <si>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</si>
  <si>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</si>
  <si>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</si>
  <si>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</si>
  <si>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</si>
  <si>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ODP 1257A-20-5-70</t>
  </si>
  <si>
    <t xml:space="preserve">10.1130/G51939.1</t>
  </si>
  <si>
    <t xml:space="preserve">phytoplankton_si_2024.xlsx</t>
  </si>
  <si>
    <t xml:space="preserve">Harper and Giulivi</t>
  </si>
  <si>
    <t xml:space="preserve">dustin.t.harper@utah.edu; claudiag@ldeo.columbia.edu</t>
  </si>
  <si>
    <t xml:space="preserve">This paper; mean age of biozone based on ODP initial report; Early Campanian</t>
  </si>
  <si>
    <t xml:space="preserve">Mk37_2</t>
  </si>
  <si>
    <t xml:space="preserve">TEX86</t>
  </si>
  <si>
    <t xml:space="preserve">Full calibration range of b fact</t>
  </si>
  <si>
    <t xml:space="preserve">ODP 1257A-20-6-30</t>
  </si>
  <si>
    <t xml:space="preserve">ODP 534A-28-3-25</t>
  </si>
  <si>
    <t xml:space="preserve">This paper; mean age of biozone based on ODP initial report; Late Albian</t>
  </si>
  <si>
    <t xml:space="preserve">ODP 534A-29-1-70</t>
  </si>
  <si>
    <t xml:space="preserve">ODP 534A-32-31-76</t>
  </si>
  <si>
    <t xml:space="preserve">This paper; mean age of biozone based on ODP initial report; Late_Middle Albian</t>
  </si>
  <si>
    <t xml:space="preserve">ODP 534A-34-2-100</t>
  </si>
  <si>
    <t xml:space="preserve">This paper; mean age of biozone based on ODP initial report; Early-Middle Albian</t>
  </si>
  <si>
    <t xml:space="preserve">ODP 534A-35-3-70</t>
  </si>
  <si>
    <t xml:space="preserve">ODP 534A-37-3-103</t>
  </si>
  <si>
    <t xml:space="preserve">ODP 638B-23-3-16</t>
  </si>
  <si>
    <t xml:space="preserve">This paper; mean age of biozone based on ODP initial report; Late Hauterivian</t>
  </si>
  <si>
    <t xml:space="preserve">ODP 638B-24-6-15</t>
  </si>
  <si>
    <t xml:space="preserve">ODP 638B-26-2-46</t>
  </si>
  <si>
    <t xml:space="preserve">ODP 638B-29-1-55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</si>
</sst>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9.45</v>
      </c>
      <c r="G5" t="n">
        <v>-54.35</v>
      </c>
      <c r="H5" t="n">
        <v>81.5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-34.077</v>
      </c>
      <c r="O5" t="n">
        <v>1</v>
      </c>
      <c r="P5" t="e">
        <v>#N/A</v>
      </c>
      <c r="Q5" t="e">
        <v>#N/A</v>
      </c>
      <c r="R5" s="11" t="n">
        <v>36.1</v>
      </c>
      <c r="S5" t="n">
        <v>4.8</v>
      </c>
      <c r="T5" t="e">
        <v>#N/A</v>
      </c>
      <c r="U5" t="e">
        <v>#N/A</v>
      </c>
      <c r="V5" s="11" t="s">
        <v>277</v>
      </c>
      <c r="W5" t="n">
        <v>1.25</v>
      </c>
      <c r="X5" t="e">
        <v>#N/A</v>
      </c>
      <c r="Y5" t="n">
        <v>0</v>
      </c>
      <c r="Z5" t="n">
        <v>2.5</v>
      </c>
      <c r="AA5" t="s">
        <v>278</v>
      </c>
      <c r="AB5" t="n">
        <v>9.5</v>
      </c>
      <c r="AC5" t="e">
        <v>#N/A</v>
      </c>
      <c r="AD5" t="n">
        <v>8</v>
      </c>
      <c r="AE5" t="n">
        <v>11</v>
      </c>
      <c r="AF5" t="n">
        <v>4.44587565327931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279</v>
      </c>
      <c r="B6" t="s">
        <v>271</v>
      </c>
      <c r="C6" t="s">
        <v>272</v>
      </c>
      <c r="D6" t="s">
        <v>273</v>
      </c>
      <c r="E6" s="12" t="s">
        <v>274</v>
      </c>
      <c r="F6" t="n">
        <v>9.45</v>
      </c>
      <c r="G6" t="n">
        <v>-54.36</v>
      </c>
      <c r="H6" t="n">
        <v>81.5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-32.951</v>
      </c>
      <c r="O6" t="n">
        <v>1</v>
      </c>
      <c r="P6" t="e">
        <v>#N/A</v>
      </c>
      <c r="Q6" t="e">
        <v>#N/A</v>
      </c>
      <c r="R6" s="11" t="n">
        <v>36.1</v>
      </c>
      <c r="S6" t="n">
        <v>4.8</v>
      </c>
      <c r="T6" t="e">
        <v>#N/A</v>
      </c>
      <c r="U6" t="e">
        <v>#N/A</v>
      </c>
      <c r="V6" s="11" t="s">
        <v>277</v>
      </c>
      <c r="W6" t="n">
        <v>1.25</v>
      </c>
      <c r="X6" t="e">
        <v>#N/A</v>
      </c>
      <c r="Y6" t="n">
        <v>0</v>
      </c>
      <c r="Z6" t="n">
        <v>2.5</v>
      </c>
      <c r="AA6" t="s">
        <v>278</v>
      </c>
      <c r="AB6" t="n">
        <v>9.5</v>
      </c>
      <c r="AC6" t="e">
        <v>#N/A</v>
      </c>
      <c r="AD6" t="n">
        <v>8</v>
      </c>
      <c r="AE6" t="n">
        <v>11</v>
      </c>
      <c r="AF6" t="n">
        <v>4.44587565327931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280</v>
      </c>
      <c r="B7" t="s">
        <v>271</v>
      </c>
      <c r="C7" t="s">
        <v>272</v>
      </c>
      <c r="D7" t="s">
        <v>273</v>
      </c>
      <c r="E7" s="12" t="s">
        <v>274</v>
      </c>
      <c r="F7" t="n">
        <v>28.35</v>
      </c>
      <c r="G7" t="n">
        <v>-75.38</v>
      </c>
      <c r="H7" t="n">
        <v>101</v>
      </c>
      <c r="I7" t="e">
        <v>#N/A</v>
      </c>
      <c r="J7" t="e">
        <v>#N/A</v>
      </c>
      <c r="K7" t="e">
        <v>#N/A</v>
      </c>
      <c r="L7" t="s">
        <v>281</v>
      </c>
      <c r="M7" t="s">
        <v>276</v>
      </c>
      <c r="N7" t="n">
        <v>-33.7165</v>
      </c>
      <c r="O7" t="n">
        <v>1</v>
      </c>
      <c r="P7" t="e">
        <v>#N/A</v>
      </c>
      <c r="Q7" t="e">
        <v>#N/A</v>
      </c>
      <c r="R7" s="11" t="n">
        <v>35.4</v>
      </c>
      <c r="S7" t="n">
        <v>1.8</v>
      </c>
      <c r="T7" t="e">
        <v>#N/A</v>
      </c>
      <c r="U7" t="e">
        <v>#N/A</v>
      </c>
      <c r="V7" s="11" t="s">
        <v>277</v>
      </c>
      <c r="W7" t="n">
        <v>1.25</v>
      </c>
      <c r="X7" t="e">
        <v>#N/A</v>
      </c>
      <c r="Y7" t="n">
        <v>0</v>
      </c>
      <c r="Z7" t="n">
        <v>2.5</v>
      </c>
      <c r="AA7" t="s">
        <v>278</v>
      </c>
      <c r="AB7" t="n">
        <v>9.5</v>
      </c>
      <c r="AC7" t="e">
        <v>#N/A</v>
      </c>
      <c r="AD7" t="n">
        <v>8</v>
      </c>
      <c r="AE7" t="n">
        <v>11</v>
      </c>
      <c r="AF7" t="n">
        <v>4.44587565327931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282</v>
      </c>
      <c r="B8" t="s">
        <v>271</v>
      </c>
      <c r="C8" t="s">
        <v>272</v>
      </c>
      <c r="D8" t="s">
        <v>273</v>
      </c>
      <c r="E8" s="12" t="s">
        <v>274</v>
      </c>
      <c r="F8" t="n">
        <v>28.35</v>
      </c>
      <c r="G8" t="n">
        <v>-75.38</v>
      </c>
      <c r="H8" t="n">
        <v>101</v>
      </c>
      <c r="I8" t="e">
        <v>#N/A</v>
      </c>
      <c r="J8" t="e">
        <v>#N/A</v>
      </c>
      <c r="K8" t="e">
        <v>#N/A</v>
      </c>
      <c r="L8" t="s">
        <v>281</v>
      </c>
      <c r="M8" t="s">
        <v>276</v>
      </c>
      <c r="N8" t="n">
        <v>-32.939</v>
      </c>
      <c r="O8" t="n">
        <v>1</v>
      </c>
      <c r="P8" t="e">
        <v>#N/A</v>
      </c>
      <c r="Q8" t="e">
        <v>#N/A</v>
      </c>
      <c r="R8" s="11" t="n">
        <v>35.4</v>
      </c>
      <c r="S8" t="n">
        <v>1.8</v>
      </c>
      <c r="T8" t="e">
        <v>#N/A</v>
      </c>
      <c r="U8" t="e">
        <v>#N/A</v>
      </c>
      <c r="V8" s="11" t="s">
        <v>277</v>
      </c>
      <c r="W8" t="n">
        <v>1.25</v>
      </c>
      <c r="X8" t="e">
        <v>#N/A</v>
      </c>
      <c r="Y8" t="n">
        <v>0</v>
      </c>
      <c r="Z8" t="n">
        <v>2.5</v>
      </c>
      <c r="AA8" t="s">
        <v>278</v>
      </c>
      <c r="AB8" t="n">
        <v>9.5</v>
      </c>
      <c r="AC8" t="e">
        <v>#N/A</v>
      </c>
      <c r="AD8" t="n">
        <v>8</v>
      </c>
      <c r="AE8" t="n">
        <v>11</v>
      </c>
      <c r="AF8" t="n">
        <v>4.44587565327931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283</v>
      </c>
      <c r="B9" t="s">
        <v>271</v>
      </c>
      <c r="C9" t="s">
        <v>272</v>
      </c>
      <c r="D9" t="s">
        <v>273</v>
      </c>
      <c r="E9" s="12" t="s">
        <v>274</v>
      </c>
      <c r="F9" t="n">
        <v>28.35</v>
      </c>
      <c r="G9" t="n">
        <v>-75.38</v>
      </c>
      <c r="H9" t="n">
        <v>105</v>
      </c>
      <c r="I9" t="e">
        <v>#N/A</v>
      </c>
      <c r="J9" t="e">
        <v>#N/A</v>
      </c>
      <c r="K9" t="e">
        <v>#N/A</v>
      </c>
      <c r="L9" t="s">
        <v>284</v>
      </c>
      <c r="M9" t="s">
        <v>276</v>
      </c>
      <c r="N9" t="n">
        <v>-31.6425</v>
      </c>
      <c r="O9" t="n">
        <v>1</v>
      </c>
      <c r="P9" t="e">
        <v>#N/A</v>
      </c>
      <c r="Q9" t="e">
        <v>#N/A</v>
      </c>
      <c r="R9" s="11" t="n">
        <v>35.4</v>
      </c>
      <c r="S9" t="n">
        <v>5</v>
      </c>
      <c r="T9" t="e">
        <v>#N/A</v>
      </c>
      <c r="U9" t="e">
        <v>#N/A</v>
      </c>
      <c r="V9" s="11" t="s">
        <v>277</v>
      </c>
      <c r="W9" t="n">
        <v>1.25</v>
      </c>
      <c r="X9" t="e">
        <v>#N/A</v>
      </c>
      <c r="Y9" t="n">
        <v>0</v>
      </c>
      <c r="Z9" t="n">
        <v>2.5</v>
      </c>
      <c r="AA9" t="s">
        <v>278</v>
      </c>
      <c r="AB9" t="n">
        <v>9.5</v>
      </c>
      <c r="AC9" t="e">
        <v>#N/A</v>
      </c>
      <c r="AD9" t="n">
        <v>8</v>
      </c>
      <c r="AE9" t="n">
        <v>11</v>
      </c>
      <c r="AF9" t="n">
        <v>4.44587565327931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285</v>
      </c>
      <c r="B10" t="s">
        <v>271</v>
      </c>
      <c r="C10" t="s">
        <v>272</v>
      </c>
      <c r="D10" t="s">
        <v>273</v>
      </c>
      <c r="E10" s="12" t="s">
        <v>274</v>
      </c>
      <c r="F10" t="n">
        <v>28.35</v>
      </c>
      <c r="G10" t="n">
        <v>-75.38</v>
      </c>
      <c r="H10" t="n">
        <v>108.5</v>
      </c>
      <c r="I10" t="e">
        <v>#N/A</v>
      </c>
      <c r="J10" t="e">
        <v>#N/A</v>
      </c>
      <c r="K10" t="e">
        <v>#N/A</v>
      </c>
      <c r="L10" t="s">
        <v>286</v>
      </c>
      <c r="M10" t="s">
        <v>276</v>
      </c>
      <c r="N10" t="n">
        <v>-33.512</v>
      </c>
      <c r="O10" t="n">
        <v>1</v>
      </c>
      <c r="P10" t="e">
        <v>#N/A</v>
      </c>
      <c r="Q10" t="e">
        <v>#N/A</v>
      </c>
      <c r="R10" s="11" t="n">
        <v>35.4</v>
      </c>
      <c r="S10" t="n">
        <v>5</v>
      </c>
      <c r="T10" t="e">
        <v>#N/A</v>
      </c>
      <c r="U10" t="e">
        <v>#N/A</v>
      </c>
      <c r="V10" s="11" t="s">
        <v>277</v>
      </c>
      <c r="W10" t="n">
        <v>1.25</v>
      </c>
      <c r="X10" t="e">
        <v>#N/A</v>
      </c>
      <c r="Y10" t="n">
        <v>0</v>
      </c>
      <c r="Z10" t="n">
        <v>2.5</v>
      </c>
      <c r="AA10" t="s">
        <v>278</v>
      </c>
      <c r="AB10" t="n">
        <v>9.5</v>
      </c>
      <c r="AC10" t="e">
        <v>#N/A</v>
      </c>
      <c r="AD10" t="n">
        <v>8</v>
      </c>
      <c r="AE10" t="n">
        <v>11</v>
      </c>
      <c r="AF10" t="n">
        <v>4.44587565327931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287</v>
      </c>
      <c r="B11" t="s">
        <v>271</v>
      </c>
      <c r="C11" t="s">
        <v>272</v>
      </c>
      <c r="D11" t="s">
        <v>273</v>
      </c>
      <c r="E11" s="12" t="s">
        <v>274</v>
      </c>
      <c r="F11" t="n">
        <v>28.35</v>
      </c>
      <c r="G11" t="n">
        <v>-75.38</v>
      </c>
      <c r="H11" t="n">
        <v>108.5</v>
      </c>
      <c r="I11" t="e">
        <v>#N/A</v>
      </c>
      <c r="J11" t="e">
        <v>#N/A</v>
      </c>
      <c r="K11" t="e">
        <v>#N/A</v>
      </c>
      <c r="L11" t="s">
        <v>286</v>
      </c>
      <c r="M11" t="s">
        <v>276</v>
      </c>
      <c r="N11" t="n">
        <v>-35.3785</v>
      </c>
      <c r="O11" t="n">
        <v>1</v>
      </c>
      <c r="P11" t="e">
        <v>#N/A</v>
      </c>
      <c r="Q11" t="e">
        <v>#N/A</v>
      </c>
      <c r="R11" s="11" t="n">
        <v>35.4</v>
      </c>
      <c r="S11" t="n">
        <v>5</v>
      </c>
      <c r="T11" t="e">
        <v>#N/A</v>
      </c>
      <c r="U11" t="e">
        <v>#N/A</v>
      </c>
      <c r="V11" s="11" t="s">
        <v>277</v>
      </c>
      <c r="W11" t="n">
        <v>1.25</v>
      </c>
      <c r="X11" t="e">
        <v>#N/A</v>
      </c>
      <c r="Y11" t="n">
        <v>0</v>
      </c>
      <c r="Z11" t="n">
        <v>2.5</v>
      </c>
      <c r="AA11" t="s">
        <v>278</v>
      </c>
      <c r="AB11" t="n">
        <v>9.5</v>
      </c>
      <c r="AC11" t="e">
        <v>#N/A</v>
      </c>
      <c r="AD11" t="n">
        <v>8</v>
      </c>
      <c r="AE11" t="n">
        <v>11</v>
      </c>
      <c r="AF11" t="n">
        <v>4.44587565327931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288</v>
      </c>
      <c r="B12" t="s">
        <v>271</v>
      </c>
      <c r="C12" t="s">
        <v>272</v>
      </c>
      <c r="D12" t="s">
        <v>273</v>
      </c>
      <c r="E12" s="12" t="s">
        <v>274</v>
      </c>
      <c r="F12" t="n">
        <v>28.35</v>
      </c>
      <c r="G12" t="n">
        <v>-75.38</v>
      </c>
      <c r="H12" t="n">
        <v>108.5</v>
      </c>
      <c r="I12" t="e">
        <v>#N/A</v>
      </c>
      <c r="J12" t="e">
        <v>#N/A</v>
      </c>
      <c r="K12" t="e">
        <v>#N/A</v>
      </c>
      <c r="L12" t="s">
        <v>286</v>
      </c>
      <c r="M12" t="s">
        <v>276</v>
      </c>
      <c r="N12" t="n">
        <v>-32.886</v>
      </c>
      <c r="O12" t="n">
        <v>1</v>
      </c>
      <c r="P12" t="e">
        <v>#N/A</v>
      </c>
      <c r="Q12" t="e">
        <v>#N/A</v>
      </c>
      <c r="R12" s="11" t="n">
        <v>35.4</v>
      </c>
      <c r="S12" t="n">
        <v>5</v>
      </c>
      <c r="T12" t="e">
        <v>#N/A</v>
      </c>
      <c r="U12" t="e">
        <v>#N/A</v>
      </c>
      <c r="V12" s="11" t="s">
        <v>277</v>
      </c>
      <c r="W12" t="n">
        <v>1.25</v>
      </c>
      <c r="X12" t="e">
        <v>#N/A</v>
      </c>
      <c r="Y12" t="n">
        <v>0</v>
      </c>
      <c r="Z12" t="n">
        <v>2.5</v>
      </c>
      <c r="AA12" t="s">
        <v>278</v>
      </c>
      <c r="AB12" t="n">
        <v>9.5</v>
      </c>
      <c r="AC12" t="e">
        <v>#N/A</v>
      </c>
      <c r="AD12" t="n">
        <v>8</v>
      </c>
      <c r="AE12" t="n">
        <v>11</v>
      </c>
      <c r="AF12" t="n">
        <v>4.44587565327931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289</v>
      </c>
      <c r="B13" t="s">
        <v>271</v>
      </c>
      <c r="C13" t="s">
        <v>272</v>
      </c>
      <c r="D13" t="s">
        <v>273</v>
      </c>
      <c r="E13" s="12" t="s">
        <v>274</v>
      </c>
      <c r="F13" t="n">
        <v>42.15</v>
      </c>
      <c r="G13" t="n">
        <v>-12.2</v>
      </c>
      <c r="H13" t="n">
        <v>129.5</v>
      </c>
      <c r="I13" t="e">
        <v>#N/A</v>
      </c>
      <c r="J13" t="e">
        <v>#N/A</v>
      </c>
      <c r="K13" t="e">
        <v>#N/A</v>
      </c>
      <c r="L13" t="s">
        <v>290</v>
      </c>
      <c r="M13" t="s">
        <v>276</v>
      </c>
      <c r="N13" t="n">
        <v>-35.6555</v>
      </c>
      <c r="O13" t="n">
        <v>1</v>
      </c>
      <c r="P13" t="e">
        <v>#N/A</v>
      </c>
      <c r="Q13" t="e">
        <v>#N/A</v>
      </c>
      <c r="R13" s="11" t="n">
        <v>34.7</v>
      </c>
      <c r="S13" t="n">
        <v>0.4</v>
      </c>
      <c r="T13" t="e">
        <v>#N/A</v>
      </c>
      <c r="U13" t="e">
        <v>#N/A</v>
      </c>
      <c r="V13" s="11" t="s">
        <v>277</v>
      </c>
      <c r="W13" t="n">
        <v>1.25</v>
      </c>
      <c r="X13" t="e">
        <v>#N/A</v>
      </c>
      <c r="Y13" t="n">
        <v>0</v>
      </c>
      <c r="Z13" t="n">
        <v>2.5</v>
      </c>
      <c r="AA13" t="s">
        <v>278</v>
      </c>
      <c r="AB13" t="n">
        <v>9.5</v>
      </c>
      <c r="AC13" t="e">
        <v>#N/A</v>
      </c>
      <c r="AD13" t="n">
        <v>8</v>
      </c>
      <c r="AE13" t="n">
        <v>11</v>
      </c>
      <c r="AF13" t="n">
        <v>4.44587565327931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291</v>
      </c>
      <c r="B14" t="s">
        <v>271</v>
      </c>
      <c r="C14" t="s">
        <v>272</v>
      </c>
      <c r="D14" t="s">
        <v>273</v>
      </c>
      <c r="E14" s="12" t="s">
        <v>274</v>
      </c>
      <c r="F14" t="n">
        <v>42.15</v>
      </c>
      <c r="G14" t="n">
        <v>-12.2</v>
      </c>
      <c r="H14" t="n">
        <v>129.5</v>
      </c>
      <c r="I14" t="e">
        <v>#N/A</v>
      </c>
      <c r="J14" t="e">
        <v>#N/A</v>
      </c>
      <c r="K14" t="e">
        <v>#N/A</v>
      </c>
      <c r="L14" t="s">
        <v>290</v>
      </c>
      <c r="M14" t="s">
        <v>276</v>
      </c>
      <c r="N14" t="n">
        <v>-37.153</v>
      </c>
      <c r="O14" t="n">
        <v>1</v>
      </c>
      <c r="P14" t="e">
        <v>#N/A</v>
      </c>
      <c r="Q14" t="e">
        <v>#N/A</v>
      </c>
      <c r="R14" s="11" t="n">
        <v>35</v>
      </c>
      <c r="S14" t="n">
        <v>0.4</v>
      </c>
      <c r="T14" t="e">
        <v>#N/A</v>
      </c>
      <c r="U14" t="e">
        <v>#N/A</v>
      </c>
      <c r="V14" s="11" t="s">
        <v>277</v>
      </c>
      <c r="W14" t="n">
        <v>1.25</v>
      </c>
      <c r="X14" t="e">
        <v>#N/A</v>
      </c>
      <c r="Y14" t="n">
        <v>0</v>
      </c>
      <c r="Z14" t="n">
        <v>2.5</v>
      </c>
      <c r="AA14" t="s">
        <v>278</v>
      </c>
      <c r="AB14" t="n">
        <v>9.5</v>
      </c>
      <c r="AC14" t="e">
        <v>#N/A</v>
      </c>
      <c r="AD14" t="n">
        <v>8</v>
      </c>
      <c r="AE14" t="n">
        <v>11</v>
      </c>
      <c r="AF14" t="n">
        <v>4.44587565327931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292</v>
      </c>
      <c r="B15" t="s">
        <v>271</v>
      </c>
      <c r="C15" t="s">
        <v>272</v>
      </c>
      <c r="D15" t="s">
        <v>273</v>
      </c>
      <c r="E15" s="12" t="s">
        <v>274</v>
      </c>
      <c r="F15" t="n">
        <v>42.15</v>
      </c>
      <c r="G15" t="n">
        <v>-12.2</v>
      </c>
      <c r="H15" t="n">
        <v>129.5</v>
      </c>
      <c r="I15" t="e">
        <v>#N/A</v>
      </c>
      <c r="J15" t="e">
        <v>#N/A</v>
      </c>
      <c r="K15" t="e">
        <v>#N/A</v>
      </c>
      <c r="L15" t="s">
        <v>290</v>
      </c>
      <c r="M15" t="s">
        <v>276</v>
      </c>
      <c r="N15" t="n">
        <v>-36.27</v>
      </c>
      <c r="O15" t="n">
        <v>1</v>
      </c>
      <c r="P15" t="e">
        <v>#N/A</v>
      </c>
      <c r="Q15" t="e">
        <v>#N/A</v>
      </c>
      <c r="R15" s="11" t="n">
        <v>35.1</v>
      </c>
      <c r="S15" t="n">
        <v>0.4</v>
      </c>
      <c r="T15" t="e">
        <v>#N/A</v>
      </c>
      <c r="U15" t="e">
        <v>#N/A</v>
      </c>
      <c r="V15" s="11" t="s">
        <v>277</v>
      </c>
      <c r="W15" t="n">
        <v>1.25</v>
      </c>
      <c r="X15" t="e">
        <v>#N/A</v>
      </c>
      <c r="Y15" t="n">
        <v>0</v>
      </c>
      <c r="Z15" t="n">
        <v>2.5</v>
      </c>
      <c r="AA15" t="s">
        <v>278</v>
      </c>
      <c r="AB15" t="n">
        <v>9.5</v>
      </c>
      <c r="AC15" t="e">
        <v>#N/A</v>
      </c>
      <c r="AD15" t="n">
        <v>8</v>
      </c>
      <c r="AE15" t="n">
        <v>11</v>
      </c>
      <c r="AF15" t="n">
        <v>4.44587565327931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293</v>
      </c>
      <c r="B16" t="s">
        <v>271</v>
      </c>
      <c r="C16" t="s">
        <v>272</v>
      </c>
      <c r="D16" t="s">
        <v>273</v>
      </c>
      <c r="E16" t="s">
        <v>274</v>
      </c>
      <c r="F16" t="n">
        <v>42.15</v>
      </c>
      <c r="G16" t="n">
        <v>-12.2</v>
      </c>
      <c r="H16" t="n">
        <v>129.5</v>
      </c>
      <c r="I16" t="e">
        <v>#N/A</v>
      </c>
      <c r="J16" t="e">
        <v>#N/A</v>
      </c>
      <c r="K16" t="e">
        <v>#N/A</v>
      </c>
      <c r="L16" t="s">
        <v>290</v>
      </c>
      <c r="M16" t="s">
        <v>276</v>
      </c>
      <c r="N16" t="n">
        <v>-36.3375</v>
      </c>
      <c r="O16" t="n">
        <v>1</v>
      </c>
      <c r="P16" t="e">
        <v>#N/A</v>
      </c>
      <c r="Q16" t="e">
        <v>#N/A</v>
      </c>
      <c r="R16" s="11" t="n">
        <v>34.7</v>
      </c>
      <c r="S16" t="n">
        <v>0.4</v>
      </c>
      <c r="T16" t="e">
        <v>#N/A</v>
      </c>
      <c r="U16" t="e">
        <v>#N/A</v>
      </c>
      <c r="V16" s="11" t="s">
        <v>277</v>
      </c>
      <c r="W16" t="n">
        <v>1.25</v>
      </c>
      <c r="X16" t="e">
        <v>#N/A</v>
      </c>
      <c r="Y16" t="n">
        <v>0</v>
      </c>
      <c r="Z16" t="n">
        <v>2.5</v>
      </c>
      <c r="AA16" t="s">
        <v>278</v>
      </c>
      <c r="AB16" t="n">
        <v>9.5</v>
      </c>
      <c r="AC16" t="e">
        <v>#N/A</v>
      </c>
      <c r="AD16" t="n">
        <v>8</v>
      </c>
      <c r="AE16" t="n">
        <v>11</v>
      </c>
      <c r="AF16" t="n">
        <v>4.44587565327931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R17" s="11"/>
      <c r="V17" s="11"/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