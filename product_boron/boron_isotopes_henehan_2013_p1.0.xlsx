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9877E5FD-3C0E-E44C-B9C0-19E5A9566FFF}" xr6:coauthVersionLast="47" xr6:coauthVersionMax="47" xr10:uidLastSave="{00000000-0000-0000-0000-000000000000}"/>
  <bookViews>
    <workbookView xWindow="0" yWindow="56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5" i="1" l="1"/>
  <c r="I5" i="1"/>
  <c r="H6" i="1"/>
  <c r="I6" i="1"/>
  <c r="H7" i="1"/>
  <c r="I7" i="1"/>
  <c r="H8" i="1"/>
  <c r="I8" i="1"/>
  <c r="H9" i="1"/>
  <c r="I9" i="1"/>
  <c r="H10" i="1"/>
  <c r="I10" i="1"/>
  <c r="H11" i="1"/>
  <c r="I11" i="1"/>
  <c r="H12" i="1"/>
  <c r="I12" i="1"/>
  <c r="H13" i="1"/>
  <c r="I13" i="1"/>
  <c r="H14" i="1"/>
  <c r="I14" i="1"/>
  <c r="H15" i="1"/>
  <c r="I15" i="1"/>
  <c r="H16" i="1"/>
  <c r="I16" i="1"/>
  <c r="H17" i="1"/>
  <c r="I17" i="1"/>
  <c r="H18" i="1"/>
  <c r="I18" i="1"/>
  <c r="H19" i="1"/>
  <c r="I19" i="1"/>
  <c r="H20" i="1"/>
  <c r="I20" i="1"/>
  <c r="H21" i="1"/>
  <c r="I21" i="1"/>
  <c r="I4" i="1"/>
  <c r="AH21" i="1" l="1"/>
  <c r="AH20" i="1"/>
  <c r="AH19" i="1"/>
  <c r="AH18" i="1"/>
  <c r="AH17" i="1"/>
  <c r="AH16" i="1"/>
  <c r="AH15" i="1"/>
  <c r="AH14" i="1"/>
  <c r="AH13" i="1"/>
  <c r="AH12" i="1"/>
  <c r="AH11" i="1"/>
  <c r="AH10" i="1"/>
  <c r="AH9" i="1"/>
  <c r="AH8" i="1"/>
  <c r="AH7" i="1"/>
  <c r="AH6" i="1"/>
  <c r="AH5" i="1"/>
  <c r="AH4" i="1"/>
  <c r="G5" i="1"/>
  <c r="J5" i="1"/>
  <c r="K5" i="1"/>
  <c r="L5" i="1"/>
  <c r="G6" i="1"/>
  <c r="J6" i="1"/>
  <c r="K6" i="1"/>
  <c r="L6" i="1"/>
  <c r="G7" i="1"/>
  <c r="J7" i="1"/>
  <c r="K7" i="1"/>
  <c r="L7" i="1"/>
  <c r="G8" i="1"/>
  <c r="J8" i="1"/>
  <c r="K8" i="1"/>
  <c r="L8" i="1"/>
  <c r="G9" i="1"/>
  <c r="J9" i="1"/>
  <c r="K9" i="1"/>
  <c r="L9" i="1"/>
  <c r="G10" i="1"/>
  <c r="J10" i="1"/>
  <c r="K10" i="1"/>
  <c r="L10" i="1"/>
  <c r="G11" i="1"/>
  <c r="J11" i="1"/>
  <c r="K11" i="1"/>
  <c r="L11" i="1"/>
  <c r="G12" i="1"/>
  <c r="J12" i="1"/>
  <c r="K12" i="1"/>
  <c r="L12" i="1"/>
  <c r="G13" i="1"/>
  <c r="J13" i="1"/>
  <c r="K13" i="1"/>
  <c r="L13" i="1"/>
  <c r="G14" i="1"/>
  <c r="J14" i="1"/>
  <c r="K14" i="1"/>
  <c r="L14" i="1"/>
  <c r="G15" i="1"/>
  <c r="J15" i="1"/>
  <c r="K15" i="1"/>
  <c r="L15" i="1"/>
  <c r="G16" i="1"/>
  <c r="J16" i="1"/>
  <c r="K16" i="1"/>
  <c r="L16" i="1"/>
  <c r="G17" i="1"/>
  <c r="J17" i="1"/>
  <c r="K17" i="1"/>
  <c r="L17" i="1"/>
  <c r="G18" i="1"/>
  <c r="J18" i="1"/>
  <c r="K18" i="1"/>
  <c r="L18" i="1"/>
  <c r="G19" i="1"/>
  <c r="J19" i="1"/>
  <c r="K19" i="1"/>
  <c r="L19" i="1"/>
  <c r="G20" i="1"/>
  <c r="J20" i="1"/>
  <c r="K20" i="1"/>
  <c r="L20" i="1"/>
  <c r="G21" i="1"/>
  <c r="J21" i="1"/>
  <c r="K21" i="1"/>
  <c r="L21" i="1"/>
  <c r="G22" i="1"/>
  <c r="J22" i="1"/>
  <c r="K22" i="1"/>
  <c r="L22" i="1"/>
  <c r="G23" i="1"/>
  <c r="J23" i="1"/>
  <c r="K23" i="1"/>
  <c r="L23" i="1"/>
  <c r="G24" i="1"/>
  <c r="J24" i="1"/>
  <c r="K24" i="1"/>
  <c r="L24" i="1"/>
  <c r="G25" i="1"/>
  <c r="J25" i="1"/>
  <c r="K25" i="1"/>
  <c r="L25" i="1"/>
  <c r="G26" i="1"/>
  <c r="J26" i="1"/>
  <c r="K26" i="1"/>
  <c r="L26" i="1"/>
  <c r="G27" i="1"/>
  <c r="J27" i="1"/>
  <c r="K27" i="1"/>
  <c r="L27" i="1"/>
  <c r="G28" i="1"/>
  <c r="J28" i="1"/>
  <c r="K28" i="1"/>
  <c r="L28" i="1"/>
  <c r="G29" i="1"/>
  <c r="J29" i="1"/>
  <c r="K29" i="1"/>
  <c r="L29" i="1"/>
  <c r="G30" i="1"/>
  <c r="J30" i="1"/>
  <c r="K30" i="1"/>
  <c r="L30" i="1"/>
  <c r="G31" i="1"/>
  <c r="J31" i="1"/>
  <c r="K31" i="1"/>
  <c r="L31" i="1"/>
  <c r="G32" i="1"/>
  <c r="J32" i="1"/>
  <c r="K32" i="1"/>
  <c r="L32" i="1"/>
  <c r="G33" i="1"/>
  <c r="J33" i="1"/>
  <c r="K33" i="1"/>
  <c r="L33" i="1"/>
  <c r="G34" i="1"/>
  <c r="J34" i="1"/>
  <c r="K34" i="1"/>
  <c r="L34" i="1"/>
  <c r="K4" i="1" l="1"/>
  <c r="L4" i="1"/>
  <c r="J4" i="1"/>
  <c r="H4" i="1"/>
  <c r="G4" i="1"/>
</calcChain>
</file>

<file path=xl/sharedStrings.xml><?xml version="1.0" encoding="utf-8"?>
<sst xmlns="http://schemas.openxmlformats.org/spreadsheetml/2006/main" count="4038" uniqueCount="312">
  <si>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</si>
  <si>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</si>
  <si>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</si>
  <si>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</si>
  <si>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</si>
  <si>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</si>
  <si>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</si>
  <si>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</si>
  <si>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</si>
  <si>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</si>
  <si>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</si>
  <si>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</si>
  <si>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</si>
  <si>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</si>
  <si>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</si>
  <si>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</si>
  <si>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</si>
  <si>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</si>
  <si>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</si>
  <si>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</si>
  <si>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</si>
  <si>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</si>
  <si>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</si>
  <si>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</si>
  <si>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</si>
  <si>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</si>
  <si>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</si>
  <si>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</si>
  <si>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</si>
  <si>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</si>
  <si>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</si>
  <si>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</si>
  <si>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</si>
  <si>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</si>
  <si>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</si>
  <si>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</si>
  <si>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</si>
  <si>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</si>
  <si>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</si>
  <si>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</si>
  <si>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</si>
  <si>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</si>
  <si>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</si>
  <si>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</si>
  <si>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</si>
  <si>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</si>
  <si>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</si>
  <si>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</si>
  <si>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</si>
  <si>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</si>
  <si>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</si>
  <si>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</si>
  <si>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</si>
  <si>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</si>
  <si>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</si>
  <si>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</si>
  <si>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</si>
  <si>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</si>
  <si>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</si>
  <si>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</si>
  <si>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</si>
  <si>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</si>
  <si>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</si>
  <si>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</si>
  <si>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</si>
  <si>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</si>
  <si>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</si>
  <si>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</si>
  <si>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</si>
  <si>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</si>
  <si>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</si>
  <si>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</si>
  <si>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</si>
  <si>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</si>
  <si>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</si>
  <si>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</si>
  <si>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</si>
  <si>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</si>
  <si>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</si>
  <si>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</si>
  <si>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</si>
  <si>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</si>
  <si>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</si>
  <si>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</si>
  <si>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</si>
  <si>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</si>
  <si>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</si>
  <si>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</si>
  <si>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</si>
  <si>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</si>
  <si>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</si>
  <si>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</si>
  <si>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</si>
  <si>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</si>
  <si>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</si>
  <si>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</si>
  <si>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</si>
  <si>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</si>
  <si>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</si>
  <si>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</si>
  <si>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</si>
  <si>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</si>
  <si>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</si>
  <si>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</si>
  <si>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</si>
  <si>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</si>
  <si>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</si>
  <si>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</si>
  <si>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</si>
  <si>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</si>
  <si>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</si>
  <si>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</si>
  <si>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</si>
  <si>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</si>
  <si>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</si>
  <si>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</si>
  <si>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</si>
  <si>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</si>
  <si>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</si>
  <si>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</si>
  <si>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</si>
  <si>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</si>
  <si>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</si>
  <si>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</si>
  <si>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</si>
  <si>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</si>
  <si>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</si>
  <si>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</si>
  <si>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</si>
  <si>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</si>
  <si>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</si>
  <si>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</si>
  <si>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</si>
  <si>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</si>
  <si>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</si>
  <si>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</si>
  <si>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</si>
  <si>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</si>
  <si>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</si>
  <si>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</si>
  <si>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</si>
  <si>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</si>
  <si>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</si>
  <si>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</si>
  <si>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</si>
  <si>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</si>
  <si>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</si>
  <si>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</si>
  <si>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</si>
  <si>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</si>
  <si>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</si>
  <si>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</si>
  <si>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</si>
  <si>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</si>
  <si>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</si>
  <si>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</si>
  <si>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</si>
  <si>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</si>
  <si>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</si>
  <si>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</si>
  <si>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</si>
  <si>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</si>
  <si>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t>boron isotopes</t>
  </si>
  <si>
    <t>ODP 999</t>
  </si>
  <si>
    <t>A</t>
  </si>
  <si>
    <t>NA</t>
  </si>
  <si>
    <t>Carribbean</t>
  </si>
  <si>
    <t>set value</t>
  </si>
  <si>
    <t>none</t>
  </si>
  <si>
    <t>normal distribution</t>
  </si>
  <si>
    <t>total scale</t>
  </si>
  <si>
    <t>Michael Henehan</t>
  </si>
  <si>
    <t>henehan@gfz-potsdam.de</t>
  </si>
  <si>
    <t>Henehan</t>
  </si>
  <si>
    <t xml:space="preserve">10.1016/j.epsl.2012.12.029 </t>
  </si>
  <si>
    <t>10.1016/j.epsl.2012.12.029</t>
  </si>
  <si>
    <t>Henehan et al., 2013. Calibration of the boron isotope proxy in the planktonic foraminifera Globigerinoides ruber for use in palaeo-CO2 reconstruction. Earth Planet. Sci. Lett. 364; 111-122. Recalculated data originally generated by Foster (2008), EPSL</t>
  </si>
  <si>
    <t>n/a: all in first core section</t>
  </si>
  <si>
    <t>n/a, pleistocene age</t>
  </si>
  <si>
    <t>not applicable- absolute age from 14C</t>
  </si>
  <si>
    <t>Matthew Schmidt et al. 2006, G-cubed. Doi:10.1029/2005GC000957</t>
  </si>
  <si>
    <t xml:space="preserve">Globigerinoides ruber (ss) </t>
  </si>
  <si>
    <t>300-355</t>
  </si>
  <si>
    <t>~170</t>
  </si>
  <si>
    <t>1-3</t>
  </si>
  <si>
    <t>Ni et al. 2007. doi:10.1029/
2006PA001337.</t>
  </si>
  <si>
    <t>Column Chemistry</t>
  </si>
  <si>
    <t>MC-ICPMS</t>
  </si>
  <si>
    <t>20.62,20.71</t>
  </si>
  <si>
    <t>conservative long term reproducibility of standards</t>
  </si>
  <si>
    <t>York fit, factoring in error on datapoints</t>
  </si>
  <si>
    <t>Quadratic addition of York uncertainty and size fraction offset</t>
  </si>
  <si>
    <t>Henehan et al. 2013, EPSL 364, 111-122</t>
  </si>
  <si>
    <t>Shell size corrected from original culture line</t>
  </si>
  <si>
    <t>Uncertainty on δ11Bborate is a quadratic addition of measurement reproducibility and calibration uncertainty</t>
  </si>
  <si>
    <t>quadratic addition</t>
  </si>
  <si>
    <t>not applied</t>
  </si>
  <si>
    <t>set value; arbitrary uncertainty on oxygen derived temperature</t>
  </si>
  <si>
    <t>N/A : Use published d18O data</t>
  </si>
  <si>
    <r>
      <t>SSS =SSS</t>
    </r>
    <r>
      <rPr>
        <sz val="6"/>
        <color theme="1"/>
        <rFont val="AdvP4DF60E"/>
      </rPr>
      <t>modern +</t>
    </r>
    <r>
      <rPr>
        <sz val="8"/>
        <color theme="1"/>
        <rFont val="AdvMacMthSyN"/>
      </rPr>
      <t xml:space="preserve"> ∆</t>
    </r>
    <r>
      <rPr>
        <sz val="6"/>
        <color theme="1"/>
        <rFont val="AdvP4DF60E"/>
      </rPr>
      <t>sea-level/</t>
    </r>
    <r>
      <rPr>
        <sz val="8"/>
        <color theme="1"/>
        <rFont val="AdvP4DF60E"/>
      </rPr>
      <t>3800*34.8 ; following Hoenisch and Hemming 2005</t>
    </r>
  </si>
  <si>
    <t>modern</t>
  </si>
  <si>
    <t>NA- none applied</t>
  </si>
  <si>
    <t>set salinity value- uncertainty on B/Salinity relationship not included</t>
  </si>
  <si>
    <t>Lee et al 2010</t>
  </si>
  <si>
    <t>NA- no uncertainty on modern value applied</t>
  </si>
  <si>
    <t>Foster et al 2010</t>
  </si>
  <si>
    <t>Dickson 1990</t>
  </si>
  <si>
    <t xml:space="preserve">None applied, surface pressure </t>
  </si>
  <si>
    <t>none applied</t>
  </si>
  <si>
    <t>Klochko et al. (2006)</t>
  </si>
  <si>
    <t>co2sys.m; van Heuven et al 2011</t>
  </si>
  <si>
    <t>Henry's law, as of Weiss 1974, Zeebe Wolf-Gladrow 2001</t>
  </si>
  <si>
    <t>Lueker et al. 2000</t>
  </si>
  <si>
    <t>Total Alkalinity</t>
  </si>
  <si>
    <t>from Salinity, using regional relationship from GLODAP; TAlk = (SSS x 61.88) + 162.66</t>
  </si>
  <si>
    <t>Key et al 2004</t>
  </si>
  <si>
    <t xml:space="preserve">set value </t>
  </si>
  <si>
    <t>From Takahashi et al. (2009), adjusted to pre-industrial from Gloor 2003</t>
  </si>
  <si>
    <t>temperature, salinity, alkalinity, d11B analysis</t>
  </si>
  <si>
    <t xml:space="preserve">NA </t>
  </si>
  <si>
    <t>Recalculation of data originally published in Foster 2008</t>
  </si>
  <si>
    <t>21.01,20.72,20.62</t>
  </si>
  <si>
    <t>20.66, 20.52</t>
  </si>
  <si>
    <t>20.85,20.79</t>
  </si>
  <si>
    <r>
      <t>SSS =SSS</t>
    </r>
    <r>
      <rPr>
        <sz val="6"/>
        <color theme="1"/>
        <rFont val="AdvP4DF60E"/>
      </rPr>
      <t>modern +</t>
    </r>
    <r>
      <rPr>
        <sz val="8"/>
        <color theme="1"/>
        <rFont val="AdvMacMthSyN"/>
      </rPr>
      <t xml:space="preserve"> ∆</t>
    </r>
    <r>
      <rPr>
        <sz val="6"/>
        <color theme="1"/>
        <rFont val="AdvP4DF60E"/>
      </rPr>
      <t>sea-level/</t>
    </r>
    <r>
      <rPr>
        <sz val="8"/>
        <color theme="1"/>
        <rFont val="AdvP4DF60E"/>
      </rPr>
      <t>3800*34.8 ; following Hoenisch and Hemming 2005</t>
    </r>
    <r>
      <rPr>
        <sz val="11"/>
        <color theme="1"/>
        <rFont val="Calibri"/>
        <family val="2"/>
        <scheme val="minor"/>
      </rPr>
      <t/>
    </r>
  </si>
  <si>
    <t>20.71,20.73</t>
  </si>
  <si>
    <t>20.62,20.73</t>
  </si>
  <si>
    <t>20.96,20.89</t>
  </si>
  <si>
    <t>20.76,20.68</t>
  </si>
  <si>
    <t>21.07,20.88</t>
  </si>
  <si>
    <t>20.95,21.08</t>
  </si>
  <si>
    <t>21.09,21.21</t>
  </si>
  <si>
    <t>21,21.09</t>
  </si>
  <si>
    <t>21.71,21.79</t>
  </si>
  <si>
    <t>21.31,21.13,21.24</t>
  </si>
  <si>
    <t>21.15,21.37</t>
  </si>
  <si>
    <t>21.59,21.43</t>
  </si>
  <si>
    <t>21.55,21.7</t>
  </si>
  <si>
    <t>21.8,21.59</t>
  </si>
  <si>
    <t>GeoB1523</t>
  </si>
  <si>
    <t>n/a: all in one gravity core</t>
  </si>
  <si>
    <t>Equatorial Atlantic</t>
  </si>
  <si>
    <t>not known</t>
  </si>
  <si>
    <t>Based on correlation of d18O data</t>
  </si>
  <si>
    <t>Gingele, Franz; Kasten, Sabine; Mulitza, Stefan; Rühlemann, Carsten (2000): Age model and isotopes of sediment core GeoB1523-1. PANGAEA, https://doi.org/10.1594/PANGAEA.56532</t>
  </si>
  <si>
    <t>not known but likely ~170</t>
  </si>
  <si>
    <t>20.77,20.78</t>
  </si>
  <si>
    <t>set value applied for CO2 reconstruction</t>
  </si>
  <si>
    <t>percentage (3%) based conservatively on long term reproducibility</t>
  </si>
  <si>
    <r>
      <t>Mg/Ca</t>
    </r>
    <r>
      <rPr>
        <sz val="8"/>
        <color theme="1"/>
        <rFont val="AdvMacMthSyN"/>
      </rPr>
      <t>=</t>
    </r>
    <r>
      <rPr>
        <sz val="8"/>
        <color theme="1"/>
        <rFont val="AdvP4DF60E"/>
      </rPr>
      <t>0.38 x exp[SST</t>
    </r>
    <r>
      <rPr>
        <sz val="8"/>
        <color theme="1"/>
        <rFont val="AdvGulliver"/>
      </rPr>
      <t>*</t>
    </r>
    <r>
      <rPr>
        <sz val="8"/>
        <color theme="1"/>
        <rFont val="AdvP4DF60E"/>
      </rPr>
      <t xml:space="preserve">0.09] </t>
    </r>
  </si>
  <si>
    <t>Anand et al. (2003) Generic</t>
  </si>
  <si>
    <t>20.87,20.57</t>
  </si>
  <si>
    <t>20.96,20.98</t>
  </si>
  <si>
    <t>20.6,20.87</t>
  </si>
  <si>
    <t>21.26,21.31</t>
  </si>
  <si>
    <t>21.14,21.11</t>
  </si>
  <si>
    <t>21.29,21.36</t>
  </si>
  <si>
    <t>21.25,21.49</t>
  </si>
  <si>
    <t>21.19,21.11</t>
  </si>
  <si>
    <t>21.43,23.75</t>
  </si>
  <si>
    <t>20.79,21.2</t>
  </si>
  <si>
    <t>21.13,21.22</t>
  </si>
  <si>
    <t>20.73,20.62</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</si>
  <si>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</si>
  <si>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</si>
  <si>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</si>
  <si>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</si>
  <si>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</si>
  <si>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notes about uncertainty estimate: e.g., included calibration slope and intercept</t>
  </si>
  <si>
    <t xml:space="preserve">14C Age- absolute calendar age, Interpolation between 14C dates </t>
  </si>
  <si>
    <t>added age uncertainty in agreement with LR04</t>
  </si>
  <si>
    <t>added age uncertainty in agreement with LR05</t>
  </si>
  <si>
    <t>added age uncertainty in agreement with LR06</t>
  </si>
  <si>
    <t>added age uncertainty in agreement with LR07</t>
  </si>
  <si>
    <t>added age uncertainty in agreement with LR08</t>
  </si>
  <si>
    <t>added age uncertainty in agreement with LR09</t>
  </si>
  <si>
    <t>added age uncertainty in agreement with LR10</t>
  </si>
  <si>
    <t>added age uncertainty in agreement with LR11</t>
  </si>
  <si>
    <t>added age uncertainty in agreement with LR12</t>
  </si>
  <si>
    <t>added age uncertainty in agreement with LR13</t>
  </si>
  <si>
    <t>added age uncertainty in agreement with LR14</t>
  </si>
  <si>
    <t>added age uncertainty in agreement with LR15</t>
  </si>
  <si>
    <t>added age uncertainty in agreement with LR16</t>
  </si>
  <si>
    <t>adjusted to uncertainty reported in LR04</t>
  </si>
  <si>
    <t>adjusted to uncertainty reported in LR05</t>
  </si>
  <si>
    <t>adjusted to uncertainty reported in LR06</t>
  </si>
  <si>
    <t>adjusted to uncertainty reported in LR07</t>
  </si>
  <si>
    <t>adjusted to uncertainty reported in LR08</t>
  </si>
  <si>
    <t>adjusted to uncertainty reported in LR09</t>
  </si>
  <si>
    <t>adjusted to uncertainty reported in LR10</t>
  </si>
  <si>
    <t>adjusted to uncertainty reported in LR11</t>
  </si>
  <si>
    <t>adjusted to uncertainty reported in LR12</t>
  </si>
  <si>
    <t>adjusted to uncertainty reported in LR13</t>
  </si>
  <si>
    <t>adjusted to uncertainty reported in LR14</t>
  </si>
  <si>
    <t>adjusted to uncertainty reported in LR15</t>
  </si>
  <si>
    <t>adjusted to uncertainty reported in LR16</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</si>
  <si>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</si>
  <si>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</si>
  <si>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</si>
  <si>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</si>
  <si>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</si>
  <si>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</si>
  <si>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</si>
  <si>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</si>
  <si>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</si>
  <si>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</si>
  <si>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newer calculations published</t>
  </si>
  <si>
    <t>10.1016/j.epsl.2018.06.017</t>
  </si>
  <si>
    <t>CO2_uncertainty_neg_ppm</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</si>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</sst>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
    <numFmt numFmtId="167" formatCode="0.00000"/>
  </numFmts>
  <fonts count="43">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u/>
      <sz val="12"/>
      <color theme="10"/>
      <name val="Calibri"/>
      <family val="2"/>
      <scheme val="minor"/>
    </font>
    <font>
      <sz val="12"/>
      <color rgb="FF545454"/>
      <name val="Calibri"/>
      <family val="2"/>
      <scheme val="minor"/>
    </font>
    <font>
      <sz val="12"/>
      <name val="Calibri"/>
      <family val="2"/>
      <scheme val="minor"/>
    </font>
    <font>
      <sz val="12"/>
      <color indexed="63"/>
      <name val="Calibri"/>
      <family val="2"/>
      <scheme val="minor"/>
    </font>
    <font>
      <sz val="9"/>
      <name val="Arial"/>
      <family val="2"/>
    </font>
    <font>
      <sz val="10"/>
      <name val="Verdana"/>
      <family val="2"/>
    </font>
    <font>
      <sz val="12"/>
      <color theme="1"/>
      <name val="Calibri"/>
      <family val="2"/>
    </font>
    <font>
      <sz val="12"/>
      <color indexed="8"/>
      <name val="Arial"/>
      <family val="2"/>
    </font>
    <font>
      <sz val="12"/>
      <name val="Arial"/>
      <family val="2"/>
    </font>
    <font>
      <sz val="9"/>
      <name val="Geneva"/>
      <family val="2"/>
    </font>
    <font>
      <sz val="12"/>
      <color theme="1"/>
      <name val="Arial"/>
      <family val="2"/>
    </font>
    <font>
      <sz val="8"/>
      <color theme="1"/>
      <name val="AdvP4DF60E"/>
    </font>
    <font>
      <sz val="6"/>
      <color theme="1"/>
      <name val="AdvP4DF60E"/>
    </font>
    <font>
      <sz val="8"/>
      <color theme="1"/>
      <name val="AdvMacMthSyN"/>
    </font>
    <font>
      <sz val="8"/>
      <color theme="1"/>
      <name val="AdvGulliver"/>
    </font>
    <font>
      <sz val="13"/>
      <color rgb="FF000000"/>
      <name val="Helvetic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6" fillId="0" borderId="0" applyNumberFormat="0" applyFill="0" applyBorder="0" applyAlignment="0" applyProtection="0"/>
    <xf numFmtId="0" fontId="32" fillId="0" borderId="0"/>
  </cellStyleXfs>
  <cellXfs count="196">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Font="1" applyAlignment="1">
      <alignment horizontal="center" vertical="top"/>
    </xf>
    <xf numFmtId="0" fontId="27" fillId="0" borderId="0" xfId="1" applyFont="1" applyAlignment="1">
      <alignment horizontal="center" vertical="top"/>
    </xf>
    <xf numFmtId="0" fontId="0" fillId="0" borderId="0" xfId="0" applyFill="1" applyBorder="1"/>
    <xf numFmtId="0" fontId="0" fillId="0" borderId="0" xfId="0" applyFont="1" applyAlignment="1">
      <alignment vertical="top"/>
    </xf>
    <xf numFmtId="0" fontId="0" fillId="0" borderId="0" xfId="0" applyFont="1" applyAlignment="1">
      <alignment horizontal="right" vertical="top"/>
    </xf>
    <xf numFmtId="0" fontId="0" fillId="0" borderId="0" xfId="0" applyFont="1" applyAlignment="1">
      <alignment horizontal="left" vertical="top"/>
    </xf>
    <xf numFmtId="164" fontId="0" fillId="0" borderId="0" xfId="0" applyNumberFormat="1" applyFont="1" applyAlignment="1">
      <alignment horizontal="left" vertical="top"/>
    </xf>
    <xf numFmtId="165" fontId="0" fillId="0" borderId="0" xfId="0" applyNumberFormat="1" applyAlignment="1">
      <alignment horizontal="center" vertical="center"/>
    </xf>
    <xf numFmtId="0" fontId="0" fillId="0" borderId="0" xfId="0" quotePrefix="1" applyFont="1" applyAlignment="1">
      <alignment horizontal="right" vertical="top"/>
    </xf>
    <xf numFmtId="2" fontId="29" fillId="0" borderId="0" xfId="0" applyNumberFormat="1" applyFont="1" applyAlignment="1">
      <alignment horizontal="center" vertical="top"/>
    </xf>
    <xf numFmtId="2" fontId="0" fillId="0" borderId="0" xfId="0" quotePrefix="1" applyNumberFormat="1" applyFont="1" applyAlignment="1">
      <alignment horizontal="center" vertical="top"/>
    </xf>
    <xf numFmtId="2" fontId="31" fillId="0" borderId="0" xfId="0" applyNumberFormat="1" applyFont="1" applyFill="1" applyBorder="1" applyAlignment="1">
      <alignment horizontal="center"/>
    </xf>
    <xf numFmtId="0" fontId="0" fillId="0" borderId="0" xfId="0" applyAlignment="1">
      <alignment vertical="top"/>
    </xf>
    <xf numFmtId="0" fontId="0" fillId="0" borderId="0" xfId="0" applyFont="1" applyFill="1" applyAlignment="1">
      <alignment horizontal="right" vertical="top"/>
    </xf>
    <xf numFmtId="0" fontId="0" fillId="0" borderId="0" xfId="0" applyFont="1" applyFill="1" applyAlignment="1">
      <alignment horizontal="left" vertical="top"/>
    </xf>
    <xf numFmtId="166" fontId="0" fillId="0" borderId="0" xfId="0" applyNumberFormat="1" applyFont="1" applyFill="1" applyAlignment="1">
      <alignment horizontal="right" vertical="top"/>
    </xf>
    <xf numFmtId="167" fontId="0" fillId="0" borderId="0" xfId="0" applyNumberFormat="1" applyFont="1" applyFill="1" applyBorder="1" applyAlignment="1">
      <alignment vertical="top"/>
    </xf>
    <xf numFmtId="1" fontId="29" fillId="0" borderId="0" xfId="2" applyNumberFormat="1" applyFont="1" applyFill="1" applyBorder="1" applyAlignment="1">
      <alignment horizontal="center" vertical="top"/>
    </xf>
    <xf numFmtId="165" fontId="0" fillId="0" borderId="0" xfId="0" applyNumberFormat="1" applyFont="1" applyAlignment="1">
      <alignment horizontal="right" vertical="top"/>
    </xf>
    <xf numFmtId="0" fontId="0" fillId="0" borderId="0" xfId="0" applyFont="1" applyAlignment="1">
      <alignment horizontal="right"/>
    </xf>
    <xf numFmtId="0" fontId="29" fillId="0" borderId="0" xfId="0" applyFont="1" applyFill="1" applyBorder="1" applyAlignment="1">
      <alignment horizontal="center"/>
    </xf>
    <xf numFmtId="2" fontId="29" fillId="0" borderId="0" xfId="0" applyNumberFormat="1" applyFont="1" applyFill="1" applyBorder="1" applyAlignment="1">
      <alignment horizontal="center"/>
    </xf>
    <xf numFmtId="165" fontId="29" fillId="0" borderId="0" xfId="0" applyNumberFormat="1" applyFont="1" applyFill="1" applyBorder="1" applyAlignment="1">
      <alignment horizontal="center"/>
    </xf>
    <xf numFmtId="2" fontId="30" fillId="0" borderId="0" xfId="0" applyNumberFormat="1" applyFont="1" applyFill="1" applyBorder="1" applyAlignment="1">
      <alignment horizontal="center"/>
    </xf>
    <xf numFmtId="2" fontId="29" fillId="0" borderId="0" xfId="2" applyNumberFormat="1" applyFont="1" applyFill="1" applyBorder="1" applyAlignment="1">
      <alignment horizontal="center"/>
    </xf>
    <xf numFmtId="1" fontId="29" fillId="0" borderId="0" xfId="2" applyNumberFormat="1" applyFont="1" applyFill="1" applyBorder="1" applyAlignment="1">
      <alignment horizontal="center"/>
    </xf>
    <xf numFmtId="0" fontId="28" fillId="0" borderId="0" xfId="0" applyFont="1" applyAlignment="1">
      <alignment vertical="top"/>
    </xf>
    <xf numFmtId="0" fontId="0" fillId="0" borderId="0" xfId="0" applyAlignment="1"/>
    <xf numFmtId="0" fontId="0" fillId="0" borderId="0" xfId="0" applyFill="1" applyAlignment="1"/>
    <xf numFmtId="2" fontId="0" fillId="0" borderId="0" xfId="0" applyNumberFormat="1" applyAlignment="1"/>
    <xf numFmtId="2" fontId="29" fillId="0" borderId="0" xfId="0" applyNumberFormat="1" applyFont="1" applyBorder="1" applyAlignment="1"/>
    <xf numFmtId="0" fontId="26" fillId="0" borderId="0" xfId="1"/>
    <xf numFmtId="0" fontId="33" fillId="0" borderId="0" xfId="0" applyFont="1"/>
    <xf numFmtId="0" fontId="34" fillId="0" borderId="0" xfId="0" applyFont="1" applyAlignment="1">
      <alignment horizontal="center"/>
    </xf>
    <xf numFmtId="0" fontId="35" fillId="0" borderId="0" xfId="0" applyFont="1" applyAlignment="1">
      <alignment horizontal="center"/>
    </xf>
    <xf numFmtId="164" fontId="36" fillId="0" borderId="0" xfId="0" applyNumberFormat="1" applyFont="1"/>
    <xf numFmtId="0" fontId="0" fillId="0" borderId="0" xfId="0" applyAlignment="1">
      <alignment wrapText="1"/>
    </xf>
    <xf numFmtId="165" fontId="0" fillId="0" borderId="0" xfId="0" applyNumberFormat="1"/>
    <xf numFmtId="49" fontId="0" fillId="0" borderId="0" xfId="0" applyNumberFormat="1"/>
    <xf numFmtId="164" fontId="0" fillId="0" borderId="0" xfId="0" applyNumberFormat="1"/>
    <xf numFmtId="2" fontId="37" fillId="0" borderId="0" xfId="0" applyNumberFormat="1" applyFont="1" applyAlignment="1">
      <alignment horizontal="center"/>
    </xf>
    <xf numFmtId="0" fontId="37" fillId="0" borderId="0" xfId="0" applyFont="1" applyAlignment="1">
      <alignment horizontal="center"/>
    </xf>
    <xf numFmtId="0" fontId="38" fillId="0" borderId="0" xfId="0" applyFont="1"/>
    <xf numFmtId="1" fontId="37" fillId="0" borderId="0" xfId="0" applyNumberFormat="1" applyFont="1" applyAlignment="1">
      <alignment horizontal="center"/>
    </xf>
    <xf numFmtId="164" fontId="37" fillId="0" borderId="0" xfId="0" applyNumberFormat="1" applyFont="1" applyAlignment="1">
      <alignment horizontal="center"/>
    </xf>
    <xf numFmtId="1" fontId="0" fillId="0" borderId="0" xfId="0" applyNumberFormat="1"/>
    <xf numFmtId="1" fontId="35" fillId="0" borderId="0" xfId="0" applyNumberFormat="1" applyFont="1" applyAlignment="1">
      <alignment horizontal="center"/>
    </xf>
    <xf numFmtId="0" fontId="36" fillId="0" borderId="0" xfId="0" applyFont="1"/>
    <xf numFmtId="2" fontId="34" fillId="0" borderId="0" xfId="0" applyNumberFormat="1" applyFont="1" applyAlignment="1">
      <alignment horizontal="center"/>
    </xf>
    <xf numFmtId="0" fontId="33" fillId="0" borderId="0" xfId="0" applyFont="1" applyAlignment="1">
      <alignment horizontal="center"/>
    </xf>
    <xf numFmtId="2" fontId="35" fillId="0" borderId="0" xfId="0" applyNumberFormat="1" applyFont="1" applyAlignment="1">
      <alignment horizontal="center"/>
    </xf>
    <xf numFmtId="2" fontId="0" fillId="0" borderId="0" xfId="0" applyNumberFormat="1"/>
    <xf numFmtId="164" fontId="35" fillId="0" borderId="0" xfId="0" applyNumberFormat="1" applyFont="1" applyAlignment="1">
      <alignment horizontal="center"/>
    </xf>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0" fillId="0" borderId="0" xfId="0" applyFill="1"/>
    <xf numFmtId="0" fontId="0" fillId="0" borderId="0" xfId="0" applyAlignment="1">
      <alignment horizontal="center"/>
    </xf>
    <xf numFmtId="0" fontId="42" fillId="0" borderId="0" xfId="0" applyFont="1"/>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henehan@gfz-potsdam.de" TargetMode="External"/><Relationship Id="rId18" Type="http://schemas.openxmlformats.org/officeDocument/2006/relationships/hyperlink" Target="mailto:henehan@gfz-potsdam.de" TargetMode="External"/><Relationship Id="rId26" Type="http://schemas.openxmlformats.org/officeDocument/2006/relationships/hyperlink" Target="mailto:henehan@gfz-potsdam.de" TargetMode="External"/><Relationship Id="rId39" Type="http://schemas.openxmlformats.org/officeDocument/2006/relationships/hyperlink" Target="https://doi.org/10.1073/pnas.1702143114" TargetMode="External"/><Relationship Id="rId21" Type="http://schemas.openxmlformats.org/officeDocument/2006/relationships/hyperlink" Target="mailto:henehan@gfz-potsdam.de" TargetMode="External"/><Relationship Id="rId34" Type="http://schemas.openxmlformats.org/officeDocument/2006/relationships/hyperlink" Target="https://doi.org/10.1073/pnas.1702143114" TargetMode="External"/><Relationship Id="rId7" Type="http://schemas.openxmlformats.org/officeDocument/2006/relationships/hyperlink" Target="mailto:henehan@gfz-potsdam.de" TargetMode="External"/><Relationship Id="rId12" Type="http://schemas.openxmlformats.org/officeDocument/2006/relationships/hyperlink" Target="mailto:henehan@gfz-potsdam.de" TargetMode="External"/><Relationship Id="rId17" Type="http://schemas.openxmlformats.org/officeDocument/2006/relationships/hyperlink" Target="mailto:henehan@gfz-potsdam.de" TargetMode="External"/><Relationship Id="rId25" Type="http://schemas.openxmlformats.org/officeDocument/2006/relationships/hyperlink" Target="mailto:henehan@gfz-potsdam.de" TargetMode="External"/><Relationship Id="rId33" Type="http://schemas.openxmlformats.org/officeDocument/2006/relationships/hyperlink" Target="https://doi.org/10.1073/pnas.1702143114" TargetMode="External"/><Relationship Id="rId38" Type="http://schemas.openxmlformats.org/officeDocument/2006/relationships/hyperlink" Target="https://doi.org/10.1073/pnas.1702143114" TargetMode="External"/><Relationship Id="rId2" Type="http://schemas.openxmlformats.org/officeDocument/2006/relationships/hyperlink" Target="mailto:henehan@gfz-potsdam.de" TargetMode="External"/><Relationship Id="rId16" Type="http://schemas.openxmlformats.org/officeDocument/2006/relationships/hyperlink" Target="mailto:henehan@gfz-potsdam.de" TargetMode="External"/><Relationship Id="rId20" Type="http://schemas.openxmlformats.org/officeDocument/2006/relationships/hyperlink" Target="mailto:henehan@gfz-potsdam.de" TargetMode="External"/><Relationship Id="rId29" Type="http://schemas.openxmlformats.org/officeDocument/2006/relationships/hyperlink" Target="mailto:henehan@gfz-potsdam.de" TargetMode="External"/><Relationship Id="rId1" Type="http://schemas.openxmlformats.org/officeDocument/2006/relationships/hyperlink" Target="mailto:henehan@gfz-potsdam.de" TargetMode="External"/><Relationship Id="rId6" Type="http://schemas.openxmlformats.org/officeDocument/2006/relationships/hyperlink" Target="mailto:henehan@gfz-potsdam.de" TargetMode="External"/><Relationship Id="rId11" Type="http://schemas.openxmlformats.org/officeDocument/2006/relationships/hyperlink" Target="mailto:henehan@gfz-potsdam.de" TargetMode="External"/><Relationship Id="rId24" Type="http://schemas.openxmlformats.org/officeDocument/2006/relationships/hyperlink" Target="mailto:henehan@gfz-potsdam.de" TargetMode="External"/><Relationship Id="rId32" Type="http://schemas.openxmlformats.org/officeDocument/2006/relationships/hyperlink" Target="https://doi.org/10.1073/pnas.1702143114" TargetMode="External"/><Relationship Id="rId37" Type="http://schemas.openxmlformats.org/officeDocument/2006/relationships/hyperlink" Target="https://doi.org/10.1073/pnas.1702143114" TargetMode="External"/><Relationship Id="rId40" Type="http://schemas.openxmlformats.org/officeDocument/2006/relationships/hyperlink" Target="https://doi.org/10.1073/pnas.1702143114" TargetMode="External"/><Relationship Id="rId5" Type="http://schemas.openxmlformats.org/officeDocument/2006/relationships/hyperlink" Target="mailto:henehan@gfz-potsdam.de" TargetMode="External"/><Relationship Id="rId15" Type="http://schemas.openxmlformats.org/officeDocument/2006/relationships/hyperlink" Target="mailto:henehan@gfz-potsdam.de" TargetMode="External"/><Relationship Id="rId23" Type="http://schemas.openxmlformats.org/officeDocument/2006/relationships/hyperlink" Target="mailto:henehan@gfz-potsdam.de" TargetMode="External"/><Relationship Id="rId28" Type="http://schemas.openxmlformats.org/officeDocument/2006/relationships/hyperlink" Target="mailto:henehan@gfz-potsdam.de" TargetMode="External"/><Relationship Id="rId36" Type="http://schemas.openxmlformats.org/officeDocument/2006/relationships/hyperlink" Target="https://doi.org/10.1073/pnas.1702143114" TargetMode="External"/><Relationship Id="rId10" Type="http://schemas.openxmlformats.org/officeDocument/2006/relationships/hyperlink" Target="mailto:henehan@gfz-potsdam.de" TargetMode="External"/><Relationship Id="rId19" Type="http://schemas.openxmlformats.org/officeDocument/2006/relationships/hyperlink" Target="mailto:henehan@gfz-potsdam.de" TargetMode="External"/><Relationship Id="rId31" Type="http://schemas.openxmlformats.org/officeDocument/2006/relationships/hyperlink" Target="mailto:henehan@gfz-potsdam.de" TargetMode="External"/><Relationship Id="rId4" Type="http://schemas.openxmlformats.org/officeDocument/2006/relationships/hyperlink" Target="mailto:henehan@gfz-potsdam.de" TargetMode="External"/><Relationship Id="rId9" Type="http://schemas.openxmlformats.org/officeDocument/2006/relationships/hyperlink" Target="mailto:henehan@gfz-potsdam.de" TargetMode="External"/><Relationship Id="rId14" Type="http://schemas.openxmlformats.org/officeDocument/2006/relationships/hyperlink" Target="mailto:henehan@gfz-potsdam.de" TargetMode="External"/><Relationship Id="rId22" Type="http://schemas.openxmlformats.org/officeDocument/2006/relationships/hyperlink" Target="mailto:henehan@gfz-potsdam.de" TargetMode="External"/><Relationship Id="rId27" Type="http://schemas.openxmlformats.org/officeDocument/2006/relationships/hyperlink" Target="mailto:henehan@gfz-potsdam.de" TargetMode="External"/><Relationship Id="rId30" Type="http://schemas.openxmlformats.org/officeDocument/2006/relationships/hyperlink" Target="mailto:henehan@gfz-potsdam.de" TargetMode="External"/><Relationship Id="rId35" Type="http://schemas.openxmlformats.org/officeDocument/2006/relationships/hyperlink" Target="https://doi.org/10.1073/pnas.1702143114" TargetMode="External"/><Relationship Id="rId8" Type="http://schemas.openxmlformats.org/officeDocument/2006/relationships/hyperlink" Target="mailto:henehan@gfz-potsdam.de" TargetMode="External"/><Relationship Id="rId3" Type="http://schemas.openxmlformats.org/officeDocument/2006/relationships/hyperlink" Target="mailto:henehan@gfz-potsdam.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45"/>
  <sheetViews>
    <sheetView tabSelected="1" topLeftCell="E1" workbookViewId="0">
      <selection activeCell="N3" sqref="N3:O3"/>
    </sheetView>
  </sheetViews>
  <sheetFormatPr baseColWidth="10" defaultColWidth="8.83203125" defaultRowHeight="15"/>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c r="A2" s="1"/>
      <c r="B2" s="2"/>
      <c r="C2" s="2"/>
      <c r="D2" s="2"/>
      <c r="E2" s="2"/>
      <c r="F2" s="2"/>
      <c r="G2" s="2"/>
      <c r="H2" s="2"/>
      <c r="I2" s="2"/>
      <c r="J2" s="2"/>
      <c r="K2" s="2"/>
      <c r="L2" s="3"/>
      <c r="M2" s="4"/>
      <c r="N2" s="4"/>
      <c r="O2" s="4"/>
      <c r="P2" s="4"/>
      <c r="R2" s="5"/>
      <c r="S2" s="194"/>
      <c r="T2" s="194"/>
      <c r="U2" s="194"/>
      <c r="V2" s="194"/>
      <c r="W2" s="194"/>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c r="A3" s="6" t="s">
        <v>0</v>
      </c>
      <c r="B3" s="7" t="s">
        <v>1</v>
      </c>
      <c r="C3" s="8" t="s">
        <v>2</v>
      </c>
      <c r="D3" s="9" t="s">
        <v>3</v>
      </c>
      <c r="E3" s="9" t="s">
        <v>4</v>
      </c>
      <c r="F3" s="10" t="s">
        <v>5</v>
      </c>
      <c r="G3" s="10" t="s">
        <v>6</v>
      </c>
      <c r="H3" s="11" t="s">
        <v>7</v>
      </c>
      <c r="I3" s="11" t="s">
        <v>8</v>
      </c>
      <c r="J3" s="9" t="s">
        <v>296</v>
      </c>
      <c r="K3" s="11" t="s">
        <v>297</v>
      </c>
      <c r="L3" s="12" t="s">
        <v>308</v>
      </c>
      <c r="M3" s="13" t="s">
        <v>298</v>
      </c>
      <c r="N3" s="7" t="s">
        <v>310</v>
      </c>
      <c r="O3" s="7" t="s">
        <v>311</v>
      </c>
      <c r="P3" s="13" t="s">
        <v>299</v>
      </c>
      <c r="Q3" s="14" t="s">
        <v>300</v>
      </c>
      <c r="R3" s="15" t="s">
        <v>301</v>
      </c>
      <c r="S3" s="16" t="s">
        <v>302</v>
      </c>
      <c r="T3" s="13" t="s">
        <v>303</v>
      </c>
      <c r="U3" s="13" t="s">
        <v>9</v>
      </c>
      <c r="V3" s="13" t="s">
        <v>304</v>
      </c>
      <c r="W3" s="17" t="s">
        <v>305</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268</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265</v>
      </c>
      <c r="CV3" s="121" t="s">
        <v>266</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91" t="s">
        <v>133</v>
      </c>
      <c r="EU3" s="192" t="s">
        <v>134</v>
      </c>
      <c r="EV3" s="192" t="s">
        <v>135</v>
      </c>
      <c r="EW3" s="128" t="s">
        <v>136</v>
      </c>
      <c r="EX3" s="129" t="s">
        <v>62</v>
      </c>
      <c r="EY3" s="130" t="s">
        <v>263</v>
      </c>
      <c r="EZ3" s="131" t="s">
        <v>264</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267</v>
      </c>
      <c r="GC3" s="137" t="s">
        <v>161</v>
      </c>
    </row>
    <row r="4" spans="1:185" ht="16">
      <c r="A4" t="s">
        <v>171</v>
      </c>
      <c r="B4" s="169" t="s">
        <v>172</v>
      </c>
      <c r="C4" s="140" t="s">
        <v>162</v>
      </c>
      <c r="D4" t="s">
        <v>173</v>
      </c>
      <c r="E4">
        <v>2013</v>
      </c>
      <c r="F4" t="s">
        <v>174</v>
      </c>
      <c r="G4" s="189">
        <f>AS4</f>
        <v>3.915</v>
      </c>
      <c r="H4">
        <f>AU4</f>
        <v>3.5000000000000003E-2</v>
      </c>
      <c r="I4">
        <f>AV4</f>
        <v>3.5000000000000003E-2</v>
      </c>
      <c r="J4">
        <f>FL4</f>
        <v>282.06588649022501</v>
      </c>
      <c r="K4">
        <f t="shared" ref="K4:L4" si="0">FM4</f>
        <v>29</v>
      </c>
      <c r="L4">
        <f t="shared" si="0"/>
        <v>29</v>
      </c>
      <c r="M4" t="b">
        <v>1</v>
      </c>
      <c r="N4">
        <v>3</v>
      </c>
      <c r="O4" s="193" t="s">
        <v>306</v>
      </c>
      <c r="P4" s="193" t="s">
        <v>307</v>
      </c>
      <c r="Q4" t="b">
        <v>0</v>
      </c>
      <c r="R4" t="s">
        <v>165</v>
      </c>
      <c r="S4" t="b">
        <v>1</v>
      </c>
      <c r="T4" t="b">
        <v>0</v>
      </c>
      <c r="U4" t="s">
        <v>165</v>
      </c>
      <c r="V4" t="b">
        <v>0</v>
      </c>
      <c r="W4" t="b">
        <v>0</v>
      </c>
      <c r="X4" t="s">
        <v>165</v>
      </c>
      <c r="Y4" s="170" t="s">
        <v>176</v>
      </c>
      <c r="Z4" t="s">
        <v>174</v>
      </c>
      <c r="AA4" t="s">
        <v>163</v>
      </c>
      <c r="AB4" t="s">
        <v>164</v>
      </c>
      <c r="AC4">
        <v>1</v>
      </c>
      <c r="AD4">
        <v>1</v>
      </c>
      <c r="AE4">
        <v>4</v>
      </c>
      <c r="AF4">
        <v>5</v>
      </c>
      <c r="AG4" s="171">
        <v>0.05</v>
      </c>
      <c r="AH4">
        <f>AG4</f>
        <v>0.05</v>
      </c>
      <c r="AI4" t="s">
        <v>177</v>
      </c>
      <c r="AJ4" t="s">
        <v>166</v>
      </c>
      <c r="AK4" s="172">
        <v>12.75</v>
      </c>
      <c r="AL4" s="172">
        <v>-78.73</v>
      </c>
      <c r="AM4" s="172">
        <v>12.75</v>
      </c>
      <c r="AN4" s="172">
        <v>-78.73</v>
      </c>
      <c r="AO4" s="172">
        <v>-2827</v>
      </c>
      <c r="AP4" s="172">
        <v>-2827</v>
      </c>
      <c r="AQ4" t="s">
        <v>178</v>
      </c>
      <c r="AR4" t="s">
        <v>168</v>
      </c>
      <c r="AS4" s="173">
        <v>3.915</v>
      </c>
      <c r="AT4" s="174" t="s">
        <v>167</v>
      </c>
      <c r="AU4">
        <v>3.5000000000000003E-2</v>
      </c>
      <c r="AV4">
        <v>3.5000000000000003E-2</v>
      </c>
      <c r="AW4" t="s">
        <v>179</v>
      </c>
      <c r="AX4" t="s">
        <v>269</v>
      </c>
      <c r="AY4" s="175" t="s">
        <v>180</v>
      </c>
      <c r="AZ4" t="s">
        <v>165</v>
      </c>
      <c r="BA4" t="s">
        <v>165</v>
      </c>
      <c r="BB4" t="s">
        <v>165</v>
      </c>
      <c r="BC4" t="s">
        <v>165</v>
      </c>
      <c r="BD4" t="s">
        <v>165</v>
      </c>
      <c r="BE4" t="s">
        <v>165</v>
      </c>
      <c r="BF4" t="s">
        <v>165</v>
      </c>
      <c r="BG4" t="s">
        <v>181</v>
      </c>
      <c r="BH4" t="s">
        <v>182</v>
      </c>
      <c r="BI4" t="s">
        <v>183</v>
      </c>
      <c r="BJ4" s="176" t="s">
        <v>184</v>
      </c>
      <c r="BK4" t="s">
        <v>185</v>
      </c>
      <c r="BL4" t="s">
        <v>186</v>
      </c>
      <c r="BM4" t="s">
        <v>187</v>
      </c>
      <c r="BN4" t="s">
        <v>188</v>
      </c>
      <c r="BO4">
        <v>2</v>
      </c>
      <c r="BP4" s="177">
        <v>8.9999999999999858E-2</v>
      </c>
      <c r="BQ4" s="177">
        <v>20.664999999999999</v>
      </c>
      <c r="BR4" t="s">
        <v>189</v>
      </c>
      <c r="BS4">
        <v>0.25</v>
      </c>
      <c r="BT4">
        <v>0.6</v>
      </c>
      <c r="BU4" t="s">
        <v>190</v>
      </c>
      <c r="BV4" s="174">
        <v>0.08</v>
      </c>
      <c r="BW4">
        <v>8.8699999999999992</v>
      </c>
      <c r="BX4" t="s">
        <v>191</v>
      </c>
      <c r="BY4">
        <v>1.52</v>
      </c>
      <c r="BZ4" t="s">
        <v>192</v>
      </c>
      <c r="CA4" t="s">
        <v>193</v>
      </c>
      <c r="CB4" s="178">
        <v>19.626600544897382</v>
      </c>
      <c r="CC4" t="s">
        <v>169</v>
      </c>
      <c r="CD4" s="178">
        <v>0.35477580835992595</v>
      </c>
      <c r="CE4" t="s">
        <v>194</v>
      </c>
      <c r="CF4" t="s">
        <v>195</v>
      </c>
      <c r="CG4">
        <v>10</v>
      </c>
      <c r="CH4" t="s">
        <v>196</v>
      </c>
      <c r="CI4" t="s">
        <v>196</v>
      </c>
      <c r="CJ4" s="179">
        <v>28.23</v>
      </c>
      <c r="CK4" t="s">
        <v>197</v>
      </c>
      <c r="CL4">
        <v>1</v>
      </c>
      <c r="CM4">
        <v>1</v>
      </c>
      <c r="CN4" t="s">
        <v>198</v>
      </c>
      <c r="CO4" t="s">
        <v>165</v>
      </c>
      <c r="CP4" t="s">
        <v>165</v>
      </c>
      <c r="CQ4" t="s">
        <v>165</v>
      </c>
      <c r="CR4" t="s">
        <v>165</v>
      </c>
      <c r="CS4" t="s">
        <v>165</v>
      </c>
      <c r="CT4" t="s">
        <v>165</v>
      </c>
      <c r="CU4" t="s">
        <v>165</v>
      </c>
      <c r="CV4" t="s">
        <v>165</v>
      </c>
      <c r="CW4" t="s">
        <v>165</v>
      </c>
      <c r="CX4" t="s">
        <v>165</v>
      </c>
      <c r="CY4" t="s">
        <v>165</v>
      </c>
      <c r="CZ4" t="s">
        <v>165</v>
      </c>
      <c r="DA4" t="s">
        <v>165</v>
      </c>
      <c r="DB4" t="s">
        <v>165</v>
      </c>
      <c r="DC4" t="s">
        <v>165</v>
      </c>
      <c r="DD4" t="s">
        <v>165</v>
      </c>
      <c r="DE4" t="s">
        <v>165</v>
      </c>
      <c r="DF4" t="s">
        <v>165</v>
      </c>
      <c r="DG4" s="179">
        <v>35.5</v>
      </c>
      <c r="DH4" t="s">
        <v>167</v>
      </c>
      <c r="DI4">
        <v>1</v>
      </c>
      <c r="DJ4" s="180" t="s">
        <v>199</v>
      </c>
      <c r="DK4" t="s">
        <v>200</v>
      </c>
      <c r="DL4" t="s">
        <v>201</v>
      </c>
      <c r="DM4" t="s">
        <v>201</v>
      </c>
      <c r="DN4" t="s">
        <v>201</v>
      </c>
      <c r="DO4" t="s">
        <v>200</v>
      </c>
      <c r="DP4" t="s">
        <v>201</v>
      </c>
      <c r="DQ4" t="s">
        <v>201</v>
      </c>
      <c r="DR4" t="s">
        <v>201</v>
      </c>
      <c r="DS4" t="s">
        <v>200</v>
      </c>
      <c r="DT4" t="s">
        <v>201</v>
      </c>
      <c r="DU4" t="s">
        <v>201</v>
      </c>
      <c r="DV4" t="s">
        <v>201</v>
      </c>
      <c r="DW4" s="175">
        <v>438.7419056429232</v>
      </c>
      <c r="DX4" t="s">
        <v>202</v>
      </c>
      <c r="DY4" s="175">
        <v>12.358926919518979</v>
      </c>
      <c r="DZ4" t="s">
        <v>203</v>
      </c>
      <c r="EA4">
        <v>39.61</v>
      </c>
      <c r="EB4" t="s">
        <v>204</v>
      </c>
      <c r="EC4" t="s">
        <v>165</v>
      </c>
      <c r="ED4" t="s">
        <v>205</v>
      </c>
      <c r="EE4" t="s">
        <v>206</v>
      </c>
      <c r="EF4" t="s">
        <v>207</v>
      </c>
      <c r="EG4">
        <v>1.0271999999999999</v>
      </c>
      <c r="EH4" t="s">
        <v>208</v>
      </c>
      <c r="EI4" t="s">
        <v>208</v>
      </c>
      <c r="EJ4" t="s">
        <v>209</v>
      </c>
      <c r="EK4" t="s">
        <v>208</v>
      </c>
      <c r="EL4" t="s">
        <v>208</v>
      </c>
      <c r="EM4" t="s">
        <v>210</v>
      </c>
      <c r="EN4" t="s">
        <v>211</v>
      </c>
      <c r="EO4" t="s">
        <v>212</v>
      </c>
      <c r="EP4" t="s">
        <v>212</v>
      </c>
      <c r="EQ4" t="s">
        <v>206</v>
      </c>
      <c r="ER4" t="s">
        <v>165</v>
      </c>
      <c r="ES4" t="s">
        <v>165</v>
      </c>
      <c r="ET4" t="s">
        <v>213</v>
      </c>
      <c r="EU4" t="s">
        <v>214</v>
      </c>
      <c r="EV4" t="s">
        <v>215</v>
      </c>
      <c r="EW4" s="181">
        <v>2330.2894999999999</v>
      </c>
      <c r="EX4" t="s">
        <v>216</v>
      </c>
      <c r="EY4">
        <v>100</v>
      </c>
      <c r="EZ4">
        <v>100</v>
      </c>
      <c r="FA4" t="s">
        <v>165</v>
      </c>
      <c r="FB4" t="s">
        <v>165</v>
      </c>
      <c r="FC4" t="s">
        <v>165</v>
      </c>
      <c r="FD4" t="s">
        <v>165</v>
      </c>
      <c r="FE4" s="182">
        <v>8.1452456421902397</v>
      </c>
      <c r="FF4" s="178" t="s">
        <v>170</v>
      </c>
      <c r="FG4" s="178">
        <v>2.8146654816480599E-2</v>
      </c>
      <c r="FH4" s="178">
        <v>2.8146654816480599E-2</v>
      </c>
      <c r="FI4" s="183">
        <v>303.06588649022501</v>
      </c>
      <c r="FJ4" s="178">
        <v>21</v>
      </c>
      <c r="FK4" t="s">
        <v>217</v>
      </c>
      <c r="FL4" s="184">
        <v>282.06588649022501</v>
      </c>
      <c r="FM4">
        <v>29</v>
      </c>
      <c r="FN4">
        <v>29</v>
      </c>
      <c r="FO4" t="s">
        <v>195</v>
      </c>
      <c r="FP4" t="s">
        <v>218</v>
      </c>
      <c r="FQ4" t="s">
        <v>219</v>
      </c>
      <c r="FR4" t="s">
        <v>219</v>
      </c>
      <c r="FS4" t="s">
        <v>219</v>
      </c>
      <c r="FT4" t="s">
        <v>219</v>
      </c>
      <c r="FU4" t="s">
        <v>219</v>
      </c>
      <c r="FV4" t="s">
        <v>219</v>
      </c>
      <c r="FW4" t="s">
        <v>219</v>
      </c>
      <c r="FX4" t="s">
        <v>219</v>
      </c>
      <c r="FY4" t="s">
        <v>219</v>
      </c>
      <c r="FZ4" t="s">
        <v>219</v>
      </c>
      <c r="GA4" t="s">
        <v>219</v>
      </c>
      <c r="GB4" t="s">
        <v>219</v>
      </c>
      <c r="GC4" t="s">
        <v>220</v>
      </c>
    </row>
    <row r="5" spans="1:185" ht="16">
      <c r="A5" t="s">
        <v>171</v>
      </c>
      <c r="B5" s="169" t="s">
        <v>172</v>
      </c>
      <c r="C5" s="140" t="s">
        <v>162</v>
      </c>
      <c r="D5" t="s">
        <v>173</v>
      </c>
      <c r="E5">
        <v>2013</v>
      </c>
      <c r="F5" t="s">
        <v>174</v>
      </c>
      <c r="G5" s="189">
        <f t="shared" ref="G5:G34" si="1">AS5</f>
        <v>4.63</v>
      </c>
      <c r="H5">
        <f t="shared" ref="H5:H21" si="2">AU5</f>
        <v>3.5000000000000003E-2</v>
      </c>
      <c r="I5">
        <f t="shared" ref="I5:I21" si="3">AV5</f>
        <v>3.5000000000000003E-2</v>
      </c>
      <c r="J5">
        <f t="shared" ref="J5:J34" si="4">FL5</f>
        <v>265.163500374698</v>
      </c>
      <c r="K5">
        <f t="shared" ref="K5:K34" si="5">FM5</f>
        <v>29</v>
      </c>
      <c r="L5">
        <f t="shared" ref="L5:L34" si="6">FN5</f>
        <v>29</v>
      </c>
      <c r="M5" t="b">
        <v>1</v>
      </c>
      <c r="N5">
        <v>3</v>
      </c>
      <c r="O5" s="193" t="s">
        <v>306</v>
      </c>
      <c r="P5" s="193" t="s">
        <v>307</v>
      </c>
      <c r="Q5" t="b">
        <v>0</v>
      </c>
      <c r="R5" t="s">
        <v>165</v>
      </c>
      <c r="S5" t="b">
        <v>1</v>
      </c>
      <c r="T5" t="b">
        <v>0</v>
      </c>
      <c r="U5" t="s">
        <v>165</v>
      </c>
      <c r="V5" t="b">
        <v>0</v>
      </c>
      <c r="W5" t="b">
        <v>0</v>
      </c>
      <c r="X5" t="s">
        <v>165</v>
      </c>
      <c r="Y5" s="170" t="s">
        <v>176</v>
      </c>
      <c r="Z5" t="s">
        <v>174</v>
      </c>
      <c r="AA5" t="s">
        <v>163</v>
      </c>
      <c r="AB5" t="s">
        <v>164</v>
      </c>
      <c r="AC5">
        <v>1</v>
      </c>
      <c r="AD5">
        <v>1</v>
      </c>
      <c r="AE5" s="183">
        <v>10</v>
      </c>
      <c r="AF5">
        <v>12</v>
      </c>
      <c r="AG5" s="171">
        <v>0.11</v>
      </c>
      <c r="AH5">
        <f t="shared" ref="AH5:AH21" si="7">AG5</f>
        <v>0.11</v>
      </c>
      <c r="AI5" t="s">
        <v>177</v>
      </c>
      <c r="AJ5" t="s">
        <v>166</v>
      </c>
      <c r="AK5" s="172">
        <v>12.75</v>
      </c>
      <c r="AL5" s="172">
        <v>-78.73</v>
      </c>
      <c r="AM5" s="172">
        <v>12.75</v>
      </c>
      <c r="AN5" s="172">
        <v>-78.73</v>
      </c>
      <c r="AO5" s="172">
        <v>-2827</v>
      </c>
      <c r="AP5" s="172">
        <v>-2827</v>
      </c>
      <c r="AQ5" t="s">
        <v>178</v>
      </c>
      <c r="AR5" t="s">
        <v>168</v>
      </c>
      <c r="AS5" s="173">
        <v>4.63</v>
      </c>
      <c r="AT5" s="174" t="s">
        <v>167</v>
      </c>
      <c r="AU5">
        <v>3.5000000000000003E-2</v>
      </c>
      <c r="AV5">
        <v>3.5000000000000003E-2</v>
      </c>
      <c r="AW5" t="s">
        <v>179</v>
      </c>
      <c r="AX5" t="s">
        <v>269</v>
      </c>
      <c r="AY5" s="175" t="s">
        <v>180</v>
      </c>
      <c r="AZ5" t="s">
        <v>165</v>
      </c>
      <c r="BA5" t="s">
        <v>165</v>
      </c>
      <c r="BB5" t="s">
        <v>165</v>
      </c>
      <c r="BC5" t="s">
        <v>165</v>
      </c>
      <c r="BD5" t="s">
        <v>165</v>
      </c>
      <c r="BE5" t="s">
        <v>165</v>
      </c>
      <c r="BF5" t="s">
        <v>165</v>
      </c>
      <c r="BG5" t="s">
        <v>181</v>
      </c>
      <c r="BH5" t="s">
        <v>182</v>
      </c>
      <c r="BI5" t="s">
        <v>183</v>
      </c>
      <c r="BJ5" s="176" t="s">
        <v>184</v>
      </c>
      <c r="BK5" t="s">
        <v>185</v>
      </c>
      <c r="BL5" t="s">
        <v>186</v>
      </c>
      <c r="BM5" t="s">
        <v>187</v>
      </c>
      <c r="BN5" t="s">
        <v>221</v>
      </c>
      <c r="BO5">
        <v>3</v>
      </c>
      <c r="BP5" s="177">
        <v>0.23390406390465188</v>
      </c>
      <c r="BQ5" s="177">
        <v>20.783333333333335</v>
      </c>
      <c r="BR5" t="s">
        <v>189</v>
      </c>
      <c r="BS5">
        <v>0.25</v>
      </c>
      <c r="BT5">
        <v>0.6</v>
      </c>
      <c r="BU5" t="s">
        <v>190</v>
      </c>
      <c r="BV5" s="174">
        <v>0.08</v>
      </c>
      <c r="BW5">
        <v>8.8699999999999992</v>
      </c>
      <c r="BX5" t="s">
        <v>191</v>
      </c>
      <c r="BY5">
        <v>1.52</v>
      </c>
      <c r="BZ5" t="s">
        <v>192</v>
      </c>
      <c r="CA5" t="s">
        <v>193</v>
      </c>
      <c r="CB5" s="178">
        <v>19.816971713810322</v>
      </c>
      <c r="CC5" t="s">
        <v>169</v>
      </c>
      <c r="CD5" s="178">
        <v>0.37476990742491167</v>
      </c>
      <c r="CE5" t="s">
        <v>194</v>
      </c>
      <c r="CF5" t="s">
        <v>195</v>
      </c>
      <c r="CG5">
        <v>10</v>
      </c>
      <c r="CH5" t="s">
        <v>196</v>
      </c>
      <c r="CI5" t="s">
        <v>196</v>
      </c>
      <c r="CJ5" s="178">
        <v>28.438541993869077</v>
      </c>
      <c r="CK5" t="s">
        <v>197</v>
      </c>
      <c r="CL5">
        <v>1</v>
      </c>
      <c r="CM5">
        <v>1</v>
      </c>
      <c r="CN5" t="s">
        <v>198</v>
      </c>
      <c r="CO5" t="s">
        <v>165</v>
      </c>
      <c r="CP5" t="s">
        <v>165</v>
      </c>
      <c r="CQ5" t="s">
        <v>165</v>
      </c>
      <c r="CR5" t="s">
        <v>165</v>
      </c>
      <c r="CS5" t="s">
        <v>165</v>
      </c>
      <c r="CT5" t="s">
        <v>165</v>
      </c>
      <c r="CU5" t="s">
        <v>165</v>
      </c>
      <c r="CV5" t="s">
        <v>165</v>
      </c>
      <c r="CW5" t="s">
        <v>165</v>
      </c>
      <c r="CX5" t="s">
        <v>165</v>
      </c>
      <c r="CY5" t="s">
        <v>165</v>
      </c>
      <c r="CZ5" t="s">
        <v>165</v>
      </c>
      <c r="DA5" t="s">
        <v>165</v>
      </c>
      <c r="DB5" t="s">
        <v>165</v>
      </c>
      <c r="DC5" t="s">
        <v>165</v>
      </c>
      <c r="DD5" t="s">
        <v>165</v>
      </c>
      <c r="DE5" t="s">
        <v>165</v>
      </c>
      <c r="DF5" t="s">
        <v>165</v>
      </c>
      <c r="DG5" s="179">
        <v>35</v>
      </c>
      <c r="DH5" t="s">
        <v>167</v>
      </c>
      <c r="DI5">
        <v>1</v>
      </c>
      <c r="DJ5" s="180" t="s">
        <v>199</v>
      </c>
      <c r="DK5" t="s">
        <v>200</v>
      </c>
      <c r="DL5" t="s">
        <v>201</v>
      </c>
      <c r="DM5" t="s">
        <v>201</v>
      </c>
      <c r="DN5" t="s">
        <v>201</v>
      </c>
      <c r="DO5" t="s">
        <v>200</v>
      </c>
      <c r="DP5" t="s">
        <v>201</v>
      </c>
      <c r="DQ5" t="s">
        <v>201</v>
      </c>
      <c r="DR5" t="s">
        <v>201</v>
      </c>
      <c r="DS5" t="s">
        <v>200</v>
      </c>
      <c r="DT5" t="s">
        <v>201</v>
      </c>
      <c r="DU5" t="s">
        <v>201</v>
      </c>
      <c r="DV5" t="s">
        <v>201</v>
      </c>
      <c r="DW5" s="175">
        <v>432.5624421831638</v>
      </c>
      <c r="DX5" t="s">
        <v>202</v>
      </c>
      <c r="DY5" s="175">
        <v>12.358926919519092</v>
      </c>
      <c r="DZ5" t="s">
        <v>203</v>
      </c>
      <c r="EA5">
        <v>39.61</v>
      </c>
      <c r="EB5" t="s">
        <v>204</v>
      </c>
      <c r="EC5" t="s">
        <v>165</v>
      </c>
      <c r="ED5" t="s">
        <v>205</v>
      </c>
      <c r="EE5" t="s">
        <v>206</v>
      </c>
      <c r="EF5" t="s">
        <v>207</v>
      </c>
      <c r="EG5">
        <v>1.0271999999999999</v>
      </c>
      <c r="EH5" t="s">
        <v>208</v>
      </c>
      <c r="EI5" t="s">
        <v>208</v>
      </c>
      <c r="EJ5" t="s">
        <v>209</v>
      </c>
      <c r="EK5" t="s">
        <v>208</v>
      </c>
      <c r="EL5" t="s">
        <v>208</v>
      </c>
      <c r="EM5" t="s">
        <v>210</v>
      </c>
      <c r="EN5" t="s">
        <v>211</v>
      </c>
      <c r="EO5" t="s">
        <v>212</v>
      </c>
      <c r="EP5" t="s">
        <v>212</v>
      </c>
      <c r="EQ5" t="s">
        <v>206</v>
      </c>
      <c r="ER5" t="s">
        <v>165</v>
      </c>
      <c r="ES5" t="s">
        <v>165</v>
      </c>
      <c r="ET5" t="s">
        <v>213</v>
      </c>
      <c r="EU5" t="s">
        <v>214</v>
      </c>
      <c r="EV5" t="s">
        <v>215</v>
      </c>
      <c r="EW5" s="181">
        <v>2300.6949999999997</v>
      </c>
      <c r="EX5" t="s">
        <v>216</v>
      </c>
      <c r="EY5">
        <v>100</v>
      </c>
      <c r="EZ5">
        <v>100</v>
      </c>
      <c r="FA5" t="s">
        <v>165</v>
      </c>
      <c r="FB5" t="s">
        <v>165</v>
      </c>
      <c r="FC5" t="s">
        <v>165</v>
      </c>
      <c r="FD5" t="s">
        <v>165</v>
      </c>
      <c r="FE5" s="182">
        <v>8.1603306886910456</v>
      </c>
      <c r="FF5" s="178" t="s">
        <v>170</v>
      </c>
      <c r="FG5" s="178">
        <v>2.9281080138795268E-2</v>
      </c>
      <c r="FH5" s="178">
        <v>2.9281080138795268E-2</v>
      </c>
      <c r="FI5" s="183">
        <v>286.163500374698</v>
      </c>
      <c r="FJ5" s="178">
        <v>21</v>
      </c>
      <c r="FK5" t="s">
        <v>217</v>
      </c>
      <c r="FL5" s="184">
        <v>265.163500374698</v>
      </c>
      <c r="FM5">
        <v>29</v>
      </c>
      <c r="FN5">
        <v>29</v>
      </c>
      <c r="FO5" t="s">
        <v>195</v>
      </c>
      <c r="FP5" t="s">
        <v>218</v>
      </c>
      <c r="FQ5" t="s">
        <v>219</v>
      </c>
      <c r="FR5" t="s">
        <v>219</v>
      </c>
      <c r="FS5" t="s">
        <v>219</v>
      </c>
      <c r="FT5" t="s">
        <v>219</v>
      </c>
      <c r="FU5" t="s">
        <v>219</v>
      </c>
      <c r="FV5" t="s">
        <v>219</v>
      </c>
      <c r="FW5" t="s">
        <v>219</v>
      </c>
      <c r="FX5" t="s">
        <v>219</v>
      </c>
      <c r="FY5" t="s">
        <v>219</v>
      </c>
      <c r="FZ5" t="s">
        <v>219</v>
      </c>
      <c r="GA5" t="s">
        <v>219</v>
      </c>
      <c r="GB5" t="s">
        <v>219</v>
      </c>
      <c r="GC5" t="s">
        <v>220</v>
      </c>
    </row>
    <row r="6" spans="1:185" ht="16">
      <c r="A6" t="s">
        <v>171</v>
      </c>
      <c r="B6" s="169" t="s">
        <v>172</v>
      </c>
      <c r="C6" s="140" t="s">
        <v>162</v>
      </c>
      <c r="D6" t="s">
        <v>173</v>
      </c>
      <c r="E6">
        <v>2013</v>
      </c>
      <c r="F6" t="s">
        <v>174</v>
      </c>
      <c r="G6" s="189">
        <f t="shared" si="1"/>
        <v>5.0250000000000004</v>
      </c>
      <c r="H6">
        <f t="shared" si="2"/>
        <v>3.5000000000000003E-2</v>
      </c>
      <c r="I6">
        <f t="shared" si="3"/>
        <v>3.5000000000000003E-2</v>
      </c>
      <c r="J6">
        <f t="shared" si="4"/>
        <v>283.45911912948401</v>
      </c>
      <c r="K6">
        <f t="shared" si="5"/>
        <v>29</v>
      </c>
      <c r="L6">
        <f t="shared" si="6"/>
        <v>29</v>
      </c>
      <c r="M6" t="b">
        <v>1</v>
      </c>
      <c r="N6">
        <v>3</v>
      </c>
      <c r="O6" s="193" t="s">
        <v>306</v>
      </c>
      <c r="P6" s="193" t="s">
        <v>307</v>
      </c>
      <c r="Q6" t="b">
        <v>0</v>
      </c>
      <c r="R6" t="s">
        <v>165</v>
      </c>
      <c r="S6" t="b">
        <v>1</v>
      </c>
      <c r="T6" t="b">
        <v>0</v>
      </c>
      <c r="U6" t="s">
        <v>165</v>
      </c>
      <c r="V6" t="b">
        <v>0</v>
      </c>
      <c r="W6" t="b">
        <v>0</v>
      </c>
      <c r="X6" t="s">
        <v>165</v>
      </c>
      <c r="Y6" s="170" t="s">
        <v>176</v>
      </c>
      <c r="Z6" t="s">
        <v>174</v>
      </c>
      <c r="AA6" t="s">
        <v>163</v>
      </c>
      <c r="AB6" t="s">
        <v>164</v>
      </c>
      <c r="AC6">
        <v>1</v>
      </c>
      <c r="AD6">
        <v>1</v>
      </c>
      <c r="AE6">
        <v>14</v>
      </c>
      <c r="AF6">
        <v>15</v>
      </c>
      <c r="AG6" s="171">
        <v>0.15</v>
      </c>
      <c r="AH6">
        <f t="shared" si="7"/>
        <v>0.15</v>
      </c>
      <c r="AI6" t="s">
        <v>177</v>
      </c>
      <c r="AJ6" t="s">
        <v>166</v>
      </c>
      <c r="AK6" s="172">
        <v>12.75</v>
      </c>
      <c r="AL6" s="172">
        <v>-78.73</v>
      </c>
      <c r="AM6" s="172">
        <v>12.75</v>
      </c>
      <c r="AN6" s="172">
        <v>-78.73</v>
      </c>
      <c r="AO6" s="172">
        <v>-2827</v>
      </c>
      <c r="AP6" s="172">
        <v>-2827</v>
      </c>
      <c r="AQ6" t="s">
        <v>178</v>
      </c>
      <c r="AR6" t="s">
        <v>168</v>
      </c>
      <c r="AS6" s="173">
        <v>5.0250000000000004</v>
      </c>
      <c r="AT6" s="174" t="s">
        <v>167</v>
      </c>
      <c r="AU6">
        <v>3.5000000000000003E-2</v>
      </c>
      <c r="AV6">
        <v>3.5000000000000003E-2</v>
      </c>
      <c r="AW6" t="s">
        <v>179</v>
      </c>
      <c r="AX6" t="s">
        <v>269</v>
      </c>
      <c r="AY6" s="175" t="s">
        <v>180</v>
      </c>
      <c r="AZ6" t="s">
        <v>165</v>
      </c>
      <c r="BA6" t="s">
        <v>165</v>
      </c>
      <c r="BB6" t="s">
        <v>165</v>
      </c>
      <c r="BC6" t="s">
        <v>165</v>
      </c>
      <c r="BD6" t="s">
        <v>165</v>
      </c>
      <c r="BE6" t="s">
        <v>165</v>
      </c>
      <c r="BF6" t="s">
        <v>165</v>
      </c>
      <c r="BG6" t="s">
        <v>181</v>
      </c>
      <c r="BH6" t="s">
        <v>182</v>
      </c>
      <c r="BI6" t="s">
        <v>183</v>
      </c>
      <c r="BJ6" s="176" t="s">
        <v>184</v>
      </c>
      <c r="BK6" t="s">
        <v>185</v>
      </c>
      <c r="BL6" t="s">
        <v>186</v>
      </c>
      <c r="BM6" t="s">
        <v>187</v>
      </c>
      <c r="BN6" t="s">
        <v>222</v>
      </c>
      <c r="BO6">
        <v>2</v>
      </c>
      <c r="BP6" s="177">
        <v>0.14000000000000054</v>
      </c>
      <c r="BQ6" s="177">
        <v>20.59</v>
      </c>
      <c r="BR6" t="s">
        <v>189</v>
      </c>
      <c r="BS6">
        <v>0.25</v>
      </c>
      <c r="BT6">
        <v>0.6</v>
      </c>
      <c r="BU6" t="s">
        <v>190</v>
      </c>
      <c r="BV6" s="174">
        <v>0.08</v>
      </c>
      <c r="BW6">
        <v>8.8699999999999992</v>
      </c>
      <c r="BX6" t="s">
        <v>191</v>
      </c>
      <c r="BY6">
        <v>1.52</v>
      </c>
      <c r="BZ6" t="s">
        <v>192</v>
      </c>
      <c r="CA6" t="s">
        <v>193</v>
      </c>
      <c r="CB6" s="178">
        <v>19.507507035844931</v>
      </c>
      <c r="CC6" t="s">
        <v>169</v>
      </c>
      <c r="CD6" s="178">
        <v>0.34279484215512912</v>
      </c>
      <c r="CE6" t="s">
        <v>194</v>
      </c>
      <c r="CF6" t="s">
        <v>195</v>
      </c>
      <c r="CG6">
        <v>10</v>
      </c>
      <c r="CH6" t="s">
        <v>196</v>
      </c>
      <c r="CI6" t="s">
        <v>196</v>
      </c>
      <c r="CJ6" s="178">
        <v>27.772141513184092</v>
      </c>
      <c r="CK6" t="s">
        <v>197</v>
      </c>
      <c r="CL6">
        <v>1</v>
      </c>
      <c r="CM6">
        <v>1</v>
      </c>
      <c r="CN6" t="s">
        <v>198</v>
      </c>
      <c r="CO6" t="s">
        <v>165</v>
      </c>
      <c r="CP6" t="s">
        <v>165</v>
      </c>
      <c r="CQ6" t="s">
        <v>165</v>
      </c>
      <c r="CR6" t="s">
        <v>165</v>
      </c>
      <c r="CS6" t="s">
        <v>165</v>
      </c>
      <c r="CT6" t="s">
        <v>165</v>
      </c>
      <c r="CU6" t="s">
        <v>165</v>
      </c>
      <c r="CV6" t="s">
        <v>165</v>
      </c>
      <c r="CW6" t="s">
        <v>165</v>
      </c>
      <c r="CX6" t="s">
        <v>165</v>
      </c>
      <c r="CY6" t="s">
        <v>165</v>
      </c>
      <c r="CZ6" t="s">
        <v>165</v>
      </c>
      <c r="DA6" t="s">
        <v>165</v>
      </c>
      <c r="DB6" t="s">
        <v>165</v>
      </c>
      <c r="DC6" t="s">
        <v>165</v>
      </c>
      <c r="DD6" t="s">
        <v>165</v>
      </c>
      <c r="DE6" t="s">
        <v>165</v>
      </c>
      <c r="DF6" t="s">
        <v>165</v>
      </c>
      <c r="DG6" s="179">
        <v>35</v>
      </c>
      <c r="DH6" t="s">
        <v>167</v>
      </c>
      <c r="DI6">
        <v>1</v>
      </c>
      <c r="DJ6" s="180" t="s">
        <v>199</v>
      </c>
      <c r="DK6" t="s">
        <v>200</v>
      </c>
      <c r="DL6" t="s">
        <v>201</v>
      </c>
      <c r="DM6" t="s">
        <v>201</v>
      </c>
      <c r="DN6" t="s">
        <v>201</v>
      </c>
      <c r="DO6" t="s">
        <v>200</v>
      </c>
      <c r="DP6" t="s">
        <v>201</v>
      </c>
      <c r="DQ6" t="s">
        <v>201</v>
      </c>
      <c r="DR6" t="s">
        <v>201</v>
      </c>
      <c r="DS6" t="s">
        <v>200</v>
      </c>
      <c r="DT6" t="s">
        <v>201</v>
      </c>
      <c r="DU6" t="s">
        <v>201</v>
      </c>
      <c r="DV6" t="s">
        <v>201</v>
      </c>
      <c r="DW6" s="175">
        <v>432.5624421831638</v>
      </c>
      <c r="DX6" t="s">
        <v>202</v>
      </c>
      <c r="DY6" s="175">
        <v>12.358926919519092</v>
      </c>
      <c r="DZ6" t="s">
        <v>203</v>
      </c>
      <c r="EA6">
        <v>39.61</v>
      </c>
      <c r="EB6" t="s">
        <v>204</v>
      </c>
      <c r="EC6" t="s">
        <v>165</v>
      </c>
      <c r="ED6" t="s">
        <v>205</v>
      </c>
      <c r="EE6" t="s">
        <v>206</v>
      </c>
      <c r="EF6" t="s">
        <v>207</v>
      </c>
      <c r="EG6">
        <v>1.0271999999999999</v>
      </c>
      <c r="EH6" t="s">
        <v>208</v>
      </c>
      <c r="EI6" t="s">
        <v>208</v>
      </c>
      <c r="EJ6" t="s">
        <v>209</v>
      </c>
      <c r="EK6" t="s">
        <v>208</v>
      </c>
      <c r="EL6" t="s">
        <v>208</v>
      </c>
      <c r="EM6" t="s">
        <v>210</v>
      </c>
      <c r="EN6" t="s">
        <v>211</v>
      </c>
      <c r="EO6" t="s">
        <v>212</v>
      </c>
      <c r="EP6" t="s">
        <v>212</v>
      </c>
      <c r="EQ6" t="s">
        <v>206</v>
      </c>
      <c r="ER6" t="s">
        <v>165</v>
      </c>
      <c r="ES6" t="s">
        <v>165</v>
      </c>
      <c r="ET6" t="s">
        <v>213</v>
      </c>
      <c r="EU6" t="s">
        <v>214</v>
      </c>
      <c r="EV6" t="s">
        <v>215</v>
      </c>
      <c r="EW6" s="181">
        <v>2300.6949999999997</v>
      </c>
      <c r="EX6" t="s">
        <v>216</v>
      </c>
      <c r="EY6">
        <v>100</v>
      </c>
      <c r="EZ6">
        <v>100</v>
      </c>
      <c r="FA6" t="s">
        <v>165</v>
      </c>
      <c r="FB6" t="s">
        <v>165</v>
      </c>
      <c r="FC6" t="s">
        <v>165</v>
      </c>
      <c r="FD6" t="s">
        <v>165</v>
      </c>
      <c r="FE6" s="182">
        <v>8.1405574106408611</v>
      </c>
      <c r="FF6" s="178" t="s">
        <v>170</v>
      </c>
      <c r="FG6" s="178">
        <v>2.7468050828216128E-2</v>
      </c>
      <c r="FH6" s="178">
        <v>2.7468050828216128E-2</v>
      </c>
      <c r="FI6" s="183">
        <v>304.45911912948401</v>
      </c>
      <c r="FJ6" s="178">
        <v>21</v>
      </c>
      <c r="FK6" t="s">
        <v>217</v>
      </c>
      <c r="FL6" s="184">
        <v>283.45911912948401</v>
      </c>
      <c r="FM6">
        <v>29</v>
      </c>
      <c r="FN6">
        <v>29</v>
      </c>
      <c r="FO6" t="s">
        <v>195</v>
      </c>
      <c r="FP6" t="s">
        <v>218</v>
      </c>
      <c r="FQ6" t="s">
        <v>219</v>
      </c>
      <c r="FR6" t="s">
        <v>219</v>
      </c>
      <c r="FS6" t="s">
        <v>219</v>
      </c>
      <c r="FT6" t="s">
        <v>219</v>
      </c>
      <c r="FU6" t="s">
        <v>219</v>
      </c>
      <c r="FV6" t="s">
        <v>219</v>
      </c>
      <c r="FW6" t="s">
        <v>219</v>
      </c>
      <c r="FX6" t="s">
        <v>219</v>
      </c>
      <c r="FY6" t="s">
        <v>219</v>
      </c>
      <c r="FZ6" t="s">
        <v>219</v>
      </c>
      <c r="GA6" t="s">
        <v>219</v>
      </c>
      <c r="GB6" t="s">
        <v>219</v>
      </c>
      <c r="GC6" t="s">
        <v>220</v>
      </c>
    </row>
    <row r="7" spans="1:185" ht="16">
      <c r="A7" t="s">
        <v>171</v>
      </c>
      <c r="B7" s="169" t="s">
        <v>172</v>
      </c>
      <c r="C7" s="140" t="s">
        <v>162</v>
      </c>
      <c r="D7" t="s">
        <v>173</v>
      </c>
      <c r="E7">
        <v>2013</v>
      </c>
      <c r="F7" t="s">
        <v>175</v>
      </c>
      <c r="G7" s="189">
        <f t="shared" si="1"/>
        <v>7.82</v>
      </c>
      <c r="H7">
        <f t="shared" si="2"/>
        <v>3.5000000000000003E-2</v>
      </c>
      <c r="I7">
        <f t="shared" si="3"/>
        <v>3.5000000000000003E-2</v>
      </c>
      <c r="J7">
        <f t="shared" si="4"/>
        <v>263.83609703213699</v>
      </c>
      <c r="K7">
        <f t="shared" si="5"/>
        <v>29</v>
      </c>
      <c r="L7">
        <f t="shared" si="6"/>
        <v>29</v>
      </c>
      <c r="M7" t="b">
        <v>1</v>
      </c>
      <c r="N7">
        <v>3</v>
      </c>
      <c r="O7" s="193" t="s">
        <v>306</v>
      </c>
      <c r="P7" s="193" t="s">
        <v>307</v>
      </c>
      <c r="Q7" t="b">
        <v>0</v>
      </c>
      <c r="R7" t="s">
        <v>165</v>
      </c>
      <c r="S7" t="b">
        <v>1</v>
      </c>
      <c r="T7" t="b">
        <v>0</v>
      </c>
      <c r="U7" t="s">
        <v>165</v>
      </c>
      <c r="V7" t="b">
        <v>0</v>
      </c>
      <c r="W7" t="b">
        <v>0</v>
      </c>
      <c r="X7" t="s">
        <v>165</v>
      </c>
      <c r="Y7" s="170" t="s">
        <v>176</v>
      </c>
      <c r="Z7" t="s">
        <v>175</v>
      </c>
      <c r="AA7" t="s">
        <v>163</v>
      </c>
      <c r="AB7" t="s">
        <v>164</v>
      </c>
      <c r="AC7">
        <v>1</v>
      </c>
      <c r="AD7">
        <v>1</v>
      </c>
      <c r="AE7">
        <v>30</v>
      </c>
      <c r="AF7">
        <v>32</v>
      </c>
      <c r="AG7" s="171">
        <v>0.31</v>
      </c>
      <c r="AH7">
        <f t="shared" si="7"/>
        <v>0.31</v>
      </c>
      <c r="AI7" t="s">
        <v>177</v>
      </c>
      <c r="AJ7" t="s">
        <v>166</v>
      </c>
      <c r="AK7" s="172">
        <v>12.75</v>
      </c>
      <c r="AL7" s="172">
        <v>-78.73</v>
      </c>
      <c r="AM7" s="172">
        <v>12.75</v>
      </c>
      <c r="AN7" s="172">
        <v>-78.73</v>
      </c>
      <c r="AO7" s="172">
        <v>-2827</v>
      </c>
      <c r="AP7" s="172">
        <v>-2827</v>
      </c>
      <c r="AQ7" t="s">
        <v>178</v>
      </c>
      <c r="AR7" t="s">
        <v>168</v>
      </c>
      <c r="AS7" s="173">
        <v>7.82</v>
      </c>
      <c r="AT7" s="174" t="s">
        <v>167</v>
      </c>
      <c r="AU7">
        <v>3.5000000000000003E-2</v>
      </c>
      <c r="AV7">
        <v>3.5000000000000003E-2</v>
      </c>
      <c r="AW7" t="s">
        <v>179</v>
      </c>
      <c r="AX7" t="s">
        <v>269</v>
      </c>
      <c r="AY7" s="175" t="s">
        <v>180</v>
      </c>
      <c r="AZ7" t="s">
        <v>165</v>
      </c>
      <c r="BA7" t="s">
        <v>165</v>
      </c>
      <c r="BB7" t="s">
        <v>165</v>
      </c>
      <c r="BC7" t="s">
        <v>165</v>
      </c>
      <c r="BD7" t="s">
        <v>165</v>
      </c>
      <c r="BE7" t="s">
        <v>165</v>
      </c>
      <c r="BF7" t="s">
        <v>165</v>
      </c>
      <c r="BG7" t="s">
        <v>181</v>
      </c>
      <c r="BH7" t="s">
        <v>182</v>
      </c>
      <c r="BI7" t="s">
        <v>183</v>
      </c>
      <c r="BJ7" s="176" t="s">
        <v>184</v>
      </c>
      <c r="BK7" t="s">
        <v>185</v>
      </c>
      <c r="BL7" t="s">
        <v>186</v>
      </c>
      <c r="BM7" t="s">
        <v>187</v>
      </c>
      <c r="BN7" t="s">
        <v>223</v>
      </c>
      <c r="BO7">
        <v>2</v>
      </c>
      <c r="BP7" s="177">
        <v>6.0000000000002267E-2</v>
      </c>
      <c r="BQ7" s="177">
        <v>20.82</v>
      </c>
      <c r="BR7" t="s">
        <v>189</v>
      </c>
      <c r="BS7">
        <v>0.25</v>
      </c>
      <c r="BT7">
        <v>0.6</v>
      </c>
      <c r="BU7" t="s">
        <v>190</v>
      </c>
      <c r="BV7" s="174">
        <v>0.08</v>
      </c>
      <c r="BW7">
        <v>8.8699999999999992</v>
      </c>
      <c r="BX7" t="s">
        <v>191</v>
      </c>
      <c r="BY7">
        <v>1.52</v>
      </c>
      <c r="BZ7" t="s">
        <v>192</v>
      </c>
      <c r="CA7" t="s">
        <v>193</v>
      </c>
      <c r="CB7" s="178">
        <v>19.886640242167108</v>
      </c>
      <c r="CC7" t="s">
        <v>169</v>
      </c>
      <c r="CD7" s="178">
        <v>0.38231916846312436</v>
      </c>
      <c r="CE7" t="s">
        <v>194</v>
      </c>
      <c r="CF7" t="s">
        <v>195</v>
      </c>
      <c r="CG7">
        <v>10</v>
      </c>
      <c r="CH7" t="s">
        <v>196</v>
      </c>
      <c r="CI7" t="s">
        <v>196</v>
      </c>
      <c r="CJ7" s="178">
        <v>28.191567429821795</v>
      </c>
      <c r="CK7" t="s">
        <v>197</v>
      </c>
      <c r="CL7">
        <v>1</v>
      </c>
      <c r="CM7">
        <v>1</v>
      </c>
      <c r="CN7" t="s">
        <v>198</v>
      </c>
      <c r="CO7" t="s">
        <v>165</v>
      </c>
      <c r="CP7" t="s">
        <v>165</v>
      </c>
      <c r="CQ7" t="s">
        <v>165</v>
      </c>
      <c r="CR7" t="s">
        <v>165</v>
      </c>
      <c r="CS7" t="s">
        <v>165</v>
      </c>
      <c r="CT7" t="s">
        <v>165</v>
      </c>
      <c r="CU7" t="s">
        <v>165</v>
      </c>
      <c r="CV7" t="s">
        <v>165</v>
      </c>
      <c r="CW7" t="s">
        <v>165</v>
      </c>
      <c r="CX7" t="s">
        <v>165</v>
      </c>
      <c r="CY7" t="s">
        <v>165</v>
      </c>
      <c r="CZ7" t="s">
        <v>165</v>
      </c>
      <c r="DA7" t="s">
        <v>165</v>
      </c>
      <c r="DB7" t="s">
        <v>165</v>
      </c>
      <c r="DC7" t="s">
        <v>165</v>
      </c>
      <c r="DD7" t="s">
        <v>165</v>
      </c>
      <c r="DE7" t="s">
        <v>165</v>
      </c>
      <c r="DF7" t="s">
        <v>165</v>
      </c>
      <c r="DG7" s="179">
        <v>35.549999999999997</v>
      </c>
      <c r="DH7" t="s">
        <v>167</v>
      </c>
      <c r="DI7">
        <v>1</v>
      </c>
      <c r="DJ7" s="180" t="s">
        <v>224</v>
      </c>
      <c r="DK7" t="s">
        <v>200</v>
      </c>
      <c r="DL7" t="s">
        <v>201</v>
      </c>
      <c r="DM7" t="s">
        <v>201</v>
      </c>
      <c r="DN7" t="s">
        <v>201</v>
      </c>
      <c r="DO7" t="s">
        <v>200</v>
      </c>
      <c r="DP7" t="s">
        <v>201</v>
      </c>
      <c r="DQ7" t="s">
        <v>201</v>
      </c>
      <c r="DR7" t="s">
        <v>201</v>
      </c>
      <c r="DS7" t="s">
        <v>200</v>
      </c>
      <c r="DT7" t="s">
        <v>201</v>
      </c>
      <c r="DU7" t="s">
        <v>201</v>
      </c>
      <c r="DV7" t="s">
        <v>201</v>
      </c>
      <c r="DW7" s="175">
        <v>439.35985198889909</v>
      </c>
      <c r="DX7" t="s">
        <v>202</v>
      </c>
      <c r="DY7" s="175">
        <v>12.358926919518922</v>
      </c>
      <c r="DZ7" t="s">
        <v>203</v>
      </c>
      <c r="EA7">
        <v>39.61</v>
      </c>
      <c r="EB7" t="s">
        <v>204</v>
      </c>
      <c r="EC7" t="s">
        <v>165</v>
      </c>
      <c r="ED7" t="s">
        <v>205</v>
      </c>
      <c r="EE7" t="s">
        <v>206</v>
      </c>
      <c r="EF7" t="s">
        <v>207</v>
      </c>
      <c r="EG7">
        <v>1.0271999999999999</v>
      </c>
      <c r="EH7" t="s">
        <v>208</v>
      </c>
      <c r="EI7" t="s">
        <v>208</v>
      </c>
      <c r="EJ7" t="s">
        <v>209</v>
      </c>
      <c r="EK7" t="s">
        <v>208</v>
      </c>
      <c r="EL7" t="s">
        <v>208</v>
      </c>
      <c r="EM7" t="s">
        <v>210</v>
      </c>
      <c r="EN7" t="s">
        <v>211</v>
      </c>
      <c r="EO7" t="s">
        <v>212</v>
      </c>
      <c r="EP7" t="s">
        <v>212</v>
      </c>
      <c r="EQ7" t="s">
        <v>206</v>
      </c>
      <c r="ER7" t="s">
        <v>165</v>
      </c>
      <c r="ES7" t="s">
        <v>165</v>
      </c>
      <c r="ET7" t="s">
        <v>213</v>
      </c>
      <c r="EU7" t="s">
        <v>214</v>
      </c>
      <c r="EV7" t="s">
        <v>215</v>
      </c>
      <c r="EW7" s="181">
        <v>2333.2489499999997</v>
      </c>
      <c r="EX7" t="s">
        <v>216</v>
      </c>
      <c r="EY7">
        <v>100</v>
      </c>
      <c r="EZ7">
        <v>100</v>
      </c>
      <c r="FA7" t="s">
        <v>165</v>
      </c>
      <c r="FB7" t="s">
        <v>165</v>
      </c>
      <c r="FC7" t="s">
        <v>165</v>
      </c>
      <c r="FD7" t="s">
        <v>165</v>
      </c>
      <c r="FE7" s="182">
        <v>8.1658257542642314</v>
      </c>
      <c r="FF7" s="178" t="s">
        <v>170</v>
      </c>
      <c r="FG7" s="178">
        <v>2.9709226586417614E-2</v>
      </c>
      <c r="FH7" s="178">
        <v>2.9709226586417614E-2</v>
      </c>
      <c r="FI7" s="183">
        <v>284.83609703213699</v>
      </c>
      <c r="FJ7" s="178">
        <v>21</v>
      </c>
      <c r="FK7" t="s">
        <v>217</v>
      </c>
      <c r="FL7" s="184">
        <v>263.83609703213699</v>
      </c>
      <c r="FM7">
        <v>29</v>
      </c>
      <c r="FN7">
        <v>29</v>
      </c>
      <c r="FO7" t="s">
        <v>195</v>
      </c>
      <c r="FP7" t="s">
        <v>218</v>
      </c>
      <c r="FQ7" t="s">
        <v>219</v>
      </c>
      <c r="FR7" t="s">
        <v>219</v>
      </c>
      <c r="FS7" t="s">
        <v>219</v>
      </c>
      <c r="FT7" t="s">
        <v>219</v>
      </c>
      <c r="FU7" t="s">
        <v>219</v>
      </c>
      <c r="FV7" t="s">
        <v>219</v>
      </c>
      <c r="FW7" t="s">
        <v>219</v>
      </c>
      <c r="FX7" t="s">
        <v>219</v>
      </c>
      <c r="FY7" t="s">
        <v>219</v>
      </c>
      <c r="FZ7" t="s">
        <v>219</v>
      </c>
      <c r="GA7" t="s">
        <v>219</v>
      </c>
      <c r="GB7" t="s">
        <v>219</v>
      </c>
      <c r="GC7" t="s">
        <v>220</v>
      </c>
    </row>
    <row r="8" spans="1:185" ht="16">
      <c r="A8" t="s">
        <v>171</v>
      </c>
      <c r="B8" s="169" t="s">
        <v>172</v>
      </c>
      <c r="C8" s="140" t="s">
        <v>162</v>
      </c>
      <c r="D8" t="s">
        <v>173</v>
      </c>
      <c r="E8">
        <v>2013</v>
      </c>
      <c r="F8" t="s">
        <v>175</v>
      </c>
      <c r="G8" s="189">
        <f t="shared" si="1"/>
        <v>7.82</v>
      </c>
      <c r="H8">
        <f t="shared" si="2"/>
        <v>3.5000000000000003E-2</v>
      </c>
      <c r="I8">
        <f t="shared" si="3"/>
        <v>3.5000000000000003E-2</v>
      </c>
      <c r="J8">
        <f t="shared" si="4"/>
        <v>276.082558340454</v>
      </c>
      <c r="K8">
        <f t="shared" si="5"/>
        <v>29</v>
      </c>
      <c r="L8">
        <f t="shared" si="6"/>
        <v>29</v>
      </c>
      <c r="M8" t="b">
        <v>1</v>
      </c>
      <c r="N8">
        <v>3</v>
      </c>
      <c r="O8" s="193" t="s">
        <v>306</v>
      </c>
      <c r="P8" s="193" t="s">
        <v>307</v>
      </c>
      <c r="Q8" t="b">
        <v>0</v>
      </c>
      <c r="R8" t="s">
        <v>165</v>
      </c>
      <c r="S8" t="b">
        <v>1</v>
      </c>
      <c r="T8" t="b">
        <v>0</v>
      </c>
      <c r="U8" t="s">
        <v>165</v>
      </c>
      <c r="V8" t="b">
        <v>0</v>
      </c>
      <c r="W8" t="b">
        <v>0</v>
      </c>
      <c r="X8" t="s">
        <v>165</v>
      </c>
      <c r="Y8" s="170" t="s">
        <v>176</v>
      </c>
      <c r="Z8" t="s">
        <v>175</v>
      </c>
      <c r="AA8" t="s">
        <v>163</v>
      </c>
      <c r="AB8" t="s">
        <v>164</v>
      </c>
      <c r="AC8">
        <v>1</v>
      </c>
      <c r="AD8">
        <v>1</v>
      </c>
      <c r="AE8">
        <v>30</v>
      </c>
      <c r="AF8">
        <v>32</v>
      </c>
      <c r="AG8" s="171">
        <v>0.31</v>
      </c>
      <c r="AH8">
        <f t="shared" si="7"/>
        <v>0.31</v>
      </c>
      <c r="AI8" t="s">
        <v>177</v>
      </c>
      <c r="AJ8" t="s">
        <v>166</v>
      </c>
      <c r="AK8" s="172">
        <v>12.75</v>
      </c>
      <c r="AL8" s="172">
        <v>-78.73</v>
      </c>
      <c r="AM8" s="172">
        <v>12.75</v>
      </c>
      <c r="AN8" s="172">
        <v>-78.73</v>
      </c>
      <c r="AO8" s="172">
        <v>-2827</v>
      </c>
      <c r="AP8" s="172">
        <v>-2827</v>
      </c>
      <c r="AQ8" t="s">
        <v>178</v>
      </c>
      <c r="AR8" t="s">
        <v>168</v>
      </c>
      <c r="AS8" s="173">
        <v>7.82</v>
      </c>
      <c r="AT8" s="174" t="s">
        <v>167</v>
      </c>
      <c r="AU8">
        <v>3.5000000000000003E-2</v>
      </c>
      <c r="AV8">
        <v>3.5000000000000003E-2</v>
      </c>
      <c r="AW8" t="s">
        <v>179</v>
      </c>
      <c r="AX8" t="s">
        <v>269</v>
      </c>
      <c r="AY8" s="175" t="s">
        <v>180</v>
      </c>
      <c r="AZ8" t="s">
        <v>165</v>
      </c>
      <c r="BA8" t="s">
        <v>165</v>
      </c>
      <c r="BB8" t="s">
        <v>165</v>
      </c>
      <c r="BC8" t="s">
        <v>165</v>
      </c>
      <c r="BD8" t="s">
        <v>165</v>
      </c>
      <c r="BE8" t="s">
        <v>165</v>
      </c>
      <c r="BF8" t="s">
        <v>165</v>
      </c>
      <c r="BG8" t="s">
        <v>181</v>
      </c>
      <c r="BH8" t="s">
        <v>182</v>
      </c>
      <c r="BI8" t="s">
        <v>183</v>
      </c>
      <c r="BJ8" s="176" t="s">
        <v>184</v>
      </c>
      <c r="BK8" t="s">
        <v>185</v>
      </c>
      <c r="BL8" t="s">
        <v>186</v>
      </c>
      <c r="BM8" t="s">
        <v>187</v>
      </c>
      <c r="BN8" t="s">
        <v>225</v>
      </c>
      <c r="BO8">
        <v>2</v>
      </c>
      <c r="BP8" s="177">
        <v>1.9999999999999574E-2</v>
      </c>
      <c r="BQ8" s="177">
        <v>20.72</v>
      </c>
      <c r="BR8" t="s">
        <v>189</v>
      </c>
      <c r="BS8">
        <v>0.25</v>
      </c>
      <c r="BT8">
        <v>0.6</v>
      </c>
      <c r="BU8" t="s">
        <v>190</v>
      </c>
      <c r="BV8" s="174">
        <v>0.08</v>
      </c>
      <c r="BW8">
        <v>8.8699999999999992</v>
      </c>
      <c r="BX8" t="s">
        <v>191</v>
      </c>
      <c r="BY8">
        <v>1.52</v>
      </c>
      <c r="BZ8" t="s">
        <v>192</v>
      </c>
      <c r="CA8" t="s">
        <v>193</v>
      </c>
      <c r="CB8" s="178">
        <v>19.713368196570887</v>
      </c>
      <c r="CC8" t="s">
        <v>169</v>
      </c>
      <c r="CD8" s="178">
        <v>0.36376771731949548</v>
      </c>
      <c r="CE8" t="s">
        <v>194</v>
      </c>
      <c r="CF8" t="s">
        <v>195</v>
      </c>
      <c r="CG8">
        <v>10</v>
      </c>
      <c r="CH8" t="s">
        <v>196</v>
      </c>
      <c r="CI8" t="s">
        <v>196</v>
      </c>
      <c r="CJ8" s="178">
        <v>28.191567429821795</v>
      </c>
      <c r="CK8" t="s">
        <v>197</v>
      </c>
      <c r="CL8">
        <v>1</v>
      </c>
      <c r="CM8">
        <v>1</v>
      </c>
      <c r="CN8" t="s">
        <v>198</v>
      </c>
      <c r="CO8" t="s">
        <v>165</v>
      </c>
      <c r="CP8" t="s">
        <v>165</v>
      </c>
      <c r="CQ8" t="s">
        <v>165</v>
      </c>
      <c r="CR8" t="s">
        <v>165</v>
      </c>
      <c r="CS8" t="s">
        <v>165</v>
      </c>
      <c r="CT8" t="s">
        <v>165</v>
      </c>
      <c r="CU8" t="s">
        <v>165</v>
      </c>
      <c r="CV8" t="s">
        <v>165</v>
      </c>
      <c r="CW8" t="s">
        <v>165</v>
      </c>
      <c r="CX8" t="s">
        <v>165</v>
      </c>
      <c r="CY8" t="s">
        <v>165</v>
      </c>
      <c r="CZ8" t="s">
        <v>165</v>
      </c>
      <c r="DA8" t="s">
        <v>165</v>
      </c>
      <c r="DB8" t="s">
        <v>165</v>
      </c>
      <c r="DC8" t="s">
        <v>165</v>
      </c>
      <c r="DD8" t="s">
        <v>165</v>
      </c>
      <c r="DE8" t="s">
        <v>165</v>
      </c>
      <c r="DF8" t="s">
        <v>165</v>
      </c>
      <c r="DG8" s="179">
        <v>35.549999999999997</v>
      </c>
      <c r="DH8" t="s">
        <v>167</v>
      </c>
      <c r="DI8">
        <v>1</v>
      </c>
      <c r="DJ8" s="180" t="s">
        <v>224</v>
      </c>
      <c r="DK8" t="s">
        <v>200</v>
      </c>
      <c r="DL8" t="s">
        <v>201</v>
      </c>
      <c r="DM8" t="s">
        <v>201</v>
      </c>
      <c r="DN8" t="s">
        <v>201</v>
      </c>
      <c r="DO8" t="s">
        <v>200</v>
      </c>
      <c r="DP8" t="s">
        <v>201</v>
      </c>
      <c r="DQ8" t="s">
        <v>201</v>
      </c>
      <c r="DR8" t="s">
        <v>201</v>
      </c>
      <c r="DS8" t="s">
        <v>200</v>
      </c>
      <c r="DT8" t="s">
        <v>201</v>
      </c>
      <c r="DU8" t="s">
        <v>201</v>
      </c>
      <c r="DV8" t="s">
        <v>201</v>
      </c>
      <c r="DW8" s="175">
        <v>439.35985198889909</v>
      </c>
      <c r="DX8" t="s">
        <v>202</v>
      </c>
      <c r="DY8" s="175">
        <v>12.358926919518922</v>
      </c>
      <c r="DZ8" t="s">
        <v>203</v>
      </c>
      <c r="EA8">
        <v>39.61</v>
      </c>
      <c r="EB8" t="s">
        <v>204</v>
      </c>
      <c r="EC8" t="s">
        <v>165</v>
      </c>
      <c r="ED8" t="s">
        <v>205</v>
      </c>
      <c r="EE8" t="s">
        <v>206</v>
      </c>
      <c r="EF8" t="s">
        <v>207</v>
      </c>
      <c r="EG8">
        <v>1.0271999999999999</v>
      </c>
      <c r="EH8" t="s">
        <v>208</v>
      </c>
      <c r="EI8" t="s">
        <v>208</v>
      </c>
      <c r="EJ8" t="s">
        <v>209</v>
      </c>
      <c r="EK8" t="s">
        <v>208</v>
      </c>
      <c r="EL8" t="s">
        <v>208</v>
      </c>
      <c r="EM8" t="s">
        <v>210</v>
      </c>
      <c r="EN8" t="s">
        <v>211</v>
      </c>
      <c r="EO8" t="s">
        <v>212</v>
      </c>
      <c r="EP8" t="s">
        <v>212</v>
      </c>
      <c r="EQ8" t="s">
        <v>206</v>
      </c>
      <c r="ER8" t="s">
        <v>165</v>
      </c>
      <c r="ES8" t="s">
        <v>165</v>
      </c>
      <c r="ET8" t="s">
        <v>213</v>
      </c>
      <c r="EU8" t="s">
        <v>214</v>
      </c>
      <c r="EV8" t="s">
        <v>215</v>
      </c>
      <c r="EW8" s="181">
        <v>2333.2489499999997</v>
      </c>
      <c r="EX8" t="s">
        <v>216</v>
      </c>
      <c r="EY8">
        <v>100</v>
      </c>
      <c r="EZ8">
        <v>100</v>
      </c>
      <c r="FA8" t="s">
        <v>165</v>
      </c>
      <c r="FB8" t="s">
        <v>165</v>
      </c>
      <c r="FC8" t="s">
        <v>165</v>
      </c>
      <c r="FD8" t="s">
        <v>165</v>
      </c>
      <c r="FE8" s="182">
        <v>8.1522773817148568</v>
      </c>
      <c r="FF8" s="178" t="s">
        <v>170</v>
      </c>
      <c r="FG8" s="178">
        <v>2.8656773036164651E-2</v>
      </c>
      <c r="FH8" s="178">
        <v>2.8656773036164651E-2</v>
      </c>
      <c r="FI8" s="183">
        <v>297.082558340454</v>
      </c>
      <c r="FJ8" s="178">
        <v>21</v>
      </c>
      <c r="FK8" t="s">
        <v>217</v>
      </c>
      <c r="FL8" s="184">
        <v>276.082558340454</v>
      </c>
      <c r="FM8">
        <v>29</v>
      </c>
      <c r="FN8">
        <v>29</v>
      </c>
      <c r="FO8" t="s">
        <v>195</v>
      </c>
      <c r="FP8" t="s">
        <v>218</v>
      </c>
      <c r="FQ8" t="s">
        <v>219</v>
      </c>
      <c r="FR8" t="s">
        <v>219</v>
      </c>
      <c r="FS8" t="s">
        <v>219</v>
      </c>
      <c r="FT8" t="s">
        <v>219</v>
      </c>
      <c r="FU8" t="s">
        <v>219</v>
      </c>
      <c r="FV8" t="s">
        <v>219</v>
      </c>
      <c r="FW8" t="s">
        <v>219</v>
      </c>
      <c r="FX8" t="s">
        <v>219</v>
      </c>
      <c r="FY8" t="s">
        <v>219</v>
      </c>
      <c r="FZ8" t="s">
        <v>219</v>
      </c>
      <c r="GA8" t="s">
        <v>219</v>
      </c>
      <c r="GB8" t="s">
        <v>219</v>
      </c>
      <c r="GC8" t="s">
        <v>220</v>
      </c>
    </row>
    <row r="9" spans="1:185" ht="16">
      <c r="A9" t="s">
        <v>171</v>
      </c>
      <c r="B9" s="169" t="s">
        <v>172</v>
      </c>
      <c r="C9" s="140" t="s">
        <v>162</v>
      </c>
      <c r="D9" t="s">
        <v>173</v>
      </c>
      <c r="E9">
        <v>2013</v>
      </c>
      <c r="F9" t="s">
        <v>175</v>
      </c>
      <c r="G9" s="189">
        <f t="shared" si="1"/>
        <v>9.4879999999999995</v>
      </c>
      <c r="H9">
        <f t="shared" si="2"/>
        <v>3.5000000000000003E-2</v>
      </c>
      <c r="I9">
        <f t="shared" si="3"/>
        <v>3.5000000000000003E-2</v>
      </c>
      <c r="J9">
        <f t="shared" si="4"/>
        <v>279.05033310619501</v>
      </c>
      <c r="K9">
        <f t="shared" si="5"/>
        <v>29</v>
      </c>
      <c r="L9">
        <f t="shared" si="6"/>
        <v>29</v>
      </c>
      <c r="M9" t="b">
        <v>1</v>
      </c>
      <c r="N9">
        <v>3</v>
      </c>
      <c r="O9" s="193" t="s">
        <v>306</v>
      </c>
      <c r="P9" s="193" t="s">
        <v>307</v>
      </c>
      <c r="Q9" t="b">
        <v>0</v>
      </c>
      <c r="R9" t="s">
        <v>165</v>
      </c>
      <c r="S9" t="b">
        <v>1</v>
      </c>
      <c r="T9" t="b">
        <v>0</v>
      </c>
      <c r="U9" t="s">
        <v>165</v>
      </c>
      <c r="V9" t="b">
        <v>0</v>
      </c>
      <c r="W9" t="b">
        <v>0</v>
      </c>
      <c r="X9" t="s">
        <v>165</v>
      </c>
      <c r="Y9" s="170" t="s">
        <v>176</v>
      </c>
      <c r="Z9" t="s">
        <v>175</v>
      </c>
      <c r="AA9" t="s">
        <v>163</v>
      </c>
      <c r="AB9" t="s">
        <v>164</v>
      </c>
      <c r="AC9">
        <v>1</v>
      </c>
      <c r="AD9">
        <v>1</v>
      </c>
      <c r="AE9">
        <v>38</v>
      </c>
      <c r="AF9">
        <v>40</v>
      </c>
      <c r="AG9" s="171">
        <v>0.39</v>
      </c>
      <c r="AH9">
        <f t="shared" si="7"/>
        <v>0.39</v>
      </c>
      <c r="AI9" t="s">
        <v>177</v>
      </c>
      <c r="AJ9" t="s">
        <v>166</v>
      </c>
      <c r="AK9" s="172">
        <v>12.75</v>
      </c>
      <c r="AL9" s="172">
        <v>-78.73</v>
      </c>
      <c r="AM9" s="172">
        <v>12.75</v>
      </c>
      <c r="AN9" s="172">
        <v>-78.73</v>
      </c>
      <c r="AO9" s="172">
        <v>-2827</v>
      </c>
      <c r="AP9" s="172">
        <v>-2827</v>
      </c>
      <c r="AQ9" t="s">
        <v>178</v>
      </c>
      <c r="AR9" t="s">
        <v>168</v>
      </c>
      <c r="AS9" s="173">
        <v>9.4879999999999995</v>
      </c>
      <c r="AT9" s="174" t="s">
        <v>167</v>
      </c>
      <c r="AU9">
        <v>3.5000000000000003E-2</v>
      </c>
      <c r="AV9">
        <v>3.5000000000000003E-2</v>
      </c>
      <c r="AW9" t="s">
        <v>179</v>
      </c>
      <c r="AX9" t="s">
        <v>269</v>
      </c>
      <c r="AY9" s="175" t="s">
        <v>180</v>
      </c>
      <c r="AZ9" t="s">
        <v>165</v>
      </c>
      <c r="BA9" t="s">
        <v>165</v>
      </c>
      <c r="BB9" t="s">
        <v>165</v>
      </c>
      <c r="BC9" t="s">
        <v>165</v>
      </c>
      <c r="BD9" t="s">
        <v>165</v>
      </c>
      <c r="BE9" t="s">
        <v>165</v>
      </c>
      <c r="BF9" t="s">
        <v>165</v>
      </c>
      <c r="BG9" t="s">
        <v>181</v>
      </c>
      <c r="BH9" t="s">
        <v>182</v>
      </c>
      <c r="BI9" t="s">
        <v>183</v>
      </c>
      <c r="BJ9" s="176" t="s">
        <v>184</v>
      </c>
      <c r="BK9" t="s">
        <v>185</v>
      </c>
      <c r="BL9" t="s">
        <v>186</v>
      </c>
      <c r="BM9" t="s">
        <v>187</v>
      </c>
      <c r="BN9" t="s">
        <v>226</v>
      </c>
      <c r="BO9">
        <v>2</v>
      </c>
      <c r="BP9" s="177">
        <v>0.10999999999999943</v>
      </c>
      <c r="BQ9" s="177">
        <v>20.675000000000001</v>
      </c>
      <c r="BR9" t="s">
        <v>189</v>
      </c>
      <c r="BS9">
        <v>0.25</v>
      </c>
      <c r="BT9">
        <v>0.6</v>
      </c>
      <c r="BU9" t="s">
        <v>190</v>
      </c>
      <c r="BV9" s="174">
        <v>0.08</v>
      </c>
      <c r="BW9">
        <v>8.8699999999999992</v>
      </c>
      <c r="BX9" t="s">
        <v>191</v>
      </c>
      <c r="BY9">
        <v>1.52</v>
      </c>
      <c r="BZ9" t="s">
        <v>192</v>
      </c>
      <c r="CA9" t="s">
        <v>193</v>
      </c>
      <c r="CB9" s="178">
        <v>19.645014345479691</v>
      </c>
      <c r="CC9" t="s">
        <v>169</v>
      </c>
      <c r="CD9" s="178">
        <v>0.35666626859547101</v>
      </c>
      <c r="CE9" t="s">
        <v>194</v>
      </c>
      <c r="CF9" t="s">
        <v>195</v>
      </c>
      <c r="CG9">
        <v>10</v>
      </c>
      <c r="CH9" t="s">
        <v>196</v>
      </c>
      <c r="CI9" t="s">
        <v>196</v>
      </c>
      <c r="CJ9" s="178">
        <v>27.588122392180114</v>
      </c>
      <c r="CK9" t="s">
        <v>197</v>
      </c>
      <c r="CL9">
        <v>1</v>
      </c>
      <c r="CM9">
        <v>1</v>
      </c>
      <c r="CN9" t="s">
        <v>198</v>
      </c>
      <c r="CO9" t="s">
        <v>165</v>
      </c>
      <c r="CP9" t="s">
        <v>165</v>
      </c>
      <c r="CQ9" t="s">
        <v>165</v>
      </c>
      <c r="CR9" t="s">
        <v>165</v>
      </c>
      <c r="CS9" t="s">
        <v>165</v>
      </c>
      <c r="CT9" t="s">
        <v>165</v>
      </c>
      <c r="CU9" t="s">
        <v>165</v>
      </c>
      <c r="CV9" t="s">
        <v>165</v>
      </c>
      <c r="CW9" t="s">
        <v>165</v>
      </c>
      <c r="CX9" t="s">
        <v>165</v>
      </c>
      <c r="CY9" t="s">
        <v>165</v>
      </c>
      <c r="CZ9" t="s">
        <v>165</v>
      </c>
      <c r="DA9" t="s">
        <v>165</v>
      </c>
      <c r="DB9" t="s">
        <v>165</v>
      </c>
      <c r="DC9" t="s">
        <v>165</v>
      </c>
      <c r="DD9" t="s">
        <v>165</v>
      </c>
      <c r="DE9" t="s">
        <v>165</v>
      </c>
      <c r="DF9" t="s">
        <v>165</v>
      </c>
      <c r="DG9" s="179">
        <v>36.1</v>
      </c>
      <c r="DH9" t="s">
        <v>167</v>
      </c>
      <c r="DI9">
        <v>1</v>
      </c>
      <c r="DJ9" s="180" t="s">
        <v>224</v>
      </c>
      <c r="DK9" t="s">
        <v>200</v>
      </c>
      <c r="DL9" t="s">
        <v>201</v>
      </c>
      <c r="DM9" t="s">
        <v>201</v>
      </c>
      <c r="DN9" t="s">
        <v>201</v>
      </c>
      <c r="DO9" t="s">
        <v>200</v>
      </c>
      <c r="DP9" t="s">
        <v>201</v>
      </c>
      <c r="DQ9" t="s">
        <v>201</v>
      </c>
      <c r="DR9" t="s">
        <v>201</v>
      </c>
      <c r="DS9" t="s">
        <v>200</v>
      </c>
      <c r="DT9" t="s">
        <v>201</v>
      </c>
      <c r="DU9" t="s">
        <v>201</v>
      </c>
      <c r="DV9" t="s">
        <v>201</v>
      </c>
      <c r="DW9" s="175">
        <v>446.15726179463462</v>
      </c>
      <c r="DX9" t="s">
        <v>202</v>
      </c>
      <c r="DY9" s="175">
        <v>12.358926919518979</v>
      </c>
      <c r="DZ9" t="s">
        <v>203</v>
      </c>
      <c r="EA9">
        <v>39.61</v>
      </c>
      <c r="EB9" t="s">
        <v>204</v>
      </c>
      <c r="EC9" t="s">
        <v>165</v>
      </c>
      <c r="ED9" t="s">
        <v>205</v>
      </c>
      <c r="EE9" t="s">
        <v>206</v>
      </c>
      <c r="EF9" t="s">
        <v>207</v>
      </c>
      <c r="EG9">
        <v>1.0271999999999999</v>
      </c>
      <c r="EH9" t="s">
        <v>208</v>
      </c>
      <c r="EI9" t="s">
        <v>208</v>
      </c>
      <c r="EJ9" t="s">
        <v>209</v>
      </c>
      <c r="EK9" t="s">
        <v>208</v>
      </c>
      <c r="EL9" t="s">
        <v>208</v>
      </c>
      <c r="EM9" t="s">
        <v>210</v>
      </c>
      <c r="EN9" t="s">
        <v>211</v>
      </c>
      <c r="EO9" t="s">
        <v>212</v>
      </c>
      <c r="EP9" t="s">
        <v>212</v>
      </c>
      <c r="EQ9" t="s">
        <v>206</v>
      </c>
      <c r="ER9" t="s">
        <v>165</v>
      </c>
      <c r="ES9" t="s">
        <v>165</v>
      </c>
      <c r="ET9" t="s">
        <v>213</v>
      </c>
      <c r="EU9" t="s">
        <v>214</v>
      </c>
      <c r="EV9" t="s">
        <v>215</v>
      </c>
      <c r="EW9" s="181">
        <v>2365.8029000000001</v>
      </c>
      <c r="EX9" t="s">
        <v>216</v>
      </c>
      <c r="EY9">
        <v>100</v>
      </c>
      <c r="EZ9">
        <v>100</v>
      </c>
      <c r="FA9" t="s">
        <v>165</v>
      </c>
      <c r="FB9" t="s">
        <v>165</v>
      </c>
      <c r="FC9" t="s">
        <v>165</v>
      </c>
      <c r="FD9" t="s">
        <v>165</v>
      </c>
      <c r="FE9" s="182">
        <v>8.1525494676155823</v>
      </c>
      <c r="FF9" s="178" t="s">
        <v>170</v>
      </c>
      <c r="FG9" s="178">
        <v>2.8253868702131868E-2</v>
      </c>
      <c r="FH9" s="178">
        <v>2.8253868702131868E-2</v>
      </c>
      <c r="FI9" s="183">
        <v>300.05033310619501</v>
      </c>
      <c r="FJ9" s="178">
        <v>21</v>
      </c>
      <c r="FK9" t="s">
        <v>217</v>
      </c>
      <c r="FL9" s="184">
        <v>279.05033310619501</v>
      </c>
      <c r="FM9">
        <v>29</v>
      </c>
      <c r="FN9">
        <v>29</v>
      </c>
      <c r="FO9" t="s">
        <v>195</v>
      </c>
      <c r="FP9" t="s">
        <v>218</v>
      </c>
      <c r="FQ9" t="s">
        <v>219</v>
      </c>
      <c r="FR9" t="s">
        <v>219</v>
      </c>
      <c r="FS9" t="s">
        <v>219</v>
      </c>
      <c r="FT9" t="s">
        <v>219</v>
      </c>
      <c r="FU9" t="s">
        <v>219</v>
      </c>
      <c r="FV9" t="s">
        <v>219</v>
      </c>
      <c r="FW9" t="s">
        <v>219</v>
      </c>
      <c r="FX9" t="s">
        <v>219</v>
      </c>
      <c r="FY9" t="s">
        <v>219</v>
      </c>
      <c r="FZ9" t="s">
        <v>219</v>
      </c>
      <c r="GA9" t="s">
        <v>219</v>
      </c>
      <c r="GB9" t="s">
        <v>219</v>
      </c>
      <c r="GC9" t="s">
        <v>220</v>
      </c>
    </row>
    <row r="10" spans="1:185" ht="16">
      <c r="A10" t="s">
        <v>171</v>
      </c>
      <c r="B10" s="169" t="s">
        <v>172</v>
      </c>
      <c r="C10" s="140" t="s">
        <v>162</v>
      </c>
      <c r="D10" t="s">
        <v>173</v>
      </c>
      <c r="E10">
        <v>2013</v>
      </c>
      <c r="F10" t="s">
        <v>175</v>
      </c>
      <c r="G10" s="189">
        <f t="shared" si="1"/>
        <v>10.32</v>
      </c>
      <c r="H10">
        <f t="shared" si="2"/>
        <v>3.5000000000000003E-2</v>
      </c>
      <c r="I10">
        <f t="shared" si="3"/>
        <v>3.5000000000000003E-2</v>
      </c>
      <c r="J10">
        <f t="shared" si="4"/>
        <v>253.72017738406402</v>
      </c>
      <c r="K10">
        <f t="shared" si="5"/>
        <v>29</v>
      </c>
      <c r="L10">
        <f t="shared" si="6"/>
        <v>29</v>
      </c>
      <c r="M10" t="b">
        <v>1</v>
      </c>
      <c r="N10">
        <v>3</v>
      </c>
      <c r="O10" s="193" t="s">
        <v>306</v>
      </c>
      <c r="P10" s="193" t="s">
        <v>307</v>
      </c>
      <c r="Q10" t="b">
        <v>0</v>
      </c>
      <c r="R10" t="s">
        <v>165</v>
      </c>
      <c r="S10" t="b">
        <v>1</v>
      </c>
      <c r="T10" t="b">
        <v>0</v>
      </c>
      <c r="U10" t="s">
        <v>165</v>
      </c>
      <c r="V10" t="b">
        <v>0</v>
      </c>
      <c r="W10" t="b">
        <v>0</v>
      </c>
      <c r="X10" t="s">
        <v>165</v>
      </c>
      <c r="Y10" s="170" t="s">
        <v>176</v>
      </c>
      <c r="Z10" t="s">
        <v>175</v>
      </c>
      <c r="AA10" t="s">
        <v>163</v>
      </c>
      <c r="AB10" t="s">
        <v>164</v>
      </c>
      <c r="AC10">
        <v>1</v>
      </c>
      <c r="AD10">
        <v>1</v>
      </c>
      <c r="AE10" s="185">
        <v>42</v>
      </c>
      <c r="AF10">
        <v>44</v>
      </c>
      <c r="AG10" s="171">
        <v>0.43</v>
      </c>
      <c r="AH10">
        <f t="shared" si="7"/>
        <v>0.43</v>
      </c>
      <c r="AI10" t="s">
        <v>177</v>
      </c>
      <c r="AJ10" t="s">
        <v>166</v>
      </c>
      <c r="AK10" s="172">
        <v>12.75</v>
      </c>
      <c r="AL10" s="172">
        <v>-78.73</v>
      </c>
      <c r="AM10" s="172">
        <v>12.75</v>
      </c>
      <c r="AN10" s="172">
        <v>-78.73</v>
      </c>
      <c r="AO10" s="172">
        <v>-2827</v>
      </c>
      <c r="AP10" s="172">
        <v>-2827</v>
      </c>
      <c r="AQ10" t="s">
        <v>178</v>
      </c>
      <c r="AR10" t="s">
        <v>168</v>
      </c>
      <c r="AS10" s="173">
        <v>10.32</v>
      </c>
      <c r="AT10" s="174" t="s">
        <v>167</v>
      </c>
      <c r="AU10">
        <v>3.5000000000000003E-2</v>
      </c>
      <c r="AV10">
        <v>3.5000000000000003E-2</v>
      </c>
      <c r="AW10" t="s">
        <v>179</v>
      </c>
      <c r="AX10" t="s">
        <v>269</v>
      </c>
      <c r="AY10" s="175" t="s">
        <v>180</v>
      </c>
      <c r="AZ10" t="s">
        <v>165</v>
      </c>
      <c r="BA10" t="s">
        <v>165</v>
      </c>
      <c r="BB10" t="s">
        <v>165</v>
      </c>
      <c r="BC10" t="s">
        <v>165</v>
      </c>
      <c r="BD10" t="s">
        <v>165</v>
      </c>
      <c r="BE10" t="s">
        <v>165</v>
      </c>
      <c r="BF10" t="s">
        <v>165</v>
      </c>
      <c r="BG10" t="s">
        <v>181</v>
      </c>
      <c r="BH10" t="s">
        <v>182</v>
      </c>
      <c r="BI10" t="s">
        <v>183</v>
      </c>
      <c r="BJ10" s="176" t="s">
        <v>184</v>
      </c>
      <c r="BK10" t="s">
        <v>185</v>
      </c>
      <c r="BL10" t="s">
        <v>186</v>
      </c>
      <c r="BM10" t="s">
        <v>187</v>
      </c>
      <c r="BN10" t="s">
        <v>227</v>
      </c>
      <c r="BO10">
        <v>2</v>
      </c>
      <c r="BP10" s="177">
        <v>7.000000000000027E-2</v>
      </c>
      <c r="BQ10" s="177">
        <v>20.925000000000001</v>
      </c>
      <c r="BR10" t="s">
        <v>189</v>
      </c>
      <c r="BS10">
        <v>0.25</v>
      </c>
      <c r="BT10">
        <v>0.6</v>
      </c>
      <c r="BU10" t="s">
        <v>190</v>
      </c>
      <c r="BV10" s="174">
        <v>0.08</v>
      </c>
      <c r="BW10">
        <v>8.8699999999999992</v>
      </c>
      <c r="BX10" t="s">
        <v>191</v>
      </c>
      <c r="BY10">
        <v>1.52</v>
      </c>
      <c r="BZ10" t="s">
        <v>192</v>
      </c>
      <c r="CA10" t="s">
        <v>193</v>
      </c>
      <c r="CB10" s="178">
        <v>20.060438885254026</v>
      </c>
      <c r="CC10" t="s">
        <v>169</v>
      </c>
      <c r="CD10" s="178">
        <v>0.40163084410722694</v>
      </c>
      <c r="CE10" t="s">
        <v>194</v>
      </c>
      <c r="CF10" t="s">
        <v>195</v>
      </c>
      <c r="CG10">
        <v>10</v>
      </c>
      <c r="CH10" t="s">
        <v>196</v>
      </c>
      <c r="CI10" t="s">
        <v>196</v>
      </c>
      <c r="CJ10" s="178">
        <v>27.497418940633885</v>
      </c>
      <c r="CK10" t="s">
        <v>197</v>
      </c>
      <c r="CL10">
        <v>1</v>
      </c>
      <c r="CM10">
        <v>1</v>
      </c>
      <c r="CN10" t="s">
        <v>198</v>
      </c>
      <c r="CO10" t="s">
        <v>165</v>
      </c>
      <c r="CP10" t="s">
        <v>165</v>
      </c>
      <c r="CQ10" t="s">
        <v>165</v>
      </c>
      <c r="CR10" t="s">
        <v>165</v>
      </c>
      <c r="CS10" t="s">
        <v>165</v>
      </c>
      <c r="CT10" t="s">
        <v>165</v>
      </c>
      <c r="CU10" t="s">
        <v>165</v>
      </c>
      <c r="CV10" t="s">
        <v>165</v>
      </c>
      <c r="CW10" t="s">
        <v>165</v>
      </c>
      <c r="CX10" t="s">
        <v>165</v>
      </c>
      <c r="CY10" t="s">
        <v>165</v>
      </c>
      <c r="CZ10" t="s">
        <v>165</v>
      </c>
      <c r="DA10" t="s">
        <v>165</v>
      </c>
      <c r="DB10" t="s">
        <v>165</v>
      </c>
      <c r="DC10" t="s">
        <v>165</v>
      </c>
      <c r="DD10" t="s">
        <v>165</v>
      </c>
      <c r="DE10" t="s">
        <v>165</v>
      </c>
      <c r="DF10" t="s">
        <v>165</v>
      </c>
      <c r="DG10" s="179">
        <v>36.4</v>
      </c>
      <c r="DH10" t="s">
        <v>167</v>
      </c>
      <c r="DI10">
        <v>1</v>
      </c>
      <c r="DJ10" s="180" t="s">
        <v>224</v>
      </c>
      <c r="DK10" t="s">
        <v>200</v>
      </c>
      <c r="DL10" t="s">
        <v>201</v>
      </c>
      <c r="DM10" t="s">
        <v>201</v>
      </c>
      <c r="DN10" t="s">
        <v>201</v>
      </c>
      <c r="DO10" t="s">
        <v>200</v>
      </c>
      <c r="DP10" t="s">
        <v>201</v>
      </c>
      <c r="DQ10" t="s">
        <v>201</v>
      </c>
      <c r="DR10" t="s">
        <v>201</v>
      </c>
      <c r="DS10" t="s">
        <v>200</v>
      </c>
      <c r="DT10" t="s">
        <v>201</v>
      </c>
      <c r="DU10" t="s">
        <v>201</v>
      </c>
      <c r="DV10" t="s">
        <v>201</v>
      </c>
      <c r="DW10" s="175">
        <v>449.86493987049028</v>
      </c>
      <c r="DX10" t="s">
        <v>202</v>
      </c>
      <c r="DY10" s="175">
        <v>12.358926919518979</v>
      </c>
      <c r="DZ10" t="s">
        <v>203</v>
      </c>
      <c r="EA10">
        <v>39.61</v>
      </c>
      <c r="EB10" t="s">
        <v>204</v>
      </c>
      <c r="EC10" t="s">
        <v>165</v>
      </c>
      <c r="ED10" t="s">
        <v>205</v>
      </c>
      <c r="EE10" t="s">
        <v>206</v>
      </c>
      <c r="EF10" t="s">
        <v>207</v>
      </c>
      <c r="EG10">
        <v>1.0271999999999999</v>
      </c>
      <c r="EH10" t="s">
        <v>208</v>
      </c>
      <c r="EI10" t="s">
        <v>208</v>
      </c>
      <c r="EJ10" t="s">
        <v>209</v>
      </c>
      <c r="EK10" t="s">
        <v>208</v>
      </c>
      <c r="EL10" t="s">
        <v>208</v>
      </c>
      <c r="EM10" t="s">
        <v>210</v>
      </c>
      <c r="EN10" t="s">
        <v>211</v>
      </c>
      <c r="EO10" t="s">
        <v>212</v>
      </c>
      <c r="EP10" t="s">
        <v>212</v>
      </c>
      <c r="EQ10" t="s">
        <v>206</v>
      </c>
      <c r="ER10" t="s">
        <v>165</v>
      </c>
      <c r="ES10" t="s">
        <v>165</v>
      </c>
      <c r="ET10" t="s">
        <v>213</v>
      </c>
      <c r="EU10" t="s">
        <v>214</v>
      </c>
      <c r="EV10" t="s">
        <v>215</v>
      </c>
      <c r="EW10" s="181">
        <v>2383.5596</v>
      </c>
      <c r="EX10" t="s">
        <v>216</v>
      </c>
      <c r="EY10">
        <v>100</v>
      </c>
      <c r="EZ10">
        <v>100</v>
      </c>
      <c r="FA10" t="s">
        <v>165</v>
      </c>
      <c r="FB10" t="s">
        <v>165</v>
      </c>
      <c r="FC10" t="s">
        <v>165</v>
      </c>
      <c r="FD10" t="s">
        <v>165</v>
      </c>
      <c r="FE10" s="182">
        <v>8.1838312970395677</v>
      </c>
      <c r="FF10" s="178" t="s">
        <v>170</v>
      </c>
      <c r="FG10" s="178">
        <v>3.0802493067743519E-2</v>
      </c>
      <c r="FH10" s="178">
        <v>3.0802493067743519E-2</v>
      </c>
      <c r="FI10" s="183">
        <v>274.72017738406402</v>
      </c>
      <c r="FJ10" s="178">
        <v>21</v>
      </c>
      <c r="FK10" t="s">
        <v>217</v>
      </c>
      <c r="FL10" s="184">
        <v>253.72017738406402</v>
      </c>
      <c r="FM10">
        <v>29</v>
      </c>
      <c r="FN10">
        <v>29</v>
      </c>
      <c r="FO10" t="s">
        <v>195</v>
      </c>
      <c r="FP10" t="s">
        <v>218</v>
      </c>
      <c r="FQ10" t="s">
        <v>219</v>
      </c>
      <c r="FR10" t="s">
        <v>219</v>
      </c>
      <c r="FS10" t="s">
        <v>219</v>
      </c>
      <c r="FT10" t="s">
        <v>219</v>
      </c>
      <c r="FU10" t="s">
        <v>219</v>
      </c>
      <c r="FV10" t="s">
        <v>219</v>
      </c>
      <c r="FW10" t="s">
        <v>219</v>
      </c>
      <c r="FX10" t="s">
        <v>219</v>
      </c>
      <c r="FY10" t="s">
        <v>219</v>
      </c>
      <c r="FZ10" t="s">
        <v>219</v>
      </c>
      <c r="GA10" t="s">
        <v>219</v>
      </c>
      <c r="GB10" t="s">
        <v>219</v>
      </c>
      <c r="GC10" t="s">
        <v>220</v>
      </c>
    </row>
    <row r="11" spans="1:185" ht="16">
      <c r="A11" t="s">
        <v>171</v>
      </c>
      <c r="B11" s="169" t="s">
        <v>172</v>
      </c>
      <c r="C11" s="140" t="s">
        <v>162</v>
      </c>
      <c r="D11" t="s">
        <v>173</v>
      </c>
      <c r="E11">
        <v>2013</v>
      </c>
      <c r="F11" t="s">
        <v>175</v>
      </c>
      <c r="G11" s="189">
        <f t="shared" si="1"/>
        <v>11.65</v>
      </c>
      <c r="H11">
        <f t="shared" si="2"/>
        <v>3.5000000000000003E-2</v>
      </c>
      <c r="I11">
        <f t="shared" si="3"/>
        <v>3.5000000000000003E-2</v>
      </c>
      <c r="J11">
        <f t="shared" si="4"/>
        <v>272.177766147066</v>
      </c>
      <c r="K11">
        <f t="shared" si="5"/>
        <v>29</v>
      </c>
      <c r="L11">
        <f t="shared" si="6"/>
        <v>29</v>
      </c>
      <c r="M11" t="b">
        <v>1</v>
      </c>
      <c r="N11">
        <v>3</v>
      </c>
      <c r="O11" s="193" t="s">
        <v>306</v>
      </c>
      <c r="P11" s="193" t="s">
        <v>307</v>
      </c>
      <c r="Q11" t="b">
        <v>0</v>
      </c>
      <c r="R11" t="s">
        <v>165</v>
      </c>
      <c r="S11" t="b">
        <v>1</v>
      </c>
      <c r="T11" t="b">
        <v>0</v>
      </c>
      <c r="U11" t="s">
        <v>165</v>
      </c>
      <c r="V11" t="b">
        <v>0</v>
      </c>
      <c r="W11" t="b">
        <v>0</v>
      </c>
      <c r="X11" t="s">
        <v>165</v>
      </c>
      <c r="Y11" s="170" t="s">
        <v>176</v>
      </c>
      <c r="Z11" t="s">
        <v>175</v>
      </c>
      <c r="AA11" t="s">
        <v>163</v>
      </c>
      <c r="AB11" t="s">
        <v>164</v>
      </c>
      <c r="AC11">
        <v>1</v>
      </c>
      <c r="AD11">
        <v>1</v>
      </c>
      <c r="AE11">
        <v>47</v>
      </c>
      <c r="AF11">
        <v>49</v>
      </c>
      <c r="AG11" s="171">
        <v>0.48</v>
      </c>
      <c r="AH11">
        <f t="shared" si="7"/>
        <v>0.48</v>
      </c>
      <c r="AI11" t="s">
        <v>177</v>
      </c>
      <c r="AJ11" t="s">
        <v>166</v>
      </c>
      <c r="AK11" s="172">
        <v>12.75</v>
      </c>
      <c r="AL11" s="172">
        <v>-78.73</v>
      </c>
      <c r="AM11" s="172">
        <v>12.75</v>
      </c>
      <c r="AN11" s="172">
        <v>-78.73</v>
      </c>
      <c r="AO11" s="172">
        <v>-2827</v>
      </c>
      <c r="AP11" s="172">
        <v>-2827</v>
      </c>
      <c r="AQ11" t="s">
        <v>178</v>
      </c>
      <c r="AR11" t="s">
        <v>168</v>
      </c>
      <c r="AS11" s="173">
        <v>11.65</v>
      </c>
      <c r="AT11" s="174" t="s">
        <v>167</v>
      </c>
      <c r="AU11">
        <v>3.5000000000000003E-2</v>
      </c>
      <c r="AV11">
        <v>3.5000000000000003E-2</v>
      </c>
      <c r="AW11" t="s">
        <v>179</v>
      </c>
      <c r="AX11" t="s">
        <v>269</v>
      </c>
      <c r="AY11" s="175" t="s">
        <v>180</v>
      </c>
      <c r="AZ11" t="s">
        <v>165</v>
      </c>
      <c r="BA11" t="s">
        <v>165</v>
      </c>
      <c r="BB11" t="s">
        <v>165</v>
      </c>
      <c r="BC11" t="s">
        <v>165</v>
      </c>
      <c r="BD11" t="s">
        <v>165</v>
      </c>
      <c r="BE11" t="s">
        <v>165</v>
      </c>
      <c r="BF11" t="s">
        <v>165</v>
      </c>
      <c r="BG11" t="s">
        <v>181</v>
      </c>
      <c r="BH11" t="s">
        <v>182</v>
      </c>
      <c r="BI11" t="s">
        <v>183</v>
      </c>
      <c r="BJ11" s="176" t="s">
        <v>184</v>
      </c>
      <c r="BK11" t="s">
        <v>185</v>
      </c>
      <c r="BL11" t="s">
        <v>186</v>
      </c>
      <c r="BM11" t="s">
        <v>187</v>
      </c>
      <c r="BN11" t="s">
        <v>228</v>
      </c>
      <c r="BO11">
        <v>2</v>
      </c>
      <c r="BP11" s="177">
        <v>8.0000000000001847E-2</v>
      </c>
      <c r="BQ11" s="177">
        <v>20.72</v>
      </c>
      <c r="BR11" t="s">
        <v>189</v>
      </c>
      <c r="BS11">
        <v>0.25</v>
      </c>
      <c r="BT11">
        <v>0.6</v>
      </c>
      <c r="BU11" t="s">
        <v>190</v>
      </c>
      <c r="BV11" s="174">
        <v>0.08</v>
      </c>
      <c r="BW11">
        <v>8.8699999999999992</v>
      </c>
      <c r="BX11" t="s">
        <v>191</v>
      </c>
      <c r="BY11">
        <v>1.52</v>
      </c>
      <c r="BZ11" t="s">
        <v>192</v>
      </c>
      <c r="CA11" t="s">
        <v>193</v>
      </c>
      <c r="CB11" s="178">
        <v>19.7234612345747</v>
      </c>
      <c r="CC11" t="s">
        <v>169</v>
      </c>
      <c r="CD11" s="178">
        <v>0.36482719599280988</v>
      </c>
      <c r="CE11" t="s">
        <v>194</v>
      </c>
      <c r="CF11" t="s">
        <v>195</v>
      </c>
      <c r="CG11">
        <v>10</v>
      </c>
      <c r="CH11" t="s">
        <v>196</v>
      </c>
      <c r="CI11" t="s">
        <v>196</v>
      </c>
      <c r="CJ11" s="178">
        <v>27.040148393338331</v>
      </c>
      <c r="CK11" t="s">
        <v>197</v>
      </c>
      <c r="CL11">
        <v>1</v>
      </c>
      <c r="CM11">
        <v>1</v>
      </c>
      <c r="CN11" t="s">
        <v>198</v>
      </c>
      <c r="CO11" t="s">
        <v>165</v>
      </c>
      <c r="CP11" t="s">
        <v>165</v>
      </c>
      <c r="CQ11" t="s">
        <v>165</v>
      </c>
      <c r="CR11" t="s">
        <v>165</v>
      </c>
      <c r="CS11" t="s">
        <v>165</v>
      </c>
      <c r="CT11" t="s">
        <v>165</v>
      </c>
      <c r="CU11" t="s">
        <v>165</v>
      </c>
      <c r="CV11" t="s">
        <v>165</v>
      </c>
      <c r="CW11" t="s">
        <v>165</v>
      </c>
      <c r="CX11" t="s">
        <v>165</v>
      </c>
      <c r="CY11" t="s">
        <v>165</v>
      </c>
      <c r="CZ11" t="s">
        <v>165</v>
      </c>
      <c r="DA11" t="s">
        <v>165</v>
      </c>
      <c r="DB11" t="s">
        <v>165</v>
      </c>
      <c r="DC11" t="s">
        <v>165</v>
      </c>
      <c r="DD11" t="s">
        <v>165</v>
      </c>
      <c r="DE11" t="s">
        <v>165</v>
      </c>
      <c r="DF11" t="s">
        <v>165</v>
      </c>
      <c r="DG11" s="179">
        <v>36.51</v>
      </c>
      <c r="DH11" t="s">
        <v>167</v>
      </c>
      <c r="DI11">
        <v>1</v>
      </c>
      <c r="DJ11" s="180" t="s">
        <v>224</v>
      </c>
      <c r="DK11" t="s">
        <v>200</v>
      </c>
      <c r="DL11" t="s">
        <v>201</v>
      </c>
      <c r="DM11" t="s">
        <v>201</v>
      </c>
      <c r="DN11" t="s">
        <v>201</v>
      </c>
      <c r="DO11" t="s">
        <v>200</v>
      </c>
      <c r="DP11" t="s">
        <v>201</v>
      </c>
      <c r="DQ11" t="s">
        <v>201</v>
      </c>
      <c r="DR11" t="s">
        <v>201</v>
      </c>
      <c r="DS11" t="s">
        <v>200</v>
      </c>
      <c r="DT11" t="s">
        <v>201</v>
      </c>
      <c r="DU11" t="s">
        <v>201</v>
      </c>
      <c r="DV11" t="s">
        <v>201</v>
      </c>
      <c r="DW11" s="175">
        <v>451.22442183163736</v>
      </c>
      <c r="DX11" t="s">
        <v>202</v>
      </c>
      <c r="DY11" s="175">
        <v>12.358926919519035</v>
      </c>
      <c r="DZ11" t="s">
        <v>203</v>
      </c>
      <c r="EA11">
        <v>39.61</v>
      </c>
      <c r="EB11" t="s">
        <v>204</v>
      </c>
      <c r="EC11" t="s">
        <v>165</v>
      </c>
      <c r="ED11" t="s">
        <v>205</v>
      </c>
      <c r="EE11" t="s">
        <v>206</v>
      </c>
      <c r="EF11" t="s">
        <v>207</v>
      </c>
      <c r="EG11">
        <v>1.0271999999999999</v>
      </c>
      <c r="EH11" t="s">
        <v>208</v>
      </c>
      <c r="EI11" t="s">
        <v>208</v>
      </c>
      <c r="EJ11" t="s">
        <v>209</v>
      </c>
      <c r="EK11" t="s">
        <v>208</v>
      </c>
      <c r="EL11" t="s">
        <v>208</v>
      </c>
      <c r="EM11" t="s">
        <v>210</v>
      </c>
      <c r="EN11" t="s">
        <v>211</v>
      </c>
      <c r="EO11" t="s">
        <v>212</v>
      </c>
      <c r="EP11" t="s">
        <v>212</v>
      </c>
      <c r="EQ11" t="s">
        <v>206</v>
      </c>
      <c r="ER11" t="s">
        <v>165</v>
      </c>
      <c r="ES11" t="s">
        <v>165</v>
      </c>
      <c r="ET11" t="s">
        <v>213</v>
      </c>
      <c r="EU11" t="s">
        <v>214</v>
      </c>
      <c r="EV11" t="s">
        <v>215</v>
      </c>
      <c r="EW11" s="181">
        <v>2390.0703899999999</v>
      </c>
      <c r="EX11" t="s">
        <v>216</v>
      </c>
      <c r="EY11">
        <v>100</v>
      </c>
      <c r="EZ11">
        <v>100</v>
      </c>
      <c r="FA11" t="s">
        <v>165</v>
      </c>
      <c r="FB11" t="s">
        <v>165</v>
      </c>
      <c r="FC11" t="s">
        <v>165</v>
      </c>
      <c r="FD11" t="s">
        <v>165</v>
      </c>
      <c r="FE11" s="182">
        <v>8.1633079275447642</v>
      </c>
      <c r="FF11" s="178" t="s">
        <v>170</v>
      </c>
      <c r="FG11" s="178">
        <v>2.8716895124967223E-2</v>
      </c>
      <c r="FH11" s="178">
        <v>2.8716895124967223E-2</v>
      </c>
      <c r="FI11" s="183">
        <v>293.177766147066</v>
      </c>
      <c r="FJ11" s="178">
        <v>21</v>
      </c>
      <c r="FK11" t="s">
        <v>217</v>
      </c>
      <c r="FL11" s="184">
        <v>272.177766147066</v>
      </c>
      <c r="FM11">
        <v>29</v>
      </c>
      <c r="FN11">
        <v>29</v>
      </c>
      <c r="FO11" t="s">
        <v>195</v>
      </c>
      <c r="FP11" t="s">
        <v>218</v>
      </c>
      <c r="FQ11" t="s">
        <v>219</v>
      </c>
      <c r="FR11" t="s">
        <v>219</v>
      </c>
      <c r="FS11" t="s">
        <v>219</v>
      </c>
      <c r="FT11" t="s">
        <v>219</v>
      </c>
      <c r="FU11" t="s">
        <v>219</v>
      </c>
      <c r="FV11" t="s">
        <v>219</v>
      </c>
      <c r="FW11" t="s">
        <v>219</v>
      </c>
      <c r="FX11" t="s">
        <v>219</v>
      </c>
      <c r="FY11" t="s">
        <v>219</v>
      </c>
      <c r="FZ11" t="s">
        <v>219</v>
      </c>
      <c r="GA11" t="s">
        <v>219</v>
      </c>
      <c r="GB11" t="s">
        <v>219</v>
      </c>
      <c r="GC11" t="s">
        <v>220</v>
      </c>
    </row>
    <row r="12" spans="1:185" ht="16">
      <c r="A12" t="s">
        <v>171</v>
      </c>
      <c r="B12" s="169" t="s">
        <v>172</v>
      </c>
      <c r="C12" s="140" t="s">
        <v>162</v>
      </c>
      <c r="D12" t="s">
        <v>173</v>
      </c>
      <c r="E12">
        <v>2013</v>
      </c>
      <c r="F12" t="s">
        <v>175</v>
      </c>
      <c r="G12" s="189">
        <f t="shared" si="1"/>
        <v>14.013999999999999</v>
      </c>
      <c r="H12">
        <f t="shared" si="2"/>
        <v>3.5000000000000003E-2</v>
      </c>
      <c r="I12">
        <f t="shared" si="3"/>
        <v>3.5000000000000003E-2</v>
      </c>
      <c r="J12">
        <f t="shared" si="4"/>
        <v>250.77774382924002</v>
      </c>
      <c r="K12">
        <f t="shared" si="5"/>
        <v>29</v>
      </c>
      <c r="L12">
        <f t="shared" si="6"/>
        <v>29</v>
      </c>
      <c r="M12" t="b">
        <v>1</v>
      </c>
      <c r="N12">
        <v>3</v>
      </c>
      <c r="O12" s="193" t="s">
        <v>306</v>
      </c>
      <c r="P12" s="193" t="s">
        <v>307</v>
      </c>
      <c r="Q12" t="b">
        <v>0</v>
      </c>
      <c r="R12" t="s">
        <v>165</v>
      </c>
      <c r="S12" t="b">
        <v>1</v>
      </c>
      <c r="T12" t="b">
        <v>0</v>
      </c>
      <c r="U12" t="s">
        <v>165</v>
      </c>
      <c r="V12" t="b">
        <v>0</v>
      </c>
      <c r="W12" t="b">
        <v>0</v>
      </c>
      <c r="X12" t="s">
        <v>165</v>
      </c>
      <c r="Y12" s="170" t="s">
        <v>176</v>
      </c>
      <c r="Z12" t="s">
        <v>175</v>
      </c>
      <c r="AA12" t="s">
        <v>163</v>
      </c>
      <c r="AB12" t="s">
        <v>164</v>
      </c>
      <c r="AC12">
        <v>1</v>
      </c>
      <c r="AD12">
        <v>1</v>
      </c>
      <c r="AE12">
        <v>56</v>
      </c>
      <c r="AF12">
        <v>58</v>
      </c>
      <c r="AG12" s="171">
        <v>0.56999999999999995</v>
      </c>
      <c r="AH12">
        <f t="shared" si="7"/>
        <v>0.56999999999999995</v>
      </c>
      <c r="AI12" t="s">
        <v>177</v>
      </c>
      <c r="AJ12" t="s">
        <v>166</v>
      </c>
      <c r="AK12" s="172">
        <v>12.75</v>
      </c>
      <c r="AL12" s="172">
        <v>-78.73</v>
      </c>
      <c r="AM12" s="172">
        <v>12.75</v>
      </c>
      <c r="AN12" s="172">
        <v>-78.73</v>
      </c>
      <c r="AO12" s="172">
        <v>-2827</v>
      </c>
      <c r="AP12" s="172">
        <v>-2827</v>
      </c>
      <c r="AQ12" t="s">
        <v>178</v>
      </c>
      <c r="AR12" t="s">
        <v>168</v>
      </c>
      <c r="AS12" s="173">
        <v>14.013999999999999</v>
      </c>
      <c r="AT12" s="174" t="s">
        <v>167</v>
      </c>
      <c r="AU12">
        <v>3.5000000000000003E-2</v>
      </c>
      <c r="AV12">
        <v>3.5000000000000003E-2</v>
      </c>
      <c r="AW12" t="s">
        <v>179</v>
      </c>
      <c r="AX12" t="s">
        <v>269</v>
      </c>
      <c r="AY12" s="175" t="s">
        <v>180</v>
      </c>
      <c r="AZ12" t="s">
        <v>165</v>
      </c>
      <c r="BA12" t="s">
        <v>165</v>
      </c>
      <c r="BB12" t="s">
        <v>165</v>
      </c>
      <c r="BC12" t="s">
        <v>165</v>
      </c>
      <c r="BD12" t="s">
        <v>165</v>
      </c>
      <c r="BE12" t="s">
        <v>165</v>
      </c>
      <c r="BF12" t="s">
        <v>165</v>
      </c>
      <c r="BG12" t="s">
        <v>181</v>
      </c>
      <c r="BH12" t="s">
        <v>182</v>
      </c>
      <c r="BI12" t="s">
        <v>183</v>
      </c>
      <c r="BJ12" s="176" t="s">
        <v>184</v>
      </c>
      <c r="BK12" t="s">
        <v>185</v>
      </c>
      <c r="BL12" t="s">
        <v>186</v>
      </c>
      <c r="BM12" t="s">
        <v>187</v>
      </c>
      <c r="BN12" t="s">
        <v>229</v>
      </c>
      <c r="BO12">
        <v>2</v>
      </c>
      <c r="BP12" s="177">
        <v>0.19000000000000128</v>
      </c>
      <c r="BQ12" s="177">
        <v>20.975000000000001</v>
      </c>
      <c r="BR12" t="s">
        <v>189</v>
      </c>
      <c r="BS12">
        <v>0.25</v>
      </c>
      <c r="BT12">
        <v>0.6</v>
      </c>
      <c r="BU12" t="s">
        <v>190</v>
      </c>
      <c r="BV12" s="174">
        <v>0.08</v>
      </c>
      <c r="BW12">
        <v>8.8699999999999992</v>
      </c>
      <c r="BX12" t="s">
        <v>191</v>
      </c>
      <c r="BY12">
        <v>1.52</v>
      </c>
      <c r="BZ12" t="s">
        <v>192</v>
      </c>
      <c r="CA12" t="s">
        <v>193</v>
      </c>
      <c r="CB12" s="178">
        <v>20.146514352935206</v>
      </c>
      <c r="CC12" t="s">
        <v>169</v>
      </c>
      <c r="CD12" s="178">
        <v>0.41142575546448912</v>
      </c>
      <c r="CE12" t="s">
        <v>194</v>
      </c>
      <c r="CF12" t="s">
        <v>195</v>
      </c>
      <c r="CG12">
        <v>10</v>
      </c>
      <c r="CH12" t="s">
        <v>196</v>
      </c>
      <c r="CI12" t="s">
        <v>196</v>
      </c>
      <c r="CJ12" s="178">
        <v>27.383610082985108</v>
      </c>
      <c r="CK12" t="s">
        <v>197</v>
      </c>
      <c r="CL12">
        <v>1</v>
      </c>
      <c r="CM12">
        <v>1</v>
      </c>
      <c r="CN12" t="s">
        <v>198</v>
      </c>
      <c r="CO12" t="s">
        <v>165</v>
      </c>
      <c r="CP12" t="s">
        <v>165</v>
      </c>
      <c r="CQ12" t="s">
        <v>165</v>
      </c>
      <c r="CR12" t="s">
        <v>165</v>
      </c>
      <c r="CS12" t="s">
        <v>165</v>
      </c>
      <c r="CT12" t="s">
        <v>165</v>
      </c>
      <c r="CU12" t="s">
        <v>165</v>
      </c>
      <c r="CV12" t="s">
        <v>165</v>
      </c>
      <c r="CW12" t="s">
        <v>165</v>
      </c>
      <c r="CX12" t="s">
        <v>165</v>
      </c>
      <c r="CY12" t="s">
        <v>165</v>
      </c>
      <c r="CZ12" t="s">
        <v>165</v>
      </c>
      <c r="DA12" t="s">
        <v>165</v>
      </c>
      <c r="DB12" t="s">
        <v>165</v>
      </c>
      <c r="DC12" t="s">
        <v>165</v>
      </c>
      <c r="DD12" t="s">
        <v>165</v>
      </c>
      <c r="DE12" t="s">
        <v>165</v>
      </c>
      <c r="DF12" t="s">
        <v>165</v>
      </c>
      <c r="DG12" s="179">
        <v>36.82</v>
      </c>
      <c r="DH12" t="s">
        <v>167</v>
      </c>
      <c r="DI12">
        <v>1</v>
      </c>
      <c r="DJ12" s="180" t="s">
        <v>224</v>
      </c>
      <c r="DK12" t="s">
        <v>200</v>
      </c>
      <c r="DL12" t="s">
        <v>201</v>
      </c>
      <c r="DM12" t="s">
        <v>201</v>
      </c>
      <c r="DN12" t="s">
        <v>201</v>
      </c>
      <c r="DO12" t="s">
        <v>200</v>
      </c>
      <c r="DP12" t="s">
        <v>201</v>
      </c>
      <c r="DQ12" t="s">
        <v>201</v>
      </c>
      <c r="DR12" t="s">
        <v>201</v>
      </c>
      <c r="DS12" t="s">
        <v>200</v>
      </c>
      <c r="DT12" t="s">
        <v>201</v>
      </c>
      <c r="DU12" t="s">
        <v>201</v>
      </c>
      <c r="DV12" t="s">
        <v>201</v>
      </c>
      <c r="DW12" s="175">
        <v>455.05568917668819</v>
      </c>
      <c r="DX12" t="s">
        <v>202</v>
      </c>
      <c r="DY12" s="175">
        <v>12.358926919518922</v>
      </c>
      <c r="DZ12" t="s">
        <v>203</v>
      </c>
      <c r="EA12">
        <v>39.61</v>
      </c>
      <c r="EB12" t="s">
        <v>204</v>
      </c>
      <c r="EC12" t="s">
        <v>165</v>
      </c>
      <c r="ED12" t="s">
        <v>205</v>
      </c>
      <c r="EE12" t="s">
        <v>206</v>
      </c>
      <c r="EF12" t="s">
        <v>207</v>
      </c>
      <c r="EG12">
        <v>1.0271999999999999</v>
      </c>
      <c r="EH12" t="s">
        <v>208</v>
      </c>
      <c r="EI12" t="s">
        <v>208</v>
      </c>
      <c r="EJ12" t="s">
        <v>209</v>
      </c>
      <c r="EK12" t="s">
        <v>208</v>
      </c>
      <c r="EL12" t="s">
        <v>208</v>
      </c>
      <c r="EM12" t="s">
        <v>210</v>
      </c>
      <c r="EN12" t="s">
        <v>211</v>
      </c>
      <c r="EO12" t="s">
        <v>212</v>
      </c>
      <c r="EP12" t="s">
        <v>212</v>
      </c>
      <c r="EQ12" t="s">
        <v>206</v>
      </c>
      <c r="ER12" t="s">
        <v>165</v>
      </c>
      <c r="ES12" t="s">
        <v>165</v>
      </c>
      <c r="ET12" t="s">
        <v>213</v>
      </c>
      <c r="EU12" t="s">
        <v>214</v>
      </c>
      <c r="EV12" t="s">
        <v>215</v>
      </c>
      <c r="EW12" s="181">
        <v>2408.4189799999999</v>
      </c>
      <c r="EX12" t="s">
        <v>216</v>
      </c>
      <c r="EY12">
        <v>100</v>
      </c>
      <c r="EZ12">
        <v>100</v>
      </c>
      <c r="FA12" t="s">
        <v>165</v>
      </c>
      <c r="FB12" t="s">
        <v>165</v>
      </c>
      <c r="FC12" t="s">
        <v>165</v>
      </c>
      <c r="FD12" t="s">
        <v>165</v>
      </c>
      <c r="FE12" s="182">
        <v>8.1895150123048133</v>
      </c>
      <c r="FF12" s="178" t="s">
        <v>170</v>
      </c>
      <c r="FG12" s="178">
        <v>3.1355510397803599E-2</v>
      </c>
      <c r="FH12" s="178">
        <v>3.1355510397803599E-2</v>
      </c>
      <c r="FI12" s="183">
        <v>271.77774382924002</v>
      </c>
      <c r="FJ12" s="178">
        <v>21</v>
      </c>
      <c r="FK12" t="s">
        <v>217</v>
      </c>
      <c r="FL12" s="184">
        <v>250.77774382924002</v>
      </c>
      <c r="FM12">
        <v>29</v>
      </c>
      <c r="FN12">
        <v>29</v>
      </c>
      <c r="FO12" t="s">
        <v>195</v>
      </c>
      <c r="FP12" t="s">
        <v>218</v>
      </c>
      <c r="FQ12" t="s">
        <v>219</v>
      </c>
      <c r="FR12" t="s">
        <v>219</v>
      </c>
      <c r="FS12" t="s">
        <v>219</v>
      </c>
      <c r="FT12" t="s">
        <v>219</v>
      </c>
      <c r="FU12" t="s">
        <v>219</v>
      </c>
      <c r="FV12" t="s">
        <v>219</v>
      </c>
      <c r="FW12" t="s">
        <v>219</v>
      </c>
      <c r="FX12" t="s">
        <v>219</v>
      </c>
      <c r="FY12" t="s">
        <v>219</v>
      </c>
      <c r="FZ12" t="s">
        <v>219</v>
      </c>
      <c r="GA12" t="s">
        <v>219</v>
      </c>
      <c r="GB12" t="s">
        <v>219</v>
      </c>
      <c r="GC12" t="s">
        <v>220</v>
      </c>
    </row>
    <row r="13" spans="1:185" ht="16">
      <c r="A13" t="s">
        <v>171</v>
      </c>
      <c r="B13" s="169" t="s">
        <v>172</v>
      </c>
      <c r="C13" s="140" t="s">
        <v>162</v>
      </c>
      <c r="D13" t="s">
        <v>173</v>
      </c>
      <c r="E13">
        <v>2013</v>
      </c>
      <c r="F13" t="s">
        <v>175</v>
      </c>
      <c r="G13" s="189">
        <f t="shared" si="1"/>
        <v>15.07</v>
      </c>
      <c r="H13">
        <f t="shared" si="2"/>
        <v>3.5000000000000003E-2</v>
      </c>
      <c r="I13">
        <f t="shared" si="3"/>
        <v>3.5000000000000003E-2</v>
      </c>
      <c r="J13">
        <f t="shared" si="4"/>
        <v>249.48565789714002</v>
      </c>
      <c r="K13">
        <f t="shared" si="5"/>
        <v>29</v>
      </c>
      <c r="L13">
        <f t="shared" si="6"/>
        <v>29</v>
      </c>
      <c r="M13" t="b">
        <v>1</v>
      </c>
      <c r="N13">
        <v>3</v>
      </c>
      <c r="O13" s="193" t="s">
        <v>306</v>
      </c>
      <c r="P13" s="193" t="s">
        <v>307</v>
      </c>
      <c r="Q13" t="b">
        <v>0</v>
      </c>
      <c r="R13" t="s">
        <v>165</v>
      </c>
      <c r="S13" t="b">
        <v>1</v>
      </c>
      <c r="T13" t="b">
        <v>0</v>
      </c>
      <c r="U13" t="s">
        <v>165</v>
      </c>
      <c r="V13" t="b">
        <v>0</v>
      </c>
      <c r="W13" t="b">
        <v>0</v>
      </c>
      <c r="X13" t="s">
        <v>165</v>
      </c>
      <c r="Y13" s="170" t="s">
        <v>176</v>
      </c>
      <c r="Z13" t="s">
        <v>175</v>
      </c>
      <c r="AA13" t="s">
        <v>163</v>
      </c>
      <c r="AB13" t="s">
        <v>164</v>
      </c>
      <c r="AC13">
        <v>1</v>
      </c>
      <c r="AD13">
        <v>1</v>
      </c>
      <c r="AE13">
        <v>60</v>
      </c>
      <c r="AF13">
        <v>62</v>
      </c>
      <c r="AG13" s="171">
        <v>0.61</v>
      </c>
      <c r="AH13">
        <f t="shared" si="7"/>
        <v>0.61</v>
      </c>
      <c r="AI13" t="s">
        <v>177</v>
      </c>
      <c r="AJ13" t="s">
        <v>166</v>
      </c>
      <c r="AK13" s="172">
        <v>12.75</v>
      </c>
      <c r="AL13" s="172">
        <v>-78.73</v>
      </c>
      <c r="AM13" s="172">
        <v>12.75</v>
      </c>
      <c r="AN13" s="172">
        <v>-78.73</v>
      </c>
      <c r="AO13" s="172">
        <v>-2827</v>
      </c>
      <c r="AP13" s="172">
        <v>-2827</v>
      </c>
      <c r="AQ13" t="s">
        <v>178</v>
      </c>
      <c r="AR13" t="s">
        <v>168</v>
      </c>
      <c r="AS13" s="173">
        <v>15.07</v>
      </c>
      <c r="AT13" s="174" t="s">
        <v>167</v>
      </c>
      <c r="AU13">
        <v>3.5000000000000003E-2</v>
      </c>
      <c r="AV13">
        <v>3.5000000000000003E-2</v>
      </c>
      <c r="AW13" t="s">
        <v>179</v>
      </c>
      <c r="AX13" t="s">
        <v>269</v>
      </c>
      <c r="AY13" s="175" t="s">
        <v>180</v>
      </c>
      <c r="AZ13" t="s">
        <v>165</v>
      </c>
      <c r="BA13" t="s">
        <v>165</v>
      </c>
      <c r="BB13" t="s">
        <v>165</v>
      </c>
      <c r="BC13" t="s">
        <v>165</v>
      </c>
      <c r="BD13" t="s">
        <v>165</v>
      </c>
      <c r="BE13" t="s">
        <v>165</v>
      </c>
      <c r="BF13" t="s">
        <v>165</v>
      </c>
      <c r="BG13" t="s">
        <v>181</v>
      </c>
      <c r="BH13" t="s">
        <v>182</v>
      </c>
      <c r="BI13" t="s">
        <v>183</v>
      </c>
      <c r="BJ13" s="176" t="s">
        <v>184</v>
      </c>
      <c r="BK13" t="s">
        <v>185</v>
      </c>
      <c r="BL13" t="s">
        <v>186</v>
      </c>
      <c r="BM13" t="s">
        <v>187</v>
      </c>
      <c r="BN13" t="s">
        <v>230</v>
      </c>
      <c r="BO13">
        <v>2</v>
      </c>
      <c r="BP13" s="177">
        <v>0.12999999999999901</v>
      </c>
      <c r="BQ13" s="177">
        <v>21.015000000000001</v>
      </c>
      <c r="BR13" t="s">
        <v>189</v>
      </c>
      <c r="BS13">
        <v>0.25</v>
      </c>
      <c r="BT13">
        <v>0.6</v>
      </c>
      <c r="BU13" t="s">
        <v>190</v>
      </c>
      <c r="BV13" s="174">
        <v>0.08</v>
      </c>
      <c r="BW13">
        <v>8.8699999999999992</v>
      </c>
      <c r="BX13" t="s">
        <v>191</v>
      </c>
      <c r="BY13">
        <v>1.52</v>
      </c>
      <c r="BZ13" t="s">
        <v>192</v>
      </c>
      <c r="CA13" t="s">
        <v>193</v>
      </c>
      <c r="CB13" s="178">
        <v>20.21551370865286</v>
      </c>
      <c r="CC13" t="s">
        <v>169</v>
      </c>
      <c r="CD13" s="178">
        <v>0.41937801739341579</v>
      </c>
      <c r="CE13" t="s">
        <v>194</v>
      </c>
      <c r="CF13" t="s">
        <v>195</v>
      </c>
      <c r="CG13">
        <v>10</v>
      </c>
      <c r="CH13" t="s">
        <v>196</v>
      </c>
      <c r="CI13" t="s">
        <v>196</v>
      </c>
      <c r="CJ13" s="178">
        <v>27.410931483187433</v>
      </c>
      <c r="CK13" t="s">
        <v>197</v>
      </c>
      <c r="CL13">
        <v>1</v>
      </c>
      <c r="CM13">
        <v>1</v>
      </c>
      <c r="CN13" t="s">
        <v>198</v>
      </c>
      <c r="CO13" t="s">
        <v>165</v>
      </c>
      <c r="CP13" t="s">
        <v>165</v>
      </c>
      <c r="CQ13" t="s">
        <v>165</v>
      </c>
      <c r="CR13" t="s">
        <v>165</v>
      </c>
      <c r="CS13" t="s">
        <v>165</v>
      </c>
      <c r="CT13" t="s">
        <v>165</v>
      </c>
      <c r="CU13" t="s">
        <v>165</v>
      </c>
      <c r="CV13" t="s">
        <v>165</v>
      </c>
      <c r="CW13" t="s">
        <v>165</v>
      </c>
      <c r="CX13" t="s">
        <v>165</v>
      </c>
      <c r="CY13" t="s">
        <v>165</v>
      </c>
      <c r="CZ13" t="s">
        <v>165</v>
      </c>
      <c r="DA13" t="s">
        <v>165</v>
      </c>
      <c r="DB13" t="s">
        <v>165</v>
      </c>
      <c r="DC13" t="s">
        <v>165</v>
      </c>
      <c r="DD13" t="s">
        <v>165</v>
      </c>
      <c r="DE13" t="s">
        <v>165</v>
      </c>
      <c r="DF13" t="s">
        <v>165</v>
      </c>
      <c r="DG13" s="179">
        <v>37.1</v>
      </c>
      <c r="DH13" t="s">
        <v>167</v>
      </c>
      <c r="DI13">
        <v>1</v>
      </c>
      <c r="DJ13" s="180" t="s">
        <v>224</v>
      </c>
      <c r="DK13" t="s">
        <v>200</v>
      </c>
      <c r="DL13" t="s">
        <v>201</v>
      </c>
      <c r="DM13" t="s">
        <v>201</v>
      </c>
      <c r="DN13" t="s">
        <v>201</v>
      </c>
      <c r="DO13" t="s">
        <v>200</v>
      </c>
      <c r="DP13" t="s">
        <v>201</v>
      </c>
      <c r="DQ13" t="s">
        <v>201</v>
      </c>
      <c r="DR13" t="s">
        <v>201</v>
      </c>
      <c r="DS13" t="s">
        <v>200</v>
      </c>
      <c r="DT13" t="s">
        <v>201</v>
      </c>
      <c r="DU13" t="s">
        <v>201</v>
      </c>
      <c r="DV13" t="s">
        <v>201</v>
      </c>
      <c r="DW13" s="175">
        <v>458.51618871415354</v>
      </c>
      <c r="DX13" t="s">
        <v>202</v>
      </c>
      <c r="DY13" s="175">
        <v>12.358926919518922</v>
      </c>
      <c r="DZ13" t="s">
        <v>203</v>
      </c>
      <c r="EA13">
        <v>39.61</v>
      </c>
      <c r="EB13" t="s">
        <v>204</v>
      </c>
      <c r="EC13" t="s">
        <v>165</v>
      </c>
      <c r="ED13" t="s">
        <v>205</v>
      </c>
      <c r="EE13" t="s">
        <v>206</v>
      </c>
      <c r="EF13" t="s">
        <v>207</v>
      </c>
      <c r="EG13">
        <v>1.0271999999999999</v>
      </c>
      <c r="EH13" t="s">
        <v>208</v>
      </c>
      <c r="EI13" t="s">
        <v>208</v>
      </c>
      <c r="EJ13" t="s">
        <v>209</v>
      </c>
      <c r="EK13" t="s">
        <v>208</v>
      </c>
      <c r="EL13" t="s">
        <v>208</v>
      </c>
      <c r="EM13" t="s">
        <v>210</v>
      </c>
      <c r="EN13" t="s">
        <v>211</v>
      </c>
      <c r="EO13" t="s">
        <v>212</v>
      </c>
      <c r="EP13" t="s">
        <v>212</v>
      </c>
      <c r="EQ13" t="s">
        <v>206</v>
      </c>
      <c r="ER13" t="s">
        <v>165</v>
      </c>
      <c r="ES13" t="s">
        <v>165</v>
      </c>
      <c r="ET13" t="s">
        <v>213</v>
      </c>
      <c r="EU13" t="s">
        <v>214</v>
      </c>
      <c r="EV13" t="s">
        <v>215</v>
      </c>
      <c r="EW13" s="181">
        <v>2424.9919</v>
      </c>
      <c r="EX13" t="s">
        <v>216</v>
      </c>
      <c r="EY13">
        <v>100</v>
      </c>
      <c r="EZ13">
        <v>100</v>
      </c>
      <c r="FA13" t="s">
        <v>165</v>
      </c>
      <c r="FB13" t="s">
        <v>165</v>
      </c>
      <c r="FC13" t="s">
        <v>165</v>
      </c>
      <c r="FD13" t="s">
        <v>165</v>
      </c>
      <c r="FE13" s="182">
        <v>8.1930249153401498</v>
      </c>
      <c r="FF13" s="178" t="s">
        <v>170</v>
      </c>
      <c r="FG13" s="178">
        <v>3.1803617057670763E-2</v>
      </c>
      <c r="FH13" s="178">
        <v>3.1803617057670763E-2</v>
      </c>
      <c r="FI13" s="183">
        <v>270.48565789714002</v>
      </c>
      <c r="FJ13" s="178">
        <v>21</v>
      </c>
      <c r="FK13" t="s">
        <v>217</v>
      </c>
      <c r="FL13" s="184">
        <v>249.48565789714002</v>
      </c>
      <c r="FM13">
        <v>29</v>
      </c>
      <c r="FN13">
        <v>29</v>
      </c>
      <c r="FO13" t="s">
        <v>195</v>
      </c>
      <c r="FP13" t="s">
        <v>218</v>
      </c>
      <c r="FQ13" t="s">
        <v>219</v>
      </c>
      <c r="FR13" t="s">
        <v>219</v>
      </c>
      <c r="FS13" t="s">
        <v>219</v>
      </c>
      <c r="FT13" t="s">
        <v>219</v>
      </c>
      <c r="FU13" t="s">
        <v>219</v>
      </c>
      <c r="FV13" t="s">
        <v>219</v>
      </c>
      <c r="FW13" t="s">
        <v>219</v>
      </c>
      <c r="FX13" t="s">
        <v>219</v>
      </c>
      <c r="FY13" t="s">
        <v>219</v>
      </c>
      <c r="FZ13" t="s">
        <v>219</v>
      </c>
      <c r="GA13" t="s">
        <v>219</v>
      </c>
      <c r="GB13" t="s">
        <v>219</v>
      </c>
      <c r="GC13" t="s">
        <v>220</v>
      </c>
    </row>
    <row r="14" spans="1:185" ht="16">
      <c r="A14" t="s">
        <v>171</v>
      </c>
      <c r="B14" s="169" t="s">
        <v>172</v>
      </c>
      <c r="C14" s="140" t="s">
        <v>162</v>
      </c>
      <c r="D14" t="s">
        <v>173</v>
      </c>
      <c r="E14">
        <v>2013</v>
      </c>
      <c r="F14" t="s">
        <v>175</v>
      </c>
      <c r="G14" s="189">
        <f t="shared" si="1"/>
        <v>15.07</v>
      </c>
      <c r="H14">
        <f t="shared" si="2"/>
        <v>3.5000000000000003E-2</v>
      </c>
      <c r="I14">
        <f t="shared" si="3"/>
        <v>3.5000000000000003E-2</v>
      </c>
      <c r="J14">
        <f t="shared" si="4"/>
        <v>236.57722292000602</v>
      </c>
      <c r="K14">
        <f t="shared" si="5"/>
        <v>29</v>
      </c>
      <c r="L14">
        <f t="shared" si="6"/>
        <v>29</v>
      </c>
      <c r="M14" t="b">
        <v>1</v>
      </c>
      <c r="N14">
        <v>3</v>
      </c>
      <c r="O14" s="193" t="s">
        <v>306</v>
      </c>
      <c r="P14" s="193" t="s">
        <v>307</v>
      </c>
      <c r="Q14" t="b">
        <v>0</v>
      </c>
      <c r="R14" t="s">
        <v>165</v>
      </c>
      <c r="S14" t="b">
        <v>1</v>
      </c>
      <c r="T14" t="b">
        <v>0</v>
      </c>
      <c r="U14" t="s">
        <v>165</v>
      </c>
      <c r="V14" t="b">
        <v>0</v>
      </c>
      <c r="W14" t="b">
        <v>0</v>
      </c>
      <c r="X14" t="s">
        <v>165</v>
      </c>
      <c r="Y14" s="170" t="s">
        <v>176</v>
      </c>
      <c r="Z14" t="s">
        <v>175</v>
      </c>
      <c r="AA14" t="s">
        <v>163</v>
      </c>
      <c r="AB14" t="s">
        <v>164</v>
      </c>
      <c r="AC14">
        <v>1</v>
      </c>
      <c r="AD14">
        <v>1</v>
      </c>
      <c r="AE14" s="185">
        <v>60</v>
      </c>
      <c r="AF14">
        <v>62</v>
      </c>
      <c r="AG14" s="171">
        <v>0.61</v>
      </c>
      <c r="AH14">
        <f t="shared" si="7"/>
        <v>0.61</v>
      </c>
      <c r="AI14" t="s">
        <v>177</v>
      </c>
      <c r="AJ14" t="s">
        <v>166</v>
      </c>
      <c r="AK14" s="172">
        <v>12.75</v>
      </c>
      <c r="AL14" s="172">
        <v>-78.73</v>
      </c>
      <c r="AM14" s="172">
        <v>12.75</v>
      </c>
      <c r="AN14" s="172">
        <v>-78.73</v>
      </c>
      <c r="AO14" s="172">
        <v>-2827</v>
      </c>
      <c r="AP14" s="172">
        <v>-2827</v>
      </c>
      <c r="AQ14" t="s">
        <v>178</v>
      </c>
      <c r="AR14" t="s">
        <v>168</v>
      </c>
      <c r="AS14" s="173">
        <v>15.07</v>
      </c>
      <c r="AT14" s="174" t="s">
        <v>167</v>
      </c>
      <c r="AU14">
        <v>3.5000000000000003E-2</v>
      </c>
      <c r="AV14">
        <v>3.5000000000000003E-2</v>
      </c>
      <c r="AW14" t="s">
        <v>179</v>
      </c>
      <c r="AX14" t="s">
        <v>269</v>
      </c>
      <c r="AY14" s="175" t="s">
        <v>180</v>
      </c>
      <c r="AZ14" t="s">
        <v>165</v>
      </c>
      <c r="BA14" t="s">
        <v>165</v>
      </c>
      <c r="BB14" t="s">
        <v>165</v>
      </c>
      <c r="BC14" t="s">
        <v>165</v>
      </c>
      <c r="BD14" t="s">
        <v>165</v>
      </c>
      <c r="BE14" t="s">
        <v>165</v>
      </c>
      <c r="BF14" t="s">
        <v>165</v>
      </c>
      <c r="BG14" t="s">
        <v>181</v>
      </c>
      <c r="BH14" t="s">
        <v>182</v>
      </c>
      <c r="BI14" t="s">
        <v>183</v>
      </c>
      <c r="BJ14" s="176" t="s">
        <v>184</v>
      </c>
      <c r="BK14" t="s">
        <v>185</v>
      </c>
      <c r="BL14" t="s">
        <v>186</v>
      </c>
      <c r="BM14" t="s">
        <v>187</v>
      </c>
      <c r="BN14" t="s">
        <v>231</v>
      </c>
      <c r="BO14">
        <v>2</v>
      </c>
      <c r="BP14" s="177">
        <v>0.12000000000000098</v>
      </c>
      <c r="BQ14" s="177">
        <v>21.15</v>
      </c>
      <c r="BR14" t="s">
        <v>189</v>
      </c>
      <c r="BS14">
        <v>0.25</v>
      </c>
      <c r="BT14">
        <v>0.6</v>
      </c>
      <c r="BU14" t="s">
        <v>190</v>
      </c>
      <c r="BV14" s="174">
        <v>0.08</v>
      </c>
      <c r="BW14">
        <v>8.8699999999999992</v>
      </c>
      <c r="BX14" t="s">
        <v>191</v>
      </c>
      <c r="BY14">
        <v>1.52</v>
      </c>
      <c r="BZ14" t="s">
        <v>192</v>
      </c>
      <c r="CA14" t="s">
        <v>193</v>
      </c>
      <c r="CB14" s="178">
        <v>20.432302821850936</v>
      </c>
      <c r="CC14" t="s">
        <v>169</v>
      </c>
      <c r="CD14" s="178">
        <v>0.44488888980246366</v>
      </c>
      <c r="CE14" t="s">
        <v>194</v>
      </c>
      <c r="CF14" t="s">
        <v>195</v>
      </c>
      <c r="CG14">
        <v>10</v>
      </c>
      <c r="CH14" t="s">
        <v>196</v>
      </c>
      <c r="CI14" t="s">
        <v>196</v>
      </c>
      <c r="CJ14" s="178">
        <v>27.410931483187433</v>
      </c>
      <c r="CK14" t="s">
        <v>197</v>
      </c>
      <c r="CL14">
        <v>1</v>
      </c>
      <c r="CM14">
        <v>1</v>
      </c>
      <c r="CN14" t="s">
        <v>198</v>
      </c>
      <c r="CO14" t="s">
        <v>165</v>
      </c>
      <c r="CP14" t="s">
        <v>165</v>
      </c>
      <c r="CQ14" t="s">
        <v>165</v>
      </c>
      <c r="CR14" t="s">
        <v>165</v>
      </c>
      <c r="CS14" t="s">
        <v>165</v>
      </c>
      <c r="CT14" t="s">
        <v>165</v>
      </c>
      <c r="CU14" t="s">
        <v>165</v>
      </c>
      <c r="CV14" t="s">
        <v>165</v>
      </c>
      <c r="CW14" t="s">
        <v>165</v>
      </c>
      <c r="CX14" t="s">
        <v>165</v>
      </c>
      <c r="CY14" t="s">
        <v>165</v>
      </c>
      <c r="CZ14" t="s">
        <v>165</v>
      </c>
      <c r="DA14" t="s">
        <v>165</v>
      </c>
      <c r="DB14" t="s">
        <v>165</v>
      </c>
      <c r="DC14" t="s">
        <v>165</v>
      </c>
      <c r="DD14" t="s">
        <v>165</v>
      </c>
      <c r="DE14" t="s">
        <v>165</v>
      </c>
      <c r="DF14" t="s">
        <v>165</v>
      </c>
      <c r="DG14" s="179">
        <v>37.1</v>
      </c>
      <c r="DH14" t="s">
        <v>167</v>
      </c>
      <c r="DI14">
        <v>1</v>
      </c>
      <c r="DJ14" s="180" t="s">
        <v>224</v>
      </c>
      <c r="DK14" t="s">
        <v>200</v>
      </c>
      <c r="DL14" t="s">
        <v>201</v>
      </c>
      <c r="DM14" t="s">
        <v>201</v>
      </c>
      <c r="DN14" t="s">
        <v>201</v>
      </c>
      <c r="DO14" t="s">
        <v>200</v>
      </c>
      <c r="DP14" t="s">
        <v>201</v>
      </c>
      <c r="DQ14" t="s">
        <v>201</v>
      </c>
      <c r="DR14" t="s">
        <v>201</v>
      </c>
      <c r="DS14" t="s">
        <v>200</v>
      </c>
      <c r="DT14" t="s">
        <v>201</v>
      </c>
      <c r="DU14" t="s">
        <v>201</v>
      </c>
      <c r="DV14" t="s">
        <v>201</v>
      </c>
      <c r="DW14" s="175">
        <v>458.51618871415354</v>
      </c>
      <c r="DX14" t="s">
        <v>202</v>
      </c>
      <c r="DY14" s="175">
        <v>12.358926919518922</v>
      </c>
      <c r="DZ14" t="s">
        <v>203</v>
      </c>
      <c r="EA14">
        <v>39.61</v>
      </c>
      <c r="EB14" t="s">
        <v>204</v>
      </c>
      <c r="EC14" t="s">
        <v>165</v>
      </c>
      <c r="ED14" t="s">
        <v>205</v>
      </c>
      <c r="EE14" t="s">
        <v>206</v>
      </c>
      <c r="EF14" t="s">
        <v>207</v>
      </c>
      <c r="EG14">
        <v>1.0271999999999999</v>
      </c>
      <c r="EH14" t="s">
        <v>208</v>
      </c>
      <c r="EI14" t="s">
        <v>208</v>
      </c>
      <c r="EJ14" t="s">
        <v>209</v>
      </c>
      <c r="EK14" t="s">
        <v>208</v>
      </c>
      <c r="EL14" t="s">
        <v>208</v>
      </c>
      <c r="EM14" t="s">
        <v>210</v>
      </c>
      <c r="EN14" t="s">
        <v>211</v>
      </c>
      <c r="EO14" t="s">
        <v>212</v>
      </c>
      <c r="EP14" t="s">
        <v>212</v>
      </c>
      <c r="EQ14" t="s">
        <v>206</v>
      </c>
      <c r="ER14" t="s">
        <v>165</v>
      </c>
      <c r="ES14" t="s">
        <v>165</v>
      </c>
      <c r="ET14" t="s">
        <v>213</v>
      </c>
      <c r="EU14" t="s">
        <v>214</v>
      </c>
      <c r="EV14" t="s">
        <v>215</v>
      </c>
      <c r="EW14" s="181">
        <v>2424.9919</v>
      </c>
      <c r="EX14" t="s">
        <v>216</v>
      </c>
      <c r="EY14">
        <v>100</v>
      </c>
      <c r="EZ14">
        <v>100</v>
      </c>
      <c r="FA14" t="s">
        <v>165</v>
      </c>
      <c r="FB14" t="s">
        <v>165</v>
      </c>
      <c r="FC14" t="s">
        <v>165</v>
      </c>
      <c r="FD14" t="s">
        <v>165</v>
      </c>
      <c r="FE14" s="182">
        <v>8.2093299111009408</v>
      </c>
      <c r="FF14" s="178" t="s">
        <v>170</v>
      </c>
      <c r="FG14" s="178">
        <v>3.3235319550685816E-2</v>
      </c>
      <c r="FH14" s="178">
        <v>3.3235319550685816E-2</v>
      </c>
      <c r="FI14" s="183">
        <v>257.57722292000602</v>
      </c>
      <c r="FJ14" s="178">
        <v>21</v>
      </c>
      <c r="FK14" t="s">
        <v>217</v>
      </c>
      <c r="FL14" s="184">
        <v>236.57722292000602</v>
      </c>
      <c r="FM14">
        <v>29</v>
      </c>
      <c r="FN14">
        <v>29</v>
      </c>
      <c r="FO14" t="s">
        <v>195</v>
      </c>
      <c r="FP14" t="s">
        <v>218</v>
      </c>
      <c r="FQ14" t="s">
        <v>219</v>
      </c>
      <c r="FR14" t="s">
        <v>219</v>
      </c>
      <c r="FS14" t="s">
        <v>219</v>
      </c>
      <c r="FT14" t="s">
        <v>219</v>
      </c>
      <c r="FU14" t="s">
        <v>219</v>
      </c>
      <c r="FV14" t="s">
        <v>219</v>
      </c>
      <c r="FW14" t="s">
        <v>219</v>
      </c>
      <c r="FX14" t="s">
        <v>219</v>
      </c>
      <c r="FY14" t="s">
        <v>219</v>
      </c>
      <c r="FZ14" t="s">
        <v>219</v>
      </c>
      <c r="GA14" t="s">
        <v>219</v>
      </c>
      <c r="GB14" t="s">
        <v>219</v>
      </c>
      <c r="GC14" t="s">
        <v>220</v>
      </c>
    </row>
    <row r="15" spans="1:185" ht="16">
      <c r="A15" t="s">
        <v>171</v>
      </c>
      <c r="B15" s="169" t="s">
        <v>172</v>
      </c>
      <c r="C15" s="140" t="s">
        <v>162</v>
      </c>
      <c r="D15" t="s">
        <v>173</v>
      </c>
      <c r="E15">
        <v>2013</v>
      </c>
      <c r="F15" t="s">
        <v>175</v>
      </c>
      <c r="G15" s="189">
        <f t="shared" si="1"/>
        <v>17.260000000000002</v>
      </c>
      <c r="H15">
        <f t="shared" si="2"/>
        <v>3.5000000000000003E-2</v>
      </c>
      <c r="I15">
        <f t="shared" si="3"/>
        <v>3.5000000000000003E-2</v>
      </c>
      <c r="J15">
        <f t="shared" si="4"/>
        <v>240.35419822654598</v>
      </c>
      <c r="K15">
        <f t="shared" si="5"/>
        <v>29</v>
      </c>
      <c r="L15">
        <f t="shared" si="6"/>
        <v>29</v>
      </c>
      <c r="M15" t="b">
        <v>1</v>
      </c>
      <c r="N15">
        <v>3</v>
      </c>
      <c r="O15" s="193" t="s">
        <v>306</v>
      </c>
      <c r="P15" s="193" t="s">
        <v>307</v>
      </c>
      <c r="Q15" t="b">
        <v>0</v>
      </c>
      <c r="R15" t="s">
        <v>165</v>
      </c>
      <c r="S15" t="b">
        <v>1</v>
      </c>
      <c r="T15" t="b">
        <v>0</v>
      </c>
      <c r="U15" t="s">
        <v>165</v>
      </c>
      <c r="V15" t="b">
        <v>0</v>
      </c>
      <c r="W15" t="b">
        <v>0</v>
      </c>
      <c r="X15" t="s">
        <v>165</v>
      </c>
      <c r="Y15" s="170" t="s">
        <v>176</v>
      </c>
      <c r="Z15" t="s">
        <v>175</v>
      </c>
      <c r="AA15" t="s">
        <v>163</v>
      </c>
      <c r="AB15" t="s">
        <v>164</v>
      </c>
      <c r="AC15">
        <v>1</v>
      </c>
      <c r="AD15">
        <v>1</v>
      </c>
      <c r="AE15">
        <v>70</v>
      </c>
      <c r="AF15">
        <v>72</v>
      </c>
      <c r="AG15" s="171">
        <v>0.71</v>
      </c>
      <c r="AH15">
        <f t="shared" si="7"/>
        <v>0.71</v>
      </c>
      <c r="AI15" t="s">
        <v>177</v>
      </c>
      <c r="AJ15" t="s">
        <v>166</v>
      </c>
      <c r="AK15" s="172">
        <v>12.75</v>
      </c>
      <c r="AL15" s="172">
        <v>-78.73</v>
      </c>
      <c r="AM15" s="172">
        <v>12.75</v>
      </c>
      <c r="AN15" s="172">
        <v>-78.73</v>
      </c>
      <c r="AO15" s="172">
        <v>-2827</v>
      </c>
      <c r="AP15" s="172">
        <v>-2827</v>
      </c>
      <c r="AQ15" t="s">
        <v>178</v>
      </c>
      <c r="AR15" t="s">
        <v>168</v>
      </c>
      <c r="AS15" s="173">
        <v>17.260000000000002</v>
      </c>
      <c r="AT15" s="174" t="s">
        <v>167</v>
      </c>
      <c r="AU15">
        <v>3.5000000000000003E-2</v>
      </c>
      <c r="AV15">
        <v>3.5000000000000003E-2</v>
      </c>
      <c r="AW15" t="s">
        <v>179</v>
      </c>
      <c r="AX15" t="s">
        <v>269</v>
      </c>
      <c r="AY15" s="175" t="s">
        <v>180</v>
      </c>
      <c r="AZ15" t="s">
        <v>165</v>
      </c>
      <c r="BA15" t="s">
        <v>165</v>
      </c>
      <c r="BB15" t="s">
        <v>165</v>
      </c>
      <c r="BC15" t="s">
        <v>165</v>
      </c>
      <c r="BD15" t="s">
        <v>165</v>
      </c>
      <c r="BE15" t="s">
        <v>165</v>
      </c>
      <c r="BF15" t="s">
        <v>165</v>
      </c>
      <c r="BG15" t="s">
        <v>181</v>
      </c>
      <c r="BH15" t="s">
        <v>182</v>
      </c>
      <c r="BI15" t="s">
        <v>183</v>
      </c>
      <c r="BJ15" s="176" t="s">
        <v>184</v>
      </c>
      <c r="BK15" t="s">
        <v>185</v>
      </c>
      <c r="BL15" t="s">
        <v>186</v>
      </c>
      <c r="BM15" t="s">
        <v>187</v>
      </c>
      <c r="BN15" t="s">
        <v>232</v>
      </c>
      <c r="BO15">
        <v>2</v>
      </c>
      <c r="BP15" s="177">
        <v>8.9999999999999858E-2</v>
      </c>
      <c r="BQ15" s="177">
        <v>21.045000000000002</v>
      </c>
      <c r="BR15" t="s">
        <v>189</v>
      </c>
      <c r="BS15">
        <v>0.25</v>
      </c>
      <c r="BT15">
        <v>0.6</v>
      </c>
      <c r="BU15" t="s">
        <v>190</v>
      </c>
      <c r="BV15" s="174">
        <v>0.08</v>
      </c>
      <c r="BW15">
        <v>8.8699999999999992</v>
      </c>
      <c r="BX15" t="s">
        <v>191</v>
      </c>
      <c r="BY15">
        <v>1.52</v>
      </c>
      <c r="BZ15" t="s">
        <v>192</v>
      </c>
      <c r="CA15" t="s">
        <v>193</v>
      </c>
      <c r="CB15" s="178">
        <v>20.251494898214251</v>
      </c>
      <c r="CC15" t="s">
        <v>169</v>
      </c>
      <c r="CD15" s="178">
        <v>0.42355853805815091</v>
      </c>
      <c r="CE15" t="s">
        <v>194</v>
      </c>
      <c r="CF15" t="s">
        <v>195</v>
      </c>
      <c r="CG15">
        <v>10</v>
      </c>
      <c r="CH15" t="s">
        <v>196</v>
      </c>
      <c r="CI15" t="s">
        <v>196</v>
      </c>
      <c r="CJ15" s="178">
        <v>26.688377895701773</v>
      </c>
      <c r="CK15" t="s">
        <v>197</v>
      </c>
      <c r="CL15">
        <v>1</v>
      </c>
      <c r="CM15">
        <v>1</v>
      </c>
      <c r="CN15" t="s">
        <v>198</v>
      </c>
      <c r="CO15" t="s">
        <v>165</v>
      </c>
      <c r="CP15" t="s">
        <v>165</v>
      </c>
      <c r="CQ15" t="s">
        <v>165</v>
      </c>
      <c r="CR15" t="s">
        <v>165</v>
      </c>
      <c r="CS15" t="s">
        <v>165</v>
      </c>
      <c r="CT15" t="s">
        <v>165</v>
      </c>
      <c r="CU15" t="s">
        <v>165</v>
      </c>
      <c r="CV15" t="s">
        <v>165</v>
      </c>
      <c r="CW15" t="s">
        <v>165</v>
      </c>
      <c r="CX15" t="s">
        <v>165</v>
      </c>
      <c r="CY15" t="s">
        <v>165</v>
      </c>
      <c r="CZ15" t="s">
        <v>165</v>
      </c>
      <c r="DA15" t="s">
        <v>165</v>
      </c>
      <c r="DB15" t="s">
        <v>165</v>
      </c>
      <c r="DC15" t="s">
        <v>165</v>
      </c>
      <c r="DD15" t="s">
        <v>165</v>
      </c>
      <c r="DE15" t="s">
        <v>165</v>
      </c>
      <c r="DF15" t="s">
        <v>165</v>
      </c>
      <c r="DG15" s="179">
        <v>37.11</v>
      </c>
      <c r="DH15" t="s">
        <v>167</v>
      </c>
      <c r="DI15">
        <v>1</v>
      </c>
      <c r="DJ15" s="180" t="s">
        <v>224</v>
      </c>
      <c r="DK15" t="s">
        <v>200</v>
      </c>
      <c r="DL15" t="s">
        <v>201</v>
      </c>
      <c r="DM15" t="s">
        <v>201</v>
      </c>
      <c r="DN15" t="s">
        <v>201</v>
      </c>
      <c r="DO15" t="s">
        <v>200</v>
      </c>
      <c r="DP15" t="s">
        <v>201</v>
      </c>
      <c r="DQ15" t="s">
        <v>201</v>
      </c>
      <c r="DR15" t="s">
        <v>201</v>
      </c>
      <c r="DS15" t="s">
        <v>200</v>
      </c>
      <c r="DT15" t="s">
        <v>201</v>
      </c>
      <c r="DU15" t="s">
        <v>201</v>
      </c>
      <c r="DV15" t="s">
        <v>201</v>
      </c>
      <c r="DW15" s="175">
        <v>458.63977798334867</v>
      </c>
      <c r="DX15" t="s">
        <v>202</v>
      </c>
      <c r="DY15" s="175">
        <v>12.358926919518922</v>
      </c>
      <c r="DZ15" t="s">
        <v>203</v>
      </c>
      <c r="EA15">
        <v>39.61</v>
      </c>
      <c r="EB15" t="s">
        <v>204</v>
      </c>
      <c r="EC15" t="s">
        <v>165</v>
      </c>
      <c r="ED15" t="s">
        <v>205</v>
      </c>
      <c r="EE15" t="s">
        <v>206</v>
      </c>
      <c r="EF15" t="s">
        <v>207</v>
      </c>
      <c r="EG15">
        <v>1.0271999999999999</v>
      </c>
      <c r="EH15" t="s">
        <v>208</v>
      </c>
      <c r="EI15" t="s">
        <v>208</v>
      </c>
      <c r="EJ15" t="s">
        <v>209</v>
      </c>
      <c r="EK15" t="s">
        <v>208</v>
      </c>
      <c r="EL15" t="s">
        <v>208</v>
      </c>
      <c r="EM15" t="s">
        <v>210</v>
      </c>
      <c r="EN15" t="s">
        <v>211</v>
      </c>
      <c r="EO15" t="s">
        <v>212</v>
      </c>
      <c r="EP15" t="s">
        <v>212</v>
      </c>
      <c r="EQ15" t="s">
        <v>206</v>
      </c>
      <c r="ER15" t="s">
        <v>165</v>
      </c>
      <c r="ES15" t="s">
        <v>165</v>
      </c>
      <c r="ET15" t="s">
        <v>213</v>
      </c>
      <c r="EU15" t="s">
        <v>214</v>
      </c>
      <c r="EV15" t="s">
        <v>215</v>
      </c>
      <c r="EW15" s="181">
        <v>2425.5837899999997</v>
      </c>
      <c r="EX15" t="s">
        <v>216</v>
      </c>
      <c r="EY15">
        <v>100</v>
      </c>
      <c r="EZ15">
        <v>100</v>
      </c>
      <c r="FA15" t="s">
        <v>165</v>
      </c>
      <c r="FB15" t="s">
        <v>165</v>
      </c>
      <c r="FC15" t="s">
        <v>165</v>
      </c>
      <c r="FD15" t="s">
        <v>165</v>
      </c>
      <c r="FE15" s="182">
        <v>8.2055420391887139</v>
      </c>
      <c r="FF15" s="178" t="s">
        <v>170</v>
      </c>
      <c r="FG15" s="178">
        <v>3.203885346895774E-2</v>
      </c>
      <c r="FH15" s="178">
        <v>3.203885346895774E-2</v>
      </c>
      <c r="FI15" s="183">
        <v>261.35419822654598</v>
      </c>
      <c r="FJ15" s="178">
        <v>21</v>
      </c>
      <c r="FK15" t="s">
        <v>217</v>
      </c>
      <c r="FL15" s="184">
        <v>240.35419822654598</v>
      </c>
      <c r="FM15">
        <v>29</v>
      </c>
      <c r="FN15">
        <v>29</v>
      </c>
      <c r="FO15" t="s">
        <v>195</v>
      </c>
      <c r="FP15" t="s">
        <v>218</v>
      </c>
      <c r="FQ15" t="s">
        <v>219</v>
      </c>
      <c r="FR15" t="s">
        <v>219</v>
      </c>
      <c r="FS15" t="s">
        <v>219</v>
      </c>
      <c r="FT15" t="s">
        <v>219</v>
      </c>
      <c r="FU15" t="s">
        <v>219</v>
      </c>
      <c r="FV15" t="s">
        <v>219</v>
      </c>
      <c r="FW15" t="s">
        <v>219</v>
      </c>
      <c r="FX15" t="s">
        <v>219</v>
      </c>
      <c r="FY15" t="s">
        <v>219</v>
      </c>
      <c r="FZ15" t="s">
        <v>219</v>
      </c>
      <c r="GA15" t="s">
        <v>219</v>
      </c>
      <c r="GB15" t="s">
        <v>219</v>
      </c>
      <c r="GC15" t="s">
        <v>220</v>
      </c>
    </row>
    <row r="16" spans="1:185" ht="16">
      <c r="A16" t="s">
        <v>171</v>
      </c>
      <c r="B16" s="169" t="s">
        <v>172</v>
      </c>
      <c r="C16" s="140" t="s">
        <v>162</v>
      </c>
      <c r="D16" t="s">
        <v>173</v>
      </c>
      <c r="E16">
        <v>2013</v>
      </c>
      <c r="F16" t="s">
        <v>175</v>
      </c>
      <c r="G16" s="189">
        <f t="shared" si="1"/>
        <v>19.186</v>
      </c>
      <c r="H16">
        <f t="shared" si="2"/>
        <v>3.5000000000000003E-2</v>
      </c>
      <c r="I16">
        <f t="shared" si="3"/>
        <v>3.5000000000000003E-2</v>
      </c>
      <c r="J16">
        <f t="shared" si="4"/>
        <v>175.898411167814</v>
      </c>
      <c r="K16">
        <f t="shared" si="5"/>
        <v>29</v>
      </c>
      <c r="L16">
        <f t="shared" si="6"/>
        <v>29</v>
      </c>
      <c r="M16" t="b">
        <v>1</v>
      </c>
      <c r="N16">
        <v>3</v>
      </c>
      <c r="O16" s="193" t="s">
        <v>306</v>
      </c>
      <c r="P16" s="193" t="s">
        <v>307</v>
      </c>
      <c r="Q16" t="b">
        <v>0</v>
      </c>
      <c r="R16" t="s">
        <v>165</v>
      </c>
      <c r="S16" t="b">
        <v>1</v>
      </c>
      <c r="T16" t="b">
        <v>0</v>
      </c>
      <c r="U16" t="s">
        <v>165</v>
      </c>
      <c r="V16" t="b">
        <v>0</v>
      </c>
      <c r="W16" t="b">
        <v>0</v>
      </c>
      <c r="X16" t="s">
        <v>165</v>
      </c>
      <c r="Y16" s="170" t="s">
        <v>176</v>
      </c>
      <c r="Z16" t="s">
        <v>175</v>
      </c>
      <c r="AA16" t="s">
        <v>163</v>
      </c>
      <c r="AB16" t="s">
        <v>164</v>
      </c>
      <c r="AC16">
        <v>1</v>
      </c>
      <c r="AD16">
        <v>1</v>
      </c>
      <c r="AE16" s="185">
        <v>81</v>
      </c>
      <c r="AF16">
        <v>82</v>
      </c>
      <c r="AG16" s="171">
        <v>0.82</v>
      </c>
      <c r="AH16">
        <f t="shared" si="7"/>
        <v>0.82</v>
      </c>
      <c r="AI16" t="s">
        <v>177</v>
      </c>
      <c r="AJ16" t="s">
        <v>166</v>
      </c>
      <c r="AK16" s="172">
        <v>12.75</v>
      </c>
      <c r="AL16" s="172">
        <v>-78.73</v>
      </c>
      <c r="AM16" s="172">
        <v>12.75</v>
      </c>
      <c r="AN16" s="172">
        <v>-78.73</v>
      </c>
      <c r="AO16" s="172">
        <v>-2827</v>
      </c>
      <c r="AP16" s="172">
        <v>-2827</v>
      </c>
      <c r="AQ16" t="s">
        <v>178</v>
      </c>
      <c r="AR16" t="s">
        <v>168</v>
      </c>
      <c r="AS16" s="173">
        <v>19.186</v>
      </c>
      <c r="AT16" s="174" t="s">
        <v>167</v>
      </c>
      <c r="AU16">
        <v>3.5000000000000003E-2</v>
      </c>
      <c r="AV16">
        <v>3.5000000000000003E-2</v>
      </c>
      <c r="AW16" t="s">
        <v>179</v>
      </c>
      <c r="AX16" t="s">
        <v>269</v>
      </c>
      <c r="AY16" s="175" t="s">
        <v>180</v>
      </c>
      <c r="AZ16" t="s">
        <v>165</v>
      </c>
      <c r="BA16" t="s">
        <v>165</v>
      </c>
      <c r="BB16" t="s">
        <v>165</v>
      </c>
      <c r="BC16" t="s">
        <v>165</v>
      </c>
      <c r="BD16" t="s">
        <v>165</v>
      </c>
      <c r="BE16" t="s">
        <v>165</v>
      </c>
      <c r="BF16" t="s">
        <v>165</v>
      </c>
      <c r="BG16" t="s">
        <v>181</v>
      </c>
      <c r="BH16" t="s">
        <v>182</v>
      </c>
      <c r="BI16" t="s">
        <v>183</v>
      </c>
      <c r="BJ16" s="176" t="s">
        <v>184</v>
      </c>
      <c r="BK16" t="s">
        <v>185</v>
      </c>
      <c r="BL16" t="s">
        <v>186</v>
      </c>
      <c r="BM16" t="s">
        <v>187</v>
      </c>
      <c r="BN16" t="s">
        <v>233</v>
      </c>
      <c r="BO16">
        <v>2</v>
      </c>
      <c r="BP16" s="177">
        <v>7.9999999999998295E-2</v>
      </c>
      <c r="BQ16" s="177">
        <v>21.75</v>
      </c>
      <c r="BR16" t="s">
        <v>189</v>
      </c>
      <c r="BS16">
        <v>0.25</v>
      </c>
      <c r="BT16">
        <v>0.6</v>
      </c>
      <c r="BU16" t="s">
        <v>190</v>
      </c>
      <c r="BV16" s="174">
        <v>0.08</v>
      </c>
      <c r="BW16">
        <v>8.8699999999999992</v>
      </c>
      <c r="BX16" t="s">
        <v>191</v>
      </c>
      <c r="BY16">
        <v>1.52</v>
      </c>
      <c r="BZ16" t="s">
        <v>192</v>
      </c>
      <c r="CA16" t="s">
        <v>193</v>
      </c>
      <c r="CB16" s="178">
        <v>21.430912729160255</v>
      </c>
      <c r="CC16" t="s">
        <v>169</v>
      </c>
      <c r="CD16" s="178">
        <v>0.5698831973856191</v>
      </c>
      <c r="CE16" t="s">
        <v>194</v>
      </c>
      <c r="CF16" t="s">
        <v>195</v>
      </c>
      <c r="CG16">
        <v>10</v>
      </c>
      <c r="CH16" t="s">
        <v>196</v>
      </c>
      <c r="CI16" t="s">
        <v>196</v>
      </c>
      <c r="CJ16" s="178">
        <v>26.173631754619034</v>
      </c>
      <c r="CK16" t="s">
        <v>197</v>
      </c>
      <c r="CL16">
        <v>1</v>
      </c>
      <c r="CM16">
        <v>1</v>
      </c>
      <c r="CN16" t="s">
        <v>198</v>
      </c>
      <c r="CO16" t="s">
        <v>165</v>
      </c>
      <c r="CP16" t="s">
        <v>165</v>
      </c>
      <c r="CQ16" t="s">
        <v>165</v>
      </c>
      <c r="CR16" t="s">
        <v>165</v>
      </c>
      <c r="CS16" t="s">
        <v>165</v>
      </c>
      <c r="CT16" t="s">
        <v>165</v>
      </c>
      <c r="CU16" t="s">
        <v>165</v>
      </c>
      <c r="CV16" t="s">
        <v>165</v>
      </c>
      <c r="CW16" t="s">
        <v>165</v>
      </c>
      <c r="CX16" t="s">
        <v>165</v>
      </c>
      <c r="CY16" t="s">
        <v>165</v>
      </c>
      <c r="CZ16" t="s">
        <v>165</v>
      </c>
      <c r="DA16" t="s">
        <v>165</v>
      </c>
      <c r="DB16" t="s">
        <v>165</v>
      </c>
      <c r="DC16" t="s">
        <v>165</v>
      </c>
      <c r="DD16" t="s">
        <v>165</v>
      </c>
      <c r="DE16" t="s">
        <v>165</v>
      </c>
      <c r="DF16" t="s">
        <v>165</v>
      </c>
      <c r="DG16" s="179">
        <v>37</v>
      </c>
      <c r="DH16" t="s">
        <v>167</v>
      </c>
      <c r="DI16">
        <v>1</v>
      </c>
      <c r="DJ16" s="180" t="s">
        <v>224</v>
      </c>
      <c r="DK16" t="s">
        <v>200</v>
      </c>
      <c r="DL16" t="s">
        <v>201</v>
      </c>
      <c r="DM16" t="s">
        <v>201</v>
      </c>
      <c r="DN16" t="s">
        <v>201</v>
      </c>
      <c r="DO16" t="s">
        <v>200</v>
      </c>
      <c r="DP16" t="s">
        <v>201</v>
      </c>
      <c r="DQ16" t="s">
        <v>201</v>
      </c>
      <c r="DR16" t="s">
        <v>201</v>
      </c>
      <c r="DS16" t="s">
        <v>200</v>
      </c>
      <c r="DT16" t="s">
        <v>201</v>
      </c>
      <c r="DU16" t="s">
        <v>201</v>
      </c>
      <c r="DV16" t="s">
        <v>201</v>
      </c>
      <c r="DW16" s="175">
        <v>457.28029602220164</v>
      </c>
      <c r="DX16" t="s">
        <v>202</v>
      </c>
      <c r="DY16" s="175">
        <v>12.358926919518979</v>
      </c>
      <c r="DZ16" t="s">
        <v>203</v>
      </c>
      <c r="EA16">
        <v>39.61</v>
      </c>
      <c r="EB16" t="s">
        <v>204</v>
      </c>
      <c r="EC16" t="s">
        <v>165</v>
      </c>
      <c r="ED16" t="s">
        <v>205</v>
      </c>
      <c r="EE16" t="s">
        <v>206</v>
      </c>
      <c r="EF16" t="s">
        <v>207</v>
      </c>
      <c r="EG16">
        <v>1.0271999999999999</v>
      </c>
      <c r="EH16" t="s">
        <v>208</v>
      </c>
      <c r="EI16" t="s">
        <v>208</v>
      </c>
      <c r="EJ16" t="s">
        <v>209</v>
      </c>
      <c r="EK16" t="s">
        <v>208</v>
      </c>
      <c r="EL16" t="s">
        <v>208</v>
      </c>
      <c r="EM16" t="s">
        <v>210</v>
      </c>
      <c r="EN16" t="s">
        <v>211</v>
      </c>
      <c r="EO16" t="s">
        <v>212</v>
      </c>
      <c r="EP16" t="s">
        <v>212</v>
      </c>
      <c r="EQ16" t="s">
        <v>206</v>
      </c>
      <c r="ER16" t="s">
        <v>165</v>
      </c>
      <c r="ES16" t="s">
        <v>165</v>
      </c>
      <c r="ET16" t="s">
        <v>213</v>
      </c>
      <c r="EU16" t="s">
        <v>214</v>
      </c>
      <c r="EV16" t="s">
        <v>215</v>
      </c>
      <c r="EW16" s="181">
        <v>2419.0729999999999</v>
      </c>
      <c r="EX16" t="s">
        <v>216</v>
      </c>
      <c r="EY16">
        <v>100</v>
      </c>
      <c r="EZ16">
        <v>100</v>
      </c>
      <c r="FA16" t="s">
        <v>165</v>
      </c>
      <c r="FB16" t="s">
        <v>165</v>
      </c>
      <c r="FC16" t="s">
        <v>165</v>
      </c>
      <c r="FD16" t="s">
        <v>165</v>
      </c>
      <c r="FE16" s="182">
        <v>8.2979087247979333</v>
      </c>
      <c r="FF16" s="178" t="s">
        <v>170</v>
      </c>
      <c r="FG16" s="178">
        <v>4.0123327557736843E-2</v>
      </c>
      <c r="FH16" s="178">
        <v>4.0123327557736843E-2</v>
      </c>
      <c r="FI16" s="183">
        <v>196.898411167814</v>
      </c>
      <c r="FJ16" s="178">
        <v>21</v>
      </c>
      <c r="FK16" t="s">
        <v>217</v>
      </c>
      <c r="FL16" s="184">
        <v>175.898411167814</v>
      </c>
      <c r="FM16">
        <v>29</v>
      </c>
      <c r="FN16">
        <v>29</v>
      </c>
      <c r="FO16" t="s">
        <v>195</v>
      </c>
      <c r="FP16" t="s">
        <v>218</v>
      </c>
      <c r="FQ16" t="s">
        <v>219</v>
      </c>
      <c r="FR16" t="s">
        <v>219</v>
      </c>
      <c r="FS16" t="s">
        <v>219</v>
      </c>
      <c r="FT16" t="s">
        <v>219</v>
      </c>
      <c r="FU16" t="s">
        <v>219</v>
      </c>
      <c r="FV16" t="s">
        <v>219</v>
      </c>
      <c r="FW16" t="s">
        <v>219</v>
      </c>
      <c r="FX16" t="s">
        <v>219</v>
      </c>
      <c r="FY16" t="s">
        <v>219</v>
      </c>
      <c r="FZ16" t="s">
        <v>219</v>
      </c>
      <c r="GA16" t="s">
        <v>219</v>
      </c>
      <c r="GB16" t="s">
        <v>219</v>
      </c>
      <c r="GC16" t="s">
        <v>220</v>
      </c>
    </row>
    <row r="17" spans="1:185" ht="16">
      <c r="A17" t="s">
        <v>171</v>
      </c>
      <c r="B17" s="169" t="s">
        <v>172</v>
      </c>
      <c r="C17" s="140" t="s">
        <v>162</v>
      </c>
      <c r="D17" t="s">
        <v>173</v>
      </c>
      <c r="E17">
        <v>2013</v>
      </c>
      <c r="F17" t="s">
        <v>175</v>
      </c>
      <c r="G17" s="189">
        <f t="shared" si="1"/>
        <v>21.122</v>
      </c>
      <c r="H17">
        <f t="shared" si="2"/>
        <v>3.5000000000000003E-2</v>
      </c>
      <c r="I17">
        <f t="shared" si="3"/>
        <v>3.5000000000000003E-2</v>
      </c>
      <c r="J17">
        <f t="shared" si="4"/>
        <v>218.778866842702</v>
      </c>
      <c r="K17">
        <f t="shared" si="5"/>
        <v>29</v>
      </c>
      <c r="L17">
        <f t="shared" si="6"/>
        <v>29</v>
      </c>
      <c r="M17" t="b">
        <v>1</v>
      </c>
      <c r="N17">
        <v>3</v>
      </c>
      <c r="O17" s="193" t="s">
        <v>306</v>
      </c>
      <c r="P17" s="193" t="s">
        <v>307</v>
      </c>
      <c r="Q17" t="b">
        <v>0</v>
      </c>
      <c r="R17" t="s">
        <v>165</v>
      </c>
      <c r="S17" t="b">
        <v>1</v>
      </c>
      <c r="T17" t="b">
        <v>0</v>
      </c>
      <c r="U17" t="s">
        <v>165</v>
      </c>
      <c r="V17" t="b">
        <v>0</v>
      </c>
      <c r="W17" t="b">
        <v>0</v>
      </c>
      <c r="X17" t="s">
        <v>165</v>
      </c>
      <c r="Y17" s="170" t="s">
        <v>176</v>
      </c>
      <c r="Z17" t="s">
        <v>175</v>
      </c>
      <c r="AA17" t="s">
        <v>163</v>
      </c>
      <c r="AB17" t="s">
        <v>164</v>
      </c>
      <c r="AC17">
        <v>1</v>
      </c>
      <c r="AD17">
        <v>1</v>
      </c>
      <c r="AE17">
        <v>92</v>
      </c>
      <c r="AF17">
        <v>94</v>
      </c>
      <c r="AG17" s="171">
        <v>0.93</v>
      </c>
      <c r="AH17">
        <f t="shared" si="7"/>
        <v>0.93</v>
      </c>
      <c r="AI17" t="s">
        <v>177</v>
      </c>
      <c r="AJ17" t="s">
        <v>166</v>
      </c>
      <c r="AK17" s="172">
        <v>12.75</v>
      </c>
      <c r="AL17" s="172">
        <v>-78.73</v>
      </c>
      <c r="AM17" s="172">
        <v>12.75</v>
      </c>
      <c r="AN17" s="172">
        <v>-78.73</v>
      </c>
      <c r="AO17" s="172">
        <v>-2827</v>
      </c>
      <c r="AP17" s="172">
        <v>-2827</v>
      </c>
      <c r="AQ17" t="s">
        <v>178</v>
      </c>
      <c r="AR17" t="s">
        <v>168</v>
      </c>
      <c r="AS17" s="173">
        <v>21.122</v>
      </c>
      <c r="AT17" s="174" t="s">
        <v>167</v>
      </c>
      <c r="AU17">
        <v>3.5000000000000003E-2</v>
      </c>
      <c r="AV17">
        <v>3.5000000000000003E-2</v>
      </c>
      <c r="AW17" t="s">
        <v>179</v>
      </c>
      <c r="AX17" t="s">
        <v>269</v>
      </c>
      <c r="AY17" s="175" t="s">
        <v>180</v>
      </c>
      <c r="AZ17" t="s">
        <v>165</v>
      </c>
      <c r="BA17" t="s">
        <v>165</v>
      </c>
      <c r="BB17" t="s">
        <v>165</v>
      </c>
      <c r="BC17" t="s">
        <v>165</v>
      </c>
      <c r="BD17" t="s">
        <v>165</v>
      </c>
      <c r="BE17" t="s">
        <v>165</v>
      </c>
      <c r="BF17" t="s">
        <v>165</v>
      </c>
      <c r="BG17" t="s">
        <v>181</v>
      </c>
      <c r="BH17" t="s">
        <v>182</v>
      </c>
      <c r="BI17" t="s">
        <v>183</v>
      </c>
      <c r="BJ17" s="176" t="s">
        <v>184</v>
      </c>
      <c r="BK17" t="s">
        <v>185</v>
      </c>
      <c r="BL17" t="s">
        <v>186</v>
      </c>
      <c r="BM17" t="s">
        <v>187</v>
      </c>
      <c r="BN17" t="s">
        <v>234</v>
      </c>
      <c r="BO17">
        <v>3</v>
      </c>
      <c r="BP17" s="177">
        <v>0.10477489097001121</v>
      </c>
      <c r="BQ17" s="177">
        <v>21.226666666666663</v>
      </c>
      <c r="BR17" t="s">
        <v>189</v>
      </c>
      <c r="BS17">
        <v>0.25</v>
      </c>
      <c r="BT17">
        <v>0.6</v>
      </c>
      <c r="BU17" t="s">
        <v>190</v>
      </c>
      <c r="BV17" s="174">
        <v>0.08</v>
      </c>
      <c r="BW17">
        <v>8.8699999999999992</v>
      </c>
      <c r="BX17" t="s">
        <v>191</v>
      </c>
      <c r="BY17">
        <v>1.52</v>
      </c>
      <c r="BZ17" t="s">
        <v>192</v>
      </c>
      <c r="CA17" t="s">
        <v>193</v>
      </c>
      <c r="CB17" s="178">
        <v>20.512561011431334</v>
      </c>
      <c r="CC17" t="s">
        <v>169</v>
      </c>
      <c r="CD17" s="178">
        <v>0.45451644599723151</v>
      </c>
      <c r="CE17" t="s">
        <v>194</v>
      </c>
      <c r="CF17" t="s">
        <v>195</v>
      </c>
      <c r="CG17">
        <v>10</v>
      </c>
      <c r="CH17" t="s">
        <v>196</v>
      </c>
      <c r="CI17" t="s">
        <v>196</v>
      </c>
      <c r="CJ17" s="178">
        <v>26.007397906282989</v>
      </c>
      <c r="CK17" t="s">
        <v>197</v>
      </c>
      <c r="CL17">
        <v>1</v>
      </c>
      <c r="CM17">
        <v>1</v>
      </c>
      <c r="CN17" t="s">
        <v>198</v>
      </c>
      <c r="CO17" t="s">
        <v>165</v>
      </c>
      <c r="CP17" t="s">
        <v>165</v>
      </c>
      <c r="CQ17" t="s">
        <v>165</v>
      </c>
      <c r="CR17" t="s">
        <v>165</v>
      </c>
      <c r="CS17" t="s">
        <v>165</v>
      </c>
      <c r="CT17" t="s">
        <v>165</v>
      </c>
      <c r="CU17" t="s">
        <v>165</v>
      </c>
      <c r="CV17" t="s">
        <v>165</v>
      </c>
      <c r="CW17" t="s">
        <v>165</v>
      </c>
      <c r="CX17" t="s">
        <v>165</v>
      </c>
      <c r="CY17" t="s">
        <v>165</v>
      </c>
      <c r="CZ17" t="s">
        <v>165</v>
      </c>
      <c r="DA17" t="s">
        <v>165</v>
      </c>
      <c r="DB17" t="s">
        <v>165</v>
      </c>
      <c r="DC17" t="s">
        <v>165</v>
      </c>
      <c r="DD17" t="s">
        <v>165</v>
      </c>
      <c r="DE17" t="s">
        <v>165</v>
      </c>
      <c r="DF17" t="s">
        <v>165</v>
      </c>
      <c r="DG17" s="179">
        <v>36.950000000000003</v>
      </c>
      <c r="DH17" t="s">
        <v>167</v>
      </c>
      <c r="DI17">
        <v>1</v>
      </c>
      <c r="DJ17" s="180" t="s">
        <v>224</v>
      </c>
      <c r="DK17" t="s">
        <v>200</v>
      </c>
      <c r="DL17" t="s">
        <v>201</v>
      </c>
      <c r="DM17" t="s">
        <v>201</v>
      </c>
      <c r="DN17" t="s">
        <v>201</v>
      </c>
      <c r="DO17" t="s">
        <v>200</v>
      </c>
      <c r="DP17" t="s">
        <v>201</v>
      </c>
      <c r="DQ17" t="s">
        <v>201</v>
      </c>
      <c r="DR17" t="s">
        <v>201</v>
      </c>
      <c r="DS17" t="s">
        <v>200</v>
      </c>
      <c r="DT17" t="s">
        <v>201</v>
      </c>
      <c r="DU17" t="s">
        <v>201</v>
      </c>
      <c r="DV17" t="s">
        <v>201</v>
      </c>
      <c r="DW17" s="175">
        <v>456.66234967622574</v>
      </c>
      <c r="DX17" t="s">
        <v>202</v>
      </c>
      <c r="DY17" s="175">
        <v>12.358926919518979</v>
      </c>
      <c r="DZ17" t="s">
        <v>203</v>
      </c>
      <c r="EA17">
        <v>39.61</v>
      </c>
      <c r="EB17" t="s">
        <v>204</v>
      </c>
      <c r="EC17" t="s">
        <v>165</v>
      </c>
      <c r="ED17" t="s">
        <v>205</v>
      </c>
      <c r="EE17" t="s">
        <v>206</v>
      </c>
      <c r="EF17" t="s">
        <v>207</v>
      </c>
      <c r="EG17">
        <v>1.0271999999999999</v>
      </c>
      <c r="EH17" t="s">
        <v>208</v>
      </c>
      <c r="EI17" t="s">
        <v>208</v>
      </c>
      <c r="EJ17" t="s">
        <v>209</v>
      </c>
      <c r="EK17" t="s">
        <v>208</v>
      </c>
      <c r="EL17" t="s">
        <v>208</v>
      </c>
      <c r="EM17" t="s">
        <v>210</v>
      </c>
      <c r="EN17" t="s">
        <v>211</v>
      </c>
      <c r="EO17" t="s">
        <v>212</v>
      </c>
      <c r="EP17" t="s">
        <v>212</v>
      </c>
      <c r="EQ17" t="s">
        <v>206</v>
      </c>
      <c r="ER17" t="s">
        <v>165</v>
      </c>
      <c r="ES17" t="s">
        <v>165</v>
      </c>
      <c r="ET17" t="s">
        <v>213</v>
      </c>
      <c r="EU17" t="s">
        <v>214</v>
      </c>
      <c r="EV17" t="s">
        <v>215</v>
      </c>
      <c r="EW17" s="181">
        <v>2416.11355</v>
      </c>
      <c r="EX17" t="s">
        <v>216</v>
      </c>
      <c r="EY17">
        <v>100</v>
      </c>
      <c r="EZ17">
        <v>100</v>
      </c>
      <c r="FA17" t="s">
        <v>165</v>
      </c>
      <c r="FB17" t="s">
        <v>165</v>
      </c>
      <c r="FC17" t="s">
        <v>165</v>
      </c>
      <c r="FD17" t="s">
        <v>165</v>
      </c>
      <c r="FE17" s="182">
        <v>8.2354734495791444</v>
      </c>
      <c r="FF17" s="178" t="s">
        <v>170</v>
      </c>
      <c r="FG17" s="178">
        <v>3.3773215614567142E-2</v>
      </c>
      <c r="FH17" s="178">
        <v>3.3773215614567142E-2</v>
      </c>
      <c r="FI17" s="183">
        <v>239.778866842702</v>
      </c>
      <c r="FJ17" s="178">
        <v>21</v>
      </c>
      <c r="FK17" t="s">
        <v>217</v>
      </c>
      <c r="FL17" s="184">
        <v>218.778866842702</v>
      </c>
      <c r="FM17">
        <v>29</v>
      </c>
      <c r="FN17">
        <v>29</v>
      </c>
      <c r="FO17" t="s">
        <v>195</v>
      </c>
      <c r="FP17" t="s">
        <v>218</v>
      </c>
      <c r="FQ17" t="s">
        <v>219</v>
      </c>
      <c r="FR17" t="s">
        <v>219</v>
      </c>
      <c r="FS17" t="s">
        <v>219</v>
      </c>
      <c r="FT17" t="s">
        <v>219</v>
      </c>
      <c r="FU17" t="s">
        <v>219</v>
      </c>
      <c r="FV17" t="s">
        <v>219</v>
      </c>
      <c r="FW17" t="s">
        <v>219</v>
      </c>
      <c r="FX17" t="s">
        <v>219</v>
      </c>
      <c r="FY17" t="s">
        <v>219</v>
      </c>
      <c r="FZ17" t="s">
        <v>219</v>
      </c>
      <c r="GA17" t="s">
        <v>219</v>
      </c>
      <c r="GB17" t="s">
        <v>219</v>
      </c>
      <c r="GC17" t="s">
        <v>220</v>
      </c>
    </row>
    <row r="18" spans="1:185" ht="16">
      <c r="A18" t="s">
        <v>171</v>
      </c>
      <c r="B18" s="169" t="s">
        <v>172</v>
      </c>
      <c r="C18" s="140" t="s">
        <v>162</v>
      </c>
      <c r="D18" t="s">
        <v>173</v>
      </c>
      <c r="E18">
        <v>2013</v>
      </c>
      <c r="F18" t="s">
        <v>175</v>
      </c>
      <c r="G18" s="189">
        <f t="shared" si="1"/>
        <v>22.462</v>
      </c>
      <c r="H18">
        <f t="shared" si="2"/>
        <v>3.5000000000000003E-2</v>
      </c>
      <c r="I18">
        <f t="shared" si="3"/>
        <v>3.5000000000000003E-2</v>
      </c>
      <c r="J18">
        <f t="shared" si="4"/>
        <v>219.98812432274499</v>
      </c>
      <c r="K18">
        <f t="shared" si="5"/>
        <v>29</v>
      </c>
      <c r="L18">
        <f t="shared" si="6"/>
        <v>29</v>
      </c>
      <c r="M18" t="b">
        <v>1</v>
      </c>
      <c r="N18">
        <v>3</v>
      </c>
      <c r="O18" s="193" t="s">
        <v>306</v>
      </c>
      <c r="P18" s="193" t="s">
        <v>307</v>
      </c>
      <c r="Q18" t="b">
        <v>0</v>
      </c>
      <c r="R18" t="s">
        <v>165</v>
      </c>
      <c r="S18" t="b">
        <v>1</v>
      </c>
      <c r="T18" t="b">
        <v>0</v>
      </c>
      <c r="U18" t="s">
        <v>165</v>
      </c>
      <c r="V18" t="b">
        <v>0</v>
      </c>
      <c r="W18" t="b">
        <v>0</v>
      </c>
      <c r="X18" t="s">
        <v>165</v>
      </c>
      <c r="Y18" s="170" t="s">
        <v>176</v>
      </c>
      <c r="Z18" t="s">
        <v>175</v>
      </c>
      <c r="AA18" t="s">
        <v>163</v>
      </c>
      <c r="AB18" t="s">
        <v>164</v>
      </c>
      <c r="AC18">
        <v>1</v>
      </c>
      <c r="AD18">
        <v>1</v>
      </c>
      <c r="AE18">
        <v>101</v>
      </c>
      <c r="AF18">
        <v>103</v>
      </c>
      <c r="AG18" s="171">
        <v>1.02</v>
      </c>
      <c r="AH18">
        <f t="shared" si="7"/>
        <v>1.02</v>
      </c>
      <c r="AI18" t="s">
        <v>177</v>
      </c>
      <c r="AJ18" t="s">
        <v>166</v>
      </c>
      <c r="AK18" s="172">
        <v>12.75</v>
      </c>
      <c r="AL18" s="172">
        <v>-78.73</v>
      </c>
      <c r="AM18" s="172">
        <v>12.75</v>
      </c>
      <c r="AN18" s="172">
        <v>-78.73</v>
      </c>
      <c r="AO18" s="172">
        <v>-2827</v>
      </c>
      <c r="AP18" s="172">
        <v>-2827</v>
      </c>
      <c r="AQ18" t="s">
        <v>178</v>
      </c>
      <c r="AR18" t="s">
        <v>168</v>
      </c>
      <c r="AS18" s="173">
        <v>22.462</v>
      </c>
      <c r="AT18" s="174" t="s">
        <v>167</v>
      </c>
      <c r="AU18">
        <v>3.5000000000000003E-2</v>
      </c>
      <c r="AV18">
        <v>3.5000000000000003E-2</v>
      </c>
      <c r="AW18" t="s">
        <v>179</v>
      </c>
      <c r="AX18" t="s">
        <v>269</v>
      </c>
      <c r="AY18" s="175" t="s">
        <v>180</v>
      </c>
      <c r="AZ18" t="s">
        <v>165</v>
      </c>
      <c r="BA18" t="s">
        <v>165</v>
      </c>
      <c r="BB18" t="s">
        <v>165</v>
      </c>
      <c r="BC18" t="s">
        <v>165</v>
      </c>
      <c r="BD18" t="s">
        <v>165</v>
      </c>
      <c r="BE18" t="s">
        <v>165</v>
      </c>
      <c r="BF18" t="s">
        <v>165</v>
      </c>
      <c r="BG18" t="s">
        <v>181</v>
      </c>
      <c r="BH18" t="s">
        <v>182</v>
      </c>
      <c r="BI18" t="s">
        <v>183</v>
      </c>
      <c r="BJ18" s="176" t="s">
        <v>184</v>
      </c>
      <c r="BK18" t="s">
        <v>185</v>
      </c>
      <c r="BL18" t="s">
        <v>186</v>
      </c>
      <c r="BM18" t="s">
        <v>187</v>
      </c>
      <c r="BN18" t="s">
        <v>235</v>
      </c>
      <c r="BO18">
        <v>2</v>
      </c>
      <c r="BP18" s="177">
        <v>0.22000000000000242</v>
      </c>
      <c r="BQ18" s="177">
        <v>21.259999999999998</v>
      </c>
      <c r="BR18" t="s">
        <v>189</v>
      </c>
      <c r="BS18">
        <v>0.25</v>
      </c>
      <c r="BT18">
        <v>0.6</v>
      </c>
      <c r="BU18" t="s">
        <v>190</v>
      </c>
      <c r="BV18" s="174">
        <v>0.08</v>
      </c>
      <c r="BW18">
        <v>8.8699999999999992</v>
      </c>
      <c r="BX18" t="s">
        <v>191</v>
      </c>
      <c r="BY18">
        <v>1.52</v>
      </c>
      <c r="BZ18" t="s">
        <v>192</v>
      </c>
      <c r="CA18" t="s">
        <v>193</v>
      </c>
      <c r="CB18" s="178">
        <v>20.618702378048365</v>
      </c>
      <c r="CC18" t="s">
        <v>169</v>
      </c>
      <c r="CD18" s="178">
        <v>0.46738515715691881</v>
      </c>
      <c r="CE18" t="s">
        <v>194</v>
      </c>
      <c r="CF18" t="s">
        <v>195</v>
      </c>
      <c r="CG18">
        <v>10</v>
      </c>
      <c r="CH18" t="s">
        <v>196</v>
      </c>
      <c r="CI18" t="s">
        <v>196</v>
      </c>
      <c r="CJ18" s="178">
        <v>26.688377895701773</v>
      </c>
      <c r="CK18" t="s">
        <v>197</v>
      </c>
      <c r="CL18">
        <v>1</v>
      </c>
      <c r="CM18">
        <v>1</v>
      </c>
      <c r="CN18" t="s">
        <v>198</v>
      </c>
      <c r="CO18" t="s">
        <v>165</v>
      </c>
      <c r="CP18" t="s">
        <v>165</v>
      </c>
      <c r="CQ18" t="s">
        <v>165</v>
      </c>
      <c r="CR18" t="s">
        <v>165</v>
      </c>
      <c r="CS18" t="s">
        <v>165</v>
      </c>
      <c r="CT18" t="s">
        <v>165</v>
      </c>
      <c r="CU18" t="s">
        <v>165</v>
      </c>
      <c r="CV18" t="s">
        <v>165</v>
      </c>
      <c r="CW18" t="s">
        <v>165</v>
      </c>
      <c r="CX18" t="s">
        <v>165</v>
      </c>
      <c r="CY18" t="s">
        <v>165</v>
      </c>
      <c r="CZ18" t="s">
        <v>165</v>
      </c>
      <c r="DA18" t="s">
        <v>165</v>
      </c>
      <c r="DB18" t="s">
        <v>165</v>
      </c>
      <c r="DC18" t="s">
        <v>165</v>
      </c>
      <c r="DD18" t="s">
        <v>165</v>
      </c>
      <c r="DE18" t="s">
        <v>165</v>
      </c>
      <c r="DF18" t="s">
        <v>165</v>
      </c>
      <c r="DG18" s="179">
        <v>37.18</v>
      </c>
      <c r="DH18" t="s">
        <v>167</v>
      </c>
      <c r="DI18">
        <v>1</v>
      </c>
      <c r="DJ18" s="180" t="s">
        <v>224</v>
      </c>
      <c r="DK18" t="s">
        <v>200</v>
      </c>
      <c r="DL18" t="s">
        <v>201</v>
      </c>
      <c r="DM18" t="s">
        <v>201</v>
      </c>
      <c r="DN18" t="s">
        <v>201</v>
      </c>
      <c r="DO18" t="s">
        <v>200</v>
      </c>
      <c r="DP18" t="s">
        <v>201</v>
      </c>
      <c r="DQ18" t="s">
        <v>201</v>
      </c>
      <c r="DR18" t="s">
        <v>201</v>
      </c>
      <c r="DS18" t="s">
        <v>200</v>
      </c>
      <c r="DT18" t="s">
        <v>201</v>
      </c>
      <c r="DU18" t="s">
        <v>201</v>
      </c>
      <c r="DV18" t="s">
        <v>201</v>
      </c>
      <c r="DW18" s="175">
        <v>459.50490286771503</v>
      </c>
      <c r="DX18" t="s">
        <v>202</v>
      </c>
      <c r="DY18" s="175">
        <v>12.358926919518922</v>
      </c>
      <c r="DZ18" t="s">
        <v>203</v>
      </c>
      <c r="EA18">
        <v>39.61</v>
      </c>
      <c r="EB18" t="s">
        <v>204</v>
      </c>
      <c r="EC18" t="s">
        <v>165</v>
      </c>
      <c r="ED18" t="s">
        <v>205</v>
      </c>
      <c r="EE18" t="s">
        <v>206</v>
      </c>
      <c r="EF18" t="s">
        <v>207</v>
      </c>
      <c r="EG18">
        <v>1.0271999999999999</v>
      </c>
      <c r="EH18" t="s">
        <v>208</v>
      </c>
      <c r="EI18" t="s">
        <v>208</v>
      </c>
      <c r="EJ18" t="s">
        <v>209</v>
      </c>
      <c r="EK18" t="s">
        <v>208</v>
      </c>
      <c r="EL18" t="s">
        <v>208</v>
      </c>
      <c r="EM18" t="s">
        <v>210</v>
      </c>
      <c r="EN18" t="s">
        <v>211</v>
      </c>
      <c r="EO18" t="s">
        <v>212</v>
      </c>
      <c r="EP18" t="s">
        <v>212</v>
      </c>
      <c r="EQ18" t="s">
        <v>206</v>
      </c>
      <c r="ER18" t="s">
        <v>165</v>
      </c>
      <c r="ES18" t="s">
        <v>165</v>
      </c>
      <c r="ET18" t="s">
        <v>213</v>
      </c>
      <c r="EU18" t="s">
        <v>214</v>
      </c>
      <c r="EV18" t="s">
        <v>215</v>
      </c>
      <c r="EW18" s="181">
        <v>2429.7270199999998</v>
      </c>
      <c r="EX18" t="s">
        <v>216</v>
      </c>
      <c r="EY18">
        <v>100</v>
      </c>
      <c r="EZ18">
        <v>100</v>
      </c>
      <c r="FA18" t="s">
        <v>165</v>
      </c>
      <c r="FB18" t="s">
        <v>165</v>
      </c>
      <c r="FC18" t="s">
        <v>165</v>
      </c>
      <c r="FD18" t="s">
        <v>165</v>
      </c>
      <c r="FE18" s="182">
        <v>8.2333942973613414</v>
      </c>
      <c r="FF18" s="178" t="s">
        <v>170</v>
      </c>
      <c r="FG18" s="178">
        <v>3.4490104465605853E-2</v>
      </c>
      <c r="FH18" s="178">
        <v>3.4490104465605853E-2</v>
      </c>
      <c r="FI18" s="183">
        <v>240.98812432274499</v>
      </c>
      <c r="FJ18" s="178">
        <v>21</v>
      </c>
      <c r="FK18" t="s">
        <v>217</v>
      </c>
      <c r="FL18" s="184">
        <v>219.98812432274499</v>
      </c>
      <c r="FM18">
        <v>29</v>
      </c>
      <c r="FN18">
        <v>29</v>
      </c>
      <c r="FO18" t="s">
        <v>195</v>
      </c>
      <c r="FP18" t="s">
        <v>218</v>
      </c>
      <c r="FQ18" t="s">
        <v>219</v>
      </c>
      <c r="FR18" t="s">
        <v>219</v>
      </c>
      <c r="FS18" t="s">
        <v>219</v>
      </c>
      <c r="FT18" t="s">
        <v>219</v>
      </c>
      <c r="FU18" t="s">
        <v>219</v>
      </c>
      <c r="FV18" t="s">
        <v>219</v>
      </c>
      <c r="FW18" t="s">
        <v>219</v>
      </c>
      <c r="FX18" t="s">
        <v>219</v>
      </c>
      <c r="FY18" t="s">
        <v>219</v>
      </c>
      <c r="FZ18" t="s">
        <v>219</v>
      </c>
      <c r="GA18" t="s">
        <v>219</v>
      </c>
      <c r="GB18" t="s">
        <v>219</v>
      </c>
      <c r="GC18" t="s">
        <v>220</v>
      </c>
    </row>
    <row r="19" spans="1:185" ht="16">
      <c r="A19" t="s">
        <v>171</v>
      </c>
      <c r="B19" s="169" t="s">
        <v>172</v>
      </c>
      <c r="C19" s="140" t="s">
        <v>162</v>
      </c>
      <c r="D19" t="s">
        <v>173</v>
      </c>
      <c r="E19">
        <v>2013</v>
      </c>
      <c r="F19" t="s">
        <v>175</v>
      </c>
      <c r="G19" s="189">
        <f t="shared" si="1"/>
        <v>24.794</v>
      </c>
      <c r="H19">
        <f t="shared" si="2"/>
        <v>3.5000000000000003E-2</v>
      </c>
      <c r="I19">
        <f t="shared" si="3"/>
        <v>3.5000000000000003E-2</v>
      </c>
      <c r="J19">
        <f t="shared" si="4"/>
        <v>195.20726616284901</v>
      </c>
      <c r="K19">
        <f t="shared" si="5"/>
        <v>29</v>
      </c>
      <c r="L19">
        <f t="shared" si="6"/>
        <v>29</v>
      </c>
      <c r="M19" t="b">
        <v>1</v>
      </c>
      <c r="N19">
        <v>3</v>
      </c>
      <c r="O19" s="193" t="s">
        <v>306</v>
      </c>
      <c r="P19" s="193" t="s">
        <v>307</v>
      </c>
      <c r="Q19" t="b">
        <v>0</v>
      </c>
      <c r="R19" t="s">
        <v>165</v>
      </c>
      <c r="S19" t="b">
        <v>1</v>
      </c>
      <c r="T19" t="b">
        <v>0</v>
      </c>
      <c r="U19" t="s">
        <v>165</v>
      </c>
      <c r="V19" t="b">
        <v>0</v>
      </c>
      <c r="W19" t="b">
        <v>0</v>
      </c>
      <c r="X19" t="s">
        <v>165</v>
      </c>
      <c r="Y19" s="170" t="s">
        <v>176</v>
      </c>
      <c r="Z19" t="s">
        <v>175</v>
      </c>
      <c r="AA19" t="s">
        <v>163</v>
      </c>
      <c r="AB19" t="s">
        <v>164</v>
      </c>
      <c r="AC19">
        <v>1</v>
      </c>
      <c r="AD19">
        <v>1</v>
      </c>
      <c r="AE19">
        <v>112</v>
      </c>
      <c r="AF19">
        <v>114</v>
      </c>
      <c r="AG19" s="171">
        <v>1.1299999999999999</v>
      </c>
      <c r="AH19">
        <f t="shared" si="7"/>
        <v>1.1299999999999999</v>
      </c>
      <c r="AI19" t="s">
        <v>177</v>
      </c>
      <c r="AJ19" t="s">
        <v>166</v>
      </c>
      <c r="AK19" s="172">
        <v>12.75</v>
      </c>
      <c r="AL19" s="172">
        <v>-78.73</v>
      </c>
      <c r="AM19" s="172">
        <v>12.75</v>
      </c>
      <c r="AN19" s="172">
        <v>-78.73</v>
      </c>
      <c r="AO19" s="172">
        <v>-2827</v>
      </c>
      <c r="AP19" s="172">
        <v>-2827</v>
      </c>
      <c r="AQ19" t="s">
        <v>178</v>
      </c>
      <c r="AR19" t="s">
        <v>168</v>
      </c>
      <c r="AS19" s="173">
        <v>24.794</v>
      </c>
      <c r="AT19" s="174" t="s">
        <v>167</v>
      </c>
      <c r="AU19">
        <v>3.5000000000000003E-2</v>
      </c>
      <c r="AV19">
        <v>3.5000000000000003E-2</v>
      </c>
      <c r="AW19" t="s">
        <v>179</v>
      </c>
      <c r="AX19" t="s">
        <v>269</v>
      </c>
      <c r="AY19" s="175" t="s">
        <v>180</v>
      </c>
      <c r="AZ19" t="s">
        <v>165</v>
      </c>
      <c r="BA19" t="s">
        <v>165</v>
      </c>
      <c r="BB19" t="s">
        <v>165</v>
      </c>
      <c r="BC19" t="s">
        <v>165</v>
      </c>
      <c r="BD19" t="s">
        <v>165</v>
      </c>
      <c r="BE19" t="s">
        <v>165</v>
      </c>
      <c r="BF19" t="s">
        <v>165</v>
      </c>
      <c r="BG19" t="s">
        <v>181</v>
      </c>
      <c r="BH19" t="s">
        <v>182</v>
      </c>
      <c r="BI19" t="s">
        <v>183</v>
      </c>
      <c r="BJ19" s="176" t="s">
        <v>184</v>
      </c>
      <c r="BK19" t="s">
        <v>185</v>
      </c>
      <c r="BL19" t="s">
        <v>186</v>
      </c>
      <c r="BM19" t="s">
        <v>187</v>
      </c>
      <c r="BN19" t="s">
        <v>236</v>
      </c>
      <c r="BO19">
        <v>2</v>
      </c>
      <c r="BP19" s="177">
        <v>0.16000000000000014</v>
      </c>
      <c r="BQ19" s="177">
        <v>21.509999999999998</v>
      </c>
      <c r="BR19" t="s">
        <v>189</v>
      </c>
      <c r="BS19">
        <v>0.25</v>
      </c>
      <c r="BT19">
        <v>0.6</v>
      </c>
      <c r="BU19" t="s">
        <v>190</v>
      </c>
      <c r="BV19" s="174">
        <v>0.08</v>
      </c>
      <c r="BW19">
        <v>8.8699999999999992</v>
      </c>
      <c r="BX19" t="s">
        <v>191</v>
      </c>
      <c r="BY19">
        <v>1.52</v>
      </c>
      <c r="BZ19" t="s">
        <v>192</v>
      </c>
      <c r="CA19" t="s">
        <v>193</v>
      </c>
      <c r="CB19" s="178">
        <v>21.038215556086492</v>
      </c>
      <c r="CC19" t="s">
        <v>169</v>
      </c>
      <c r="CD19" s="178">
        <v>0.5195496136334159</v>
      </c>
      <c r="CE19" t="s">
        <v>194</v>
      </c>
      <c r="CF19" t="s">
        <v>195</v>
      </c>
      <c r="CG19">
        <v>10</v>
      </c>
      <c r="CH19" t="s">
        <v>196</v>
      </c>
      <c r="CI19" t="s">
        <v>196</v>
      </c>
      <c r="CJ19" s="178">
        <v>26.576627272990191</v>
      </c>
      <c r="CK19" t="s">
        <v>197</v>
      </c>
      <c r="CL19">
        <v>1</v>
      </c>
      <c r="CM19">
        <v>1</v>
      </c>
      <c r="CN19" t="s">
        <v>198</v>
      </c>
      <c r="CO19" t="s">
        <v>165</v>
      </c>
      <c r="CP19" t="s">
        <v>165</v>
      </c>
      <c r="CQ19" t="s">
        <v>165</v>
      </c>
      <c r="CR19" t="s">
        <v>165</v>
      </c>
      <c r="CS19" t="s">
        <v>165</v>
      </c>
      <c r="CT19" t="s">
        <v>165</v>
      </c>
      <c r="CU19" t="s">
        <v>165</v>
      </c>
      <c r="CV19" t="s">
        <v>165</v>
      </c>
      <c r="CW19" t="s">
        <v>165</v>
      </c>
      <c r="CX19" t="s">
        <v>165</v>
      </c>
      <c r="CY19" t="s">
        <v>165</v>
      </c>
      <c r="CZ19" t="s">
        <v>165</v>
      </c>
      <c r="DA19" t="s">
        <v>165</v>
      </c>
      <c r="DB19" t="s">
        <v>165</v>
      </c>
      <c r="DC19" t="s">
        <v>165</v>
      </c>
      <c r="DD19" t="s">
        <v>165</v>
      </c>
      <c r="DE19" t="s">
        <v>165</v>
      </c>
      <c r="DF19" t="s">
        <v>165</v>
      </c>
      <c r="DG19" s="179">
        <v>37.049999999999997</v>
      </c>
      <c r="DH19" t="s">
        <v>167</v>
      </c>
      <c r="DI19">
        <v>1</v>
      </c>
      <c r="DJ19" s="180" t="s">
        <v>224</v>
      </c>
      <c r="DK19" t="s">
        <v>200</v>
      </c>
      <c r="DL19" t="s">
        <v>201</v>
      </c>
      <c r="DM19" t="s">
        <v>201</v>
      </c>
      <c r="DN19" t="s">
        <v>201</v>
      </c>
      <c r="DO19" t="s">
        <v>200</v>
      </c>
      <c r="DP19" t="s">
        <v>201</v>
      </c>
      <c r="DQ19" t="s">
        <v>201</v>
      </c>
      <c r="DR19" t="s">
        <v>201</v>
      </c>
      <c r="DS19" t="s">
        <v>200</v>
      </c>
      <c r="DT19" t="s">
        <v>201</v>
      </c>
      <c r="DU19" t="s">
        <v>201</v>
      </c>
      <c r="DV19" t="s">
        <v>201</v>
      </c>
      <c r="DW19" s="175">
        <v>457.89824236817753</v>
      </c>
      <c r="DX19" t="s">
        <v>202</v>
      </c>
      <c r="DY19" s="175">
        <v>12.358926919518922</v>
      </c>
      <c r="DZ19" t="s">
        <v>203</v>
      </c>
      <c r="EA19">
        <v>39.61</v>
      </c>
      <c r="EB19" t="s">
        <v>204</v>
      </c>
      <c r="EC19" t="s">
        <v>165</v>
      </c>
      <c r="ED19" t="s">
        <v>205</v>
      </c>
      <c r="EE19" t="s">
        <v>206</v>
      </c>
      <c r="EF19" t="s">
        <v>207</v>
      </c>
      <c r="EG19">
        <v>1.0271999999999999</v>
      </c>
      <c r="EH19" t="s">
        <v>208</v>
      </c>
      <c r="EI19" t="s">
        <v>208</v>
      </c>
      <c r="EJ19" t="s">
        <v>209</v>
      </c>
      <c r="EK19" t="s">
        <v>208</v>
      </c>
      <c r="EL19" t="s">
        <v>208</v>
      </c>
      <c r="EM19" t="s">
        <v>210</v>
      </c>
      <c r="EN19" t="s">
        <v>211</v>
      </c>
      <c r="EO19" t="s">
        <v>212</v>
      </c>
      <c r="EP19" t="s">
        <v>212</v>
      </c>
      <c r="EQ19" t="s">
        <v>206</v>
      </c>
      <c r="ER19" t="s">
        <v>165</v>
      </c>
      <c r="ES19" t="s">
        <v>165</v>
      </c>
      <c r="ET19" t="s">
        <v>213</v>
      </c>
      <c r="EU19" t="s">
        <v>214</v>
      </c>
      <c r="EV19" t="s">
        <v>215</v>
      </c>
      <c r="EW19" s="181">
        <v>2422.0324499999997</v>
      </c>
      <c r="EX19" t="s">
        <v>216</v>
      </c>
      <c r="EY19">
        <v>100</v>
      </c>
      <c r="EZ19">
        <v>100</v>
      </c>
      <c r="FA19" t="s">
        <v>165</v>
      </c>
      <c r="FB19" t="s">
        <v>165</v>
      </c>
      <c r="FC19" t="s">
        <v>165</v>
      </c>
      <c r="FD19" t="s">
        <v>165</v>
      </c>
      <c r="FE19" s="182">
        <v>8.2678678356086124</v>
      </c>
      <c r="FF19" s="178" t="s">
        <v>170</v>
      </c>
      <c r="FG19" s="178">
        <v>3.7372637378874529E-2</v>
      </c>
      <c r="FH19" s="178">
        <v>3.7372637378874529E-2</v>
      </c>
      <c r="FI19" s="183">
        <v>216.20726616284901</v>
      </c>
      <c r="FJ19" s="178">
        <v>21</v>
      </c>
      <c r="FK19" t="s">
        <v>217</v>
      </c>
      <c r="FL19" s="184">
        <v>195.20726616284901</v>
      </c>
      <c r="FM19">
        <v>29</v>
      </c>
      <c r="FN19">
        <v>29</v>
      </c>
      <c r="FO19" t="s">
        <v>195</v>
      </c>
      <c r="FP19" t="s">
        <v>218</v>
      </c>
      <c r="FQ19" t="s">
        <v>219</v>
      </c>
      <c r="FR19" t="s">
        <v>219</v>
      </c>
      <c r="FS19" t="s">
        <v>219</v>
      </c>
      <c r="FT19" t="s">
        <v>219</v>
      </c>
      <c r="FU19" t="s">
        <v>219</v>
      </c>
      <c r="FV19" t="s">
        <v>219</v>
      </c>
      <c r="FW19" t="s">
        <v>219</v>
      </c>
      <c r="FX19" t="s">
        <v>219</v>
      </c>
      <c r="FY19" t="s">
        <v>219</v>
      </c>
      <c r="FZ19" t="s">
        <v>219</v>
      </c>
      <c r="GA19" t="s">
        <v>219</v>
      </c>
      <c r="GB19" t="s">
        <v>219</v>
      </c>
      <c r="GC19" t="s">
        <v>220</v>
      </c>
    </row>
    <row r="20" spans="1:185" ht="16">
      <c r="A20" t="s">
        <v>171</v>
      </c>
      <c r="B20" s="169" t="s">
        <v>172</v>
      </c>
      <c r="C20" s="140" t="s">
        <v>162</v>
      </c>
      <c r="D20" t="s">
        <v>173</v>
      </c>
      <c r="E20">
        <v>2013</v>
      </c>
      <c r="F20" t="s">
        <v>175</v>
      </c>
      <c r="G20" s="189">
        <f t="shared" si="1"/>
        <v>26.277999999999999</v>
      </c>
      <c r="H20">
        <f t="shared" si="2"/>
        <v>3.5000000000000003E-2</v>
      </c>
      <c r="I20">
        <f t="shared" si="3"/>
        <v>3.5000000000000003E-2</v>
      </c>
      <c r="J20">
        <f t="shared" si="4"/>
        <v>184.79827638299901</v>
      </c>
      <c r="K20">
        <f t="shared" si="5"/>
        <v>29</v>
      </c>
      <c r="L20">
        <f t="shared" si="6"/>
        <v>29</v>
      </c>
      <c r="M20" t="b">
        <v>1</v>
      </c>
      <c r="N20">
        <v>3</v>
      </c>
      <c r="O20" s="193" t="s">
        <v>306</v>
      </c>
      <c r="P20" s="193" t="s">
        <v>307</v>
      </c>
      <c r="Q20" t="b">
        <v>0</v>
      </c>
      <c r="R20" t="s">
        <v>165</v>
      </c>
      <c r="S20" t="b">
        <v>1</v>
      </c>
      <c r="T20" t="b">
        <v>0</v>
      </c>
      <c r="U20" t="s">
        <v>165</v>
      </c>
      <c r="V20" t="b">
        <v>0</v>
      </c>
      <c r="W20" t="b">
        <v>0</v>
      </c>
      <c r="X20" t="s">
        <v>165</v>
      </c>
      <c r="Y20" s="170" t="s">
        <v>176</v>
      </c>
      <c r="Z20" t="s">
        <v>175</v>
      </c>
      <c r="AA20" t="s">
        <v>163</v>
      </c>
      <c r="AB20" t="s">
        <v>164</v>
      </c>
      <c r="AC20">
        <v>1</v>
      </c>
      <c r="AD20">
        <v>1</v>
      </c>
      <c r="AE20">
        <v>119</v>
      </c>
      <c r="AF20">
        <v>121</v>
      </c>
      <c r="AG20" s="171">
        <v>1.2</v>
      </c>
      <c r="AH20">
        <f t="shared" si="7"/>
        <v>1.2</v>
      </c>
      <c r="AI20" t="s">
        <v>177</v>
      </c>
      <c r="AJ20" t="s">
        <v>166</v>
      </c>
      <c r="AK20" s="172">
        <v>12.75</v>
      </c>
      <c r="AL20" s="172">
        <v>-78.73</v>
      </c>
      <c r="AM20" s="172">
        <v>12.75</v>
      </c>
      <c r="AN20" s="172">
        <v>-78.73</v>
      </c>
      <c r="AO20" s="172">
        <v>-2827</v>
      </c>
      <c r="AP20" s="172">
        <v>-2827</v>
      </c>
      <c r="AQ20" t="s">
        <v>178</v>
      </c>
      <c r="AR20" t="s">
        <v>168</v>
      </c>
      <c r="AS20" s="173">
        <v>26.277999999999999</v>
      </c>
      <c r="AT20" s="174" t="s">
        <v>167</v>
      </c>
      <c r="AU20">
        <v>3.5000000000000003E-2</v>
      </c>
      <c r="AV20">
        <v>3.5000000000000003E-2</v>
      </c>
      <c r="AW20" t="s">
        <v>179</v>
      </c>
      <c r="AX20" t="s">
        <v>269</v>
      </c>
      <c r="AY20" s="175" t="s">
        <v>180</v>
      </c>
      <c r="AZ20" t="s">
        <v>165</v>
      </c>
      <c r="BA20" t="s">
        <v>165</v>
      </c>
      <c r="BB20" t="s">
        <v>165</v>
      </c>
      <c r="BC20" t="s">
        <v>165</v>
      </c>
      <c r="BD20" t="s">
        <v>165</v>
      </c>
      <c r="BE20" t="s">
        <v>165</v>
      </c>
      <c r="BF20" t="s">
        <v>165</v>
      </c>
      <c r="BG20" t="s">
        <v>181</v>
      </c>
      <c r="BH20" t="s">
        <v>182</v>
      </c>
      <c r="BI20" t="s">
        <v>183</v>
      </c>
      <c r="BJ20" s="176" t="s">
        <v>184</v>
      </c>
      <c r="BK20" t="s">
        <v>185</v>
      </c>
      <c r="BL20" t="s">
        <v>186</v>
      </c>
      <c r="BM20" t="s">
        <v>187</v>
      </c>
      <c r="BN20" t="s">
        <v>237</v>
      </c>
      <c r="BO20">
        <v>2</v>
      </c>
      <c r="BP20" s="177">
        <v>0.14999999999999855</v>
      </c>
      <c r="BQ20" s="177">
        <v>21.625</v>
      </c>
      <c r="BR20" t="s">
        <v>189</v>
      </c>
      <c r="BS20">
        <v>0.25</v>
      </c>
      <c r="BT20">
        <v>0.6</v>
      </c>
      <c r="BU20" t="s">
        <v>190</v>
      </c>
      <c r="BV20" s="174">
        <v>0.08</v>
      </c>
      <c r="BW20">
        <v>8.8699999999999992</v>
      </c>
      <c r="BX20" t="s">
        <v>191</v>
      </c>
      <c r="BY20">
        <v>1.52</v>
      </c>
      <c r="BZ20" t="s">
        <v>192</v>
      </c>
      <c r="CA20" t="s">
        <v>193</v>
      </c>
      <c r="CB20" s="178">
        <v>21.218789112423714</v>
      </c>
      <c r="CC20" t="s">
        <v>169</v>
      </c>
      <c r="CD20" s="178">
        <v>0.54253919060208888</v>
      </c>
      <c r="CE20" t="s">
        <v>194</v>
      </c>
      <c r="CF20" t="s">
        <v>195</v>
      </c>
      <c r="CG20">
        <v>10</v>
      </c>
      <c r="CH20" t="s">
        <v>196</v>
      </c>
      <c r="CI20" t="s">
        <v>196</v>
      </c>
      <c r="CJ20" s="178">
        <v>26.344236614236205</v>
      </c>
      <c r="CK20" t="s">
        <v>197</v>
      </c>
      <c r="CL20">
        <v>1</v>
      </c>
      <c r="CM20">
        <v>1</v>
      </c>
      <c r="CN20" t="s">
        <v>198</v>
      </c>
      <c r="CO20" t="s">
        <v>165</v>
      </c>
      <c r="CP20" t="s">
        <v>165</v>
      </c>
      <c r="CQ20" t="s">
        <v>165</v>
      </c>
      <c r="CR20" t="s">
        <v>165</v>
      </c>
      <c r="CS20" t="s">
        <v>165</v>
      </c>
      <c r="CT20" t="s">
        <v>165</v>
      </c>
      <c r="CU20" t="s">
        <v>165</v>
      </c>
      <c r="CV20" t="s">
        <v>165</v>
      </c>
      <c r="CW20" t="s">
        <v>165</v>
      </c>
      <c r="CX20" t="s">
        <v>165</v>
      </c>
      <c r="CY20" t="s">
        <v>165</v>
      </c>
      <c r="CZ20" t="s">
        <v>165</v>
      </c>
      <c r="DA20" t="s">
        <v>165</v>
      </c>
      <c r="DB20" t="s">
        <v>165</v>
      </c>
      <c r="DC20" t="s">
        <v>165</v>
      </c>
      <c r="DD20" t="s">
        <v>165</v>
      </c>
      <c r="DE20" t="s">
        <v>165</v>
      </c>
      <c r="DF20" t="s">
        <v>165</v>
      </c>
      <c r="DG20" s="179">
        <v>36.840000000000003</v>
      </c>
      <c r="DH20" t="s">
        <v>167</v>
      </c>
      <c r="DI20">
        <v>1</v>
      </c>
      <c r="DJ20" s="180" t="s">
        <v>224</v>
      </c>
      <c r="DK20" t="s">
        <v>200</v>
      </c>
      <c r="DL20" t="s">
        <v>201</v>
      </c>
      <c r="DM20" t="s">
        <v>201</v>
      </c>
      <c r="DN20" t="s">
        <v>201</v>
      </c>
      <c r="DO20" t="s">
        <v>200</v>
      </c>
      <c r="DP20" t="s">
        <v>201</v>
      </c>
      <c r="DQ20" t="s">
        <v>201</v>
      </c>
      <c r="DR20" t="s">
        <v>201</v>
      </c>
      <c r="DS20" t="s">
        <v>200</v>
      </c>
      <c r="DT20" t="s">
        <v>201</v>
      </c>
      <c r="DU20" t="s">
        <v>201</v>
      </c>
      <c r="DV20" t="s">
        <v>201</v>
      </c>
      <c r="DW20" s="175">
        <v>455.30286771507861</v>
      </c>
      <c r="DX20" t="s">
        <v>202</v>
      </c>
      <c r="DY20" s="175">
        <v>12.358926919518865</v>
      </c>
      <c r="DZ20" t="s">
        <v>203</v>
      </c>
      <c r="EA20">
        <v>39.61</v>
      </c>
      <c r="EB20" t="s">
        <v>204</v>
      </c>
      <c r="EC20" t="s">
        <v>165</v>
      </c>
      <c r="ED20" t="s">
        <v>205</v>
      </c>
      <c r="EE20" t="s">
        <v>206</v>
      </c>
      <c r="EF20" t="s">
        <v>207</v>
      </c>
      <c r="EG20">
        <v>1.0271999999999999</v>
      </c>
      <c r="EH20" t="s">
        <v>208</v>
      </c>
      <c r="EI20" t="s">
        <v>208</v>
      </c>
      <c r="EJ20" t="s">
        <v>209</v>
      </c>
      <c r="EK20" t="s">
        <v>208</v>
      </c>
      <c r="EL20" t="s">
        <v>208</v>
      </c>
      <c r="EM20" t="s">
        <v>210</v>
      </c>
      <c r="EN20" t="s">
        <v>211</v>
      </c>
      <c r="EO20" t="s">
        <v>212</v>
      </c>
      <c r="EP20" t="s">
        <v>212</v>
      </c>
      <c r="EQ20" t="s">
        <v>206</v>
      </c>
      <c r="ER20" t="s">
        <v>165</v>
      </c>
      <c r="ES20" t="s">
        <v>165</v>
      </c>
      <c r="ET20" t="s">
        <v>213</v>
      </c>
      <c r="EU20" t="s">
        <v>214</v>
      </c>
      <c r="EV20" t="s">
        <v>215</v>
      </c>
      <c r="EW20" s="181">
        <v>2409.6027600000002</v>
      </c>
      <c r="EX20" t="s">
        <v>216</v>
      </c>
      <c r="EY20">
        <v>100</v>
      </c>
      <c r="EZ20">
        <v>100</v>
      </c>
      <c r="FA20" t="s">
        <v>165</v>
      </c>
      <c r="FB20" t="s">
        <v>165</v>
      </c>
      <c r="FC20" t="s">
        <v>165</v>
      </c>
      <c r="FD20" t="s">
        <v>165</v>
      </c>
      <c r="FE20" s="182">
        <v>8.2830581536672252</v>
      </c>
      <c r="FF20" s="178" t="s">
        <v>170</v>
      </c>
      <c r="FG20" s="178">
        <v>3.8632252073131923E-2</v>
      </c>
      <c r="FH20" s="178">
        <v>3.8632252073131923E-2</v>
      </c>
      <c r="FI20" s="183">
        <v>205.79827638299901</v>
      </c>
      <c r="FJ20" s="178">
        <v>21</v>
      </c>
      <c r="FK20" t="s">
        <v>217</v>
      </c>
      <c r="FL20" s="184">
        <v>184.79827638299901</v>
      </c>
      <c r="FM20">
        <v>29</v>
      </c>
      <c r="FN20">
        <v>29</v>
      </c>
      <c r="FO20" t="s">
        <v>195</v>
      </c>
      <c r="FP20" t="s">
        <v>218</v>
      </c>
      <c r="FQ20" t="s">
        <v>219</v>
      </c>
      <c r="FR20" t="s">
        <v>219</v>
      </c>
      <c r="FS20" t="s">
        <v>219</v>
      </c>
      <c r="FT20" t="s">
        <v>219</v>
      </c>
      <c r="FU20" t="s">
        <v>219</v>
      </c>
      <c r="FV20" t="s">
        <v>219</v>
      </c>
      <c r="FW20" t="s">
        <v>219</v>
      </c>
      <c r="FX20" t="s">
        <v>219</v>
      </c>
      <c r="FY20" t="s">
        <v>219</v>
      </c>
      <c r="FZ20" t="s">
        <v>219</v>
      </c>
      <c r="GA20" t="s">
        <v>219</v>
      </c>
      <c r="GB20" t="s">
        <v>219</v>
      </c>
      <c r="GC20" t="s">
        <v>220</v>
      </c>
    </row>
    <row r="21" spans="1:185" ht="16">
      <c r="A21" t="s">
        <v>171</v>
      </c>
      <c r="B21" s="169" t="s">
        <v>172</v>
      </c>
      <c r="C21" s="140" t="s">
        <v>162</v>
      </c>
      <c r="D21" t="s">
        <v>173</v>
      </c>
      <c r="E21">
        <v>2013</v>
      </c>
      <c r="F21" t="s">
        <v>175</v>
      </c>
      <c r="G21" s="189">
        <f t="shared" si="1"/>
        <v>26.277999999999999</v>
      </c>
      <c r="H21">
        <f t="shared" si="2"/>
        <v>3.5000000000000003E-2</v>
      </c>
      <c r="I21">
        <f t="shared" si="3"/>
        <v>3.5000000000000003E-2</v>
      </c>
      <c r="J21">
        <f t="shared" si="4"/>
        <v>179.702069784288</v>
      </c>
      <c r="K21">
        <f t="shared" si="5"/>
        <v>29</v>
      </c>
      <c r="L21">
        <f t="shared" si="6"/>
        <v>29</v>
      </c>
      <c r="M21" t="b">
        <v>1</v>
      </c>
      <c r="N21">
        <v>3</v>
      </c>
      <c r="O21" s="193" t="s">
        <v>306</v>
      </c>
      <c r="P21" s="193" t="s">
        <v>307</v>
      </c>
      <c r="Q21" t="b">
        <v>0</v>
      </c>
      <c r="R21" t="s">
        <v>165</v>
      </c>
      <c r="S21" t="b">
        <v>1</v>
      </c>
      <c r="T21" t="b">
        <v>0</v>
      </c>
      <c r="U21" t="s">
        <v>165</v>
      </c>
      <c r="V21" t="b">
        <v>0</v>
      </c>
      <c r="W21" t="b">
        <v>0</v>
      </c>
      <c r="X21" t="s">
        <v>165</v>
      </c>
      <c r="Y21" s="170" t="s">
        <v>176</v>
      </c>
      <c r="Z21" t="s">
        <v>175</v>
      </c>
      <c r="AA21" t="s">
        <v>163</v>
      </c>
      <c r="AB21" t="s">
        <v>164</v>
      </c>
      <c r="AC21">
        <v>1</v>
      </c>
      <c r="AD21">
        <v>1</v>
      </c>
      <c r="AE21">
        <v>119</v>
      </c>
      <c r="AF21">
        <v>121</v>
      </c>
      <c r="AG21" s="171">
        <v>1.2</v>
      </c>
      <c r="AH21">
        <f t="shared" si="7"/>
        <v>1.2</v>
      </c>
      <c r="AI21" t="s">
        <v>177</v>
      </c>
      <c r="AJ21" t="s">
        <v>166</v>
      </c>
      <c r="AK21" s="172">
        <v>12.75</v>
      </c>
      <c r="AL21" s="172">
        <v>-78.73</v>
      </c>
      <c r="AM21" s="172">
        <v>12.75</v>
      </c>
      <c r="AN21" s="172">
        <v>-78.73</v>
      </c>
      <c r="AO21" s="172">
        <v>-2827</v>
      </c>
      <c r="AP21" s="172">
        <v>-2827</v>
      </c>
      <c r="AQ21" t="s">
        <v>178</v>
      </c>
      <c r="AR21" t="s">
        <v>168</v>
      </c>
      <c r="AS21" s="173">
        <v>26.277999999999999</v>
      </c>
      <c r="AT21" s="174" t="s">
        <v>167</v>
      </c>
      <c r="AU21">
        <v>3.5000000000000003E-2</v>
      </c>
      <c r="AV21">
        <v>3.5000000000000003E-2</v>
      </c>
      <c r="AW21" t="s">
        <v>179</v>
      </c>
      <c r="AX21" t="s">
        <v>269</v>
      </c>
      <c r="AY21" s="175" t="s">
        <v>180</v>
      </c>
      <c r="AZ21" t="s">
        <v>165</v>
      </c>
      <c r="BA21" t="s">
        <v>165</v>
      </c>
      <c r="BB21" t="s">
        <v>165</v>
      </c>
      <c r="BC21" t="s">
        <v>165</v>
      </c>
      <c r="BD21" t="s">
        <v>165</v>
      </c>
      <c r="BE21" t="s">
        <v>165</v>
      </c>
      <c r="BF21" t="s">
        <v>165</v>
      </c>
      <c r="BG21" t="s">
        <v>181</v>
      </c>
      <c r="BH21" t="s">
        <v>182</v>
      </c>
      <c r="BI21" t="s">
        <v>183</v>
      </c>
      <c r="BJ21" s="176" t="s">
        <v>184</v>
      </c>
      <c r="BK21" t="s">
        <v>185</v>
      </c>
      <c r="BL21" t="s">
        <v>186</v>
      </c>
      <c r="BM21" t="s">
        <v>187</v>
      </c>
      <c r="BN21" t="s">
        <v>238</v>
      </c>
      <c r="BO21">
        <v>2</v>
      </c>
      <c r="BP21" s="177">
        <v>0.21000000000000085</v>
      </c>
      <c r="BQ21" s="177">
        <v>21.695</v>
      </c>
      <c r="BR21" t="s">
        <v>189</v>
      </c>
      <c r="BS21">
        <v>0.25</v>
      </c>
      <c r="BT21">
        <v>0.6</v>
      </c>
      <c r="BU21" t="s">
        <v>190</v>
      </c>
      <c r="BV21" s="174">
        <v>0.08</v>
      </c>
      <c r="BW21">
        <v>8.8699999999999992</v>
      </c>
      <c r="BX21" t="s">
        <v>191</v>
      </c>
      <c r="BY21">
        <v>1.52</v>
      </c>
      <c r="BZ21" t="s">
        <v>192</v>
      </c>
      <c r="CA21" t="s">
        <v>193</v>
      </c>
      <c r="CB21" s="178">
        <v>21.333764841660749</v>
      </c>
      <c r="CC21" t="s">
        <v>169</v>
      </c>
      <c r="CD21" s="178">
        <v>0.55731805709000659</v>
      </c>
      <c r="CE21" t="s">
        <v>194</v>
      </c>
      <c r="CF21" t="s">
        <v>195</v>
      </c>
      <c r="CG21">
        <v>10</v>
      </c>
      <c r="CH21" t="s">
        <v>196</v>
      </c>
      <c r="CI21" t="s">
        <v>196</v>
      </c>
      <c r="CJ21" s="178">
        <v>26.344236614236205</v>
      </c>
      <c r="CK21" t="s">
        <v>197</v>
      </c>
      <c r="CL21">
        <v>1</v>
      </c>
      <c r="CM21">
        <v>1</v>
      </c>
      <c r="CN21" t="s">
        <v>198</v>
      </c>
      <c r="CO21" t="s">
        <v>165</v>
      </c>
      <c r="CP21" t="s">
        <v>165</v>
      </c>
      <c r="CQ21" t="s">
        <v>165</v>
      </c>
      <c r="CR21" t="s">
        <v>165</v>
      </c>
      <c r="CS21" t="s">
        <v>165</v>
      </c>
      <c r="CT21" t="s">
        <v>165</v>
      </c>
      <c r="CU21" t="s">
        <v>165</v>
      </c>
      <c r="CV21" t="s">
        <v>165</v>
      </c>
      <c r="CW21" t="s">
        <v>165</v>
      </c>
      <c r="CX21" t="s">
        <v>165</v>
      </c>
      <c r="CY21" t="s">
        <v>165</v>
      </c>
      <c r="CZ21" t="s">
        <v>165</v>
      </c>
      <c r="DA21" t="s">
        <v>165</v>
      </c>
      <c r="DB21" t="s">
        <v>165</v>
      </c>
      <c r="DC21" t="s">
        <v>165</v>
      </c>
      <c r="DD21" t="s">
        <v>165</v>
      </c>
      <c r="DE21" t="s">
        <v>165</v>
      </c>
      <c r="DF21" t="s">
        <v>165</v>
      </c>
      <c r="DG21" s="179">
        <v>36.840000000000003</v>
      </c>
      <c r="DH21" t="s">
        <v>167</v>
      </c>
      <c r="DI21">
        <v>1</v>
      </c>
      <c r="DJ21" s="180" t="s">
        <v>224</v>
      </c>
      <c r="DK21" t="s">
        <v>200</v>
      </c>
      <c r="DL21" t="s">
        <v>201</v>
      </c>
      <c r="DM21" t="s">
        <v>201</v>
      </c>
      <c r="DN21" t="s">
        <v>201</v>
      </c>
      <c r="DO21" t="s">
        <v>200</v>
      </c>
      <c r="DP21" t="s">
        <v>201</v>
      </c>
      <c r="DQ21" t="s">
        <v>201</v>
      </c>
      <c r="DR21" t="s">
        <v>201</v>
      </c>
      <c r="DS21" t="s">
        <v>200</v>
      </c>
      <c r="DT21" t="s">
        <v>201</v>
      </c>
      <c r="DU21" t="s">
        <v>201</v>
      </c>
      <c r="DV21" t="s">
        <v>201</v>
      </c>
      <c r="DW21" s="175">
        <v>455.30286771507861</v>
      </c>
      <c r="DX21" t="s">
        <v>202</v>
      </c>
      <c r="DY21" s="175">
        <v>12.358926919518865</v>
      </c>
      <c r="DZ21" t="s">
        <v>203</v>
      </c>
      <c r="EA21">
        <v>39.61</v>
      </c>
      <c r="EB21" t="s">
        <v>204</v>
      </c>
      <c r="EC21" t="s">
        <v>165</v>
      </c>
      <c r="ED21" t="s">
        <v>205</v>
      </c>
      <c r="EE21" t="s">
        <v>206</v>
      </c>
      <c r="EF21" t="s">
        <v>207</v>
      </c>
      <c r="EG21">
        <v>1.0271999999999999</v>
      </c>
      <c r="EH21" t="s">
        <v>208</v>
      </c>
      <c r="EI21" t="s">
        <v>208</v>
      </c>
      <c r="EJ21" t="s">
        <v>209</v>
      </c>
      <c r="EK21" t="s">
        <v>208</v>
      </c>
      <c r="EL21" t="s">
        <v>208</v>
      </c>
      <c r="EM21" t="s">
        <v>210</v>
      </c>
      <c r="EN21" t="s">
        <v>211</v>
      </c>
      <c r="EO21" t="s">
        <v>212</v>
      </c>
      <c r="EP21" t="s">
        <v>212</v>
      </c>
      <c r="EQ21" t="s">
        <v>206</v>
      </c>
      <c r="ER21" t="s">
        <v>165</v>
      </c>
      <c r="ES21" t="s">
        <v>165</v>
      </c>
      <c r="ET21" t="s">
        <v>213</v>
      </c>
      <c r="EU21" t="s">
        <v>214</v>
      </c>
      <c r="EV21" t="s">
        <v>215</v>
      </c>
      <c r="EW21" s="181">
        <v>2409.6027600000002</v>
      </c>
      <c r="EX21" t="s">
        <v>216</v>
      </c>
      <c r="EY21">
        <v>100</v>
      </c>
      <c r="EZ21">
        <v>100</v>
      </c>
      <c r="FA21" t="s">
        <v>165</v>
      </c>
      <c r="FB21" t="s">
        <v>165</v>
      </c>
      <c r="FC21" t="s">
        <v>165</v>
      </c>
      <c r="FD21" t="s">
        <v>165</v>
      </c>
      <c r="FE21" s="182">
        <v>8.2912123625716401</v>
      </c>
      <c r="FF21" s="178" t="s">
        <v>170</v>
      </c>
      <c r="FG21" s="178">
        <v>3.9439027618596079E-2</v>
      </c>
      <c r="FH21" s="178">
        <v>3.9439027618596079E-2</v>
      </c>
      <c r="FI21" s="183">
        <v>200.702069784288</v>
      </c>
      <c r="FJ21" s="178">
        <v>21</v>
      </c>
      <c r="FK21" t="s">
        <v>217</v>
      </c>
      <c r="FL21" s="184">
        <v>179.702069784288</v>
      </c>
      <c r="FM21">
        <v>29</v>
      </c>
      <c r="FN21">
        <v>29</v>
      </c>
      <c r="FO21" t="s">
        <v>195</v>
      </c>
      <c r="FP21" t="s">
        <v>218</v>
      </c>
      <c r="FQ21" t="s">
        <v>219</v>
      </c>
      <c r="FR21" t="s">
        <v>219</v>
      </c>
      <c r="FS21" t="s">
        <v>219</v>
      </c>
      <c r="FT21" t="s">
        <v>219</v>
      </c>
      <c r="FU21" t="s">
        <v>219</v>
      </c>
      <c r="FV21" t="s">
        <v>219</v>
      </c>
      <c r="FW21" t="s">
        <v>219</v>
      </c>
      <c r="FX21" t="s">
        <v>219</v>
      </c>
      <c r="FY21" t="s">
        <v>219</v>
      </c>
      <c r="FZ21" t="s">
        <v>219</v>
      </c>
      <c r="GA21" t="s">
        <v>219</v>
      </c>
      <c r="GB21" t="s">
        <v>219</v>
      </c>
      <c r="GC21" t="s">
        <v>220</v>
      </c>
    </row>
    <row r="22" spans="1:185" ht="17">
      <c r="A22" t="s">
        <v>171</v>
      </c>
      <c r="B22" s="169" t="s">
        <v>172</v>
      </c>
      <c r="C22" s="140" t="s">
        <v>162</v>
      </c>
      <c r="D22" t="s">
        <v>173</v>
      </c>
      <c r="E22">
        <v>2013</v>
      </c>
      <c r="F22" t="s">
        <v>175</v>
      </c>
      <c r="G22" s="189">
        <f t="shared" si="1"/>
        <v>3.1021420000000006</v>
      </c>
      <c r="H22" s="193">
        <v>4</v>
      </c>
      <c r="I22" s="193">
        <v>4</v>
      </c>
      <c r="J22">
        <f t="shared" si="4"/>
        <v>259.36601200708998</v>
      </c>
      <c r="K22">
        <f t="shared" si="5"/>
        <v>29</v>
      </c>
      <c r="L22">
        <f t="shared" si="6"/>
        <v>29</v>
      </c>
      <c r="M22" t="b">
        <v>1</v>
      </c>
      <c r="N22">
        <v>1</v>
      </c>
      <c r="O22" s="195" t="s">
        <v>309</v>
      </c>
      <c r="P22" t="b">
        <v>0</v>
      </c>
      <c r="Q22" t="b">
        <v>0</v>
      </c>
      <c r="R22" t="s">
        <v>165</v>
      </c>
      <c r="S22" t="b">
        <v>1</v>
      </c>
      <c r="T22" t="b">
        <v>0</v>
      </c>
      <c r="U22" t="s">
        <v>165</v>
      </c>
      <c r="V22" t="b">
        <v>0</v>
      </c>
      <c r="W22" t="b">
        <v>0</v>
      </c>
      <c r="X22" s="193" t="s">
        <v>270</v>
      </c>
      <c r="Y22" s="170" t="s">
        <v>176</v>
      </c>
      <c r="Z22" t="s">
        <v>175</v>
      </c>
      <c r="AA22" t="s">
        <v>239</v>
      </c>
      <c r="AB22">
        <v>1</v>
      </c>
      <c r="AC22">
        <v>1</v>
      </c>
      <c r="AD22">
        <v>1</v>
      </c>
      <c r="AE22">
        <v>5</v>
      </c>
      <c r="AF22" t="s">
        <v>165</v>
      </c>
      <c r="AG22">
        <v>0.05</v>
      </c>
      <c r="AH22">
        <v>0.05</v>
      </c>
      <c r="AI22" t="s">
        <v>240</v>
      </c>
      <c r="AJ22" t="s">
        <v>241</v>
      </c>
      <c r="AK22" s="186">
        <v>3.8316669999999999</v>
      </c>
      <c r="AL22" s="186">
        <v>-41.621666699999999</v>
      </c>
      <c r="AM22" s="186">
        <v>3.8316669999999999</v>
      </c>
      <c r="AN22" s="186">
        <v>-41.621666699999999</v>
      </c>
      <c r="AO22" s="187">
        <v>-3292</v>
      </c>
      <c r="AP22" s="187">
        <v>-3292</v>
      </c>
      <c r="AQ22" t="s">
        <v>178</v>
      </c>
      <c r="AR22" t="s">
        <v>168</v>
      </c>
      <c r="AS22" s="173">
        <v>3.1021420000000006</v>
      </c>
      <c r="AT22" s="174" t="s">
        <v>242</v>
      </c>
      <c r="AU22" s="171">
        <v>4</v>
      </c>
      <c r="AV22" s="171">
        <v>4</v>
      </c>
      <c r="AW22" t="s">
        <v>283</v>
      </c>
      <c r="AX22" t="s">
        <v>243</v>
      </c>
      <c r="AY22" t="s">
        <v>244</v>
      </c>
      <c r="AZ22" t="s">
        <v>165</v>
      </c>
      <c r="BA22" t="s">
        <v>165</v>
      </c>
      <c r="BB22" t="s">
        <v>165</v>
      </c>
      <c r="BC22" t="s">
        <v>165</v>
      </c>
      <c r="BD22" t="s">
        <v>165</v>
      </c>
      <c r="BE22" t="s">
        <v>165</v>
      </c>
      <c r="BF22" t="s">
        <v>165</v>
      </c>
      <c r="BG22" t="s">
        <v>181</v>
      </c>
      <c r="BH22" t="s">
        <v>182</v>
      </c>
      <c r="BI22" t="s">
        <v>245</v>
      </c>
      <c r="BJ22" s="176" t="s">
        <v>184</v>
      </c>
      <c r="BK22" t="s">
        <v>185</v>
      </c>
      <c r="BL22" t="s">
        <v>186</v>
      </c>
      <c r="BM22" t="s">
        <v>187</v>
      </c>
      <c r="BN22" t="s">
        <v>246</v>
      </c>
      <c r="BO22">
        <v>2</v>
      </c>
      <c r="BP22" s="177">
        <v>1.0000000000001563E-2</v>
      </c>
      <c r="BQ22" s="177">
        <v>20.778575034545611</v>
      </c>
      <c r="BR22" t="s">
        <v>189</v>
      </c>
      <c r="BS22">
        <v>0.25</v>
      </c>
      <c r="BT22">
        <v>0.6</v>
      </c>
      <c r="BU22" t="s">
        <v>190</v>
      </c>
      <c r="BV22" s="174">
        <v>0.08</v>
      </c>
      <c r="BW22">
        <v>8.8699999999999992</v>
      </c>
      <c r="BX22" t="s">
        <v>191</v>
      </c>
      <c r="BY22">
        <v>1.52</v>
      </c>
      <c r="BZ22" t="s">
        <v>192</v>
      </c>
      <c r="CA22" t="s">
        <v>193</v>
      </c>
      <c r="CB22" s="188">
        <v>19.814600723037625</v>
      </c>
      <c r="CC22" t="s">
        <v>169</v>
      </c>
      <c r="CD22" s="188">
        <v>0.3803737921996454</v>
      </c>
      <c r="CE22" t="s">
        <v>194</v>
      </c>
      <c r="CF22" t="s">
        <v>195</v>
      </c>
      <c r="CG22">
        <v>10</v>
      </c>
      <c r="CH22" t="s">
        <v>196</v>
      </c>
      <c r="CI22" t="s">
        <v>196</v>
      </c>
      <c r="CJ22" s="178">
        <v>27.763263930919628</v>
      </c>
      <c r="CK22" t="s">
        <v>247</v>
      </c>
      <c r="CL22">
        <v>1</v>
      </c>
      <c r="CM22">
        <v>1</v>
      </c>
      <c r="CN22" s="178">
        <v>4.6233045849000156</v>
      </c>
      <c r="CO22" t="s">
        <v>248</v>
      </c>
      <c r="CP22" t="s">
        <v>169</v>
      </c>
      <c r="CQ22" s="189">
        <v>0.13869913754700047</v>
      </c>
      <c r="CR22" s="189">
        <v>0.13869913754700047</v>
      </c>
      <c r="CS22" s="180" t="s">
        <v>249</v>
      </c>
      <c r="CT22" t="s">
        <v>250</v>
      </c>
      <c r="CU22" t="s">
        <v>165</v>
      </c>
      <c r="CV22" t="s">
        <v>165</v>
      </c>
      <c r="CW22" t="s">
        <v>165</v>
      </c>
      <c r="CX22" t="s">
        <v>165</v>
      </c>
      <c r="CY22" t="s">
        <v>165</v>
      </c>
      <c r="CZ22" t="s">
        <v>165</v>
      </c>
      <c r="DA22" t="s">
        <v>165</v>
      </c>
      <c r="DB22" t="s">
        <v>165</v>
      </c>
      <c r="DC22" t="s">
        <v>165</v>
      </c>
      <c r="DD22" t="s">
        <v>165</v>
      </c>
      <c r="DE22" t="s">
        <v>165</v>
      </c>
      <c r="DF22" t="s">
        <v>165</v>
      </c>
      <c r="DG22" s="178">
        <v>35.541618702013579</v>
      </c>
      <c r="DH22" t="s">
        <v>167</v>
      </c>
      <c r="DI22">
        <v>1</v>
      </c>
      <c r="DJ22" s="180" t="s">
        <v>224</v>
      </c>
      <c r="DK22" t="s">
        <v>200</v>
      </c>
      <c r="DL22" t="s">
        <v>201</v>
      </c>
      <c r="DM22" t="s">
        <v>201</v>
      </c>
      <c r="DN22" t="s">
        <v>201</v>
      </c>
      <c r="DO22" t="s">
        <v>200</v>
      </c>
      <c r="DP22" t="s">
        <v>201</v>
      </c>
      <c r="DQ22" t="s">
        <v>201</v>
      </c>
      <c r="DR22" t="s">
        <v>201</v>
      </c>
      <c r="DS22" t="s">
        <v>200</v>
      </c>
      <c r="DT22" t="s">
        <v>201</v>
      </c>
      <c r="DU22" t="s">
        <v>201</v>
      </c>
      <c r="DV22" t="s">
        <v>201</v>
      </c>
      <c r="DW22" s="175">
        <v>439.25626813959423</v>
      </c>
      <c r="DX22" t="s">
        <v>202</v>
      </c>
      <c r="DY22" s="175">
        <v>12.358926919518922</v>
      </c>
      <c r="DZ22" t="s">
        <v>203</v>
      </c>
      <c r="EA22">
        <v>39.61</v>
      </c>
      <c r="EB22" t="s">
        <v>204</v>
      </c>
      <c r="EC22" t="s">
        <v>165</v>
      </c>
      <c r="ED22" t="s">
        <v>205</v>
      </c>
      <c r="EE22" t="s">
        <v>206</v>
      </c>
      <c r="EF22" t="s">
        <v>207</v>
      </c>
      <c r="EG22">
        <v>1.0271999999999999</v>
      </c>
      <c r="EH22" t="s">
        <v>208</v>
      </c>
      <c r="EI22" t="s">
        <v>208</v>
      </c>
      <c r="EJ22" t="s">
        <v>209</v>
      </c>
      <c r="EK22" t="s">
        <v>208</v>
      </c>
      <c r="EL22" t="s">
        <v>208</v>
      </c>
      <c r="EM22" t="s">
        <v>210</v>
      </c>
      <c r="EN22" t="s">
        <v>211</v>
      </c>
      <c r="EO22" t="s">
        <v>212</v>
      </c>
      <c r="EP22" t="s">
        <v>212</v>
      </c>
      <c r="EQ22" t="s">
        <v>206</v>
      </c>
      <c r="ER22" t="s">
        <v>165</v>
      </c>
      <c r="ES22" t="s">
        <v>165</v>
      </c>
      <c r="ET22" t="s">
        <v>213</v>
      </c>
      <c r="EU22" t="s">
        <v>214</v>
      </c>
      <c r="EV22" t="s">
        <v>215</v>
      </c>
      <c r="EW22" s="184">
        <v>2332.7528693534819</v>
      </c>
      <c r="EX22" t="s">
        <v>216</v>
      </c>
      <c r="EY22">
        <v>100</v>
      </c>
      <c r="EZ22">
        <v>100</v>
      </c>
      <c r="FA22" t="s">
        <v>165</v>
      </c>
      <c r="FB22" t="s">
        <v>165</v>
      </c>
      <c r="FC22" t="s">
        <v>165</v>
      </c>
      <c r="FD22" t="s">
        <v>165</v>
      </c>
      <c r="FE22" s="190">
        <v>8.1659680762786575</v>
      </c>
      <c r="FF22" s="178" t="s">
        <v>170</v>
      </c>
      <c r="FG22" s="188">
        <v>2.6033678257446624E-2</v>
      </c>
      <c r="FH22" s="188">
        <v>2.6033678257446624E-2</v>
      </c>
      <c r="FI22" s="183">
        <v>286.36601200708998</v>
      </c>
      <c r="FJ22" s="178">
        <v>27</v>
      </c>
      <c r="FK22" t="s">
        <v>217</v>
      </c>
      <c r="FL22" s="184">
        <v>259.36601200708998</v>
      </c>
      <c r="FM22">
        <v>29</v>
      </c>
      <c r="FN22">
        <v>29</v>
      </c>
      <c r="FO22" t="s">
        <v>195</v>
      </c>
      <c r="FP22" t="s">
        <v>218</v>
      </c>
      <c r="FQ22" t="s">
        <v>219</v>
      </c>
      <c r="FR22" t="s">
        <v>219</v>
      </c>
      <c r="FS22" t="s">
        <v>219</v>
      </c>
      <c r="FT22" t="s">
        <v>219</v>
      </c>
      <c r="FU22" t="s">
        <v>219</v>
      </c>
      <c r="FV22" t="s">
        <v>219</v>
      </c>
      <c r="FW22" t="s">
        <v>219</v>
      </c>
      <c r="FX22" t="s">
        <v>219</v>
      </c>
      <c r="FY22" t="s">
        <v>219</v>
      </c>
      <c r="FZ22" t="s">
        <v>219</v>
      </c>
      <c r="GA22" t="s">
        <v>219</v>
      </c>
      <c r="GB22" t="s">
        <v>219</v>
      </c>
      <c r="GC22" t="s">
        <v>219</v>
      </c>
    </row>
    <row r="23" spans="1:185" ht="17">
      <c r="A23" t="s">
        <v>171</v>
      </c>
      <c r="B23" s="169" t="s">
        <v>172</v>
      </c>
      <c r="C23" s="140" t="s">
        <v>162</v>
      </c>
      <c r="D23" t="s">
        <v>173</v>
      </c>
      <c r="E23">
        <v>2013</v>
      </c>
      <c r="F23" t="s">
        <v>175</v>
      </c>
      <c r="G23" s="189">
        <f t="shared" si="1"/>
        <v>5.9824970000000004</v>
      </c>
      <c r="H23" s="193">
        <v>4</v>
      </c>
      <c r="I23" s="193">
        <v>4</v>
      </c>
      <c r="J23">
        <f t="shared" si="4"/>
        <v>263.80480542218498</v>
      </c>
      <c r="K23">
        <f t="shared" si="5"/>
        <v>29</v>
      </c>
      <c r="L23">
        <f t="shared" si="6"/>
        <v>29</v>
      </c>
      <c r="M23" t="b">
        <v>1</v>
      </c>
      <c r="N23">
        <v>1</v>
      </c>
      <c r="O23" s="195" t="s">
        <v>309</v>
      </c>
      <c r="P23" t="b">
        <v>0</v>
      </c>
      <c r="Q23" t="b">
        <v>0</v>
      </c>
      <c r="R23" t="s">
        <v>165</v>
      </c>
      <c r="S23" t="b">
        <v>1</v>
      </c>
      <c r="T23" t="b">
        <v>0</v>
      </c>
      <c r="U23" t="s">
        <v>165</v>
      </c>
      <c r="V23" t="b">
        <v>0</v>
      </c>
      <c r="W23" t="b">
        <v>0</v>
      </c>
      <c r="X23" s="193" t="s">
        <v>271</v>
      </c>
      <c r="Y23" s="170" t="s">
        <v>176</v>
      </c>
      <c r="Z23" t="s">
        <v>175</v>
      </c>
      <c r="AA23" t="s">
        <v>239</v>
      </c>
      <c r="AB23">
        <v>1</v>
      </c>
      <c r="AC23">
        <v>1</v>
      </c>
      <c r="AD23">
        <v>1</v>
      </c>
      <c r="AE23">
        <v>10</v>
      </c>
      <c r="AF23" t="s">
        <v>165</v>
      </c>
      <c r="AG23">
        <v>0.1</v>
      </c>
      <c r="AH23">
        <v>0.1</v>
      </c>
      <c r="AI23" t="s">
        <v>240</v>
      </c>
      <c r="AJ23" t="s">
        <v>241</v>
      </c>
      <c r="AK23" s="186">
        <v>3.8316669999999999</v>
      </c>
      <c r="AL23" s="186">
        <v>-41.621666699999999</v>
      </c>
      <c r="AM23" s="186">
        <v>3.8316669999999999</v>
      </c>
      <c r="AN23" s="186">
        <v>-41.621666699999999</v>
      </c>
      <c r="AO23" s="187">
        <v>-3292</v>
      </c>
      <c r="AP23" s="187">
        <v>-3292</v>
      </c>
      <c r="AQ23" t="s">
        <v>178</v>
      </c>
      <c r="AR23" t="s">
        <v>168</v>
      </c>
      <c r="AS23" s="173">
        <v>5.9824970000000004</v>
      </c>
      <c r="AT23" s="174" t="s">
        <v>242</v>
      </c>
      <c r="AU23" s="171">
        <v>4</v>
      </c>
      <c r="AV23" s="171">
        <v>4</v>
      </c>
      <c r="AW23" t="s">
        <v>284</v>
      </c>
      <c r="AX23" t="s">
        <v>243</v>
      </c>
      <c r="AY23" t="s">
        <v>244</v>
      </c>
      <c r="AZ23" t="s">
        <v>165</v>
      </c>
      <c r="BA23" t="s">
        <v>165</v>
      </c>
      <c r="BB23" t="s">
        <v>165</v>
      </c>
      <c r="BC23" t="s">
        <v>165</v>
      </c>
      <c r="BD23" t="s">
        <v>165</v>
      </c>
      <c r="BE23" t="s">
        <v>165</v>
      </c>
      <c r="BF23" t="s">
        <v>165</v>
      </c>
      <c r="BG23" t="s">
        <v>181</v>
      </c>
      <c r="BH23" t="s">
        <v>182</v>
      </c>
      <c r="BI23" t="s">
        <v>245</v>
      </c>
      <c r="BJ23" s="176" t="s">
        <v>184</v>
      </c>
      <c r="BK23" t="s">
        <v>185</v>
      </c>
      <c r="BL23" t="s">
        <v>186</v>
      </c>
      <c r="BM23" t="s">
        <v>187</v>
      </c>
      <c r="BN23" t="s">
        <v>251</v>
      </c>
      <c r="BO23">
        <v>2</v>
      </c>
      <c r="BP23" s="177">
        <v>0.30000000000000071</v>
      </c>
      <c r="BQ23" s="177">
        <v>20.715787918120565</v>
      </c>
      <c r="BR23" t="s">
        <v>189</v>
      </c>
      <c r="BS23">
        <v>0.25</v>
      </c>
      <c r="BT23">
        <v>0.6</v>
      </c>
      <c r="BU23" t="s">
        <v>190</v>
      </c>
      <c r="BV23" s="174">
        <v>0.08</v>
      </c>
      <c r="BW23">
        <v>8.8699999999999992</v>
      </c>
      <c r="BX23" t="s">
        <v>191</v>
      </c>
      <c r="BY23">
        <v>1.52</v>
      </c>
      <c r="BZ23" t="s">
        <v>192</v>
      </c>
      <c r="CA23" t="s">
        <v>193</v>
      </c>
      <c r="CB23" s="188">
        <v>19.710129647455187</v>
      </c>
      <c r="CC23" t="s">
        <v>169</v>
      </c>
      <c r="CD23" s="188">
        <v>0.36419703638283413</v>
      </c>
      <c r="CE23" t="s">
        <v>194</v>
      </c>
      <c r="CF23" t="s">
        <v>195</v>
      </c>
      <c r="CG23">
        <v>10</v>
      </c>
      <c r="CH23" t="s">
        <v>196</v>
      </c>
      <c r="CI23" t="s">
        <v>196</v>
      </c>
      <c r="CJ23" s="178">
        <v>27.397507382127152</v>
      </c>
      <c r="CK23" t="s">
        <v>247</v>
      </c>
      <c r="CL23">
        <v>1</v>
      </c>
      <c r="CM23">
        <v>1</v>
      </c>
      <c r="CN23" s="178">
        <v>4.4735918782422166</v>
      </c>
      <c r="CO23" t="s">
        <v>248</v>
      </c>
      <c r="CP23" t="s">
        <v>169</v>
      </c>
      <c r="CQ23" s="189">
        <v>0.1342077563472665</v>
      </c>
      <c r="CR23" s="189">
        <v>0.1342077563472665</v>
      </c>
      <c r="CS23" s="180" t="s">
        <v>249</v>
      </c>
      <c r="CT23" t="s">
        <v>250</v>
      </c>
      <c r="CU23" t="s">
        <v>165</v>
      </c>
      <c r="CV23" t="s">
        <v>165</v>
      </c>
      <c r="CW23" t="s">
        <v>165</v>
      </c>
      <c r="CX23" t="s">
        <v>165</v>
      </c>
      <c r="CY23" t="s">
        <v>165</v>
      </c>
      <c r="CZ23" t="s">
        <v>165</v>
      </c>
      <c r="DA23" t="s">
        <v>165</v>
      </c>
      <c r="DB23" t="s">
        <v>165</v>
      </c>
      <c r="DC23" t="s">
        <v>165</v>
      </c>
      <c r="DD23" t="s">
        <v>165</v>
      </c>
      <c r="DE23" t="s">
        <v>165</v>
      </c>
      <c r="DF23" t="s">
        <v>165</v>
      </c>
      <c r="DG23" s="178">
        <v>35.637877877080278</v>
      </c>
      <c r="DH23" t="s">
        <v>167</v>
      </c>
      <c r="DI23">
        <v>1</v>
      </c>
      <c r="DJ23" s="180" t="s">
        <v>224</v>
      </c>
      <c r="DK23" t="s">
        <v>200</v>
      </c>
      <c r="DL23" t="s">
        <v>201</v>
      </c>
      <c r="DM23" t="s">
        <v>201</v>
      </c>
      <c r="DN23" t="s">
        <v>201</v>
      </c>
      <c r="DO23" t="s">
        <v>200</v>
      </c>
      <c r="DP23" t="s">
        <v>201</v>
      </c>
      <c r="DQ23" t="s">
        <v>201</v>
      </c>
      <c r="DR23" t="s">
        <v>201</v>
      </c>
      <c r="DS23" t="s">
        <v>200</v>
      </c>
      <c r="DT23" t="s">
        <v>201</v>
      </c>
      <c r="DU23" t="s">
        <v>201</v>
      </c>
      <c r="DV23" t="s">
        <v>201</v>
      </c>
      <c r="DW23" s="175">
        <v>440.44592824957675</v>
      </c>
      <c r="DX23" t="s">
        <v>202</v>
      </c>
      <c r="DY23" s="175">
        <v>12.358926919518979</v>
      </c>
      <c r="DZ23" t="s">
        <v>203</v>
      </c>
      <c r="EA23">
        <v>39.61</v>
      </c>
      <c r="EB23" t="s">
        <v>204</v>
      </c>
      <c r="EC23" t="s">
        <v>165</v>
      </c>
      <c r="ED23" t="s">
        <v>205</v>
      </c>
      <c r="EE23" t="s">
        <v>206</v>
      </c>
      <c r="EF23" t="s">
        <v>207</v>
      </c>
      <c r="EG23">
        <v>1.0271999999999999</v>
      </c>
      <c r="EH23" t="s">
        <v>208</v>
      </c>
      <c r="EI23" t="s">
        <v>208</v>
      </c>
      <c r="EJ23" t="s">
        <v>209</v>
      </c>
      <c r="EK23" t="s">
        <v>208</v>
      </c>
      <c r="EL23" t="s">
        <v>208</v>
      </c>
      <c r="EM23" t="s">
        <v>210</v>
      </c>
      <c r="EN23" t="s">
        <v>211</v>
      </c>
      <c r="EO23" t="s">
        <v>212</v>
      </c>
      <c r="EP23" t="s">
        <v>212</v>
      </c>
      <c r="EQ23" t="s">
        <v>206</v>
      </c>
      <c r="ER23" t="s">
        <v>165</v>
      </c>
      <c r="ES23" t="s">
        <v>165</v>
      </c>
      <c r="ET23" t="s">
        <v>213</v>
      </c>
      <c r="EU23" t="s">
        <v>214</v>
      </c>
      <c r="EV23" t="s">
        <v>215</v>
      </c>
      <c r="EW23" s="184">
        <v>2338.4503536665047</v>
      </c>
      <c r="EX23" t="s">
        <v>216</v>
      </c>
      <c r="EY23">
        <v>100</v>
      </c>
      <c r="EZ23">
        <v>100</v>
      </c>
      <c r="FA23" t="s">
        <v>165</v>
      </c>
      <c r="FB23" t="s">
        <v>165</v>
      </c>
      <c r="FC23" t="s">
        <v>165</v>
      </c>
      <c r="FD23" t="s">
        <v>165</v>
      </c>
      <c r="FE23" s="190">
        <v>8.1614419955710424</v>
      </c>
      <c r="FF23" s="178" t="s">
        <v>170</v>
      </c>
      <c r="FG23" s="188">
        <v>2.4921785754951742E-2</v>
      </c>
      <c r="FH23" s="188">
        <v>2.4921785754951742E-2</v>
      </c>
      <c r="FI23" s="183">
        <v>290.80480542218498</v>
      </c>
      <c r="FJ23" s="178">
        <v>27</v>
      </c>
      <c r="FK23" t="s">
        <v>217</v>
      </c>
      <c r="FL23" s="184">
        <v>263.80480542218498</v>
      </c>
      <c r="FM23">
        <v>29</v>
      </c>
      <c r="FN23">
        <v>29</v>
      </c>
      <c r="FO23" t="s">
        <v>195</v>
      </c>
      <c r="FP23" t="s">
        <v>218</v>
      </c>
      <c r="FQ23" t="s">
        <v>219</v>
      </c>
      <c r="FR23" t="s">
        <v>219</v>
      </c>
      <c r="FS23" t="s">
        <v>219</v>
      </c>
      <c r="FT23" t="s">
        <v>219</v>
      </c>
      <c r="FU23" t="s">
        <v>219</v>
      </c>
      <c r="FV23" t="s">
        <v>219</v>
      </c>
      <c r="FW23" t="s">
        <v>219</v>
      </c>
      <c r="FX23" t="s">
        <v>219</v>
      </c>
      <c r="FY23" t="s">
        <v>219</v>
      </c>
      <c r="FZ23" t="s">
        <v>219</v>
      </c>
      <c r="GA23" t="s">
        <v>219</v>
      </c>
      <c r="GB23" t="s">
        <v>219</v>
      </c>
      <c r="GC23" t="s">
        <v>219</v>
      </c>
    </row>
    <row r="24" spans="1:185" ht="17">
      <c r="A24" t="s">
        <v>171</v>
      </c>
      <c r="B24" s="169" t="s">
        <v>172</v>
      </c>
      <c r="C24" s="140" t="s">
        <v>162</v>
      </c>
      <c r="D24" t="s">
        <v>173</v>
      </c>
      <c r="E24">
        <v>2013</v>
      </c>
      <c r="F24" t="s">
        <v>175</v>
      </c>
      <c r="G24" s="189">
        <f t="shared" si="1"/>
        <v>8.5178539999999998</v>
      </c>
      <c r="H24" s="193">
        <v>4</v>
      </c>
      <c r="I24" s="193">
        <v>4</v>
      </c>
      <c r="J24">
        <f t="shared" si="4"/>
        <v>240.17935625273898</v>
      </c>
      <c r="K24">
        <f t="shared" si="5"/>
        <v>29</v>
      </c>
      <c r="L24">
        <f t="shared" si="6"/>
        <v>29</v>
      </c>
      <c r="M24" t="b">
        <v>1</v>
      </c>
      <c r="N24">
        <v>1</v>
      </c>
      <c r="O24" s="195" t="s">
        <v>309</v>
      </c>
      <c r="P24" t="b">
        <v>0</v>
      </c>
      <c r="Q24" t="b">
        <v>0</v>
      </c>
      <c r="R24" t="s">
        <v>165</v>
      </c>
      <c r="S24" t="b">
        <v>1</v>
      </c>
      <c r="T24" t="b">
        <v>0</v>
      </c>
      <c r="U24" t="s">
        <v>165</v>
      </c>
      <c r="V24" t="b">
        <v>0</v>
      </c>
      <c r="W24" t="b">
        <v>0</v>
      </c>
      <c r="X24" s="193" t="s">
        <v>272</v>
      </c>
      <c r="Y24" s="170" t="s">
        <v>176</v>
      </c>
      <c r="Z24" t="s">
        <v>175</v>
      </c>
      <c r="AA24" t="s">
        <v>239</v>
      </c>
      <c r="AB24">
        <v>1</v>
      </c>
      <c r="AC24">
        <v>1</v>
      </c>
      <c r="AD24">
        <v>1</v>
      </c>
      <c r="AE24">
        <v>15</v>
      </c>
      <c r="AF24" t="s">
        <v>165</v>
      </c>
      <c r="AG24">
        <v>0.15</v>
      </c>
      <c r="AH24">
        <v>0.15</v>
      </c>
      <c r="AI24" t="s">
        <v>240</v>
      </c>
      <c r="AJ24" t="s">
        <v>241</v>
      </c>
      <c r="AK24" s="186">
        <v>3.8316669999999999</v>
      </c>
      <c r="AL24" s="186">
        <v>-41.621666699999999</v>
      </c>
      <c r="AM24" s="186">
        <v>3.8316669999999999</v>
      </c>
      <c r="AN24" s="186">
        <v>-41.621666699999999</v>
      </c>
      <c r="AO24" s="187">
        <v>-3292</v>
      </c>
      <c r="AP24" s="187">
        <v>-3292</v>
      </c>
      <c r="AQ24" t="s">
        <v>178</v>
      </c>
      <c r="AR24" t="s">
        <v>168</v>
      </c>
      <c r="AS24" s="173">
        <v>8.5178539999999998</v>
      </c>
      <c r="AT24" s="174" t="s">
        <v>242</v>
      </c>
      <c r="AU24" s="171">
        <v>4</v>
      </c>
      <c r="AV24" s="171">
        <v>4</v>
      </c>
      <c r="AW24" t="s">
        <v>285</v>
      </c>
      <c r="AX24" t="s">
        <v>243</v>
      </c>
      <c r="AY24" t="s">
        <v>244</v>
      </c>
      <c r="AZ24" t="s">
        <v>165</v>
      </c>
      <c r="BA24" t="s">
        <v>165</v>
      </c>
      <c r="BB24" t="s">
        <v>165</v>
      </c>
      <c r="BC24" t="s">
        <v>165</v>
      </c>
      <c r="BD24" t="s">
        <v>165</v>
      </c>
      <c r="BE24" t="s">
        <v>165</v>
      </c>
      <c r="BF24" t="s">
        <v>165</v>
      </c>
      <c r="BG24" t="s">
        <v>181</v>
      </c>
      <c r="BH24" t="s">
        <v>182</v>
      </c>
      <c r="BI24" t="s">
        <v>245</v>
      </c>
      <c r="BJ24" s="176" t="s">
        <v>184</v>
      </c>
      <c r="BK24" t="s">
        <v>185</v>
      </c>
      <c r="BL24" t="s">
        <v>186</v>
      </c>
      <c r="BM24" t="s">
        <v>187</v>
      </c>
      <c r="BN24" t="s">
        <v>252</v>
      </c>
      <c r="BO24">
        <v>2</v>
      </c>
      <c r="BP24" s="177">
        <v>1.9999999999999574E-2</v>
      </c>
      <c r="BQ24" s="177">
        <v>20.972943384083731</v>
      </c>
      <c r="BR24" t="s">
        <v>189</v>
      </c>
      <c r="BS24">
        <v>0.25</v>
      </c>
      <c r="BT24">
        <v>0.6</v>
      </c>
      <c r="BU24" t="s">
        <v>190</v>
      </c>
      <c r="BV24" s="174">
        <v>0.08</v>
      </c>
      <c r="BW24">
        <v>8.8699999999999992</v>
      </c>
      <c r="BX24" t="s">
        <v>191</v>
      </c>
      <c r="BY24">
        <v>1.52</v>
      </c>
      <c r="BZ24" t="s">
        <v>192</v>
      </c>
      <c r="CA24" t="s">
        <v>193</v>
      </c>
      <c r="CB24" s="188">
        <v>20.138008958541985</v>
      </c>
      <c r="CC24" t="s">
        <v>169</v>
      </c>
      <c r="CD24" s="188">
        <v>0.42098807756658141</v>
      </c>
      <c r="CE24" t="s">
        <v>194</v>
      </c>
      <c r="CF24" t="s">
        <v>195</v>
      </c>
      <c r="CG24">
        <v>10</v>
      </c>
      <c r="CH24" t="s">
        <v>196</v>
      </c>
      <c r="CI24" t="s">
        <v>196</v>
      </c>
      <c r="CJ24" s="178">
        <v>27.619909255273527</v>
      </c>
      <c r="CK24" t="s">
        <v>247</v>
      </c>
      <c r="CL24">
        <v>1</v>
      </c>
      <c r="CM24">
        <v>1</v>
      </c>
      <c r="CN24" s="178">
        <v>4.5640382223505576</v>
      </c>
      <c r="CO24" t="s">
        <v>248</v>
      </c>
      <c r="CP24" t="s">
        <v>169</v>
      </c>
      <c r="CQ24" s="189">
        <v>0.13692114667051672</v>
      </c>
      <c r="CR24" s="189">
        <v>0.13692114667051672</v>
      </c>
      <c r="CS24" s="180" t="s">
        <v>249</v>
      </c>
      <c r="CT24" t="s">
        <v>250</v>
      </c>
      <c r="CU24" t="s">
        <v>165</v>
      </c>
      <c r="CV24" t="s">
        <v>165</v>
      </c>
      <c r="CW24" t="s">
        <v>165</v>
      </c>
      <c r="CX24" t="s">
        <v>165</v>
      </c>
      <c r="CY24" t="s">
        <v>165</v>
      </c>
      <c r="CZ24" t="s">
        <v>165</v>
      </c>
      <c r="DA24" t="s">
        <v>165</v>
      </c>
      <c r="DB24" t="s">
        <v>165</v>
      </c>
      <c r="DC24" t="s">
        <v>165</v>
      </c>
      <c r="DD24" t="s">
        <v>165</v>
      </c>
      <c r="DE24" t="s">
        <v>165</v>
      </c>
      <c r="DF24" t="s">
        <v>165</v>
      </c>
      <c r="DG24" s="178">
        <v>35.863809156022008</v>
      </c>
      <c r="DH24" t="s">
        <v>167</v>
      </c>
      <c r="DI24">
        <v>1</v>
      </c>
      <c r="DJ24" s="180" t="s">
        <v>224</v>
      </c>
      <c r="DK24" t="s">
        <v>200</v>
      </c>
      <c r="DL24" t="s">
        <v>201</v>
      </c>
      <c r="DM24" t="s">
        <v>201</v>
      </c>
      <c r="DN24" t="s">
        <v>201</v>
      </c>
      <c r="DO24" t="s">
        <v>200</v>
      </c>
      <c r="DP24" t="s">
        <v>201</v>
      </c>
      <c r="DQ24" t="s">
        <v>201</v>
      </c>
      <c r="DR24" t="s">
        <v>201</v>
      </c>
      <c r="DS24" t="s">
        <v>200</v>
      </c>
      <c r="DT24" t="s">
        <v>201</v>
      </c>
      <c r="DU24" t="s">
        <v>201</v>
      </c>
      <c r="DV24" t="s">
        <v>201</v>
      </c>
      <c r="DW24" s="175">
        <v>443.23819641485113</v>
      </c>
      <c r="DX24" t="s">
        <v>202</v>
      </c>
      <c r="DY24" s="175">
        <v>12.358926919519092</v>
      </c>
      <c r="DZ24" t="s">
        <v>203</v>
      </c>
      <c r="EA24">
        <v>39.61</v>
      </c>
      <c r="EB24" t="s">
        <v>204</v>
      </c>
      <c r="EC24" t="s">
        <v>165</v>
      </c>
      <c r="ED24" t="s">
        <v>205</v>
      </c>
      <c r="EE24" t="s">
        <v>206</v>
      </c>
      <c r="EF24" t="s">
        <v>207</v>
      </c>
      <c r="EG24">
        <v>1.0271999999999999</v>
      </c>
      <c r="EH24" t="s">
        <v>208</v>
      </c>
      <c r="EI24" t="s">
        <v>208</v>
      </c>
      <c r="EJ24" t="s">
        <v>209</v>
      </c>
      <c r="EK24" t="s">
        <v>208</v>
      </c>
      <c r="EL24" t="s">
        <v>208</v>
      </c>
      <c r="EM24" t="s">
        <v>210</v>
      </c>
      <c r="EN24" t="s">
        <v>211</v>
      </c>
      <c r="EO24" t="s">
        <v>212</v>
      </c>
      <c r="EP24" t="s">
        <v>212</v>
      </c>
      <c r="EQ24" t="s">
        <v>206</v>
      </c>
      <c r="ER24" t="s">
        <v>165</v>
      </c>
      <c r="ES24" t="s">
        <v>165</v>
      </c>
      <c r="ET24" t="s">
        <v>213</v>
      </c>
      <c r="EU24" t="s">
        <v>214</v>
      </c>
      <c r="EV24" t="s">
        <v>215</v>
      </c>
      <c r="EW24" s="184">
        <v>2351.8230001357865</v>
      </c>
      <c r="EX24" t="s">
        <v>216</v>
      </c>
      <c r="EY24">
        <v>100</v>
      </c>
      <c r="EZ24">
        <v>100</v>
      </c>
      <c r="FA24" t="s">
        <v>165</v>
      </c>
      <c r="FB24" t="s">
        <v>165</v>
      </c>
      <c r="FC24" t="s">
        <v>165</v>
      </c>
      <c r="FD24" t="s">
        <v>165</v>
      </c>
      <c r="FE24" s="190">
        <v>8.1907594048231225</v>
      </c>
      <c r="FF24" s="178" t="s">
        <v>170</v>
      </c>
      <c r="FG24" s="188">
        <v>2.9387288561229852E-2</v>
      </c>
      <c r="FH24" s="188">
        <v>2.9387288561229852E-2</v>
      </c>
      <c r="FI24" s="183">
        <v>267.17935625273901</v>
      </c>
      <c r="FJ24" s="178">
        <v>27</v>
      </c>
      <c r="FK24" t="s">
        <v>217</v>
      </c>
      <c r="FL24" s="184">
        <v>240.17935625273898</v>
      </c>
      <c r="FM24">
        <v>29</v>
      </c>
      <c r="FN24">
        <v>29</v>
      </c>
      <c r="FO24" t="s">
        <v>195</v>
      </c>
      <c r="FP24" t="s">
        <v>218</v>
      </c>
      <c r="FQ24" t="s">
        <v>219</v>
      </c>
      <c r="FR24" t="s">
        <v>219</v>
      </c>
      <c r="FS24" t="s">
        <v>219</v>
      </c>
      <c r="FT24" t="s">
        <v>219</v>
      </c>
      <c r="FU24" t="s">
        <v>219</v>
      </c>
      <c r="FV24" t="s">
        <v>219</v>
      </c>
      <c r="FW24" t="s">
        <v>219</v>
      </c>
      <c r="FX24" t="s">
        <v>219</v>
      </c>
      <c r="FY24" t="s">
        <v>219</v>
      </c>
      <c r="FZ24" t="s">
        <v>219</v>
      </c>
      <c r="GA24" t="s">
        <v>219</v>
      </c>
      <c r="GB24" t="s">
        <v>219</v>
      </c>
      <c r="GC24" t="s">
        <v>219</v>
      </c>
    </row>
    <row r="25" spans="1:185" ht="17">
      <c r="A25" t="s">
        <v>171</v>
      </c>
      <c r="B25" s="169" t="s">
        <v>172</v>
      </c>
      <c r="C25" s="140" t="s">
        <v>162</v>
      </c>
      <c r="D25" t="s">
        <v>173</v>
      </c>
      <c r="E25">
        <v>2013</v>
      </c>
      <c r="F25" t="s">
        <v>175</v>
      </c>
      <c r="G25" s="189">
        <f t="shared" si="1"/>
        <v>10.535701999999999</v>
      </c>
      <c r="H25" s="193">
        <v>4</v>
      </c>
      <c r="I25" s="193">
        <v>4</v>
      </c>
      <c r="J25">
        <f t="shared" si="4"/>
        <v>262.313938873344</v>
      </c>
      <c r="K25">
        <f t="shared" si="5"/>
        <v>29</v>
      </c>
      <c r="L25">
        <f t="shared" si="6"/>
        <v>29</v>
      </c>
      <c r="M25" t="b">
        <v>1</v>
      </c>
      <c r="N25">
        <v>1</v>
      </c>
      <c r="O25" s="195" t="s">
        <v>309</v>
      </c>
      <c r="P25" t="b">
        <v>0</v>
      </c>
      <c r="Q25" t="b">
        <v>0</v>
      </c>
      <c r="R25" t="s">
        <v>165</v>
      </c>
      <c r="S25" t="b">
        <v>1</v>
      </c>
      <c r="T25" t="b">
        <v>0</v>
      </c>
      <c r="U25" t="s">
        <v>165</v>
      </c>
      <c r="V25" t="b">
        <v>0</v>
      </c>
      <c r="W25" t="b">
        <v>0</v>
      </c>
      <c r="X25" s="193" t="s">
        <v>273</v>
      </c>
      <c r="Y25" s="170" t="s">
        <v>176</v>
      </c>
      <c r="Z25" t="s">
        <v>175</v>
      </c>
      <c r="AA25" t="s">
        <v>239</v>
      </c>
      <c r="AB25">
        <v>1</v>
      </c>
      <c r="AC25">
        <v>1</v>
      </c>
      <c r="AD25">
        <v>1</v>
      </c>
      <c r="AE25">
        <v>20</v>
      </c>
      <c r="AF25" t="s">
        <v>165</v>
      </c>
      <c r="AG25">
        <v>0.2</v>
      </c>
      <c r="AH25">
        <v>0.2</v>
      </c>
      <c r="AI25" t="s">
        <v>240</v>
      </c>
      <c r="AJ25" t="s">
        <v>241</v>
      </c>
      <c r="AK25" s="186">
        <v>3.8316669999999999</v>
      </c>
      <c r="AL25" s="186">
        <v>-41.621666699999999</v>
      </c>
      <c r="AM25" s="186">
        <v>3.8316669999999999</v>
      </c>
      <c r="AN25" s="186">
        <v>-41.621666699999999</v>
      </c>
      <c r="AO25" s="187">
        <v>-3292</v>
      </c>
      <c r="AP25" s="187">
        <v>-3292</v>
      </c>
      <c r="AQ25" t="s">
        <v>178</v>
      </c>
      <c r="AR25" t="s">
        <v>168</v>
      </c>
      <c r="AS25" s="173">
        <v>10.535701999999999</v>
      </c>
      <c r="AT25" s="174" t="s">
        <v>242</v>
      </c>
      <c r="AU25" s="171">
        <v>4</v>
      </c>
      <c r="AV25" s="171">
        <v>4</v>
      </c>
      <c r="AW25" t="s">
        <v>286</v>
      </c>
      <c r="AX25" t="s">
        <v>243</v>
      </c>
      <c r="AY25" t="s">
        <v>244</v>
      </c>
      <c r="AZ25" t="s">
        <v>165</v>
      </c>
      <c r="BA25" t="s">
        <v>165</v>
      </c>
      <c r="BB25" t="s">
        <v>165</v>
      </c>
      <c r="BC25" t="s">
        <v>165</v>
      </c>
      <c r="BD25" t="s">
        <v>165</v>
      </c>
      <c r="BE25" t="s">
        <v>165</v>
      </c>
      <c r="BF25" t="s">
        <v>165</v>
      </c>
      <c r="BG25" t="s">
        <v>181</v>
      </c>
      <c r="BH25" t="s">
        <v>182</v>
      </c>
      <c r="BI25" t="s">
        <v>245</v>
      </c>
      <c r="BJ25" s="176" t="s">
        <v>184</v>
      </c>
      <c r="BK25" t="s">
        <v>185</v>
      </c>
      <c r="BL25" t="s">
        <v>186</v>
      </c>
      <c r="BM25" t="s">
        <v>187</v>
      </c>
      <c r="BN25" t="s">
        <v>253</v>
      </c>
      <c r="BO25">
        <v>2</v>
      </c>
      <c r="BP25" s="177">
        <v>0.26999999999999957</v>
      </c>
      <c r="BQ25" s="177">
        <v>20.734323284225198</v>
      </c>
      <c r="BR25" t="s">
        <v>189</v>
      </c>
      <c r="BS25">
        <v>0.25</v>
      </c>
      <c r="BT25">
        <v>0.6</v>
      </c>
      <c r="BU25" t="s">
        <v>190</v>
      </c>
      <c r="BV25" s="174">
        <v>0.08</v>
      </c>
      <c r="BW25">
        <v>8.8699999999999992</v>
      </c>
      <c r="BX25" t="s">
        <v>191</v>
      </c>
      <c r="BY25">
        <v>1.52</v>
      </c>
      <c r="BZ25" t="s">
        <v>192</v>
      </c>
      <c r="CA25" t="s">
        <v>193</v>
      </c>
      <c r="CB25" s="188">
        <v>19.740970522837269</v>
      </c>
      <c r="CC25" t="s">
        <v>169</v>
      </c>
      <c r="CD25" s="188">
        <v>0.37049181188300578</v>
      </c>
      <c r="CE25" t="s">
        <v>194</v>
      </c>
      <c r="CF25" t="s">
        <v>195</v>
      </c>
      <c r="CG25">
        <v>10</v>
      </c>
      <c r="CH25" t="s">
        <v>196</v>
      </c>
      <c r="CI25" t="s">
        <v>196</v>
      </c>
      <c r="CJ25" s="178">
        <v>26.942096870039361</v>
      </c>
      <c r="CK25" t="s">
        <v>247</v>
      </c>
      <c r="CL25">
        <v>1</v>
      </c>
      <c r="CM25">
        <v>1</v>
      </c>
      <c r="CN25" s="178">
        <v>4.2939398525823078</v>
      </c>
      <c r="CO25" t="s">
        <v>248</v>
      </c>
      <c r="CP25" t="s">
        <v>169</v>
      </c>
      <c r="CQ25" s="189">
        <v>0.12881819557746924</v>
      </c>
      <c r="CR25" s="189">
        <v>0.12881819557746924</v>
      </c>
      <c r="CS25" s="180" t="s">
        <v>249</v>
      </c>
      <c r="CT25" t="s">
        <v>250</v>
      </c>
      <c r="CU25" t="s">
        <v>165</v>
      </c>
      <c r="CV25" t="s">
        <v>165</v>
      </c>
      <c r="CW25" t="s">
        <v>165</v>
      </c>
      <c r="CX25" t="s">
        <v>165</v>
      </c>
      <c r="CY25" t="s">
        <v>165</v>
      </c>
      <c r="CZ25" t="s">
        <v>165</v>
      </c>
      <c r="DA25" t="s">
        <v>165</v>
      </c>
      <c r="DB25" t="s">
        <v>165</v>
      </c>
      <c r="DC25" t="s">
        <v>165</v>
      </c>
      <c r="DD25" t="s">
        <v>165</v>
      </c>
      <c r="DE25" t="s">
        <v>165</v>
      </c>
      <c r="DF25" t="s">
        <v>165</v>
      </c>
      <c r="DG25" s="178">
        <v>36.095200339303169</v>
      </c>
      <c r="DH25" t="s">
        <v>167</v>
      </c>
      <c r="DI25">
        <v>1</v>
      </c>
      <c r="DJ25" s="180" t="s">
        <v>224</v>
      </c>
      <c r="DK25" t="s">
        <v>200</v>
      </c>
      <c r="DL25" t="s">
        <v>201</v>
      </c>
      <c r="DM25" t="s">
        <v>201</v>
      </c>
      <c r="DN25" t="s">
        <v>201</v>
      </c>
      <c r="DO25" t="s">
        <v>200</v>
      </c>
      <c r="DP25" t="s">
        <v>201</v>
      </c>
      <c r="DQ25" t="s">
        <v>201</v>
      </c>
      <c r="DR25" t="s">
        <v>201</v>
      </c>
      <c r="DS25" t="s">
        <v>200</v>
      </c>
      <c r="DT25" t="s">
        <v>201</v>
      </c>
      <c r="DU25" t="s">
        <v>201</v>
      </c>
      <c r="DV25" t="s">
        <v>201</v>
      </c>
      <c r="DW25" s="175">
        <v>446.09794313884402</v>
      </c>
      <c r="DX25" t="s">
        <v>202</v>
      </c>
      <c r="DY25" s="175">
        <v>12.358926919519035</v>
      </c>
      <c r="DZ25" t="s">
        <v>203</v>
      </c>
      <c r="EA25">
        <v>39.61</v>
      </c>
      <c r="EB25" t="s">
        <v>204</v>
      </c>
      <c r="EC25" t="s">
        <v>165</v>
      </c>
      <c r="ED25" t="s">
        <v>205</v>
      </c>
      <c r="EE25" t="s">
        <v>206</v>
      </c>
      <c r="EF25" t="s">
        <v>207</v>
      </c>
      <c r="EG25">
        <v>1.0271999999999999</v>
      </c>
      <c r="EH25" t="s">
        <v>208</v>
      </c>
      <c r="EI25" t="s">
        <v>208</v>
      </c>
      <c r="EJ25" t="s">
        <v>209</v>
      </c>
      <c r="EK25" t="s">
        <v>208</v>
      </c>
      <c r="EL25" t="s">
        <v>208</v>
      </c>
      <c r="EM25" t="s">
        <v>210</v>
      </c>
      <c r="EN25" t="s">
        <v>211</v>
      </c>
      <c r="EO25" t="s">
        <v>212</v>
      </c>
      <c r="EP25" t="s">
        <v>212</v>
      </c>
      <c r="EQ25" t="s">
        <v>206</v>
      </c>
      <c r="ER25" t="s">
        <v>165</v>
      </c>
      <c r="ES25" t="s">
        <v>165</v>
      </c>
      <c r="ET25" t="s">
        <v>213</v>
      </c>
      <c r="EU25" t="s">
        <v>214</v>
      </c>
      <c r="EV25" t="s">
        <v>215</v>
      </c>
      <c r="EW25" s="184">
        <v>2365.518812883015</v>
      </c>
      <c r="EX25" t="s">
        <v>216</v>
      </c>
      <c r="EY25">
        <v>100</v>
      </c>
      <c r="EZ25">
        <v>100</v>
      </c>
      <c r="FA25" t="s">
        <v>165</v>
      </c>
      <c r="FB25" t="s">
        <v>165</v>
      </c>
      <c r="FC25" t="s">
        <v>165</v>
      </c>
      <c r="FD25" t="s">
        <v>165</v>
      </c>
      <c r="FE25" s="190">
        <v>8.1665799049632959</v>
      </c>
      <c r="FF25" s="178" t="s">
        <v>170</v>
      </c>
      <c r="FG25" s="188">
        <v>2.5251597852900431E-2</v>
      </c>
      <c r="FH25" s="188">
        <v>2.5251597852900431E-2</v>
      </c>
      <c r="FI25" s="183">
        <v>289.313938873344</v>
      </c>
      <c r="FJ25" s="178">
        <v>27</v>
      </c>
      <c r="FK25" t="s">
        <v>217</v>
      </c>
      <c r="FL25" s="184">
        <v>262.313938873344</v>
      </c>
      <c r="FM25">
        <v>29</v>
      </c>
      <c r="FN25">
        <v>29</v>
      </c>
      <c r="FO25" t="s">
        <v>195</v>
      </c>
      <c r="FP25" t="s">
        <v>218</v>
      </c>
      <c r="FQ25" t="s">
        <v>219</v>
      </c>
      <c r="FR25" t="s">
        <v>219</v>
      </c>
      <c r="FS25" t="s">
        <v>219</v>
      </c>
      <c r="FT25" t="s">
        <v>219</v>
      </c>
      <c r="FU25" t="s">
        <v>219</v>
      </c>
      <c r="FV25" t="s">
        <v>219</v>
      </c>
      <c r="FW25" t="s">
        <v>219</v>
      </c>
      <c r="FX25" t="s">
        <v>219</v>
      </c>
      <c r="FY25" t="s">
        <v>219</v>
      </c>
      <c r="FZ25" t="s">
        <v>219</v>
      </c>
      <c r="GA25" t="s">
        <v>219</v>
      </c>
      <c r="GB25" t="s">
        <v>219</v>
      </c>
      <c r="GC25" t="s">
        <v>219</v>
      </c>
    </row>
    <row r="26" spans="1:185" ht="17">
      <c r="A26" t="s">
        <v>171</v>
      </c>
      <c r="B26" s="169" t="s">
        <v>172</v>
      </c>
      <c r="C26" s="140" t="s">
        <v>162</v>
      </c>
      <c r="D26" t="s">
        <v>173</v>
      </c>
      <c r="E26">
        <v>2013</v>
      </c>
      <c r="F26" t="s">
        <v>175</v>
      </c>
      <c r="G26" s="189">
        <f t="shared" si="1"/>
        <v>12.553559999999999</v>
      </c>
      <c r="H26" s="193">
        <v>4</v>
      </c>
      <c r="I26" s="193">
        <v>4</v>
      </c>
      <c r="J26">
        <f t="shared" si="4"/>
        <v>206.33540990671102</v>
      </c>
      <c r="K26">
        <f t="shared" si="5"/>
        <v>29</v>
      </c>
      <c r="L26">
        <f t="shared" si="6"/>
        <v>29</v>
      </c>
      <c r="M26" t="b">
        <v>1</v>
      </c>
      <c r="N26">
        <v>1</v>
      </c>
      <c r="O26" s="195" t="s">
        <v>309</v>
      </c>
      <c r="P26" t="b">
        <v>0</v>
      </c>
      <c r="Q26" t="b">
        <v>0</v>
      </c>
      <c r="R26" t="s">
        <v>165</v>
      </c>
      <c r="S26" t="b">
        <v>1</v>
      </c>
      <c r="T26" t="b">
        <v>0</v>
      </c>
      <c r="U26" t="s">
        <v>165</v>
      </c>
      <c r="V26" t="b">
        <v>0</v>
      </c>
      <c r="W26" t="b">
        <v>0</v>
      </c>
      <c r="X26" s="193" t="s">
        <v>274</v>
      </c>
      <c r="Y26" s="170" t="s">
        <v>176</v>
      </c>
      <c r="Z26" t="s">
        <v>175</v>
      </c>
      <c r="AA26" t="s">
        <v>239</v>
      </c>
      <c r="AB26">
        <v>1</v>
      </c>
      <c r="AC26">
        <v>1</v>
      </c>
      <c r="AD26">
        <v>1</v>
      </c>
      <c r="AE26">
        <v>25</v>
      </c>
      <c r="AF26" t="s">
        <v>165</v>
      </c>
      <c r="AG26">
        <v>0.25</v>
      </c>
      <c r="AH26">
        <v>0.25</v>
      </c>
      <c r="AI26" t="s">
        <v>240</v>
      </c>
      <c r="AJ26" t="s">
        <v>241</v>
      </c>
      <c r="AK26" s="186">
        <v>3.8316669999999999</v>
      </c>
      <c r="AL26" s="186">
        <v>-41.621666699999999</v>
      </c>
      <c r="AM26" s="186">
        <v>3.8316669999999999</v>
      </c>
      <c r="AN26" s="186">
        <v>-41.621666699999999</v>
      </c>
      <c r="AO26" s="187">
        <v>-3292</v>
      </c>
      <c r="AP26" s="187">
        <v>-3292</v>
      </c>
      <c r="AQ26" t="s">
        <v>178</v>
      </c>
      <c r="AR26" t="s">
        <v>168</v>
      </c>
      <c r="AS26" s="173">
        <v>12.553559999999999</v>
      </c>
      <c r="AT26" s="174" t="s">
        <v>242</v>
      </c>
      <c r="AU26" s="171">
        <v>4</v>
      </c>
      <c r="AV26" s="171">
        <v>4</v>
      </c>
      <c r="AW26" t="s">
        <v>287</v>
      </c>
      <c r="AX26" t="s">
        <v>243</v>
      </c>
      <c r="AY26" t="s">
        <v>244</v>
      </c>
      <c r="AZ26" t="s">
        <v>165</v>
      </c>
      <c r="BA26" t="s">
        <v>165</v>
      </c>
      <c r="BB26" t="s">
        <v>165</v>
      </c>
      <c r="BC26" t="s">
        <v>165</v>
      </c>
      <c r="BD26" t="s">
        <v>165</v>
      </c>
      <c r="BE26" t="s">
        <v>165</v>
      </c>
      <c r="BF26" t="s">
        <v>165</v>
      </c>
      <c r="BG26" t="s">
        <v>181</v>
      </c>
      <c r="BH26" t="s">
        <v>182</v>
      </c>
      <c r="BI26" t="s">
        <v>245</v>
      </c>
      <c r="BJ26" s="176" t="s">
        <v>184</v>
      </c>
      <c r="BK26" t="s">
        <v>185</v>
      </c>
      <c r="BL26" t="s">
        <v>186</v>
      </c>
      <c r="BM26" t="s">
        <v>187</v>
      </c>
      <c r="BN26" t="s">
        <v>254</v>
      </c>
      <c r="BO26">
        <v>2</v>
      </c>
      <c r="BP26" s="177">
        <v>4.9999999999997158E-2</v>
      </c>
      <c r="BQ26" s="177">
        <v>21.285955717872618</v>
      </c>
      <c r="BR26" t="s">
        <v>189</v>
      </c>
      <c r="BS26">
        <v>0.25</v>
      </c>
      <c r="BT26">
        <v>0.6</v>
      </c>
      <c r="BU26" t="s">
        <v>190</v>
      </c>
      <c r="BV26" s="174">
        <v>0.08</v>
      </c>
      <c r="BW26">
        <v>8.8699999999999992</v>
      </c>
      <c r="BX26" t="s">
        <v>191</v>
      </c>
      <c r="BY26">
        <v>1.52</v>
      </c>
      <c r="BZ26" t="s">
        <v>192</v>
      </c>
      <c r="CA26" t="s">
        <v>193</v>
      </c>
      <c r="CB26" s="188">
        <v>20.658828149538468</v>
      </c>
      <c r="CC26" t="s">
        <v>169</v>
      </c>
      <c r="CD26" s="188">
        <v>0.47921571396979912</v>
      </c>
      <c r="CE26" t="s">
        <v>194</v>
      </c>
      <c r="CF26" t="s">
        <v>195</v>
      </c>
      <c r="CG26">
        <v>10</v>
      </c>
      <c r="CH26" t="s">
        <v>196</v>
      </c>
      <c r="CI26" t="s">
        <v>196</v>
      </c>
      <c r="CJ26" s="178">
        <v>26.520890103600205</v>
      </c>
      <c r="CK26" t="s">
        <v>247</v>
      </c>
      <c r="CL26">
        <v>1</v>
      </c>
      <c r="CM26">
        <v>1</v>
      </c>
      <c r="CN26" s="178">
        <v>4.1342092758294262</v>
      </c>
      <c r="CO26" t="s">
        <v>248</v>
      </c>
      <c r="CP26" t="s">
        <v>169</v>
      </c>
      <c r="CQ26" s="189">
        <v>0.12402627827488279</v>
      </c>
      <c r="CR26" s="189">
        <v>0.12402627827488279</v>
      </c>
      <c r="CS26" s="180" t="s">
        <v>249</v>
      </c>
      <c r="CT26" t="s">
        <v>250</v>
      </c>
      <c r="CU26" t="s">
        <v>165</v>
      </c>
      <c r="CV26" t="s">
        <v>165</v>
      </c>
      <c r="CW26" t="s">
        <v>165</v>
      </c>
      <c r="CX26" t="s">
        <v>165</v>
      </c>
      <c r="CY26" t="s">
        <v>165</v>
      </c>
      <c r="CZ26" t="s">
        <v>165</v>
      </c>
      <c r="DA26" t="s">
        <v>165</v>
      </c>
      <c r="DB26" t="s">
        <v>165</v>
      </c>
      <c r="DC26" t="s">
        <v>165</v>
      </c>
      <c r="DD26" t="s">
        <v>165</v>
      </c>
      <c r="DE26" t="s">
        <v>165</v>
      </c>
      <c r="DF26" t="s">
        <v>165</v>
      </c>
      <c r="DG26" s="178">
        <v>36.326621260585028</v>
      </c>
      <c r="DH26" t="s">
        <v>167</v>
      </c>
      <c r="DI26">
        <v>1</v>
      </c>
      <c r="DJ26" s="180" t="s">
        <v>224</v>
      </c>
      <c r="DK26" t="s">
        <v>200</v>
      </c>
      <c r="DL26" t="s">
        <v>201</v>
      </c>
      <c r="DM26" t="s">
        <v>201</v>
      </c>
      <c r="DN26" t="s">
        <v>201</v>
      </c>
      <c r="DO26" t="s">
        <v>200</v>
      </c>
      <c r="DP26" t="s">
        <v>201</v>
      </c>
      <c r="DQ26" t="s">
        <v>201</v>
      </c>
      <c r="DR26" t="s">
        <v>201</v>
      </c>
      <c r="DS26" t="s">
        <v>200</v>
      </c>
      <c r="DT26" t="s">
        <v>201</v>
      </c>
      <c r="DU26" t="s">
        <v>201</v>
      </c>
      <c r="DV26" t="s">
        <v>201</v>
      </c>
      <c r="DW26" s="175">
        <v>448.95805739261419</v>
      </c>
      <c r="DX26" t="s">
        <v>202</v>
      </c>
      <c r="DY26" s="175">
        <v>12.358926919518979</v>
      </c>
      <c r="DZ26" t="s">
        <v>203</v>
      </c>
      <c r="EA26">
        <v>39.61</v>
      </c>
      <c r="EB26" t="s">
        <v>204</v>
      </c>
      <c r="EC26" t="s">
        <v>165</v>
      </c>
      <c r="ED26" t="s">
        <v>205</v>
      </c>
      <c r="EE26" t="s">
        <v>206</v>
      </c>
      <c r="EF26" t="s">
        <v>207</v>
      </c>
      <c r="EG26">
        <v>1.0271999999999999</v>
      </c>
      <c r="EH26" t="s">
        <v>208</v>
      </c>
      <c r="EI26" t="s">
        <v>208</v>
      </c>
      <c r="EJ26" t="s">
        <v>209</v>
      </c>
      <c r="EK26" t="s">
        <v>208</v>
      </c>
      <c r="EL26" t="s">
        <v>208</v>
      </c>
      <c r="EM26" t="s">
        <v>210</v>
      </c>
      <c r="EN26" t="s">
        <v>211</v>
      </c>
      <c r="EO26" t="s">
        <v>212</v>
      </c>
      <c r="EP26" t="s">
        <v>212</v>
      </c>
      <c r="EQ26" t="s">
        <v>206</v>
      </c>
      <c r="ER26" t="s">
        <v>165</v>
      </c>
      <c r="ES26" t="s">
        <v>165</v>
      </c>
      <c r="ET26" t="s">
        <v>213</v>
      </c>
      <c r="EU26" t="s">
        <v>214</v>
      </c>
      <c r="EV26" t="s">
        <v>215</v>
      </c>
      <c r="EW26" s="184">
        <v>2379.2163857927671</v>
      </c>
      <c r="EX26" t="s">
        <v>216</v>
      </c>
      <c r="EY26">
        <v>100</v>
      </c>
      <c r="EZ26">
        <v>100</v>
      </c>
      <c r="FA26" t="s">
        <v>165</v>
      </c>
      <c r="FB26" t="s">
        <v>165</v>
      </c>
      <c r="FC26" t="s">
        <v>165</v>
      </c>
      <c r="FD26" t="s">
        <v>165</v>
      </c>
      <c r="FE26" s="190">
        <v>8.2398760096695476</v>
      </c>
      <c r="FF26" s="178" t="s">
        <v>170</v>
      </c>
      <c r="FG26" s="188">
        <v>3.4556762544653452E-2</v>
      </c>
      <c r="FH26" s="188">
        <v>3.4556762544653452E-2</v>
      </c>
      <c r="FI26" s="183">
        <v>233.33540990671102</v>
      </c>
      <c r="FJ26" s="178">
        <v>27</v>
      </c>
      <c r="FK26" t="s">
        <v>217</v>
      </c>
      <c r="FL26" s="184">
        <v>206.33540990671102</v>
      </c>
      <c r="FM26">
        <v>29</v>
      </c>
      <c r="FN26">
        <v>29</v>
      </c>
      <c r="FO26" t="s">
        <v>195</v>
      </c>
      <c r="FP26" t="s">
        <v>218</v>
      </c>
      <c r="FQ26" t="s">
        <v>219</v>
      </c>
      <c r="FR26" t="s">
        <v>219</v>
      </c>
      <c r="FS26" t="s">
        <v>219</v>
      </c>
      <c r="FT26" t="s">
        <v>219</v>
      </c>
      <c r="FU26" t="s">
        <v>219</v>
      </c>
      <c r="FV26" t="s">
        <v>219</v>
      </c>
      <c r="FW26" t="s">
        <v>219</v>
      </c>
      <c r="FX26" t="s">
        <v>219</v>
      </c>
      <c r="FY26" t="s">
        <v>219</v>
      </c>
      <c r="FZ26" t="s">
        <v>219</v>
      </c>
      <c r="GA26" t="s">
        <v>219</v>
      </c>
      <c r="GB26" t="s">
        <v>219</v>
      </c>
      <c r="GC26" t="s">
        <v>219</v>
      </c>
    </row>
    <row r="27" spans="1:185" ht="17">
      <c r="A27" t="s">
        <v>171</v>
      </c>
      <c r="B27" s="169" t="s">
        <v>172</v>
      </c>
      <c r="C27" s="140" t="s">
        <v>162</v>
      </c>
      <c r="D27" t="s">
        <v>173</v>
      </c>
      <c r="E27">
        <v>2013</v>
      </c>
      <c r="F27" t="s">
        <v>175</v>
      </c>
      <c r="G27" s="189">
        <f t="shared" si="1"/>
        <v>14.571419999999996</v>
      </c>
      <c r="H27" s="193">
        <v>4</v>
      </c>
      <c r="I27" s="193">
        <v>4</v>
      </c>
      <c r="J27">
        <f t="shared" si="4"/>
        <v>220.000769966099</v>
      </c>
      <c r="K27">
        <f t="shared" si="5"/>
        <v>29</v>
      </c>
      <c r="L27">
        <f t="shared" si="6"/>
        <v>29</v>
      </c>
      <c r="M27" t="b">
        <v>1</v>
      </c>
      <c r="N27">
        <v>1</v>
      </c>
      <c r="O27" s="195" t="s">
        <v>309</v>
      </c>
      <c r="P27" t="b">
        <v>0</v>
      </c>
      <c r="Q27" t="b">
        <v>0</v>
      </c>
      <c r="R27" t="s">
        <v>165</v>
      </c>
      <c r="S27" t="b">
        <v>1</v>
      </c>
      <c r="T27" t="b">
        <v>0</v>
      </c>
      <c r="U27" t="s">
        <v>165</v>
      </c>
      <c r="V27" t="b">
        <v>0</v>
      </c>
      <c r="W27" t="b">
        <v>0</v>
      </c>
      <c r="X27" s="193" t="s">
        <v>275</v>
      </c>
      <c r="Y27" s="170" t="s">
        <v>176</v>
      </c>
      <c r="Z27" t="s">
        <v>175</v>
      </c>
      <c r="AA27" t="s">
        <v>239</v>
      </c>
      <c r="AB27">
        <v>1</v>
      </c>
      <c r="AC27">
        <v>1</v>
      </c>
      <c r="AD27">
        <v>1</v>
      </c>
      <c r="AE27">
        <v>30</v>
      </c>
      <c r="AF27" t="s">
        <v>165</v>
      </c>
      <c r="AG27">
        <v>0.3</v>
      </c>
      <c r="AH27">
        <v>0.3</v>
      </c>
      <c r="AI27" t="s">
        <v>240</v>
      </c>
      <c r="AJ27" t="s">
        <v>241</v>
      </c>
      <c r="AK27" s="186">
        <v>3.8316669999999999</v>
      </c>
      <c r="AL27" s="186">
        <v>-41.621666699999999</v>
      </c>
      <c r="AM27" s="186">
        <v>3.8316669999999999</v>
      </c>
      <c r="AN27" s="186">
        <v>-41.621666699999999</v>
      </c>
      <c r="AO27" s="187">
        <v>-3292</v>
      </c>
      <c r="AP27" s="187">
        <v>-3292</v>
      </c>
      <c r="AQ27" t="s">
        <v>178</v>
      </c>
      <c r="AR27" t="s">
        <v>168</v>
      </c>
      <c r="AS27" s="173">
        <v>14.571419999999996</v>
      </c>
      <c r="AT27" s="174" t="s">
        <v>242</v>
      </c>
      <c r="AU27" s="171">
        <v>4</v>
      </c>
      <c r="AV27" s="171">
        <v>4</v>
      </c>
      <c r="AW27" t="s">
        <v>288</v>
      </c>
      <c r="AX27" t="s">
        <v>243</v>
      </c>
      <c r="AY27" t="s">
        <v>244</v>
      </c>
      <c r="AZ27" t="s">
        <v>165</v>
      </c>
      <c r="BA27" t="s">
        <v>165</v>
      </c>
      <c r="BB27" t="s">
        <v>165</v>
      </c>
      <c r="BC27" t="s">
        <v>165</v>
      </c>
      <c r="BD27" t="s">
        <v>165</v>
      </c>
      <c r="BE27" t="s">
        <v>165</v>
      </c>
      <c r="BF27" t="s">
        <v>165</v>
      </c>
      <c r="BG27" t="s">
        <v>181</v>
      </c>
      <c r="BH27" t="s">
        <v>182</v>
      </c>
      <c r="BI27" t="s">
        <v>245</v>
      </c>
      <c r="BJ27" s="176" t="s">
        <v>184</v>
      </c>
      <c r="BK27" t="s">
        <v>185</v>
      </c>
      <c r="BL27" t="s">
        <v>186</v>
      </c>
      <c r="BM27" t="s">
        <v>187</v>
      </c>
      <c r="BN27" t="s">
        <v>255</v>
      </c>
      <c r="BO27">
        <v>2</v>
      </c>
      <c r="BP27" s="177">
        <v>3.0000000000001133E-2</v>
      </c>
      <c r="BQ27" s="177">
        <v>21.126013826579971</v>
      </c>
      <c r="BR27" t="s">
        <v>189</v>
      </c>
      <c r="BS27">
        <v>0.25</v>
      </c>
      <c r="BT27">
        <v>0.6</v>
      </c>
      <c r="BU27" t="s">
        <v>190</v>
      </c>
      <c r="BV27" s="174">
        <v>0.08</v>
      </c>
      <c r="BW27">
        <v>8.8699999999999992</v>
      </c>
      <c r="BX27" t="s">
        <v>191</v>
      </c>
      <c r="BY27">
        <v>1.52</v>
      </c>
      <c r="BZ27" t="s">
        <v>192</v>
      </c>
      <c r="CA27" t="s">
        <v>193</v>
      </c>
      <c r="CB27" s="188">
        <v>20.392701874509104</v>
      </c>
      <c r="CC27" t="s">
        <v>169</v>
      </c>
      <c r="CD27" s="188">
        <v>0.45080522074274637</v>
      </c>
      <c r="CE27" t="s">
        <v>194</v>
      </c>
      <c r="CF27" t="s">
        <v>195</v>
      </c>
      <c r="CG27">
        <v>10</v>
      </c>
      <c r="CH27" t="s">
        <v>196</v>
      </c>
      <c r="CI27" t="s">
        <v>196</v>
      </c>
      <c r="CJ27" s="178">
        <v>26.219163935595258</v>
      </c>
      <c r="CK27" t="s">
        <v>247</v>
      </c>
      <c r="CL27">
        <v>1</v>
      </c>
      <c r="CM27">
        <v>1</v>
      </c>
      <c r="CN27" s="178">
        <v>4.0234539607121134</v>
      </c>
      <c r="CO27" t="s">
        <v>248</v>
      </c>
      <c r="CP27" t="s">
        <v>169</v>
      </c>
      <c r="CQ27" s="189">
        <v>0.12070361882136339</v>
      </c>
      <c r="CR27" s="189">
        <v>0.12070361882136339</v>
      </c>
      <c r="CS27" s="180" t="s">
        <v>249</v>
      </c>
      <c r="CT27" t="s">
        <v>250</v>
      </c>
      <c r="CU27" t="s">
        <v>165</v>
      </c>
      <c r="CV27" t="s">
        <v>165</v>
      </c>
      <c r="CW27" t="s">
        <v>165</v>
      </c>
      <c r="CX27" t="s">
        <v>165</v>
      </c>
      <c r="CY27" t="s">
        <v>165</v>
      </c>
      <c r="CZ27" t="s">
        <v>165</v>
      </c>
      <c r="DA27" t="s">
        <v>165</v>
      </c>
      <c r="DB27" t="s">
        <v>165</v>
      </c>
      <c r="DC27" t="s">
        <v>165</v>
      </c>
      <c r="DD27" t="s">
        <v>165</v>
      </c>
      <c r="DE27" t="s">
        <v>165</v>
      </c>
      <c r="DF27" t="s">
        <v>165</v>
      </c>
      <c r="DG27" s="178">
        <v>36.51911902708185</v>
      </c>
      <c r="DH27" t="s">
        <v>167</v>
      </c>
      <c r="DI27">
        <v>1</v>
      </c>
      <c r="DJ27" s="180" t="s">
        <v>224</v>
      </c>
      <c r="DK27" t="s">
        <v>200</v>
      </c>
      <c r="DL27" t="s">
        <v>201</v>
      </c>
      <c r="DM27" t="s">
        <v>201</v>
      </c>
      <c r="DN27" t="s">
        <v>201</v>
      </c>
      <c r="DO27" t="s">
        <v>200</v>
      </c>
      <c r="DP27" t="s">
        <v>201</v>
      </c>
      <c r="DQ27" t="s">
        <v>201</v>
      </c>
      <c r="DR27" t="s">
        <v>201</v>
      </c>
      <c r="DS27" t="s">
        <v>200</v>
      </c>
      <c r="DT27" t="s">
        <v>201</v>
      </c>
      <c r="DU27" t="s">
        <v>201</v>
      </c>
      <c r="DV27" t="s">
        <v>201</v>
      </c>
      <c r="DW27" s="175">
        <v>451.33712322091907</v>
      </c>
      <c r="DX27" t="s">
        <v>202</v>
      </c>
      <c r="DY27" s="175">
        <v>12.358926919519035</v>
      </c>
      <c r="DZ27" t="s">
        <v>203</v>
      </c>
      <c r="EA27">
        <v>39.61</v>
      </c>
      <c r="EB27" t="s">
        <v>204</v>
      </c>
      <c r="EC27" t="s">
        <v>165</v>
      </c>
      <c r="ED27" t="s">
        <v>205</v>
      </c>
      <c r="EE27" t="s">
        <v>206</v>
      </c>
      <c r="EF27" t="s">
        <v>207</v>
      </c>
      <c r="EG27">
        <v>1.0271999999999999</v>
      </c>
      <c r="EH27" t="s">
        <v>208</v>
      </c>
      <c r="EI27" t="s">
        <v>208</v>
      </c>
      <c r="EJ27" t="s">
        <v>209</v>
      </c>
      <c r="EK27" t="s">
        <v>208</v>
      </c>
      <c r="EL27" t="s">
        <v>208</v>
      </c>
      <c r="EM27" t="s">
        <v>210</v>
      </c>
      <c r="EN27" t="s">
        <v>211</v>
      </c>
      <c r="EO27" t="s">
        <v>212</v>
      </c>
      <c r="EP27" t="s">
        <v>212</v>
      </c>
      <c r="EQ27" t="s">
        <v>206</v>
      </c>
      <c r="ER27" t="s">
        <v>165</v>
      </c>
      <c r="ES27" t="s">
        <v>165</v>
      </c>
      <c r="ET27" t="s">
        <v>213</v>
      </c>
      <c r="EU27" t="s">
        <v>214</v>
      </c>
      <c r="EV27" t="s">
        <v>215</v>
      </c>
      <c r="EW27" s="184">
        <v>2390.6101360939474</v>
      </c>
      <c r="EX27" t="s">
        <v>216</v>
      </c>
      <c r="EY27">
        <v>100</v>
      </c>
      <c r="EZ27">
        <v>100</v>
      </c>
      <c r="FA27" t="s">
        <v>165</v>
      </c>
      <c r="FB27" t="s">
        <v>165</v>
      </c>
      <c r="FC27" t="s">
        <v>165</v>
      </c>
      <c r="FD27" t="s">
        <v>165</v>
      </c>
      <c r="FE27" s="190">
        <v>8.2225830398170636</v>
      </c>
      <c r="FF27" s="178" t="s">
        <v>170</v>
      </c>
      <c r="FG27" s="188">
        <v>3.1946586443103442E-2</v>
      </c>
      <c r="FH27" s="188">
        <v>3.1946586443103442E-2</v>
      </c>
      <c r="FI27" s="183">
        <v>247.000769966099</v>
      </c>
      <c r="FJ27" s="178">
        <v>27</v>
      </c>
      <c r="FK27" t="s">
        <v>217</v>
      </c>
      <c r="FL27" s="184">
        <v>220.000769966099</v>
      </c>
      <c r="FM27">
        <v>29</v>
      </c>
      <c r="FN27">
        <v>29</v>
      </c>
      <c r="FO27" t="s">
        <v>195</v>
      </c>
      <c r="FP27" t="s">
        <v>218</v>
      </c>
      <c r="FQ27" t="s">
        <v>219</v>
      </c>
      <c r="FR27" t="s">
        <v>219</v>
      </c>
      <c r="FS27" t="s">
        <v>219</v>
      </c>
      <c r="FT27" t="s">
        <v>219</v>
      </c>
      <c r="FU27" t="s">
        <v>219</v>
      </c>
      <c r="FV27" t="s">
        <v>219</v>
      </c>
      <c r="FW27" t="s">
        <v>219</v>
      </c>
      <c r="FX27" t="s">
        <v>219</v>
      </c>
      <c r="FY27" t="s">
        <v>219</v>
      </c>
      <c r="FZ27" t="s">
        <v>219</v>
      </c>
      <c r="GA27" t="s">
        <v>219</v>
      </c>
      <c r="GB27" t="s">
        <v>219</v>
      </c>
      <c r="GC27" t="s">
        <v>219</v>
      </c>
    </row>
    <row r="28" spans="1:185" ht="17">
      <c r="A28" t="s">
        <v>171</v>
      </c>
      <c r="B28" s="169" t="s">
        <v>172</v>
      </c>
      <c r="C28" s="140" t="s">
        <v>162</v>
      </c>
      <c r="D28" t="s">
        <v>173</v>
      </c>
      <c r="E28">
        <v>2013</v>
      </c>
      <c r="F28" t="s">
        <v>175</v>
      </c>
      <c r="G28" s="189">
        <f t="shared" si="1"/>
        <v>16.589259999999996</v>
      </c>
      <c r="H28" s="193">
        <v>4</v>
      </c>
      <c r="I28" s="193">
        <v>4</v>
      </c>
      <c r="J28">
        <f t="shared" si="4"/>
        <v>193.907499633269</v>
      </c>
      <c r="K28">
        <f t="shared" si="5"/>
        <v>29</v>
      </c>
      <c r="L28">
        <f t="shared" si="6"/>
        <v>29</v>
      </c>
      <c r="M28" t="b">
        <v>1</v>
      </c>
      <c r="N28">
        <v>1</v>
      </c>
      <c r="O28" s="195" t="s">
        <v>309</v>
      </c>
      <c r="P28" t="b">
        <v>0</v>
      </c>
      <c r="Q28" t="b">
        <v>0</v>
      </c>
      <c r="R28" t="s">
        <v>165</v>
      </c>
      <c r="S28" t="b">
        <v>1</v>
      </c>
      <c r="T28" t="b">
        <v>0</v>
      </c>
      <c r="U28" t="s">
        <v>165</v>
      </c>
      <c r="V28" t="b">
        <v>0</v>
      </c>
      <c r="W28" t="b">
        <v>0</v>
      </c>
      <c r="X28" s="193" t="s">
        <v>276</v>
      </c>
      <c r="Y28" s="170" t="s">
        <v>176</v>
      </c>
      <c r="Z28" t="s">
        <v>175</v>
      </c>
      <c r="AA28" t="s">
        <v>239</v>
      </c>
      <c r="AB28">
        <v>1</v>
      </c>
      <c r="AC28">
        <v>1</v>
      </c>
      <c r="AD28">
        <v>1</v>
      </c>
      <c r="AE28">
        <v>35</v>
      </c>
      <c r="AF28" t="s">
        <v>165</v>
      </c>
      <c r="AG28">
        <v>0.35</v>
      </c>
      <c r="AH28">
        <v>0.35</v>
      </c>
      <c r="AI28" t="s">
        <v>240</v>
      </c>
      <c r="AJ28" t="s">
        <v>241</v>
      </c>
      <c r="AK28" s="186">
        <v>3.8316669999999999</v>
      </c>
      <c r="AL28" s="186">
        <v>-41.621666699999999</v>
      </c>
      <c r="AM28" s="186">
        <v>3.8316669999999999</v>
      </c>
      <c r="AN28" s="186">
        <v>-41.621666699999999</v>
      </c>
      <c r="AO28" s="187">
        <v>-3292</v>
      </c>
      <c r="AP28" s="187">
        <v>-3292</v>
      </c>
      <c r="AQ28" t="s">
        <v>178</v>
      </c>
      <c r="AR28" t="s">
        <v>168</v>
      </c>
      <c r="AS28" s="173">
        <v>16.589259999999996</v>
      </c>
      <c r="AT28" s="174" t="s">
        <v>242</v>
      </c>
      <c r="AU28" s="171">
        <v>4</v>
      </c>
      <c r="AV28" s="171">
        <v>4</v>
      </c>
      <c r="AW28" t="s">
        <v>289</v>
      </c>
      <c r="AX28" t="s">
        <v>243</v>
      </c>
      <c r="AY28" t="s">
        <v>244</v>
      </c>
      <c r="AZ28" t="s">
        <v>165</v>
      </c>
      <c r="BA28" t="s">
        <v>165</v>
      </c>
      <c r="BB28" t="s">
        <v>165</v>
      </c>
      <c r="BC28" t="s">
        <v>165</v>
      </c>
      <c r="BD28" t="s">
        <v>165</v>
      </c>
      <c r="BE28" t="s">
        <v>165</v>
      </c>
      <c r="BF28" t="s">
        <v>165</v>
      </c>
      <c r="BG28" t="s">
        <v>181</v>
      </c>
      <c r="BH28" t="s">
        <v>182</v>
      </c>
      <c r="BI28" t="s">
        <v>245</v>
      </c>
      <c r="BJ28" s="176" t="s">
        <v>184</v>
      </c>
      <c r="BK28" t="s">
        <v>185</v>
      </c>
      <c r="BL28" t="s">
        <v>186</v>
      </c>
      <c r="BM28" t="s">
        <v>187</v>
      </c>
      <c r="BN28" t="s">
        <v>256</v>
      </c>
      <c r="BO28">
        <v>2</v>
      </c>
      <c r="BP28" s="177">
        <v>7.000000000000027E-2</v>
      </c>
      <c r="BQ28" s="177">
        <v>21.326689586800619</v>
      </c>
      <c r="BR28" t="s">
        <v>189</v>
      </c>
      <c r="BS28">
        <v>0.25</v>
      </c>
      <c r="BT28">
        <v>0.6</v>
      </c>
      <c r="BU28" t="s">
        <v>190</v>
      </c>
      <c r="BV28" s="174">
        <v>0.08</v>
      </c>
      <c r="BW28">
        <v>8.8699999999999992</v>
      </c>
      <c r="BX28" t="s">
        <v>191</v>
      </c>
      <c r="BY28">
        <v>1.52</v>
      </c>
      <c r="BZ28" t="s">
        <v>192</v>
      </c>
      <c r="CA28" t="s">
        <v>193</v>
      </c>
      <c r="CB28" s="188">
        <v>20.726604969718171</v>
      </c>
      <c r="CC28" t="s">
        <v>169</v>
      </c>
      <c r="CD28" s="188">
        <v>0.50100059224556659</v>
      </c>
      <c r="CE28" t="s">
        <v>194</v>
      </c>
      <c r="CF28" t="s">
        <v>195</v>
      </c>
      <c r="CG28">
        <v>10</v>
      </c>
      <c r="CH28" t="s">
        <v>196</v>
      </c>
      <c r="CI28" t="s">
        <v>196</v>
      </c>
      <c r="CJ28" s="178">
        <v>24.832124526083284</v>
      </c>
      <c r="CK28" t="s">
        <v>247</v>
      </c>
      <c r="CL28">
        <v>1</v>
      </c>
      <c r="CM28">
        <v>1</v>
      </c>
      <c r="CN28" s="178">
        <v>3.5512767300025496</v>
      </c>
      <c r="CO28" t="s">
        <v>248</v>
      </c>
      <c r="CP28" t="s">
        <v>169</v>
      </c>
      <c r="CQ28" s="189">
        <v>0.10653830190007649</v>
      </c>
      <c r="CR28" s="189">
        <v>0.10653830190007649</v>
      </c>
      <c r="CS28" s="180" t="s">
        <v>249</v>
      </c>
      <c r="CT28" t="s">
        <v>250</v>
      </c>
      <c r="CU28" t="s">
        <v>165</v>
      </c>
      <c r="CV28" t="s">
        <v>165</v>
      </c>
      <c r="CW28" t="s">
        <v>165</v>
      </c>
      <c r="CX28" t="s">
        <v>165</v>
      </c>
      <c r="CY28" t="s">
        <v>165</v>
      </c>
      <c r="CZ28" t="s">
        <v>165</v>
      </c>
      <c r="DA28" t="s">
        <v>165</v>
      </c>
      <c r="DB28" t="s">
        <v>165</v>
      </c>
      <c r="DC28" t="s">
        <v>165</v>
      </c>
      <c r="DD28" t="s">
        <v>165</v>
      </c>
      <c r="DE28" t="s">
        <v>165</v>
      </c>
      <c r="DF28" t="s">
        <v>165</v>
      </c>
      <c r="DG28" s="178">
        <v>36.644684186568021</v>
      </c>
      <c r="DH28" t="s">
        <v>167</v>
      </c>
      <c r="DI28">
        <v>1</v>
      </c>
      <c r="DJ28" s="180" t="s">
        <v>224</v>
      </c>
      <c r="DK28" t="s">
        <v>200</v>
      </c>
      <c r="DL28" t="s">
        <v>201</v>
      </c>
      <c r="DM28" t="s">
        <v>201</v>
      </c>
      <c r="DN28" t="s">
        <v>201</v>
      </c>
      <c r="DO28" t="s">
        <v>200</v>
      </c>
      <c r="DP28" t="s">
        <v>201</v>
      </c>
      <c r="DQ28" t="s">
        <v>201</v>
      </c>
      <c r="DR28" t="s">
        <v>201</v>
      </c>
      <c r="DS28" t="s">
        <v>200</v>
      </c>
      <c r="DT28" t="s">
        <v>201</v>
      </c>
      <c r="DU28" t="s">
        <v>201</v>
      </c>
      <c r="DV28" t="s">
        <v>201</v>
      </c>
      <c r="DW28" s="175">
        <v>452.88897385064638</v>
      </c>
      <c r="DX28" t="s">
        <v>202</v>
      </c>
      <c r="DY28" s="175">
        <v>12.358926919518979</v>
      </c>
      <c r="DZ28" t="s">
        <v>203</v>
      </c>
      <c r="EA28">
        <v>39.61</v>
      </c>
      <c r="EB28" t="s">
        <v>204</v>
      </c>
      <c r="EC28" t="s">
        <v>165</v>
      </c>
      <c r="ED28" t="s">
        <v>205</v>
      </c>
      <c r="EE28" t="s">
        <v>206</v>
      </c>
      <c r="EF28" t="s">
        <v>207</v>
      </c>
      <c r="EG28">
        <v>1.0271999999999999</v>
      </c>
      <c r="EH28" t="s">
        <v>208</v>
      </c>
      <c r="EI28" t="s">
        <v>208</v>
      </c>
      <c r="EJ28" t="s">
        <v>209</v>
      </c>
      <c r="EK28" t="s">
        <v>208</v>
      </c>
      <c r="EL28" t="s">
        <v>208</v>
      </c>
      <c r="EM28" t="s">
        <v>210</v>
      </c>
      <c r="EN28" t="s">
        <v>211</v>
      </c>
      <c r="EO28" t="s">
        <v>212</v>
      </c>
      <c r="EP28" t="s">
        <v>212</v>
      </c>
      <c r="EQ28" t="s">
        <v>206</v>
      </c>
      <c r="ER28" t="s">
        <v>165</v>
      </c>
      <c r="ES28" t="s">
        <v>165</v>
      </c>
      <c r="ET28" t="s">
        <v>213</v>
      </c>
      <c r="EU28" t="s">
        <v>214</v>
      </c>
      <c r="EV28" t="s">
        <v>215</v>
      </c>
      <c r="EW28" s="184">
        <v>2398.0422123187745</v>
      </c>
      <c r="EX28" t="s">
        <v>216</v>
      </c>
      <c r="EY28">
        <v>100</v>
      </c>
      <c r="EZ28">
        <v>100</v>
      </c>
      <c r="FA28" t="s">
        <v>165</v>
      </c>
      <c r="FB28" t="s">
        <v>165</v>
      </c>
      <c r="FC28" t="s">
        <v>165</v>
      </c>
      <c r="FD28" t="s">
        <v>165</v>
      </c>
      <c r="FE28" s="190">
        <v>8.2627545595339349</v>
      </c>
      <c r="FF28" s="178" t="s">
        <v>170</v>
      </c>
      <c r="FG28" s="188">
        <v>3.5212409629878039E-2</v>
      </c>
      <c r="FH28" s="188">
        <v>3.5212409629878039E-2</v>
      </c>
      <c r="FI28" s="183">
        <v>220.907499633269</v>
      </c>
      <c r="FJ28" s="178">
        <v>27</v>
      </c>
      <c r="FK28" t="s">
        <v>217</v>
      </c>
      <c r="FL28" s="184">
        <v>193.907499633269</v>
      </c>
      <c r="FM28">
        <v>29</v>
      </c>
      <c r="FN28">
        <v>29</v>
      </c>
      <c r="FO28" t="s">
        <v>195</v>
      </c>
      <c r="FP28" t="s">
        <v>218</v>
      </c>
      <c r="FQ28" t="s">
        <v>219</v>
      </c>
      <c r="FR28" t="s">
        <v>219</v>
      </c>
      <c r="FS28" t="s">
        <v>219</v>
      </c>
      <c r="FT28" t="s">
        <v>219</v>
      </c>
      <c r="FU28" t="s">
        <v>219</v>
      </c>
      <c r="FV28" t="s">
        <v>219</v>
      </c>
      <c r="FW28" t="s">
        <v>219</v>
      </c>
      <c r="FX28" t="s">
        <v>219</v>
      </c>
      <c r="FY28" t="s">
        <v>219</v>
      </c>
      <c r="FZ28" t="s">
        <v>219</v>
      </c>
      <c r="GA28" t="s">
        <v>219</v>
      </c>
      <c r="GB28" t="s">
        <v>219</v>
      </c>
      <c r="GC28" t="s">
        <v>219</v>
      </c>
    </row>
    <row r="29" spans="1:185" ht="17">
      <c r="A29" t="s">
        <v>171</v>
      </c>
      <c r="B29" s="169" t="s">
        <v>172</v>
      </c>
      <c r="C29" s="140" t="s">
        <v>162</v>
      </c>
      <c r="D29" t="s">
        <v>173</v>
      </c>
      <c r="E29">
        <v>2013</v>
      </c>
      <c r="F29" t="s">
        <v>175</v>
      </c>
      <c r="G29" s="189">
        <f t="shared" si="1"/>
        <v>18.16</v>
      </c>
      <c r="H29" s="193">
        <v>4</v>
      </c>
      <c r="I29" s="193">
        <v>4</v>
      </c>
      <c r="J29">
        <f t="shared" si="4"/>
        <v>194.10884194532002</v>
      </c>
      <c r="K29">
        <f t="shared" si="5"/>
        <v>29</v>
      </c>
      <c r="L29">
        <f t="shared" si="6"/>
        <v>29</v>
      </c>
      <c r="M29" t="b">
        <v>1</v>
      </c>
      <c r="N29">
        <v>1</v>
      </c>
      <c r="O29" s="195" t="s">
        <v>309</v>
      </c>
      <c r="P29" t="b">
        <v>0</v>
      </c>
      <c r="Q29" t="b">
        <v>0</v>
      </c>
      <c r="R29" t="s">
        <v>165</v>
      </c>
      <c r="S29" t="b">
        <v>1</v>
      </c>
      <c r="T29" t="b">
        <v>0</v>
      </c>
      <c r="U29" t="s">
        <v>165</v>
      </c>
      <c r="V29" t="b">
        <v>0</v>
      </c>
      <c r="W29" t="b">
        <v>0</v>
      </c>
      <c r="X29" s="193" t="s">
        <v>277</v>
      </c>
      <c r="Y29" s="170" t="s">
        <v>176</v>
      </c>
      <c r="Z29" t="s">
        <v>175</v>
      </c>
      <c r="AA29" t="s">
        <v>239</v>
      </c>
      <c r="AB29">
        <v>1</v>
      </c>
      <c r="AC29">
        <v>1</v>
      </c>
      <c r="AD29">
        <v>1</v>
      </c>
      <c r="AE29">
        <v>40</v>
      </c>
      <c r="AF29" t="s">
        <v>165</v>
      </c>
      <c r="AG29">
        <v>0.4</v>
      </c>
      <c r="AH29">
        <v>0.4</v>
      </c>
      <c r="AI29" t="s">
        <v>240</v>
      </c>
      <c r="AJ29" t="s">
        <v>241</v>
      </c>
      <c r="AK29" s="186">
        <v>3.8316669999999999</v>
      </c>
      <c r="AL29" s="186">
        <v>-41.621666699999999</v>
      </c>
      <c r="AM29" s="186">
        <v>3.8316669999999999</v>
      </c>
      <c r="AN29" s="186">
        <v>-41.621666699999999</v>
      </c>
      <c r="AO29" s="187">
        <v>-3292</v>
      </c>
      <c r="AP29" s="187">
        <v>-3292</v>
      </c>
      <c r="AQ29" t="s">
        <v>178</v>
      </c>
      <c r="AR29" t="s">
        <v>168</v>
      </c>
      <c r="AS29" s="173">
        <v>18.16</v>
      </c>
      <c r="AT29" s="174" t="s">
        <v>242</v>
      </c>
      <c r="AU29" s="171">
        <v>4</v>
      </c>
      <c r="AV29" s="171">
        <v>4</v>
      </c>
      <c r="AW29" t="s">
        <v>290</v>
      </c>
      <c r="AX29" t="s">
        <v>243</v>
      </c>
      <c r="AY29" t="s">
        <v>244</v>
      </c>
      <c r="AZ29" t="s">
        <v>165</v>
      </c>
      <c r="BA29" t="s">
        <v>165</v>
      </c>
      <c r="BB29" t="s">
        <v>165</v>
      </c>
      <c r="BC29" t="s">
        <v>165</v>
      </c>
      <c r="BD29" t="s">
        <v>165</v>
      </c>
      <c r="BE29" t="s">
        <v>165</v>
      </c>
      <c r="BF29" t="s">
        <v>165</v>
      </c>
      <c r="BG29" t="s">
        <v>181</v>
      </c>
      <c r="BH29" t="s">
        <v>182</v>
      </c>
      <c r="BI29" t="s">
        <v>245</v>
      </c>
      <c r="BJ29" s="176" t="s">
        <v>184</v>
      </c>
      <c r="BK29" t="s">
        <v>185</v>
      </c>
      <c r="BL29" t="s">
        <v>186</v>
      </c>
      <c r="BM29" t="s">
        <v>187</v>
      </c>
      <c r="BN29" t="s">
        <v>257</v>
      </c>
      <c r="BO29">
        <v>2</v>
      </c>
      <c r="BP29" s="177">
        <v>0.23999999999999844</v>
      </c>
      <c r="BQ29" s="177">
        <v>21.367470449340729</v>
      </c>
      <c r="BR29" t="s">
        <v>189</v>
      </c>
      <c r="BS29">
        <v>0.25</v>
      </c>
      <c r="BT29">
        <v>0.6</v>
      </c>
      <c r="BU29" t="s">
        <v>190</v>
      </c>
      <c r="BV29" s="174">
        <v>0.08</v>
      </c>
      <c r="BW29">
        <v>8.8699999999999992</v>
      </c>
      <c r="BX29" t="s">
        <v>191</v>
      </c>
      <c r="BY29">
        <v>1.52</v>
      </c>
      <c r="BZ29" t="s">
        <v>192</v>
      </c>
      <c r="CA29" t="s">
        <v>193</v>
      </c>
      <c r="CB29" s="188">
        <v>20.794459982264112</v>
      </c>
      <c r="CC29" t="s">
        <v>169</v>
      </c>
      <c r="CD29" s="188">
        <v>0.50699005524863305</v>
      </c>
      <c r="CE29" t="s">
        <v>194</v>
      </c>
      <c r="CF29" t="s">
        <v>195</v>
      </c>
      <c r="CG29">
        <v>10</v>
      </c>
      <c r="CH29" t="s">
        <v>196</v>
      </c>
      <c r="CI29" t="s">
        <v>196</v>
      </c>
      <c r="CJ29" s="178">
        <v>25.258876304381324</v>
      </c>
      <c r="CK29" t="s">
        <v>247</v>
      </c>
      <c r="CL29">
        <v>1</v>
      </c>
      <c r="CM29">
        <v>1</v>
      </c>
      <c r="CN29" s="178">
        <v>3.6903261479786242</v>
      </c>
      <c r="CO29" t="s">
        <v>248</v>
      </c>
      <c r="CP29" t="s">
        <v>169</v>
      </c>
      <c r="CQ29" s="189">
        <v>0.11070978443935872</v>
      </c>
      <c r="CR29" s="189">
        <v>0.11070978443935872</v>
      </c>
      <c r="CS29" s="180" t="s">
        <v>249</v>
      </c>
      <c r="CT29" t="s">
        <v>250</v>
      </c>
      <c r="CU29" t="s">
        <v>165</v>
      </c>
      <c r="CV29" t="s">
        <v>165</v>
      </c>
      <c r="CW29" t="s">
        <v>165</v>
      </c>
      <c r="CX29" t="s">
        <v>165</v>
      </c>
      <c r="CY29" t="s">
        <v>165</v>
      </c>
      <c r="CZ29" t="s">
        <v>165</v>
      </c>
      <c r="DA29" t="s">
        <v>165</v>
      </c>
      <c r="DB29" t="s">
        <v>165</v>
      </c>
      <c r="DC29" t="s">
        <v>165</v>
      </c>
      <c r="DD29" t="s">
        <v>165</v>
      </c>
      <c r="DE29" t="s">
        <v>165</v>
      </c>
      <c r="DF29" t="s">
        <v>165</v>
      </c>
      <c r="DG29" s="178">
        <v>36.68742844167727</v>
      </c>
      <c r="DH29" t="s">
        <v>167</v>
      </c>
      <c r="DI29">
        <v>1</v>
      </c>
      <c r="DJ29" s="180" t="s">
        <v>224</v>
      </c>
      <c r="DK29" t="s">
        <v>200</v>
      </c>
      <c r="DL29" t="s">
        <v>201</v>
      </c>
      <c r="DM29" t="s">
        <v>201</v>
      </c>
      <c r="DN29" t="s">
        <v>201</v>
      </c>
      <c r="DO29" t="s">
        <v>200</v>
      </c>
      <c r="DP29" t="s">
        <v>201</v>
      </c>
      <c r="DQ29" t="s">
        <v>201</v>
      </c>
      <c r="DR29" t="s">
        <v>201</v>
      </c>
      <c r="DS29" t="s">
        <v>200</v>
      </c>
      <c r="DT29" t="s">
        <v>201</v>
      </c>
      <c r="DU29" t="s">
        <v>201</v>
      </c>
      <c r="DV29" t="s">
        <v>201</v>
      </c>
      <c r="DW29" s="175">
        <v>453.41724697577087</v>
      </c>
      <c r="DX29" t="s">
        <v>202</v>
      </c>
      <c r="DY29" s="175">
        <v>12.358926919518979</v>
      </c>
      <c r="DZ29" t="s">
        <v>203</v>
      </c>
      <c r="EA29">
        <v>39.61</v>
      </c>
      <c r="EB29" t="s">
        <v>204</v>
      </c>
      <c r="EC29" t="s">
        <v>165</v>
      </c>
      <c r="ED29" t="s">
        <v>205</v>
      </c>
      <c r="EE29" t="s">
        <v>206</v>
      </c>
      <c r="EF29" t="s">
        <v>207</v>
      </c>
      <c r="EG29">
        <v>1.0271999999999999</v>
      </c>
      <c r="EH29" t="s">
        <v>208</v>
      </c>
      <c r="EI29" t="s">
        <v>208</v>
      </c>
      <c r="EJ29" t="s">
        <v>209</v>
      </c>
      <c r="EK29" t="s">
        <v>208</v>
      </c>
      <c r="EL29" t="s">
        <v>208</v>
      </c>
      <c r="EM29" t="s">
        <v>210</v>
      </c>
      <c r="EN29" t="s">
        <v>211</v>
      </c>
      <c r="EO29" t="s">
        <v>212</v>
      </c>
      <c r="EP29" t="s">
        <v>212</v>
      </c>
      <c r="EQ29" t="s">
        <v>206</v>
      </c>
      <c r="ER29" t="s">
        <v>165</v>
      </c>
      <c r="ES29" t="s">
        <v>165</v>
      </c>
      <c r="ET29" t="s">
        <v>213</v>
      </c>
      <c r="EU29" t="s">
        <v>214</v>
      </c>
      <c r="EV29" t="s">
        <v>215</v>
      </c>
      <c r="EW29" s="184">
        <v>2400.572202034436</v>
      </c>
      <c r="EX29" t="s">
        <v>216</v>
      </c>
      <c r="EY29">
        <v>100</v>
      </c>
      <c r="EZ29">
        <v>100</v>
      </c>
      <c r="FA29" t="s">
        <v>165</v>
      </c>
      <c r="FB29" t="s">
        <v>165</v>
      </c>
      <c r="FC29" t="s">
        <v>165</v>
      </c>
      <c r="FD29" t="s">
        <v>165</v>
      </c>
      <c r="FE29" s="190">
        <v>8.2625130304879999</v>
      </c>
      <c r="FF29" s="178" t="s">
        <v>170</v>
      </c>
      <c r="FG29" s="188">
        <v>3.586545720291312E-2</v>
      </c>
      <c r="FH29" s="188">
        <v>3.586545720291312E-2</v>
      </c>
      <c r="FI29" s="183">
        <v>221.10884194532002</v>
      </c>
      <c r="FJ29" s="178">
        <v>27</v>
      </c>
      <c r="FK29" t="s">
        <v>217</v>
      </c>
      <c r="FL29" s="184">
        <v>194.10884194532002</v>
      </c>
      <c r="FM29">
        <v>29</v>
      </c>
      <c r="FN29">
        <v>29</v>
      </c>
      <c r="FO29" t="s">
        <v>195</v>
      </c>
      <c r="FP29" t="s">
        <v>218</v>
      </c>
      <c r="FQ29" t="s">
        <v>219</v>
      </c>
      <c r="FR29" t="s">
        <v>219</v>
      </c>
      <c r="FS29" t="s">
        <v>219</v>
      </c>
      <c r="FT29" t="s">
        <v>219</v>
      </c>
      <c r="FU29" t="s">
        <v>219</v>
      </c>
      <c r="FV29" t="s">
        <v>219</v>
      </c>
      <c r="FW29" t="s">
        <v>219</v>
      </c>
      <c r="FX29" t="s">
        <v>219</v>
      </c>
      <c r="FY29" t="s">
        <v>219</v>
      </c>
      <c r="FZ29" t="s">
        <v>219</v>
      </c>
      <c r="GA29" t="s">
        <v>219</v>
      </c>
      <c r="GB29" t="s">
        <v>219</v>
      </c>
      <c r="GC29" t="s">
        <v>219</v>
      </c>
    </row>
    <row r="30" spans="1:185" ht="17">
      <c r="A30" t="s">
        <v>171</v>
      </c>
      <c r="B30" s="169" t="s">
        <v>172</v>
      </c>
      <c r="C30" s="140" t="s">
        <v>162</v>
      </c>
      <c r="D30" t="s">
        <v>173</v>
      </c>
      <c r="E30">
        <v>2013</v>
      </c>
      <c r="F30" t="s">
        <v>175</v>
      </c>
      <c r="G30" s="189">
        <f t="shared" si="1"/>
        <v>19.060000000000002</v>
      </c>
      <c r="H30" s="193">
        <v>4</v>
      </c>
      <c r="I30" s="193">
        <v>4</v>
      </c>
      <c r="J30">
        <f t="shared" si="4"/>
        <v>209.39912502209302</v>
      </c>
      <c r="K30">
        <f t="shared" si="5"/>
        <v>29</v>
      </c>
      <c r="L30">
        <f t="shared" si="6"/>
        <v>29</v>
      </c>
      <c r="M30" t="b">
        <v>1</v>
      </c>
      <c r="N30">
        <v>1</v>
      </c>
      <c r="O30" s="195" t="s">
        <v>309</v>
      </c>
      <c r="P30" t="b">
        <v>0</v>
      </c>
      <c r="Q30" t="b">
        <v>0</v>
      </c>
      <c r="R30" t="s">
        <v>165</v>
      </c>
      <c r="S30" t="b">
        <v>1</v>
      </c>
      <c r="T30" t="b">
        <v>0</v>
      </c>
      <c r="U30" t="s">
        <v>165</v>
      </c>
      <c r="V30" t="b">
        <v>0</v>
      </c>
      <c r="W30" t="b">
        <v>0</v>
      </c>
      <c r="X30" s="193" t="s">
        <v>278</v>
      </c>
      <c r="Y30" s="170" t="s">
        <v>176</v>
      </c>
      <c r="Z30" t="s">
        <v>175</v>
      </c>
      <c r="AA30" t="s">
        <v>239</v>
      </c>
      <c r="AB30">
        <v>1</v>
      </c>
      <c r="AC30">
        <v>1</v>
      </c>
      <c r="AD30">
        <v>1</v>
      </c>
      <c r="AE30">
        <v>45</v>
      </c>
      <c r="AF30" t="s">
        <v>165</v>
      </c>
      <c r="AG30">
        <v>0.45</v>
      </c>
      <c r="AH30">
        <v>0.45</v>
      </c>
      <c r="AI30" t="s">
        <v>240</v>
      </c>
      <c r="AJ30" t="s">
        <v>241</v>
      </c>
      <c r="AK30" s="186">
        <v>3.8316669999999999</v>
      </c>
      <c r="AL30" s="186">
        <v>-41.621666699999999</v>
      </c>
      <c r="AM30" s="186">
        <v>3.8316669999999999</v>
      </c>
      <c r="AN30" s="186">
        <v>-41.621666699999999</v>
      </c>
      <c r="AO30" s="187">
        <v>-3292</v>
      </c>
      <c r="AP30" s="187">
        <v>-3292</v>
      </c>
      <c r="AQ30" t="s">
        <v>178</v>
      </c>
      <c r="AR30" t="s">
        <v>168</v>
      </c>
      <c r="AS30" s="173">
        <v>19.060000000000002</v>
      </c>
      <c r="AT30" s="174" t="s">
        <v>242</v>
      </c>
      <c r="AU30" s="171">
        <v>4</v>
      </c>
      <c r="AV30" s="171">
        <v>4</v>
      </c>
      <c r="AW30" t="s">
        <v>291</v>
      </c>
      <c r="AX30" t="s">
        <v>243</v>
      </c>
      <c r="AY30" t="s">
        <v>244</v>
      </c>
      <c r="AZ30" t="s">
        <v>165</v>
      </c>
      <c r="BA30" t="s">
        <v>165</v>
      </c>
      <c r="BB30" t="s">
        <v>165</v>
      </c>
      <c r="BC30" t="s">
        <v>165</v>
      </c>
      <c r="BD30" t="s">
        <v>165</v>
      </c>
      <c r="BE30" t="s">
        <v>165</v>
      </c>
      <c r="BF30" t="s">
        <v>165</v>
      </c>
      <c r="BG30" t="s">
        <v>181</v>
      </c>
      <c r="BH30" t="s">
        <v>182</v>
      </c>
      <c r="BI30" t="s">
        <v>245</v>
      </c>
      <c r="BJ30" s="176" t="s">
        <v>184</v>
      </c>
      <c r="BK30" t="s">
        <v>185</v>
      </c>
      <c r="BL30" t="s">
        <v>186</v>
      </c>
      <c r="BM30" t="s">
        <v>187</v>
      </c>
      <c r="BN30" t="s">
        <v>258</v>
      </c>
      <c r="BO30">
        <v>2</v>
      </c>
      <c r="BP30" s="177">
        <v>8.0000000000001847E-2</v>
      </c>
      <c r="BQ30" s="177">
        <v>21.149585882810797</v>
      </c>
      <c r="BR30" t="s">
        <v>189</v>
      </c>
      <c r="BS30">
        <v>0.25</v>
      </c>
      <c r="BT30">
        <v>0.6</v>
      </c>
      <c r="BU30" t="s">
        <v>190</v>
      </c>
      <c r="BV30" s="174">
        <v>0.08</v>
      </c>
      <c r="BW30">
        <v>8.8699999999999992</v>
      </c>
      <c r="BX30" t="s">
        <v>191</v>
      </c>
      <c r="BY30">
        <v>1.52</v>
      </c>
      <c r="BZ30" t="s">
        <v>192</v>
      </c>
      <c r="CA30" t="s">
        <v>193</v>
      </c>
      <c r="CB30" s="188">
        <v>20.43192326590815</v>
      </c>
      <c r="CC30" t="s">
        <v>169</v>
      </c>
      <c r="CD30" s="188">
        <v>0.45980123342644469</v>
      </c>
      <c r="CE30" t="s">
        <v>194</v>
      </c>
      <c r="CF30" t="s">
        <v>195</v>
      </c>
      <c r="CG30">
        <v>10</v>
      </c>
      <c r="CH30" t="s">
        <v>196</v>
      </c>
      <c r="CI30" t="s">
        <v>196</v>
      </c>
      <c r="CJ30" s="178">
        <v>24.847348403995674</v>
      </c>
      <c r="CK30" t="s">
        <v>247</v>
      </c>
      <c r="CL30">
        <v>1</v>
      </c>
      <c r="CM30">
        <v>1</v>
      </c>
      <c r="CN30" s="178">
        <v>3.5561458432495274</v>
      </c>
      <c r="CO30" t="s">
        <v>248</v>
      </c>
      <c r="CP30" t="s">
        <v>169</v>
      </c>
      <c r="CQ30" s="189">
        <v>0.10668437529748583</v>
      </c>
      <c r="CR30" s="189">
        <v>0.10668437529748583</v>
      </c>
      <c r="CS30" s="180" t="s">
        <v>249</v>
      </c>
      <c r="CT30" t="s">
        <v>250</v>
      </c>
      <c r="CU30" t="s">
        <v>165</v>
      </c>
      <c r="CV30" t="s">
        <v>165</v>
      </c>
      <c r="CW30" t="s">
        <v>165</v>
      </c>
      <c r="CX30" t="s">
        <v>165</v>
      </c>
      <c r="CY30" t="s">
        <v>165</v>
      </c>
      <c r="CZ30" t="s">
        <v>165</v>
      </c>
      <c r="DA30" t="s">
        <v>165</v>
      </c>
      <c r="DB30" t="s">
        <v>165</v>
      </c>
      <c r="DC30" t="s">
        <v>165</v>
      </c>
      <c r="DD30" t="s">
        <v>165</v>
      </c>
      <c r="DE30" t="s">
        <v>165</v>
      </c>
      <c r="DF30" t="s">
        <v>165</v>
      </c>
      <c r="DG30" s="178">
        <v>36.690260209650056</v>
      </c>
      <c r="DH30" t="s">
        <v>167</v>
      </c>
      <c r="DI30">
        <v>1</v>
      </c>
      <c r="DJ30" s="180" t="s">
        <v>224</v>
      </c>
      <c r="DK30" t="s">
        <v>200</v>
      </c>
      <c r="DL30" t="s">
        <v>201</v>
      </c>
      <c r="DM30" t="s">
        <v>201</v>
      </c>
      <c r="DN30" t="s">
        <v>201</v>
      </c>
      <c r="DO30" t="s">
        <v>200</v>
      </c>
      <c r="DP30" t="s">
        <v>201</v>
      </c>
      <c r="DQ30" t="s">
        <v>201</v>
      </c>
      <c r="DR30" t="s">
        <v>201</v>
      </c>
      <c r="DS30" t="s">
        <v>200</v>
      </c>
      <c r="DT30" t="s">
        <v>201</v>
      </c>
      <c r="DU30" t="s">
        <v>201</v>
      </c>
      <c r="DV30" t="s">
        <v>201</v>
      </c>
      <c r="DW30" s="175">
        <v>453.45224458919961</v>
      </c>
      <c r="DX30" t="s">
        <v>202</v>
      </c>
      <c r="DY30" s="175">
        <v>12.358926919519092</v>
      </c>
      <c r="DZ30" t="s">
        <v>203</v>
      </c>
      <c r="EA30">
        <v>39.61</v>
      </c>
      <c r="EB30" t="s">
        <v>204</v>
      </c>
      <c r="EC30" t="s">
        <v>165</v>
      </c>
      <c r="ED30" t="s">
        <v>205</v>
      </c>
      <c r="EE30" t="s">
        <v>206</v>
      </c>
      <c r="EF30" t="s">
        <v>207</v>
      </c>
      <c r="EG30">
        <v>1.0271999999999999</v>
      </c>
      <c r="EH30" t="s">
        <v>208</v>
      </c>
      <c r="EI30" t="s">
        <v>208</v>
      </c>
      <c r="EJ30" t="s">
        <v>209</v>
      </c>
      <c r="EK30" t="s">
        <v>208</v>
      </c>
      <c r="EL30" t="s">
        <v>208</v>
      </c>
      <c r="EM30" t="s">
        <v>210</v>
      </c>
      <c r="EN30" t="s">
        <v>211</v>
      </c>
      <c r="EO30" t="s">
        <v>212</v>
      </c>
      <c r="EP30" t="s">
        <v>212</v>
      </c>
      <c r="EQ30" t="s">
        <v>206</v>
      </c>
      <c r="ER30" t="s">
        <v>165</v>
      </c>
      <c r="ES30" t="s">
        <v>165</v>
      </c>
      <c r="ET30" t="s">
        <v>213</v>
      </c>
      <c r="EU30" t="s">
        <v>214</v>
      </c>
      <c r="EV30" t="s">
        <v>215</v>
      </c>
      <c r="EW30" s="184">
        <v>2400.7398115489773</v>
      </c>
      <c r="EX30" t="s">
        <v>216</v>
      </c>
      <c r="EY30">
        <v>100</v>
      </c>
      <c r="EZ30">
        <v>100</v>
      </c>
      <c r="FA30" t="s">
        <v>165</v>
      </c>
      <c r="FB30" t="s">
        <v>165</v>
      </c>
      <c r="FC30" t="s">
        <v>165</v>
      </c>
      <c r="FD30" t="s">
        <v>165</v>
      </c>
      <c r="FE30" s="190">
        <v>8.240547668252999</v>
      </c>
      <c r="FF30" s="178" t="s">
        <v>170</v>
      </c>
      <c r="FG30" s="188">
        <v>3.2335110174040338E-2</v>
      </c>
      <c r="FH30" s="188">
        <v>3.2335110174040338E-2</v>
      </c>
      <c r="FI30" s="183">
        <v>236.39912502209302</v>
      </c>
      <c r="FJ30" s="178">
        <v>27</v>
      </c>
      <c r="FK30" t="s">
        <v>217</v>
      </c>
      <c r="FL30" s="184">
        <v>209.39912502209302</v>
      </c>
      <c r="FM30">
        <v>29</v>
      </c>
      <c r="FN30">
        <v>29</v>
      </c>
      <c r="FO30" t="s">
        <v>195</v>
      </c>
      <c r="FP30" t="s">
        <v>218</v>
      </c>
      <c r="FQ30" t="s">
        <v>219</v>
      </c>
      <c r="FR30" t="s">
        <v>219</v>
      </c>
      <c r="FS30" t="s">
        <v>219</v>
      </c>
      <c r="FT30" t="s">
        <v>219</v>
      </c>
      <c r="FU30" t="s">
        <v>219</v>
      </c>
      <c r="FV30" t="s">
        <v>219</v>
      </c>
      <c r="FW30" t="s">
        <v>219</v>
      </c>
      <c r="FX30" t="s">
        <v>219</v>
      </c>
      <c r="FY30" t="s">
        <v>219</v>
      </c>
      <c r="FZ30" t="s">
        <v>219</v>
      </c>
      <c r="GA30" t="s">
        <v>219</v>
      </c>
      <c r="GB30" t="s">
        <v>219</v>
      </c>
      <c r="GC30" t="s">
        <v>219</v>
      </c>
    </row>
    <row r="31" spans="1:185" ht="17">
      <c r="A31" t="s">
        <v>171</v>
      </c>
      <c r="B31" s="169" t="s">
        <v>172</v>
      </c>
      <c r="C31" s="140" t="s">
        <v>162</v>
      </c>
      <c r="D31" t="s">
        <v>173</v>
      </c>
      <c r="E31">
        <v>2013</v>
      </c>
      <c r="F31" t="s">
        <v>175</v>
      </c>
      <c r="G31" s="189">
        <f t="shared" si="1"/>
        <v>20.86</v>
      </c>
      <c r="H31" s="193">
        <v>4</v>
      </c>
      <c r="I31" s="193">
        <v>4</v>
      </c>
      <c r="J31">
        <f t="shared" si="4"/>
        <v>216.73585182887001</v>
      </c>
      <c r="K31">
        <f t="shared" si="5"/>
        <v>29</v>
      </c>
      <c r="L31">
        <f t="shared" si="6"/>
        <v>29</v>
      </c>
      <c r="M31" t="b">
        <v>1</v>
      </c>
      <c r="N31">
        <v>1</v>
      </c>
      <c r="O31" s="195" t="s">
        <v>309</v>
      </c>
      <c r="P31" t="b">
        <v>0</v>
      </c>
      <c r="Q31" t="b">
        <v>0</v>
      </c>
      <c r="R31" t="s">
        <v>165</v>
      </c>
      <c r="S31" t="b">
        <v>1</v>
      </c>
      <c r="T31" t="b">
        <v>0</v>
      </c>
      <c r="U31" t="s">
        <v>165</v>
      </c>
      <c r="V31" t="b">
        <v>0</v>
      </c>
      <c r="W31" t="b">
        <v>0</v>
      </c>
      <c r="X31" s="193" t="s">
        <v>279</v>
      </c>
      <c r="Y31" s="170" t="s">
        <v>176</v>
      </c>
      <c r="Z31" t="s">
        <v>175</v>
      </c>
      <c r="AA31" t="s">
        <v>239</v>
      </c>
      <c r="AB31">
        <v>1</v>
      </c>
      <c r="AC31">
        <v>1</v>
      </c>
      <c r="AD31">
        <v>1</v>
      </c>
      <c r="AE31">
        <v>55</v>
      </c>
      <c r="AF31" t="s">
        <v>165</v>
      </c>
      <c r="AG31">
        <v>0.55000000000000004</v>
      </c>
      <c r="AH31">
        <v>0.55000000000000004</v>
      </c>
      <c r="AI31" t="s">
        <v>240</v>
      </c>
      <c r="AJ31" t="s">
        <v>241</v>
      </c>
      <c r="AK31" s="186">
        <v>3.8316669999999999</v>
      </c>
      <c r="AL31" s="186">
        <v>-41.621666699999999</v>
      </c>
      <c r="AM31" s="186">
        <v>3.8316669999999999</v>
      </c>
      <c r="AN31" s="186">
        <v>-41.621666699999999</v>
      </c>
      <c r="AO31" s="187">
        <v>-3292</v>
      </c>
      <c r="AP31" s="187">
        <v>-3292</v>
      </c>
      <c r="AQ31" t="s">
        <v>178</v>
      </c>
      <c r="AR31" t="s">
        <v>168</v>
      </c>
      <c r="AS31" s="173">
        <v>20.86</v>
      </c>
      <c r="AT31" s="174" t="s">
        <v>242</v>
      </c>
      <c r="AU31" s="171">
        <v>4</v>
      </c>
      <c r="AV31" s="171">
        <v>4</v>
      </c>
      <c r="AW31" t="s">
        <v>292</v>
      </c>
      <c r="AX31" t="s">
        <v>243</v>
      </c>
      <c r="AY31" t="s">
        <v>244</v>
      </c>
      <c r="AZ31" t="s">
        <v>165</v>
      </c>
      <c r="BA31" t="s">
        <v>165</v>
      </c>
      <c r="BB31" t="s">
        <v>165</v>
      </c>
      <c r="BC31" t="s">
        <v>165</v>
      </c>
      <c r="BD31" t="s">
        <v>165</v>
      </c>
      <c r="BE31" t="s">
        <v>165</v>
      </c>
      <c r="BF31" t="s">
        <v>165</v>
      </c>
      <c r="BG31" t="s">
        <v>181</v>
      </c>
      <c r="BH31" t="s">
        <v>182</v>
      </c>
      <c r="BI31" t="s">
        <v>245</v>
      </c>
      <c r="BJ31" s="176" t="s">
        <v>184</v>
      </c>
      <c r="BK31" t="s">
        <v>185</v>
      </c>
      <c r="BL31" t="s">
        <v>186</v>
      </c>
      <c r="BM31" t="s">
        <v>187</v>
      </c>
      <c r="BN31" t="s">
        <v>259</v>
      </c>
      <c r="BO31">
        <v>2</v>
      </c>
      <c r="BP31" s="177">
        <v>2.3200000000000003</v>
      </c>
      <c r="BQ31" s="177">
        <v>21.143820309813989</v>
      </c>
      <c r="BR31" t="s">
        <v>189</v>
      </c>
      <c r="BS31">
        <v>0.25</v>
      </c>
      <c r="BT31">
        <v>0.6</v>
      </c>
      <c r="BU31" t="s">
        <v>190</v>
      </c>
      <c r="BV31" s="174">
        <v>0.08</v>
      </c>
      <c r="BW31">
        <v>8.8699999999999992</v>
      </c>
      <c r="BX31" t="s">
        <v>191</v>
      </c>
      <c r="BY31">
        <v>1.52</v>
      </c>
      <c r="BZ31" t="s">
        <v>192</v>
      </c>
      <c r="CA31" t="s">
        <v>193</v>
      </c>
      <c r="CB31" s="188">
        <v>20.422329966412629</v>
      </c>
      <c r="CC31" t="s">
        <v>169</v>
      </c>
      <c r="CD31" s="188">
        <v>0.46136001772811186</v>
      </c>
      <c r="CE31" t="s">
        <v>194</v>
      </c>
      <c r="CF31" t="s">
        <v>195</v>
      </c>
      <c r="CG31">
        <v>10</v>
      </c>
      <c r="CH31" t="s">
        <v>196</v>
      </c>
      <c r="CI31" t="s">
        <v>196</v>
      </c>
      <c r="CJ31" s="178">
        <v>25.756213319156334</v>
      </c>
      <c r="CK31" t="s">
        <v>247</v>
      </c>
      <c r="CL31">
        <v>1</v>
      </c>
      <c r="CM31">
        <v>1</v>
      </c>
      <c r="CN31" s="178">
        <v>3.8592589086356401</v>
      </c>
      <c r="CO31" t="s">
        <v>248</v>
      </c>
      <c r="CP31" t="s">
        <v>169</v>
      </c>
      <c r="CQ31" s="189">
        <v>0.1157777672590692</v>
      </c>
      <c r="CR31" s="189">
        <v>0.1157777672590692</v>
      </c>
      <c r="CS31" s="180" t="s">
        <v>249</v>
      </c>
      <c r="CT31" t="s">
        <v>250</v>
      </c>
      <c r="CU31" t="s">
        <v>165</v>
      </c>
      <c r="CV31" t="s">
        <v>165</v>
      </c>
      <c r="CW31" t="s">
        <v>165</v>
      </c>
      <c r="CX31" t="s">
        <v>165</v>
      </c>
      <c r="CY31" t="s">
        <v>165</v>
      </c>
      <c r="CZ31" t="s">
        <v>165</v>
      </c>
      <c r="DA31" t="s">
        <v>165</v>
      </c>
      <c r="DB31" t="s">
        <v>165</v>
      </c>
      <c r="DC31" t="s">
        <v>165</v>
      </c>
      <c r="DD31" t="s">
        <v>165</v>
      </c>
      <c r="DE31" t="s">
        <v>165</v>
      </c>
      <c r="DF31" t="s">
        <v>165</v>
      </c>
      <c r="DG31" s="178">
        <v>36.654085496716789</v>
      </c>
      <c r="DH31" t="s">
        <v>167</v>
      </c>
      <c r="DI31">
        <v>1</v>
      </c>
      <c r="DJ31" s="180" t="s">
        <v>224</v>
      </c>
      <c r="DK31" t="s">
        <v>200</v>
      </c>
      <c r="DL31" t="s">
        <v>201</v>
      </c>
      <c r="DM31" t="s">
        <v>201</v>
      </c>
      <c r="DN31" t="s">
        <v>201</v>
      </c>
      <c r="DO31" t="s">
        <v>200</v>
      </c>
      <c r="DP31" t="s">
        <v>201</v>
      </c>
      <c r="DQ31" t="s">
        <v>201</v>
      </c>
      <c r="DR31" t="s">
        <v>201</v>
      </c>
      <c r="DS31" t="s">
        <v>200</v>
      </c>
      <c r="DT31" t="s">
        <v>201</v>
      </c>
      <c r="DU31" t="s">
        <v>201</v>
      </c>
      <c r="DV31" t="s">
        <v>201</v>
      </c>
      <c r="DW31" s="175">
        <v>453.00516395572265</v>
      </c>
      <c r="DX31" t="s">
        <v>202</v>
      </c>
      <c r="DY31" s="175">
        <v>12.358926919518922</v>
      </c>
      <c r="DZ31" t="s">
        <v>203</v>
      </c>
      <c r="EA31">
        <v>39.61</v>
      </c>
      <c r="EB31" t="s">
        <v>204</v>
      </c>
      <c r="EC31" t="s">
        <v>165</v>
      </c>
      <c r="ED31" t="s">
        <v>205</v>
      </c>
      <c r="EE31" t="s">
        <v>206</v>
      </c>
      <c r="EF31" t="s">
        <v>207</v>
      </c>
      <c r="EG31">
        <v>1.0271999999999999</v>
      </c>
      <c r="EH31" t="s">
        <v>208</v>
      </c>
      <c r="EI31" t="s">
        <v>208</v>
      </c>
      <c r="EJ31" t="s">
        <v>209</v>
      </c>
      <c r="EK31" t="s">
        <v>208</v>
      </c>
      <c r="EL31" t="s">
        <v>208</v>
      </c>
      <c r="EM31" t="s">
        <v>210</v>
      </c>
      <c r="EN31" t="s">
        <v>211</v>
      </c>
      <c r="EO31" t="s">
        <v>212</v>
      </c>
      <c r="EP31" t="s">
        <v>212</v>
      </c>
      <c r="EQ31" t="s">
        <v>206</v>
      </c>
      <c r="ER31" t="s">
        <v>165</v>
      </c>
      <c r="ES31" t="s">
        <v>165</v>
      </c>
      <c r="ET31" t="s">
        <v>213</v>
      </c>
      <c r="EU31" t="s">
        <v>214</v>
      </c>
      <c r="EV31" t="s">
        <v>215</v>
      </c>
      <c r="EW31" s="184">
        <v>2398.59866646517</v>
      </c>
      <c r="EX31" t="s">
        <v>216</v>
      </c>
      <c r="EY31">
        <v>100</v>
      </c>
      <c r="EZ31">
        <v>100</v>
      </c>
      <c r="FA31" t="s">
        <v>165</v>
      </c>
      <c r="FB31" t="s">
        <v>165</v>
      </c>
      <c r="FC31" t="s">
        <v>165</v>
      </c>
      <c r="FD31" t="s">
        <v>165</v>
      </c>
      <c r="FE31" s="190">
        <v>8.2294454337548206</v>
      </c>
      <c r="FF31" s="178" t="s">
        <v>170</v>
      </c>
      <c r="FG31" s="188">
        <v>3.2240209146761956E-2</v>
      </c>
      <c r="FH31" s="188">
        <v>3.2240209146761956E-2</v>
      </c>
      <c r="FI31" s="183">
        <v>243.73585182887001</v>
      </c>
      <c r="FJ31" s="178">
        <v>27</v>
      </c>
      <c r="FK31" t="s">
        <v>217</v>
      </c>
      <c r="FL31" s="184">
        <v>216.73585182887001</v>
      </c>
      <c r="FM31">
        <v>29</v>
      </c>
      <c r="FN31">
        <v>29</v>
      </c>
      <c r="FO31" t="s">
        <v>195</v>
      </c>
      <c r="FP31" t="s">
        <v>218</v>
      </c>
      <c r="FQ31" t="s">
        <v>219</v>
      </c>
      <c r="FR31" t="s">
        <v>219</v>
      </c>
      <c r="FS31" t="s">
        <v>219</v>
      </c>
      <c r="FT31" t="s">
        <v>219</v>
      </c>
      <c r="FU31" t="s">
        <v>219</v>
      </c>
      <c r="FV31" t="s">
        <v>219</v>
      </c>
      <c r="FW31" t="s">
        <v>219</v>
      </c>
      <c r="FX31" t="s">
        <v>219</v>
      </c>
      <c r="FY31" t="s">
        <v>219</v>
      </c>
      <c r="FZ31" t="s">
        <v>219</v>
      </c>
      <c r="GA31" t="s">
        <v>219</v>
      </c>
      <c r="GB31" t="s">
        <v>219</v>
      </c>
      <c r="GC31" t="s">
        <v>219</v>
      </c>
    </row>
    <row r="32" spans="1:185" ht="17">
      <c r="A32" t="s">
        <v>171</v>
      </c>
      <c r="B32" s="169" t="s">
        <v>172</v>
      </c>
      <c r="C32" s="140" t="s">
        <v>162</v>
      </c>
      <c r="D32" t="s">
        <v>173</v>
      </c>
      <c r="E32">
        <v>2013</v>
      </c>
      <c r="F32" t="s">
        <v>175</v>
      </c>
      <c r="G32" s="189">
        <f t="shared" si="1"/>
        <v>23.857799999999994</v>
      </c>
      <c r="H32" s="193">
        <v>4</v>
      </c>
      <c r="I32" s="193">
        <v>4</v>
      </c>
      <c r="J32">
        <f t="shared" si="4"/>
        <v>225.21625564555501</v>
      </c>
      <c r="K32">
        <f t="shared" si="5"/>
        <v>29</v>
      </c>
      <c r="L32">
        <f t="shared" si="6"/>
        <v>29</v>
      </c>
      <c r="M32" t="b">
        <v>1</v>
      </c>
      <c r="N32">
        <v>1</v>
      </c>
      <c r="O32" s="195" t="s">
        <v>309</v>
      </c>
      <c r="P32" t="b">
        <v>0</v>
      </c>
      <c r="Q32" t="b">
        <v>0</v>
      </c>
      <c r="R32" t="s">
        <v>165</v>
      </c>
      <c r="S32" t="b">
        <v>1</v>
      </c>
      <c r="T32" t="b">
        <v>0</v>
      </c>
      <c r="U32" t="s">
        <v>165</v>
      </c>
      <c r="V32" t="b">
        <v>0</v>
      </c>
      <c r="W32" t="b">
        <v>0</v>
      </c>
      <c r="X32" s="193" t="s">
        <v>280</v>
      </c>
      <c r="Y32" s="170" t="s">
        <v>176</v>
      </c>
      <c r="Z32" t="s">
        <v>175</v>
      </c>
      <c r="AA32" t="s">
        <v>239</v>
      </c>
      <c r="AB32">
        <v>1</v>
      </c>
      <c r="AC32">
        <v>1</v>
      </c>
      <c r="AD32">
        <v>1</v>
      </c>
      <c r="AE32">
        <v>65</v>
      </c>
      <c r="AF32" t="s">
        <v>165</v>
      </c>
      <c r="AG32">
        <v>0.65</v>
      </c>
      <c r="AH32">
        <v>0.65</v>
      </c>
      <c r="AI32" t="s">
        <v>240</v>
      </c>
      <c r="AJ32" t="s">
        <v>241</v>
      </c>
      <c r="AK32" s="186">
        <v>3.8316669999999999</v>
      </c>
      <c r="AL32" s="186">
        <v>-41.621666699999999</v>
      </c>
      <c r="AM32" s="186">
        <v>3.8316669999999999</v>
      </c>
      <c r="AN32" s="186">
        <v>-41.621666699999999</v>
      </c>
      <c r="AO32" s="187">
        <v>-3292</v>
      </c>
      <c r="AP32" s="187">
        <v>-3292</v>
      </c>
      <c r="AQ32" t="s">
        <v>178</v>
      </c>
      <c r="AR32" t="s">
        <v>168</v>
      </c>
      <c r="AS32" s="173">
        <v>23.857799999999994</v>
      </c>
      <c r="AT32" s="174" t="s">
        <v>242</v>
      </c>
      <c r="AU32" s="171">
        <v>4</v>
      </c>
      <c r="AV32" s="171">
        <v>4</v>
      </c>
      <c r="AW32" t="s">
        <v>293</v>
      </c>
      <c r="AX32" t="s">
        <v>243</v>
      </c>
      <c r="AY32" t="s">
        <v>244</v>
      </c>
      <c r="AZ32" t="s">
        <v>165</v>
      </c>
      <c r="BA32" t="s">
        <v>165</v>
      </c>
      <c r="BB32" t="s">
        <v>165</v>
      </c>
      <c r="BC32" t="s">
        <v>165</v>
      </c>
      <c r="BD32" t="s">
        <v>165</v>
      </c>
      <c r="BE32" t="s">
        <v>165</v>
      </c>
      <c r="BF32" t="s">
        <v>165</v>
      </c>
      <c r="BG32" t="s">
        <v>181</v>
      </c>
      <c r="BH32" t="s">
        <v>182</v>
      </c>
      <c r="BI32" t="s">
        <v>245</v>
      </c>
      <c r="BJ32" s="176" t="s">
        <v>184</v>
      </c>
      <c r="BK32" t="s">
        <v>185</v>
      </c>
      <c r="BL32" t="s">
        <v>186</v>
      </c>
      <c r="BM32" t="s">
        <v>187</v>
      </c>
      <c r="BN32" t="s">
        <v>260</v>
      </c>
      <c r="BO32">
        <v>2</v>
      </c>
      <c r="BP32" s="177">
        <v>0.41000000000000009</v>
      </c>
      <c r="BQ32" s="177">
        <v>20.992544953854274</v>
      </c>
      <c r="BR32" t="s">
        <v>189</v>
      </c>
      <c r="BS32">
        <v>0.25</v>
      </c>
      <c r="BT32">
        <v>0.6</v>
      </c>
      <c r="BU32" t="s">
        <v>190</v>
      </c>
      <c r="BV32" s="174">
        <v>0.08</v>
      </c>
      <c r="BW32">
        <v>8.8699999999999992</v>
      </c>
      <c r="BX32" t="s">
        <v>191</v>
      </c>
      <c r="BY32">
        <v>1.52</v>
      </c>
      <c r="BZ32" t="s">
        <v>192</v>
      </c>
      <c r="CA32" t="s">
        <v>193</v>
      </c>
      <c r="CB32" s="188">
        <v>20.170623883284986</v>
      </c>
      <c r="CC32" t="s">
        <v>169</v>
      </c>
      <c r="CD32" s="188">
        <v>0.42644476029646966</v>
      </c>
      <c r="CE32" t="s">
        <v>194</v>
      </c>
      <c r="CF32" t="s">
        <v>195</v>
      </c>
      <c r="CG32">
        <v>10</v>
      </c>
      <c r="CH32" t="s">
        <v>196</v>
      </c>
      <c r="CI32" t="s">
        <v>196</v>
      </c>
      <c r="CJ32" s="178">
        <v>25.215707289657523</v>
      </c>
      <c r="CK32" t="s">
        <v>247</v>
      </c>
      <c r="CL32">
        <v>1</v>
      </c>
      <c r="CM32">
        <v>1</v>
      </c>
      <c r="CN32" s="178">
        <v>3.6760162674903705</v>
      </c>
      <c r="CO32" t="s">
        <v>248</v>
      </c>
      <c r="CP32" t="s">
        <v>169</v>
      </c>
      <c r="CQ32" s="189">
        <v>0.1102804880247111</v>
      </c>
      <c r="CR32" s="189">
        <v>0.1102804880247111</v>
      </c>
      <c r="CS32" s="180" t="s">
        <v>249</v>
      </c>
      <c r="CT32" t="s">
        <v>250</v>
      </c>
      <c r="CU32" t="s">
        <v>165</v>
      </c>
      <c r="CV32" t="s">
        <v>165</v>
      </c>
      <c r="CW32" t="s">
        <v>165</v>
      </c>
      <c r="CX32" t="s">
        <v>165</v>
      </c>
      <c r="CY32" t="s">
        <v>165</v>
      </c>
      <c r="CZ32" t="s">
        <v>165</v>
      </c>
      <c r="DA32" t="s">
        <v>165</v>
      </c>
      <c r="DB32" t="s">
        <v>165</v>
      </c>
      <c r="DC32" t="s">
        <v>165</v>
      </c>
      <c r="DD32" t="s">
        <v>165</v>
      </c>
      <c r="DE32" t="s">
        <v>165</v>
      </c>
      <c r="DF32" t="s">
        <v>165</v>
      </c>
      <c r="DG32" s="178">
        <v>36.511845428023086</v>
      </c>
      <c r="DH32" t="s">
        <v>167</v>
      </c>
      <c r="DI32">
        <v>1</v>
      </c>
      <c r="DJ32" s="180" t="s">
        <v>224</v>
      </c>
      <c r="DK32" t="s">
        <v>200</v>
      </c>
      <c r="DL32" t="s">
        <v>201</v>
      </c>
      <c r="DM32" t="s">
        <v>201</v>
      </c>
      <c r="DN32" t="s">
        <v>201</v>
      </c>
      <c r="DO32" t="s">
        <v>200</v>
      </c>
      <c r="DP32" t="s">
        <v>201</v>
      </c>
      <c r="DQ32" t="s">
        <v>201</v>
      </c>
      <c r="DR32" t="s">
        <v>201</v>
      </c>
      <c r="DS32" t="s">
        <v>200</v>
      </c>
      <c r="DT32" t="s">
        <v>201</v>
      </c>
      <c r="DU32" t="s">
        <v>201</v>
      </c>
      <c r="DV32" t="s">
        <v>201</v>
      </c>
      <c r="DW32" s="175">
        <v>451.2472293417099</v>
      </c>
      <c r="DX32" t="s">
        <v>202</v>
      </c>
      <c r="DY32" s="175">
        <v>12.358926919518979</v>
      </c>
      <c r="DZ32" t="s">
        <v>203</v>
      </c>
      <c r="EA32">
        <v>39.61</v>
      </c>
      <c r="EB32" t="s">
        <v>204</v>
      </c>
      <c r="EC32" t="s">
        <v>165</v>
      </c>
      <c r="ED32" t="s">
        <v>205</v>
      </c>
      <c r="EE32" t="s">
        <v>206</v>
      </c>
      <c r="EF32" t="s">
        <v>207</v>
      </c>
      <c r="EG32">
        <v>1.0271999999999999</v>
      </c>
      <c r="EH32" t="s">
        <v>208</v>
      </c>
      <c r="EI32" t="s">
        <v>208</v>
      </c>
      <c r="EJ32" t="s">
        <v>209</v>
      </c>
      <c r="EK32" t="s">
        <v>208</v>
      </c>
      <c r="EL32" t="s">
        <v>208</v>
      </c>
      <c r="EM32" t="s">
        <v>210</v>
      </c>
      <c r="EN32" t="s">
        <v>211</v>
      </c>
      <c r="EO32" t="s">
        <v>212</v>
      </c>
      <c r="EP32" t="s">
        <v>212</v>
      </c>
      <c r="EQ32" t="s">
        <v>206</v>
      </c>
      <c r="ER32" t="s">
        <v>165</v>
      </c>
      <c r="ES32" t="s">
        <v>165</v>
      </c>
      <c r="ET32" t="s">
        <v>213</v>
      </c>
      <c r="EU32" t="s">
        <v>214</v>
      </c>
      <c r="EV32" t="s">
        <v>215</v>
      </c>
      <c r="EW32" s="184">
        <v>2390.1796190392583</v>
      </c>
      <c r="EX32" t="s">
        <v>216</v>
      </c>
      <c r="EY32">
        <v>100</v>
      </c>
      <c r="EZ32">
        <v>100</v>
      </c>
      <c r="FA32" t="s">
        <v>165</v>
      </c>
      <c r="FB32" t="s">
        <v>165</v>
      </c>
      <c r="FC32" t="s">
        <v>165</v>
      </c>
      <c r="FD32" t="s">
        <v>165</v>
      </c>
      <c r="FE32" s="190">
        <v>8.2175259404639149</v>
      </c>
      <c r="FF32" s="178" t="s">
        <v>170</v>
      </c>
      <c r="FG32" s="188">
        <v>2.9718743292205474E-2</v>
      </c>
      <c r="FH32" s="188">
        <v>2.9718743292205474E-2</v>
      </c>
      <c r="FI32" s="183">
        <v>252.21625564555501</v>
      </c>
      <c r="FJ32" s="178">
        <v>27</v>
      </c>
      <c r="FK32" t="s">
        <v>217</v>
      </c>
      <c r="FL32" s="184">
        <v>225.21625564555501</v>
      </c>
      <c r="FM32">
        <v>29</v>
      </c>
      <c r="FN32">
        <v>29</v>
      </c>
      <c r="FO32" t="s">
        <v>195</v>
      </c>
      <c r="FP32" t="s">
        <v>218</v>
      </c>
      <c r="FQ32" t="s">
        <v>219</v>
      </c>
      <c r="FR32" t="s">
        <v>219</v>
      </c>
      <c r="FS32" t="s">
        <v>219</v>
      </c>
      <c r="FT32" t="s">
        <v>219</v>
      </c>
      <c r="FU32" t="s">
        <v>219</v>
      </c>
      <c r="FV32" t="s">
        <v>219</v>
      </c>
      <c r="FW32" t="s">
        <v>219</v>
      </c>
      <c r="FX32" t="s">
        <v>219</v>
      </c>
      <c r="FY32" t="s">
        <v>219</v>
      </c>
      <c r="FZ32" t="s">
        <v>219</v>
      </c>
      <c r="GA32" t="s">
        <v>219</v>
      </c>
      <c r="GB32" t="s">
        <v>219</v>
      </c>
      <c r="GC32" t="s">
        <v>219</v>
      </c>
    </row>
    <row r="33" spans="1:185" ht="17">
      <c r="A33" t="s">
        <v>171</v>
      </c>
      <c r="B33" s="169" t="s">
        <v>172</v>
      </c>
      <c r="C33" s="140" t="s">
        <v>162</v>
      </c>
      <c r="D33" t="s">
        <v>173</v>
      </c>
      <c r="E33">
        <v>2013</v>
      </c>
      <c r="F33" t="s">
        <v>175</v>
      </c>
      <c r="G33" s="189">
        <f t="shared" si="1"/>
        <v>27.368899999999996</v>
      </c>
      <c r="H33" s="193">
        <v>4</v>
      </c>
      <c r="I33" s="193">
        <v>4</v>
      </c>
      <c r="J33">
        <f t="shared" si="4"/>
        <v>208.15622659326101</v>
      </c>
      <c r="K33">
        <f t="shared" si="5"/>
        <v>29</v>
      </c>
      <c r="L33">
        <f t="shared" si="6"/>
        <v>29</v>
      </c>
      <c r="M33" t="b">
        <v>1</v>
      </c>
      <c r="N33">
        <v>1</v>
      </c>
      <c r="O33" s="195" t="s">
        <v>309</v>
      </c>
      <c r="P33" t="b">
        <v>0</v>
      </c>
      <c r="Q33" t="b">
        <v>0</v>
      </c>
      <c r="R33" t="s">
        <v>165</v>
      </c>
      <c r="S33" t="b">
        <v>1</v>
      </c>
      <c r="T33" t="b">
        <v>0</v>
      </c>
      <c r="U33" t="s">
        <v>165</v>
      </c>
      <c r="V33" t="b">
        <v>0</v>
      </c>
      <c r="W33" t="b">
        <v>0</v>
      </c>
      <c r="X33" s="193" t="s">
        <v>281</v>
      </c>
      <c r="Y33" s="170" t="s">
        <v>176</v>
      </c>
      <c r="Z33" t="s">
        <v>175</v>
      </c>
      <c r="AA33" t="s">
        <v>239</v>
      </c>
      <c r="AB33">
        <v>1</v>
      </c>
      <c r="AC33">
        <v>1</v>
      </c>
      <c r="AD33">
        <v>1</v>
      </c>
      <c r="AE33">
        <v>75</v>
      </c>
      <c r="AF33" t="s">
        <v>165</v>
      </c>
      <c r="AG33">
        <v>0.75</v>
      </c>
      <c r="AH33">
        <v>0.75</v>
      </c>
      <c r="AI33" t="s">
        <v>240</v>
      </c>
      <c r="AJ33" t="s">
        <v>241</v>
      </c>
      <c r="AK33" s="186">
        <v>3.8316669999999999</v>
      </c>
      <c r="AL33" s="186">
        <v>-41.621666699999999</v>
      </c>
      <c r="AM33" s="186">
        <v>3.8316669999999999</v>
      </c>
      <c r="AN33" s="186">
        <v>-41.621666699999999</v>
      </c>
      <c r="AO33" s="187">
        <v>-3292</v>
      </c>
      <c r="AP33" s="187">
        <v>-3292</v>
      </c>
      <c r="AQ33" t="s">
        <v>178</v>
      </c>
      <c r="AR33" t="s">
        <v>168</v>
      </c>
      <c r="AS33" s="173">
        <v>27.368899999999996</v>
      </c>
      <c r="AT33" s="174" t="s">
        <v>242</v>
      </c>
      <c r="AU33" s="171">
        <v>4</v>
      </c>
      <c r="AV33" s="171">
        <v>4</v>
      </c>
      <c r="AW33" t="s">
        <v>294</v>
      </c>
      <c r="AX33" t="s">
        <v>243</v>
      </c>
      <c r="AY33" t="s">
        <v>244</v>
      </c>
      <c r="AZ33" t="s">
        <v>165</v>
      </c>
      <c r="BA33" t="s">
        <v>165</v>
      </c>
      <c r="BB33" t="s">
        <v>165</v>
      </c>
      <c r="BC33" t="s">
        <v>165</v>
      </c>
      <c r="BD33" t="s">
        <v>165</v>
      </c>
      <c r="BE33" t="s">
        <v>165</v>
      </c>
      <c r="BF33" t="s">
        <v>165</v>
      </c>
      <c r="BG33" t="s">
        <v>181</v>
      </c>
      <c r="BH33" t="s">
        <v>182</v>
      </c>
      <c r="BI33" t="s">
        <v>245</v>
      </c>
      <c r="BJ33" s="176" t="s">
        <v>184</v>
      </c>
      <c r="BK33" t="s">
        <v>185</v>
      </c>
      <c r="BL33" t="s">
        <v>186</v>
      </c>
      <c r="BM33" t="s">
        <v>187</v>
      </c>
      <c r="BN33" t="s">
        <v>261</v>
      </c>
      <c r="BO33">
        <v>2</v>
      </c>
      <c r="BP33" s="177">
        <v>8.9999999999999858E-2</v>
      </c>
      <c r="BQ33" s="177">
        <v>21.174380655945345</v>
      </c>
      <c r="BR33" t="s">
        <v>189</v>
      </c>
      <c r="BS33">
        <v>0.25</v>
      </c>
      <c r="BT33">
        <v>0.6</v>
      </c>
      <c r="BU33" t="s">
        <v>190</v>
      </c>
      <c r="BV33" s="174">
        <v>0.08</v>
      </c>
      <c r="BW33">
        <v>8.8699999999999992</v>
      </c>
      <c r="BX33" t="s">
        <v>191</v>
      </c>
      <c r="BY33">
        <v>1.52</v>
      </c>
      <c r="BZ33" t="s">
        <v>192</v>
      </c>
      <c r="CA33" t="s">
        <v>193</v>
      </c>
      <c r="CB33" s="188">
        <v>20.473179128028864</v>
      </c>
      <c r="CC33" t="s">
        <v>169</v>
      </c>
      <c r="CD33" s="188">
        <v>0.4658988870684711</v>
      </c>
      <c r="CE33" t="s">
        <v>194</v>
      </c>
      <c r="CF33" t="s">
        <v>195</v>
      </c>
      <c r="CG33">
        <v>10</v>
      </c>
      <c r="CH33" t="s">
        <v>196</v>
      </c>
      <c r="CI33" t="s">
        <v>196</v>
      </c>
      <c r="CJ33" s="178">
        <v>25.305363192749532</v>
      </c>
      <c r="CK33" t="s">
        <v>247</v>
      </c>
      <c r="CL33">
        <v>1</v>
      </c>
      <c r="CM33">
        <v>1</v>
      </c>
      <c r="CN33" s="178">
        <v>3.7057981516199616</v>
      </c>
      <c r="CO33" t="s">
        <v>248</v>
      </c>
      <c r="CP33" t="s">
        <v>169</v>
      </c>
      <c r="CQ33" s="189">
        <v>0.11117394454859884</v>
      </c>
      <c r="CR33" s="189">
        <v>0.11117394454859884</v>
      </c>
      <c r="CS33" s="180" t="s">
        <v>249</v>
      </c>
      <c r="CT33" t="s">
        <v>250</v>
      </c>
      <c r="CU33" t="s">
        <v>165</v>
      </c>
      <c r="CV33" t="s">
        <v>165</v>
      </c>
      <c r="CW33" t="s">
        <v>165</v>
      </c>
      <c r="CX33" t="s">
        <v>165</v>
      </c>
      <c r="CY33" t="s">
        <v>165</v>
      </c>
      <c r="CZ33" t="s">
        <v>165</v>
      </c>
      <c r="DA33" t="s">
        <v>165</v>
      </c>
      <c r="DB33" t="s">
        <v>165</v>
      </c>
      <c r="DC33" t="s">
        <v>165</v>
      </c>
      <c r="DD33" t="s">
        <v>165</v>
      </c>
      <c r="DE33" t="s">
        <v>165</v>
      </c>
      <c r="DF33" t="s">
        <v>165</v>
      </c>
      <c r="DG33" s="178">
        <v>36.340191176794811</v>
      </c>
      <c r="DH33" t="s">
        <v>167</v>
      </c>
      <c r="DI33">
        <v>1</v>
      </c>
      <c r="DJ33" s="180" t="s">
        <v>224</v>
      </c>
      <c r="DK33" t="s">
        <v>200</v>
      </c>
      <c r="DL33" t="s">
        <v>201</v>
      </c>
      <c r="DM33" t="s">
        <v>201</v>
      </c>
      <c r="DN33" t="s">
        <v>201</v>
      </c>
      <c r="DO33" t="s">
        <v>200</v>
      </c>
      <c r="DP33" t="s">
        <v>201</v>
      </c>
      <c r="DQ33" t="s">
        <v>201</v>
      </c>
      <c r="DR33" t="s">
        <v>201</v>
      </c>
      <c r="DS33" t="s">
        <v>200</v>
      </c>
      <c r="DT33" t="s">
        <v>201</v>
      </c>
      <c r="DU33" t="s">
        <v>201</v>
      </c>
      <c r="DV33" t="s">
        <v>201</v>
      </c>
      <c r="DW33" s="175">
        <v>449.12576699535487</v>
      </c>
      <c r="DX33" t="s">
        <v>202</v>
      </c>
      <c r="DY33" s="175">
        <v>12.358926919518922</v>
      </c>
      <c r="DZ33" t="s">
        <v>203</v>
      </c>
      <c r="EA33">
        <v>39.61</v>
      </c>
      <c r="EB33" t="s">
        <v>204</v>
      </c>
      <c r="EC33" t="s">
        <v>165</v>
      </c>
      <c r="ED33" t="s">
        <v>205</v>
      </c>
      <c r="EE33" t="s">
        <v>206</v>
      </c>
      <c r="EF33" t="s">
        <v>207</v>
      </c>
      <c r="EG33">
        <v>1.0271999999999999</v>
      </c>
      <c r="EH33" t="s">
        <v>208</v>
      </c>
      <c r="EI33" t="s">
        <v>208</v>
      </c>
      <c r="EJ33" t="s">
        <v>209</v>
      </c>
      <c r="EK33" t="s">
        <v>208</v>
      </c>
      <c r="EL33" t="s">
        <v>208</v>
      </c>
      <c r="EM33" t="s">
        <v>210</v>
      </c>
      <c r="EN33" t="s">
        <v>211</v>
      </c>
      <c r="EO33" t="s">
        <v>212</v>
      </c>
      <c r="EP33" t="s">
        <v>212</v>
      </c>
      <c r="EQ33" t="s">
        <v>206</v>
      </c>
      <c r="ER33" t="s">
        <v>165</v>
      </c>
      <c r="ES33" t="s">
        <v>165</v>
      </c>
      <c r="ET33" t="s">
        <v>213</v>
      </c>
      <c r="EU33" t="s">
        <v>214</v>
      </c>
      <c r="EV33" t="s">
        <v>215</v>
      </c>
      <c r="EW33" s="184">
        <v>2380.0195755633081</v>
      </c>
      <c r="EX33" t="s">
        <v>216</v>
      </c>
      <c r="EY33">
        <v>100</v>
      </c>
      <c r="EZ33">
        <v>100</v>
      </c>
      <c r="FA33" t="s">
        <v>165</v>
      </c>
      <c r="FB33" t="s">
        <v>165</v>
      </c>
      <c r="FC33" t="s">
        <v>165</v>
      </c>
      <c r="FD33" t="s">
        <v>165</v>
      </c>
      <c r="FE33" s="190">
        <v>8.2401668958560652</v>
      </c>
      <c r="FF33" s="178" t="s">
        <v>170</v>
      </c>
      <c r="FG33" s="188">
        <v>3.2742293277998158E-2</v>
      </c>
      <c r="FH33" s="188">
        <v>3.2742293277998158E-2</v>
      </c>
      <c r="FI33" s="183">
        <v>235.15622659326101</v>
      </c>
      <c r="FJ33" s="178">
        <v>27</v>
      </c>
      <c r="FK33" t="s">
        <v>217</v>
      </c>
      <c r="FL33" s="184">
        <v>208.15622659326101</v>
      </c>
      <c r="FM33">
        <v>29</v>
      </c>
      <c r="FN33">
        <v>29</v>
      </c>
      <c r="FO33" t="s">
        <v>195</v>
      </c>
      <c r="FP33" t="s">
        <v>218</v>
      </c>
      <c r="FQ33" t="s">
        <v>219</v>
      </c>
      <c r="FR33" t="s">
        <v>219</v>
      </c>
      <c r="FS33" t="s">
        <v>219</v>
      </c>
      <c r="FT33" t="s">
        <v>219</v>
      </c>
      <c r="FU33" t="s">
        <v>219</v>
      </c>
      <c r="FV33" t="s">
        <v>219</v>
      </c>
      <c r="FW33" t="s">
        <v>219</v>
      </c>
      <c r="FX33" t="s">
        <v>219</v>
      </c>
      <c r="FY33" t="s">
        <v>219</v>
      </c>
      <c r="FZ33" t="s">
        <v>219</v>
      </c>
      <c r="GA33" t="s">
        <v>219</v>
      </c>
      <c r="GB33" t="s">
        <v>219</v>
      </c>
      <c r="GC33" t="s">
        <v>219</v>
      </c>
    </row>
    <row r="34" spans="1:185" ht="17">
      <c r="A34" t="s">
        <v>171</v>
      </c>
      <c r="B34" s="169" t="s">
        <v>172</v>
      </c>
      <c r="C34" s="140" t="s">
        <v>162</v>
      </c>
      <c r="D34" t="s">
        <v>173</v>
      </c>
      <c r="E34">
        <v>2013</v>
      </c>
      <c r="F34" t="s">
        <v>175</v>
      </c>
      <c r="G34" s="189">
        <f t="shared" si="1"/>
        <v>30.88</v>
      </c>
      <c r="H34" s="193">
        <v>4</v>
      </c>
      <c r="I34" s="193">
        <v>4</v>
      </c>
      <c r="J34">
        <f t="shared" si="4"/>
        <v>253.37087002740898</v>
      </c>
      <c r="K34">
        <f t="shared" si="5"/>
        <v>29</v>
      </c>
      <c r="L34">
        <f t="shared" si="6"/>
        <v>29</v>
      </c>
      <c r="M34" t="b">
        <v>1</v>
      </c>
      <c r="N34">
        <v>1</v>
      </c>
      <c r="O34" s="195" t="s">
        <v>309</v>
      </c>
      <c r="P34" t="b">
        <v>0</v>
      </c>
      <c r="Q34" t="b">
        <v>0</v>
      </c>
      <c r="R34" t="s">
        <v>165</v>
      </c>
      <c r="S34" t="b">
        <v>1</v>
      </c>
      <c r="T34" t="b">
        <v>0</v>
      </c>
      <c r="U34" t="s">
        <v>165</v>
      </c>
      <c r="V34" t="b">
        <v>0</v>
      </c>
      <c r="W34" t="b">
        <v>0</v>
      </c>
      <c r="X34" s="193" t="s">
        <v>282</v>
      </c>
      <c r="Y34" s="170" t="s">
        <v>176</v>
      </c>
      <c r="Z34" t="s">
        <v>175</v>
      </c>
      <c r="AA34" t="s">
        <v>239</v>
      </c>
      <c r="AB34">
        <v>1</v>
      </c>
      <c r="AC34">
        <v>1</v>
      </c>
      <c r="AD34">
        <v>1</v>
      </c>
      <c r="AE34">
        <v>85</v>
      </c>
      <c r="AF34" t="s">
        <v>165</v>
      </c>
      <c r="AG34">
        <v>0.85</v>
      </c>
      <c r="AH34">
        <v>0.85</v>
      </c>
      <c r="AI34" t="s">
        <v>240</v>
      </c>
      <c r="AJ34" t="s">
        <v>241</v>
      </c>
      <c r="AK34" s="186">
        <v>3.8316669999999999</v>
      </c>
      <c r="AL34" s="186">
        <v>-41.621666699999999</v>
      </c>
      <c r="AM34" s="186">
        <v>3.8316669999999999</v>
      </c>
      <c r="AN34" s="186">
        <v>-41.621666699999999</v>
      </c>
      <c r="AO34" s="187">
        <v>-3292</v>
      </c>
      <c r="AP34" s="187">
        <v>-3292</v>
      </c>
      <c r="AQ34" t="s">
        <v>178</v>
      </c>
      <c r="AR34" t="s">
        <v>168</v>
      </c>
      <c r="AS34" s="173">
        <v>30.88</v>
      </c>
      <c r="AT34" s="174" t="s">
        <v>242</v>
      </c>
      <c r="AU34" s="171">
        <v>4</v>
      </c>
      <c r="AV34" s="171">
        <v>4</v>
      </c>
      <c r="AW34" t="s">
        <v>295</v>
      </c>
      <c r="AX34" t="s">
        <v>243</v>
      </c>
      <c r="AY34" t="s">
        <v>244</v>
      </c>
      <c r="AZ34" t="s">
        <v>165</v>
      </c>
      <c r="BA34" t="s">
        <v>165</v>
      </c>
      <c r="BB34" t="s">
        <v>165</v>
      </c>
      <c r="BC34" t="s">
        <v>165</v>
      </c>
      <c r="BD34" t="s">
        <v>165</v>
      </c>
      <c r="BE34" t="s">
        <v>165</v>
      </c>
      <c r="BF34" t="s">
        <v>165</v>
      </c>
      <c r="BG34" t="s">
        <v>181</v>
      </c>
      <c r="BH34" t="s">
        <v>182</v>
      </c>
      <c r="BI34" t="s">
        <v>245</v>
      </c>
      <c r="BJ34" s="176" t="s">
        <v>184</v>
      </c>
      <c r="BK34" t="s">
        <v>185</v>
      </c>
      <c r="BL34" t="s">
        <v>186</v>
      </c>
      <c r="BM34" t="s">
        <v>187</v>
      </c>
      <c r="BN34" t="s">
        <v>262</v>
      </c>
      <c r="BO34">
        <v>2</v>
      </c>
      <c r="BP34" s="177">
        <v>0.10999999999999943</v>
      </c>
      <c r="BQ34" s="177">
        <v>20.673861970332609</v>
      </c>
      <c r="BR34" t="s">
        <v>189</v>
      </c>
      <c r="BS34">
        <v>0.25</v>
      </c>
      <c r="BT34">
        <v>0.6</v>
      </c>
      <c r="BU34" t="s">
        <v>190</v>
      </c>
      <c r="BV34" s="174">
        <v>0.08</v>
      </c>
      <c r="BW34">
        <v>8.8699999999999992</v>
      </c>
      <c r="BX34" t="s">
        <v>191</v>
      </c>
      <c r="BY34">
        <v>1.52</v>
      </c>
      <c r="BZ34" t="s">
        <v>192</v>
      </c>
      <c r="CA34" t="s">
        <v>193</v>
      </c>
      <c r="CB34" s="188">
        <v>19.640369334996024</v>
      </c>
      <c r="CC34" t="s">
        <v>169</v>
      </c>
      <c r="CD34" s="188">
        <v>0.3655851036690379</v>
      </c>
      <c r="CE34" t="s">
        <v>194</v>
      </c>
      <c r="CF34" t="s">
        <v>195</v>
      </c>
      <c r="CG34">
        <v>10</v>
      </c>
      <c r="CH34" t="s">
        <v>196</v>
      </c>
      <c r="CI34" t="s">
        <v>196</v>
      </c>
      <c r="CJ34" s="178">
        <v>24.884036532005975</v>
      </c>
      <c r="CK34" t="s">
        <v>247</v>
      </c>
      <c r="CL34">
        <v>1</v>
      </c>
      <c r="CM34">
        <v>1</v>
      </c>
      <c r="CN34" s="178">
        <v>3.5679074005446418</v>
      </c>
      <c r="CO34" t="s">
        <v>248</v>
      </c>
      <c r="CP34" t="s">
        <v>169</v>
      </c>
      <c r="CQ34" s="189">
        <v>0.10703722201633925</v>
      </c>
      <c r="CR34" s="189">
        <v>0.10703722201633925</v>
      </c>
      <c r="CS34" s="180" t="s">
        <v>249</v>
      </c>
      <c r="CT34" t="s">
        <v>250</v>
      </c>
      <c r="CU34" t="s">
        <v>165</v>
      </c>
      <c r="CV34" t="s">
        <v>165</v>
      </c>
      <c r="CW34" t="s">
        <v>165</v>
      </c>
      <c r="CX34" t="s">
        <v>165</v>
      </c>
      <c r="CY34" t="s">
        <v>165</v>
      </c>
      <c r="CZ34" t="s">
        <v>165</v>
      </c>
      <c r="DA34" t="s">
        <v>165</v>
      </c>
      <c r="DB34" t="s">
        <v>165</v>
      </c>
      <c r="DC34" t="s">
        <v>165</v>
      </c>
      <c r="DD34" t="s">
        <v>165</v>
      </c>
      <c r="DE34" t="s">
        <v>165</v>
      </c>
      <c r="DF34" t="s">
        <v>165</v>
      </c>
      <c r="DG34" s="178">
        <v>36.280030752976479</v>
      </c>
      <c r="DH34" t="s">
        <v>167</v>
      </c>
      <c r="DI34">
        <v>1</v>
      </c>
      <c r="DJ34" s="180" t="s">
        <v>224</v>
      </c>
      <c r="DK34" t="s">
        <v>200</v>
      </c>
      <c r="DL34" t="s">
        <v>201</v>
      </c>
      <c r="DM34" t="s">
        <v>201</v>
      </c>
      <c r="DN34" t="s">
        <v>201</v>
      </c>
      <c r="DO34" t="s">
        <v>200</v>
      </c>
      <c r="DP34" t="s">
        <v>201</v>
      </c>
      <c r="DQ34" t="s">
        <v>201</v>
      </c>
      <c r="DR34" t="s">
        <v>201</v>
      </c>
      <c r="DS34" t="s">
        <v>200</v>
      </c>
      <c r="DT34" t="s">
        <v>201</v>
      </c>
      <c r="DU34" t="s">
        <v>201</v>
      </c>
      <c r="DV34" t="s">
        <v>201</v>
      </c>
      <c r="DW34" s="175">
        <v>448.3822487139368</v>
      </c>
      <c r="DX34" t="s">
        <v>202</v>
      </c>
      <c r="DY34" s="175">
        <v>12.358926919518865</v>
      </c>
      <c r="DZ34" t="s">
        <v>203</v>
      </c>
      <c r="EA34">
        <v>39.61</v>
      </c>
      <c r="EB34" t="s">
        <v>204</v>
      </c>
      <c r="EC34" t="s">
        <v>165</v>
      </c>
      <c r="ED34" t="s">
        <v>205</v>
      </c>
      <c r="EE34" t="s">
        <v>206</v>
      </c>
      <c r="EF34" t="s">
        <v>207</v>
      </c>
      <c r="EG34">
        <v>1.0271999999999999</v>
      </c>
      <c r="EH34" t="s">
        <v>208</v>
      </c>
      <c r="EI34" t="s">
        <v>208</v>
      </c>
      <c r="EJ34" t="s">
        <v>209</v>
      </c>
      <c r="EK34" t="s">
        <v>208</v>
      </c>
      <c r="EL34" t="s">
        <v>208</v>
      </c>
      <c r="EM34" t="s">
        <v>210</v>
      </c>
      <c r="EN34" t="s">
        <v>211</v>
      </c>
      <c r="EO34" t="s">
        <v>212</v>
      </c>
      <c r="EP34" t="s">
        <v>212</v>
      </c>
      <c r="EQ34" t="s">
        <v>206</v>
      </c>
      <c r="ER34" t="s">
        <v>165</v>
      </c>
      <c r="ES34" t="s">
        <v>165</v>
      </c>
      <c r="ET34" t="s">
        <v>213</v>
      </c>
      <c r="EU34" t="s">
        <v>214</v>
      </c>
      <c r="EV34" t="s">
        <v>215</v>
      </c>
      <c r="EW34" s="184">
        <v>2376.4587402379248</v>
      </c>
      <c r="EX34" t="s">
        <v>216</v>
      </c>
      <c r="EY34">
        <v>100</v>
      </c>
      <c r="EZ34">
        <v>100</v>
      </c>
      <c r="FA34" t="s">
        <v>165</v>
      </c>
      <c r="FB34" t="s">
        <v>165</v>
      </c>
      <c r="FC34" t="s">
        <v>165</v>
      </c>
      <c r="FD34" t="s">
        <v>165</v>
      </c>
      <c r="FE34" s="190">
        <v>8.1815033003602142</v>
      </c>
      <c r="FF34" s="178" t="s">
        <v>170</v>
      </c>
      <c r="FG34" s="188">
        <v>2.4170743858919153E-2</v>
      </c>
      <c r="FH34" s="188">
        <v>2.4170743858919153E-2</v>
      </c>
      <c r="FI34" s="183">
        <v>280.37087002740896</v>
      </c>
      <c r="FJ34" s="178">
        <v>27</v>
      </c>
      <c r="FK34" t="s">
        <v>217</v>
      </c>
      <c r="FL34" s="184">
        <v>253.37087002740898</v>
      </c>
      <c r="FM34">
        <v>29</v>
      </c>
      <c r="FN34">
        <v>29</v>
      </c>
      <c r="FO34" t="s">
        <v>195</v>
      </c>
      <c r="FP34" t="s">
        <v>218</v>
      </c>
      <c r="FQ34" t="s">
        <v>219</v>
      </c>
      <c r="FR34" t="s">
        <v>219</v>
      </c>
      <c r="FS34" t="s">
        <v>219</v>
      </c>
      <c r="FT34" t="s">
        <v>219</v>
      </c>
      <c r="FU34" t="s">
        <v>219</v>
      </c>
      <c r="FV34" t="s">
        <v>219</v>
      </c>
      <c r="FW34" t="s">
        <v>219</v>
      </c>
      <c r="FX34" t="s">
        <v>219</v>
      </c>
      <c r="FY34" t="s">
        <v>219</v>
      </c>
      <c r="FZ34" t="s">
        <v>219</v>
      </c>
      <c r="GA34" t="s">
        <v>219</v>
      </c>
      <c r="GB34" t="s">
        <v>219</v>
      </c>
      <c r="GC34" t="s">
        <v>219</v>
      </c>
    </row>
    <row r="35" spans="1:185" ht="16">
      <c r="A35" s="138"/>
      <c r="B35" s="139"/>
      <c r="C35" s="140"/>
      <c r="Y35" s="141"/>
      <c r="Z35" s="164"/>
      <c r="AA35" s="157"/>
      <c r="AB35" s="142"/>
      <c r="AC35" s="158"/>
      <c r="AD35" s="158"/>
      <c r="AE35" s="158"/>
      <c r="AF35" s="158"/>
      <c r="AG35" s="159"/>
      <c r="AH35" s="157"/>
      <c r="AI35" s="157"/>
      <c r="AJ35" s="143"/>
      <c r="AK35" s="144"/>
      <c r="AL35" s="144"/>
      <c r="AM35" s="142"/>
      <c r="AN35" s="142"/>
      <c r="AO35" s="142"/>
      <c r="AP35" s="142"/>
      <c r="AQ35" s="142"/>
      <c r="AR35" s="143"/>
      <c r="AS35" s="145"/>
      <c r="AT35" s="142"/>
      <c r="AU35" s="142"/>
      <c r="AV35" s="165"/>
      <c r="AW35" s="157"/>
      <c r="AX35" s="165"/>
      <c r="AY35" s="143"/>
      <c r="AZ35" s="165"/>
      <c r="BA35" s="165"/>
      <c r="BB35" s="165"/>
      <c r="BC35" s="165"/>
      <c r="BD35" s="165"/>
      <c r="BE35" s="165"/>
      <c r="BF35" s="165"/>
      <c r="BG35" s="143"/>
      <c r="BH35" s="166"/>
      <c r="BI35" s="141"/>
      <c r="BJ35" s="160"/>
      <c r="BK35" s="141"/>
      <c r="BL35" s="142"/>
      <c r="BM35" s="143"/>
      <c r="BN35" s="157"/>
      <c r="BO35" s="165"/>
      <c r="BP35" s="167"/>
      <c r="BQ35" s="159"/>
      <c r="BR35" s="143"/>
      <c r="BS35" s="161"/>
      <c r="BT35" s="157"/>
      <c r="BU35" s="157"/>
      <c r="BV35" s="157"/>
      <c r="BW35" s="146"/>
      <c r="BX35" s="157"/>
      <c r="BY35" s="142"/>
      <c r="BZ35" s="141"/>
      <c r="CA35" s="143"/>
      <c r="CB35" s="142"/>
      <c r="CC35" s="142"/>
      <c r="CD35" s="142"/>
      <c r="CE35" s="142"/>
      <c r="CF35" s="142"/>
      <c r="CG35" s="142"/>
      <c r="CH35" s="157"/>
      <c r="CI35" s="142"/>
      <c r="CJ35" s="159"/>
      <c r="CK35" s="143"/>
      <c r="CL35" s="147"/>
      <c r="CM35" s="147"/>
      <c r="CN35" s="143"/>
      <c r="CO35" s="138"/>
      <c r="CP35" s="143"/>
      <c r="CQ35" s="148"/>
      <c r="CR35" s="142"/>
      <c r="CS35" s="142"/>
      <c r="CT35" s="142"/>
      <c r="CU35" s="142"/>
      <c r="CV35" s="142"/>
      <c r="CW35" s="142"/>
      <c r="CX35" s="142"/>
      <c r="CY35" s="142"/>
      <c r="CZ35" s="142"/>
      <c r="DA35" s="142"/>
      <c r="DB35" s="142"/>
      <c r="DC35" s="142"/>
      <c r="DD35" s="142"/>
      <c r="DE35" s="142"/>
      <c r="DF35" s="142"/>
      <c r="DG35" s="149"/>
      <c r="DH35" s="143"/>
      <c r="DI35" s="142"/>
      <c r="DJ35" s="143"/>
      <c r="DK35" s="165"/>
      <c r="DL35" s="142"/>
      <c r="DM35" s="142"/>
      <c r="DN35" s="138"/>
      <c r="DO35" s="165"/>
      <c r="DP35" s="142"/>
      <c r="DQ35" s="142"/>
      <c r="DR35" s="143"/>
      <c r="DS35" s="165"/>
      <c r="DT35" s="142"/>
      <c r="DU35" s="142"/>
      <c r="DV35" s="142"/>
      <c r="DW35" s="151"/>
      <c r="DX35" s="142"/>
      <c r="DY35" s="142"/>
      <c r="DZ35" s="143"/>
      <c r="EA35" s="142"/>
      <c r="EB35" s="143"/>
      <c r="EC35" s="142"/>
      <c r="ED35" s="143"/>
      <c r="EE35" s="143"/>
      <c r="EF35" s="152"/>
      <c r="EG35" s="153"/>
      <c r="EH35" s="151"/>
      <c r="EI35" s="151"/>
      <c r="EJ35" s="152"/>
      <c r="EK35" s="154"/>
      <c r="EL35" s="152"/>
      <c r="EM35" s="150"/>
      <c r="EN35" s="142"/>
      <c r="EO35" s="143"/>
      <c r="EP35" s="143"/>
      <c r="EQ35" s="143"/>
      <c r="ER35" s="165"/>
      <c r="ES35" s="165"/>
      <c r="ET35" s="142"/>
      <c r="EU35" s="143"/>
      <c r="EV35" s="138"/>
      <c r="EW35" s="165"/>
      <c r="EX35" s="143"/>
      <c r="EY35" s="165"/>
      <c r="EZ35" s="165"/>
      <c r="FA35" s="165"/>
      <c r="FB35" s="165"/>
      <c r="FC35" s="165"/>
      <c r="FD35" s="165"/>
      <c r="FE35" s="168"/>
      <c r="FF35" s="142"/>
      <c r="FG35" s="162"/>
      <c r="FH35" s="162"/>
      <c r="FI35" s="163"/>
      <c r="FJ35" s="142"/>
      <c r="FK35" s="141"/>
      <c r="FL35" s="156"/>
      <c r="FM35" s="155"/>
      <c r="FN35" s="155"/>
      <c r="FO35" s="143"/>
      <c r="FP35" s="143"/>
      <c r="FQ35" s="142"/>
      <c r="FR35" s="142"/>
      <c r="FS35" s="142"/>
      <c r="FT35" s="142"/>
      <c r="FU35" s="142"/>
      <c r="FV35" s="142"/>
      <c r="FW35" s="142"/>
      <c r="FX35" s="142"/>
      <c r="FY35" s="142"/>
      <c r="FZ35" s="142"/>
      <c r="GA35" s="142"/>
      <c r="GB35" s="142"/>
    </row>
    <row r="36" spans="1:185" ht="16">
      <c r="A36" s="138"/>
      <c r="B36" s="139"/>
      <c r="C36" s="140"/>
      <c r="Y36" s="141"/>
      <c r="Z36" s="164"/>
      <c r="AA36" s="142"/>
      <c r="AB36" s="142"/>
      <c r="AC36" s="158"/>
      <c r="AD36" s="158"/>
      <c r="AE36" s="158"/>
      <c r="AF36" s="158"/>
      <c r="AG36" s="159"/>
      <c r="AH36" s="157"/>
      <c r="AI36" s="157"/>
      <c r="AJ36" s="143"/>
      <c r="AK36" s="144"/>
      <c r="AL36" s="144"/>
      <c r="AM36" s="142"/>
      <c r="AN36" s="142"/>
      <c r="AO36" s="142"/>
      <c r="AP36" s="142"/>
      <c r="AQ36" s="142"/>
      <c r="AR36" s="143"/>
      <c r="AS36" s="145"/>
      <c r="AT36" s="142"/>
      <c r="AU36" s="142"/>
      <c r="AV36" s="165"/>
      <c r="AW36" s="157"/>
      <c r="AX36" s="165"/>
      <c r="AY36" s="143"/>
      <c r="AZ36" s="165"/>
      <c r="BA36" s="165"/>
      <c r="BB36" s="165"/>
      <c r="BC36" s="165"/>
      <c r="BD36" s="165"/>
      <c r="BE36" s="165"/>
      <c r="BF36" s="165"/>
      <c r="BG36" s="143"/>
      <c r="BH36" s="166"/>
      <c r="BI36" s="141"/>
      <c r="BJ36" s="160"/>
      <c r="BK36" s="141"/>
      <c r="BL36" s="142"/>
      <c r="BM36" s="143"/>
      <c r="BN36" s="157"/>
      <c r="BO36" s="165"/>
      <c r="BP36" s="167"/>
      <c r="BQ36" s="159"/>
      <c r="BR36" s="143"/>
      <c r="BS36" s="161"/>
      <c r="BT36" s="157"/>
      <c r="BU36" s="157"/>
      <c r="BV36" s="157"/>
      <c r="BW36" s="146"/>
      <c r="BX36" s="157"/>
      <c r="BY36" s="142"/>
      <c r="BZ36" s="141"/>
      <c r="CA36" s="143"/>
      <c r="CB36" s="142"/>
      <c r="CC36" s="142"/>
      <c r="CD36" s="142"/>
      <c r="CE36" s="142"/>
      <c r="CF36" s="142"/>
      <c r="CG36" s="142"/>
      <c r="CH36" s="157"/>
      <c r="CI36" s="142"/>
      <c r="CJ36" s="159"/>
      <c r="CK36" s="143"/>
      <c r="CL36" s="147"/>
      <c r="CM36" s="147"/>
      <c r="CN36" s="143"/>
      <c r="CO36" s="138"/>
      <c r="CP36" s="143"/>
      <c r="CQ36" s="148"/>
      <c r="CR36" s="142"/>
      <c r="CS36" s="142"/>
      <c r="CT36" s="142"/>
      <c r="CU36" s="142"/>
      <c r="CV36" s="142"/>
      <c r="CW36" s="142"/>
      <c r="CX36" s="142"/>
      <c r="CY36" s="142"/>
      <c r="CZ36" s="142"/>
      <c r="DA36" s="142"/>
      <c r="DB36" s="142"/>
      <c r="DC36" s="142"/>
      <c r="DD36" s="142"/>
      <c r="DE36" s="142"/>
      <c r="DF36" s="142"/>
      <c r="DG36" s="149"/>
      <c r="DH36" s="143"/>
      <c r="DI36" s="142"/>
      <c r="DJ36" s="143"/>
      <c r="DK36" s="165"/>
      <c r="DL36" s="142"/>
      <c r="DM36" s="142"/>
      <c r="DN36" s="138"/>
      <c r="DO36" s="165"/>
      <c r="DP36" s="142"/>
      <c r="DQ36" s="142"/>
      <c r="DR36" s="143"/>
      <c r="DS36" s="165"/>
      <c r="DT36" s="142"/>
      <c r="DU36" s="142"/>
      <c r="DV36" s="142"/>
      <c r="DW36" s="151"/>
      <c r="DX36" s="142"/>
      <c r="DY36" s="142"/>
      <c r="DZ36" s="143"/>
      <c r="EA36" s="142"/>
      <c r="EB36" s="143"/>
      <c r="EC36" s="142"/>
      <c r="ED36" s="143"/>
      <c r="EE36" s="143"/>
      <c r="EF36" s="152"/>
      <c r="EG36" s="153"/>
      <c r="EH36" s="151"/>
      <c r="EI36" s="151"/>
      <c r="EJ36" s="152"/>
      <c r="EK36" s="154"/>
      <c r="EL36" s="152"/>
      <c r="EM36" s="150"/>
      <c r="EN36" s="142"/>
      <c r="EO36" s="143"/>
      <c r="EP36" s="143"/>
      <c r="EQ36" s="143"/>
      <c r="ER36" s="165"/>
      <c r="ES36" s="165"/>
      <c r="ET36" s="142"/>
      <c r="EU36" s="143"/>
      <c r="EV36" s="138"/>
      <c r="EW36" s="165"/>
      <c r="EX36" s="143"/>
      <c r="EY36" s="165"/>
      <c r="EZ36" s="165"/>
      <c r="FA36" s="165"/>
      <c r="FB36" s="165"/>
      <c r="FC36" s="165"/>
      <c r="FD36" s="165"/>
      <c r="FE36" s="168"/>
      <c r="FF36" s="142"/>
      <c r="FG36" s="162"/>
      <c r="FH36" s="162"/>
      <c r="FI36" s="163"/>
      <c r="FJ36" s="142"/>
      <c r="FK36" s="141"/>
      <c r="FL36" s="156"/>
      <c r="FM36" s="155"/>
      <c r="FN36" s="155"/>
      <c r="FO36" s="143"/>
      <c r="FP36" s="143"/>
      <c r="FQ36" s="142"/>
      <c r="FR36" s="142"/>
      <c r="FS36" s="142"/>
      <c r="FT36" s="142"/>
      <c r="FU36" s="142"/>
      <c r="FV36" s="142"/>
      <c r="FW36" s="142"/>
      <c r="FX36" s="142"/>
      <c r="FY36" s="142"/>
      <c r="FZ36" s="142"/>
      <c r="GA36" s="142"/>
      <c r="GB36" s="142"/>
    </row>
    <row r="37" spans="1:185" ht="16">
      <c r="A37" s="138"/>
      <c r="B37" s="139"/>
      <c r="C37" s="140"/>
      <c r="Y37" s="141"/>
      <c r="Z37" s="164"/>
      <c r="AA37" s="157"/>
      <c r="AB37" s="142"/>
      <c r="AC37" s="158"/>
      <c r="AD37" s="158"/>
      <c r="AE37" s="158"/>
      <c r="AF37" s="158"/>
      <c r="AG37" s="159"/>
      <c r="AH37" s="157"/>
      <c r="AI37" s="157"/>
      <c r="AJ37" s="143"/>
      <c r="AK37" s="144"/>
      <c r="AL37" s="144"/>
      <c r="AM37" s="142"/>
      <c r="AN37" s="142"/>
      <c r="AO37" s="142"/>
      <c r="AP37" s="142"/>
      <c r="AQ37" s="142"/>
      <c r="AR37" s="143"/>
      <c r="AS37" s="145"/>
      <c r="AT37" s="142"/>
      <c r="AU37" s="142"/>
      <c r="AV37" s="165"/>
      <c r="AW37" s="157"/>
      <c r="AX37" s="165"/>
      <c r="AY37" s="143"/>
      <c r="AZ37" s="165"/>
      <c r="BA37" s="165"/>
      <c r="BB37" s="165"/>
      <c r="BC37" s="165"/>
      <c r="BD37" s="165"/>
      <c r="BE37" s="165"/>
      <c r="BF37" s="165"/>
      <c r="BG37" s="143"/>
      <c r="BH37" s="166"/>
      <c r="BI37" s="141"/>
      <c r="BJ37" s="160"/>
      <c r="BK37" s="141"/>
      <c r="BL37" s="142"/>
      <c r="BM37" s="143"/>
      <c r="BN37" s="157"/>
      <c r="BO37" s="165"/>
      <c r="BP37" s="167"/>
      <c r="BQ37" s="159"/>
      <c r="BR37" s="143"/>
      <c r="BS37" s="161"/>
      <c r="BT37" s="157"/>
      <c r="BU37" s="157"/>
      <c r="BV37" s="157"/>
      <c r="BW37" s="146"/>
      <c r="BX37" s="157"/>
      <c r="BY37" s="142"/>
      <c r="BZ37" s="141"/>
      <c r="CA37" s="143"/>
      <c r="CB37" s="142"/>
      <c r="CC37" s="142"/>
      <c r="CD37" s="142"/>
      <c r="CE37" s="142"/>
      <c r="CF37" s="142"/>
      <c r="CG37" s="142"/>
      <c r="CH37" s="157"/>
      <c r="CI37" s="142"/>
      <c r="CJ37" s="159"/>
      <c r="CK37" s="143"/>
      <c r="CL37" s="147"/>
      <c r="CM37" s="147"/>
      <c r="CN37" s="143"/>
      <c r="CO37" s="138"/>
      <c r="CP37" s="143"/>
      <c r="CQ37" s="148"/>
      <c r="CR37" s="142"/>
      <c r="CS37" s="142"/>
      <c r="CT37" s="142"/>
      <c r="CU37" s="142"/>
      <c r="CV37" s="142"/>
      <c r="CW37" s="142"/>
      <c r="CX37" s="142"/>
      <c r="CY37" s="142"/>
      <c r="CZ37" s="142"/>
      <c r="DA37" s="142"/>
      <c r="DB37" s="142"/>
      <c r="DC37" s="142"/>
      <c r="DD37" s="142"/>
      <c r="DE37" s="142"/>
      <c r="DF37" s="142"/>
      <c r="DG37" s="149"/>
      <c r="DH37" s="143"/>
      <c r="DI37" s="142"/>
      <c r="DJ37" s="143"/>
      <c r="DK37" s="165"/>
      <c r="DL37" s="142"/>
      <c r="DM37" s="142"/>
      <c r="DN37" s="138"/>
      <c r="DO37" s="165"/>
      <c r="DP37" s="142"/>
      <c r="DQ37" s="142"/>
      <c r="DR37" s="143"/>
      <c r="DS37" s="165"/>
      <c r="DT37" s="142"/>
      <c r="DU37" s="142"/>
      <c r="DV37" s="142"/>
      <c r="DW37" s="151"/>
      <c r="DX37" s="142"/>
      <c r="DY37" s="142"/>
      <c r="DZ37" s="143"/>
      <c r="EA37" s="142"/>
      <c r="EB37" s="143"/>
      <c r="EC37" s="142"/>
      <c r="ED37" s="143"/>
      <c r="EE37" s="143"/>
      <c r="EF37" s="152"/>
      <c r="EG37" s="153"/>
      <c r="EH37" s="151"/>
      <c r="EI37" s="151"/>
      <c r="EJ37" s="152"/>
      <c r="EK37" s="154"/>
      <c r="EL37" s="152"/>
      <c r="EM37" s="150"/>
      <c r="EN37" s="142"/>
      <c r="EO37" s="143"/>
      <c r="EP37" s="143"/>
      <c r="EQ37" s="143"/>
      <c r="ER37" s="165"/>
      <c r="ES37" s="165"/>
      <c r="ET37" s="142"/>
      <c r="EU37" s="143"/>
      <c r="EV37" s="138"/>
      <c r="EW37" s="165"/>
      <c r="EX37" s="143"/>
      <c r="EY37" s="165"/>
      <c r="EZ37" s="165"/>
      <c r="FA37" s="165"/>
      <c r="FB37" s="165"/>
      <c r="FC37" s="165"/>
      <c r="FD37" s="165"/>
      <c r="FE37" s="168"/>
      <c r="FF37" s="142"/>
      <c r="FG37" s="162"/>
      <c r="FH37" s="162"/>
      <c r="FI37" s="163"/>
      <c r="FJ37" s="142"/>
      <c r="FK37" s="141"/>
      <c r="FL37" s="156"/>
      <c r="FM37" s="155"/>
      <c r="FN37" s="155"/>
      <c r="FO37" s="143"/>
      <c r="FP37" s="143"/>
      <c r="FQ37" s="142"/>
      <c r="FR37" s="142"/>
      <c r="FS37" s="142"/>
      <c r="FT37" s="142"/>
      <c r="FU37" s="142"/>
      <c r="FV37" s="142"/>
      <c r="FW37" s="142"/>
      <c r="FX37" s="142"/>
      <c r="FY37" s="142"/>
      <c r="FZ37" s="142"/>
      <c r="GA37" s="142"/>
      <c r="GB37" s="142"/>
    </row>
    <row r="38" spans="1:185" ht="16">
      <c r="A38" s="138"/>
      <c r="B38" s="139"/>
      <c r="C38" s="140"/>
      <c r="Y38" s="141"/>
      <c r="Z38" s="164"/>
      <c r="AA38" s="142"/>
      <c r="AB38" s="142"/>
      <c r="AC38" s="158"/>
      <c r="AD38" s="158"/>
      <c r="AE38" s="158"/>
      <c r="AF38" s="158"/>
      <c r="AG38" s="159"/>
      <c r="AH38" s="157"/>
      <c r="AI38" s="157"/>
      <c r="AJ38" s="143"/>
      <c r="AK38" s="144"/>
      <c r="AL38" s="144"/>
      <c r="AM38" s="142"/>
      <c r="AN38" s="142"/>
      <c r="AO38" s="142"/>
      <c r="AP38" s="142"/>
      <c r="AQ38" s="142"/>
      <c r="AR38" s="143"/>
      <c r="AS38" s="145"/>
      <c r="AT38" s="142"/>
      <c r="AU38" s="142"/>
      <c r="AV38" s="165"/>
      <c r="AW38" s="157"/>
      <c r="AX38" s="165"/>
      <c r="AY38" s="143"/>
      <c r="AZ38" s="165"/>
      <c r="BA38" s="165"/>
      <c r="BB38" s="165"/>
      <c r="BC38" s="165"/>
      <c r="BD38" s="165"/>
      <c r="BE38" s="165"/>
      <c r="BF38" s="165"/>
      <c r="BG38" s="143"/>
      <c r="BH38" s="166"/>
      <c r="BI38" s="141"/>
      <c r="BJ38" s="160"/>
      <c r="BK38" s="141"/>
      <c r="BL38" s="142"/>
      <c r="BM38" s="143"/>
      <c r="BN38" s="157"/>
      <c r="BO38" s="165"/>
      <c r="BP38" s="167"/>
      <c r="BQ38" s="159"/>
      <c r="BR38" s="143"/>
      <c r="BS38" s="161"/>
      <c r="BT38" s="157"/>
      <c r="BU38" s="157"/>
      <c r="BV38" s="157"/>
      <c r="BW38" s="146"/>
      <c r="BX38" s="157"/>
      <c r="BY38" s="142"/>
      <c r="BZ38" s="141"/>
      <c r="CA38" s="143"/>
      <c r="CB38" s="142"/>
      <c r="CC38" s="142"/>
      <c r="CD38" s="142"/>
      <c r="CE38" s="142"/>
      <c r="CF38" s="142"/>
      <c r="CG38" s="142"/>
      <c r="CH38" s="157"/>
      <c r="CI38" s="142"/>
      <c r="CJ38" s="159"/>
      <c r="CK38" s="143"/>
      <c r="CL38" s="147"/>
      <c r="CM38" s="147"/>
      <c r="CN38" s="143"/>
      <c r="CO38" s="138"/>
      <c r="CP38" s="143"/>
      <c r="CQ38" s="148"/>
      <c r="CR38" s="142"/>
      <c r="CS38" s="142"/>
      <c r="CT38" s="142"/>
      <c r="CU38" s="142"/>
      <c r="CV38" s="142"/>
      <c r="CW38" s="142"/>
      <c r="CX38" s="142"/>
      <c r="CY38" s="142"/>
      <c r="CZ38" s="142"/>
      <c r="DA38" s="142"/>
      <c r="DB38" s="142"/>
      <c r="DC38" s="142"/>
      <c r="DD38" s="142"/>
      <c r="DE38" s="142"/>
      <c r="DF38" s="142"/>
      <c r="DG38" s="149"/>
      <c r="DH38" s="143"/>
      <c r="DI38" s="142"/>
      <c r="DJ38" s="143"/>
      <c r="DK38" s="165"/>
      <c r="DL38" s="142"/>
      <c r="DM38" s="142"/>
      <c r="DN38" s="138"/>
      <c r="DO38" s="165"/>
      <c r="DP38" s="142"/>
      <c r="DQ38" s="142"/>
      <c r="DR38" s="143"/>
      <c r="DS38" s="165"/>
      <c r="DT38" s="142"/>
      <c r="DU38" s="142"/>
      <c r="DV38" s="142"/>
      <c r="DW38" s="151"/>
      <c r="DX38" s="142"/>
      <c r="DY38" s="142"/>
      <c r="DZ38" s="143"/>
      <c r="EA38" s="142"/>
      <c r="EB38" s="143"/>
      <c r="EC38" s="142"/>
      <c r="ED38" s="143"/>
      <c r="EE38" s="143"/>
      <c r="EF38" s="152"/>
      <c r="EG38" s="153"/>
      <c r="EH38" s="151"/>
      <c r="EI38" s="151"/>
      <c r="EJ38" s="152"/>
      <c r="EK38" s="154"/>
      <c r="EL38" s="152"/>
      <c r="EM38" s="150"/>
      <c r="EN38" s="142"/>
      <c r="EO38" s="143"/>
      <c r="EP38" s="143"/>
      <c r="EQ38" s="143"/>
      <c r="ER38" s="165"/>
      <c r="ES38" s="165"/>
      <c r="ET38" s="142"/>
      <c r="EU38" s="143"/>
      <c r="EV38" s="138"/>
      <c r="EW38" s="165"/>
      <c r="EX38" s="143"/>
      <c r="EY38" s="165"/>
      <c r="EZ38" s="165"/>
      <c r="FA38" s="165"/>
      <c r="FB38" s="165"/>
      <c r="FC38" s="165"/>
      <c r="FD38" s="165"/>
      <c r="FE38" s="168"/>
      <c r="FF38" s="142"/>
      <c r="FG38" s="162"/>
      <c r="FH38" s="162"/>
      <c r="FI38" s="163"/>
      <c r="FJ38" s="142"/>
      <c r="FK38" s="141"/>
      <c r="FL38" s="156"/>
      <c r="FM38" s="155"/>
      <c r="FN38" s="155"/>
      <c r="FO38" s="143"/>
      <c r="FP38" s="143"/>
      <c r="FQ38" s="142"/>
      <c r="FR38" s="142"/>
      <c r="FS38" s="142"/>
      <c r="FT38" s="142"/>
      <c r="FU38" s="142"/>
      <c r="FV38" s="142"/>
      <c r="FW38" s="142"/>
      <c r="FX38" s="142"/>
      <c r="FY38" s="142"/>
      <c r="FZ38" s="142"/>
      <c r="GA38" s="142"/>
      <c r="GB38" s="142"/>
    </row>
    <row r="39" spans="1:185" ht="16">
      <c r="A39" s="138"/>
      <c r="B39" s="139"/>
      <c r="C39" s="140"/>
      <c r="Y39" s="141"/>
      <c r="Z39" s="164"/>
      <c r="AA39" s="157"/>
      <c r="AB39" s="142"/>
      <c r="AC39" s="158"/>
      <c r="AD39" s="158"/>
      <c r="AE39" s="158"/>
      <c r="AF39" s="158"/>
      <c r="AG39" s="159"/>
      <c r="AH39" s="157"/>
      <c r="AI39" s="157"/>
      <c r="AJ39" s="143"/>
      <c r="AK39" s="144"/>
      <c r="AL39" s="144"/>
      <c r="AM39" s="142"/>
      <c r="AN39" s="142"/>
      <c r="AO39" s="142"/>
      <c r="AP39" s="142"/>
      <c r="AQ39" s="142"/>
      <c r="AR39" s="143"/>
      <c r="AS39" s="145"/>
      <c r="AT39" s="142"/>
      <c r="AU39" s="142"/>
      <c r="AV39" s="165"/>
      <c r="AW39" s="157"/>
      <c r="AX39" s="165"/>
      <c r="AY39" s="143"/>
      <c r="AZ39" s="165"/>
      <c r="BA39" s="165"/>
      <c r="BB39" s="165"/>
      <c r="BC39" s="165"/>
      <c r="BD39" s="165"/>
      <c r="BE39" s="165"/>
      <c r="BF39" s="165"/>
      <c r="BG39" s="143"/>
      <c r="BH39" s="166"/>
      <c r="BI39" s="141"/>
      <c r="BJ39" s="160"/>
      <c r="BK39" s="141"/>
      <c r="BL39" s="142"/>
      <c r="BM39" s="143"/>
      <c r="BN39" s="157"/>
      <c r="BO39" s="165"/>
      <c r="BP39" s="167"/>
      <c r="BQ39" s="159"/>
      <c r="BR39" s="143"/>
      <c r="BS39" s="161"/>
      <c r="BT39" s="157"/>
      <c r="BU39" s="157"/>
      <c r="BV39" s="157"/>
      <c r="BW39" s="146"/>
      <c r="BX39" s="157"/>
      <c r="BY39" s="142"/>
      <c r="BZ39" s="141"/>
      <c r="CA39" s="143"/>
      <c r="CB39" s="142"/>
      <c r="CC39" s="142"/>
      <c r="CD39" s="142"/>
      <c r="CE39" s="142"/>
      <c r="CF39" s="142"/>
      <c r="CG39" s="142"/>
      <c r="CH39" s="157"/>
      <c r="CI39" s="142"/>
      <c r="CJ39" s="159"/>
      <c r="CK39" s="143"/>
      <c r="CL39" s="147"/>
      <c r="CM39" s="147"/>
      <c r="CN39" s="143"/>
      <c r="CO39" s="138"/>
      <c r="CP39" s="143"/>
      <c r="CQ39" s="148"/>
      <c r="CR39" s="142"/>
      <c r="CS39" s="142"/>
      <c r="CT39" s="142"/>
      <c r="CU39" s="142"/>
      <c r="CV39" s="142"/>
      <c r="CW39" s="142"/>
      <c r="CX39" s="142"/>
      <c r="CY39" s="142"/>
      <c r="CZ39" s="142"/>
      <c r="DA39" s="142"/>
      <c r="DB39" s="142"/>
      <c r="DC39" s="142"/>
      <c r="DD39" s="142"/>
      <c r="DE39" s="142"/>
      <c r="DF39" s="142"/>
      <c r="DG39" s="149"/>
      <c r="DH39" s="143"/>
      <c r="DI39" s="142"/>
      <c r="DJ39" s="143"/>
      <c r="DK39" s="165"/>
      <c r="DL39" s="142"/>
      <c r="DM39" s="142"/>
      <c r="DN39" s="138"/>
      <c r="DO39" s="165"/>
      <c r="DP39" s="142"/>
      <c r="DQ39" s="142"/>
      <c r="DR39" s="143"/>
      <c r="DS39" s="165"/>
      <c r="DT39" s="142"/>
      <c r="DU39" s="142"/>
      <c r="DV39" s="142"/>
      <c r="DW39" s="151"/>
      <c r="DX39" s="142"/>
      <c r="DY39" s="142"/>
      <c r="DZ39" s="143"/>
      <c r="EA39" s="142"/>
      <c r="EB39" s="143"/>
      <c r="EC39" s="142"/>
      <c r="ED39" s="143"/>
      <c r="EE39" s="143"/>
      <c r="EF39" s="152"/>
      <c r="EG39" s="153"/>
      <c r="EH39" s="151"/>
      <c r="EI39" s="151"/>
      <c r="EJ39" s="152"/>
      <c r="EK39" s="154"/>
      <c r="EL39" s="152"/>
      <c r="EM39" s="150"/>
      <c r="EN39" s="142"/>
      <c r="EO39" s="143"/>
      <c r="EP39" s="143"/>
      <c r="EQ39" s="143"/>
      <c r="ER39" s="165"/>
      <c r="ES39" s="165"/>
      <c r="ET39" s="142"/>
      <c r="EU39" s="143"/>
      <c r="EV39" s="138"/>
      <c r="EW39" s="165"/>
      <c r="EX39" s="143"/>
      <c r="EY39" s="165"/>
      <c r="EZ39" s="165"/>
      <c r="FA39" s="165"/>
      <c r="FB39" s="165"/>
      <c r="FC39" s="165"/>
      <c r="FD39" s="165"/>
      <c r="FE39" s="168"/>
      <c r="FF39" s="142"/>
      <c r="FG39" s="162"/>
      <c r="FH39" s="162"/>
      <c r="FI39" s="163"/>
      <c r="FJ39" s="142"/>
      <c r="FK39" s="141"/>
      <c r="FL39" s="156"/>
      <c r="FM39" s="155"/>
      <c r="FN39" s="155"/>
      <c r="FO39" s="143"/>
      <c r="FP39" s="143"/>
      <c r="FQ39" s="142"/>
      <c r="FR39" s="142"/>
      <c r="FS39" s="142"/>
      <c r="FT39" s="142"/>
      <c r="FU39" s="142"/>
      <c r="FV39" s="142"/>
      <c r="FW39" s="142"/>
      <c r="FX39" s="142"/>
      <c r="FY39" s="142"/>
      <c r="FZ39" s="142"/>
      <c r="GA39" s="142"/>
      <c r="GB39" s="142"/>
    </row>
    <row r="40" spans="1:185" ht="16">
      <c r="A40" s="138"/>
      <c r="B40" s="139"/>
      <c r="C40" s="140"/>
      <c r="Y40" s="141"/>
      <c r="Z40" s="164"/>
      <c r="AA40" s="142"/>
      <c r="AB40" s="142"/>
      <c r="AC40" s="158"/>
      <c r="AD40" s="158"/>
      <c r="AE40" s="158"/>
      <c r="AF40" s="158"/>
      <c r="AG40" s="159"/>
      <c r="AH40" s="157"/>
      <c r="AI40" s="157"/>
      <c r="AJ40" s="143"/>
      <c r="AK40" s="144"/>
      <c r="AL40" s="144"/>
      <c r="AM40" s="142"/>
      <c r="AN40" s="142"/>
      <c r="AO40" s="142"/>
      <c r="AP40" s="142"/>
      <c r="AQ40" s="142"/>
      <c r="AR40" s="143"/>
      <c r="AS40" s="145"/>
      <c r="AT40" s="142"/>
      <c r="AU40" s="142"/>
      <c r="AV40" s="165"/>
      <c r="AW40" s="157"/>
      <c r="AX40" s="165"/>
      <c r="AY40" s="143"/>
      <c r="AZ40" s="165"/>
      <c r="BA40" s="165"/>
      <c r="BB40" s="165"/>
      <c r="BC40" s="165"/>
      <c r="BD40" s="165"/>
      <c r="BE40" s="165"/>
      <c r="BF40" s="165"/>
      <c r="BG40" s="143"/>
      <c r="BH40" s="166"/>
      <c r="BI40" s="141"/>
      <c r="BJ40" s="160"/>
      <c r="BK40" s="141"/>
      <c r="BL40" s="142"/>
      <c r="BM40" s="143"/>
      <c r="BN40" s="157"/>
      <c r="BO40" s="165"/>
      <c r="BP40" s="167"/>
      <c r="BQ40" s="159"/>
      <c r="BR40" s="143"/>
      <c r="BS40" s="161"/>
      <c r="BT40" s="157"/>
      <c r="BU40" s="157"/>
      <c r="BV40" s="157"/>
      <c r="BW40" s="146"/>
      <c r="BX40" s="157"/>
      <c r="BY40" s="142"/>
      <c r="BZ40" s="141"/>
      <c r="CA40" s="143"/>
      <c r="CB40" s="142"/>
      <c r="CC40" s="142"/>
      <c r="CD40" s="142"/>
      <c r="CE40" s="142"/>
      <c r="CF40" s="142"/>
      <c r="CG40" s="142"/>
      <c r="CH40" s="157"/>
      <c r="CI40" s="142"/>
      <c r="CJ40" s="159"/>
      <c r="CK40" s="143"/>
      <c r="CL40" s="147"/>
      <c r="CM40" s="147"/>
      <c r="CN40" s="143"/>
      <c r="CO40" s="138"/>
      <c r="CP40" s="143"/>
      <c r="CQ40" s="148"/>
      <c r="CR40" s="142"/>
      <c r="CS40" s="142"/>
      <c r="CT40" s="142"/>
      <c r="CU40" s="142"/>
      <c r="CV40" s="142"/>
      <c r="CW40" s="142"/>
      <c r="CX40" s="142"/>
      <c r="CY40" s="142"/>
      <c r="CZ40" s="142"/>
      <c r="DA40" s="142"/>
      <c r="DB40" s="142"/>
      <c r="DC40" s="142"/>
      <c r="DD40" s="142"/>
      <c r="DE40" s="142"/>
      <c r="DF40" s="142"/>
      <c r="DG40" s="149"/>
      <c r="DH40" s="143"/>
      <c r="DI40" s="142"/>
      <c r="DJ40" s="143"/>
      <c r="DK40" s="165"/>
      <c r="DL40" s="142"/>
      <c r="DM40" s="142"/>
      <c r="DN40" s="138"/>
      <c r="DO40" s="165"/>
      <c r="DP40" s="142"/>
      <c r="DQ40" s="142"/>
      <c r="DR40" s="143"/>
      <c r="DS40" s="165"/>
      <c r="DT40" s="142"/>
      <c r="DU40" s="142"/>
      <c r="DV40" s="142"/>
      <c r="DW40" s="151"/>
      <c r="DX40" s="142"/>
      <c r="DY40" s="142"/>
      <c r="DZ40" s="143"/>
      <c r="EA40" s="142"/>
      <c r="EB40" s="143"/>
      <c r="EC40" s="142"/>
      <c r="ED40" s="143"/>
      <c r="EE40" s="143"/>
      <c r="EF40" s="152"/>
      <c r="EG40" s="153"/>
      <c r="EH40" s="151"/>
      <c r="EI40" s="151"/>
      <c r="EJ40" s="152"/>
      <c r="EK40" s="154"/>
      <c r="EL40" s="152"/>
      <c r="EM40" s="150"/>
      <c r="EN40" s="142"/>
      <c r="EO40" s="143"/>
      <c r="EP40" s="143"/>
      <c r="EQ40" s="143"/>
      <c r="ER40" s="165"/>
      <c r="ES40" s="165"/>
      <c r="ET40" s="142"/>
      <c r="EU40" s="143"/>
      <c r="EV40" s="138"/>
      <c r="EW40" s="165"/>
      <c r="EX40" s="143"/>
      <c r="EY40" s="165"/>
      <c r="EZ40" s="165"/>
      <c r="FA40" s="165"/>
      <c r="FB40" s="165"/>
      <c r="FC40" s="165"/>
      <c r="FD40" s="165"/>
      <c r="FE40" s="168"/>
      <c r="FF40" s="142"/>
      <c r="FG40" s="162"/>
      <c r="FH40" s="162"/>
      <c r="FI40" s="163"/>
      <c r="FJ40" s="142"/>
      <c r="FK40" s="141"/>
      <c r="FL40" s="156"/>
      <c r="FM40" s="155"/>
      <c r="FN40" s="155"/>
      <c r="FO40" s="143"/>
      <c r="FP40" s="143"/>
      <c r="FQ40" s="142"/>
      <c r="FR40" s="142"/>
      <c r="FS40" s="142"/>
      <c r="FT40" s="142"/>
      <c r="FU40" s="142"/>
      <c r="FV40" s="142"/>
      <c r="FW40" s="142"/>
      <c r="FX40" s="142"/>
      <c r="FY40" s="142"/>
      <c r="FZ40" s="142"/>
      <c r="GA40" s="142"/>
      <c r="GB40" s="142"/>
    </row>
    <row r="41" spans="1:185" ht="16">
      <c r="A41" s="138"/>
      <c r="B41" s="139"/>
      <c r="C41" s="140"/>
      <c r="Y41" s="141"/>
      <c r="Z41" s="164"/>
      <c r="AA41" s="157"/>
      <c r="AB41" s="142"/>
      <c r="AC41" s="158"/>
      <c r="AD41" s="158"/>
      <c r="AE41" s="158"/>
      <c r="AF41" s="158"/>
      <c r="AG41" s="159"/>
      <c r="AH41" s="157"/>
      <c r="AI41" s="157"/>
      <c r="AJ41" s="143"/>
      <c r="AK41" s="144"/>
      <c r="AL41" s="144"/>
      <c r="AM41" s="142"/>
      <c r="AN41" s="142"/>
      <c r="AO41" s="142"/>
      <c r="AP41" s="142"/>
      <c r="AQ41" s="142"/>
      <c r="AR41" s="143"/>
      <c r="AS41" s="145"/>
      <c r="AT41" s="142"/>
      <c r="AU41" s="142"/>
      <c r="AV41" s="165"/>
      <c r="AW41" s="157"/>
      <c r="AX41" s="165"/>
      <c r="AY41" s="143"/>
      <c r="AZ41" s="165"/>
      <c r="BA41" s="165"/>
      <c r="BB41" s="165"/>
      <c r="BC41" s="165"/>
      <c r="BD41" s="165"/>
      <c r="BE41" s="165"/>
      <c r="BF41" s="165"/>
      <c r="BG41" s="143"/>
      <c r="BH41" s="166"/>
      <c r="BI41" s="141"/>
      <c r="BJ41" s="160"/>
      <c r="BK41" s="141"/>
      <c r="BL41" s="142"/>
      <c r="BM41" s="143"/>
      <c r="BN41" s="157"/>
      <c r="BO41" s="165"/>
      <c r="BP41" s="167"/>
      <c r="BQ41" s="159"/>
      <c r="BR41" s="143"/>
      <c r="BS41" s="161"/>
      <c r="BT41" s="157"/>
      <c r="BU41" s="157"/>
      <c r="BV41" s="157"/>
      <c r="BW41" s="146"/>
      <c r="BX41" s="157"/>
      <c r="BY41" s="142"/>
      <c r="BZ41" s="141"/>
      <c r="CA41" s="143"/>
      <c r="CB41" s="142"/>
      <c r="CC41" s="142"/>
      <c r="CD41" s="142"/>
      <c r="CE41" s="142"/>
      <c r="CF41" s="142"/>
      <c r="CG41" s="142"/>
      <c r="CH41" s="157"/>
      <c r="CI41" s="142"/>
      <c r="CJ41" s="159"/>
      <c r="CK41" s="143"/>
      <c r="CL41" s="147"/>
      <c r="CM41" s="147"/>
      <c r="CN41" s="143"/>
      <c r="CO41" s="138"/>
      <c r="CP41" s="143"/>
      <c r="CQ41" s="148"/>
      <c r="CR41" s="142"/>
      <c r="CS41" s="142"/>
      <c r="CT41" s="142"/>
      <c r="CU41" s="142"/>
      <c r="CV41" s="142"/>
      <c r="CW41" s="142"/>
      <c r="CX41" s="142"/>
      <c r="CY41" s="142"/>
      <c r="CZ41" s="142"/>
      <c r="DA41" s="142"/>
      <c r="DB41" s="142"/>
      <c r="DC41" s="142"/>
      <c r="DD41" s="142"/>
      <c r="DE41" s="142"/>
      <c r="DF41" s="142"/>
      <c r="DG41" s="149"/>
      <c r="DH41" s="143"/>
      <c r="DI41" s="142"/>
      <c r="DJ41" s="143"/>
      <c r="DK41" s="165"/>
      <c r="DL41" s="142"/>
      <c r="DM41" s="142"/>
      <c r="DN41" s="138"/>
      <c r="DO41" s="165"/>
      <c r="DP41" s="142"/>
      <c r="DQ41" s="142"/>
      <c r="DR41" s="143"/>
      <c r="DS41" s="165"/>
      <c r="DT41" s="142"/>
      <c r="DU41" s="142"/>
      <c r="DV41" s="142"/>
      <c r="DW41" s="151"/>
      <c r="DX41" s="142"/>
      <c r="DY41" s="142"/>
      <c r="DZ41" s="143"/>
      <c r="EA41" s="142"/>
      <c r="EB41" s="143"/>
      <c r="EC41" s="142"/>
      <c r="ED41" s="143"/>
      <c r="EE41" s="143"/>
      <c r="EF41" s="152"/>
      <c r="EG41" s="153"/>
      <c r="EH41" s="151"/>
      <c r="EI41" s="151"/>
      <c r="EJ41" s="152"/>
      <c r="EK41" s="154"/>
      <c r="EL41" s="152"/>
      <c r="EM41" s="150"/>
      <c r="EN41" s="142"/>
      <c r="EO41" s="143"/>
      <c r="EP41" s="143"/>
      <c r="EQ41" s="143"/>
      <c r="ER41" s="165"/>
      <c r="ES41" s="165"/>
      <c r="ET41" s="142"/>
      <c r="EU41" s="143"/>
      <c r="EV41" s="138"/>
      <c r="EW41" s="165"/>
      <c r="EX41" s="143"/>
      <c r="EY41" s="165"/>
      <c r="EZ41" s="165"/>
      <c r="FA41" s="165"/>
      <c r="FB41" s="165"/>
      <c r="FC41" s="165"/>
      <c r="FD41" s="165"/>
      <c r="FE41" s="168"/>
      <c r="FF41" s="142"/>
      <c r="FG41" s="162"/>
      <c r="FH41" s="162"/>
      <c r="FI41" s="163"/>
      <c r="FJ41" s="142"/>
      <c r="FK41" s="141"/>
      <c r="FL41" s="156"/>
      <c r="FM41" s="155"/>
      <c r="FN41" s="155"/>
      <c r="FO41" s="143"/>
      <c r="FP41" s="143"/>
      <c r="FQ41" s="142"/>
      <c r="FR41" s="142"/>
      <c r="FS41" s="142"/>
      <c r="FT41" s="142"/>
      <c r="FU41" s="142"/>
      <c r="FV41" s="142"/>
      <c r="FW41" s="142"/>
      <c r="FX41" s="142"/>
      <c r="FY41" s="142"/>
      <c r="FZ41" s="142"/>
      <c r="GA41" s="142"/>
      <c r="GB41" s="142"/>
    </row>
    <row r="42" spans="1:185" ht="16">
      <c r="A42" s="138"/>
      <c r="B42" s="139"/>
      <c r="C42" s="140"/>
      <c r="Y42" s="141"/>
      <c r="Z42" s="164"/>
      <c r="AA42" s="142"/>
      <c r="AB42" s="142"/>
      <c r="AC42" s="158"/>
      <c r="AD42" s="158"/>
      <c r="AE42" s="158"/>
      <c r="AF42" s="158"/>
      <c r="AG42" s="159"/>
      <c r="AH42" s="157"/>
      <c r="AI42" s="157"/>
      <c r="AJ42" s="143"/>
      <c r="AK42" s="144"/>
      <c r="AL42" s="144"/>
      <c r="AM42" s="142"/>
      <c r="AN42" s="142"/>
      <c r="AO42" s="142"/>
      <c r="AP42" s="142"/>
      <c r="AQ42" s="142"/>
      <c r="AR42" s="143"/>
      <c r="AS42" s="145"/>
      <c r="AT42" s="142"/>
      <c r="AU42" s="142"/>
      <c r="AV42" s="165"/>
      <c r="AW42" s="157"/>
      <c r="AX42" s="165"/>
      <c r="AY42" s="143"/>
      <c r="AZ42" s="165"/>
      <c r="BA42" s="165"/>
      <c r="BB42" s="165"/>
      <c r="BC42" s="165"/>
      <c r="BD42" s="165"/>
      <c r="BE42" s="165"/>
      <c r="BF42" s="165"/>
      <c r="BG42" s="143"/>
      <c r="BH42" s="166"/>
      <c r="BI42" s="141"/>
      <c r="BJ42" s="160"/>
      <c r="BK42" s="141"/>
      <c r="BL42" s="142"/>
      <c r="BM42" s="143"/>
      <c r="BN42" s="157"/>
      <c r="BO42" s="165"/>
      <c r="BP42" s="167"/>
      <c r="BQ42" s="159"/>
      <c r="BR42" s="143"/>
      <c r="BS42" s="161"/>
      <c r="BT42" s="157"/>
      <c r="BU42" s="157"/>
      <c r="BV42" s="157"/>
      <c r="BW42" s="146"/>
      <c r="BX42" s="157"/>
      <c r="BY42" s="142"/>
      <c r="BZ42" s="141"/>
      <c r="CA42" s="143"/>
      <c r="CB42" s="142"/>
      <c r="CC42" s="142"/>
      <c r="CD42" s="142"/>
      <c r="CE42" s="142"/>
      <c r="CF42" s="142"/>
      <c r="CG42" s="142"/>
      <c r="CH42" s="157"/>
      <c r="CI42" s="142"/>
      <c r="CJ42" s="159"/>
      <c r="CK42" s="143"/>
      <c r="CL42" s="147"/>
      <c r="CM42" s="147"/>
      <c r="CN42" s="143"/>
      <c r="CO42" s="138"/>
      <c r="CP42" s="143"/>
      <c r="CQ42" s="148"/>
      <c r="CR42" s="142"/>
      <c r="CS42" s="142"/>
      <c r="CT42" s="142"/>
      <c r="CU42" s="142"/>
      <c r="CV42" s="142"/>
      <c r="CW42" s="142"/>
      <c r="CX42" s="142"/>
      <c r="CY42" s="142"/>
      <c r="CZ42" s="142"/>
      <c r="DA42" s="142"/>
      <c r="DB42" s="142"/>
      <c r="DC42" s="142"/>
      <c r="DD42" s="142"/>
      <c r="DE42" s="142"/>
      <c r="DF42" s="142"/>
      <c r="DG42" s="149"/>
      <c r="DH42" s="143"/>
      <c r="DI42" s="142"/>
      <c r="DJ42" s="143"/>
      <c r="DK42" s="165"/>
      <c r="DL42" s="142"/>
      <c r="DM42" s="142"/>
      <c r="DN42" s="138"/>
      <c r="DO42" s="165"/>
      <c r="DP42" s="142"/>
      <c r="DQ42" s="142"/>
      <c r="DR42" s="143"/>
      <c r="DS42" s="165"/>
      <c r="DT42" s="142"/>
      <c r="DU42" s="142"/>
      <c r="DV42" s="142"/>
      <c r="DW42" s="151"/>
      <c r="DX42" s="142"/>
      <c r="DY42" s="142"/>
      <c r="DZ42" s="143"/>
      <c r="EA42" s="142"/>
      <c r="EB42" s="143"/>
      <c r="EC42" s="142"/>
      <c r="ED42" s="143"/>
      <c r="EE42" s="143"/>
      <c r="EF42" s="152"/>
      <c r="EG42" s="153"/>
      <c r="EH42" s="151"/>
      <c r="EI42" s="151"/>
      <c r="EJ42" s="152"/>
      <c r="EK42" s="154"/>
      <c r="EL42" s="152"/>
      <c r="EM42" s="150"/>
      <c r="EN42" s="142"/>
      <c r="EO42" s="143"/>
      <c r="EP42" s="143"/>
      <c r="EQ42" s="143"/>
      <c r="ER42" s="165"/>
      <c r="ES42" s="165"/>
      <c r="ET42" s="142"/>
      <c r="EU42" s="143"/>
      <c r="EV42" s="138"/>
      <c r="EW42" s="165"/>
      <c r="EX42" s="143"/>
      <c r="EY42" s="165"/>
      <c r="EZ42" s="165"/>
      <c r="FA42" s="165"/>
      <c r="FB42" s="165"/>
      <c r="FC42" s="165"/>
      <c r="FD42" s="165"/>
      <c r="FE42" s="168"/>
      <c r="FF42" s="142"/>
      <c r="FG42" s="162"/>
      <c r="FH42" s="162"/>
      <c r="FI42" s="163"/>
      <c r="FJ42" s="142"/>
      <c r="FK42" s="141"/>
      <c r="FL42" s="156"/>
      <c r="FM42" s="155"/>
      <c r="FN42" s="155"/>
      <c r="FO42" s="143"/>
      <c r="FP42" s="143"/>
      <c r="FQ42" s="142"/>
      <c r="FR42" s="142"/>
      <c r="FS42" s="142"/>
      <c r="FT42" s="142"/>
      <c r="FU42" s="142"/>
      <c r="FV42" s="142"/>
      <c r="FW42" s="142"/>
      <c r="FX42" s="142"/>
      <c r="FY42" s="142"/>
      <c r="FZ42" s="142"/>
      <c r="GA42" s="142"/>
      <c r="GB42" s="142"/>
    </row>
    <row r="43" spans="1:185" ht="16">
      <c r="A43" s="138"/>
      <c r="B43" s="139"/>
      <c r="C43" s="140"/>
      <c r="Y43" s="141"/>
      <c r="Z43" s="164"/>
      <c r="AA43" s="157"/>
      <c r="AB43" s="142"/>
      <c r="AC43" s="158"/>
      <c r="AD43" s="158"/>
      <c r="AE43" s="158"/>
      <c r="AF43" s="158"/>
      <c r="AG43" s="159"/>
      <c r="AH43" s="157"/>
      <c r="AI43" s="157"/>
      <c r="AJ43" s="143"/>
      <c r="AK43" s="144"/>
      <c r="AL43" s="144"/>
      <c r="AM43" s="142"/>
      <c r="AN43" s="142"/>
      <c r="AO43" s="142"/>
      <c r="AP43" s="142"/>
      <c r="AQ43" s="142"/>
      <c r="AR43" s="143"/>
      <c r="AS43" s="145"/>
      <c r="AT43" s="142"/>
      <c r="AU43" s="142"/>
      <c r="AV43" s="165"/>
      <c r="AW43" s="157"/>
      <c r="AX43" s="165"/>
      <c r="AY43" s="143"/>
      <c r="AZ43" s="165"/>
      <c r="BA43" s="165"/>
      <c r="BB43" s="165"/>
      <c r="BC43" s="165"/>
      <c r="BD43" s="165"/>
      <c r="BE43" s="165"/>
      <c r="BF43" s="165"/>
      <c r="BG43" s="143"/>
      <c r="BH43" s="166"/>
      <c r="BI43" s="141"/>
      <c r="BJ43" s="160"/>
      <c r="BK43" s="141"/>
      <c r="BL43" s="142"/>
      <c r="BM43" s="143"/>
      <c r="BN43" s="157"/>
      <c r="BO43" s="165"/>
      <c r="BP43" s="167"/>
      <c r="BQ43" s="159"/>
      <c r="BR43" s="143"/>
      <c r="BS43" s="161"/>
      <c r="BT43" s="157"/>
      <c r="BU43" s="157"/>
      <c r="BV43" s="157"/>
      <c r="BW43" s="146"/>
      <c r="BX43" s="157"/>
      <c r="BY43" s="142"/>
      <c r="BZ43" s="141"/>
      <c r="CA43" s="143"/>
      <c r="CB43" s="142"/>
      <c r="CC43" s="142"/>
      <c r="CD43" s="142"/>
      <c r="CE43" s="142"/>
      <c r="CF43" s="142"/>
      <c r="CG43" s="142"/>
      <c r="CH43" s="157"/>
      <c r="CI43" s="142"/>
      <c r="CJ43" s="159"/>
      <c r="CK43" s="143"/>
      <c r="CL43" s="147"/>
      <c r="CM43" s="147"/>
      <c r="CN43" s="143"/>
      <c r="CO43" s="138"/>
      <c r="CP43" s="143"/>
      <c r="CQ43" s="148"/>
      <c r="CR43" s="142"/>
      <c r="CS43" s="142"/>
      <c r="CT43" s="142"/>
      <c r="CU43" s="142"/>
      <c r="CV43" s="142"/>
      <c r="CW43" s="142"/>
      <c r="CX43" s="142"/>
      <c r="CY43" s="142"/>
      <c r="CZ43" s="142"/>
      <c r="DA43" s="142"/>
      <c r="DB43" s="142"/>
      <c r="DC43" s="142"/>
      <c r="DD43" s="142"/>
      <c r="DE43" s="142"/>
      <c r="DF43" s="142"/>
      <c r="DG43" s="149"/>
      <c r="DH43" s="143"/>
      <c r="DI43" s="142"/>
      <c r="DJ43" s="143"/>
      <c r="DK43" s="165"/>
      <c r="DL43" s="142"/>
      <c r="DM43" s="142"/>
      <c r="DN43" s="138"/>
      <c r="DO43" s="165"/>
      <c r="DP43" s="142"/>
      <c r="DQ43" s="142"/>
      <c r="DR43" s="143"/>
      <c r="DS43" s="165"/>
      <c r="DT43" s="142"/>
      <c r="DU43" s="142"/>
      <c r="DV43" s="142"/>
      <c r="DW43" s="151"/>
      <c r="DX43" s="142"/>
      <c r="DY43" s="142"/>
      <c r="DZ43" s="143"/>
      <c r="EA43" s="142"/>
      <c r="EB43" s="143"/>
      <c r="EC43" s="142"/>
      <c r="ED43" s="143"/>
      <c r="EE43" s="143"/>
      <c r="EF43" s="152"/>
      <c r="EG43" s="153"/>
      <c r="EH43" s="151"/>
      <c r="EI43" s="151"/>
      <c r="EJ43" s="152"/>
      <c r="EK43" s="154"/>
      <c r="EL43" s="152"/>
      <c r="EM43" s="150"/>
      <c r="EN43" s="142"/>
      <c r="EO43" s="143"/>
      <c r="EP43" s="143"/>
      <c r="EQ43" s="143"/>
      <c r="ER43" s="165"/>
      <c r="ES43" s="165"/>
      <c r="ET43" s="142"/>
      <c r="EU43" s="143"/>
      <c r="EV43" s="138"/>
      <c r="EW43" s="165"/>
      <c r="EX43" s="143"/>
      <c r="EY43" s="165"/>
      <c r="EZ43" s="165"/>
      <c r="FA43" s="165"/>
      <c r="FB43" s="165"/>
      <c r="FC43" s="165"/>
      <c r="FD43" s="165"/>
      <c r="FE43" s="168"/>
      <c r="FF43" s="142"/>
      <c r="FG43" s="162"/>
      <c r="FH43" s="162"/>
      <c r="FI43" s="163"/>
      <c r="FJ43" s="142"/>
      <c r="FK43" s="141"/>
      <c r="FL43" s="156"/>
      <c r="FM43" s="155"/>
      <c r="FN43" s="155"/>
      <c r="FO43" s="143"/>
      <c r="FP43" s="143"/>
      <c r="FQ43" s="142"/>
      <c r="FR43" s="142"/>
      <c r="FS43" s="142"/>
      <c r="FT43" s="142"/>
      <c r="FU43" s="142"/>
      <c r="FV43" s="142"/>
      <c r="FW43" s="142"/>
      <c r="FX43" s="142"/>
      <c r="FY43" s="142"/>
      <c r="FZ43" s="142"/>
      <c r="GA43" s="142"/>
      <c r="GB43" s="142"/>
    </row>
    <row r="44" spans="1:185" ht="16">
      <c r="A44" s="138"/>
      <c r="B44" s="139"/>
      <c r="C44" s="140"/>
      <c r="Y44" s="141"/>
      <c r="Z44" s="164"/>
      <c r="AA44" s="142"/>
      <c r="AB44" s="142"/>
      <c r="AC44" s="158"/>
      <c r="AD44" s="158"/>
      <c r="AE44" s="158"/>
      <c r="AF44" s="158"/>
      <c r="AG44" s="159"/>
      <c r="AH44" s="157"/>
      <c r="AI44" s="157"/>
      <c r="AJ44" s="143"/>
      <c r="AK44" s="144"/>
      <c r="AL44" s="144"/>
      <c r="AM44" s="142"/>
      <c r="AN44" s="142"/>
      <c r="AO44" s="142"/>
      <c r="AP44" s="142"/>
      <c r="AQ44" s="142"/>
      <c r="AR44" s="143"/>
      <c r="AS44" s="145"/>
      <c r="AT44" s="142"/>
      <c r="AU44" s="142"/>
      <c r="AV44" s="165"/>
      <c r="AW44" s="157"/>
      <c r="AX44" s="165"/>
      <c r="AY44" s="143"/>
      <c r="AZ44" s="165"/>
      <c r="BA44" s="165"/>
      <c r="BB44" s="165"/>
      <c r="BC44" s="165"/>
      <c r="BD44" s="165"/>
      <c r="BE44" s="165"/>
      <c r="BF44" s="165"/>
      <c r="BG44" s="143"/>
      <c r="BH44" s="166"/>
      <c r="BI44" s="141"/>
      <c r="BJ44" s="160"/>
      <c r="BK44" s="141"/>
      <c r="BL44" s="142"/>
      <c r="BM44" s="143"/>
      <c r="BN44" s="157"/>
      <c r="BO44" s="165"/>
      <c r="BP44" s="167"/>
      <c r="BQ44" s="159"/>
      <c r="BR44" s="143"/>
      <c r="BS44" s="161"/>
      <c r="BT44" s="157"/>
      <c r="BU44" s="157"/>
      <c r="BV44" s="157"/>
      <c r="BW44" s="146"/>
      <c r="BX44" s="157"/>
      <c r="BY44" s="142"/>
      <c r="BZ44" s="141"/>
      <c r="CA44" s="143"/>
      <c r="CB44" s="142"/>
      <c r="CC44" s="142"/>
      <c r="CD44" s="142"/>
      <c r="CE44" s="142"/>
      <c r="CF44" s="142"/>
      <c r="CG44" s="142"/>
      <c r="CH44" s="157"/>
      <c r="CI44" s="142"/>
      <c r="CJ44" s="159"/>
      <c r="CK44" s="143"/>
      <c r="CL44" s="147"/>
      <c r="CM44" s="147"/>
      <c r="CN44" s="143"/>
      <c r="CO44" s="138"/>
      <c r="CP44" s="143"/>
      <c r="CQ44" s="148"/>
      <c r="CR44" s="142"/>
      <c r="CS44" s="142"/>
      <c r="CT44" s="142"/>
      <c r="CU44" s="142"/>
      <c r="CV44" s="142"/>
      <c r="CW44" s="142"/>
      <c r="CX44" s="142"/>
      <c r="CY44" s="142"/>
      <c r="CZ44" s="142"/>
      <c r="DA44" s="142"/>
      <c r="DB44" s="142"/>
      <c r="DC44" s="142"/>
      <c r="DD44" s="142"/>
      <c r="DE44" s="142"/>
      <c r="DF44" s="142"/>
      <c r="DG44" s="149"/>
      <c r="DH44" s="143"/>
      <c r="DI44" s="142"/>
      <c r="DJ44" s="143"/>
      <c r="DK44" s="165"/>
      <c r="DL44" s="142"/>
      <c r="DM44" s="142"/>
      <c r="DN44" s="138"/>
      <c r="DO44" s="165"/>
      <c r="DP44" s="142"/>
      <c r="DQ44" s="142"/>
      <c r="DR44" s="143"/>
      <c r="DS44" s="165"/>
      <c r="DT44" s="142"/>
      <c r="DU44" s="142"/>
      <c r="DV44" s="142"/>
      <c r="DW44" s="151"/>
      <c r="DX44" s="142"/>
      <c r="DY44" s="142"/>
      <c r="DZ44" s="143"/>
      <c r="EA44" s="142"/>
      <c r="EB44" s="143"/>
      <c r="EC44" s="142"/>
      <c r="ED44" s="143"/>
      <c r="EE44" s="143"/>
      <c r="EF44" s="152"/>
      <c r="EG44" s="153"/>
      <c r="EH44" s="151"/>
      <c r="EI44" s="151"/>
      <c r="EJ44" s="152"/>
      <c r="EK44" s="154"/>
      <c r="EL44" s="152"/>
      <c r="EM44" s="150"/>
      <c r="EN44" s="142"/>
      <c r="EO44" s="143"/>
      <c r="EP44" s="143"/>
      <c r="EQ44" s="143"/>
      <c r="ER44" s="165"/>
      <c r="ES44" s="165"/>
      <c r="ET44" s="142"/>
      <c r="EU44" s="143"/>
      <c r="EV44" s="138"/>
      <c r="EW44" s="165"/>
      <c r="EX44" s="143"/>
      <c r="EY44" s="165"/>
      <c r="EZ44" s="165"/>
      <c r="FA44" s="165"/>
      <c r="FB44" s="165"/>
      <c r="FC44" s="165"/>
      <c r="FD44" s="165"/>
      <c r="FE44" s="168"/>
      <c r="FF44" s="142"/>
      <c r="FG44" s="162"/>
      <c r="FH44" s="162"/>
      <c r="FI44" s="163"/>
      <c r="FJ44" s="142"/>
      <c r="FK44" s="141"/>
      <c r="FL44" s="156"/>
      <c r="FM44" s="155"/>
      <c r="FN44" s="155"/>
      <c r="FO44" s="143"/>
      <c r="FP44" s="143"/>
      <c r="FQ44" s="142"/>
      <c r="FR44" s="142"/>
      <c r="FS44" s="142"/>
      <c r="FT44" s="142"/>
      <c r="FU44" s="142"/>
      <c r="FV44" s="142"/>
      <c r="FW44" s="142"/>
      <c r="FX44" s="142"/>
      <c r="FY44" s="142"/>
      <c r="FZ44" s="142"/>
      <c r="GA44" s="142"/>
      <c r="GB44" s="142"/>
    </row>
    <row r="45" spans="1:185" ht="16">
      <c r="A45" s="138"/>
      <c r="B45" s="139"/>
      <c r="C45" s="140"/>
      <c r="Y45" s="141"/>
      <c r="Z45" s="164"/>
      <c r="AA45" s="157"/>
      <c r="AB45" s="142"/>
      <c r="AC45" s="158"/>
      <c r="AD45" s="158"/>
      <c r="AE45" s="158"/>
      <c r="AF45" s="158"/>
      <c r="AG45" s="159"/>
      <c r="AH45" s="157"/>
      <c r="AI45" s="157"/>
      <c r="AJ45" s="143"/>
      <c r="AK45" s="144"/>
      <c r="AL45" s="144"/>
      <c r="AM45" s="142"/>
      <c r="AN45" s="142"/>
      <c r="AO45" s="142"/>
      <c r="AP45" s="142"/>
      <c r="AQ45" s="142"/>
      <c r="AR45" s="143"/>
      <c r="AS45" s="145"/>
      <c r="AT45" s="142"/>
      <c r="AU45" s="142"/>
      <c r="AV45" s="165"/>
      <c r="AW45" s="157"/>
      <c r="AX45" s="165"/>
      <c r="AY45" s="143"/>
      <c r="AZ45" s="165"/>
      <c r="BA45" s="165"/>
      <c r="BB45" s="165"/>
      <c r="BC45" s="165"/>
      <c r="BD45" s="165"/>
      <c r="BE45" s="165"/>
      <c r="BF45" s="165"/>
      <c r="BG45" s="143"/>
      <c r="BH45" s="166"/>
      <c r="BI45" s="141"/>
      <c r="BJ45" s="160"/>
      <c r="BK45" s="141"/>
      <c r="BL45" s="142"/>
      <c r="BM45" s="143"/>
      <c r="BN45" s="157"/>
      <c r="BO45" s="165"/>
      <c r="BP45" s="167"/>
      <c r="BQ45" s="159"/>
      <c r="BR45" s="143"/>
      <c r="BS45" s="161"/>
      <c r="BT45" s="157"/>
      <c r="BU45" s="157"/>
      <c r="BV45" s="157"/>
      <c r="BW45" s="146"/>
      <c r="BX45" s="157"/>
      <c r="BY45" s="142"/>
      <c r="BZ45" s="141"/>
      <c r="CA45" s="143"/>
      <c r="CB45" s="142"/>
      <c r="CC45" s="142"/>
      <c r="CD45" s="142"/>
      <c r="CE45" s="142"/>
      <c r="CF45" s="142"/>
      <c r="CG45" s="142"/>
      <c r="CH45" s="157"/>
      <c r="CI45" s="142"/>
      <c r="CJ45" s="159"/>
      <c r="CK45" s="143"/>
      <c r="CL45" s="147"/>
      <c r="CM45" s="147"/>
      <c r="CN45" s="143"/>
      <c r="CO45" s="138"/>
      <c r="CP45" s="143"/>
      <c r="CQ45" s="148"/>
      <c r="CR45" s="142"/>
      <c r="CS45" s="142"/>
      <c r="CT45" s="142"/>
      <c r="CU45" s="142"/>
      <c r="CV45" s="142"/>
      <c r="CW45" s="142"/>
      <c r="CX45" s="142"/>
      <c r="CY45" s="142"/>
      <c r="CZ45" s="142"/>
      <c r="DA45" s="142"/>
      <c r="DB45" s="142"/>
      <c r="DC45" s="142"/>
      <c r="DD45" s="142"/>
      <c r="DE45" s="142"/>
      <c r="DF45" s="142"/>
      <c r="DG45" s="149"/>
      <c r="DH45" s="143"/>
      <c r="DI45" s="142"/>
      <c r="DJ45" s="143"/>
      <c r="DK45" s="165"/>
      <c r="DL45" s="142"/>
      <c r="DM45" s="142"/>
      <c r="DN45" s="138"/>
      <c r="DO45" s="165"/>
      <c r="DP45" s="142"/>
      <c r="DQ45" s="142"/>
      <c r="DR45" s="143"/>
      <c r="DS45" s="165"/>
      <c r="DT45" s="142"/>
      <c r="DU45" s="142"/>
      <c r="DV45" s="142"/>
      <c r="DW45" s="151"/>
      <c r="DX45" s="142"/>
      <c r="DY45" s="142"/>
      <c r="DZ45" s="143"/>
      <c r="EA45" s="142"/>
      <c r="EB45" s="143"/>
      <c r="EC45" s="142"/>
      <c r="ED45" s="143"/>
      <c r="EE45" s="143"/>
      <c r="EF45" s="152"/>
      <c r="EG45" s="153"/>
      <c r="EH45" s="151"/>
      <c r="EI45" s="151"/>
      <c r="EJ45" s="152"/>
      <c r="EK45" s="154"/>
      <c r="EL45" s="152"/>
      <c r="EM45" s="150"/>
      <c r="EN45" s="142"/>
      <c r="EO45" s="143"/>
      <c r="EP45" s="143"/>
      <c r="EQ45" s="143"/>
      <c r="ER45" s="165"/>
      <c r="ES45" s="165"/>
      <c r="ET45" s="142"/>
      <c r="EU45" s="143"/>
      <c r="EV45" s="138"/>
      <c r="EW45" s="165"/>
      <c r="EX45" s="143"/>
      <c r="EY45" s="165"/>
      <c r="EZ45" s="165"/>
      <c r="FA45" s="165"/>
      <c r="FB45" s="165"/>
      <c r="FC45" s="165"/>
      <c r="FD45" s="165"/>
      <c r="FE45" s="168"/>
      <c r="FF45" s="142"/>
      <c r="FG45" s="162"/>
      <c r="FH45" s="162"/>
      <c r="FI45" s="163"/>
      <c r="FJ45" s="142"/>
      <c r="FK45" s="141"/>
      <c r="FL45" s="156"/>
      <c r="FM45" s="155"/>
      <c r="FN45" s="155"/>
      <c r="FO45" s="143"/>
      <c r="FP45" s="143"/>
      <c r="FQ45" s="142"/>
      <c r="FR45" s="142"/>
      <c r="FS45" s="142"/>
      <c r="FT45" s="142"/>
      <c r="FU45" s="142"/>
      <c r="FV45" s="142"/>
      <c r="FW45" s="142"/>
      <c r="FX45" s="142"/>
      <c r="FY45" s="142"/>
      <c r="FZ45" s="142"/>
      <c r="GA45" s="142"/>
      <c r="GB45" s="142"/>
    </row>
  </sheetData>
  <mergeCells count="1">
    <mergeCell ref="S2:W2"/>
  </mergeCells>
  <hyperlinks>
    <hyperlink ref="B4" r:id="rId1" xr:uid="{48182090-2710-254A-868C-12DCD27FBD59}"/>
    <hyperlink ref="B5" r:id="rId2" xr:uid="{F2B6264C-7F12-4F43-A0E1-70F6C0B2BFF5}"/>
    <hyperlink ref="B6" r:id="rId3" xr:uid="{E070BA38-4654-7549-BD78-AB1A56646CF3}"/>
    <hyperlink ref="B7" r:id="rId4" xr:uid="{0E0C0276-EF07-144C-8708-22373AE5749C}"/>
    <hyperlink ref="B9" r:id="rId5" xr:uid="{238F7176-BDA4-004F-9DC5-154BA98A3CD9}"/>
    <hyperlink ref="B11" r:id="rId6" xr:uid="{4CA5ACDC-0735-C745-90B5-27CB4F181781}"/>
    <hyperlink ref="B13" r:id="rId7" xr:uid="{626436CB-38D9-DA47-A7BD-F28B83AB0F3B}"/>
    <hyperlink ref="B15" r:id="rId8" xr:uid="{282C54D7-CC8F-D949-9FC3-A6FFFBF522D1}"/>
    <hyperlink ref="B17" r:id="rId9" xr:uid="{EB2B2AD3-1301-8C41-8A85-F29826AF2E8E}"/>
    <hyperlink ref="B19" r:id="rId10" xr:uid="{DFBC69ED-512A-1B41-BF6B-B9D5F2EF3441}"/>
    <hyperlink ref="B21" r:id="rId11" xr:uid="{D45BAA03-34C5-3E4F-AAF5-9E52BFB2C58D}"/>
    <hyperlink ref="B23" r:id="rId12" xr:uid="{C61B649F-9448-BE49-BFF8-57B73CE56BE3}"/>
    <hyperlink ref="B25" r:id="rId13" xr:uid="{423C41F9-1C74-744C-A1FD-0DECE05EEEAB}"/>
    <hyperlink ref="B27" r:id="rId14" xr:uid="{6EA23179-0369-B740-B728-573E6C383EF5}"/>
    <hyperlink ref="B29" r:id="rId15" xr:uid="{B9203DB8-1885-2541-996A-F32DA7D1F177}"/>
    <hyperlink ref="B31" r:id="rId16" xr:uid="{94982CCB-A072-514C-B711-F43E7C29FD68}"/>
    <hyperlink ref="B33" r:id="rId17" xr:uid="{67542674-5185-3D48-8596-BB910963C2AE}"/>
    <hyperlink ref="B8" r:id="rId18" xr:uid="{6DF634A5-4C00-0B49-AAF8-F3281C6EC446}"/>
    <hyperlink ref="B10" r:id="rId19" xr:uid="{2ADD584B-50BA-0A4B-B93E-94DC862D8155}"/>
    <hyperlink ref="B12" r:id="rId20" xr:uid="{30AB3C51-20EC-7F45-8CA3-91AACAC0BF5B}"/>
    <hyperlink ref="B14" r:id="rId21" xr:uid="{22D0F33C-2235-E14F-8458-078623E3BAB5}"/>
    <hyperlink ref="B16" r:id="rId22" xr:uid="{5EBBAF8E-7B4D-E24B-8989-1A4106848D35}"/>
    <hyperlink ref="B18" r:id="rId23" xr:uid="{3B8BD977-28C2-D341-9DF7-D22F14D51AD6}"/>
    <hyperlink ref="B20" r:id="rId24" xr:uid="{3E1232B3-F7CB-E04D-82FD-566B9489C30D}"/>
    <hyperlink ref="B22" r:id="rId25" xr:uid="{C8E25A98-C076-5540-81C5-45BF8A83C46A}"/>
    <hyperlink ref="B24" r:id="rId26" xr:uid="{5C551D44-5294-9942-AFDA-62871B75DA9F}"/>
    <hyperlink ref="B26" r:id="rId27" xr:uid="{00DF3719-20CE-254B-9173-1A4E38363FC0}"/>
    <hyperlink ref="B28" r:id="rId28" xr:uid="{718BE812-CACB-F642-89EF-AA703A2F1B6C}"/>
    <hyperlink ref="B30" r:id="rId29" xr:uid="{1BEE9260-1E25-9045-B494-78452E7706D4}"/>
    <hyperlink ref="B32" r:id="rId30" xr:uid="{8E07FF5E-1B48-D04D-A9FF-C5D10CEA9355}"/>
    <hyperlink ref="B34" r:id="rId31" xr:uid="{606F0EFD-A5C7-A744-A92A-745F719EA8F4}"/>
    <hyperlink ref="P5:P21" r:id="rId32" display="https://doi.org/10.1073/pnas.1702143114" xr:uid="{388FF01A-36D5-184A-A098-0C103B001789}"/>
    <hyperlink ref="P7" r:id="rId33" display="https://doi.org/10.1073/pnas.1702143114" xr:uid="{A2D452B8-8B93-3C4F-84EC-57CEB3964B25}"/>
    <hyperlink ref="P9" r:id="rId34" display="https://doi.org/10.1073/pnas.1702143114" xr:uid="{15606824-79E1-EA42-9BE0-98221DAA9F51}"/>
    <hyperlink ref="P11" r:id="rId35" display="https://doi.org/10.1073/pnas.1702143114" xr:uid="{57C6D9F8-0310-5B4D-B43C-4D8063F179CF}"/>
    <hyperlink ref="P13" r:id="rId36" display="https://doi.org/10.1073/pnas.1702143114" xr:uid="{1ED95713-47F5-5A4D-820E-C0CF64921DD0}"/>
    <hyperlink ref="P15" r:id="rId37" display="https://doi.org/10.1073/pnas.1702143114" xr:uid="{9FDC74D5-B161-6541-9BDE-6D7797EF896A}"/>
    <hyperlink ref="P17" r:id="rId38" display="https://doi.org/10.1073/pnas.1702143114" xr:uid="{1043F19D-0666-234A-BF46-B8E313E75B4F}"/>
    <hyperlink ref="P19" r:id="rId39" display="https://doi.org/10.1073/pnas.1702143114" xr:uid="{DACE8A6A-7A41-D845-8074-A15DE6E6CAA9}"/>
    <hyperlink ref="P21" r:id="rId40" display="https://doi.org/10.1073/pnas.1702143114" xr:uid="{FA7D4F23-2C54-8D40-A9D7-2CE69BBBB2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2022-03-17T18:03:42Z</dcterms:modified>
</cp:coreProperties>
</file>