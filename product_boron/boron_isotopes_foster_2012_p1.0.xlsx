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A3E0B67-B3D9-CF4C-9FF0-CC2181B3F524}" xr6:coauthVersionLast="47" xr6:coauthVersionMax="47" xr10:uidLastSave="{00000000-0000-0000-0000-000000000000}"/>
  <bookViews>
    <workbookView xWindow="1760" yWindow="356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6" i="1" l="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L5" i="1"/>
  <c r="K5" i="1"/>
  <c r="J5" i="1"/>
  <c r="I5" i="1"/>
  <c r="H5" i="1"/>
  <c r="G5" i="1"/>
  <c r="F5" i="1"/>
  <c r="FI19" i="1"/>
  <c r="CR19" i="1"/>
  <c r="CQ19" i="1"/>
  <c r="CM19" i="1"/>
  <c r="CL19" i="1"/>
  <c r="CB19" i="1"/>
  <c r="FI18" i="1"/>
  <c r="CR18" i="1"/>
  <c r="CQ18" i="1"/>
  <c r="CM18" i="1"/>
  <c r="CL18" i="1"/>
  <c r="CB18" i="1"/>
  <c r="FI17" i="1"/>
  <c r="CR17" i="1"/>
  <c r="CQ17" i="1"/>
  <c r="CM17" i="1"/>
  <c r="CL17" i="1"/>
  <c r="CB17" i="1"/>
  <c r="FI16" i="1"/>
  <c r="CR16" i="1"/>
  <c r="CQ16" i="1"/>
  <c r="CM16" i="1"/>
  <c r="CL16" i="1"/>
  <c r="CB16" i="1"/>
  <c r="FI15" i="1"/>
  <c r="CR15" i="1"/>
  <c r="CQ15" i="1"/>
  <c r="CM15" i="1"/>
  <c r="CL15" i="1"/>
  <c r="CB15" i="1"/>
  <c r="FI14" i="1"/>
  <c r="CR14" i="1"/>
  <c r="CQ14" i="1"/>
  <c r="CM14" i="1"/>
  <c r="CL14" i="1"/>
  <c r="CB14" i="1"/>
  <c r="FI13" i="1"/>
  <c r="CR13" i="1"/>
  <c r="CQ13" i="1"/>
  <c r="CM13" i="1"/>
  <c r="CL13" i="1"/>
  <c r="CB13" i="1"/>
  <c r="FI12" i="1"/>
  <c r="CR12" i="1"/>
  <c r="CQ12" i="1"/>
  <c r="CM12" i="1"/>
  <c r="CL12" i="1"/>
  <c r="CB12" i="1"/>
  <c r="FI11" i="1"/>
  <c r="CR11" i="1"/>
  <c r="CQ11" i="1"/>
  <c r="CM11" i="1"/>
  <c r="CL11" i="1"/>
  <c r="CB11" i="1"/>
  <c r="FI10" i="1"/>
  <c r="CR10" i="1"/>
  <c r="CQ10" i="1"/>
  <c r="CM10" i="1"/>
  <c r="CL10" i="1"/>
  <c r="CB10" i="1"/>
  <c r="FI9" i="1"/>
  <c r="CR9" i="1"/>
  <c r="CQ9" i="1"/>
  <c r="CM9" i="1"/>
  <c r="CL9" i="1"/>
  <c r="CB9" i="1"/>
  <c r="FI8" i="1"/>
  <c r="CR8" i="1"/>
  <c r="CQ8" i="1"/>
  <c r="CM8" i="1"/>
  <c r="CL8" i="1"/>
  <c r="CB8" i="1"/>
  <c r="FI7" i="1"/>
  <c r="CR7" i="1"/>
  <c r="CQ7" i="1"/>
  <c r="CM7" i="1"/>
  <c r="CL7" i="1"/>
  <c r="CB7" i="1"/>
  <c r="FI6" i="1"/>
  <c r="CR6" i="1"/>
  <c r="CQ6" i="1"/>
  <c r="CM6" i="1"/>
  <c r="CL6" i="1"/>
  <c r="CB6" i="1"/>
  <c r="FI5" i="1"/>
  <c r="CR5" i="1"/>
  <c r="CQ5" i="1"/>
  <c r="CM5" i="1"/>
  <c r="CL5" i="1"/>
  <c r="CB5" i="1"/>
  <c r="FI4" i="1"/>
  <c r="CR4" i="1"/>
  <c r="CQ4" i="1"/>
  <c r="CM4" i="1"/>
  <c r="CL4" i="1"/>
  <c r="CB4" i="1"/>
  <c r="I4" i="1" l="1"/>
  <c r="H4" i="1"/>
  <c r="G4" i="1"/>
  <c r="K4" i="1"/>
  <c r="L4" i="1"/>
  <c r="J4" i="1"/>
  <c r="F4" i="1"/>
</calcChain>
</file>

<file path=xl/sharedStrings.xml><?xml version="1.0" encoding="utf-8"?>
<sst xmlns="http://schemas.openxmlformats.org/spreadsheetml/2006/main" count="2296" uniqueCount="271">
  <si>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</si>
  <si>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</si>
  <si>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</si>
  <si>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</si>
  <si>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</si>
  <si>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</si>
  <si>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</si>
  <si>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</si>
  <si>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</si>
  <si>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</si>
  <si>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</si>
  <si>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</si>
  <si>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</si>
  <si>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</si>
  <si>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</si>
  <si>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</si>
  <si>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</si>
  <si>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</si>
  <si>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</si>
  <si>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</si>
  <si>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</si>
  <si>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</si>
  <si>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</si>
  <si>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</si>
  <si>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</si>
  <si>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</si>
  <si>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</si>
  <si>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</si>
  <si>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</si>
  <si>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</si>
  <si>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</si>
  <si>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</si>
  <si>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</si>
  <si>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</si>
  <si>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</si>
  <si>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</si>
  <si>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</si>
  <si>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</si>
  <si>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</si>
  <si>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</si>
  <si>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</si>
  <si>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</si>
  <si>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</si>
  <si>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</si>
  <si>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</si>
  <si>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</si>
  <si>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</si>
  <si>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</si>
  <si>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</si>
  <si>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</si>
  <si>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</si>
  <si>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</si>
  <si>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</si>
  <si>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</si>
  <si>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</si>
  <si>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</si>
  <si>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</si>
  <si>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</si>
  <si>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</si>
  <si>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</si>
  <si>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</si>
  <si>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</si>
  <si>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</si>
  <si>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</si>
  <si>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</si>
  <si>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</si>
  <si>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</si>
  <si>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</si>
  <si>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</si>
  <si>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</si>
  <si>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</si>
  <si>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</si>
  <si>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</si>
  <si>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</si>
  <si>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</si>
  <si>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</si>
  <si>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</si>
  <si>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</si>
  <si>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</si>
  <si>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</si>
  <si>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</si>
  <si>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</si>
  <si>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</si>
  <si>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</si>
  <si>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</si>
  <si>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</si>
  <si>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</si>
  <si>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</si>
  <si>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</si>
  <si>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</si>
  <si>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</si>
  <si>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</si>
  <si>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</si>
  <si>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</si>
  <si>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</si>
  <si>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</si>
  <si>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</si>
  <si>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</si>
  <si>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</si>
  <si>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</si>
  <si>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</si>
  <si>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</si>
  <si>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</si>
  <si>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</si>
  <si>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</si>
  <si>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</si>
  <si>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</si>
  <si>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</si>
  <si>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</si>
  <si>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</si>
  <si>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</si>
  <si>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</si>
  <si>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</si>
  <si>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</si>
  <si>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</si>
  <si>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</si>
  <si>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</si>
  <si>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</si>
  <si>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</si>
  <si>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</si>
  <si>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</si>
  <si>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</si>
  <si>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</si>
  <si>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</si>
  <si>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</si>
  <si>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</si>
  <si>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</si>
  <si>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</si>
  <si>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</si>
  <si>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</si>
  <si>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</si>
  <si>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</si>
  <si>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</si>
  <si>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</si>
  <si>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</si>
  <si>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</si>
  <si>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</si>
  <si>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</si>
  <si>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</si>
  <si>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</si>
  <si>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</si>
  <si>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</si>
  <si>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</si>
  <si>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</si>
  <si>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</si>
  <si>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</si>
  <si>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</si>
  <si>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</si>
  <si>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</si>
  <si>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</si>
  <si>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</si>
  <si>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</si>
  <si>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</si>
  <si>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</si>
  <si>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</si>
  <si>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</si>
  <si>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</si>
  <si>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</si>
  <si>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</si>
  <si>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</si>
  <si>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</si>
  <si>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</si>
  <si>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</si>
  <si>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</si>
  <si>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</si>
  <si>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</si>
  <si>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</si>
  <si>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</si>
  <si>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</si>
  <si>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newer calculation available</t>
  </si>
  <si>
    <t>10.1016/j.epsl.2018.06.017</t>
  </si>
  <si>
    <t>Foster, G. L., C. H. Lear and J. W. B. Rae (2012). "The evolution of pCO2, ice volume and climate during the middle Miocene." Earth and Planetary Science Letters 341-344(0): 243-254.</t>
  </si>
  <si>
    <t xml:space="preserve">10.1016/j.epsl.2012.06.007 </t>
  </si>
  <si>
    <t>B</t>
  </si>
  <si>
    <t>Wombat plateau (Indian Ocean)</t>
  </si>
  <si>
    <t xml:space="preserve">Globigerinoides sacculifer </t>
  </si>
  <si>
    <t>300-355</t>
  </si>
  <si>
    <t>100-150</t>
  </si>
  <si>
    <t>1-1.5</t>
  </si>
  <si>
    <t>Barker et al., 2003; Yu et al., 2007</t>
  </si>
  <si>
    <t>ion exchange chromatography</t>
  </si>
  <si>
    <t>MC-ICPMS</t>
  </si>
  <si>
    <t>17.14,17.15</t>
  </si>
  <si>
    <t>normal</t>
  </si>
  <si>
    <t>modified after Sanyal et al., 2001(culture) and Foster, 2008 (core-top)</t>
  </si>
  <si>
    <t xml:space="preserve">corrected for shell size and for TIMS vs MC-ICPMS offset between Sanyal and Foster. </t>
  </si>
  <si>
    <t xml:space="preserve">lower mixed layer </t>
  </si>
  <si>
    <t>not applied</t>
  </si>
  <si>
    <t>Anand and Ederfield, 2003</t>
  </si>
  <si>
    <t>Horita et al. (2002)</t>
  </si>
  <si>
    <t>assumed constant</t>
  </si>
  <si>
    <t>Lee et al 2010</t>
  </si>
  <si>
    <t>this study</t>
  </si>
  <si>
    <t>Dickson 1990</t>
  </si>
  <si>
    <t xml:space="preserve">None applied, surface pressure </t>
  </si>
  <si>
    <t>Klochko et al. (2006)</t>
  </si>
  <si>
    <t>Henry's law, as of Weiss 1974, Zeebe Wolf-Gladrow 2001</t>
  </si>
  <si>
    <t>Lueker et al. 2000</t>
  </si>
  <si>
    <t xml:space="preserve">Alkalinity </t>
  </si>
  <si>
    <t xml:space="preserve">CCD depth </t>
  </si>
  <si>
    <t xml:space="preserve">This study </t>
  </si>
  <si>
    <t>set value (flat/uniform uncertainty)</t>
  </si>
  <si>
    <t>&lt;25 µatm</t>
  </si>
  <si>
    <t>T, ALK, d11B analysis, d11Bsw</t>
  </si>
  <si>
    <t>16.5,16.73</t>
  </si>
  <si>
    <t>Dickson 1991</t>
  </si>
  <si>
    <t>Henry's law, as of Weiss 1974, Zeebe Wolf-Gladrow 2002</t>
  </si>
  <si>
    <t>10.1016/j.epsl.2012.06.007</t>
  </si>
  <si>
    <t>16.32,16.73</t>
  </si>
  <si>
    <t>Dickson 1992</t>
  </si>
  <si>
    <t>Henry's law, as of Weiss 1974, Zeebe Wolf-Gladrow 2003</t>
  </si>
  <si>
    <t>16.3,16.42</t>
  </si>
  <si>
    <t>Dickson 1993</t>
  </si>
  <si>
    <t>Henry's law, as of Weiss 1974, Zeebe Wolf-Gladrow 2004</t>
  </si>
  <si>
    <t>16.42,16.43</t>
  </si>
  <si>
    <t>Dickson 1994</t>
  </si>
  <si>
    <t>Henry's law, as of Weiss 1974, Zeebe Wolf-Gladrow 2005</t>
  </si>
  <si>
    <t>16.26,16.25</t>
  </si>
  <si>
    <t>Dickson 1995</t>
  </si>
  <si>
    <t>Henry's law, as of Weiss 1974, Zeebe Wolf-Gladrow 2006</t>
  </si>
  <si>
    <t>16.22,15.95</t>
  </si>
  <si>
    <t>Dickson 1996</t>
  </si>
  <si>
    <t>Henry's law, as of Weiss 1974, Zeebe Wolf-Gladrow 2007</t>
  </si>
  <si>
    <t>cc</t>
  </si>
  <si>
    <t>15.85,16.07</t>
  </si>
  <si>
    <t>Dickson 1997</t>
  </si>
  <si>
    <t>Henry's law, as of Weiss 1974, Zeebe Wolf-Gladrow 2008</t>
  </si>
  <si>
    <t>14.91,15.18</t>
  </si>
  <si>
    <t>Dickson 1998</t>
  </si>
  <si>
    <t>Henry's law, as of Weiss 1974, Zeebe Wolf-Gladrow 2009</t>
  </si>
  <si>
    <t>15.05,15.62</t>
  </si>
  <si>
    <t>Dickson 1999</t>
  </si>
  <si>
    <t>Henry's law, as of Weiss 1974, Zeebe Wolf-Gladrow 2010</t>
  </si>
  <si>
    <t>15.75,15.93</t>
  </si>
  <si>
    <t>Dickson 2000</t>
  </si>
  <si>
    <t>Henry's law, as of Weiss 1974, Zeebe Wolf-Gladrow 2011</t>
  </si>
  <si>
    <t>14.63,15.37</t>
  </si>
  <si>
    <t>Dickson 2001</t>
  </si>
  <si>
    <t>Henry's law, as of Weiss 1974, Zeebe Wolf-Gladrow 2012</t>
  </si>
  <si>
    <t>16.47,16.81</t>
  </si>
  <si>
    <t>Dickson 2002</t>
  </si>
  <si>
    <t>Henry's law, as of Weiss 1974, Zeebe Wolf-Gladrow 2013</t>
  </si>
  <si>
    <t>A</t>
  </si>
  <si>
    <t>Ceara Rise (Atlantic)</t>
  </si>
  <si>
    <t>more micro-crystalline recrystallisation than
ODP Site 761</t>
  </si>
  <si>
    <t>16.02,16.16</t>
  </si>
  <si>
    <t>Dickson 2003</t>
  </si>
  <si>
    <t>Henry's law, as of Weiss 1974, Zeebe Wolf-Gladrow 2014</t>
  </si>
  <si>
    <t>16.32,16.51</t>
  </si>
  <si>
    <t>Dickson 2004</t>
  </si>
  <si>
    <t>Henry's law, as of Weiss 1974, Zeebe Wolf-Gladrow 2015</t>
  </si>
  <si>
    <t>15.18,15.31</t>
  </si>
  <si>
    <t>Dickson 2005</t>
  </si>
  <si>
    <t>Henry's law, as of Weiss 1974, Zeebe Wolf-Gladrow 2016</t>
  </si>
  <si>
    <t>Foster</t>
  </si>
  <si>
    <t>notes about uncertainty estimate: e.g., included calibration slope and intercept</t>
  </si>
  <si>
    <t>Bärbel Hönisch, Elwyn de la Vega, Gavin Foster</t>
  </si>
  <si>
    <t>hoenisch@ldeo.columbia.edu, elwyn.de-la-vega@soton.ac.uk, Gavin.Foster@noc.soton.ac.uk</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</si>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</sst>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3" x14ac:knownFonts="1">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2"/>
      <name val="Calibri"/>
      <family val="2"/>
      <scheme val="minor"/>
    </font>
    <font>
      <sz val="10"/>
      <name val="Verdana"/>
      <family val="2"/>
    </font>
    <font>
      <sz val="11"/>
      <color rgb="FF000000"/>
      <name val="Arial"/>
      <family val="2"/>
    </font>
    <font>
      <sz val="12"/>
      <name val="Arial"/>
      <family val="2"/>
    </font>
    <font>
      <sz val="12"/>
      <color theme="1"/>
      <name val="Arial"/>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applyNumberFormat="0" applyFill="0" applyBorder="0" applyAlignment="0" applyProtection="0"/>
    <xf numFmtId="0" fontId="29" fillId="0" borderId="0"/>
  </cellStyleXfs>
  <cellXfs count="176">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applyBorder="1"/>
    <xf numFmtId="0" fontId="4" fillId="5" borderId="0" xfId="0" applyFont="1" applyFill="1" applyBorder="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applyBorder="1"/>
    <xf numFmtId="0" fontId="3" fillId="7" borderId="10" xfId="0" applyFont="1" applyFill="1" applyBorder="1"/>
    <xf numFmtId="0" fontId="3" fillId="6" borderId="11" xfId="0" applyFont="1" applyFill="1" applyBorder="1"/>
    <xf numFmtId="0" fontId="3" fillId="6" borderId="0" xfId="0" applyFont="1" applyFill="1" applyBorder="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Border="1" applyAlignment="1">
      <alignment horizontal="left" vertical="center"/>
    </xf>
    <xf numFmtId="0" fontId="4" fillId="7" borderId="0" xfId="0" applyFont="1" applyFill="1" applyBorder="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applyBorder="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0" fillId="0" borderId="0" xfId="0" applyFill="1" applyBorder="1"/>
    <xf numFmtId="0" fontId="0" fillId="0" borderId="0" xfId="0" applyAlignment="1">
      <alignment vertical="top"/>
    </xf>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center"/>
    </xf>
    <xf numFmtId="0" fontId="27" fillId="0" borderId="0" xfId="1"/>
    <xf numFmtId="0" fontId="0" fillId="0" borderId="0" xfId="0" applyFill="1"/>
    <xf numFmtId="0" fontId="29" fillId="0" borderId="0" xfId="2"/>
    <xf numFmtId="0" fontId="30" fillId="0" borderId="0" xfId="0" applyFont="1"/>
    <xf numFmtId="165" fontId="0" fillId="0" borderId="0" xfId="0" applyNumberFormat="1"/>
    <xf numFmtId="2" fontId="0" fillId="0" borderId="0" xfId="0" applyNumberFormat="1" applyFill="1"/>
    <xf numFmtId="2" fontId="0" fillId="0" borderId="0" xfId="0" applyNumberFormat="1"/>
    <xf numFmtId="0" fontId="0" fillId="0" borderId="0" xfId="0" applyFill="1" applyAlignment="1">
      <alignment horizontal="center"/>
    </xf>
    <xf numFmtId="0" fontId="2" fillId="0" borderId="0" xfId="0" applyFont="1"/>
    <xf numFmtId="164" fontId="0" fillId="0" borderId="0" xfId="0" applyNumberFormat="1"/>
    <xf numFmtId="1" fontId="0" fillId="0" borderId="0" xfId="0" applyNumberFormat="1"/>
    <xf numFmtId="0" fontId="28" fillId="0" borderId="0" xfId="0" applyFont="1" applyFill="1"/>
    <xf numFmtId="0" fontId="29" fillId="0" borderId="0" xfId="0" applyFont="1" applyFill="1"/>
    <xf numFmtId="0" fontId="29" fillId="0" borderId="0" xfId="0" applyFont="1" applyFill="1" applyAlignment="1">
      <alignment horizontal="right"/>
    </xf>
    <xf numFmtId="0" fontId="28" fillId="0" borderId="0" xfId="0" applyFont="1" applyFill="1" applyAlignment="1">
      <alignment horizontal="center"/>
    </xf>
    <xf numFmtId="1" fontId="28" fillId="0" borderId="0" xfId="0" applyNumberFormat="1" applyFont="1" applyFill="1" applyAlignment="1">
      <alignment horizontal="center"/>
    </xf>
    <xf numFmtId="2" fontId="28" fillId="0" borderId="0" xfId="0" applyNumberFormat="1" applyFont="1" applyFill="1"/>
    <xf numFmtId="1" fontId="2" fillId="0" borderId="0" xfId="0" applyNumberFormat="1" applyFont="1" applyAlignment="1">
      <alignment horizontal="right"/>
    </xf>
    <xf numFmtId="1" fontId="0" fillId="0" borderId="0" xfId="0" applyNumberFormat="1" applyAlignment="1">
      <alignment horizontal="right"/>
    </xf>
    <xf numFmtId="0" fontId="29" fillId="0" borderId="0" xfId="0" applyFont="1" applyFill="1" applyAlignment="1">
      <alignment horizontal="center"/>
    </xf>
    <xf numFmtId="1" fontId="29" fillId="0" borderId="0" xfId="0" applyNumberFormat="1" applyFont="1" applyFill="1" applyAlignment="1">
      <alignment horizontal="center"/>
    </xf>
    <xf numFmtId="2" fontId="29" fillId="0" borderId="0" xfId="0" applyNumberFormat="1" applyFont="1" applyFill="1"/>
    <xf numFmtId="0" fontId="0" fillId="0" borderId="0" xfId="0" applyFont="1" applyFill="1"/>
    <xf numFmtId="0" fontId="31" fillId="0" borderId="0" xfId="0" applyFont="1" applyAlignment="1">
      <alignment horizontal="center"/>
    </xf>
    <xf numFmtId="0" fontId="0" fillId="0" borderId="0" xfId="0" applyFill="1" applyAlignment="1">
      <alignment wrapText="1"/>
    </xf>
    <xf numFmtId="0" fontId="0" fillId="0" borderId="7" xfId="0" applyFill="1" applyBorder="1"/>
    <xf numFmtId="2" fontId="32" fillId="0" borderId="0" xfId="0" applyNumberFormat="1" applyFont="1" applyAlignment="1">
      <alignment horizontal="center"/>
    </xf>
    <xf numFmtId="0" fontId="0" fillId="0" borderId="0" xfId="0" applyFont="1" applyFill="1" applyAlignment="1">
      <alignment horizontal="center"/>
    </xf>
    <xf numFmtId="2" fontId="0" fillId="0" borderId="0" xfId="0" applyNumberFormat="1" applyAlignment="1">
      <alignment horizontal="center"/>
    </xf>
    <xf numFmtId="0" fontId="1" fillId="0" borderId="0" xfId="0" applyFont="1"/>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oenisch@ldeo.columbia.edu" TargetMode="External"/><Relationship Id="rId13"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98"/>
  <sheetViews>
    <sheetView tabSelected="1" topLeftCell="D1" workbookViewId="0">
      <selection activeCell="N3" sqref="N3:O3"/>
    </sheetView>
  </sheetViews>
  <sheetFormatPr baseColWidth="10" defaultColWidth="8.83203125" defaultRowHeight="15" x14ac:dyDescent="0.2"/>
  <cols>
    <col min="3" max="3" width="12.83203125" customWidth="1"/>
    <col min="4" max="5" width="10.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x14ac:dyDescent="0.25">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x14ac:dyDescent="0.25">
      <c r="A2" s="1"/>
      <c r="B2" s="2"/>
      <c r="C2" s="2"/>
      <c r="D2" s="2"/>
      <c r="E2" s="2"/>
      <c r="F2" s="2"/>
      <c r="G2" s="2"/>
      <c r="H2" s="2"/>
      <c r="I2" s="2"/>
      <c r="J2" s="2"/>
      <c r="K2" s="2"/>
      <c r="L2" s="3"/>
      <c r="M2" s="4"/>
      <c r="N2" s="4"/>
      <c r="O2" s="4"/>
      <c r="P2" s="4"/>
      <c r="R2" s="5"/>
      <c r="S2" s="174"/>
      <c r="T2" s="174"/>
      <c r="U2" s="174"/>
      <c r="V2" s="174"/>
      <c r="W2" s="174"/>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x14ac:dyDescent="0.2">
      <c r="A3" s="6" t="s">
        <v>0</v>
      </c>
      <c r="B3" s="7" t="s">
        <v>1</v>
      </c>
      <c r="C3" s="8" t="s">
        <v>2</v>
      </c>
      <c r="D3" s="9" t="s">
        <v>3</v>
      </c>
      <c r="E3" s="9" t="s">
        <v>4</v>
      </c>
      <c r="F3" s="10" t="s">
        <v>5</v>
      </c>
      <c r="G3" s="10" t="s">
        <v>6</v>
      </c>
      <c r="H3" s="11" t="s">
        <v>7</v>
      </c>
      <c r="I3" s="11" t="s">
        <v>8</v>
      </c>
      <c r="J3" s="9" t="s">
        <v>258</v>
      </c>
      <c r="K3" s="11" t="s">
        <v>259</v>
      </c>
      <c r="L3" s="12" t="s">
        <v>268</v>
      </c>
      <c r="M3" s="13" t="s">
        <v>260</v>
      </c>
      <c r="N3" s="175" t="s">
        <v>269</v>
      </c>
      <c r="O3" s="175" t="s">
        <v>270</v>
      </c>
      <c r="P3" s="13" t="s">
        <v>261</v>
      </c>
      <c r="Q3" s="14" t="s">
        <v>262</v>
      </c>
      <c r="R3" s="15" t="s">
        <v>263</v>
      </c>
      <c r="S3" s="16" t="s">
        <v>264</v>
      </c>
      <c r="T3" s="13" t="s">
        <v>265</v>
      </c>
      <c r="U3" s="13" t="s">
        <v>9</v>
      </c>
      <c r="V3" s="13" t="s">
        <v>266</v>
      </c>
      <c r="W3" s="17" t="s">
        <v>267</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255</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40" t="s">
        <v>133</v>
      </c>
      <c r="EU3" s="141" t="s">
        <v>134</v>
      </c>
      <c r="EV3" s="141"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6" x14ac:dyDescent="0.2">
      <c r="A4" t="s">
        <v>256</v>
      </c>
      <c r="B4" s="144" t="s">
        <v>257</v>
      </c>
      <c r="C4" s="138" t="s">
        <v>168</v>
      </c>
      <c r="D4" t="s">
        <v>254</v>
      </c>
      <c r="E4">
        <v>2012</v>
      </c>
      <c r="F4" t="str">
        <f>Z4</f>
        <v xml:space="preserve">10.1016/j.epsl.2012.06.007 </v>
      </c>
      <c r="G4" s="148">
        <f>AS4</f>
        <v>12280</v>
      </c>
      <c r="H4" s="145" t="str">
        <f>AU4</f>
        <v>NA</v>
      </c>
      <c r="I4" s="145" t="str">
        <f>AV4</f>
        <v>NA</v>
      </c>
      <c r="J4" s="154">
        <f>FL4</f>
        <v>190</v>
      </c>
      <c r="K4" s="154">
        <f t="shared" ref="K4:L4" si="0">FM4</f>
        <v>36</v>
      </c>
      <c r="L4" s="154">
        <f t="shared" si="0"/>
        <v>36</v>
      </c>
      <c r="M4" t="b">
        <v>1</v>
      </c>
      <c r="N4">
        <v>3</v>
      </c>
      <c r="O4" t="s">
        <v>169</v>
      </c>
      <c r="P4" s="173" t="s">
        <v>170</v>
      </c>
      <c r="Q4" t="b">
        <v>0</v>
      </c>
      <c r="R4" t="s">
        <v>167</v>
      </c>
      <c r="S4" t="b">
        <v>1</v>
      </c>
      <c r="T4" t="b">
        <v>0</v>
      </c>
      <c r="U4" t="s">
        <v>167</v>
      </c>
      <c r="V4" t="s">
        <v>167</v>
      </c>
      <c r="W4" t="b">
        <v>0</v>
      </c>
      <c r="X4" t="s">
        <v>167</v>
      </c>
      <c r="Y4" s="139" t="s">
        <v>171</v>
      </c>
      <c r="Z4" t="s">
        <v>172</v>
      </c>
      <c r="AA4">
        <v>761</v>
      </c>
      <c r="AB4" t="s">
        <v>173</v>
      </c>
      <c r="AC4">
        <v>5</v>
      </c>
      <c r="AD4">
        <v>4</v>
      </c>
      <c r="AE4">
        <v>13</v>
      </c>
      <c r="AF4">
        <v>15</v>
      </c>
      <c r="AG4" s="145" t="s">
        <v>167</v>
      </c>
      <c r="AH4">
        <v>37.299999999999997</v>
      </c>
      <c r="AI4" s="145" t="s">
        <v>167</v>
      </c>
      <c r="AJ4" t="s">
        <v>174</v>
      </c>
      <c r="AK4" s="166">
        <v>-16.739999999999998</v>
      </c>
      <c r="AL4" s="166">
        <v>115.536</v>
      </c>
      <c r="AM4" t="s">
        <v>167</v>
      </c>
      <c r="AN4" t="s">
        <v>167</v>
      </c>
      <c r="AO4" s="167">
        <v>-2179</v>
      </c>
      <c r="AP4" t="s">
        <v>167</v>
      </c>
      <c r="AQ4" t="s">
        <v>167</v>
      </c>
      <c r="AR4" s="151" t="s">
        <v>167</v>
      </c>
      <c r="AS4">
        <v>12280</v>
      </c>
      <c r="AT4" s="168" t="s">
        <v>167</v>
      </c>
      <c r="AU4" s="168" t="s">
        <v>167</v>
      </c>
      <c r="AV4" s="168" t="s">
        <v>167</v>
      </c>
      <c r="AW4" s="168" t="s">
        <v>167</v>
      </c>
      <c r="AX4" s="168" t="s">
        <v>167</v>
      </c>
      <c r="AY4" s="168" t="s">
        <v>167</v>
      </c>
      <c r="AZ4" t="s">
        <v>167</v>
      </c>
      <c r="BA4" t="s">
        <v>167</v>
      </c>
      <c r="BB4" t="s">
        <v>167</v>
      </c>
      <c r="BC4" t="s">
        <v>167</v>
      </c>
      <c r="BD4" t="s">
        <v>167</v>
      </c>
      <c r="BE4" t="s">
        <v>167</v>
      </c>
      <c r="BF4" t="s">
        <v>167</v>
      </c>
      <c r="BG4" t="s">
        <v>175</v>
      </c>
      <c r="BH4" t="s">
        <v>176</v>
      </c>
      <c r="BI4" t="s">
        <v>177</v>
      </c>
      <c r="BJ4" t="s">
        <v>178</v>
      </c>
      <c r="BK4" t="s">
        <v>179</v>
      </c>
      <c r="BL4" t="s">
        <v>180</v>
      </c>
      <c r="BM4" t="s">
        <v>181</v>
      </c>
      <c r="BN4" t="s">
        <v>182</v>
      </c>
      <c r="BO4">
        <v>2</v>
      </c>
      <c r="BP4">
        <v>9.9999999999980105E-3</v>
      </c>
      <c r="BQ4">
        <v>17.14</v>
      </c>
      <c r="BR4" t="s">
        <v>183</v>
      </c>
      <c r="BS4">
        <v>0.23</v>
      </c>
      <c r="BT4">
        <v>0.88</v>
      </c>
      <c r="BU4" t="s">
        <v>183</v>
      </c>
      <c r="BV4" s="168" t="s">
        <v>167</v>
      </c>
      <c r="BW4">
        <v>1.85</v>
      </c>
      <c r="BX4" t="s">
        <v>183</v>
      </c>
      <c r="BY4" s="168" t="s">
        <v>167</v>
      </c>
      <c r="BZ4" t="s">
        <v>184</v>
      </c>
      <c r="CA4" s="145" t="s">
        <v>185</v>
      </c>
      <c r="CB4" s="149">
        <f>(BQ4-1.85)/0.88</f>
        <v>17.375</v>
      </c>
      <c r="CC4" s="145" t="s">
        <v>167</v>
      </c>
      <c r="CD4" s="145" t="s">
        <v>167</v>
      </c>
      <c r="CE4" s="145" t="s">
        <v>167</v>
      </c>
      <c r="CF4" s="145" t="s">
        <v>167</v>
      </c>
      <c r="CG4" s="145" t="s">
        <v>186</v>
      </c>
      <c r="CH4" s="145" t="s">
        <v>187</v>
      </c>
      <c r="CI4" s="145" t="s">
        <v>187</v>
      </c>
      <c r="CJ4" s="143">
        <v>30</v>
      </c>
      <c r="CK4" t="s">
        <v>183</v>
      </c>
      <c r="CL4" s="169">
        <f>CJ4+1.5</f>
        <v>31.5</v>
      </c>
      <c r="CM4" s="169">
        <f>CJ4-1.5</f>
        <v>28.5</v>
      </c>
      <c r="CN4" t="s">
        <v>167</v>
      </c>
      <c r="CO4">
        <v>3.89</v>
      </c>
      <c r="CP4" t="s">
        <v>183</v>
      </c>
      <c r="CQ4" s="150">
        <f>CO4*0.015</f>
        <v>5.8349999999999999E-2</v>
      </c>
      <c r="CR4" s="150">
        <f>CO4*0.015</f>
        <v>5.8349999999999999E-2</v>
      </c>
      <c r="CS4" s="145" t="s">
        <v>167</v>
      </c>
      <c r="CT4" t="s">
        <v>188</v>
      </c>
      <c r="CU4" s="145">
        <v>3.43</v>
      </c>
      <c r="CV4" s="145" t="s">
        <v>189</v>
      </c>
      <c r="CW4" s="145" t="s">
        <v>167</v>
      </c>
      <c r="CX4" s="145" t="s">
        <v>167</v>
      </c>
      <c r="CY4" s="145" t="s">
        <v>167</v>
      </c>
      <c r="CZ4" t="s">
        <v>167</v>
      </c>
      <c r="DA4" t="s">
        <v>167</v>
      </c>
      <c r="DB4" t="s">
        <v>167</v>
      </c>
      <c r="DC4" t="s">
        <v>167</v>
      </c>
      <c r="DD4" t="s">
        <v>167</v>
      </c>
      <c r="DE4" t="s">
        <v>167</v>
      </c>
      <c r="DF4" t="s">
        <v>167</v>
      </c>
      <c r="DG4">
        <v>35</v>
      </c>
      <c r="DH4" t="s">
        <v>183</v>
      </c>
      <c r="DI4" s="145" t="s">
        <v>167</v>
      </c>
      <c r="DJ4" s="145" t="s">
        <v>190</v>
      </c>
      <c r="DK4" s="145" t="s">
        <v>167</v>
      </c>
      <c r="DL4" s="145" t="s">
        <v>167</v>
      </c>
      <c r="DM4" s="145" t="s">
        <v>167</v>
      </c>
      <c r="DN4" s="145" t="s">
        <v>167</v>
      </c>
      <c r="DO4" s="145" t="s">
        <v>167</v>
      </c>
      <c r="DP4" s="145" t="s">
        <v>167</v>
      </c>
      <c r="DQ4" s="145" t="s">
        <v>167</v>
      </c>
      <c r="DR4" s="145" t="s">
        <v>167</v>
      </c>
      <c r="DS4" s="145" t="s">
        <v>167</v>
      </c>
      <c r="DT4" s="145" t="s">
        <v>167</v>
      </c>
      <c r="DU4" s="145" t="s">
        <v>167</v>
      </c>
      <c r="DV4" s="145" t="s">
        <v>167</v>
      </c>
      <c r="DW4" s="148">
        <v>432.56244218316402</v>
      </c>
      <c r="DX4" s="145" t="s">
        <v>167</v>
      </c>
      <c r="DY4" s="145" t="s">
        <v>167</v>
      </c>
      <c r="DZ4" t="s">
        <v>191</v>
      </c>
      <c r="EA4">
        <v>37.82</v>
      </c>
      <c r="EB4" t="s">
        <v>183</v>
      </c>
      <c r="EC4">
        <v>0.35</v>
      </c>
      <c r="ED4" t="s">
        <v>192</v>
      </c>
      <c r="EE4" t="s">
        <v>193</v>
      </c>
      <c r="EF4" t="s">
        <v>194</v>
      </c>
      <c r="EG4">
        <v>1.0271999999999999</v>
      </c>
      <c r="EH4" t="s">
        <v>183</v>
      </c>
      <c r="EI4">
        <v>5.9999999999999995E-4</v>
      </c>
      <c r="EJ4" t="s">
        <v>195</v>
      </c>
      <c r="EK4" t="s">
        <v>167</v>
      </c>
      <c r="EL4" t="s">
        <v>167</v>
      </c>
      <c r="EM4" s="145" t="s">
        <v>167</v>
      </c>
      <c r="EN4" s="145" t="s">
        <v>196</v>
      </c>
      <c r="EO4" s="145" t="s">
        <v>197</v>
      </c>
      <c r="EP4" s="145" t="s">
        <v>197</v>
      </c>
      <c r="EQ4" s="145" t="s">
        <v>167</v>
      </c>
      <c r="ER4" s="145" t="s">
        <v>167</v>
      </c>
      <c r="ES4" s="145" t="s">
        <v>167</v>
      </c>
      <c r="ET4" t="s">
        <v>198</v>
      </c>
      <c r="EU4" t="s">
        <v>199</v>
      </c>
      <c r="EV4" t="s">
        <v>200</v>
      </c>
      <c r="EW4">
        <v>1293</v>
      </c>
      <c r="EX4" t="s">
        <v>201</v>
      </c>
      <c r="EY4">
        <v>200</v>
      </c>
      <c r="EZ4">
        <v>200</v>
      </c>
      <c r="FA4" s="145" t="s">
        <v>167</v>
      </c>
      <c r="FB4" s="145" t="s">
        <v>167</v>
      </c>
      <c r="FC4" s="145" t="s">
        <v>167</v>
      </c>
      <c r="FD4" s="145" t="s">
        <v>167</v>
      </c>
      <c r="FE4" s="143">
        <v>8.09</v>
      </c>
      <c r="FF4" s="170" t="s">
        <v>167</v>
      </c>
      <c r="FG4" s="143">
        <v>0.02</v>
      </c>
      <c r="FH4" s="143">
        <v>0.02</v>
      </c>
      <c r="FI4" s="171">
        <f>FL4</f>
        <v>190</v>
      </c>
      <c r="FJ4" s="143" t="s">
        <v>202</v>
      </c>
      <c r="FK4" s="151" t="s">
        <v>167</v>
      </c>
      <c r="FL4" s="143">
        <v>190</v>
      </c>
      <c r="FM4" s="143">
        <v>36</v>
      </c>
      <c r="FN4" s="143">
        <v>36</v>
      </c>
      <c r="FO4" s="151" t="s">
        <v>167</v>
      </c>
      <c r="FP4" s="172" t="s">
        <v>203</v>
      </c>
      <c r="FQ4" s="145" t="s">
        <v>167</v>
      </c>
      <c r="FR4" s="145" t="s">
        <v>167</v>
      </c>
      <c r="FS4" s="145" t="s">
        <v>167</v>
      </c>
      <c r="FT4" s="145" t="s">
        <v>167</v>
      </c>
      <c r="FU4" s="145" t="s">
        <v>167</v>
      </c>
      <c r="FV4" s="145" t="s">
        <v>167</v>
      </c>
      <c r="FW4" s="145" t="s">
        <v>167</v>
      </c>
      <c r="FX4" s="145" t="s">
        <v>167</v>
      </c>
      <c r="FY4" s="145" t="s">
        <v>167</v>
      </c>
      <c r="FZ4" s="145" t="s">
        <v>167</v>
      </c>
      <c r="GA4" s="145" t="s">
        <v>167</v>
      </c>
      <c r="GB4" s="145" t="s">
        <v>167</v>
      </c>
    </row>
    <row r="5" spans="1:185" ht="16" x14ac:dyDescent="0.2">
      <c r="A5" t="s">
        <v>256</v>
      </c>
      <c r="B5" s="144" t="s">
        <v>257</v>
      </c>
      <c r="C5" s="138" t="s">
        <v>168</v>
      </c>
      <c r="D5" t="s">
        <v>254</v>
      </c>
      <c r="E5">
        <v>2012</v>
      </c>
      <c r="F5" t="str">
        <f>Z5</f>
        <v xml:space="preserve">10.1016/j.epsl.2012.06.007 </v>
      </c>
      <c r="G5" s="148">
        <f>AS5</f>
        <v>12720</v>
      </c>
      <c r="H5" s="145" t="str">
        <f>AU5</f>
        <v>NA</v>
      </c>
      <c r="I5" s="145" t="str">
        <f>AV5</f>
        <v>NA</v>
      </c>
      <c r="J5" s="154">
        <f>FL5</f>
        <v>223</v>
      </c>
      <c r="K5" s="154">
        <f t="shared" ref="K5:K6" si="1">FM5</f>
        <v>42</v>
      </c>
      <c r="L5" s="154">
        <f t="shared" ref="L5:L6" si="2">FN5</f>
        <v>41</v>
      </c>
      <c r="M5" t="b">
        <v>1</v>
      </c>
      <c r="N5">
        <v>3</v>
      </c>
      <c r="O5" t="s">
        <v>169</v>
      </c>
      <c r="P5" s="173" t="s">
        <v>170</v>
      </c>
      <c r="Q5" t="b">
        <v>0</v>
      </c>
      <c r="R5" t="s">
        <v>167</v>
      </c>
      <c r="S5" t="b">
        <v>1</v>
      </c>
      <c r="T5" t="b">
        <v>0</v>
      </c>
      <c r="U5" t="s">
        <v>167</v>
      </c>
      <c r="V5" t="s">
        <v>167</v>
      </c>
      <c r="W5" t="b">
        <v>0</v>
      </c>
      <c r="X5" t="s">
        <v>167</v>
      </c>
      <c r="Y5" s="139" t="s">
        <v>171</v>
      </c>
      <c r="Z5" t="s">
        <v>172</v>
      </c>
      <c r="AA5">
        <v>761</v>
      </c>
      <c r="AB5" t="s">
        <v>173</v>
      </c>
      <c r="AC5">
        <v>5</v>
      </c>
      <c r="AD5">
        <v>4</v>
      </c>
      <c r="AE5">
        <v>123</v>
      </c>
      <c r="AF5">
        <v>125</v>
      </c>
      <c r="AG5" s="145" t="s">
        <v>167</v>
      </c>
      <c r="AH5">
        <v>38.4</v>
      </c>
      <c r="AI5" s="145" t="s">
        <v>167</v>
      </c>
      <c r="AJ5" t="s">
        <v>174</v>
      </c>
      <c r="AK5" s="166">
        <v>-16.739999999999998</v>
      </c>
      <c r="AL5" s="166">
        <v>115.536</v>
      </c>
      <c r="AM5" t="s">
        <v>167</v>
      </c>
      <c r="AN5" t="s">
        <v>167</v>
      </c>
      <c r="AO5" s="167">
        <v>-2179</v>
      </c>
      <c r="AP5" t="s">
        <v>167</v>
      </c>
      <c r="AQ5" t="s">
        <v>167</v>
      </c>
      <c r="AR5" s="151" t="s">
        <v>167</v>
      </c>
      <c r="AS5">
        <v>12720</v>
      </c>
      <c r="AT5" s="168" t="s">
        <v>167</v>
      </c>
      <c r="AU5" s="168" t="s">
        <v>167</v>
      </c>
      <c r="AV5" s="168" t="s">
        <v>167</v>
      </c>
      <c r="AW5" s="168" t="s">
        <v>167</v>
      </c>
      <c r="AX5" s="168" t="s">
        <v>167</v>
      </c>
      <c r="AY5" s="168" t="s">
        <v>167</v>
      </c>
      <c r="AZ5" t="s">
        <v>167</v>
      </c>
      <c r="BA5" t="s">
        <v>167</v>
      </c>
      <c r="BB5" t="s">
        <v>167</v>
      </c>
      <c r="BC5" t="s">
        <v>167</v>
      </c>
      <c r="BD5" t="s">
        <v>167</v>
      </c>
      <c r="BE5" t="s">
        <v>167</v>
      </c>
      <c r="BF5" t="s">
        <v>167</v>
      </c>
      <c r="BG5" t="s">
        <v>175</v>
      </c>
      <c r="BH5" t="s">
        <v>176</v>
      </c>
      <c r="BI5" t="s">
        <v>177</v>
      </c>
      <c r="BJ5" t="s">
        <v>178</v>
      </c>
      <c r="BK5" t="s">
        <v>179</v>
      </c>
      <c r="BL5" t="s">
        <v>180</v>
      </c>
      <c r="BM5" t="s">
        <v>181</v>
      </c>
      <c r="BN5" t="s">
        <v>204</v>
      </c>
      <c r="BO5">
        <v>2</v>
      </c>
      <c r="BP5">
        <v>0.23000000000000043</v>
      </c>
      <c r="BQ5">
        <v>16.62</v>
      </c>
      <c r="BR5" t="s">
        <v>183</v>
      </c>
      <c r="BS5">
        <v>0.23</v>
      </c>
      <c r="BT5">
        <v>0.88</v>
      </c>
      <c r="BU5" t="s">
        <v>183</v>
      </c>
      <c r="BV5" s="168" t="s">
        <v>167</v>
      </c>
      <c r="BW5">
        <v>1.85</v>
      </c>
      <c r="BX5" t="s">
        <v>183</v>
      </c>
      <c r="BY5" s="168" t="s">
        <v>167</v>
      </c>
      <c r="BZ5" t="s">
        <v>184</v>
      </c>
      <c r="CA5" s="145" t="s">
        <v>185</v>
      </c>
      <c r="CB5" s="149">
        <f t="shared" ref="CB5:CB19" si="3">(BQ5-1.85)/0.88</f>
        <v>16.78409090909091</v>
      </c>
      <c r="CC5" s="145" t="s">
        <v>167</v>
      </c>
      <c r="CD5" s="145" t="s">
        <v>167</v>
      </c>
      <c r="CE5" s="145" t="s">
        <v>167</v>
      </c>
      <c r="CF5" s="145" t="s">
        <v>167</v>
      </c>
      <c r="CG5" s="145" t="s">
        <v>186</v>
      </c>
      <c r="CH5" s="145" t="s">
        <v>187</v>
      </c>
      <c r="CI5" s="145" t="s">
        <v>187</v>
      </c>
      <c r="CJ5" s="143">
        <v>30.4</v>
      </c>
      <c r="CK5" t="s">
        <v>183</v>
      </c>
      <c r="CL5" s="138">
        <f t="shared" ref="CL5:CL19" si="4">CJ5+1.5</f>
        <v>31.9</v>
      </c>
      <c r="CM5" s="138">
        <f t="shared" ref="CM5:CM19" si="5">CJ5-1.5</f>
        <v>28.9</v>
      </c>
      <c r="CN5" t="s">
        <v>167</v>
      </c>
      <c r="CO5">
        <v>4</v>
      </c>
      <c r="CP5" t="s">
        <v>183</v>
      </c>
      <c r="CQ5" s="150">
        <f t="shared" ref="CQ5:CQ19" si="6">CO5*0.015</f>
        <v>0.06</v>
      </c>
      <c r="CR5" s="150">
        <f t="shared" ref="CR5:CR19" si="7">CO5*0.015</f>
        <v>0.06</v>
      </c>
      <c r="CS5" s="145" t="s">
        <v>167</v>
      </c>
      <c r="CT5" t="s">
        <v>188</v>
      </c>
      <c r="CU5" s="145">
        <v>3.43</v>
      </c>
      <c r="CV5" s="145" t="s">
        <v>189</v>
      </c>
      <c r="CW5" s="145" t="s">
        <v>167</v>
      </c>
      <c r="CX5" s="145" t="s">
        <v>167</v>
      </c>
      <c r="CY5" s="145" t="s">
        <v>167</v>
      </c>
      <c r="CZ5" t="s">
        <v>167</v>
      </c>
      <c r="DA5" t="s">
        <v>167</v>
      </c>
      <c r="DB5" t="s">
        <v>167</v>
      </c>
      <c r="DC5" t="s">
        <v>167</v>
      </c>
      <c r="DD5" t="s">
        <v>167</v>
      </c>
      <c r="DE5" t="s">
        <v>167</v>
      </c>
      <c r="DF5" t="s">
        <v>167</v>
      </c>
      <c r="DG5">
        <v>35</v>
      </c>
      <c r="DH5" t="s">
        <v>183</v>
      </c>
      <c r="DI5" s="145" t="s">
        <v>167</v>
      </c>
      <c r="DJ5" s="145" t="s">
        <v>190</v>
      </c>
      <c r="DK5" s="145" t="s">
        <v>167</v>
      </c>
      <c r="DL5" s="145" t="s">
        <v>167</v>
      </c>
      <c r="DM5" s="145" t="s">
        <v>167</v>
      </c>
      <c r="DN5" s="145" t="s">
        <v>167</v>
      </c>
      <c r="DO5" s="145" t="s">
        <v>167</v>
      </c>
      <c r="DP5" s="145" t="s">
        <v>167</v>
      </c>
      <c r="DQ5" s="145" t="s">
        <v>167</v>
      </c>
      <c r="DR5" s="145" t="s">
        <v>167</v>
      </c>
      <c r="DS5" s="145" t="s">
        <v>167</v>
      </c>
      <c r="DT5" s="145" t="s">
        <v>167</v>
      </c>
      <c r="DU5" s="145" t="s">
        <v>167</v>
      </c>
      <c r="DV5" s="145" t="s">
        <v>167</v>
      </c>
      <c r="DW5" s="148">
        <v>432.56244218316402</v>
      </c>
      <c r="DX5" s="145" t="s">
        <v>167</v>
      </c>
      <c r="DY5" s="145" t="s">
        <v>167</v>
      </c>
      <c r="DZ5" t="s">
        <v>191</v>
      </c>
      <c r="EA5">
        <v>37.82</v>
      </c>
      <c r="EB5" t="s">
        <v>183</v>
      </c>
      <c r="EC5">
        <v>0.35</v>
      </c>
      <c r="ED5" t="s">
        <v>192</v>
      </c>
      <c r="EE5" t="s">
        <v>205</v>
      </c>
      <c r="EF5" t="s">
        <v>194</v>
      </c>
      <c r="EG5">
        <v>1.0271999999999999</v>
      </c>
      <c r="EH5" t="s">
        <v>183</v>
      </c>
      <c r="EI5">
        <v>5.9999999999999995E-4</v>
      </c>
      <c r="EJ5" t="s">
        <v>195</v>
      </c>
      <c r="EK5" t="s">
        <v>167</v>
      </c>
      <c r="EL5" t="s">
        <v>167</v>
      </c>
      <c r="EM5" s="145" t="s">
        <v>167</v>
      </c>
      <c r="EN5" s="145" t="s">
        <v>206</v>
      </c>
      <c r="EO5" s="145" t="s">
        <v>197</v>
      </c>
      <c r="EP5" s="145" t="s">
        <v>197</v>
      </c>
      <c r="EQ5" s="145" t="s">
        <v>167</v>
      </c>
      <c r="ER5" s="145" t="s">
        <v>167</v>
      </c>
      <c r="ES5" s="145" t="s">
        <v>167</v>
      </c>
      <c r="ET5" t="s">
        <v>198</v>
      </c>
      <c r="EU5" t="s">
        <v>199</v>
      </c>
      <c r="EV5" t="s">
        <v>200</v>
      </c>
      <c r="EW5">
        <v>1293</v>
      </c>
      <c r="EX5" t="s">
        <v>201</v>
      </c>
      <c r="EY5">
        <v>200</v>
      </c>
      <c r="EZ5">
        <v>200</v>
      </c>
      <c r="FA5" s="145" t="s">
        <v>167</v>
      </c>
      <c r="FB5" s="145" t="s">
        <v>167</v>
      </c>
      <c r="FC5" s="145" t="s">
        <v>167</v>
      </c>
      <c r="FD5" s="145" t="s">
        <v>167</v>
      </c>
      <c r="FE5" s="143">
        <v>8.0299999999999994</v>
      </c>
      <c r="FF5" s="170" t="s">
        <v>167</v>
      </c>
      <c r="FG5" s="143">
        <v>0.02</v>
      </c>
      <c r="FH5" s="143">
        <v>0.02</v>
      </c>
      <c r="FI5" s="171">
        <f t="shared" ref="FI5:FI19" si="8">FL5</f>
        <v>223</v>
      </c>
      <c r="FJ5" s="143" t="s">
        <v>202</v>
      </c>
      <c r="FK5" s="151" t="s">
        <v>167</v>
      </c>
      <c r="FL5" s="143">
        <v>223</v>
      </c>
      <c r="FM5" s="143">
        <v>42</v>
      </c>
      <c r="FN5" s="143">
        <v>41</v>
      </c>
      <c r="FO5" s="151" t="s">
        <v>167</v>
      </c>
      <c r="FP5" s="172" t="s">
        <v>203</v>
      </c>
      <c r="FQ5" s="145" t="s">
        <v>167</v>
      </c>
      <c r="FR5" s="145" t="s">
        <v>167</v>
      </c>
      <c r="FS5" s="145" t="s">
        <v>167</v>
      </c>
      <c r="FT5" s="145" t="s">
        <v>167</v>
      </c>
      <c r="FU5" s="145" t="s">
        <v>167</v>
      </c>
      <c r="FV5" s="145" t="s">
        <v>167</v>
      </c>
      <c r="FW5" s="145" t="s">
        <v>167</v>
      </c>
      <c r="FX5" s="145" t="s">
        <v>167</v>
      </c>
      <c r="FY5" s="145" t="s">
        <v>167</v>
      </c>
      <c r="FZ5" s="145" t="s">
        <v>167</v>
      </c>
      <c r="GA5" s="145" t="s">
        <v>167</v>
      </c>
      <c r="GB5" s="145" t="s">
        <v>167</v>
      </c>
    </row>
    <row r="6" spans="1:185" ht="16" x14ac:dyDescent="0.2">
      <c r="A6" t="s">
        <v>256</v>
      </c>
      <c r="B6" s="144" t="s">
        <v>257</v>
      </c>
      <c r="C6" s="138" t="s">
        <v>168</v>
      </c>
      <c r="D6" t="s">
        <v>254</v>
      </c>
      <c r="E6">
        <v>2012</v>
      </c>
      <c r="F6" t="str">
        <f t="shared" ref="F6:F19" si="9">Z6</f>
        <v>10.1016/j.epsl.2012.06.007</v>
      </c>
      <c r="G6" s="148">
        <f t="shared" ref="G6:G19" si="10">AS6</f>
        <v>13250</v>
      </c>
      <c r="H6" s="145" t="str">
        <f t="shared" ref="H6:H19" si="11">AU6</f>
        <v>NA</v>
      </c>
      <c r="I6" s="145" t="str">
        <f t="shared" ref="I6:I19" si="12">AV6</f>
        <v>NA</v>
      </c>
      <c r="J6" s="154">
        <f t="shared" ref="J6:J19" si="13">FL6</f>
        <v>244</v>
      </c>
      <c r="K6" s="154">
        <f t="shared" si="1"/>
        <v>47</v>
      </c>
      <c r="L6" s="154">
        <f t="shared" si="2"/>
        <v>46</v>
      </c>
      <c r="M6" t="b">
        <v>1</v>
      </c>
      <c r="N6">
        <v>3</v>
      </c>
      <c r="O6" t="s">
        <v>169</v>
      </c>
      <c r="P6" s="173" t="s">
        <v>170</v>
      </c>
      <c r="Q6" t="b">
        <v>0</v>
      </c>
      <c r="R6" t="s">
        <v>167</v>
      </c>
      <c r="S6" t="b">
        <v>1</v>
      </c>
      <c r="T6" t="b">
        <v>0</v>
      </c>
      <c r="U6" t="s">
        <v>167</v>
      </c>
      <c r="V6" t="s">
        <v>167</v>
      </c>
      <c r="W6" t="b">
        <v>0</v>
      </c>
      <c r="X6" t="s">
        <v>167</v>
      </c>
      <c r="Y6" s="139" t="s">
        <v>171</v>
      </c>
      <c r="Z6" t="s">
        <v>207</v>
      </c>
      <c r="AA6">
        <v>761</v>
      </c>
      <c r="AB6" t="s">
        <v>173</v>
      </c>
      <c r="AC6">
        <v>5</v>
      </c>
      <c r="AD6">
        <v>5</v>
      </c>
      <c r="AE6">
        <v>103</v>
      </c>
      <c r="AF6">
        <v>105</v>
      </c>
      <c r="AG6" s="145" t="s">
        <v>167</v>
      </c>
      <c r="AH6">
        <v>39.700000000000003</v>
      </c>
      <c r="AI6" s="145" t="s">
        <v>167</v>
      </c>
      <c r="AJ6" t="s">
        <v>174</v>
      </c>
      <c r="AK6" s="166">
        <v>-16.739999999999998</v>
      </c>
      <c r="AL6" s="166">
        <v>115.536</v>
      </c>
      <c r="AM6" t="s">
        <v>167</v>
      </c>
      <c r="AN6" t="s">
        <v>167</v>
      </c>
      <c r="AO6" s="167">
        <v>-2179</v>
      </c>
      <c r="AP6" t="s">
        <v>167</v>
      </c>
      <c r="AQ6" t="s">
        <v>167</v>
      </c>
      <c r="AR6" s="151" t="s">
        <v>167</v>
      </c>
      <c r="AS6">
        <v>13250</v>
      </c>
      <c r="AT6" s="168" t="s">
        <v>167</v>
      </c>
      <c r="AU6" s="168" t="s">
        <v>167</v>
      </c>
      <c r="AV6" s="168" t="s">
        <v>167</v>
      </c>
      <c r="AW6" s="168" t="s">
        <v>167</v>
      </c>
      <c r="AX6" s="168" t="s">
        <v>167</v>
      </c>
      <c r="AY6" s="168" t="s">
        <v>167</v>
      </c>
      <c r="AZ6" t="s">
        <v>167</v>
      </c>
      <c r="BA6" t="s">
        <v>167</v>
      </c>
      <c r="BB6" t="s">
        <v>167</v>
      </c>
      <c r="BC6" t="s">
        <v>167</v>
      </c>
      <c r="BD6" t="s">
        <v>167</v>
      </c>
      <c r="BE6" t="s">
        <v>167</v>
      </c>
      <c r="BF6" t="s">
        <v>167</v>
      </c>
      <c r="BG6" t="s">
        <v>175</v>
      </c>
      <c r="BH6" t="s">
        <v>176</v>
      </c>
      <c r="BI6" t="s">
        <v>177</v>
      </c>
      <c r="BJ6" t="s">
        <v>178</v>
      </c>
      <c r="BK6" t="s">
        <v>179</v>
      </c>
      <c r="BL6" t="s">
        <v>180</v>
      </c>
      <c r="BM6" t="s">
        <v>181</v>
      </c>
      <c r="BN6" t="s">
        <v>208</v>
      </c>
      <c r="BO6">
        <v>2</v>
      </c>
      <c r="BP6">
        <v>9.9999999999980105E-3</v>
      </c>
      <c r="BQ6">
        <v>16.329999999999998</v>
      </c>
      <c r="BR6" t="s">
        <v>183</v>
      </c>
      <c r="BS6">
        <v>0.26</v>
      </c>
      <c r="BT6">
        <v>0.88</v>
      </c>
      <c r="BU6" t="s">
        <v>183</v>
      </c>
      <c r="BV6" s="168" t="s">
        <v>167</v>
      </c>
      <c r="BW6">
        <v>1.85</v>
      </c>
      <c r="BX6" t="s">
        <v>183</v>
      </c>
      <c r="BY6" s="168" t="s">
        <v>167</v>
      </c>
      <c r="BZ6" t="s">
        <v>184</v>
      </c>
      <c r="CA6" s="145" t="s">
        <v>185</v>
      </c>
      <c r="CB6" s="149">
        <f t="shared" si="3"/>
        <v>16.454545454545453</v>
      </c>
      <c r="CC6" s="145" t="s">
        <v>167</v>
      </c>
      <c r="CD6" s="145" t="s">
        <v>167</v>
      </c>
      <c r="CE6" s="145" t="s">
        <v>167</v>
      </c>
      <c r="CF6" s="145" t="s">
        <v>167</v>
      </c>
      <c r="CG6" s="145" t="s">
        <v>186</v>
      </c>
      <c r="CH6" s="145" t="s">
        <v>187</v>
      </c>
      <c r="CI6" s="145" t="s">
        <v>187</v>
      </c>
      <c r="CJ6" s="143">
        <v>30.5</v>
      </c>
      <c r="CK6" t="s">
        <v>183</v>
      </c>
      <c r="CL6" s="138">
        <f t="shared" si="4"/>
        <v>32</v>
      </c>
      <c r="CM6" s="138">
        <f t="shared" si="5"/>
        <v>29</v>
      </c>
      <c r="CN6" t="s">
        <v>167</v>
      </c>
      <c r="CO6">
        <v>4.0599999999999996</v>
      </c>
      <c r="CP6" t="s">
        <v>183</v>
      </c>
      <c r="CQ6" s="150">
        <f t="shared" si="6"/>
        <v>6.0899999999999989E-2</v>
      </c>
      <c r="CR6" s="150">
        <f t="shared" si="7"/>
        <v>6.0899999999999989E-2</v>
      </c>
      <c r="CS6" s="145" t="s">
        <v>167</v>
      </c>
      <c r="CT6" t="s">
        <v>188</v>
      </c>
      <c r="CU6" s="145">
        <v>3.43</v>
      </c>
      <c r="CV6" s="145" t="s">
        <v>189</v>
      </c>
      <c r="CW6" s="145" t="s">
        <v>167</v>
      </c>
      <c r="CX6" s="145" t="s">
        <v>167</v>
      </c>
      <c r="CY6" s="145" t="s">
        <v>167</v>
      </c>
      <c r="CZ6" t="s">
        <v>167</v>
      </c>
      <c r="DA6" t="s">
        <v>167</v>
      </c>
      <c r="DB6" t="s">
        <v>167</v>
      </c>
      <c r="DC6" t="s">
        <v>167</v>
      </c>
      <c r="DD6" t="s">
        <v>167</v>
      </c>
      <c r="DE6" t="s">
        <v>167</v>
      </c>
      <c r="DF6" t="s">
        <v>167</v>
      </c>
      <c r="DG6">
        <v>35</v>
      </c>
      <c r="DH6" t="s">
        <v>183</v>
      </c>
      <c r="DI6" s="145" t="s">
        <v>167</v>
      </c>
      <c r="DJ6" s="145" t="s">
        <v>190</v>
      </c>
      <c r="DK6" s="145" t="s">
        <v>167</v>
      </c>
      <c r="DL6" s="145" t="s">
        <v>167</v>
      </c>
      <c r="DM6" s="145" t="s">
        <v>167</v>
      </c>
      <c r="DN6" s="145" t="s">
        <v>167</v>
      </c>
      <c r="DO6" s="145" t="s">
        <v>167</v>
      </c>
      <c r="DP6" s="145" t="s">
        <v>167</v>
      </c>
      <c r="DQ6" s="145" t="s">
        <v>167</v>
      </c>
      <c r="DR6" s="145" t="s">
        <v>167</v>
      </c>
      <c r="DS6" s="145" t="s">
        <v>167</v>
      </c>
      <c r="DT6" s="145" t="s">
        <v>167</v>
      </c>
      <c r="DU6" s="145" t="s">
        <v>167</v>
      </c>
      <c r="DV6" s="145" t="s">
        <v>167</v>
      </c>
      <c r="DW6" s="148">
        <v>432.56244218316402</v>
      </c>
      <c r="DX6" s="145" t="s">
        <v>167</v>
      </c>
      <c r="DY6" s="145" t="s">
        <v>167</v>
      </c>
      <c r="DZ6" t="s">
        <v>191</v>
      </c>
      <c r="EA6">
        <v>37.82</v>
      </c>
      <c r="EB6" t="s">
        <v>183</v>
      </c>
      <c r="EC6">
        <v>0.35</v>
      </c>
      <c r="ED6" t="s">
        <v>192</v>
      </c>
      <c r="EE6" t="s">
        <v>209</v>
      </c>
      <c r="EF6" t="s">
        <v>194</v>
      </c>
      <c r="EG6">
        <v>1.0271999999999999</v>
      </c>
      <c r="EH6" t="s">
        <v>183</v>
      </c>
      <c r="EI6">
        <v>5.9999999999999995E-4</v>
      </c>
      <c r="EJ6" t="s">
        <v>195</v>
      </c>
      <c r="EK6" t="s">
        <v>167</v>
      </c>
      <c r="EL6" t="s">
        <v>167</v>
      </c>
      <c r="EM6" s="145" t="s">
        <v>167</v>
      </c>
      <c r="EN6" s="145" t="s">
        <v>210</v>
      </c>
      <c r="EO6" s="145" t="s">
        <v>197</v>
      </c>
      <c r="EP6" s="145" t="s">
        <v>197</v>
      </c>
      <c r="EQ6" s="145" t="s">
        <v>167</v>
      </c>
      <c r="ER6" s="145" t="s">
        <v>167</v>
      </c>
      <c r="ES6" s="145" t="s">
        <v>167</v>
      </c>
      <c r="ET6" t="s">
        <v>198</v>
      </c>
      <c r="EU6" t="s">
        <v>199</v>
      </c>
      <c r="EV6" t="s">
        <v>200</v>
      </c>
      <c r="EW6">
        <v>1293</v>
      </c>
      <c r="EX6" t="s">
        <v>201</v>
      </c>
      <c r="EY6">
        <v>200</v>
      </c>
      <c r="EZ6">
        <v>200</v>
      </c>
      <c r="FA6" s="145" t="s">
        <v>167</v>
      </c>
      <c r="FB6" s="145" t="s">
        <v>167</v>
      </c>
      <c r="FC6" s="145" t="s">
        <v>167</v>
      </c>
      <c r="FD6" s="145" t="s">
        <v>167</v>
      </c>
      <c r="FE6" s="143">
        <v>8</v>
      </c>
      <c r="FF6" s="170" t="s">
        <v>167</v>
      </c>
      <c r="FG6" s="143">
        <v>0.03</v>
      </c>
      <c r="FH6" s="143">
        <v>0.03</v>
      </c>
      <c r="FI6" s="171">
        <f t="shared" si="8"/>
        <v>244</v>
      </c>
      <c r="FJ6" s="143" t="s">
        <v>202</v>
      </c>
      <c r="FK6" s="151" t="s">
        <v>167</v>
      </c>
      <c r="FL6" s="143">
        <v>244</v>
      </c>
      <c r="FM6" s="143">
        <v>47</v>
      </c>
      <c r="FN6" s="143">
        <v>46</v>
      </c>
      <c r="FO6" s="151" t="s">
        <v>167</v>
      </c>
      <c r="FP6" s="172" t="s">
        <v>203</v>
      </c>
      <c r="FQ6" s="145" t="s">
        <v>167</v>
      </c>
      <c r="FR6" s="145" t="s">
        <v>167</v>
      </c>
      <c r="FS6" s="145" t="s">
        <v>167</v>
      </c>
      <c r="FT6" s="145" t="s">
        <v>167</v>
      </c>
      <c r="FU6" s="145" t="s">
        <v>167</v>
      </c>
      <c r="FV6" s="145" t="s">
        <v>167</v>
      </c>
      <c r="FW6" s="145" t="s">
        <v>167</v>
      </c>
      <c r="FX6" s="145" t="s">
        <v>167</v>
      </c>
      <c r="FY6" s="145" t="s">
        <v>167</v>
      </c>
      <c r="FZ6" s="145" t="s">
        <v>167</v>
      </c>
      <c r="GA6" s="145" t="s">
        <v>167</v>
      </c>
      <c r="GB6" s="145" t="s">
        <v>167</v>
      </c>
    </row>
    <row r="7" spans="1:185" ht="16" x14ac:dyDescent="0.2">
      <c r="A7" t="s">
        <v>256</v>
      </c>
      <c r="B7" s="144" t="s">
        <v>257</v>
      </c>
      <c r="C7" s="138" t="s">
        <v>168</v>
      </c>
      <c r="D7" t="s">
        <v>254</v>
      </c>
      <c r="E7">
        <v>2012</v>
      </c>
      <c r="F7" t="str">
        <f t="shared" si="9"/>
        <v>10.1016/j.epsl.2012.06.007</v>
      </c>
      <c r="G7" s="148">
        <f t="shared" si="10"/>
        <v>13480</v>
      </c>
      <c r="H7" s="145" t="str">
        <f t="shared" si="11"/>
        <v>NA</v>
      </c>
      <c r="I7" s="145" t="str">
        <f t="shared" si="12"/>
        <v>NA</v>
      </c>
      <c r="J7" s="154">
        <f t="shared" si="13"/>
        <v>243</v>
      </c>
      <c r="K7" s="154">
        <f t="shared" ref="K7:K19" si="14">FM7</f>
        <v>47</v>
      </c>
      <c r="L7" s="154">
        <f t="shared" ref="L7:L19" si="15">FN7</f>
        <v>46</v>
      </c>
      <c r="M7" t="b">
        <v>1</v>
      </c>
      <c r="N7">
        <v>3</v>
      </c>
      <c r="O7" t="s">
        <v>169</v>
      </c>
      <c r="P7" s="173" t="s">
        <v>170</v>
      </c>
      <c r="Q7" t="b">
        <v>0</v>
      </c>
      <c r="R7" t="s">
        <v>167</v>
      </c>
      <c r="S7" t="b">
        <v>1</v>
      </c>
      <c r="T7" t="b">
        <v>0</v>
      </c>
      <c r="U7" t="s">
        <v>167</v>
      </c>
      <c r="V7" t="s">
        <v>167</v>
      </c>
      <c r="W7" t="b">
        <v>0</v>
      </c>
      <c r="X7" t="s">
        <v>167</v>
      </c>
      <c r="Y7" s="139" t="s">
        <v>171</v>
      </c>
      <c r="Z7" t="s">
        <v>207</v>
      </c>
      <c r="AA7">
        <v>761</v>
      </c>
      <c r="AB7" t="s">
        <v>173</v>
      </c>
      <c r="AC7">
        <v>5</v>
      </c>
      <c r="AD7">
        <v>6</v>
      </c>
      <c r="AE7">
        <v>8</v>
      </c>
      <c r="AF7">
        <v>10</v>
      </c>
      <c r="AG7" s="145" t="s">
        <v>167</v>
      </c>
      <c r="AH7">
        <v>40.299999999999997</v>
      </c>
      <c r="AI7" s="145" t="s">
        <v>167</v>
      </c>
      <c r="AJ7" t="s">
        <v>174</v>
      </c>
      <c r="AK7" s="166">
        <v>-16.739999999999998</v>
      </c>
      <c r="AL7" s="166">
        <v>115.536</v>
      </c>
      <c r="AM7" t="s">
        <v>167</v>
      </c>
      <c r="AN7" t="s">
        <v>167</v>
      </c>
      <c r="AO7" s="167">
        <v>-2179</v>
      </c>
      <c r="AP7" t="s">
        <v>167</v>
      </c>
      <c r="AQ7" t="s">
        <v>167</v>
      </c>
      <c r="AR7" s="151" t="s">
        <v>167</v>
      </c>
      <c r="AS7">
        <v>13480</v>
      </c>
      <c r="AT7" s="168" t="s">
        <v>167</v>
      </c>
      <c r="AU7" s="168" t="s">
        <v>167</v>
      </c>
      <c r="AV7" s="168" t="s">
        <v>167</v>
      </c>
      <c r="AW7" s="168" t="s">
        <v>167</v>
      </c>
      <c r="AX7" s="168" t="s">
        <v>167</v>
      </c>
      <c r="AY7" s="168" t="s">
        <v>167</v>
      </c>
      <c r="AZ7" t="s">
        <v>167</v>
      </c>
      <c r="BA7" t="s">
        <v>167</v>
      </c>
      <c r="BB7" t="s">
        <v>167</v>
      </c>
      <c r="BC7" t="s">
        <v>167</v>
      </c>
      <c r="BD7" t="s">
        <v>167</v>
      </c>
      <c r="BE7" t="s">
        <v>167</v>
      </c>
      <c r="BF7" t="s">
        <v>167</v>
      </c>
      <c r="BG7" t="s">
        <v>175</v>
      </c>
      <c r="BH7" t="s">
        <v>176</v>
      </c>
      <c r="BI7" t="s">
        <v>177</v>
      </c>
      <c r="BJ7" t="s">
        <v>178</v>
      </c>
      <c r="BK7" t="s">
        <v>179</v>
      </c>
      <c r="BL7" t="s">
        <v>180</v>
      </c>
      <c r="BM7" t="s">
        <v>181</v>
      </c>
      <c r="BN7" t="s">
        <v>211</v>
      </c>
      <c r="BO7">
        <v>2</v>
      </c>
      <c r="BP7">
        <v>0.12000000000000098</v>
      </c>
      <c r="BQ7">
        <v>16.36</v>
      </c>
      <c r="BR7" t="s">
        <v>183</v>
      </c>
      <c r="BS7">
        <v>0.27</v>
      </c>
      <c r="BT7">
        <v>0.88</v>
      </c>
      <c r="BU7" t="s">
        <v>183</v>
      </c>
      <c r="BV7" s="168" t="s">
        <v>167</v>
      </c>
      <c r="BW7">
        <v>1.85</v>
      </c>
      <c r="BX7" t="s">
        <v>183</v>
      </c>
      <c r="BY7" s="168" t="s">
        <v>167</v>
      </c>
      <c r="BZ7" t="s">
        <v>184</v>
      </c>
      <c r="CA7" s="145" t="s">
        <v>185</v>
      </c>
      <c r="CB7" s="149">
        <f t="shared" si="3"/>
        <v>16.488636363636363</v>
      </c>
      <c r="CC7" s="145" t="s">
        <v>167</v>
      </c>
      <c r="CD7" s="145" t="s">
        <v>167</v>
      </c>
      <c r="CE7" s="145" t="s">
        <v>167</v>
      </c>
      <c r="CF7" s="145" t="s">
        <v>167</v>
      </c>
      <c r="CG7" s="145" t="s">
        <v>186</v>
      </c>
      <c r="CH7" s="145" t="s">
        <v>187</v>
      </c>
      <c r="CI7" s="145" t="s">
        <v>187</v>
      </c>
      <c r="CJ7" s="143">
        <v>30.7</v>
      </c>
      <c r="CK7" t="s">
        <v>183</v>
      </c>
      <c r="CL7" s="138">
        <f t="shared" si="4"/>
        <v>32.200000000000003</v>
      </c>
      <c r="CM7" s="138">
        <f t="shared" si="5"/>
        <v>29.2</v>
      </c>
      <c r="CN7" t="s">
        <v>167</v>
      </c>
      <c r="CO7">
        <v>4.12</v>
      </c>
      <c r="CP7" t="s">
        <v>183</v>
      </c>
      <c r="CQ7" s="150">
        <f t="shared" si="6"/>
        <v>6.1800000000000001E-2</v>
      </c>
      <c r="CR7" s="150">
        <f t="shared" si="7"/>
        <v>6.1800000000000001E-2</v>
      </c>
      <c r="CS7" s="145" t="s">
        <v>167</v>
      </c>
      <c r="CT7" t="s">
        <v>188</v>
      </c>
      <c r="CU7" s="145">
        <v>3.43</v>
      </c>
      <c r="CV7" s="145" t="s">
        <v>189</v>
      </c>
      <c r="CW7" s="145" t="s">
        <v>167</v>
      </c>
      <c r="CX7" s="145" t="s">
        <v>167</v>
      </c>
      <c r="CY7" s="145" t="s">
        <v>167</v>
      </c>
      <c r="CZ7" t="s">
        <v>167</v>
      </c>
      <c r="DA7" t="s">
        <v>167</v>
      </c>
      <c r="DB7" t="s">
        <v>167</v>
      </c>
      <c r="DC7" t="s">
        <v>167</v>
      </c>
      <c r="DD7" t="s">
        <v>167</v>
      </c>
      <c r="DE7" t="s">
        <v>167</v>
      </c>
      <c r="DF7" t="s">
        <v>167</v>
      </c>
      <c r="DG7">
        <v>35</v>
      </c>
      <c r="DH7" t="s">
        <v>183</v>
      </c>
      <c r="DI7" s="145" t="s">
        <v>167</v>
      </c>
      <c r="DJ7" s="145" t="s">
        <v>190</v>
      </c>
      <c r="DK7" s="145" t="s">
        <v>167</v>
      </c>
      <c r="DL7" s="145" t="s">
        <v>167</v>
      </c>
      <c r="DM7" s="145" t="s">
        <v>167</v>
      </c>
      <c r="DN7" s="145" t="s">
        <v>167</v>
      </c>
      <c r="DO7" s="145" t="s">
        <v>167</v>
      </c>
      <c r="DP7" s="145" t="s">
        <v>167</v>
      </c>
      <c r="DQ7" s="145" t="s">
        <v>167</v>
      </c>
      <c r="DR7" s="145" t="s">
        <v>167</v>
      </c>
      <c r="DS7" s="145" t="s">
        <v>167</v>
      </c>
      <c r="DT7" s="145" t="s">
        <v>167</v>
      </c>
      <c r="DU7" s="145" t="s">
        <v>167</v>
      </c>
      <c r="DV7" s="145" t="s">
        <v>167</v>
      </c>
      <c r="DW7" s="148">
        <v>432.56244218316402</v>
      </c>
      <c r="DX7" s="145" t="s">
        <v>167</v>
      </c>
      <c r="DY7" s="145" t="s">
        <v>167</v>
      </c>
      <c r="DZ7" t="s">
        <v>191</v>
      </c>
      <c r="EA7">
        <v>37.82</v>
      </c>
      <c r="EB7" t="s">
        <v>183</v>
      </c>
      <c r="EC7">
        <v>0.35</v>
      </c>
      <c r="ED7" t="s">
        <v>192</v>
      </c>
      <c r="EE7" t="s">
        <v>212</v>
      </c>
      <c r="EF7" t="s">
        <v>194</v>
      </c>
      <c r="EG7">
        <v>1.0271999999999999</v>
      </c>
      <c r="EH7" t="s">
        <v>183</v>
      </c>
      <c r="EI7">
        <v>5.9999999999999995E-4</v>
      </c>
      <c r="EJ7" t="s">
        <v>195</v>
      </c>
      <c r="EK7" t="s">
        <v>167</v>
      </c>
      <c r="EL7" t="s">
        <v>167</v>
      </c>
      <c r="EM7" s="145" t="s">
        <v>167</v>
      </c>
      <c r="EN7" s="145" t="s">
        <v>213</v>
      </c>
      <c r="EO7" s="145" t="s">
        <v>197</v>
      </c>
      <c r="EP7" s="145" t="s">
        <v>197</v>
      </c>
      <c r="EQ7" s="145" t="s">
        <v>167</v>
      </c>
      <c r="ER7" s="145" t="s">
        <v>167</v>
      </c>
      <c r="ES7" s="145" t="s">
        <v>167</v>
      </c>
      <c r="ET7" t="s">
        <v>198</v>
      </c>
      <c r="EU7" t="s">
        <v>199</v>
      </c>
      <c r="EV7" t="s">
        <v>200</v>
      </c>
      <c r="EW7">
        <v>1293</v>
      </c>
      <c r="EX7" t="s">
        <v>201</v>
      </c>
      <c r="EY7">
        <v>200</v>
      </c>
      <c r="EZ7">
        <v>200</v>
      </c>
      <c r="FA7" s="145" t="s">
        <v>167</v>
      </c>
      <c r="FB7" s="145" t="s">
        <v>167</v>
      </c>
      <c r="FC7" s="145" t="s">
        <v>167</v>
      </c>
      <c r="FD7" s="145" t="s">
        <v>167</v>
      </c>
      <c r="FE7" s="143">
        <v>8</v>
      </c>
      <c r="FF7" s="170" t="s">
        <v>167</v>
      </c>
      <c r="FG7" s="143">
        <v>0.03</v>
      </c>
      <c r="FH7" s="143">
        <v>0.03</v>
      </c>
      <c r="FI7" s="171">
        <f t="shared" si="8"/>
        <v>243</v>
      </c>
      <c r="FJ7" s="143" t="s">
        <v>202</v>
      </c>
      <c r="FK7" s="151" t="s">
        <v>167</v>
      </c>
      <c r="FL7" s="143">
        <v>243</v>
      </c>
      <c r="FM7" s="143">
        <v>47</v>
      </c>
      <c r="FN7" s="143">
        <v>46</v>
      </c>
      <c r="FO7" s="151" t="s">
        <v>167</v>
      </c>
      <c r="FP7" s="172" t="s">
        <v>203</v>
      </c>
      <c r="FQ7" s="145" t="s">
        <v>167</v>
      </c>
      <c r="FR7" s="145" t="s">
        <v>167</v>
      </c>
      <c r="FS7" s="145" t="s">
        <v>167</v>
      </c>
      <c r="FT7" s="145" t="s">
        <v>167</v>
      </c>
      <c r="FU7" s="145" t="s">
        <v>167</v>
      </c>
      <c r="FV7" s="145" t="s">
        <v>167</v>
      </c>
      <c r="FW7" s="145" t="s">
        <v>167</v>
      </c>
      <c r="FX7" s="145" t="s">
        <v>167</v>
      </c>
      <c r="FY7" s="145" t="s">
        <v>167</v>
      </c>
      <c r="FZ7" s="145" t="s">
        <v>167</v>
      </c>
      <c r="GA7" s="145" t="s">
        <v>167</v>
      </c>
      <c r="GB7" s="145" t="s">
        <v>167</v>
      </c>
    </row>
    <row r="8" spans="1:185" ht="16" x14ac:dyDescent="0.2">
      <c r="A8" t="s">
        <v>256</v>
      </c>
      <c r="B8" s="144" t="s">
        <v>257</v>
      </c>
      <c r="C8" s="138" t="s">
        <v>168</v>
      </c>
      <c r="D8" t="s">
        <v>254</v>
      </c>
      <c r="E8">
        <v>2012</v>
      </c>
      <c r="F8" t="str">
        <f t="shared" si="9"/>
        <v>10.1016/j.epsl.2012.06.007</v>
      </c>
      <c r="G8" s="148">
        <f t="shared" si="10"/>
        <v>13720</v>
      </c>
      <c r="H8" s="145" t="str">
        <f t="shared" si="11"/>
        <v>NA</v>
      </c>
      <c r="I8" s="145" t="str">
        <f t="shared" si="12"/>
        <v>NA</v>
      </c>
      <c r="J8" s="154">
        <f t="shared" si="13"/>
        <v>240</v>
      </c>
      <c r="K8" s="154">
        <f t="shared" si="14"/>
        <v>46</v>
      </c>
      <c r="L8" s="154">
        <f t="shared" si="15"/>
        <v>45</v>
      </c>
      <c r="M8" t="b">
        <v>1</v>
      </c>
      <c r="N8">
        <v>3</v>
      </c>
      <c r="O8" t="s">
        <v>169</v>
      </c>
      <c r="P8" s="173" t="s">
        <v>170</v>
      </c>
      <c r="Q8" t="b">
        <v>0</v>
      </c>
      <c r="R8" t="s">
        <v>167</v>
      </c>
      <c r="S8" t="b">
        <v>1</v>
      </c>
      <c r="T8" t="b">
        <v>0</v>
      </c>
      <c r="U8" t="s">
        <v>167</v>
      </c>
      <c r="V8" t="s">
        <v>167</v>
      </c>
      <c r="W8" t="b">
        <v>0</v>
      </c>
      <c r="X8" t="s">
        <v>167</v>
      </c>
      <c r="Y8" s="139" t="s">
        <v>171</v>
      </c>
      <c r="Z8" t="s">
        <v>207</v>
      </c>
      <c r="AA8">
        <v>761</v>
      </c>
      <c r="AB8" t="s">
        <v>173</v>
      </c>
      <c r="AC8">
        <v>5</v>
      </c>
      <c r="AD8">
        <v>6</v>
      </c>
      <c r="AE8">
        <v>68</v>
      </c>
      <c r="AF8">
        <v>70</v>
      </c>
      <c r="AG8" s="145" t="s">
        <v>167</v>
      </c>
      <c r="AH8">
        <v>40.9</v>
      </c>
      <c r="AI8" s="145" t="s">
        <v>167</v>
      </c>
      <c r="AJ8" t="s">
        <v>174</v>
      </c>
      <c r="AK8" s="166">
        <v>-16.739999999999998</v>
      </c>
      <c r="AL8" s="166">
        <v>115.536</v>
      </c>
      <c r="AM8" t="s">
        <v>167</v>
      </c>
      <c r="AN8" t="s">
        <v>167</v>
      </c>
      <c r="AO8" s="167">
        <v>-2179</v>
      </c>
      <c r="AP8" t="s">
        <v>167</v>
      </c>
      <c r="AQ8" t="s">
        <v>167</v>
      </c>
      <c r="AR8" s="151" t="s">
        <v>167</v>
      </c>
      <c r="AS8">
        <v>13720</v>
      </c>
      <c r="AT8" s="168" t="s">
        <v>167</v>
      </c>
      <c r="AU8" s="168" t="s">
        <v>167</v>
      </c>
      <c r="AV8" s="168" t="s">
        <v>167</v>
      </c>
      <c r="AW8" s="168" t="s">
        <v>167</v>
      </c>
      <c r="AX8" s="168" t="s">
        <v>167</v>
      </c>
      <c r="AY8" s="168" t="s">
        <v>167</v>
      </c>
      <c r="AZ8" t="s">
        <v>167</v>
      </c>
      <c r="BA8" t="s">
        <v>167</v>
      </c>
      <c r="BB8" t="s">
        <v>167</v>
      </c>
      <c r="BC8" t="s">
        <v>167</v>
      </c>
      <c r="BD8" t="s">
        <v>167</v>
      </c>
      <c r="BE8" t="s">
        <v>167</v>
      </c>
      <c r="BF8" t="s">
        <v>167</v>
      </c>
      <c r="BG8" t="s">
        <v>175</v>
      </c>
      <c r="BH8" t="s">
        <v>176</v>
      </c>
      <c r="BI8" t="s">
        <v>177</v>
      </c>
      <c r="BJ8" t="s">
        <v>178</v>
      </c>
      <c r="BK8" t="s">
        <v>179</v>
      </c>
      <c r="BL8" t="s">
        <v>180</v>
      </c>
      <c r="BM8" t="s">
        <v>181</v>
      </c>
      <c r="BN8" t="s">
        <v>214</v>
      </c>
      <c r="BO8">
        <v>2</v>
      </c>
      <c r="BP8">
        <v>9.9999999999980105E-3</v>
      </c>
      <c r="BQ8">
        <v>16.43</v>
      </c>
      <c r="BR8" t="s">
        <v>183</v>
      </c>
      <c r="BS8">
        <v>0.27</v>
      </c>
      <c r="BT8">
        <v>0.88</v>
      </c>
      <c r="BU8" t="s">
        <v>183</v>
      </c>
      <c r="BV8" s="168" t="s">
        <v>167</v>
      </c>
      <c r="BW8">
        <v>1.85</v>
      </c>
      <c r="BX8" t="s">
        <v>183</v>
      </c>
      <c r="BY8" s="168" t="s">
        <v>167</v>
      </c>
      <c r="BZ8" t="s">
        <v>184</v>
      </c>
      <c r="CA8" s="145" t="s">
        <v>185</v>
      </c>
      <c r="CB8" s="149">
        <f t="shared" si="3"/>
        <v>16.568181818181817</v>
      </c>
      <c r="CC8" s="145" t="s">
        <v>167</v>
      </c>
      <c r="CD8" s="145" t="s">
        <v>167</v>
      </c>
      <c r="CE8" s="145" t="s">
        <v>167</v>
      </c>
      <c r="CF8" s="145" t="s">
        <v>167</v>
      </c>
      <c r="CG8" s="145" t="s">
        <v>186</v>
      </c>
      <c r="CH8" s="145" t="s">
        <v>187</v>
      </c>
      <c r="CI8" s="145" t="s">
        <v>187</v>
      </c>
      <c r="CJ8" s="143">
        <v>30.9</v>
      </c>
      <c r="CK8" t="s">
        <v>183</v>
      </c>
      <c r="CL8" s="138">
        <f t="shared" si="4"/>
        <v>32.4</v>
      </c>
      <c r="CM8" s="138">
        <f t="shared" si="5"/>
        <v>29.4</v>
      </c>
      <c r="CN8" t="s">
        <v>167</v>
      </c>
      <c r="CO8">
        <v>4.2</v>
      </c>
      <c r="CP8" t="s">
        <v>183</v>
      </c>
      <c r="CQ8" s="150">
        <f t="shared" si="6"/>
        <v>6.3E-2</v>
      </c>
      <c r="CR8" s="150">
        <f t="shared" si="7"/>
        <v>6.3E-2</v>
      </c>
      <c r="CS8" s="145" t="s">
        <v>167</v>
      </c>
      <c r="CT8" t="s">
        <v>188</v>
      </c>
      <c r="CU8" s="145">
        <v>3.43</v>
      </c>
      <c r="CV8" s="145" t="s">
        <v>189</v>
      </c>
      <c r="CW8" s="145" t="s">
        <v>167</v>
      </c>
      <c r="CX8" s="145" t="s">
        <v>167</v>
      </c>
      <c r="CY8" s="145" t="s">
        <v>167</v>
      </c>
      <c r="CZ8" t="s">
        <v>167</v>
      </c>
      <c r="DA8" t="s">
        <v>167</v>
      </c>
      <c r="DB8" t="s">
        <v>167</v>
      </c>
      <c r="DC8" t="s">
        <v>167</v>
      </c>
      <c r="DD8" t="s">
        <v>167</v>
      </c>
      <c r="DE8" t="s">
        <v>167</v>
      </c>
      <c r="DF8" t="s">
        <v>167</v>
      </c>
      <c r="DG8">
        <v>35</v>
      </c>
      <c r="DH8" t="s">
        <v>183</v>
      </c>
      <c r="DI8" s="145" t="s">
        <v>167</v>
      </c>
      <c r="DJ8" s="145" t="s">
        <v>190</v>
      </c>
      <c r="DK8" s="145" t="s">
        <v>167</v>
      </c>
      <c r="DL8" s="145" t="s">
        <v>167</v>
      </c>
      <c r="DM8" s="145" t="s">
        <v>167</v>
      </c>
      <c r="DN8" s="145" t="s">
        <v>167</v>
      </c>
      <c r="DO8" s="145" t="s">
        <v>167</v>
      </c>
      <c r="DP8" s="145" t="s">
        <v>167</v>
      </c>
      <c r="DQ8" s="145" t="s">
        <v>167</v>
      </c>
      <c r="DR8" s="145" t="s">
        <v>167</v>
      </c>
      <c r="DS8" s="145" t="s">
        <v>167</v>
      </c>
      <c r="DT8" s="145" t="s">
        <v>167</v>
      </c>
      <c r="DU8" s="145" t="s">
        <v>167</v>
      </c>
      <c r="DV8" s="145" t="s">
        <v>167</v>
      </c>
      <c r="DW8" s="148">
        <v>432.56244218316402</v>
      </c>
      <c r="DX8" s="145" t="s">
        <v>167</v>
      </c>
      <c r="DY8" s="145" t="s">
        <v>167</v>
      </c>
      <c r="DZ8" t="s">
        <v>191</v>
      </c>
      <c r="EA8">
        <v>37.82</v>
      </c>
      <c r="EB8" t="s">
        <v>183</v>
      </c>
      <c r="EC8">
        <v>0.35</v>
      </c>
      <c r="ED8" t="s">
        <v>192</v>
      </c>
      <c r="EE8" t="s">
        <v>215</v>
      </c>
      <c r="EF8" t="s">
        <v>194</v>
      </c>
      <c r="EG8">
        <v>1.0271999999999999</v>
      </c>
      <c r="EH8" t="s">
        <v>183</v>
      </c>
      <c r="EI8">
        <v>5.9999999999999995E-4</v>
      </c>
      <c r="EJ8" t="s">
        <v>195</v>
      </c>
      <c r="EK8" t="s">
        <v>167</v>
      </c>
      <c r="EL8" t="s">
        <v>167</v>
      </c>
      <c r="EM8" s="145" t="s">
        <v>167</v>
      </c>
      <c r="EN8" s="145" t="s">
        <v>216</v>
      </c>
      <c r="EO8" s="145" t="s">
        <v>197</v>
      </c>
      <c r="EP8" s="145" t="s">
        <v>197</v>
      </c>
      <c r="EQ8" s="145" t="s">
        <v>167</v>
      </c>
      <c r="ER8" s="145" t="s">
        <v>167</v>
      </c>
      <c r="ES8" s="145" t="s">
        <v>167</v>
      </c>
      <c r="ET8" t="s">
        <v>198</v>
      </c>
      <c r="EU8" t="s">
        <v>199</v>
      </c>
      <c r="EV8" t="s">
        <v>200</v>
      </c>
      <c r="EW8">
        <v>1293</v>
      </c>
      <c r="EX8" t="s">
        <v>201</v>
      </c>
      <c r="EY8">
        <v>200</v>
      </c>
      <c r="EZ8">
        <v>200</v>
      </c>
      <c r="FA8" s="145" t="s">
        <v>167</v>
      </c>
      <c r="FB8" s="145" t="s">
        <v>167</v>
      </c>
      <c r="FC8" s="145" t="s">
        <v>167</v>
      </c>
      <c r="FD8" s="145" t="s">
        <v>167</v>
      </c>
      <c r="FE8" s="143">
        <v>8.01</v>
      </c>
      <c r="FF8" s="170" t="s">
        <v>167</v>
      </c>
      <c r="FG8" s="143">
        <v>0.03</v>
      </c>
      <c r="FH8" s="143">
        <v>0.03</v>
      </c>
      <c r="FI8" s="171">
        <f t="shared" si="8"/>
        <v>240</v>
      </c>
      <c r="FJ8" s="143" t="s">
        <v>202</v>
      </c>
      <c r="FK8" s="151" t="s">
        <v>167</v>
      </c>
      <c r="FL8" s="143">
        <v>240</v>
      </c>
      <c r="FM8" s="143">
        <v>46</v>
      </c>
      <c r="FN8" s="143">
        <v>45</v>
      </c>
      <c r="FO8" s="151" t="s">
        <v>167</v>
      </c>
      <c r="FP8" s="172" t="s">
        <v>203</v>
      </c>
      <c r="FQ8" s="145" t="s">
        <v>167</v>
      </c>
      <c r="FR8" s="145" t="s">
        <v>167</v>
      </c>
      <c r="FS8" s="145" t="s">
        <v>167</v>
      </c>
      <c r="FT8" s="145" t="s">
        <v>167</v>
      </c>
      <c r="FU8" s="145" t="s">
        <v>167</v>
      </c>
      <c r="FV8" s="145" t="s">
        <v>167</v>
      </c>
      <c r="FW8" s="145" t="s">
        <v>167</v>
      </c>
      <c r="FX8" s="145" t="s">
        <v>167</v>
      </c>
      <c r="FY8" s="145" t="s">
        <v>167</v>
      </c>
      <c r="FZ8" s="145" t="s">
        <v>167</v>
      </c>
      <c r="GA8" s="145" t="s">
        <v>167</v>
      </c>
      <c r="GB8" s="145" t="s">
        <v>167</v>
      </c>
    </row>
    <row r="9" spans="1:185" ht="16" x14ac:dyDescent="0.2">
      <c r="A9" t="s">
        <v>256</v>
      </c>
      <c r="B9" s="144" t="s">
        <v>257</v>
      </c>
      <c r="C9" s="138" t="s">
        <v>168</v>
      </c>
      <c r="D9" t="s">
        <v>254</v>
      </c>
      <c r="E9">
        <v>2012</v>
      </c>
      <c r="F9" t="str">
        <f t="shared" si="9"/>
        <v>10.1016/j.epsl.2012.06.007</v>
      </c>
      <c r="G9" s="148">
        <f t="shared" si="10"/>
        <v>13830</v>
      </c>
      <c r="H9" s="145" t="str">
        <f t="shared" si="11"/>
        <v>NA</v>
      </c>
      <c r="I9" s="145" t="str">
        <f t="shared" si="12"/>
        <v>NA</v>
      </c>
      <c r="J9" s="154">
        <f t="shared" si="13"/>
        <v>257</v>
      </c>
      <c r="K9" s="154">
        <f t="shared" si="14"/>
        <v>50</v>
      </c>
      <c r="L9" s="154">
        <f t="shared" si="15"/>
        <v>49</v>
      </c>
      <c r="M9" t="b">
        <v>1</v>
      </c>
      <c r="N9">
        <v>3</v>
      </c>
      <c r="O9" t="s">
        <v>169</v>
      </c>
      <c r="P9" s="173" t="s">
        <v>170</v>
      </c>
      <c r="Q9" t="b">
        <v>0</v>
      </c>
      <c r="R9" t="s">
        <v>167</v>
      </c>
      <c r="S9" t="b">
        <v>1</v>
      </c>
      <c r="T9" t="b">
        <v>0</v>
      </c>
      <c r="U9" t="s">
        <v>167</v>
      </c>
      <c r="V9" t="s">
        <v>167</v>
      </c>
      <c r="W9" t="b">
        <v>0</v>
      </c>
      <c r="X9" t="s">
        <v>167</v>
      </c>
      <c r="Y9" s="139" t="s">
        <v>171</v>
      </c>
      <c r="Z9" t="s">
        <v>207</v>
      </c>
      <c r="AA9">
        <v>761</v>
      </c>
      <c r="AB9" t="s">
        <v>173</v>
      </c>
      <c r="AC9">
        <v>5</v>
      </c>
      <c r="AD9">
        <v>6</v>
      </c>
      <c r="AE9">
        <v>98</v>
      </c>
      <c r="AF9">
        <v>100</v>
      </c>
      <c r="AG9" s="145" t="s">
        <v>167</v>
      </c>
      <c r="AH9">
        <v>41.2</v>
      </c>
      <c r="AI9" s="145" t="s">
        <v>167</v>
      </c>
      <c r="AJ9" t="s">
        <v>174</v>
      </c>
      <c r="AK9" s="166">
        <v>-16.739999999999998</v>
      </c>
      <c r="AL9" s="166">
        <v>115.536</v>
      </c>
      <c r="AM9" t="s">
        <v>167</v>
      </c>
      <c r="AN9" t="s">
        <v>167</v>
      </c>
      <c r="AO9" s="167">
        <v>-2179</v>
      </c>
      <c r="AP9" t="s">
        <v>167</v>
      </c>
      <c r="AQ9" t="s">
        <v>167</v>
      </c>
      <c r="AR9" s="151" t="s">
        <v>167</v>
      </c>
      <c r="AS9">
        <v>13830</v>
      </c>
      <c r="AT9" s="168" t="s">
        <v>167</v>
      </c>
      <c r="AU9" s="168" t="s">
        <v>167</v>
      </c>
      <c r="AV9" s="168" t="s">
        <v>167</v>
      </c>
      <c r="AW9" s="168" t="s">
        <v>167</v>
      </c>
      <c r="AX9" s="168" t="s">
        <v>167</v>
      </c>
      <c r="AY9" s="168" t="s">
        <v>167</v>
      </c>
      <c r="AZ9" t="s">
        <v>167</v>
      </c>
      <c r="BA9" t="s">
        <v>167</v>
      </c>
      <c r="BB9" t="s">
        <v>167</v>
      </c>
      <c r="BC9" t="s">
        <v>167</v>
      </c>
      <c r="BD9" t="s">
        <v>167</v>
      </c>
      <c r="BE9" t="s">
        <v>167</v>
      </c>
      <c r="BF9" t="s">
        <v>167</v>
      </c>
      <c r="BG9" t="s">
        <v>175</v>
      </c>
      <c r="BH9" t="s">
        <v>176</v>
      </c>
      <c r="BI9" t="s">
        <v>177</v>
      </c>
      <c r="BJ9" t="s">
        <v>178</v>
      </c>
      <c r="BK9" t="s">
        <v>179</v>
      </c>
      <c r="BL9" t="s">
        <v>180</v>
      </c>
      <c r="BM9" t="s">
        <v>181</v>
      </c>
      <c r="BN9" t="s">
        <v>217</v>
      </c>
      <c r="BO9">
        <v>2</v>
      </c>
      <c r="BP9">
        <v>1.0000000000001563E-2</v>
      </c>
      <c r="BQ9">
        <v>16.25</v>
      </c>
      <c r="BR9" t="s">
        <v>183</v>
      </c>
      <c r="BS9">
        <v>0.28000000000000003</v>
      </c>
      <c r="BT9">
        <v>0.88</v>
      </c>
      <c r="BU9" t="s">
        <v>183</v>
      </c>
      <c r="BV9" s="168" t="s">
        <v>167</v>
      </c>
      <c r="BW9">
        <v>1.85</v>
      </c>
      <c r="BX9" t="s">
        <v>183</v>
      </c>
      <c r="BY9" s="168" t="s">
        <v>167</v>
      </c>
      <c r="BZ9" t="s">
        <v>184</v>
      </c>
      <c r="CA9" s="145" t="s">
        <v>185</v>
      </c>
      <c r="CB9" s="149">
        <f t="shared" si="3"/>
        <v>16.363636363636363</v>
      </c>
      <c r="CC9" s="145" t="s">
        <v>167</v>
      </c>
      <c r="CD9" s="145" t="s">
        <v>167</v>
      </c>
      <c r="CE9" s="145" t="s">
        <v>167</v>
      </c>
      <c r="CF9" s="145" t="s">
        <v>167</v>
      </c>
      <c r="CG9" s="145" t="s">
        <v>186</v>
      </c>
      <c r="CH9" s="145" t="s">
        <v>187</v>
      </c>
      <c r="CI9" s="145" t="s">
        <v>187</v>
      </c>
      <c r="CJ9" s="143">
        <v>31.5</v>
      </c>
      <c r="CK9" t="s">
        <v>183</v>
      </c>
      <c r="CL9" s="138">
        <f t="shared" si="4"/>
        <v>33</v>
      </c>
      <c r="CM9" s="138">
        <f t="shared" si="5"/>
        <v>30</v>
      </c>
      <c r="CN9" t="s">
        <v>167</v>
      </c>
      <c r="CO9">
        <v>4.4400000000000004</v>
      </c>
      <c r="CP9" t="s">
        <v>183</v>
      </c>
      <c r="CQ9" s="150">
        <f t="shared" si="6"/>
        <v>6.6600000000000006E-2</v>
      </c>
      <c r="CR9" s="150">
        <f t="shared" si="7"/>
        <v>6.6600000000000006E-2</v>
      </c>
      <c r="CS9" s="145" t="s">
        <v>167</v>
      </c>
      <c r="CT9" t="s">
        <v>188</v>
      </c>
      <c r="CU9" s="145">
        <v>3.43</v>
      </c>
      <c r="CV9" s="145" t="s">
        <v>189</v>
      </c>
      <c r="CW9" s="145" t="s">
        <v>167</v>
      </c>
      <c r="CX9" s="145" t="s">
        <v>167</v>
      </c>
      <c r="CY9" s="145" t="s">
        <v>167</v>
      </c>
      <c r="CZ9" t="s">
        <v>167</v>
      </c>
      <c r="DA9" t="s">
        <v>167</v>
      </c>
      <c r="DB9" t="s">
        <v>167</v>
      </c>
      <c r="DC9" t="s">
        <v>167</v>
      </c>
      <c r="DD9" t="s">
        <v>167</v>
      </c>
      <c r="DE9" t="s">
        <v>167</v>
      </c>
      <c r="DF9" t="s">
        <v>167</v>
      </c>
      <c r="DG9">
        <v>35</v>
      </c>
      <c r="DH9" t="s">
        <v>183</v>
      </c>
      <c r="DI9" s="145" t="s">
        <v>167</v>
      </c>
      <c r="DJ9" s="145" t="s">
        <v>190</v>
      </c>
      <c r="DK9" s="145" t="s">
        <v>167</v>
      </c>
      <c r="DL9" s="145" t="s">
        <v>167</v>
      </c>
      <c r="DM9" s="145" t="s">
        <v>167</v>
      </c>
      <c r="DN9" s="145" t="s">
        <v>167</v>
      </c>
      <c r="DO9" s="145" t="s">
        <v>167</v>
      </c>
      <c r="DP9" s="145" t="s">
        <v>167</v>
      </c>
      <c r="DQ9" s="145" t="s">
        <v>167</v>
      </c>
      <c r="DR9" s="145" t="s">
        <v>167</v>
      </c>
      <c r="DS9" s="145" t="s">
        <v>167</v>
      </c>
      <c r="DT9" s="145" t="s">
        <v>167</v>
      </c>
      <c r="DU9" s="145" t="s">
        <v>167</v>
      </c>
      <c r="DV9" s="145" t="s">
        <v>167</v>
      </c>
      <c r="DW9" s="148">
        <v>432.56244218316402</v>
      </c>
      <c r="DX9" s="145" t="s">
        <v>167</v>
      </c>
      <c r="DY9" s="145" t="s">
        <v>167</v>
      </c>
      <c r="DZ9" t="s">
        <v>191</v>
      </c>
      <c r="EA9">
        <v>37.82</v>
      </c>
      <c r="EB9" t="s">
        <v>183</v>
      </c>
      <c r="EC9">
        <v>0.35</v>
      </c>
      <c r="ED9" t="s">
        <v>192</v>
      </c>
      <c r="EE9" t="s">
        <v>218</v>
      </c>
      <c r="EF9" t="s">
        <v>194</v>
      </c>
      <c r="EG9">
        <v>1.0271999999999999</v>
      </c>
      <c r="EH9" t="s">
        <v>183</v>
      </c>
      <c r="EI9">
        <v>5.9999999999999995E-4</v>
      </c>
      <c r="EJ9" t="s">
        <v>195</v>
      </c>
      <c r="EK9" t="s">
        <v>167</v>
      </c>
      <c r="EL9" t="s">
        <v>167</v>
      </c>
      <c r="EM9" s="145" t="s">
        <v>167</v>
      </c>
      <c r="EN9" s="145" t="s">
        <v>219</v>
      </c>
      <c r="EO9" s="145" t="s">
        <v>197</v>
      </c>
      <c r="EP9" s="145" t="s">
        <v>197</v>
      </c>
      <c r="EQ9" s="145" t="s">
        <v>167</v>
      </c>
      <c r="ER9" s="145" t="s">
        <v>167</v>
      </c>
      <c r="ES9" s="145" t="s">
        <v>167</v>
      </c>
      <c r="ET9" t="s">
        <v>198</v>
      </c>
      <c r="EU9" t="s">
        <v>199</v>
      </c>
      <c r="EV9" t="s">
        <v>200</v>
      </c>
      <c r="EW9">
        <v>1293</v>
      </c>
      <c r="EX9" t="s">
        <v>201</v>
      </c>
      <c r="EY9">
        <v>200</v>
      </c>
      <c r="EZ9">
        <v>200</v>
      </c>
      <c r="FA9" s="145" t="s">
        <v>167</v>
      </c>
      <c r="FB9" s="145" t="s">
        <v>167</v>
      </c>
      <c r="FC9" s="145" t="s">
        <v>167</v>
      </c>
      <c r="FD9" s="145" t="s">
        <v>167</v>
      </c>
      <c r="FE9" s="143">
        <v>7.98</v>
      </c>
      <c r="FF9" s="170" t="s">
        <v>167</v>
      </c>
      <c r="FG9" s="143">
        <v>0.03</v>
      </c>
      <c r="FH9" s="143">
        <v>0.03</v>
      </c>
      <c r="FI9" s="171">
        <f t="shared" si="8"/>
        <v>257</v>
      </c>
      <c r="FJ9" s="143" t="s">
        <v>202</v>
      </c>
      <c r="FK9" s="151" t="s">
        <v>167</v>
      </c>
      <c r="FL9" s="143">
        <v>257</v>
      </c>
      <c r="FM9" s="143">
        <v>50</v>
      </c>
      <c r="FN9" s="143">
        <v>49</v>
      </c>
      <c r="FO9" s="151" t="s">
        <v>167</v>
      </c>
      <c r="FP9" s="172" t="s">
        <v>203</v>
      </c>
      <c r="FQ9" s="145" t="s">
        <v>167</v>
      </c>
      <c r="FR9" s="145" t="s">
        <v>167</v>
      </c>
      <c r="FS9" s="145" t="s">
        <v>167</v>
      </c>
      <c r="FT9" s="145" t="s">
        <v>167</v>
      </c>
      <c r="FU9" s="145" t="s">
        <v>167</v>
      </c>
      <c r="FV9" s="145" t="s">
        <v>167</v>
      </c>
      <c r="FW9" s="145" t="s">
        <v>167</v>
      </c>
      <c r="FX9" s="145" t="s">
        <v>167</v>
      </c>
      <c r="FY9" s="145" t="s">
        <v>167</v>
      </c>
      <c r="FZ9" s="145" t="s">
        <v>167</v>
      </c>
      <c r="GA9" s="145" t="s">
        <v>167</v>
      </c>
      <c r="GB9" s="145" t="s">
        <v>167</v>
      </c>
    </row>
    <row r="10" spans="1:185" ht="16" x14ac:dyDescent="0.2">
      <c r="A10" t="s">
        <v>256</v>
      </c>
      <c r="B10" s="144" t="s">
        <v>257</v>
      </c>
      <c r="C10" s="138" t="s">
        <v>168</v>
      </c>
      <c r="D10" t="s">
        <v>254</v>
      </c>
      <c r="E10">
        <v>2012</v>
      </c>
      <c r="F10" t="str">
        <f t="shared" si="9"/>
        <v>10.1016/j.epsl.2012.06.007</v>
      </c>
      <c r="G10" s="148">
        <f t="shared" si="10"/>
        <v>14170</v>
      </c>
      <c r="H10" s="145" t="str">
        <f t="shared" si="11"/>
        <v>NA</v>
      </c>
      <c r="I10" s="145" t="str">
        <f t="shared" si="12"/>
        <v>NA</v>
      </c>
      <c r="J10" s="154">
        <f t="shared" si="13"/>
        <v>268</v>
      </c>
      <c r="K10" s="154">
        <f t="shared" si="14"/>
        <v>54</v>
      </c>
      <c r="L10" s="154">
        <f t="shared" si="15"/>
        <v>52</v>
      </c>
      <c r="M10" t="b">
        <v>1</v>
      </c>
      <c r="N10">
        <v>3</v>
      </c>
      <c r="O10" t="s">
        <v>169</v>
      </c>
      <c r="P10" s="173" t="s">
        <v>170</v>
      </c>
      <c r="Q10" t="b">
        <v>0</v>
      </c>
      <c r="R10" t="s">
        <v>167</v>
      </c>
      <c r="S10" t="b">
        <v>1</v>
      </c>
      <c r="T10" t="b">
        <v>0</v>
      </c>
      <c r="U10" t="s">
        <v>167</v>
      </c>
      <c r="V10" t="s">
        <v>167</v>
      </c>
      <c r="W10" t="b">
        <v>0</v>
      </c>
      <c r="X10" t="s">
        <v>167</v>
      </c>
      <c r="Y10" s="139" t="s">
        <v>171</v>
      </c>
      <c r="Z10" t="s">
        <v>207</v>
      </c>
      <c r="AA10">
        <v>761</v>
      </c>
      <c r="AB10" t="s">
        <v>173</v>
      </c>
      <c r="AC10">
        <v>5</v>
      </c>
      <c r="AD10">
        <v>7</v>
      </c>
      <c r="AE10">
        <v>38</v>
      </c>
      <c r="AF10">
        <v>40</v>
      </c>
      <c r="AG10" s="145" t="s">
        <v>167</v>
      </c>
      <c r="AH10">
        <v>42.1</v>
      </c>
      <c r="AI10" s="145" t="s">
        <v>167</v>
      </c>
      <c r="AJ10" t="s">
        <v>174</v>
      </c>
      <c r="AK10" s="166">
        <v>-16.739999999999998</v>
      </c>
      <c r="AL10" s="166">
        <v>115.536</v>
      </c>
      <c r="AM10" t="s">
        <v>167</v>
      </c>
      <c r="AN10" t="s">
        <v>167</v>
      </c>
      <c r="AO10" s="167">
        <v>-2179</v>
      </c>
      <c r="AP10" t="s">
        <v>167</v>
      </c>
      <c r="AQ10" t="s">
        <v>167</v>
      </c>
      <c r="AR10" s="151" t="s">
        <v>167</v>
      </c>
      <c r="AS10">
        <v>14170</v>
      </c>
      <c r="AT10" s="168" t="s">
        <v>167</v>
      </c>
      <c r="AU10" s="168" t="s">
        <v>167</v>
      </c>
      <c r="AV10" s="168" t="s">
        <v>167</v>
      </c>
      <c r="AW10" s="168" t="s">
        <v>167</v>
      </c>
      <c r="AX10" s="168" t="s">
        <v>167</v>
      </c>
      <c r="AY10" s="168" t="s">
        <v>167</v>
      </c>
      <c r="AZ10" t="s">
        <v>167</v>
      </c>
      <c r="BA10" t="s">
        <v>167</v>
      </c>
      <c r="BB10" t="s">
        <v>167</v>
      </c>
      <c r="BC10" t="s">
        <v>167</v>
      </c>
      <c r="BD10" t="s">
        <v>167</v>
      </c>
      <c r="BE10" t="s">
        <v>167</v>
      </c>
      <c r="BF10" t="s">
        <v>167</v>
      </c>
      <c r="BG10" t="s">
        <v>175</v>
      </c>
      <c r="BH10" t="s">
        <v>176</v>
      </c>
      <c r="BI10" t="s">
        <v>177</v>
      </c>
      <c r="BJ10" t="s">
        <v>178</v>
      </c>
      <c r="BK10" t="s">
        <v>179</v>
      </c>
      <c r="BL10" t="s">
        <v>180</v>
      </c>
      <c r="BM10" t="s">
        <v>181</v>
      </c>
      <c r="BN10" t="s">
        <v>220</v>
      </c>
      <c r="BO10">
        <v>2</v>
      </c>
      <c r="BP10">
        <v>0.26999999999999957</v>
      </c>
      <c r="BQ10">
        <v>16.09</v>
      </c>
      <c r="BR10" t="s">
        <v>183</v>
      </c>
      <c r="BS10">
        <v>0.32</v>
      </c>
      <c r="BT10">
        <v>0.88</v>
      </c>
      <c r="BU10" t="s">
        <v>183</v>
      </c>
      <c r="BV10" s="168" t="s">
        <v>167</v>
      </c>
      <c r="BW10">
        <v>1.85</v>
      </c>
      <c r="BX10" t="s">
        <v>183</v>
      </c>
      <c r="BY10" s="168" t="s">
        <v>167</v>
      </c>
      <c r="BZ10" t="s">
        <v>184</v>
      </c>
      <c r="CA10" s="145" t="s">
        <v>185</v>
      </c>
      <c r="CB10" s="149">
        <f t="shared" si="3"/>
        <v>16.181818181818183</v>
      </c>
      <c r="CC10" s="145" t="s">
        <v>167</v>
      </c>
      <c r="CD10" s="145" t="s">
        <v>167</v>
      </c>
      <c r="CE10" s="145" t="s">
        <v>167</v>
      </c>
      <c r="CF10" s="145" t="s">
        <v>167</v>
      </c>
      <c r="CG10" s="145" t="s">
        <v>186</v>
      </c>
      <c r="CH10" s="145" t="s">
        <v>187</v>
      </c>
      <c r="CI10" s="145" t="s">
        <v>187</v>
      </c>
      <c r="CJ10" s="143">
        <v>31.2</v>
      </c>
      <c r="CK10" t="s">
        <v>183</v>
      </c>
      <c r="CL10" s="138">
        <f t="shared" si="4"/>
        <v>32.700000000000003</v>
      </c>
      <c r="CM10" s="138">
        <f t="shared" si="5"/>
        <v>29.7</v>
      </c>
      <c r="CN10" t="s">
        <v>167</v>
      </c>
      <c r="CO10">
        <v>4.3</v>
      </c>
      <c r="CP10" t="s">
        <v>183</v>
      </c>
      <c r="CQ10" s="150">
        <f t="shared" si="6"/>
        <v>6.4500000000000002E-2</v>
      </c>
      <c r="CR10" s="150">
        <f t="shared" si="7"/>
        <v>6.4500000000000002E-2</v>
      </c>
      <c r="CS10" s="145" t="s">
        <v>167</v>
      </c>
      <c r="CT10" t="s">
        <v>188</v>
      </c>
      <c r="CU10" s="145">
        <v>3.43</v>
      </c>
      <c r="CV10" s="145" t="s">
        <v>189</v>
      </c>
      <c r="CW10" s="145" t="s">
        <v>167</v>
      </c>
      <c r="CX10" s="145" t="s">
        <v>167</v>
      </c>
      <c r="CY10" s="145" t="s">
        <v>167</v>
      </c>
      <c r="CZ10" t="s">
        <v>167</v>
      </c>
      <c r="DA10" t="s">
        <v>167</v>
      </c>
      <c r="DB10" t="s">
        <v>167</v>
      </c>
      <c r="DC10" t="s">
        <v>167</v>
      </c>
      <c r="DD10" t="s">
        <v>167</v>
      </c>
      <c r="DE10" t="s">
        <v>167</v>
      </c>
      <c r="DF10" t="s">
        <v>167</v>
      </c>
      <c r="DG10">
        <v>35</v>
      </c>
      <c r="DH10" t="s">
        <v>183</v>
      </c>
      <c r="DI10" s="145" t="s">
        <v>167</v>
      </c>
      <c r="DJ10" s="145" t="s">
        <v>190</v>
      </c>
      <c r="DK10" s="145" t="s">
        <v>167</v>
      </c>
      <c r="DL10" s="145" t="s">
        <v>167</v>
      </c>
      <c r="DM10" s="145" t="s">
        <v>167</v>
      </c>
      <c r="DN10" s="145" t="s">
        <v>167</v>
      </c>
      <c r="DO10" s="145" t="s">
        <v>167</v>
      </c>
      <c r="DP10" s="145" t="s">
        <v>167</v>
      </c>
      <c r="DQ10" s="145" t="s">
        <v>167</v>
      </c>
      <c r="DR10" s="145" t="s">
        <v>167</v>
      </c>
      <c r="DS10" s="145" t="s">
        <v>167</v>
      </c>
      <c r="DT10" s="145" t="s">
        <v>167</v>
      </c>
      <c r="DU10" s="145" t="s">
        <v>167</v>
      </c>
      <c r="DV10" s="145" t="s">
        <v>167</v>
      </c>
      <c r="DW10" s="148">
        <v>432.56244218316402</v>
      </c>
      <c r="DX10" s="145" t="s">
        <v>167</v>
      </c>
      <c r="DY10" s="145" t="s">
        <v>167</v>
      </c>
      <c r="DZ10" t="s">
        <v>191</v>
      </c>
      <c r="EA10">
        <v>37.82</v>
      </c>
      <c r="EB10" t="s">
        <v>183</v>
      </c>
      <c r="EC10">
        <v>0.35</v>
      </c>
      <c r="ED10" t="s">
        <v>192</v>
      </c>
      <c r="EE10" t="s">
        <v>221</v>
      </c>
      <c r="EF10" t="s">
        <v>194</v>
      </c>
      <c r="EG10">
        <v>1.0271999999999999</v>
      </c>
      <c r="EH10" t="s">
        <v>183</v>
      </c>
      <c r="EI10">
        <v>5.9999999999999995E-4</v>
      </c>
      <c r="EJ10" t="s">
        <v>195</v>
      </c>
      <c r="EK10" t="s">
        <v>167</v>
      </c>
      <c r="EL10" t="s">
        <v>167</v>
      </c>
      <c r="EM10" s="145" t="s">
        <v>167</v>
      </c>
      <c r="EN10" s="145" t="s">
        <v>222</v>
      </c>
      <c r="EO10" s="145" t="s">
        <v>197</v>
      </c>
      <c r="EP10" s="145" t="s">
        <v>197</v>
      </c>
      <c r="EQ10" s="145" t="s">
        <v>167</v>
      </c>
      <c r="ER10" s="145" t="s">
        <v>167</v>
      </c>
      <c r="ES10" s="145" t="s">
        <v>167</v>
      </c>
      <c r="ET10" t="s">
        <v>198</v>
      </c>
      <c r="EU10" t="s">
        <v>199</v>
      </c>
      <c r="EV10" t="s">
        <v>200</v>
      </c>
      <c r="EW10">
        <v>1293</v>
      </c>
      <c r="EX10" t="s">
        <v>201</v>
      </c>
      <c r="EY10">
        <v>200</v>
      </c>
      <c r="EZ10">
        <v>200</v>
      </c>
      <c r="FA10" s="145" t="s">
        <v>167</v>
      </c>
      <c r="FB10" s="145" t="s">
        <v>167</v>
      </c>
      <c r="FC10" s="145" t="s">
        <v>167</v>
      </c>
      <c r="FD10" s="145" t="s">
        <v>167</v>
      </c>
      <c r="FE10" s="143">
        <v>7.97</v>
      </c>
      <c r="FF10" s="170" t="s">
        <v>167</v>
      </c>
      <c r="FG10" s="143">
        <v>0.03</v>
      </c>
      <c r="FH10" s="143">
        <v>0.03</v>
      </c>
      <c r="FI10" s="171">
        <f t="shared" si="8"/>
        <v>268</v>
      </c>
      <c r="FJ10" s="143" t="s">
        <v>202</v>
      </c>
      <c r="FK10" s="151" t="s">
        <v>167</v>
      </c>
      <c r="FL10" s="143">
        <v>268</v>
      </c>
      <c r="FM10" s="143">
        <v>54</v>
      </c>
      <c r="FN10" s="143">
        <v>52</v>
      </c>
      <c r="FO10" s="151" t="s">
        <v>167</v>
      </c>
      <c r="FP10" s="172" t="s">
        <v>203</v>
      </c>
      <c r="FQ10" s="145" t="s">
        <v>167</v>
      </c>
      <c r="FR10" s="145" t="s">
        <v>167</v>
      </c>
      <c r="FS10" s="145" t="s">
        <v>167</v>
      </c>
      <c r="FT10" s="145" t="s">
        <v>167</v>
      </c>
      <c r="FU10" s="145" t="s">
        <v>167</v>
      </c>
      <c r="FV10" s="145" t="s">
        <v>167</v>
      </c>
      <c r="FW10" s="145" t="s">
        <v>167</v>
      </c>
      <c r="FX10" s="145" t="s">
        <v>167</v>
      </c>
      <c r="FY10" s="145" t="s">
        <v>167</v>
      </c>
      <c r="FZ10" s="145" t="s">
        <v>167</v>
      </c>
      <c r="GA10" s="145" t="s">
        <v>167</v>
      </c>
      <c r="GB10" s="145" t="s">
        <v>167</v>
      </c>
    </row>
    <row r="11" spans="1:185" ht="16" x14ac:dyDescent="0.2">
      <c r="A11" t="s">
        <v>256</v>
      </c>
      <c r="B11" s="144" t="s">
        <v>257</v>
      </c>
      <c r="C11" s="138" t="s">
        <v>168</v>
      </c>
      <c r="D11" t="s">
        <v>254</v>
      </c>
      <c r="E11">
        <v>2012</v>
      </c>
      <c r="F11" t="str">
        <f t="shared" si="9"/>
        <v>10.1016/j.epsl.2012.06.007</v>
      </c>
      <c r="G11" s="148">
        <f t="shared" si="10"/>
        <v>14310</v>
      </c>
      <c r="H11" s="145" t="str">
        <f t="shared" si="11"/>
        <v>NA</v>
      </c>
      <c r="I11" s="145" t="str">
        <f t="shared" si="12"/>
        <v>NA</v>
      </c>
      <c r="J11" s="154">
        <f t="shared" si="13"/>
        <v>272</v>
      </c>
      <c r="K11" s="154">
        <f t="shared" si="14"/>
        <v>52</v>
      </c>
      <c r="L11" s="154">
        <f t="shared" si="15"/>
        <v>51</v>
      </c>
      <c r="M11" t="b">
        <v>1</v>
      </c>
      <c r="N11">
        <v>3</v>
      </c>
      <c r="O11" t="s">
        <v>169</v>
      </c>
      <c r="P11" s="173" t="s">
        <v>170</v>
      </c>
      <c r="Q11" t="b">
        <v>0</v>
      </c>
      <c r="R11" t="s">
        <v>167</v>
      </c>
      <c r="S11" t="b">
        <v>1</v>
      </c>
      <c r="T11" t="b">
        <v>0</v>
      </c>
      <c r="U11" t="s">
        <v>167</v>
      </c>
      <c r="V11" t="s">
        <v>167</v>
      </c>
      <c r="W11" t="b">
        <v>0</v>
      </c>
      <c r="X11" t="s">
        <v>167</v>
      </c>
      <c r="Y11" s="139" t="s">
        <v>171</v>
      </c>
      <c r="Z11" t="s">
        <v>207</v>
      </c>
      <c r="AA11">
        <v>761</v>
      </c>
      <c r="AB11" t="s">
        <v>173</v>
      </c>
      <c r="AC11">
        <v>5</v>
      </c>
      <c r="AD11" t="s">
        <v>223</v>
      </c>
      <c r="AE11">
        <v>23</v>
      </c>
      <c r="AF11">
        <v>25</v>
      </c>
      <c r="AG11" s="145" t="s">
        <v>167</v>
      </c>
      <c r="AH11">
        <v>42.5</v>
      </c>
      <c r="AI11" s="145" t="s">
        <v>167</v>
      </c>
      <c r="AJ11" t="s">
        <v>174</v>
      </c>
      <c r="AK11" s="166">
        <v>-16.739999999999998</v>
      </c>
      <c r="AL11" s="166">
        <v>115.536</v>
      </c>
      <c r="AM11" t="s">
        <v>167</v>
      </c>
      <c r="AN11" t="s">
        <v>167</v>
      </c>
      <c r="AO11" s="167">
        <v>-2179</v>
      </c>
      <c r="AP11" t="s">
        <v>167</v>
      </c>
      <c r="AQ11" t="s">
        <v>167</v>
      </c>
      <c r="AR11" s="151" t="s">
        <v>167</v>
      </c>
      <c r="AS11">
        <v>14310</v>
      </c>
      <c r="AT11" s="168" t="s">
        <v>167</v>
      </c>
      <c r="AU11" s="168" t="s">
        <v>167</v>
      </c>
      <c r="AV11" s="168" t="s">
        <v>167</v>
      </c>
      <c r="AW11" s="168" t="s">
        <v>167</v>
      </c>
      <c r="AX11" s="168" t="s">
        <v>167</v>
      </c>
      <c r="AY11" s="168" t="s">
        <v>167</v>
      </c>
      <c r="AZ11" t="s">
        <v>167</v>
      </c>
      <c r="BA11" t="s">
        <v>167</v>
      </c>
      <c r="BB11" t="s">
        <v>167</v>
      </c>
      <c r="BC11" t="s">
        <v>167</v>
      </c>
      <c r="BD11" t="s">
        <v>167</v>
      </c>
      <c r="BE11" t="s">
        <v>167</v>
      </c>
      <c r="BF11" t="s">
        <v>167</v>
      </c>
      <c r="BG11" t="s">
        <v>175</v>
      </c>
      <c r="BH11" t="s">
        <v>176</v>
      </c>
      <c r="BI11" t="s">
        <v>177</v>
      </c>
      <c r="BJ11" t="s">
        <v>178</v>
      </c>
      <c r="BK11" t="s">
        <v>179</v>
      </c>
      <c r="BL11" t="s">
        <v>180</v>
      </c>
      <c r="BM11" t="s">
        <v>181</v>
      </c>
      <c r="BN11" t="s">
        <v>224</v>
      </c>
      <c r="BO11">
        <v>2</v>
      </c>
      <c r="BP11">
        <v>0.22000000000000061</v>
      </c>
      <c r="BQ11">
        <v>15.96</v>
      </c>
      <c r="BR11" t="s">
        <v>183</v>
      </c>
      <c r="BS11">
        <v>0.27</v>
      </c>
      <c r="BT11">
        <v>0.88</v>
      </c>
      <c r="BU11" t="s">
        <v>183</v>
      </c>
      <c r="BV11" s="168" t="s">
        <v>167</v>
      </c>
      <c r="BW11">
        <v>1.85</v>
      </c>
      <c r="BX11" t="s">
        <v>183</v>
      </c>
      <c r="BY11" s="168" t="s">
        <v>167</v>
      </c>
      <c r="BZ11" t="s">
        <v>184</v>
      </c>
      <c r="CA11" s="145" t="s">
        <v>185</v>
      </c>
      <c r="CB11" s="149">
        <f t="shared" si="3"/>
        <v>16.03409090909091</v>
      </c>
      <c r="CC11" s="145" t="s">
        <v>167</v>
      </c>
      <c r="CD11" s="145" t="s">
        <v>167</v>
      </c>
      <c r="CE11" s="145" t="s">
        <v>167</v>
      </c>
      <c r="CF11" s="145" t="s">
        <v>167</v>
      </c>
      <c r="CG11" s="145" t="s">
        <v>186</v>
      </c>
      <c r="CH11" s="145" t="s">
        <v>187</v>
      </c>
      <c r="CI11" s="145" t="s">
        <v>187</v>
      </c>
      <c r="CJ11" s="143">
        <v>30.4</v>
      </c>
      <c r="CK11" t="s">
        <v>183</v>
      </c>
      <c r="CL11" s="138">
        <f t="shared" si="4"/>
        <v>31.9</v>
      </c>
      <c r="CM11" s="138">
        <f t="shared" si="5"/>
        <v>28.9</v>
      </c>
      <c r="CN11" t="s">
        <v>167</v>
      </c>
      <c r="CO11">
        <v>4.01</v>
      </c>
      <c r="CP11" t="s">
        <v>183</v>
      </c>
      <c r="CQ11" s="150">
        <f t="shared" si="6"/>
        <v>6.0149999999999995E-2</v>
      </c>
      <c r="CR11" s="150">
        <f t="shared" si="7"/>
        <v>6.0149999999999995E-2</v>
      </c>
      <c r="CS11" s="145" t="s">
        <v>167</v>
      </c>
      <c r="CT11" t="s">
        <v>188</v>
      </c>
      <c r="CU11" s="145">
        <v>3.43</v>
      </c>
      <c r="CV11" s="145" t="s">
        <v>189</v>
      </c>
      <c r="CW11" s="145" t="s">
        <v>167</v>
      </c>
      <c r="CX11" s="145" t="s">
        <v>167</v>
      </c>
      <c r="CY11" s="145" t="s">
        <v>167</v>
      </c>
      <c r="CZ11" t="s">
        <v>167</v>
      </c>
      <c r="DA11" t="s">
        <v>167</v>
      </c>
      <c r="DB11" t="s">
        <v>167</v>
      </c>
      <c r="DC11" t="s">
        <v>167</v>
      </c>
      <c r="DD11" t="s">
        <v>167</v>
      </c>
      <c r="DE11" t="s">
        <v>167</v>
      </c>
      <c r="DF11" t="s">
        <v>167</v>
      </c>
      <c r="DG11">
        <v>35</v>
      </c>
      <c r="DH11" t="s">
        <v>183</v>
      </c>
      <c r="DI11" s="145" t="s">
        <v>167</v>
      </c>
      <c r="DJ11" s="145" t="s">
        <v>190</v>
      </c>
      <c r="DK11" s="145" t="s">
        <v>167</v>
      </c>
      <c r="DL11" s="145" t="s">
        <v>167</v>
      </c>
      <c r="DM11" s="145" t="s">
        <v>167</v>
      </c>
      <c r="DN11" s="145" t="s">
        <v>167</v>
      </c>
      <c r="DO11" s="145" t="s">
        <v>167</v>
      </c>
      <c r="DP11" s="145" t="s">
        <v>167</v>
      </c>
      <c r="DQ11" s="145" t="s">
        <v>167</v>
      </c>
      <c r="DR11" s="145" t="s">
        <v>167</v>
      </c>
      <c r="DS11" s="145" t="s">
        <v>167</v>
      </c>
      <c r="DT11" s="145" t="s">
        <v>167</v>
      </c>
      <c r="DU11" s="145" t="s">
        <v>167</v>
      </c>
      <c r="DV11" s="145" t="s">
        <v>167</v>
      </c>
      <c r="DW11" s="148">
        <v>432.56244218316402</v>
      </c>
      <c r="DX11" s="145" t="s">
        <v>167</v>
      </c>
      <c r="DY11" s="145" t="s">
        <v>167</v>
      </c>
      <c r="DZ11" t="s">
        <v>191</v>
      </c>
      <c r="EA11">
        <v>37.82</v>
      </c>
      <c r="EB11" t="s">
        <v>183</v>
      </c>
      <c r="EC11">
        <v>0.35</v>
      </c>
      <c r="ED11" t="s">
        <v>192</v>
      </c>
      <c r="EE11" t="s">
        <v>225</v>
      </c>
      <c r="EF11" t="s">
        <v>194</v>
      </c>
      <c r="EG11">
        <v>1.0271999999999999</v>
      </c>
      <c r="EH11" t="s">
        <v>183</v>
      </c>
      <c r="EI11">
        <v>5.9999999999999995E-4</v>
      </c>
      <c r="EJ11" t="s">
        <v>195</v>
      </c>
      <c r="EK11" t="s">
        <v>167</v>
      </c>
      <c r="EL11" t="s">
        <v>167</v>
      </c>
      <c r="EM11" s="145" t="s">
        <v>167</v>
      </c>
      <c r="EN11" s="145" t="s">
        <v>226</v>
      </c>
      <c r="EO11" s="145" t="s">
        <v>197</v>
      </c>
      <c r="EP11" s="145" t="s">
        <v>197</v>
      </c>
      <c r="EQ11" s="145" t="s">
        <v>167</v>
      </c>
      <c r="ER11" s="145" t="s">
        <v>167</v>
      </c>
      <c r="ES11" s="145" t="s">
        <v>167</v>
      </c>
      <c r="ET11" t="s">
        <v>198</v>
      </c>
      <c r="EU11" t="s">
        <v>199</v>
      </c>
      <c r="EV11" t="s">
        <v>200</v>
      </c>
      <c r="EW11">
        <v>1293</v>
      </c>
      <c r="EX11" t="s">
        <v>201</v>
      </c>
      <c r="EY11">
        <v>200</v>
      </c>
      <c r="EZ11">
        <v>200</v>
      </c>
      <c r="FA11" s="145" t="s">
        <v>167</v>
      </c>
      <c r="FB11" s="145" t="s">
        <v>167</v>
      </c>
      <c r="FC11" s="145" t="s">
        <v>167</v>
      </c>
      <c r="FD11" s="145" t="s">
        <v>167</v>
      </c>
      <c r="FE11" s="143">
        <v>7.96</v>
      </c>
      <c r="FF11" s="170" t="s">
        <v>167</v>
      </c>
      <c r="FG11" s="143">
        <v>0.03</v>
      </c>
      <c r="FH11" s="143">
        <v>0.03</v>
      </c>
      <c r="FI11" s="171">
        <f t="shared" si="8"/>
        <v>272</v>
      </c>
      <c r="FJ11" s="143" t="s">
        <v>202</v>
      </c>
      <c r="FK11" s="151" t="s">
        <v>167</v>
      </c>
      <c r="FL11" s="143">
        <v>272</v>
      </c>
      <c r="FM11" s="143">
        <v>52</v>
      </c>
      <c r="FN11" s="143">
        <v>51</v>
      </c>
      <c r="FO11" s="151" t="s">
        <v>167</v>
      </c>
      <c r="FP11" s="172" t="s">
        <v>203</v>
      </c>
      <c r="FQ11" s="145" t="s">
        <v>167</v>
      </c>
      <c r="FR11" s="145" t="s">
        <v>167</v>
      </c>
      <c r="FS11" s="145" t="s">
        <v>167</v>
      </c>
      <c r="FT11" s="145" t="s">
        <v>167</v>
      </c>
      <c r="FU11" s="145" t="s">
        <v>167</v>
      </c>
      <c r="FV11" s="145" t="s">
        <v>167</v>
      </c>
      <c r="FW11" s="145" t="s">
        <v>167</v>
      </c>
      <c r="FX11" s="145" t="s">
        <v>167</v>
      </c>
      <c r="FY11" s="145" t="s">
        <v>167</v>
      </c>
      <c r="FZ11" s="145" t="s">
        <v>167</v>
      </c>
      <c r="GA11" s="145" t="s">
        <v>167</v>
      </c>
      <c r="GB11" s="145" t="s">
        <v>167</v>
      </c>
    </row>
    <row r="12" spans="1:185" ht="16" x14ac:dyDescent="0.2">
      <c r="A12" t="s">
        <v>256</v>
      </c>
      <c r="B12" s="144" t="s">
        <v>257</v>
      </c>
      <c r="C12" s="138" t="s">
        <v>168</v>
      </c>
      <c r="D12" t="s">
        <v>254</v>
      </c>
      <c r="E12">
        <v>2012</v>
      </c>
      <c r="F12" t="str">
        <f t="shared" si="9"/>
        <v>10.1016/j.epsl.2012.06.007</v>
      </c>
      <c r="G12" s="148">
        <f t="shared" si="10"/>
        <v>14800</v>
      </c>
      <c r="H12" s="145" t="str">
        <f t="shared" si="11"/>
        <v>NA</v>
      </c>
      <c r="I12" s="145" t="str">
        <f t="shared" si="12"/>
        <v>NA</v>
      </c>
      <c r="J12" s="154">
        <f t="shared" si="13"/>
        <v>374</v>
      </c>
      <c r="K12" s="154">
        <f t="shared" si="14"/>
        <v>82</v>
      </c>
      <c r="L12" s="154">
        <f t="shared" si="15"/>
        <v>76</v>
      </c>
      <c r="M12" t="b">
        <v>1</v>
      </c>
      <c r="N12">
        <v>3</v>
      </c>
      <c r="O12" t="s">
        <v>169</v>
      </c>
      <c r="P12" s="173" t="s">
        <v>170</v>
      </c>
      <c r="Q12" t="b">
        <v>0</v>
      </c>
      <c r="R12" t="s">
        <v>167</v>
      </c>
      <c r="S12" t="b">
        <v>1</v>
      </c>
      <c r="T12" t="b">
        <v>0</v>
      </c>
      <c r="U12" t="s">
        <v>167</v>
      </c>
      <c r="V12" t="s">
        <v>167</v>
      </c>
      <c r="W12" t="b">
        <v>0</v>
      </c>
      <c r="X12" t="s">
        <v>167</v>
      </c>
      <c r="Y12" s="139" t="s">
        <v>171</v>
      </c>
      <c r="Z12" t="s">
        <v>207</v>
      </c>
      <c r="AA12">
        <v>761</v>
      </c>
      <c r="AB12" t="s">
        <v>173</v>
      </c>
      <c r="AC12">
        <v>6</v>
      </c>
      <c r="AD12">
        <v>1</v>
      </c>
      <c r="AE12">
        <v>133</v>
      </c>
      <c r="AF12">
        <v>135</v>
      </c>
      <c r="AG12" s="145" t="s">
        <v>167</v>
      </c>
      <c r="AH12">
        <v>43.5</v>
      </c>
      <c r="AI12" s="145" t="s">
        <v>167</v>
      </c>
      <c r="AJ12" t="s">
        <v>174</v>
      </c>
      <c r="AK12" s="166">
        <v>-16.739999999999998</v>
      </c>
      <c r="AL12" s="166">
        <v>115.536</v>
      </c>
      <c r="AM12" t="s">
        <v>167</v>
      </c>
      <c r="AN12" t="s">
        <v>167</v>
      </c>
      <c r="AO12" s="167">
        <v>-2179</v>
      </c>
      <c r="AP12" t="s">
        <v>167</v>
      </c>
      <c r="AQ12" t="s">
        <v>167</v>
      </c>
      <c r="AR12" s="151" t="s">
        <v>167</v>
      </c>
      <c r="AS12">
        <v>14800</v>
      </c>
      <c r="AT12" s="168" t="s">
        <v>167</v>
      </c>
      <c r="AU12" s="168" t="s">
        <v>167</v>
      </c>
      <c r="AV12" s="168" t="s">
        <v>167</v>
      </c>
      <c r="AW12" s="168" t="s">
        <v>167</v>
      </c>
      <c r="AX12" s="168" t="s">
        <v>167</v>
      </c>
      <c r="AY12" s="168" t="s">
        <v>167</v>
      </c>
      <c r="AZ12" t="s">
        <v>167</v>
      </c>
      <c r="BA12" t="s">
        <v>167</v>
      </c>
      <c r="BB12" t="s">
        <v>167</v>
      </c>
      <c r="BC12" t="s">
        <v>167</v>
      </c>
      <c r="BD12" t="s">
        <v>167</v>
      </c>
      <c r="BE12" t="s">
        <v>167</v>
      </c>
      <c r="BF12" t="s">
        <v>167</v>
      </c>
      <c r="BG12" t="s">
        <v>175</v>
      </c>
      <c r="BH12" t="s">
        <v>176</v>
      </c>
      <c r="BI12" t="s">
        <v>177</v>
      </c>
      <c r="BJ12" t="s">
        <v>178</v>
      </c>
      <c r="BK12" t="s">
        <v>179</v>
      </c>
      <c r="BL12" t="s">
        <v>180</v>
      </c>
      <c r="BM12" t="s">
        <v>181</v>
      </c>
      <c r="BN12" t="s">
        <v>227</v>
      </c>
      <c r="BO12">
        <v>2</v>
      </c>
      <c r="BP12">
        <v>0.26999999999999957</v>
      </c>
      <c r="BQ12">
        <v>15.04</v>
      </c>
      <c r="BR12" t="s">
        <v>183</v>
      </c>
      <c r="BS12">
        <v>0.37</v>
      </c>
      <c r="BT12">
        <v>0.88</v>
      </c>
      <c r="BU12" t="s">
        <v>183</v>
      </c>
      <c r="BV12" s="168" t="s">
        <v>167</v>
      </c>
      <c r="BW12">
        <v>1.85</v>
      </c>
      <c r="BX12" t="s">
        <v>183</v>
      </c>
      <c r="BY12" s="168" t="s">
        <v>167</v>
      </c>
      <c r="BZ12" t="s">
        <v>184</v>
      </c>
      <c r="CA12" s="145" t="s">
        <v>185</v>
      </c>
      <c r="CB12" s="149">
        <f t="shared" si="3"/>
        <v>14.988636363636363</v>
      </c>
      <c r="CC12" s="145" t="s">
        <v>167</v>
      </c>
      <c r="CD12" s="145" t="s">
        <v>167</v>
      </c>
      <c r="CE12" s="145" t="s">
        <v>167</v>
      </c>
      <c r="CF12" s="145" t="s">
        <v>167</v>
      </c>
      <c r="CG12" s="145" t="s">
        <v>186</v>
      </c>
      <c r="CH12" s="145" t="s">
        <v>187</v>
      </c>
      <c r="CI12" s="145" t="s">
        <v>187</v>
      </c>
      <c r="CJ12" s="143">
        <v>30.8</v>
      </c>
      <c r="CK12" t="s">
        <v>183</v>
      </c>
      <c r="CL12" s="138">
        <f t="shared" si="4"/>
        <v>32.299999999999997</v>
      </c>
      <c r="CM12" s="138">
        <f t="shared" si="5"/>
        <v>29.3</v>
      </c>
      <c r="CN12" t="s">
        <v>167</v>
      </c>
      <c r="CO12">
        <v>4.17</v>
      </c>
      <c r="CP12" t="s">
        <v>183</v>
      </c>
      <c r="CQ12" s="150">
        <f t="shared" si="6"/>
        <v>6.2549999999999994E-2</v>
      </c>
      <c r="CR12" s="150">
        <f t="shared" si="7"/>
        <v>6.2549999999999994E-2</v>
      </c>
      <c r="CS12" s="145" t="s">
        <v>167</v>
      </c>
      <c r="CT12" t="s">
        <v>188</v>
      </c>
      <c r="CU12" s="145">
        <v>3.43</v>
      </c>
      <c r="CV12" s="145" t="s">
        <v>189</v>
      </c>
      <c r="CW12" s="145" t="s">
        <v>167</v>
      </c>
      <c r="CX12" s="145" t="s">
        <v>167</v>
      </c>
      <c r="CY12" s="145" t="s">
        <v>167</v>
      </c>
      <c r="CZ12" t="s">
        <v>167</v>
      </c>
      <c r="DA12" t="s">
        <v>167</v>
      </c>
      <c r="DB12" t="s">
        <v>167</v>
      </c>
      <c r="DC12" t="s">
        <v>167</v>
      </c>
      <c r="DD12" t="s">
        <v>167</v>
      </c>
      <c r="DE12" t="s">
        <v>167</v>
      </c>
      <c r="DF12" t="s">
        <v>167</v>
      </c>
      <c r="DG12">
        <v>35</v>
      </c>
      <c r="DH12" t="s">
        <v>183</v>
      </c>
      <c r="DI12" s="145" t="s">
        <v>167</v>
      </c>
      <c r="DJ12" s="145" t="s">
        <v>190</v>
      </c>
      <c r="DK12" s="145" t="s">
        <v>167</v>
      </c>
      <c r="DL12" s="145" t="s">
        <v>167</v>
      </c>
      <c r="DM12" s="145" t="s">
        <v>167</v>
      </c>
      <c r="DN12" s="145" t="s">
        <v>167</v>
      </c>
      <c r="DO12" s="145" t="s">
        <v>167</v>
      </c>
      <c r="DP12" s="145" t="s">
        <v>167</v>
      </c>
      <c r="DQ12" s="145" t="s">
        <v>167</v>
      </c>
      <c r="DR12" s="145" t="s">
        <v>167</v>
      </c>
      <c r="DS12" s="145" t="s">
        <v>167</v>
      </c>
      <c r="DT12" s="145" t="s">
        <v>167</v>
      </c>
      <c r="DU12" s="145" t="s">
        <v>167</v>
      </c>
      <c r="DV12" s="145" t="s">
        <v>167</v>
      </c>
      <c r="DW12" s="148">
        <v>432.56244218316402</v>
      </c>
      <c r="DX12" s="145" t="s">
        <v>167</v>
      </c>
      <c r="DY12" s="145" t="s">
        <v>167</v>
      </c>
      <c r="DZ12" t="s">
        <v>191</v>
      </c>
      <c r="EA12">
        <v>37.82</v>
      </c>
      <c r="EB12" t="s">
        <v>183</v>
      </c>
      <c r="EC12">
        <v>0.35</v>
      </c>
      <c r="ED12" t="s">
        <v>192</v>
      </c>
      <c r="EE12" t="s">
        <v>228</v>
      </c>
      <c r="EF12" t="s">
        <v>194</v>
      </c>
      <c r="EG12">
        <v>1.0271999999999999</v>
      </c>
      <c r="EH12" t="s">
        <v>183</v>
      </c>
      <c r="EI12">
        <v>5.9999999999999995E-4</v>
      </c>
      <c r="EJ12" t="s">
        <v>195</v>
      </c>
      <c r="EK12" t="s">
        <v>167</v>
      </c>
      <c r="EL12" t="s">
        <v>167</v>
      </c>
      <c r="EM12" s="145" t="s">
        <v>167</v>
      </c>
      <c r="EN12" s="145" t="s">
        <v>229</v>
      </c>
      <c r="EO12" s="145" t="s">
        <v>197</v>
      </c>
      <c r="EP12" s="145" t="s">
        <v>197</v>
      </c>
      <c r="EQ12" s="145" t="s">
        <v>167</v>
      </c>
      <c r="ER12" s="145" t="s">
        <v>167</v>
      </c>
      <c r="ES12" s="145" t="s">
        <v>167</v>
      </c>
      <c r="ET12" t="s">
        <v>198</v>
      </c>
      <c r="EU12" t="s">
        <v>199</v>
      </c>
      <c r="EV12" t="s">
        <v>200</v>
      </c>
      <c r="EW12">
        <v>1293</v>
      </c>
      <c r="EX12" t="s">
        <v>201</v>
      </c>
      <c r="EY12">
        <v>200</v>
      </c>
      <c r="EZ12">
        <v>200</v>
      </c>
      <c r="FA12" s="145" t="s">
        <v>167</v>
      </c>
      <c r="FB12" s="145" t="s">
        <v>167</v>
      </c>
      <c r="FC12" s="145" t="s">
        <v>167</v>
      </c>
      <c r="FD12" s="145" t="s">
        <v>167</v>
      </c>
      <c r="FE12" s="143">
        <v>7.85</v>
      </c>
      <c r="FF12" s="170" t="s">
        <v>167</v>
      </c>
      <c r="FG12" s="143">
        <v>0.05</v>
      </c>
      <c r="FH12" s="143">
        <v>0.05</v>
      </c>
      <c r="FI12" s="171">
        <f t="shared" si="8"/>
        <v>374</v>
      </c>
      <c r="FJ12" s="143" t="s">
        <v>202</v>
      </c>
      <c r="FK12" s="151" t="s">
        <v>167</v>
      </c>
      <c r="FL12" s="143">
        <v>374</v>
      </c>
      <c r="FM12" s="143">
        <v>82</v>
      </c>
      <c r="FN12" s="143">
        <v>76</v>
      </c>
      <c r="FO12" s="151" t="s">
        <v>167</v>
      </c>
      <c r="FP12" s="172" t="s">
        <v>203</v>
      </c>
      <c r="FQ12" s="145" t="s">
        <v>167</v>
      </c>
      <c r="FR12" s="145" t="s">
        <v>167</v>
      </c>
      <c r="FS12" s="145" t="s">
        <v>167</v>
      </c>
      <c r="FT12" s="145" t="s">
        <v>167</v>
      </c>
      <c r="FU12" s="145" t="s">
        <v>167</v>
      </c>
      <c r="FV12" s="145" t="s">
        <v>167</v>
      </c>
      <c r="FW12" s="145" t="s">
        <v>167</v>
      </c>
      <c r="FX12" s="145" t="s">
        <v>167</v>
      </c>
      <c r="FY12" s="145" t="s">
        <v>167</v>
      </c>
      <c r="FZ12" s="145" t="s">
        <v>167</v>
      </c>
      <c r="GA12" s="145" t="s">
        <v>167</v>
      </c>
      <c r="GB12" s="145" t="s">
        <v>167</v>
      </c>
    </row>
    <row r="13" spans="1:185" ht="16" x14ac:dyDescent="0.2">
      <c r="A13" t="s">
        <v>256</v>
      </c>
      <c r="B13" s="144" t="s">
        <v>257</v>
      </c>
      <c r="C13" s="138" t="s">
        <v>168</v>
      </c>
      <c r="D13" t="s">
        <v>254</v>
      </c>
      <c r="E13">
        <v>2012</v>
      </c>
      <c r="F13" t="str">
        <f t="shared" si="9"/>
        <v>10.1016/j.epsl.2012.06.007</v>
      </c>
      <c r="G13" s="148">
        <f t="shared" si="10"/>
        <v>15040</v>
      </c>
      <c r="H13" s="145" t="str">
        <f t="shared" si="11"/>
        <v>NA</v>
      </c>
      <c r="I13" s="145" t="str">
        <f t="shared" si="12"/>
        <v>NA</v>
      </c>
      <c r="J13" s="154">
        <f t="shared" si="13"/>
        <v>332</v>
      </c>
      <c r="K13" s="154">
        <f t="shared" si="14"/>
        <v>75</v>
      </c>
      <c r="L13" s="154">
        <f t="shared" si="15"/>
        <v>69</v>
      </c>
      <c r="M13" t="b">
        <v>1</v>
      </c>
      <c r="N13">
        <v>3</v>
      </c>
      <c r="O13" t="s">
        <v>169</v>
      </c>
      <c r="P13" s="173" t="s">
        <v>170</v>
      </c>
      <c r="Q13" t="b">
        <v>0</v>
      </c>
      <c r="R13" t="s">
        <v>167</v>
      </c>
      <c r="S13" t="b">
        <v>1</v>
      </c>
      <c r="T13" t="b">
        <v>0</v>
      </c>
      <c r="U13" t="s">
        <v>167</v>
      </c>
      <c r="V13" t="s">
        <v>167</v>
      </c>
      <c r="W13" t="b">
        <v>0</v>
      </c>
      <c r="X13" t="s">
        <v>167</v>
      </c>
      <c r="Y13" s="139" t="s">
        <v>171</v>
      </c>
      <c r="Z13" t="s">
        <v>207</v>
      </c>
      <c r="AA13">
        <v>761</v>
      </c>
      <c r="AB13" t="s">
        <v>173</v>
      </c>
      <c r="AC13">
        <v>6</v>
      </c>
      <c r="AD13">
        <v>2</v>
      </c>
      <c r="AE13">
        <v>63</v>
      </c>
      <c r="AF13">
        <v>65</v>
      </c>
      <c r="AG13" s="145" t="s">
        <v>167</v>
      </c>
      <c r="AH13">
        <v>44.3</v>
      </c>
      <c r="AI13" s="145" t="s">
        <v>167</v>
      </c>
      <c r="AJ13" t="s">
        <v>174</v>
      </c>
      <c r="AK13" s="166">
        <v>-16.739999999999998</v>
      </c>
      <c r="AL13" s="166">
        <v>115.536</v>
      </c>
      <c r="AM13" t="s">
        <v>167</v>
      </c>
      <c r="AN13" t="s">
        <v>167</v>
      </c>
      <c r="AO13" s="167">
        <v>-2179</v>
      </c>
      <c r="AP13" t="s">
        <v>167</v>
      </c>
      <c r="AQ13" t="s">
        <v>167</v>
      </c>
      <c r="AR13" s="151" t="s">
        <v>167</v>
      </c>
      <c r="AS13">
        <v>15040</v>
      </c>
      <c r="AT13" s="168" t="s">
        <v>167</v>
      </c>
      <c r="AU13" s="168" t="s">
        <v>167</v>
      </c>
      <c r="AV13" s="168" t="s">
        <v>167</v>
      </c>
      <c r="AW13" s="168" t="s">
        <v>167</v>
      </c>
      <c r="AX13" s="168" t="s">
        <v>167</v>
      </c>
      <c r="AY13" s="168" t="s">
        <v>167</v>
      </c>
      <c r="AZ13" t="s">
        <v>167</v>
      </c>
      <c r="BA13" t="s">
        <v>167</v>
      </c>
      <c r="BB13" t="s">
        <v>167</v>
      </c>
      <c r="BC13" t="s">
        <v>167</v>
      </c>
      <c r="BD13" t="s">
        <v>167</v>
      </c>
      <c r="BE13" t="s">
        <v>167</v>
      </c>
      <c r="BF13" t="s">
        <v>167</v>
      </c>
      <c r="BG13" t="s">
        <v>175</v>
      </c>
      <c r="BH13" t="s">
        <v>176</v>
      </c>
      <c r="BI13" t="s">
        <v>177</v>
      </c>
      <c r="BJ13" t="s">
        <v>178</v>
      </c>
      <c r="BK13" t="s">
        <v>179</v>
      </c>
      <c r="BL13" t="s">
        <v>180</v>
      </c>
      <c r="BM13" t="s">
        <v>181</v>
      </c>
      <c r="BN13" t="s">
        <v>230</v>
      </c>
      <c r="BO13">
        <v>2</v>
      </c>
      <c r="BP13">
        <v>0.56999999999999851</v>
      </c>
      <c r="BQ13">
        <v>15.34</v>
      </c>
      <c r="BR13" t="s">
        <v>183</v>
      </c>
      <c r="BS13">
        <v>0.4</v>
      </c>
      <c r="BT13">
        <v>0.88</v>
      </c>
      <c r="BU13" t="s">
        <v>183</v>
      </c>
      <c r="BV13" s="168" t="s">
        <v>167</v>
      </c>
      <c r="BW13">
        <v>1.85</v>
      </c>
      <c r="BX13" t="s">
        <v>183</v>
      </c>
      <c r="BY13" s="168" t="s">
        <v>167</v>
      </c>
      <c r="BZ13" t="s">
        <v>184</v>
      </c>
      <c r="CA13" s="145" t="s">
        <v>185</v>
      </c>
      <c r="CB13" s="149">
        <f t="shared" si="3"/>
        <v>15.329545454545455</v>
      </c>
      <c r="CC13" s="145" t="s">
        <v>167</v>
      </c>
      <c r="CD13" s="145" t="s">
        <v>167</v>
      </c>
      <c r="CE13" s="145" t="s">
        <v>167</v>
      </c>
      <c r="CF13" s="145" t="s">
        <v>167</v>
      </c>
      <c r="CG13" s="145" t="s">
        <v>186</v>
      </c>
      <c r="CH13" s="145" t="s">
        <v>187</v>
      </c>
      <c r="CI13" s="145" t="s">
        <v>187</v>
      </c>
      <c r="CJ13" s="143">
        <v>30.2</v>
      </c>
      <c r="CK13" t="s">
        <v>183</v>
      </c>
      <c r="CL13" s="138">
        <f t="shared" si="4"/>
        <v>31.7</v>
      </c>
      <c r="CM13" s="138">
        <f t="shared" si="5"/>
        <v>28.7</v>
      </c>
      <c r="CN13" t="s">
        <v>167</v>
      </c>
      <c r="CO13">
        <v>3.94</v>
      </c>
      <c r="CP13" t="s">
        <v>183</v>
      </c>
      <c r="CQ13" s="150">
        <f t="shared" si="6"/>
        <v>5.91E-2</v>
      </c>
      <c r="CR13" s="150">
        <f t="shared" si="7"/>
        <v>5.91E-2</v>
      </c>
      <c r="CS13" s="145" t="s">
        <v>167</v>
      </c>
      <c r="CT13" t="s">
        <v>188</v>
      </c>
      <c r="CU13" s="145">
        <v>3.43</v>
      </c>
      <c r="CV13" s="145" t="s">
        <v>189</v>
      </c>
      <c r="CW13" s="145" t="s">
        <v>167</v>
      </c>
      <c r="CX13" s="145" t="s">
        <v>167</v>
      </c>
      <c r="CY13" s="145" t="s">
        <v>167</v>
      </c>
      <c r="CZ13" t="s">
        <v>167</v>
      </c>
      <c r="DA13" t="s">
        <v>167</v>
      </c>
      <c r="DB13" t="s">
        <v>167</v>
      </c>
      <c r="DC13" t="s">
        <v>167</v>
      </c>
      <c r="DD13" t="s">
        <v>167</v>
      </c>
      <c r="DE13" t="s">
        <v>167</v>
      </c>
      <c r="DF13" t="s">
        <v>167</v>
      </c>
      <c r="DG13">
        <v>35</v>
      </c>
      <c r="DH13" t="s">
        <v>183</v>
      </c>
      <c r="DI13" s="145" t="s">
        <v>167</v>
      </c>
      <c r="DJ13" s="145" t="s">
        <v>190</v>
      </c>
      <c r="DK13" s="145" t="s">
        <v>167</v>
      </c>
      <c r="DL13" s="145" t="s">
        <v>167</v>
      </c>
      <c r="DM13" s="145" t="s">
        <v>167</v>
      </c>
      <c r="DN13" s="145" t="s">
        <v>167</v>
      </c>
      <c r="DO13" s="145" t="s">
        <v>167</v>
      </c>
      <c r="DP13" s="145" t="s">
        <v>167</v>
      </c>
      <c r="DQ13" s="145" t="s">
        <v>167</v>
      </c>
      <c r="DR13" s="145" t="s">
        <v>167</v>
      </c>
      <c r="DS13" s="145" t="s">
        <v>167</v>
      </c>
      <c r="DT13" s="145" t="s">
        <v>167</v>
      </c>
      <c r="DU13" s="145" t="s">
        <v>167</v>
      </c>
      <c r="DV13" s="145" t="s">
        <v>167</v>
      </c>
      <c r="DW13" s="148">
        <v>432.56244218316402</v>
      </c>
      <c r="DX13" s="145" t="s">
        <v>167</v>
      </c>
      <c r="DY13" s="145" t="s">
        <v>167</v>
      </c>
      <c r="DZ13" t="s">
        <v>191</v>
      </c>
      <c r="EA13">
        <v>37.82</v>
      </c>
      <c r="EB13" t="s">
        <v>183</v>
      </c>
      <c r="EC13">
        <v>0.35</v>
      </c>
      <c r="ED13" t="s">
        <v>192</v>
      </c>
      <c r="EE13" t="s">
        <v>231</v>
      </c>
      <c r="EF13" t="s">
        <v>194</v>
      </c>
      <c r="EG13">
        <v>1.0271999999999999</v>
      </c>
      <c r="EH13" t="s">
        <v>183</v>
      </c>
      <c r="EI13">
        <v>5.9999999999999995E-4</v>
      </c>
      <c r="EJ13" t="s">
        <v>195</v>
      </c>
      <c r="EK13" t="s">
        <v>167</v>
      </c>
      <c r="EL13" t="s">
        <v>167</v>
      </c>
      <c r="EM13" s="145" t="s">
        <v>167</v>
      </c>
      <c r="EN13" s="145" t="s">
        <v>232</v>
      </c>
      <c r="EO13" s="145" t="s">
        <v>197</v>
      </c>
      <c r="EP13" s="145" t="s">
        <v>197</v>
      </c>
      <c r="EQ13" s="145" t="s">
        <v>167</v>
      </c>
      <c r="ER13" s="145" t="s">
        <v>167</v>
      </c>
      <c r="ES13" s="145" t="s">
        <v>167</v>
      </c>
      <c r="ET13" t="s">
        <v>198</v>
      </c>
      <c r="EU13" t="s">
        <v>199</v>
      </c>
      <c r="EV13" t="s">
        <v>200</v>
      </c>
      <c r="EW13">
        <v>1293</v>
      </c>
      <c r="EX13" t="s">
        <v>201</v>
      </c>
      <c r="EY13">
        <v>200</v>
      </c>
      <c r="EZ13">
        <v>200</v>
      </c>
      <c r="FA13" s="145" t="s">
        <v>167</v>
      </c>
      <c r="FB13" s="145" t="s">
        <v>167</v>
      </c>
      <c r="FC13" s="145" t="s">
        <v>167</v>
      </c>
      <c r="FD13" s="145" t="s">
        <v>167</v>
      </c>
      <c r="FE13" s="143">
        <v>7.89</v>
      </c>
      <c r="FF13" s="170" t="s">
        <v>167</v>
      </c>
      <c r="FG13" s="143">
        <v>0.05</v>
      </c>
      <c r="FH13" s="143">
        <v>0.05</v>
      </c>
      <c r="FI13" s="171">
        <f t="shared" si="8"/>
        <v>332</v>
      </c>
      <c r="FJ13" s="143" t="s">
        <v>202</v>
      </c>
      <c r="FK13" s="151" t="s">
        <v>167</v>
      </c>
      <c r="FL13" s="143">
        <v>332</v>
      </c>
      <c r="FM13" s="143">
        <v>75</v>
      </c>
      <c r="FN13" s="143">
        <v>69</v>
      </c>
      <c r="FO13" s="151" t="s">
        <v>167</v>
      </c>
      <c r="FP13" s="172" t="s">
        <v>203</v>
      </c>
      <c r="FQ13" s="145" t="s">
        <v>167</v>
      </c>
      <c r="FR13" s="145" t="s">
        <v>167</v>
      </c>
      <c r="FS13" s="145" t="s">
        <v>167</v>
      </c>
      <c r="FT13" s="145" t="s">
        <v>167</v>
      </c>
      <c r="FU13" s="145" t="s">
        <v>167</v>
      </c>
      <c r="FV13" s="145" t="s">
        <v>167</v>
      </c>
      <c r="FW13" s="145" t="s">
        <v>167</v>
      </c>
      <c r="FX13" s="145" t="s">
        <v>167</v>
      </c>
      <c r="FY13" s="145" t="s">
        <v>167</v>
      </c>
      <c r="FZ13" s="145" t="s">
        <v>167</v>
      </c>
      <c r="GA13" s="145" t="s">
        <v>167</v>
      </c>
      <c r="GB13" s="145" t="s">
        <v>167</v>
      </c>
    </row>
    <row r="14" spans="1:185" ht="16" x14ac:dyDescent="0.2">
      <c r="A14" t="s">
        <v>256</v>
      </c>
      <c r="B14" s="144" t="s">
        <v>257</v>
      </c>
      <c r="C14" s="138" t="s">
        <v>168</v>
      </c>
      <c r="D14" t="s">
        <v>254</v>
      </c>
      <c r="E14">
        <v>2012</v>
      </c>
      <c r="F14" t="str">
        <f t="shared" si="9"/>
        <v>10.1016/j.epsl.2012.06.007</v>
      </c>
      <c r="G14" s="148">
        <f t="shared" si="10"/>
        <v>15560</v>
      </c>
      <c r="H14" s="145" t="str">
        <f t="shared" si="11"/>
        <v>NA</v>
      </c>
      <c r="I14" s="145" t="str">
        <f t="shared" si="12"/>
        <v>NA</v>
      </c>
      <c r="J14" s="154">
        <f t="shared" si="13"/>
        <v>298</v>
      </c>
      <c r="K14" s="154">
        <f t="shared" si="14"/>
        <v>59</v>
      </c>
      <c r="L14" s="154">
        <f t="shared" si="15"/>
        <v>57</v>
      </c>
      <c r="M14" t="b">
        <v>1</v>
      </c>
      <c r="N14">
        <v>3</v>
      </c>
      <c r="O14" t="s">
        <v>169</v>
      </c>
      <c r="P14" s="173" t="s">
        <v>170</v>
      </c>
      <c r="Q14" t="b">
        <v>0</v>
      </c>
      <c r="R14" t="s">
        <v>167</v>
      </c>
      <c r="S14" t="b">
        <v>1</v>
      </c>
      <c r="T14" t="b">
        <v>0</v>
      </c>
      <c r="U14" t="s">
        <v>167</v>
      </c>
      <c r="V14" t="s">
        <v>167</v>
      </c>
      <c r="W14" t="b">
        <v>0</v>
      </c>
      <c r="X14" t="s">
        <v>167</v>
      </c>
      <c r="Y14" s="139" t="s">
        <v>171</v>
      </c>
      <c r="Z14" t="s">
        <v>207</v>
      </c>
      <c r="AA14">
        <v>761</v>
      </c>
      <c r="AB14" t="s">
        <v>173</v>
      </c>
      <c r="AC14">
        <v>6</v>
      </c>
      <c r="AD14">
        <v>3</v>
      </c>
      <c r="AE14">
        <v>103</v>
      </c>
      <c r="AF14">
        <v>105</v>
      </c>
      <c r="AG14" s="145" t="s">
        <v>167</v>
      </c>
      <c r="AH14">
        <v>46.2</v>
      </c>
      <c r="AI14" s="145" t="s">
        <v>167</v>
      </c>
      <c r="AJ14" t="s">
        <v>174</v>
      </c>
      <c r="AK14" s="166">
        <v>-16.739999999999998</v>
      </c>
      <c r="AL14" s="166">
        <v>115.536</v>
      </c>
      <c r="AM14" t="s">
        <v>167</v>
      </c>
      <c r="AN14" t="s">
        <v>167</v>
      </c>
      <c r="AO14" s="167">
        <v>-2179</v>
      </c>
      <c r="AP14" t="s">
        <v>167</v>
      </c>
      <c r="AQ14" t="s">
        <v>167</v>
      </c>
      <c r="AR14" s="151" t="s">
        <v>167</v>
      </c>
      <c r="AS14">
        <v>15560</v>
      </c>
      <c r="AT14" s="168" t="s">
        <v>167</v>
      </c>
      <c r="AU14" s="168" t="s">
        <v>167</v>
      </c>
      <c r="AV14" s="168" t="s">
        <v>167</v>
      </c>
      <c r="AW14" s="168" t="s">
        <v>167</v>
      </c>
      <c r="AX14" s="168" t="s">
        <v>167</v>
      </c>
      <c r="AY14" s="168" t="s">
        <v>167</v>
      </c>
      <c r="AZ14" t="s">
        <v>167</v>
      </c>
      <c r="BA14" t="s">
        <v>167</v>
      </c>
      <c r="BB14" t="s">
        <v>167</v>
      </c>
      <c r="BC14" t="s">
        <v>167</v>
      </c>
      <c r="BD14" t="s">
        <v>167</v>
      </c>
      <c r="BE14" t="s">
        <v>167</v>
      </c>
      <c r="BF14" t="s">
        <v>167</v>
      </c>
      <c r="BG14" t="s">
        <v>175</v>
      </c>
      <c r="BH14" t="s">
        <v>176</v>
      </c>
      <c r="BI14" t="s">
        <v>177</v>
      </c>
      <c r="BJ14" t="s">
        <v>178</v>
      </c>
      <c r="BK14" t="s">
        <v>179</v>
      </c>
      <c r="BL14" t="s">
        <v>180</v>
      </c>
      <c r="BM14" t="s">
        <v>181</v>
      </c>
      <c r="BN14" t="s">
        <v>233</v>
      </c>
      <c r="BO14">
        <v>2</v>
      </c>
      <c r="BP14">
        <v>0.17999999999999972</v>
      </c>
      <c r="BQ14">
        <v>15.84</v>
      </c>
      <c r="BR14" t="s">
        <v>183</v>
      </c>
      <c r="BS14">
        <v>0.28999999999999998</v>
      </c>
      <c r="BT14">
        <v>0.88</v>
      </c>
      <c r="BU14" t="s">
        <v>183</v>
      </c>
      <c r="BV14" s="168" t="s">
        <v>167</v>
      </c>
      <c r="BW14">
        <v>1.85</v>
      </c>
      <c r="BX14" t="s">
        <v>183</v>
      </c>
      <c r="BY14" s="168" t="s">
        <v>167</v>
      </c>
      <c r="BZ14" t="s">
        <v>184</v>
      </c>
      <c r="CA14" s="145" t="s">
        <v>185</v>
      </c>
      <c r="CB14" s="149">
        <f t="shared" si="3"/>
        <v>15.897727272727273</v>
      </c>
      <c r="CC14" s="145" t="s">
        <v>167</v>
      </c>
      <c r="CD14" s="145" t="s">
        <v>167</v>
      </c>
      <c r="CE14" s="145" t="s">
        <v>167</v>
      </c>
      <c r="CF14" s="145" t="s">
        <v>167</v>
      </c>
      <c r="CG14" s="145" t="s">
        <v>186</v>
      </c>
      <c r="CH14" s="145" t="s">
        <v>187</v>
      </c>
      <c r="CI14" s="145" t="s">
        <v>187</v>
      </c>
      <c r="CJ14" s="143">
        <v>32.1</v>
      </c>
      <c r="CK14" t="s">
        <v>183</v>
      </c>
      <c r="CL14" s="138">
        <f t="shared" si="4"/>
        <v>33.6</v>
      </c>
      <c r="CM14" s="138">
        <f t="shared" si="5"/>
        <v>30.6</v>
      </c>
      <c r="CN14" t="s">
        <v>167</v>
      </c>
      <c r="CO14">
        <v>4.6900000000000004</v>
      </c>
      <c r="CP14" t="s">
        <v>183</v>
      </c>
      <c r="CQ14" s="150">
        <f t="shared" si="6"/>
        <v>7.035000000000001E-2</v>
      </c>
      <c r="CR14" s="150">
        <f t="shared" si="7"/>
        <v>7.035000000000001E-2</v>
      </c>
      <c r="CS14" s="145" t="s">
        <v>167</v>
      </c>
      <c r="CT14" t="s">
        <v>188</v>
      </c>
      <c r="CU14" s="145">
        <v>3.43</v>
      </c>
      <c r="CV14" s="145" t="s">
        <v>189</v>
      </c>
      <c r="CW14" s="145" t="s">
        <v>167</v>
      </c>
      <c r="CX14" s="145" t="s">
        <v>167</v>
      </c>
      <c r="CY14" s="145" t="s">
        <v>167</v>
      </c>
      <c r="CZ14" t="s">
        <v>167</v>
      </c>
      <c r="DA14" t="s">
        <v>167</v>
      </c>
      <c r="DB14" t="s">
        <v>167</v>
      </c>
      <c r="DC14" t="s">
        <v>167</v>
      </c>
      <c r="DD14" t="s">
        <v>167</v>
      </c>
      <c r="DE14" t="s">
        <v>167</v>
      </c>
      <c r="DF14" t="s">
        <v>167</v>
      </c>
      <c r="DG14">
        <v>35</v>
      </c>
      <c r="DH14" t="s">
        <v>183</v>
      </c>
      <c r="DI14" s="145" t="s">
        <v>167</v>
      </c>
      <c r="DJ14" s="145" t="s">
        <v>190</v>
      </c>
      <c r="DK14" s="145" t="s">
        <v>167</v>
      </c>
      <c r="DL14" s="145" t="s">
        <v>167</v>
      </c>
      <c r="DM14" s="145" t="s">
        <v>167</v>
      </c>
      <c r="DN14" s="145" t="s">
        <v>167</v>
      </c>
      <c r="DO14" s="145" t="s">
        <v>167</v>
      </c>
      <c r="DP14" s="145" t="s">
        <v>167</v>
      </c>
      <c r="DQ14" s="145" t="s">
        <v>167</v>
      </c>
      <c r="DR14" s="145" t="s">
        <v>167</v>
      </c>
      <c r="DS14" s="145" t="s">
        <v>167</v>
      </c>
      <c r="DT14" s="145" t="s">
        <v>167</v>
      </c>
      <c r="DU14" s="145" t="s">
        <v>167</v>
      </c>
      <c r="DV14" s="145" t="s">
        <v>167</v>
      </c>
      <c r="DW14" s="148">
        <v>432.56244218316402</v>
      </c>
      <c r="DX14" s="145" t="s">
        <v>167</v>
      </c>
      <c r="DY14" s="145" t="s">
        <v>167</v>
      </c>
      <c r="DZ14" t="s">
        <v>191</v>
      </c>
      <c r="EA14">
        <v>37.82</v>
      </c>
      <c r="EB14" t="s">
        <v>183</v>
      </c>
      <c r="EC14">
        <v>0.35</v>
      </c>
      <c r="ED14" t="s">
        <v>192</v>
      </c>
      <c r="EE14" t="s">
        <v>234</v>
      </c>
      <c r="EF14" t="s">
        <v>194</v>
      </c>
      <c r="EG14">
        <v>1.0271999999999999</v>
      </c>
      <c r="EH14" t="s">
        <v>183</v>
      </c>
      <c r="EI14">
        <v>5.9999999999999995E-4</v>
      </c>
      <c r="EJ14" t="s">
        <v>195</v>
      </c>
      <c r="EK14" t="s">
        <v>167</v>
      </c>
      <c r="EL14" t="s">
        <v>167</v>
      </c>
      <c r="EM14" s="145" t="s">
        <v>167</v>
      </c>
      <c r="EN14" s="145" t="s">
        <v>235</v>
      </c>
      <c r="EO14" s="145" t="s">
        <v>197</v>
      </c>
      <c r="EP14" s="145" t="s">
        <v>197</v>
      </c>
      <c r="EQ14" s="145" t="s">
        <v>167</v>
      </c>
      <c r="ER14" s="145" t="s">
        <v>167</v>
      </c>
      <c r="ES14" s="145" t="s">
        <v>167</v>
      </c>
      <c r="ET14" t="s">
        <v>198</v>
      </c>
      <c r="EU14" t="s">
        <v>199</v>
      </c>
      <c r="EV14" t="s">
        <v>200</v>
      </c>
      <c r="EW14">
        <v>1293</v>
      </c>
      <c r="EX14" t="s">
        <v>201</v>
      </c>
      <c r="EY14">
        <v>200</v>
      </c>
      <c r="EZ14">
        <v>200</v>
      </c>
      <c r="FA14" s="145" t="s">
        <v>167</v>
      </c>
      <c r="FB14" s="145" t="s">
        <v>167</v>
      </c>
      <c r="FC14" s="145" t="s">
        <v>167</v>
      </c>
      <c r="FD14" s="145" t="s">
        <v>167</v>
      </c>
      <c r="FE14" s="143">
        <v>7.93</v>
      </c>
      <c r="FF14" s="170" t="s">
        <v>167</v>
      </c>
      <c r="FG14" s="143">
        <v>0.03</v>
      </c>
      <c r="FH14" s="143">
        <v>0.03</v>
      </c>
      <c r="FI14" s="171">
        <f t="shared" si="8"/>
        <v>298</v>
      </c>
      <c r="FJ14" s="143" t="s">
        <v>202</v>
      </c>
      <c r="FK14" s="151" t="s">
        <v>167</v>
      </c>
      <c r="FL14" s="143">
        <v>298</v>
      </c>
      <c r="FM14" s="143">
        <v>59</v>
      </c>
      <c r="FN14" s="143">
        <v>57</v>
      </c>
      <c r="FO14" s="151" t="s">
        <v>167</v>
      </c>
      <c r="FP14" s="172" t="s">
        <v>203</v>
      </c>
      <c r="FQ14" s="145" t="s">
        <v>167</v>
      </c>
      <c r="FR14" s="145" t="s">
        <v>167</v>
      </c>
      <c r="FS14" s="145" t="s">
        <v>167</v>
      </c>
      <c r="FT14" s="145" t="s">
        <v>167</v>
      </c>
      <c r="FU14" s="145" t="s">
        <v>167</v>
      </c>
      <c r="FV14" s="145" t="s">
        <v>167</v>
      </c>
      <c r="FW14" s="145" t="s">
        <v>167</v>
      </c>
      <c r="FX14" s="145" t="s">
        <v>167</v>
      </c>
      <c r="FY14" s="145" t="s">
        <v>167</v>
      </c>
      <c r="FZ14" s="145" t="s">
        <v>167</v>
      </c>
      <c r="GA14" s="145" t="s">
        <v>167</v>
      </c>
      <c r="GB14" s="145" t="s">
        <v>167</v>
      </c>
    </row>
    <row r="15" spans="1:185" ht="16" x14ac:dyDescent="0.2">
      <c r="A15" t="s">
        <v>256</v>
      </c>
      <c r="B15" s="144" t="s">
        <v>257</v>
      </c>
      <c r="C15" s="138" t="s">
        <v>168</v>
      </c>
      <c r="D15" t="s">
        <v>254</v>
      </c>
      <c r="E15">
        <v>2012</v>
      </c>
      <c r="F15" t="str">
        <f t="shared" si="9"/>
        <v>10.1016/j.epsl.2012.06.007</v>
      </c>
      <c r="G15" s="148">
        <f t="shared" si="10"/>
        <v>15870</v>
      </c>
      <c r="H15" s="145" t="str">
        <f t="shared" si="11"/>
        <v>NA</v>
      </c>
      <c r="I15" s="145" t="str">
        <f t="shared" si="12"/>
        <v>NA</v>
      </c>
      <c r="J15" s="154">
        <f t="shared" si="13"/>
        <v>392</v>
      </c>
      <c r="K15" s="154">
        <f t="shared" si="14"/>
        <v>92</v>
      </c>
      <c r="L15" s="154">
        <f t="shared" si="15"/>
        <v>84</v>
      </c>
      <c r="M15" t="b">
        <v>1</v>
      </c>
      <c r="N15">
        <v>3</v>
      </c>
      <c r="O15" t="s">
        <v>169</v>
      </c>
      <c r="P15" s="173" t="s">
        <v>170</v>
      </c>
      <c r="Q15" t="b">
        <v>0</v>
      </c>
      <c r="R15" t="s">
        <v>167</v>
      </c>
      <c r="S15" t="b">
        <v>1</v>
      </c>
      <c r="T15" t="b">
        <v>0</v>
      </c>
      <c r="U15" t="s">
        <v>167</v>
      </c>
      <c r="V15" t="s">
        <v>167</v>
      </c>
      <c r="W15" t="b">
        <v>0</v>
      </c>
      <c r="X15" t="s">
        <v>167</v>
      </c>
      <c r="Y15" s="139" t="s">
        <v>171</v>
      </c>
      <c r="Z15" t="s">
        <v>207</v>
      </c>
      <c r="AA15">
        <v>761</v>
      </c>
      <c r="AB15" t="s">
        <v>173</v>
      </c>
      <c r="AC15">
        <v>6</v>
      </c>
      <c r="AD15">
        <v>4</v>
      </c>
      <c r="AE15">
        <v>68</v>
      </c>
      <c r="AF15">
        <v>70</v>
      </c>
      <c r="AG15" s="145" t="s">
        <v>167</v>
      </c>
      <c r="AH15">
        <v>47.4</v>
      </c>
      <c r="AI15" s="145" t="s">
        <v>167</v>
      </c>
      <c r="AJ15" t="s">
        <v>174</v>
      </c>
      <c r="AK15" s="166">
        <v>-16.739999999999998</v>
      </c>
      <c r="AL15" s="166">
        <v>115.536</v>
      </c>
      <c r="AM15" t="s">
        <v>167</v>
      </c>
      <c r="AN15" t="s">
        <v>167</v>
      </c>
      <c r="AO15" s="167">
        <v>-2179</v>
      </c>
      <c r="AP15" t="s">
        <v>167</v>
      </c>
      <c r="AQ15" t="s">
        <v>167</v>
      </c>
      <c r="AR15" s="151" t="s">
        <v>167</v>
      </c>
      <c r="AS15">
        <v>15870</v>
      </c>
      <c r="AT15" s="168" t="s">
        <v>167</v>
      </c>
      <c r="AU15" s="168" t="s">
        <v>167</v>
      </c>
      <c r="AV15" s="168" t="s">
        <v>167</v>
      </c>
      <c r="AW15" s="168" t="s">
        <v>167</v>
      </c>
      <c r="AX15" s="168" t="s">
        <v>167</v>
      </c>
      <c r="AY15" s="168" t="s">
        <v>167</v>
      </c>
      <c r="AZ15" t="s">
        <v>167</v>
      </c>
      <c r="BA15" t="s">
        <v>167</v>
      </c>
      <c r="BB15" t="s">
        <v>167</v>
      </c>
      <c r="BC15" t="s">
        <v>167</v>
      </c>
      <c r="BD15" t="s">
        <v>167</v>
      </c>
      <c r="BE15" t="s">
        <v>167</v>
      </c>
      <c r="BF15" t="s">
        <v>167</v>
      </c>
      <c r="BG15" t="s">
        <v>175</v>
      </c>
      <c r="BH15" t="s">
        <v>176</v>
      </c>
      <c r="BI15" t="s">
        <v>177</v>
      </c>
      <c r="BJ15" t="s">
        <v>178</v>
      </c>
      <c r="BK15" t="s">
        <v>179</v>
      </c>
      <c r="BL15" t="s">
        <v>180</v>
      </c>
      <c r="BM15" t="s">
        <v>181</v>
      </c>
      <c r="BN15" t="s">
        <v>236</v>
      </c>
      <c r="BO15">
        <v>2</v>
      </c>
      <c r="BP15">
        <v>0.73999999999999844</v>
      </c>
      <c r="BQ15">
        <v>15</v>
      </c>
      <c r="BR15" t="s">
        <v>183</v>
      </c>
      <c r="BS15">
        <v>0.41</v>
      </c>
      <c r="BT15">
        <v>0.88</v>
      </c>
      <c r="BU15" t="s">
        <v>183</v>
      </c>
      <c r="BV15" s="168" t="s">
        <v>167</v>
      </c>
      <c r="BW15">
        <v>1.85</v>
      </c>
      <c r="BX15" t="s">
        <v>183</v>
      </c>
      <c r="BY15" s="168" t="s">
        <v>167</v>
      </c>
      <c r="BZ15" t="s">
        <v>184</v>
      </c>
      <c r="CA15" s="145" t="s">
        <v>185</v>
      </c>
      <c r="CB15" s="149">
        <f t="shared" si="3"/>
        <v>14.943181818181818</v>
      </c>
      <c r="CC15" s="145" t="s">
        <v>167</v>
      </c>
      <c r="CD15" s="145" t="s">
        <v>167</v>
      </c>
      <c r="CE15" s="145" t="s">
        <v>167</v>
      </c>
      <c r="CF15" s="145" t="s">
        <v>167</v>
      </c>
      <c r="CG15" s="145" t="s">
        <v>186</v>
      </c>
      <c r="CH15" s="145" t="s">
        <v>187</v>
      </c>
      <c r="CI15" s="145" t="s">
        <v>187</v>
      </c>
      <c r="CJ15" s="143">
        <v>31.9</v>
      </c>
      <c r="CK15" t="s">
        <v>183</v>
      </c>
      <c r="CL15" s="138">
        <f t="shared" si="4"/>
        <v>33.4</v>
      </c>
      <c r="CM15" s="138">
        <f t="shared" si="5"/>
        <v>30.4</v>
      </c>
      <c r="CN15" t="s">
        <v>167</v>
      </c>
      <c r="CO15">
        <v>4.59</v>
      </c>
      <c r="CP15" t="s">
        <v>183</v>
      </c>
      <c r="CQ15" s="150">
        <f t="shared" si="6"/>
        <v>6.8849999999999995E-2</v>
      </c>
      <c r="CR15" s="150">
        <f t="shared" si="7"/>
        <v>6.8849999999999995E-2</v>
      </c>
      <c r="CS15" s="145" t="s">
        <v>167</v>
      </c>
      <c r="CT15" t="s">
        <v>188</v>
      </c>
      <c r="CU15" s="145">
        <v>3.43</v>
      </c>
      <c r="CV15" s="145" t="s">
        <v>189</v>
      </c>
      <c r="CW15" s="145" t="s">
        <v>167</v>
      </c>
      <c r="CX15" s="145" t="s">
        <v>167</v>
      </c>
      <c r="CY15" s="145" t="s">
        <v>167</v>
      </c>
      <c r="CZ15" t="s">
        <v>167</v>
      </c>
      <c r="DA15" t="s">
        <v>167</v>
      </c>
      <c r="DB15" t="s">
        <v>167</v>
      </c>
      <c r="DC15" t="s">
        <v>167</v>
      </c>
      <c r="DD15" t="s">
        <v>167</v>
      </c>
      <c r="DE15" t="s">
        <v>167</v>
      </c>
      <c r="DF15" t="s">
        <v>167</v>
      </c>
      <c r="DG15">
        <v>35</v>
      </c>
      <c r="DH15" t="s">
        <v>183</v>
      </c>
      <c r="DI15" s="145" t="s">
        <v>167</v>
      </c>
      <c r="DJ15" s="145" t="s">
        <v>190</v>
      </c>
      <c r="DK15" s="145" t="s">
        <v>167</v>
      </c>
      <c r="DL15" s="145" t="s">
        <v>167</v>
      </c>
      <c r="DM15" s="145" t="s">
        <v>167</v>
      </c>
      <c r="DN15" s="145" t="s">
        <v>167</v>
      </c>
      <c r="DO15" s="145" t="s">
        <v>167</v>
      </c>
      <c r="DP15" s="145" t="s">
        <v>167</v>
      </c>
      <c r="DQ15" s="145" t="s">
        <v>167</v>
      </c>
      <c r="DR15" s="145" t="s">
        <v>167</v>
      </c>
      <c r="DS15" s="145" t="s">
        <v>167</v>
      </c>
      <c r="DT15" s="145" t="s">
        <v>167</v>
      </c>
      <c r="DU15" s="145" t="s">
        <v>167</v>
      </c>
      <c r="DV15" s="145" t="s">
        <v>167</v>
      </c>
      <c r="DW15" s="148">
        <v>432.56244218316402</v>
      </c>
      <c r="DX15" s="145" t="s">
        <v>167</v>
      </c>
      <c r="DY15" s="145" t="s">
        <v>167</v>
      </c>
      <c r="DZ15" t="s">
        <v>191</v>
      </c>
      <c r="EA15">
        <v>37.82</v>
      </c>
      <c r="EB15" t="s">
        <v>183</v>
      </c>
      <c r="EC15">
        <v>0.35</v>
      </c>
      <c r="ED15" t="s">
        <v>192</v>
      </c>
      <c r="EE15" t="s">
        <v>237</v>
      </c>
      <c r="EF15" t="s">
        <v>194</v>
      </c>
      <c r="EG15">
        <v>1.0271999999999999</v>
      </c>
      <c r="EH15" t="s">
        <v>183</v>
      </c>
      <c r="EI15">
        <v>5.9999999999999995E-4</v>
      </c>
      <c r="EJ15" t="s">
        <v>195</v>
      </c>
      <c r="EK15" t="s">
        <v>167</v>
      </c>
      <c r="EL15" t="s">
        <v>167</v>
      </c>
      <c r="EM15" s="145" t="s">
        <v>167</v>
      </c>
      <c r="EN15" s="145" t="s">
        <v>238</v>
      </c>
      <c r="EO15" s="145" t="s">
        <v>197</v>
      </c>
      <c r="EP15" s="145" t="s">
        <v>197</v>
      </c>
      <c r="EQ15" s="145" t="s">
        <v>167</v>
      </c>
      <c r="ER15" s="145" t="s">
        <v>167</v>
      </c>
      <c r="ES15" s="145" t="s">
        <v>167</v>
      </c>
      <c r="ET15" t="s">
        <v>198</v>
      </c>
      <c r="EU15" t="s">
        <v>199</v>
      </c>
      <c r="EV15" t="s">
        <v>200</v>
      </c>
      <c r="EW15">
        <v>1293</v>
      </c>
      <c r="EX15" t="s">
        <v>201</v>
      </c>
      <c r="EY15">
        <v>200</v>
      </c>
      <c r="EZ15">
        <v>200</v>
      </c>
      <c r="FA15" s="145" t="s">
        <v>167</v>
      </c>
      <c r="FB15" s="145" t="s">
        <v>167</v>
      </c>
      <c r="FC15" s="145" t="s">
        <v>167</v>
      </c>
      <c r="FD15" s="145" t="s">
        <v>167</v>
      </c>
      <c r="FE15" s="143">
        <v>7.83</v>
      </c>
      <c r="FF15" s="170" t="s">
        <v>167</v>
      </c>
      <c r="FG15" s="143">
        <v>0.05</v>
      </c>
      <c r="FH15" s="143">
        <v>0.05</v>
      </c>
      <c r="FI15" s="171">
        <f t="shared" si="8"/>
        <v>392</v>
      </c>
      <c r="FJ15" s="143" t="s">
        <v>202</v>
      </c>
      <c r="FK15" s="151" t="s">
        <v>167</v>
      </c>
      <c r="FL15" s="143">
        <v>392</v>
      </c>
      <c r="FM15" s="143">
        <v>92</v>
      </c>
      <c r="FN15" s="143">
        <v>84</v>
      </c>
      <c r="FO15" s="151" t="s">
        <v>167</v>
      </c>
      <c r="FP15" s="172" t="s">
        <v>203</v>
      </c>
      <c r="FQ15" s="145" t="s">
        <v>167</v>
      </c>
      <c r="FR15" s="145" t="s">
        <v>167</v>
      </c>
      <c r="FS15" s="145" t="s">
        <v>167</v>
      </c>
      <c r="FT15" s="145" t="s">
        <v>167</v>
      </c>
      <c r="FU15" s="145" t="s">
        <v>167</v>
      </c>
      <c r="FV15" s="145" t="s">
        <v>167</v>
      </c>
      <c r="FW15" s="145" t="s">
        <v>167</v>
      </c>
      <c r="FX15" s="145" t="s">
        <v>167</v>
      </c>
      <c r="FY15" s="145" t="s">
        <v>167</v>
      </c>
      <c r="FZ15" s="145" t="s">
        <v>167</v>
      </c>
      <c r="GA15" s="145" t="s">
        <v>167</v>
      </c>
      <c r="GB15" s="145" t="s">
        <v>167</v>
      </c>
    </row>
    <row r="16" spans="1:185" ht="16" x14ac:dyDescent="0.2">
      <c r="A16" t="s">
        <v>256</v>
      </c>
      <c r="B16" s="144" t="s">
        <v>257</v>
      </c>
      <c r="C16" s="138" t="s">
        <v>168</v>
      </c>
      <c r="D16" t="s">
        <v>254</v>
      </c>
      <c r="E16">
        <v>2012</v>
      </c>
      <c r="F16" t="str">
        <f t="shared" si="9"/>
        <v>10.1016/j.epsl.2012.06.007</v>
      </c>
      <c r="G16" s="148">
        <f t="shared" si="10"/>
        <v>16380</v>
      </c>
      <c r="H16" s="145" t="str">
        <f t="shared" si="11"/>
        <v>NA</v>
      </c>
      <c r="I16" s="145" t="str">
        <f t="shared" si="12"/>
        <v>NA</v>
      </c>
      <c r="J16" s="154">
        <f t="shared" si="13"/>
        <v>225</v>
      </c>
      <c r="K16" s="154">
        <f t="shared" si="14"/>
        <v>43</v>
      </c>
      <c r="L16" s="154">
        <f t="shared" si="15"/>
        <v>42</v>
      </c>
      <c r="M16" t="b">
        <v>1</v>
      </c>
      <c r="N16">
        <v>3</v>
      </c>
      <c r="O16" t="s">
        <v>169</v>
      </c>
      <c r="P16" s="173" t="s">
        <v>170</v>
      </c>
      <c r="Q16" t="b">
        <v>0</v>
      </c>
      <c r="R16" t="s">
        <v>167</v>
      </c>
      <c r="S16" t="b">
        <v>1</v>
      </c>
      <c r="T16" t="b">
        <v>0</v>
      </c>
      <c r="U16" t="s">
        <v>167</v>
      </c>
      <c r="V16" t="s">
        <v>167</v>
      </c>
      <c r="W16" t="b">
        <v>0</v>
      </c>
      <c r="X16" t="s">
        <v>167</v>
      </c>
      <c r="Y16" s="139" t="s">
        <v>171</v>
      </c>
      <c r="Z16" t="s">
        <v>207</v>
      </c>
      <c r="AA16">
        <v>761</v>
      </c>
      <c r="AB16" t="s">
        <v>173</v>
      </c>
      <c r="AC16">
        <v>6</v>
      </c>
      <c r="AD16">
        <v>5</v>
      </c>
      <c r="AE16">
        <v>93</v>
      </c>
      <c r="AF16">
        <v>95</v>
      </c>
      <c r="AG16" s="145" t="s">
        <v>167</v>
      </c>
      <c r="AH16">
        <v>49.1</v>
      </c>
      <c r="AI16" s="145" t="s">
        <v>167</v>
      </c>
      <c r="AJ16" t="s">
        <v>174</v>
      </c>
      <c r="AK16" s="166">
        <v>-16.739999999999998</v>
      </c>
      <c r="AL16" s="166">
        <v>115.536</v>
      </c>
      <c r="AM16" t="s">
        <v>167</v>
      </c>
      <c r="AN16" t="s">
        <v>167</v>
      </c>
      <c r="AO16" s="167">
        <v>-2179</v>
      </c>
      <c r="AP16" t="s">
        <v>167</v>
      </c>
      <c r="AQ16" t="s">
        <v>167</v>
      </c>
      <c r="AR16" s="151" t="s">
        <v>167</v>
      </c>
      <c r="AS16">
        <v>16380</v>
      </c>
      <c r="AT16" s="168" t="s">
        <v>167</v>
      </c>
      <c r="AU16" s="168" t="s">
        <v>167</v>
      </c>
      <c r="AV16" s="168" t="s">
        <v>167</v>
      </c>
      <c r="AW16" s="168" t="s">
        <v>167</v>
      </c>
      <c r="AX16" s="168" t="s">
        <v>167</v>
      </c>
      <c r="AY16" s="168" t="s">
        <v>167</v>
      </c>
      <c r="AZ16" t="s">
        <v>167</v>
      </c>
      <c r="BA16" t="s">
        <v>167</v>
      </c>
      <c r="BB16" t="s">
        <v>167</v>
      </c>
      <c r="BC16" t="s">
        <v>167</v>
      </c>
      <c r="BD16" t="s">
        <v>167</v>
      </c>
      <c r="BE16" t="s">
        <v>167</v>
      </c>
      <c r="BF16" t="s">
        <v>167</v>
      </c>
      <c r="BG16" t="s">
        <v>175</v>
      </c>
      <c r="BH16" t="s">
        <v>176</v>
      </c>
      <c r="BI16" t="s">
        <v>177</v>
      </c>
      <c r="BJ16" t="s">
        <v>178</v>
      </c>
      <c r="BK16" t="s">
        <v>179</v>
      </c>
      <c r="BL16" t="s">
        <v>180</v>
      </c>
      <c r="BM16" t="s">
        <v>181</v>
      </c>
      <c r="BN16" t="s">
        <v>239</v>
      </c>
      <c r="BO16">
        <v>2</v>
      </c>
      <c r="BP16">
        <v>0.33999999999999986</v>
      </c>
      <c r="BQ16">
        <v>16.64</v>
      </c>
      <c r="BR16" t="s">
        <v>183</v>
      </c>
      <c r="BS16">
        <v>0.26</v>
      </c>
      <c r="BT16">
        <v>0.88</v>
      </c>
      <c r="BU16" t="s">
        <v>183</v>
      </c>
      <c r="BV16" s="168" t="s">
        <v>167</v>
      </c>
      <c r="BW16">
        <v>1.85</v>
      </c>
      <c r="BX16" t="s">
        <v>183</v>
      </c>
      <c r="BY16" s="168" t="s">
        <v>167</v>
      </c>
      <c r="BZ16" t="s">
        <v>184</v>
      </c>
      <c r="CA16" s="145" t="s">
        <v>185</v>
      </c>
      <c r="CB16" s="149">
        <f t="shared" si="3"/>
        <v>16.806818181818183</v>
      </c>
      <c r="CC16" s="145" t="s">
        <v>167</v>
      </c>
      <c r="CD16" s="145" t="s">
        <v>167</v>
      </c>
      <c r="CE16" s="145" t="s">
        <v>167</v>
      </c>
      <c r="CF16" s="145" t="s">
        <v>167</v>
      </c>
      <c r="CG16" s="145" t="s">
        <v>186</v>
      </c>
      <c r="CH16" s="145" t="s">
        <v>187</v>
      </c>
      <c r="CI16" s="145" t="s">
        <v>187</v>
      </c>
      <c r="CJ16" s="143">
        <v>30.9</v>
      </c>
      <c r="CK16" t="s">
        <v>183</v>
      </c>
      <c r="CL16" s="138">
        <f t="shared" si="4"/>
        <v>32.4</v>
      </c>
      <c r="CM16" s="138">
        <f t="shared" si="5"/>
        <v>29.4</v>
      </c>
      <c r="CN16" t="s">
        <v>167</v>
      </c>
      <c r="CO16">
        <v>4.1900000000000004</v>
      </c>
      <c r="CP16" t="s">
        <v>183</v>
      </c>
      <c r="CQ16" s="150">
        <f t="shared" si="6"/>
        <v>6.2850000000000003E-2</v>
      </c>
      <c r="CR16" s="150">
        <f t="shared" si="7"/>
        <v>6.2850000000000003E-2</v>
      </c>
      <c r="CS16" s="145" t="s">
        <v>167</v>
      </c>
      <c r="CT16" t="s">
        <v>188</v>
      </c>
      <c r="CU16" s="145">
        <v>3.43</v>
      </c>
      <c r="CV16" s="145" t="s">
        <v>189</v>
      </c>
      <c r="CW16" s="145" t="s">
        <v>167</v>
      </c>
      <c r="CX16" s="145" t="s">
        <v>167</v>
      </c>
      <c r="CY16" s="145" t="s">
        <v>167</v>
      </c>
      <c r="CZ16" t="s">
        <v>167</v>
      </c>
      <c r="DA16" t="s">
        <v>167</v>
      </c>
      <c r="DB16" t="s">
        <v>167</v>
      </c>
      <c r="DC16" t="s">
        <v>167</v>
      </c>
      <c r="DD16" t="s">
        <v>167</v>
      </c>
      <c r="DE16" t="s">
        <v>167</v>
      </c>
      <c r="DF16" t="s">
        <v>167</v>
      </c>
      <c r="DG16">
        <v>35</v>
      </c>
      <c r="DH16" t="s">
        <v>183</v>
      </c>
      <c r="DI16" s="145" t="s">
        <v>167</v>
      </c>
      <c r="DJ16" s="145" t="s">
        <v>190</v>
      </c>
      <c r="DK16" s="145" t="s">
        <v>167</v>
      </c>
      <c r="DL16" s="145" t="s">
        <v>167</v>
      </c>
      <c r="DM16" s="145" t="s">
        <v>167</v>
      </c>
      <c r="DN16" s="145" t="s">
        <v>167</v>
      </c>
      <c r="DO16" s="145" t="s">
        <v>167</v>
      </c>
      <c r="DP16" s="145" t="s">
        <v>167</v>
      </c>
      <c r="DQ16" s="145" t="s">
        <v>167</v>
      </c>
      <c r="DR16" s="145" t="s">
        <v>167</v>
      </c>
      <c r="DS16" s="145" t="s">
        <v>167</v>
      </c>
      <c r="DT16" s="145" t="s">
        <v>167</v>
      </c>
      <c r="DU16" s="145" t="s">
        <v>167</v>
      </c>
      <c r="DV16" s="145" t="s">
        <v>167</v>
      </c>
      <c r="DW16" s="148">
        <v>432.56244218316402</v>
      </c>
      <c r="DX16" s="145" t="s">
        <v>167</v>
      </c>
      <c r="DY16" s="145" t="s">
        <v>167</v>
      </c>
      <c r="DZ16" t="s">
        <v>191</v>
      </c>
      <c r="EA16">
        <v>37.82</v>
      </c>
      <c r="EB16" t="s">
        <v>183</v>
      </c>
      <c r="EC16">
        <v>0.35</v>
      </c>
      <c r="ED16" t="s">
        <v>192</v>
      </c>
      <c r="EE16" t="s">
        <v>240</v>
      </c>
      <c r="EF16" t="s">
        <v>194</v>
      </c>
      <c r="EG16">
        <v>1.0271999999999999</v>
      </c>
      <c r="EH16" t="s">
        <v>183</v>
      </c>
      <c r="EI16">
        <v>5.9999999999999995E-4</v>
      </c>
      <c r="EJ16" t="s">
        <v>195</v>
      </c>
      <c r="EK16" t="s">
        <v>167</v>
      </c>
      <c r="EL16" t="s">
        <v>167</v>
      </c>
      <c r="EM16" s="145" t="s">
        <v>167</v>
      </c>
      <c r="EN16" s="145" t="s">
        <v>241</v>
      </c>
      <c r="EO16" s="145" t="s">
        <v>197</v>
      </c>
      <c r="EP16" s="145" t="s">
        <v>197</v>
      </c>
      <c r="EQ16" s="145" t="s">
        <v>167</v>
      </c>
      <c r="ER16" s="145" t="s">
        <v>167</v>
      </c>
      <c r="ES16" s="145" t="s">
        <v>167</v>
      </c>
      <c r="ET16" t="s">
        <v>198</v>
      </c>
      <c r="EU16" t="s">
        <v>199</v>
      </c>
      <c r="EV16" t="s">
        <v>200</v>
      </c>
      <c r="EW16">
        <v>1293</v>
      </c>
      <c r="EX16" t="s">
        <v>201</v>
      </c>
      <c r="EY16">
        <v>200</v>
      </c>
      <c r="EZ16">
        <v>200</v>
      </c>
      <c r="FA16" s="145" t="s">
        <v>167</v>
      </c>
      <c r="FB16" s="145" t="s">
        <v>167</v>
      </c>
      <c r="FC16" s="145" t="s">
        <v>167</v>
      </c>
      <c r="FD16" s="145" t="s">
        <v>167</v>
      </c>
      <c r="FE16" s="143">
        <v>8.0299999999999994</v>
      </c>
      <c r="FF16" s="170" t="s">
        <v>167</v>
      </c>
      <c r="FG16" s="143">
        <v>0.03</v>
      </c>
      <c r="FH16" s="143">
        <v>0.03</v>
      </c>
      <c r="FI16" s="171">
        <f t="shared" si="8"/>
        <v>225</v>
      </c>
      <c r="FJ16" s="143" t="s">
        <v>202</v>
      </c>
      <c r="FK16" s="151" t="s">
        <v>167</v>
      </c>
      <c r="FL16" s="143">
        <v>225</v>
      </c>
      <c r="FM16" s="143">
        <v>43</v>
      </c>
      <c r="FN16" s="143">
        <v>42</v>
      </c>
      <c r="FO16" s="151" t="s">
        <v>167</v>
      </c>
      <c r="FP16" s="172" t="s">
        <v>203</v>
      </c>
      <c r="FQ16" s="145" t="s">
        <v>167</v>
      </c>
      <c r="FR16" s="145" t="s">
        <v>167</v>
      </c>
      <c r="FS16" s="145" t="s">
        <v>167</v>
      </c>
      <c r="FT16" s="145" t="s">
        <v>167</v>
      </c>
      <c r="FU16" s="145" t="s">
        <v>167</v>
      </c>
      <c r="FV16" s="145" t="s">
        <v>167</v>
      </c>
      <c r="FW16" s="145" t="s">
        <v>167</v>
      </c>
      <c r="FX16" s="145" t="s">
        <v>167</v>
      </c>
      <c r="FY16" s="145" t="s">
        <v>167</v>
      </c>
      <c r="FZ16" s="145" t="s">
        <v>167</v>
      </c>
      <c r="GA16" s="145" t="s">
        <v>167</v>
      </c>
      <c r="GB16" s="145" t="s">
        <v>167</v>
      </c>
    </row>
    <row r="17" spans="1:184" ht="16" x14ac:dyDescent="0.2">
      <c r="A17" t="s">
        <v>256</v>
      </c>
      <c r="B17" s="144" t="s">
        <v>257</v>
      </c>
      <c r="C17" s="138" t="s">
        <v>168</v>
      </c>
      <c r="D17" t="s">
        <v>254</v>
      </c>
      <c r="E17">
        <v>2012</v>
      </c>
      <c r="F17" t="str">
        <f t="shared" si="9"/>
        <v>10.1016/j.epsl.2012.06.007</v>
      </c>
      <c r="G17" s="148">
        <f t="shared" si="10"/>
        <v>11800</v>
      </c>
      <c r="H17" s="145" t="str">
        <f t="shared" si="11"/>
        <v>NA</v>
      </c>
      <c r="I17" s="145" t="str">
        <f t="shared" si="12"/>
        <v>NA</v>
      </c>
      <c r="J17" s="154">
        <f t="shared" si="13"/>
        <v>247</v>
      </c>
      <c r="K17" s="154">
        <f t="shared" si="14"/>
        <v>46</v>
      </c>
      <c r="L17" s="154">
        <f t="shared" si="15"/>
        <v>46</v>
      </c>
      <c r="M17" t="b">
        <v>1</v>
      </c>
      <c r="N17">
        <v>3</v>
      </c>
      <c r="O17" t="s">
        <v>169</v>
      </c>
      <c r="P17" s="173" t="s">
        <v>170</v>
      </c>
      <c r="Q17" t="b">
        <v>0</v>
      </c>
      <c r="R17" t="s">
        <v>167</v>
      </c>
      <c r="S17" t="b">
        <v>1</v>
      </c>
      <c r="T17" t="b">
        <v>0</v>
      </c>
      <c r="U17" t="s">
        <v>167</v>
      </c>
      <c r="V17" t="s">
        <v>167</v>
      </c>
      <c r="W17" t="b">
        <v>0</v>
      </c>
      <c r="X17" t="s">
        <v>167</v>
      </c>
      <c r="Y17" s="139" t="s">
        <v>171</v>
      </c>
      <c r="Z17" t="s">
        <v>207</v>
      </c>
      <c r="AA17">
        <v>926</v>
      </c>
      <c r="AB17" t="s">
        <v>242</v>
      </c>
      <c r="AC17">
        <v>26</v>
      </c>
      <c r="AD17">
        <v>5</v>
      </c>
      <c r="AE17">
        <v>30</v>
      </c>
      <c r="AF17">
        <v>32</v>
      </c>
      <c r="AG17" s="145" t="s">
        <v>167</v>
      </c>
      <c r="AH17">
        <v>238.3</v>
      </c>
      <c r="AI17" s="145" t="s">
        <v>167</v>
      </c>
      <c r="AJ17" t="s">
        <v>243</v>
      </c>
      <c r="AK17" s="166">
        <v>-16.739999999999998</v>
      </c>
      <c r="AL17" s="166">
        <v>115.536</v>
      </c>
      <c r="AM17" t="s">
        <v>167</v>
      </c>
      <c r="AN17" t="s">
        <v>167</v>
      </c>
      <c r="AO17" s="167">
        <v>-3598</v>
      </c>
      <c r="AP17" t="s">
        <v>167</v>
      </c>
      <c r="AQ17" t="s">
        <v>167</v>
      </c>
      <c r="AR17" s="171" t="s">
        <v>244</v>
      </c>
      <c r="AS17">
        <v>11800</v>
      </c>
      <c r="AT17" s="168" t="s">
        <v>167</v>
      </c>
      <c r="AU17" s="168" t="s">
        <v>167</v>
      </c>
      <c r="AV17" s="168" t="s">
        <v>167</v>
      </c>
      <c r="AW17" s="168" t="s">
        <v>167</v>
      </c>
      <c r="AX17" s="168" t="s">
        <v>167</v>
      </c>
      <c r="AY17" s="168" t="s">
        <v>167</v>
      </c>
      <c r="AZ17" t="s">
        <v>167</v>
      </c>
      <c r="BA17" t="s">
        <v>167</v>
      </c>
      <c r="BB17" t="s">
        <v>167</v>
      </c>
      <c r="BC17" t="s">
        <v>167</v>
      </c>
      <c r="BD17" t="s">
        <v>167</v>
      </c>
      <c r="BE17" t="s">
        <v>167</v>
      </c>
      <c r="BF17" t="s">
        <v>167</v>
      </c>
      <c r="BG17" t="s">
        <v>175</v>
      </c>
      <c r="BH17" t="s">
        <v>176</v>
      </c>
      <c r="BI17" t="s">
        <v>177</v>
      </c>
      <c r="BJ17" t="s">
        <v>178</v>
      </c>
      <c r="BK17" t="s">
        <v>179</v>
      </c>
      <c r="BL17" t="s">
        <v>180</v>
      </c>
      <c r="BM17" t="s">
        <v>181</v>
      </c>
      <c r="BN17" t="s">
        <v>245</v>
      </c>
      <c r="BO17">
        <v>2</v>
      </c>
      <c r="BP17">
        <v>0.14000000000000054</v>
      </c>
      <c r="BQ17">
        <v>16.09</v>
      </c>
      <c r="BR17" t="s">
        <v>183</v>
      </c>
      <c r="BS17">
        <v>0.23</v>
      </c>
      <c r="BT17">
        <v>0.88</v>
      </c>
      <c r="BU17" t="s">
        <v>183</v>
      </c>
      <c r="BV17" s="168" t="s">
        <v>167</v>
      </c>
      <c r="BW17">
        <v>1.85</v>
      </c>
      <c r="BX17" t="s">
        <v>183</v>
      </c>
      <c r="BY17" s="168" t="s">
        <v>167</v>
      </c>
      <c r="BZ17" t="s">
        <v>184</v>
      </c>
      <c r="CA17" s="145" t="s">
        <v>185</v>
      </c>
      <c r="CB17" s="149">
        <f t="shared" si="3"/>
        <v>16.181818181818183</v>
      </c>
      <c r="CC17" s="145" t="s">
        <v>167</v>
      </c>
      <c r="CD17" s="145" t="s">
        <v>167</v>
      </c>
      <c r="CE17" s="145" t="s">
        <v>167</v>
      </c>
      <c r="CF17" s="145" t="s">
        <v>167</v>
      </c>
      <c r="CG17" s="145" t="s">
        <v>186</v>
      </c>
      <c r="CH17" s="145" t="s">
        <v>187</v>
      </c>
      <c r="CI17" s="145" t="s">
        <v>187</v>
      </c>
      <c r="CJ17" s="143">
        <v>28.5</v>
      </c>
      <c r="CK17" t="s">
        <v>183</v>
      </c>
      <c r="CL17" s="138">
        <f t="shared" si="4"/>
        <v>30</v>
      </c>
      <c r="CM17" s="138">
        <f t="shared" si="5"/>
        <v>27</v>
      </c>
      <c r="CN17" t="s">
        <v>167</v>
      </c>
      <c r="CO17">
        <v>3.39</v>
      </c>
      <c r="CP17" t="s">
        <v>183</v>
      </c>
      <c r="CQ17" s="150">
        <f t="shared" si="6"/>
        <v>5.0849999999999999E-2</v>
      </c>
      <c r="CR17" s="150">
        <f t="shared" si="7"/>
        <v>5.0849999999999999E-2</v>
      </c>
      <c r="CS17" s="145" t="s">
        <v>167</v>
      </c>
      <c r="CT17" t="s">
        <v>188</v>
      </c>
      <c r="CU17" s="145">
        <v>3.43</v>
      </c>
      <c r="CV17" s="145" t="s">
        <v>189</v>
      </c>
      <c r="CW17" s="145" t="s">
        <v>167</v>
      </c>
      <c r="CX17" s="145" t="s">
        <v>167</v>
      </c>
      <c r="CY17" s="145" t="s">
        <v>167</v>
      </c>
      <c r="CZ17" t="s">
        <v>167</v>
      </c>
      <c r="DA17" t="s">
        <v>167</v>
      </c>
      <c r="DB17" t="s">
        <v>167</v>
      </c>
      <c r="DC17" t="s">
        <v>167</v>
      </c>
      <c r="DD17" t="s">
        <v>167</v>
      </c>
      <c r="DE17" t="s">
        <v>167</v>
      </c>
      <c r="DF17" t="s">
        <v>167</v>
      </c>
      <c r="DG17">
        <v>35</v>
      </c>
      <c r="DH17" t="s">
        <v>183</v>
      </c>
      <c r="DI17" s="145" t="s">
        <v>167</v>
      </c>
      <c r="DJ17" s="145" t="s">
        <v>190</v>
      </c>
      <c r="DK17" s="145" t="s">
        <v>167</v>
      </c>
      <c r="DL17" s="145" t="s">
        <v>167</v>
      </c>
      <c r="DM17" s="145" t="s">
        <v>167</v>
      </c>
      <c r="DN17" s="145" t="s">
        <v>167</v>
      </c>
      <c r="DO17" s="145" t="s">
        <v>167</v>
      </c>
      <c r="DP17" s="145" t="s">
        <v>167</v>
      </c>
      <c r="DQ17" s="145" t="s">
        <v>167</v>
      </c>
      <c r="DR17" s="145" t="s">
        <v>167</v>
      </c>
      <c r="DS17" s="145" t="s">
        <v>167</v>
      </c>
      <c r="DT17" s="145" t="s">
        <v>167</v>
      </c>
      <c r="DU17" s="145" t="s">
        <v>167</v>
      </c>
      <c r="DV17" s="145" t="s">
        <v>167</v>
      </c>
      <c r="DW17" s="148">
        <v>432.56244218316402</v>
      </c>
      <c r="DX17" s="145" t="s">
        <v>167</v>
      </c>
      <c r="DY17" s="145" t="s">
        <v>167</v>
      </c>
      <c r="DZ17" t="s">
        <v>191</v>
      </c>
      <c r="EA17">
        <v>37.82</v>
      </c>
      <c r="EB17" t="s">
        <v>183</v>
      </c>
      <c r="EC17">
        <v>0.35</v>
      </c>
      <c r="ED17" t="s">
        <v>192</v>
      </c>
      <c r="EE17" t="s">
        <v>246</v>
      </c>
      <c r="EF17" t="s">
        <v>194</v>
      </c>
      <c r="EG17">
        <v>1.0271999999999999</v>
      </c>
      <c r="EH17" t="s">
        <v>183</v>
      </c>
      <c r="EI17">
        <v>5.9999999999999995E-4</v>
      </c>
      <c r="EJ17" t="s">
        <v>195</v>
      </c>
      <c r="EK17" t="s">
        <v>167</v>
      </c>
      <c r="EL17" t="s">
        <v>167</v>
      </c>
      <c r="EM17" s="145" t="s">
        <v>167</v>
      </c>
      <c r="EN17" s="145" t="s">
        <v>247</v>
      </c>
      <c r="EO17" s="145" t="s">
        <v>197</v>
      </c>
      <c r="EP17" s="145" t="s">
        <v>197</v>
      </c>
      <c r="EQ17" s="145" t="s">
        <v>167</v>
      </c>
      <c r="ER17" s="145" t="s">
        <v>167</v>
      </c>
      <c r="ES17" s="145" t="s">
        <v>167</v>
      </c>
      <c r="ET17" t="s">
        <v>198</v>
      </c>
      <c r="EU17" t="s">
        <v>199</v>
      </c>
      <c r="EV17" t="s">
        <v>200</v>
      </c>
      <c r="EW17">
        <v>1293</v>
      </c>
      <c r="EX17" t="s">
        <v>201</v>
      </c>
      <c r="EY17">
        <v>200</v>
      </c>
      <c r="EZ17">
        <v>200</v>
      </c>
      <c r="FA17" s="145" t="s">
        <v>167</v>
      </c>
      <c r="FB17" s="145" t="s">
        <v>167</v>
      </c>
      <c r="FC17" s="145" t="s">
        <v>167</v>
      </c>
      <c r="FD17" s="145" t="s">
        <v>167</v>
      </c>
      <c r="FE17" s="143">
        <v>8</v>
      </c>
      <c r="FF17" s="170" t="s">
        <v>167</v>
      </c>
      <c r="FG17" s="143">
        <v>0.02</v>
      </c>
      <c r="FH17" s="143">
        <v>0.02</v>
      </c>
      <c r="FI17" s="171">
        <f t="shared" si="8"/>
        <v>247</v>
      </c>
      <c r="FJ17" s="143" t="s">
        <v>202</v>
      </c>
      <c r="FK17" s="151" t="s">
        <v>167</v>
      </c>
      <c r="FL17" s="143">
        <v>247</v>
      </c>
      <c r="FM17" s="143">
        <v>46</v>
      </c>
      <c r="FN17" s="143">
        <v>46</v>
      </c>
      <c r="FO17" s="151" t="s">
        <v>167</v>
      </c>
      <c r="FP17" s="172" t="s">
        <v>203</v>
      </c>
      <c r="FQ17" s="145" t="s">
        <v>167</v>
      </c>
      <c r="FR17" s="145" t="s">
        <v>167</v>
      </c>
      <c r="FS17" s="145" t="s">
        <v>167</v>
      </c>
      <c r="FT17" s="145" t="s">
        <v>167</v>
      </c>
      <c r="FU17" s="145" t="s">
        <v>167</v>
      </c>
      <c r="FV17" s="145" t="s">
        <v>167</v>
      </c>
      <c r="FW17" s="145" t="s">
        <v>167</v>
      </c>
      <c r="FX17" s="145" t="s">
        <v>167</v>
      </c>
      <c r="FY17" s="145" t="s">
        <v>167</v>
      </c>
      <c r="FZ17" s="145" t="s">
        <v>167</v>
      </c>
      <c r="GA17" s="145" t="s">
        <v>167</v>
      </c>
      <c r="GB17" s="145" t="s">
        <v>167</v>
      </c>
    </row>
    <row r="18" spans="1:184" ht="16" x14ac:dyDescent="0.2">
      <c r="A18" t="s">
        <v>256</v>
      </c>
      <c r="B18" s="144" t="s">
        <v>257</v>
      </c>
      <c r="C18" s="138" t="s">
        <v>168</v>
      </c>
      <c r="D18" t="s">
        <v>254</v>
      </c>
      <c r="E18">
        <v>2012</v>
      </c>
      <c r="F18" t="str">
        <f t="shared" si="9"/>
        <v>10.1016/j.epsl.2012.06.007</v>
      </c>
      <c r="G18" s="148">
        <f t="shared" si="10"/>
        <v>13600</v>
      </c>
      <c r="H18" s="145" t="str">
        <f t="shared" si="11"/>
        <v>NA</v>
      </c>
      <c r="I18" s="145" t="str">
        <f t="shared" si="12"/>
        <v>NA</v>
      </c>
      <c r="J18" s="154">
        <f t="shared" si="13"/>
        <v>232</v>
      </c>
      <c r="K18" s="154">
        <f t="shared" si="14"/>
        <v>43</v>
      </c>
      <c r="L18" s="154">
        <f t="shared" si="15"/>
        <v>43</v>
      </c>
      <c r="M18" t="b">
        <v>1</v>
      </c>
      <c r="N18">
        <v>3</v>
      </c>
      <c r="O18" t="s">
        <v>169</v>
      </c>
      <c r="P18" s="173" t="s">
        <v>170</v>
      </c>
      <c r="Q18" t="b">
        <v>0</v>
      </c>
      <c r="R18" t="s">
        <v>167</v>
      </c>
      <c r="S18" t="b">
        <v>1</v>
      </c>
      <c r="T18" t="b">
        <v>0</v>
      </c>
      <c r="U18" t="s">
        <v>167</v>
      </c>
      <c r="V18" t="s">
        <v>167</v>
      </c>
      <c r="W18" t="b">
        <v>0</v>
      </c>
      <c r="X18" t="s">
        <v>167</v>
      </c>
      <c r="Y18" s="139" t="s">
        <v>171</v>
      </c>
      <c r="Z18" t="s">
        <v>207</v>
      </c>
      <c r="AA18">
        <v>926</v>
      </c>
      <c r="AB18" t="s">
        <v>242</v>
      </c>
      <c r="AC18">
        <v>29</v>
      </c>
      <c r="AD18">
        <v>5</v>
      </c>
      <c r="AE18">
        <v>31</v>
      </c>
      <c r="AF18">
        <v>33</v>
      </c>
      <c r="AG18" s="145" t="s">
        <v>167</v>
      </c>
      <c r="AH18">
        <v>266.8</v>
      </c>
      <c r="AI18" s="145" t="s">
        <v>167</v>
      </c>
      <c r="AJ18" t="s">
        <v>243</v>
      </c>
      <c r="AK18" s="166">
        <v>-16.739999999999998</v>
      </c>
      <c r="AL18" s="166">
        <v>115.536</v>
      </c>
      <c r="AM18" t="s">
        <v>167</v>
      </c>
      <c r="AN18" t="s">
        <v>167</v>
      </c>
      <c r="AO18" s="167">
        <v>-3598</v>
      </c>
      <c r="AP18" t="s">
        <v>167</v>
      </c>
      <c r="AQ18" t="s">
        <v>167</v>
      </c>
      <c r="AR18" s="171" t="s">
        <v>244</v>
      </c>
      <c r="AS18">
        <v>13600</v>
      </c>
      <c r="AT18" s="168" t="s">
        <v>167</v>
      </c>
      <c r="AU18" s="168" t="s">
        <v>167</v>
      </c>
      <c r="AV18" s="168" t="s">
        <v>167</v>
      </c>
      <c r="AW18" s="168" t="s">
        <v>167</v>
      </c>
      <c r="AX18" s="168" t="s">
        <v>167</v>
      </c>
      <c r="AY18" s="168" t="s">
        <v>167</v>
      </c>
      <c r="AZ18" t="s">
        <v>167</v>
      </c>
      <c r="BA18" t="s">
        <v>167</v>
      </c>
      <c r="BB18" t="s">
        <v>167</v>
      </c>
      <c r="BC18" t="s">
        <v>167</v>
      </c>
      <c r="BD18" t="s">
        <v>167</v>
      </c>
      <c r="BE18" t="s">
        <v>167</v>
      </c>
      <c r="BF18" t="s">
        <v>167</v>
      </c>
      <c r="BG18" t="s">
        <v>175</v>
      </c>
      <c r="BH18" t="s">
        <v>176</v>
      </c>
      <c r="BI18" t="s">
        <v>177</v>
      </c>
      <c r="BJ18" t="s">
        <v>178</v>
      </c>
      <c r="BK18" t="s">
        <v>179</v>
      </c>
      <c r="BL18" t="s">
        <v>180</v>
      </c>
      <c r="BM18" t="s">
        <v>181</v>
      </c>
      <c r="BN18" t="s">
        <v>248</v>
      </c>
      <c r="BO18">
        <v>2</v>
      </c>
      <c r="BP18">
        <v>0.19000000000000128</v>
      </c>
      <c r="BQ18">
        <v>16.420000000000002</v>
      </c>
      <c r="BR18" t="s">
        <v>183</v>
      </c>
      <c r="BS18">
        <v>0.23</v>
      </c>
      <c r="BT18">
        <v>0.88</v>
      </c>
      <c r="BU18" t="s">
        <v>183</v>
      </c>
      <c r="BV18" s="168" t="s">
        <v>167</v>
      </c>
      <c r="BW18">
        <v>1.85</v>
      </c>
      <c r="BX18" t="s">
        <v>183</v>
      </c>
      <c r="BY18" s="168" t="s">
        <v>167</v>
      </c>
      <c r="BZ18" t="s">
        <v>184</v>
      </c>
      <c r="CA18" s="145" t="s">
        <v>185</v>
      </c>
      <c r="CB18" s="149">
        <f t="shared" si="3"/>
        <v>16.556818181818183</v>
      </c>
      <c r="CC18" s="145" t="s">
        <v>167</v>
      </c>
      <c r="CD18" s="145" t="s">
        <v>167</v>
      </c>
      <c r="CE18" s="145" t="s">
        <v>167</v>
      </c>
      <c r="CF18" s="145" t="s">
        <v>167</v>
      </c>
      <c r="CG18" s="145" t="s">
        <v>186</v>
      </c>
      <c r="CH18" s="145" t="s">
        <v>187</v>
      </c>
      <c r="CI18" s="145" t="s">
        <v>187</v>
      </c>
      <c r="CJ18" s="143">
        <v>29.7</v>
      </c>
      <c r="CK18" t="s">
        <v>183</v>
      </c>
      <c r="CL18" s="138">
        <f t="shared" si="4"/>
        <v>31.2</v>
      </c>
      <c r="CM18" s="138">
        <f t="shared" si="5"/>
        <v>28.2</v>
      </c>
      <c r="CN18" t="s">
        <v>167</v>
      </c>
      <c r="CO18">
        <v>3.77</v>
      </c>
      <c r="CP18" t="s">
        <v>183</v>
      </c>
      <c r="CQ18" s="150">
        <f t="shared" si="6"/>
        <v>5.6549999999999996E-2</v>
      </c>
      <c r="CR18" s="150">
        <f t="shared" si="7"/>
        <v>5.6549999999999996E-2</v>
      </c>
      <c r="CS18" s="145" t="s">
        <v>167</v>
      </c>
      <c r="CT18" t="s">
        <v>188</v>
      </c>
      <c r="CU18" s="145">
        <v>3.43</v>
      </c>
      <c r="CV18" s="145" t="s">
        <v>189</v>
      </c>
      <c r="CW18" s="145" t="s">
        <v>167</v>
      </c>
      <c r="CX18" s="145" t="s">
        <v>167</v>
      </c>
      <c r="CY18" s="145" t="s">
        <v>167</v>
      </c>
      <c r="CZ18" t="s">
        <v>167</v>
      </c>
      <c r="DA18" t="s">
        <v>167</v>
      </c>
      <c r="DB18" t="s">
        <v>167</v>
      </c>
      <c r="DC18" t="s">
        <v>167</v>
      </c>
      <c r="DD18" t="s">
        <v>167</v>
      </c>
      <c r="DE18" t="s">
        <v>167</v>
      </c>
      <c r="DF18" t="s">
        <v>167</v>
      </c>
      <c r="DG18">
        <v>35</v>
      </c>
      <c r="DH18" t="s">
        <v>183</v>
      </c>
      <c r="DI18" s="145" t="s">
        <v>167</v>
      </c>
      <c r="DJ18" s="145" t="s">
        <v>190</v>
      </c>
      <c r="DK18" s="145" t="s">
        <v>167</v>
      </c>
      <c r="DL18" s="145" t="s">
        <v>167</v>
      </c>
      <c r="DM18" s="145" t="s">
        <v>167</v>
      </c>
      <c r="DN18" s="145" t="s">
        <v>167</v>
      </c>
      <c r="DO18" s="145" t="s">
        <v>167</v>
      </c>
      <c r="DP18" s="145" t="s">
        <v>167</v>
      </c>
      <c r="DQ18" s="145" t="s">
        <v>167</v>
      </c>
      <c r="DR18" s="145" t="s">
        <v>167</v>
      </c>
      <c r="DS18" s="145" t="s">
        <v>167</v>
      </c>
      <c r="DT18" s="145" t="s">
        <v>167</v>
      </c>
      <c r="DU18" s="145" t="s">
        <v>167</v>
      </c>
      <c r="DV18" s="145" t="s">
        <v>167</v>
      </c>
      <c r="DW18" s="148">
        <v>432.56244218316402</v>
      </c>
      <c r="DX18" s="145" t="s">
        <v>167</v>
      </c>
      <c r="DY18" s="145" t="s">
        <v>167</v>
      </c>
      <c r="DZ18" t="s">
        <v>191</v>
      </c>
      <c r="EA18">
        <v>37.82</v>
      </c>
      <c r="EB18" t="s">
        <v>183</v>
      </c>
      <c r="EC18">
        <v>0.35</v>
      </c>
      <c r="ED18" t="s">
        <v>192</v>
      </c>
      <c r="EE18" t="s">
        <v>249</v>
      </c>
      <c r="EF18" t="s">
        <v>194</v>
      </c>
      <c r="EG18">
        <v>1.0271999999999999</v>
      </c>
      <c r="EH18" t="s">
        <v>183</v>
      </c>
      <c r="EI18">
        <v>5.9999999999999995E-4</v>
      </c>
      <c r="EJ18" t="s">
        <v>195</v>
      </c>
      <c r="EK18" t="s">
        <v>167</v>
      </c>
      <c r="EL18" t="s">
        <v>167</v>
      </c>
      <c r="EM18" s="145" t="s">
        <v>167</v>
      </c>
      <c r="EN18" s="145" t="s">
        <v>250</v>
      </c>
      <c r="EO18" s="145" t="s">
        <v>197</v>
      </c>
      <c r="EP18" s="145" t="s">
        <v>197</v>
      </c>
      <c r="EQ18" s="145" t="s">
        <v>167</v>
      </c>
      <c r="ER18" s="145" t="s">
        <v>167</v>
      </c>
      <c r="ES18" s="145" t="s">
        <v>167</v>
      </c>
      <c r="ET18" t="s">
        <v>198</v>
      </c>
      <c r="EU18" t="s">
        <v>199</v>
      </c>
      <c r="EV18" t="s">
        <v>200</v>
      </c>
      <c r="EW18">
        <v>1293</v>
      </c>
      <c r="EX18" t="s">
        <v>201</v>
      </c>
      <c r="EY18">
        <v>200</v>
      </c>
      <c r="EZ18">
        <v>200</v>
      </c>
      <c r="FA18" s="145" t="s">
        <v>167</v>
      </c>
      <c r="FB18" s="145" t="s">
        <v>167</v>
      </c>
      <c r="FC18" s="145" t="s">
        <v>167</v>
      </c>
      <c r="FD18" s="145" t="s">
        <v>167</v>
      </c>
      <c r="FE18" s="143">
        <v>8.02</v>
      </c>
      <c r="FF18" s="170" t="s">
        <v>167</v>
      </c>
      <c r="FG18" s="143">
        <v>0.02</v>
      </c>
      <c r="FH18" s="143">
        <v>0.02</v>
      </c>
      <c r="FI18" s="171">
        <f t="shared" si="8"/>
        <v>232</v>
      </c>
      <c r="FJ18" s="143" t="s">
        <v>202</v>
      </c>
      <c r="FK18" s="151" t="s">
        <v>167</v>
      </c>
      <c r="FL18" s="143">
        <v>232</v>
      </c>
      <c r="FM18" s="143">
        <v>43</v>
      </c>
      <c r="FN18" s="143">
        <v>43</v>
      </c>
      <c r="FO18" s="151" t="s">
        <v>167</v>
      </c>
      <c r="FP18" s="172" t="s">
        <v>203</v>
      </c>
      <c r="FQ18" s="145" t="s">
        <v>167</v>
      </c>
      <c r="FR18" s="145" t="s">
        <v>167</v>
      </c>
      <c r="FS18" s="145" t="s">
        <v>167</v>
      </c>
      <c r="FT18" s="145" t="s">
        <v>167</v>
      </c>
      <c r="FU18" s="145" t="s">
        <v>167</v>
      </c>
      <c r="FV18" s="145" t="s">
        <v>167</v>
      </c>
      <c r="FW18" s="145" t="s">
        <v>167</v>
      </c>
      <c r="FX18" s="145" t="s">
        <v>167</v>
      </c>
      <c r="FY18" s="145" t="s">
        <v>167</v>
      </c>
      <c r="FZ18" s="145" t="s">
        <v>167</v>
      </c>
      <c r="GA18" s="145" t="s">
        <v>167</v>
      </c>
      <c r="GB18" s="145" t="s">
        <v>167</v>
      </c>
    </row>
    <row r="19" spans="1:184" ht="16" x14ac:dyDescent="0.2">
      <c r="A19" t="s">
        <v>256</v>
      </c>
      <c r="B19" s="144" t="s">
        <v>257</v>
      </c>
      <c r="C19" s="138" t="s">
        <v>168</v>
      </c>
      <c r="D19" t="s">
        <v>254</v>
      </c>
      <c r="E19">
        <v>2012</v>
      </c>
      <c r="F19" t="str">
        <f t="shared" si="9"/>
        <v>10.1016/j.epsl.2012.06.007</v>
      </c>
      <c r="G19" s="148">
        <f t="shared" si="10"/>
        <v>14940</v>
      </c>
      <c r="H19" s="145" t="str">
        <f t="shared" si="11"/>
        <v>NA</v>
      </c>
      <c r="I19" s="145" t="str">
        <f t="shared" si="12"/>
        <v>NA</v>
      </c>
      <c r="J19" s="154">
        <f t="shared" si="13"/>
        <v>346</v>
      </c>
      <c r="K19" s="154">
        <f t="shared" si="14"/>
        <v>65</v>
      </c>
      <c r="L19" s="154">
        <f t="shared" si="15"/>
        <v>63</v>
      </c>
      <c r="M19" t="b">
        <v>1</v>
      </c>
      <c r="N19">
        <v>3</v>
      </c>
      <c r="O19" t="s">
        <v>169</v>
      </c>
      <c r="P19" s="173" t="s">
        <v>170</v>
      </c>
      <c r="Q19" t="b">
        <v>0</v>
      </c>
      <c r="R19" t="s">
        <v>167</v>
      </c>
      <c r="S19" t="b">
        <v>1</v>
      </c>
      <c r="T19" t="b">
        <v>0</v>
      </c>
      <c r="U19" t="s">
        <v>167</v>
      </c>
      <c r="V19" t="s">
        <v>167</v>
      </c>
      <c r="W19" t="b">
        <v>0</v>
      </c>
      <c r="X19" t="s">
        <v>167</v>
      </c>
      <c r="Y19" s="139" t="s">
        <v>171</v>
      </c>
      <c r="Z19" t="s">
        <v>207</v>
      </c>
      <c r="AA19">
        <v>926</v>
      </c>
      <c r="AB19" t="s">
        <v>242</v>
      </c>
      <c r="AC19">
        <v>32</v>
      </c>
      <c r="AD19">
        <v>2</v>
      </c>
      <c r="AE19">
        <v>30</v>
      </c>
      <c r="AF19">
        <v>32</v>
      </c>
      <c r="AG19" s="145" t="s">
        <v>167</v>
      </c>
      <c r="AH19">
        <v>290.8</v>
      </c>
      <c r="AI19" s="145" t="s">
        <v>167</v>
      </c>
      <c r="AJ19" t="s">
        <v>243</v>
      </c>
      <c r="AK19" s="166">
        <v>-16.739999999999998</v>
      </c>
      <c r="AL19" s="166">
        <v>115.536</v>
      </c>
      <c r="AM19" t="s">
        <v>167</v>
      </c>
      <c r="AN19" t="s">
        <v>167</v>
      </c>
      <c r="AO19" s="167">
        <v>-3598</v>
      </c>
      <c r="AP19" t="s">
        <v>167</v>
      </c>
      <c r="AQ19" t="s">
        <v>167</v>
      </c>
      <c r="AR19" s="171" t="s">
        <v>244</v>
      </c>
      <c r="AS19">
        <v>14940</v>
      </c>
      <c r="AT19" s="168" t="s">
        <v>167</v>
      </c>
      <c r="AU19" s="168" t="s">
        <v>167</v>
      </c>
      <c r="AV19" s="168" t="s">
        <v>167</v>
      </c>
      <c r="AW19" s="168" t="s">
        <v>167</v>
      </c>
      <c r="AX19" s="168" t="s">
        <v>167</v>
      </c>
      <c r="AY19" s="168" t="s">
        <v>167</v>
      </c>
      <c r="AZ19" t="s">
        <v>167</v>
      </c>
      <c r="BA19" t="s">
        <v>167</v>
      </c>
      <c r="BB19" t="s">
        <v>167</v>
      </c>
      <c r="BC19" t="s">
        <v>167</v>
      </c>
      <c r="BD19" t="s">
        <v>167</v>
      </c>
      <c r="BE19" t="s">
        <v>167</v>
      </c>
      <c r="BF19" t="s">
        <v>167</v>
      </c>
      <c r="BG19" t="s">
        <v>175</v>
      </c>
      <c r="BH19" t="s">
        <v>176</v>
      </c>
      <c r="BI19" t="s">
        <v>177</v>
      </c>
      <c r="BJ19" t="s">
        <v>178</v>
      </c>
      <c r="BK19" t="s">
        <v>179</v>
      </c>
      <c r="BL19" t="s">
        <v>180</v>
      </c>
      <c r="BM19" t="s">
        <v>181</v>
      </c>
      <c r="BN19" t="s">
        <v>251</v>
      </c>
      <c r="BO19">
        <v>2</v>
      </c>
      <c r="BP19">
        <v>0.13000000000000075</v>
      </c>
      <c r="BQ19">
        <v>15.24</v>
      </c>
      <c r="BR19" t="s">
        <v>183</v>
      </c>
      <c r="BS19">
        <v>0.23</v>
      </c>
      <c r="BT19">
        <v>0.88</v>
      </c>
      <c r="BU19" t="s">
        <v>183</v>
      </c>
      <c r="BV19" s="168" t="s">
        <v>167</v>
      </c>
      <c r="BW19">
        <v>1.85</v>
      </c>
      <c r="BX19" t="s">
        <v>183</v>
      </c>
      <c r="BY19" s="168" t="s">
        <v>167</v>
      </c>
      <c r="BZ19" t="s">
        <v>184</v>
      </c>
      <c r="CA19" s="145" t="s">
        <v>185</v>
      </c>
      <c r="CB19" s="149">
        <f t="shared" si="3"/>
        <v>15.215909090909092</v>
      </c>
      <c r="CC19" s="145" t="s">
        <v>167</v>
      </c>
      <c r="CD19" s="145" t="s">
        <v>167</v>
      </c>
      <c r="CE19" s="145" t="s">
        <v>167</v>
      </c>
      <c r="CF19" s="145" t="s">
        <v>167</v>
      </c>
      <c r="CG19" s="145" t="s">
        <v>186</v>
      </c>
      <c r="CH19" s="145" t="s">
        <v>187</v>
      </c>
      <c r="CI19" s="145" t="s">
        <v>187</v>
      </c>
      <c r="CJ19" s="143">
        <v>30.5</v>
      </c>
      <c r="CK19" t="s">
        <v>183</v>
      </c>
      <c r="CL19" s="138">
        <f t="shared" si="4"/>
        <v>32</v>
      </c>
      <c r="CM19" s="138">
        <f t="shared" si="5"/>
        <v>29</v>
      </c>
      <c r="CN19" t="s">
        <v>167</v>
      </c>
      <c r="CO19">
        <v>4.05</v>
      </c>
      <c r="CP19" t="s">
        <v>183</v>
      </c>
      <c r="CQ19" s="150">
        <f t="shared" si="6"/>
        <v>6.0749999999999998E-2</v>
      </c>
      <c r="CR19" s="150">
        <f t="shared" si="7"/>
        <v>6.0749999999999998E-2</v>
      </c>
      <c r="CS19" s="145" t="s">
        <v>167</v>
      </c>
      <c r="CT19" t="s">
        <v>188</v>
      </c>
      <c r="CU19" s="145">
        <v>3.43</v>
      </c>
      <c r="CV19" s="145" t="s">
        <v>189</v>
      </c>
      <c r="CW19" s="145" t="s">
        <v>167</v>
      </c>
      <c r="CX19" s="145" t="s">
        <v>167</v>
      </c>
      <c r="CY19" s="145" t="s">
        <v>167</v>
      </c>
      <c r="CZ19" t="s">
        <v>167</v>
      </c>
      <c r="DA19" t="s">
        <v>167</v>
      </c>
      <c r="DB19" t="s">
        <v>167</v>
      </c>
      <c r="DC19" t="s">
        <v>167</v>
      </c>
      <c r="DD19" t="s">
        <v>167</v>
      </c>
      <c r="DE19" t="s">
        <v>167</v>
      </c>
      <c r="DF19" t="s">
        <v>167</v>
      </c>
      <c r="DG19">
        <v>35</v>
      </c>
      <c r="DH19" t="s">
        <v>183</v>
      </c>
      <c r="DI19" s="145" t="s">
        <v>167</v>
      </c>
      <c r="DJ19" s="145" t="s">
        <v>190</v>
      </c>
      <c r="DK19" s="145" t="s">
        <v>167</v>
      </c>
      <c r="DL19" s="145" t="s">
        <v>167</v>
      </c>
      <c r="DM19" s="145" t="s">
        <v>167</v>
      </c>
      <c r="DN19" s="145" t="s">
        <v>167</v>
      </c>
      <c r="DO19" s="145" t="s">
        <v>167</v>
      </c>
      <c r="DP19" s="145" t="s">
        <v>167</v>
      </c>
      <c r="DQ19" s="145" t="s">
        <v>167</v>
      </c>
      <c r="DR19" s="145" t="s">
        <v>167</v>
      </c>
      <c r="DS19" s="145" t="s">
        <v>167</v>
      </c>
      <c r="DT19" s="145" t="s">
        <v>167</v>
      </c>
      <c r="DU19" s="145" t="s">
        <v>167</v>
      </c>
      <c r="DV19" s="145" t="s">
        <v>167</v>
      </c>
      <c r="DW19" s="148">
        <v>432.56244218316402</v>
      </c>
      <c r="DX19" s="145" t="s">
        <v>167</v>
      </c>
      <c r="DY19" s="145" t="s">
        <v>167</v>
      </c>
      <c r="DZ19" t="s">
        <v>191</v>
      </c>
      <c r="EA19">
        <v>37.82</v>
      </c>
      <c r="EB19" t="s">
        <v>183</v>
      </c>
      <c r="EC19">
        <v>0.35</v>
      </c>
      <c r="ED19" t="s">
        <v>192</v>
      </c>
      <c r="EE19" t="s">
        <v>252</v>
      </c>
      <c r="EF19" t="s">
        <v>194</v>
      </c>
      <c r="EG19">
        <v>1.0271999999999999</v>
      </c>
      <c r="EH19" t="s">
        <v>183</v>
      </c>
      <c r="EI19">
        <v>5.9999999999999995E-4</v>
      </c>
      <c r="EJ19" t="s">
        <v>195</v>
      </c>
      <c r="EK19" t="s">
        <v>167</v>
      </c>
      <c r="EL19" t="s">
        <v>167</v>
      </c>
      <c r="EM19" s="145" t="s">
        <v>167</v>
      </c>
      <c r="EN19" s="145" t="s">
        <v>253</v>
      </c>
      <c r="EO19" s="145" t="s">
        <v>197</v>
      </c>
      <c r="EP19" s="145" t="s">
        <v>197</v>
      </c>
      <c r="EQ19" s="145" t="s">
        <v>167</v>
      </c>
      <c r="ER19" s="145" t="s">
        <v>167</v>
      </c>
      <c r="ES19" s="145" t="s">
        <v>167</v>
      </c>
      <c r="ET19" t="s">
        <v>198</v>
      </c>
      <c r="EU19" t="s">
        <v>199</v>
      </c>
      <c r="EV19" t="s">
        <v>200</v>
      </c>
      <c r="EW19">
        <v>1293</v>
      </c>
      <c r="EX19" t="s">
        <v>201</v>
      </c>
      <c r="EY19">
        <v>200</v>
      </c>
      <c r="EZ19">
        <v>200</v>
      </c>
      <c r="FA19" s="145" t="s">
        <v>167</v>
      </c>
      <c r="FB19" s="145" t="s">
        <v>167</v>
      </c>
      <c r="FC19" s="145" t="s">
        <v>167</v>
      </c>
      <c r="FD19" s="145" t="s">
        <v>167</v>
      </c>
      <c r="FE19" s="143">
        <v>7.88</v>
      </c>
      <c r="FF19" s="170" t="s">
        <v>167</v>
      </c>
      <c r="FG19" s="143">
        <v>0.03</v>
      </c>
      <c r="FH19" s="143">
        <v>0.03</v>
      </c>
      <c r="FI19" s="171">
        <f t="shared" si="8"/>
        <v>346</v>
      </c>
      <c r="FJ19" s="143" t="s">
        <v>202</v>
      </c>
      <c r="FK19" s="151" t="s">
        <v>167</v>
      </c>
      <c r="FL19" s="143">
        <v>346</v>
      </c>
      <c r="FM19" s="143">
        <v>65</v>
      </c>
      <c r="FN19" s="143">
        <v>63</v>
      </c>
      <c r="FO19" s="151" t="s">
        <v>167</v>
      </c>
      <c r="FP19" s="172" t="s">
        <v>203</v>
      </c>
      <c r="FQ19" s="145" t="s">
        <v>167</v>
      </c>
      <c r="FR19" s="145" t="s">
        <v>167</v>
      </c>
      <c r="FS19" s="145" t="s">
        <v>167</v>
      </c>
      <c r="FT19" s="145" t="s">
        <v>167</v>
      </c>
      <c r="FU19" s="145" t="s">
        <v>167</v>
      </c>
      <c r="FV19" s="145" t="s">
        <v>167</v>
      </c>
      <c r="FW19" s="145" t="s">
        <v>167</v>
      </c>
      <c r="FX19" s="145" t="s">
        <v>167</v>
      </c>
      <c r="FY19" s="145" t="s">
        <v>167</v>
      </c>
      <c r="FZ19" s="145" t="s">
        <v>167</v>
      </c>
      <c r="GA19" s="145" t="s">
        <v>167</v>
      </c>
      <c r="GB19" s="145" t="s">
        <v>167</v>
      </c>
    </row>
    <row r="20" spans="1:184" ht="16" x14ac:dyDescent="0.2">
      <c r="B20" s="144"/>
      <c r="C20" s="138"/>
      <c r="G20" s="148"/>
      <c r="J20" s="154"/>
      <c r="K20" s="154"/>
      <c r="L20" s="154"/>
      <c r="Y20" s="139"/>
      <c r="Z20" s="144"/>
      <c r="AC20" s="145"/>
      <c r="AD20" s="145"/>
      <c r="AE20" s="145"/>
      <c r="AF20" s="145"/>
      <c r="AG20" s="146"/>
      <c r="AH20" s="146"/>
      <c r="AK20" s="147"/>
      <c r="AL20" s="147"/>
      <c r="AS20" s="148"/>
      <c r="BJ20" s="142"/>
      <c r="BO20" s="142"/>
      <c r="BP20" s="145"/>
      <c r="BQ20" s="146"/>
      <c r="BS20" s="150"/>
      <c r="CB20" s="149"/>
      <c r="CC20" s="145"/>
      <c r="CD20" s="145"/>
      <c r="CE20" s="145"/>
      <c r="CG20" s="145"/>
      <c r="CH20" s="145"/>
      <c r="CI20" s="145"/>
      <c r="CJ20" s="148"/>
      <c r="CO20" s="150"/>
      <c r="CQ20" s="150"/>
      <c r="CR20" s="150"/>
      <c r="CS20" s="151"/>
      <c r="DI20" s="142"/>
      <c r="DJ20" s="145"/>
      <c r="DK20" s="145"/>
      <c r="DL20" s="145"/>
      <c r="DM20" s="145"/>
      <c r="DN20" s="145"/>
      <c r="DO20" s="145"/>
      <c r="DP20" s="145"/>
      <c r="DQ20" s="145"/>
      <c r="DR20" s="145"/>
      <c r="DS20" s="145"/>
      <c r="DT20" s="145"/>
      <c r="DU20" s="145"/>
      <c r="DV20" s="145"/>
      <c r="DW20" s="148"/>
      <c r="EC20" s="150"/>
      <c r="EO20" s="152"/>
      <c r="EP20" s="152"/>
      <c r="EQ20" s="145"/>
      <c r="ER20" s="145"/>
      <c r="ES20" s="145"/>
      <c r="EX20" s="152"/>
      <c r="EY20" s="152"/>
      <c r="FE20" s="153"/>
      <c r="FG20" s="145"/>
      <c r="FH20" s="145"/>
      <c r="FI20" s="154"/>
      <c r="FL20" s="154"/>
      <c r="FM20" s="154"/>
      <c r="FN20" s="154"/>
    </row>
    <row r="21" spans="1:184" ht="16" x14ac:dyDescent="0.2">
      <c r="B21" s="144"/>
      <c r="C21" s="138"/>
      <c r="G21" s="148"/>
      <c r="J21" s="154"/>
      <c r="K21" s="154"/>
      <c r="L21" s="154"/>
      <c r="Y21" s="139"/>
      <c r="Z21" s="144"/>
      <c r="AB21" s="155"/>
      <c r="AC21" s="155"/>
      <c r="AD21" s="155"/>
      <c r="AE21" s="155"/>
      <c r="AF21" s="155"/>
      <c r="AG21" s="155"/>
      <c r="AH21" s="155"/>
      <c r="AK21" s="147"/>
      <c r="AL21" s="147"/>
      <c r="AS21" s="148"/>
      <c r="BJ21" s="142"/>
      <c r="BO21" s="142"/>
      <c r="BP21" s="145"/>
      <c r="BQ21" s="150"/>
      <c r="BS21" s="150"/>
      <c r="CB21" s="149"/>
      <c r="CC21" s="145"/>
      <c r="CD21" s="145"/>
      <c r="CE21" s="145"/>
      <c r="CG21" s="145"/>
      <c r="CH21" s="145"/>
      <c r="CI21" s="145"/>
      <c r="CJ21" s="148"/>
      <c r="CO21" s="150"/>
      <c r="CQ21" s="150"/>
      <c r="CR21" s="150"/>
      <c r="CS21" s="151"/>
      <c r="DI21" s="142"/>
      <c r="DJ21" s="145"/>
      <c r="DK21" s="145"/>
      <c r="DL21" s="145"/>
      <c r="DM21" s="145"/>
      <c r="DN21" s="145"/>
      <c r="DO21" s="145"/>
      <c r="DP21" s="145"/>
      <c r="DQ21" s="145"/>
      <c r="DR21" s="145"/>
      <c r="DS21" s="145"/>
      <c r="DT21" s="145"/>
      <c r="DU21" s="145"/>
      <c r="DV21" s="145"/>
      <c r="DW21" s="148"/>
      <c r="EC21" s="150"/>
      <c r="EO21" s="152"/>
      <c r="EP21" s="152"/>
      <c r="EQ21" s="145"/>
      <c r="ER21" s="145"/>
      <c r="ES21" s="145"/>
      <c r="EX21" s="152"/>
      <c r="EY21" s="152"/>
      <c r="FE21" s="153"/>
      <c r="FG21" s="145"/>
      <c r="FH21" s="145"/>
      <c r="FI21" s="154"/>
      <c r="FL21" s="154"/>
      <c r="FM21" s="154"/>
      <c r="FN21" s="154"/>
    </row>
    <row r="22" spans="1:184" ht="16" x14ac:dyDescent="0.2">
      <c r="B22" s="144"/>
      <c r="C22" s="138"/>
      <c r="G22" s="148"/>
      <c r="J22" s="154"/>
      <c r="K22" s="154"/>
      <c r="L22" s="154"/>
      <c r="Y22" s="139"/>
      <c r="Z22" s="144"/>
      <c r="AC22" s="145"/>
      <c r="AD22" s="145"/>
      <c r="AE22" s="145"/>
      <c r="AF22" s="145"/>
      <c r="AG22" s="146"/>
      <c r="AH22" s="146"/>
      <c r="AK22" s="147"/>
      <c r="AL22" s="147"/>
      <c r="AS22" s="148"/>
      <c r="BJ22" s="142"/>
      <c r="BO22" s="142"/>
      <c r="BP22" s="145"/>
      <c r="BQ22" s="146"/>
      <c r="BS22" s="150"/>
      <c r="CB22" s="149"/>
      <c r="CC22" s="145"/>
      <c r="CD22" s="145"/>
      <c r="CE22" s="145"/>
      <c r="CG22" s="145"/>
      <c r="CH22" s="145"/>
      <c r="CI22" s="145"/>
      <c r="CJ22" s="148"/>
      <c r="CO22" s="150"/>
      <c r="CQ22" s="150"/>
      <c r="CR22" s="150"/>
      <c r="CS22" s="151"/>
      <c r="DI22" s="142"/>
      <c r="DJ22" s="145"/>
      <c r="DK22" s="145"/>
      <c r="DL22" s="145"/>
      <c r="DM22" s="145"/>
      <c r="DN22" s="145"/>
      <c r="DO22" s="145"/>
      <c r="DP22" s="145"/>
      <c r="DQ22" s="145"/>
      <c r="DR22" s="145"/>
      <c r="DS22" s="145"/>
      <c r="DT22" s="145"/>
      <c r="DU22" s="145"/>
      <c r="DV22" s="145"/>
      <c r="DW22" s="148"/>
      <c r="EC22" s="150"/>
      <c r="EO22" s="152"/>
      <c r="EP22" s="152"/>
      <c r="EQ22" s="145"/>
      <c r="ER22" s="145"/>
      <c r="ES22" s="145"/>
      <c r="EX22" s="152"/>
      <c r="EY22" s="152"/>
      <c r="FE22" s="153"/>
      <c r="FG22" s="145"/>
      <c r="FH22" s="145"/>
      <c r="FI22" s="154"/>
      <c r="FL22" s="154"/>
      <c r="FM22" s="154"/>
      <c r="FN22" s="154"/>
    </row>
    <row r="23" spans="1:184" ht="16" x14ac:dyDescent="0.2">
      <c r="B23" s="144"/>
      <c r="C23" s="138"/>
      <c r="G23" s="148"/>
      <c r="J23" s="154"/>
      <c r="K23" s="154"/>
      <c r="L23" s="154"/>
      <c r="Y23" s="139"/>
      <c r="Z23" s="144"/>
      <c r="AB23" s="155"/>
      <c r="AC23" s="155"/>
      <c r="AD23" s="155"/>
      <c r="AE23" s="155"/>
      <c r="AF23" s="155"/>
      <c r="AG23" s="155"/>
      <c r="AH23" s="155"/>
      <c r="AK23" s="147"/>
      <c r="AL23" s="147"/>
      <c r="AS23" s="148"/>
      <c r="BJ23" s="142"/>
      <c r="BO23" s="142"/>
      <c r="BP23" s="145"/>
      <c r="BQ23" s="150"/>
      <c r="BS23" s="150"/>
      <c r="CB23" s="149"/>
      <c r="CC23" s="145"/>
      <c r="CD23" s="145"/>
      <c r="CE23" s="145"/>
      <c r="CG23" s="145"/>
      <c r="CH23" s="145"/>
      <c r="CI23" s="145"/>
      <c r="CJ23" s="148"/>
      <c r="CO23" s="150"/>
      <c r="CQ23" s="150"/>
      <c r="CR23" s="150"/>
      <c r="CS23" s="151"/>
      <c r="DI23" s="142"/>
      <c r="DJ23" s="145"/>
      <c r="DK23" s="145"/>
      <c r="DL23" s="145"/>
      <c r="DM23" s="145"/>
      <c r="DN23" s="145"/>
      <c r="DO23" s="145"/>
      <c r="DP23" s="145"/>
      <c r="DQ23" s="145"/>
      <c r="DR23" s="145"/>
      <c r="DS23" s="145"/>
      <c r="DT23" s="145"/>
      <c r="DU23" s="145"/>
      <c r="DV23" s="145"/>
      <c r="DW23" s="148"/>
      <c r="EC23" s="150"/>
      <c r="EO23" s="152"/>
      <c r="EP23" s="152"/>
      <c r="EQ23" s="145"/>
      <c r="ER23" s="145"/>
      <c r="ES23" s="145"/>
      <c r="EX23" s="152"/>
      <c r="EY23" s="152"/>
      <c r="FE23" s="153"/>
      <c r="FG23" s="145"/>
      <c r="FH23" s="145"/>
      <c r="FI23" s="154"/>
      <c r="FL23" s="154"/>
      <c r="FM23" s="154"/>
      <c r="FN23" s="154"/>
    </row>
    <row r="24" spans="1:184" ht="16" x14ac:dyDescent="0.2">
      <c r="B24" s="144"/>
      <c r="C24" s="138"/>
      <c r="G24" s="148"/>
      <c r="J24" s="154"/>
      <c r="K24" s="154"/>
      <c r="L24" s="154"/>
      <c r="Y24" s="139"/>
      <c r="Z24" s="144"/>
      <c r="AC24" s="145"/>
      <c r="AD24" s="145"/>
      <c r="AE24" s="145"/>
      <c r="AF24" s="145"/>
      <c r="AG24" s="146"/>
      <c r="AH24" s="146"/>
      <c r="AK24" s="147"/>
      <c r="AL24" s="147"/>
      <c r="AS24" s="148"/>
      <c r="BJ24" s="142"/>
      <c r="BO24" s="142"/>
      <c r="BP24" s="145"/>
      <c r="BQ24" s="146"/>
      <c r="BS24" s="150"/>
      <c r="CB24" s="149"/>
      <c r="CC24" s="145"/>
      <c r="CD24" s="145"/>
      <c r="CE24" s="145"/>
      <c r="CG24" s="145"/>
      <c r="CH24" s="145"/>
      <c r="CI24" s="145"/>
      <c r="CJ24" s="148"/>
      <c r="CO24" s="150"/>
      <c r="CQ24" s="150"/>
      <c r="CR24" s="150"/>
      <c r="CS24" s="151"/>
      <c r="DI24" s="142"/>
      <c r="DJ24" s="145"/>
      <c r="DK24" s="145"/>
      <c r="DL24" s="145"/>
      <c r="DM24" s="145"/>
      <c r="DN24" s="145"/>
      <c r="DO24" s="145"/>
      <c r="DP24" s="145"/>
      <c r="DQ24" s="145"/>
      <c r="DR24" s="145"/>
      <c r="DS24" s="145"/>
      <c r="DT24" s="145"/>
      <c r="DU24" s="145"/>
      <c r="DV24" s="145"/>
      <c r="DW24" s="148"/>
      <c r="EC24" s="150"/>
      <c r="EO24" s="152"/>
      <c r="EP24" s="152"/>
      <c r="EQ24" s="145"/>
      <c r="ER24" s="145"/>
      <c r="ES24" s="145"/>
      <c r="EX24" s="152"/>
      <c r="EY24" s="152"/>
      <c r="FE24" s="153"/>
      <c r="FG24" s="145"/>
      <c r="FH24" s="145"/>
      <c r="FI24" s="154"/>
      <c r="FL24" s="154"/>
      <c r="FM24" s="154"/>
      <c r="FN24" s="154"/>
    </row>
    <row r="25" spans="1:184" ht="16" x14ac:dyDescent="0.2">
      <c r="B25" s="144"/>
      <c r="C25" s="138"/>
      <c r="G25" s="148"/>
      <c r="J25" s="154"/>
      <c r="K25" s="154"/>
      <c r="L25" s="154"/>
      <c r="Y25" s="139"/>
      <c r="Z25" s="144"/>
      <c r="AB25" s="155"/>
      <c r="AC25" s="155"/>
      <c r="AD25" s="155"/>
      <c r="AE25" s="155"/>
      <c r="AF25" s="155"/>
      <c r="AG25" s="155"/>
      <c r="AH25" s="155"/>
      <c r="AK25" s="147"/>
      <c r="AL25" s="147"/>
      <c r="AS25" s="148"/>
      <c r="BJ25" s="142"/>
      <c r="BO25" s="142"/>
      <c r="BP25" s="145"/>
      <c r="BQ25" s="150"/>
      <c r="BS25" s="150"/>
      <c r="CB25" s="149"/>
      <c r="CC25" s="145"/>
      <c r="CD25" s="145"/>
      <c r="CE25" s="145"/>
      <c r="CG25" s="145"/>
      <c r="CH25" s="145"/>
      <c r="CI25" s="145"/>
      <c r="CJ25" s="148"/>
      <c r="CO25" s="150"/>
      <c r="CQ25" s="150"/>
      <c r="CR25" s="150"/>
      <c r="CS25" s="151"/>
      <c r="DI25" s="142"/>
      <c r="DJ25" s="145"/>
      <c r="DK25" s="145"/>
      <c r="DL25" s="145"/>
      <c r="DM25" s="145"/>
      <c r="DN25" s="145"/>
      <c r="DO25" s="145"/>
      <c r="DP25" s="145"/>
      <c r="DQ25" s="145"/>
      <c r="DR25" s="145"/>
      <c r="DS25" s="145"/>
      <c r="DT25" s="145"/>
      <c r="DU25" s="145"/>
      <c r="DV25" s="145"/>
      <c r="DW25" s="148"/>
      <c r="EC25" s="150"/>
      <c r="EO25" s="152"/>
      <c r="EP25" s="152"/>
      <c r="EQ25" s="145"/>
      <c r="ER25" s="145"/>
      <c r="ES25" s="145"/>
      <c r="EX25" s="152"/>
      <c r="EY25" s="152"/>
      <c r="FE25" s="153"/>
      <c r="FG25" s="145"/>
      <c r="FH25" s="145"/>
      <c r="FI25" s="154"/>
      <c r="FL25" s="154"/>
      <c r="FM25" s="154"/>
      <c r="FN25" s="154"/>
    </row>
    <row r="26" spans="1:184" ht="16" x14ac:dyDescent="0.2">
      <c r="B26" s="144"/>
      <c r="C26" s="138"/>
      <c r="G26" s="148"/>
      <c r="J26" s="154"/>
      <c r="K26" s="154"/>
      <c r="L26" s="154"/>
      <c r="Y26" s="139"/>
      <c r="Z26" s="144"/>
      <c r="AB26" s="155"/>
      <c r="AC26" s="155"/>
      <c r="AD26" s="155"/>
      <c r="AE26" s="155"/>
      <c r="AF26" s="155"/>
      <c r="AG26" s="155"/>
      <c r="AH26" s="155"/>
      <c r="AK26" s="147"/>
      <c r="AL26" s="147"/>
      <c r="AS26" s="148"/>
      <c r="BJ26" s="142"/>
      <c r="BO26" s="142"/>
      <c r="BP26" s="145"/>
      <c r="BQ26" s="150"/>
      <c r="BS26" s="150"/>
      <c r="CB26" s="149"/>
      <c r="CC26" s="145"/>
      <c r="CD26" s="145"/>
      <c r="CE26" s="145"/>
      <c r="CG26" s="145"/>
      <c r="CH26" s="145"/>
      <c r="CI26" s="145"/>
      <c r="CJ26" s="148"/>
      <c r="CO26" s="150"/>
      <c r="CQ26" s="150"/>
      <c r="CR26" s="150"/>
      <c r="CS26" s="151"/>
      <c r="DI26" s="142"/>
      <c r="DJ26" s="145"/>
      <c r="DK26" s="145"/>
      <c r="DL26" s="145"/>
      <c r="DM26" s="145"/>
      <c r="DN26" s="145"/>
      <c r="DO26" s="145"/>
      <c r="DP26" s="145"/>
      <c r="DQ26" s="145"/>
      <c r="DR26" s="145"/>
      <c r="DS26" s="145"/>
      <c r="DT26" s="145"/>
      <c r="DU26" s="145"/>
      <c r="DV26" s="145"/>
      <c r="DW26" s="148"/>
      <c r="EC26" s="150"/>
      <c r="EO26" s="152"/>
      <c r="EP26" s="152"/>
      <c r="EQ26" s="145"/>
      <c r="ER26" s="145"/>
      <c r="ES26" s="145"/>
      <c r="EX26" s="152"/>
      <c r="EY26" s="152"/>
      <c r="FE26" s="153"/>
      <c r="FG26" s="145"/>
      <c r="FH26" s="145"/>
      <c r="FI26" s="154"/>
      <c r="FL26" s="154"/>
      <c r="FM26" s="154"/>
      <c r="FN26" s="154"/>
    </row>
    <row r="27" spans="1:184" ht="16" x14ac:dyDescent="0.2">
      <c r="B27" s="144"/>
      <c r="C27" s="138"/>
      <c r="G27" s="148"/>
      <c r="J27" s="154"/>
      <c r="K27" s="154"/>
      <c r="L27" s="154"/>
      <c r="Y27" s="139"/>
      <c r="Z27" s="144"/>
      <c r="AB27" s="155"/>
      <c r="AC27" s="155"/>
      <c r="AD27" s="155"/>
      <c r="AE27" s="155"/>
      <c r="AF27" s="155"/>
      <c r="AG27" s="155"/>
      <c r="AH27" s="155"/>
      <c r="AK27" s="147"/>
      <c r="AL27" s="147"/>
      <c r="AS27" s="148"/>
      <c r="BJ27" s="142"/>
      <c r="BO27" s="142"/>
      <c r="BP27" s="145"/>
      <c r="BQ27" s="150"/>
      <c r="BS27" s="150"/>
      <c r="CB27" s="149"/>
      <c r="CC27" s="145"/>
      <c r="CD27" s="145"/>
      <c r="CE27" s="145"/>
      <c r="CG27" s="145"/>
      <c r="CH27" s="145"/>
      <c r="CI27" s="145"/>
      <c r="CJ27" s="148"/>
      <c r="CO27" s="150"/>
      <c r="CQ27" s="150"/>
      <c r="CR27" s="150"/>
      <c r="CS27" s="151"/>
      <c r="DI27" s="142"/>
      <c r="DJ27" s="145"/>
      <c r="DK27" s="145"/>
      <c r="DL27" s="145"/>
      <c r="DM27" s="145"/>
      <c r="DN27" s="145"/>
      <c r="DO27" s="145"/>
      <c r="DP27" s="145"/>
      <c r="DQ27" s="145"/>
      <c r="DR27" s="145"/>
      <c r="DS27" s="145"/>
      <c r="DT27" s="145"/>
      <c r="DU27" s="145"/>
      <c r="DV27" s="145"/>
      <c r="DW27" s="148"/>
      <c r="EC27" s="150"/>
      <c r="EO27" s="152"/>
      <c r="EP27" s="152"/>
      <c r="EQ27" s="145"/>
      <c r="ER27" s="145"/>
      <c r="ES27" s="145"/>
      <c r="EX27" s="152"/>
      <c r="EY27" s="152"/>
      <c r="FE27" s="153"/>
      <c r="FG27" s="145"/>
      <c r="FH27" s="145"/>
      <c r="FI27" s="154"/>
      <c r="FL27" s="154"/>
      <c r="FM27" s="154"/>
      <c r="FN27" s="154"/>
    </row>
    <row r="28" spans="1:184" ht="16" x14ac:dyDescent="0.2">
      <c r="B28" s="144"/>
      <c r="C28" s="138"/>
      <c r="G28" s="148"/>
      <c r="J28" s="154"/>
      <c r="K28" s="154"/>
      <c r="L28" s="154"/>
      <c r="Y28" s="139"/>
      <c r="Z28" s="144"/>
      <c r="AB28" s="155"/>
      <c r="AC28" s="155"/>
      <c r="AD28" s="155"/>
      <c r="AE28" s="155"/>
      <c r="AF28" s="155"/>
      <c r="AG28" s="155"/>
      <c r="AH28" s="155"/>
      <c r="AK28" s="147"/>
      <c r="AL28" s="147"/>
      <c r="AS28" s="148"/>
      <c r="BJ28" s="142"/>
      <c r="BO28" s="142"/>
      <c r="BP28" s="145"/>
      <c r="BQ28" s="150"/>
      <c r="BS28" s="150"/>
      <c r="CB28" s="149"/>
      <c r="CC28" s="145"/>
      <c r="CD28" s="145"/>
      <c r="CE28" s="145"/>
      <c r="CG28" s="145"/>
      <c r="CH28" s="145"/>
      <c r="CI28" s="145"/>
      <c r="CJ28" s="148"/>
      <c r="CO28" s="150"/>
      <c r="CQ28" s="150"/>
      <c r="CR28" s="150"/>
      <c r="CS28" s="151"/>
      <c r="DI28" s="142"/>
      <c r="DJ28" s="145"/>
      <c r="DK28" s="145"/>
      <c r="DL28" s="145"/>
      <c r="DM28" s="145"/>
      <c r="DN28" s="145"/>
      <c r="DO28" s="145"/>
      <c r="DP28" s="145"/>
      <c r="DQ28" s="145"/>
      <c r="DR28" s="145"/>
      <c r="DS28" s="145"/>
      <c r="DT28" s="145"/>
      <c r="DU28" s="145"/>
      <c r="DV28" s="145"/>
      <c r="DW28" s="148"/>
      <c r="EC28" s="150"/>
      <c r="EO28" s="152"/>
      <c r="EP28" s="152"/>
      <c r="EQ28" s="145"/>
      <c r="ER28" s="145"/>
      <c r="ES28" s="145"/>
      <c r="EX28" s="152"/>
      <c r="EY28" s="152"/>
      <c r="FE28" s="153"/>
      <c r="FG28" s="145"/>
      <c r="FH28" s="145"/>
      <c r="FI28" s="154"/>
      <c r="FL28" s="154"/>
      <c r="FM28" s="154"/>
      <c r="FN28" s="154"/>
    </row>
    <row r="29" spans="1:184" ht="16" x14ac:dyDescent="0.2">
      <c r="B29" s="144"/>
      <c r="C29" s="138"/>
      <c r="G29" s="148"/>
      <c r="J29" s="154"/>
      <c r="K29" s="154"/>
      <c r="L29" s="154"/>
      <c r="Y29" s="139"/>
      <c r="Z29" s="144"/>
      <c r="AB29" s="155"/>
      <c r="AC29" s="155"/>
      <c r="AD29" s="155"/>
      <c r="AE29" s="155"/>
      <c r="AF29" s="155"/>
      <c r="AG29" s="155"/>
      <c r="AH29" s="155"/>
      <c r="AK29" s="147"/>
      <c r="AL29" s="147"/>
      <c r="AS29" s="148"/>
      <c r="BJ29" s="142"/>
      <c r="BO29" s="142"/>
      <c r="BP29" s="145"/>
      <c r="BQ29" s="150"/>
      <c r="BS29" s="150"/>
      <c r="CB29" s="149"/>
      <c r="CC29" s="145"/>
      <c r="CD29" s="145"/>
      <c r="CE29" s="145"/>
      <c r="CG29" s="145"/>
      <c r="CH29" s="145"/>
      <c r="CI29" s="145"/>
      <c r="CJ29" s="148"/>
      <c r="CO29" s="150"/>
      <c r="CQ29" s="150"/>
      <c r="CR29" s="150"/>
      <c r="CS29" s="151"/>
      <c r="DI29" s="142"/>
      <c r="DJ29" s="145"/>
      <c r="DK29" s="145"/>
      <c r="DL29" s="145"/>
      <c r="DM29" s="145"/>
      <c r="DN29" s="145"/>
      <c r="DO29" s="145"/>
      <c r="DP29" s="145"/>
      <c r="DQ29" s="145"/>
      <c r="DR29" s="145"/>
      <c r="DS29" s="145"/>
      <c r="DT29" s="145"/>
      <c r="DU29" s="145"/>
      <c r="DV29" s="145"/>
      <c r="DW29" s="148"/>
      <c r="EC29" s="150"/>
      <c r="EO29" s="152"/>
      <c r="EP29" s="152"/>
      <c r="EQ29" s="145"/>
      <c r="ER29" s="145"/>
      <c r="ES29" s="145"/>
      <c r="EX29" s="152"/>
      <c r="EY29" s="152"/>
      <c r="FE29" s="153"/>
      <c r="FG29" s="145"/>
      <c r="FH29" s="145"/>
      <c r="FI29" s="154"/>
      <c r="FL29" s="154"/>
      <c r="FM29" s="154"/>
      <c r="FN29" s="154"/>
    </row>
    <row r="30" spans="1:184" ht="16" x14ac:dyDescent="0.2">
      <c r="B30" s="144"/>
      <c r="C30" s="138"/>
      <c r="G30" s="148"/>
      <c r="J30" s="154"/>
      <c r="K30" s="154"/>
      <c r="L30" s="154"/>
      <c r="Y30" s="139"/>
      <c r="Z30" s="144"/>
      <c r="AB30" s="155"/>
      <c r="AC30" s="155"/>
      <c r="AD30" s="155"/>
      <c r="AE30" s="155"/>
      <c r="AF30" s="155"/>
      <c r="AG30" s="155"/>
      <c r="AH30" s="155"/>
      <c r="AK30" s="147"/>
      <c r="AL30" s="147"/>
      <c r="AS30" s="148"/>
      <c r="BJ30" s="142"/>
      <c r="BO30" s="142"/>
      <c r="BP30" s="145"/>
      <c r="BQ30" s="150"/>
      <c r="BS30" s="150"/>
      <c r="CB30" s="149"/>
      <c r="CC30" s="145"/>
      <c r="CD30" s="145"/>
      <c r="CE30" s="145"/>
      <c r="CG30" s="145"/>
      <c r="CH30" s="145"/>
      <c r="CI30" s="145"/>
      <c r="CJ30" s="148"/>
      <c r="CO30" s="150"/>
      <c r="CQ30" s="150"/>
      <c r="CR30" s="150"/>
      <c r="CS30" s="151"/>
      <c r="DI30" s="142"/>
      <c r="DJ30" s="145"/>
      <c r="DK30" s="145"/>
      <c r="DL30" s="145"/>
      <c r="DM30" s="145"/>
      <c r="DN30" s="145"/>
      <c r="DO30" s="145"/>
      <c r="DP30" s="145"/>
      <c r="DQ30" s="145"/>
      <c r="DR30" s="145"/>
      <c r="DS30" s="145"/>
      <c r="DT30" s="145"/>
      <c r="DU30" s="145"/>
      <c r="DV30" s="145"/>
      <c r="DW30" s="148"/>
      <c r="EC30" s="150"/>
      <c r="EO30" s="152"/>
      <c r="EP30" s="152"/>
      <c r="EQ30" s="145"/>
      <c r="ER30" s="145"/>
      <c r="ES30" s="145"/>
      <c r="EX30" s="152"/>
      <c r="EY30" s="152"/>
      <c r="FE30" s="153"/>
      <c r="FG30" s="145"/>
      <c r="FH30" s="145"/>
      <c r="FI30" s="154"/>
      <c r="FL30" s="154"/>
      <c r="FM30" s="154"/>
      <c r="FN30" s="154"/>
    </row>
    <row r="31" spans="1:184" ht="16" x14ac:dyDescent="0.2">
      <c r="B31" s="144"/>
      <c r="C31" s="138"/>
      <c r="G31" s="148"/>
      <c r="J31" s="154"/>
      <c r="K31" s="154"/>
      <c r="L31" s="154"/>
      <c r="Y31" s="139"/>
      <c r="Z31" s="144"/>
      <c r="AB31" s="155"/>
      <c r="AC31" s="155"/>
      <c r="AD31" s="155"/>
      <c r="AE31" s="155"/>
      <c r="AF31" s="155"/>
      <c r="AG31" s="155"/>
      <c r="AH31" s="155"/>
      <c r="AK31" s="147"/>
      <c r="AL31" s="147"/>
      <c r="AS31" s="148"/>
      <c r="BJ31" s="142"/>
      <c r="BO31" s="142"/>
      <c r="BP31" s="145"/>
      <c r="BQ31" s="150"/>
      <c r="BS31" s="150"/>
      <c r="CB31" s="149"/>
      <c r="CC31" s="145"/>
      <c r="CD31" s="145"/>
      <c r="CE31" s="145"/>
      <c r="CG31" s="145"/>
      <c r="CH31" s="145"/>
      <c r="CI31" s="145"/>
      <c r="CJ31" s="148"/>
      <c r="CO31" s="150"/>
      <c r="CQ31" s="150"/>
      <c r="CR31" s="150"/>
      <c r="CS31" s="151"/>
      <c r="DI31" s="142"/>
      <c r="DJ31" s="145"/>
      <c r="DK31" s="145"/>
      <c r="DL31" s="145"/>
      <c r="DM31" s="145"/>
      <c r="DN31" s="145"/>
      <c r="DO31" s="145"/>
      <c r="DP31" s="145"/>
      <c r="DQ31" s="145"/>
      <c r="DR31" s="145"/>
      <c r="DS31" s="145"/>
      <c r="DT31" s="145"/>
      <c r="DU31" s="145"/>
      <c r="DV31" s="145"/>
      <c r="DW31" s="148"/>
      <c r="EC31" s="150"/>
      <c r="EO31" s="152"/>
      <c r="EP31" s="152"/>
      <c r="EQ31" s="145"/>
      <c r="ER31" s="145"/>
      <c r="ES31" s="145"/>
      <c r="EX31" s="152"/>
      <c r="EY31" s="152"/>
      <c r="FE31" s="153"/>
      <c r="FG31" s="145"/>
      <c r="FH31" s="145"/>
      <c r="FI31" s="154"/>
      <c r="FL31" s="154"/>
      <c r="FM31" s="154"/>
      <c r="FN31" s="154"/>
    </row>
    <row r="32" spans="1:184" ht="16" x14ac:dyDescent="0.2">
      <c r="B32" s="144"/>
      <c r="C32" s="138"/>
      <c r="G32" s="148"/>
      <c r="J32" s="154"/>
      <c r="K32" s="154"/>
      <c r="L32" s="154"/>
      <c r="Y32" s="139"/>
      <c r="Z32" s="144"/>
      <c r="AB32" s="156"/>
      <c r="AC32" s="156"/>
      <c r="AD32" s="156"/>
      <c r="AE32" s="156"/>
      <c r="AF32" s="156"/>
      <c r="AG32" s="156"/>
      <c r="AH32" s="156"/>
      <c r="AK32" s="147"/>
      <c r="AL32" s="147"/>
      <c r="AS32" s="148"/>
      <c r="BJ32" s="142"/>
      <c r="BO32" s="142"/>
      <c r="BP32" s="145"/>
      <c r="BQ32" s="150"/>
      <c r="BS32" s="150"/>
      <c r="CB32" s="149"/>
      <c r="CC32" s="145"/>
      <c r="CD32" s="145"/>
      <c r="CE32" s="145"/>
      <c r="CG32" s="145"/>
      <c r="CH32" s="145"/>
      <c r="CI32" s="145"/>
      <c r="CJ32" s="148"/>
      <c r="CO32" s="150"/>
      <c r="CQ32" s="150"/>
      <c r="CR32" s="150"/>
      <c r="CS32" s="151"/>
      <c r="DI32" s="142"/>
      <c r="DJ32" s="145"/>
      <c r="DK32" s="145"/>
      <c r="DL32" s="145"/>
      <c r="DM32" s="145"/>
      <c r="DN32" s="145"/>
      <c r="DO32" s="145"/>
      <c r="DP32" s="145"/>
      <c r="DQ32" s="145"/>
      <c r="DR32" s="145"/>
      <c r="DS32" s="145"/>
      <c r="DT32" s="145"/>
      <c r="DU32" s="145"/>
      <c r="DV32" s="145"/>
      <c r="DW32" s="148"/>
      <c r="EC32" s="150"/>
      <c r="EO32" s="152"/>
      <c r="EP32" s="152"/>
      <c r="EQ32" s="145"/>
      <c r="ER32" s="145"/>
      <c r="ES32" s="145"/>
      <c r="EX32" s="152"/>
      <c r="EY32" s="152"/>
      <c r="FE32" s="153"/>
      <c r="FG32" s="145"/>
      <c r="FH32" s="145"/>
      <c r="FI32" s="154"/>
      <c r="FL32" s="154"/>
      <c r="FM32" s="154"/>
      <c r="FN32" s="154"/>
    </row>
    <row r="33" spans="2:170" ht="16" x14ac:dyDescent="0.2">
      <c r="B33" s="144"/>
      <c r="C33" s="138"/>
      <c r="G33" s="148"/>
      <c r="J33" s="154"/>
      <c r="K33" s="154"/>
      <c r="L33" s="154"/>
      <c r="Y33" s="139"/>
      <c r="Z33" s="144"/>
      <c r="AB33" s="155"/>
      <c r="AC33" s="155"/>
      <c r="AD33" s="155"/>
      <c r="AE33" s="155"/>
      <c r="AF33" s="155"/>
      <c r="AG33" s="155"/>
      <c r="AH33" s="155"/>
      <c r="AK33" s="147"/>
      <c r="AL33" s="147"/>
      <c r="AS33" s="148"/>
      <c r="BJ33" s="142"/>
      <c r="BO33" s="142"/>
      <c r="BP33" s="145"/>
      <c r="BQ33" s="150"/>
      <c r="BS33" s="150"/>
      <c r="CB33" s="149"/>
      <c r="CC33" s="145"/>
      <c r="CD33" s="145"/>
      <c r="CE33" s="145"/>
      <c r="CG33" s="145"/>
      <c r="CH33" s="145"/>
      <c r="CI33" s="145"/>
      <c r="CJ33" s="148"/>
      <c r="CO33" s="150"/>
      <c r="CQ33" s="150"/>
      <c r="CR33" s="150"/>
      <c r="CS33" s="151"/>
      <c r="DI33" s="142"/>
      <c r="DJ33" s="145"/>
      <c r="DK33" s="145"/>
      <c r="DL33" s="145"/>
      <c r="DM33" s="145"/>
      <c r="DN33" s="145"/>
      <c r="DO33" s="145"/>
      <c r="DP33" s="145"/>
      <c r="DQ33" s="145"/>
      <c r="DR33" s="145"/>
      <c r="DS33" s="145"/>
      <c r="DT33" s="145"/>
      <c r="DU33" s="145"/>
      <c r="DV33" s="145"/>
      <c r="DW33" s="148"/>
      <c r="EC33" s="150"/>
      <c r="EO33" s="152"/>
      <c r="EP33" s="152"/>
      <c r="EQ33" s="145"/>
      <c r="ER33" s="145"/>
      <c r="ES33" s="145"/>
      <c r="EX33" s="152"/>
      <c r="EY33" s="152"/>
      <c r="FE33" s="153"/>
      <c r="FG33" s="145"/>
      <c r="FH33" s="145"/>
      <c r="FI33" s="154"/>
      <c r="FL33" s="154"/>
      <c r="FM33" s="154"/>
      <c r="FN33" s="154"/>
    </row>
    <row r="34" spans="2:170" ht="16" x14ac:dyDescent="0.2">
      <c r="B34" s="144"/>
      <c r="C34" s="138"/>
      <c r="G34" s="148"/>
      <c r="J34" s="154"/>
      <c r="K34" s="154"/>
      <c r="L34" s="154"/>
      <c r="Y34" s="139"/>
      <c r="Z34" s="144"/>
      <c r="AB34" s="155"/>
      <c r="AC34" s="155"/>
      <c r="AD34" s="155"/>
      <c r="AE34" s="155"/>
      <c r="AF34" s="155"/>
      <c r="AG34" s="155"/>
      <c r="AH34" s="155"/>
      <c r="AK34" s="147"/>
      <c r="AL34" s="147"/>
      <c r="AS34" s="148"/>
      <c r="BJ34" s="142"/>
      <c r="BO34" s="142"/>
      <c r="BP34" s="145"/>
      <c r="BQ34" s="150"/>
      <c r="BS34" s="150"/>
      <c r="CB34" s="149"/>
      <c r="CC34" s="145"/>
      <c r="CD34" s="145"/>
      <c r="CE34" s="145"/>
      <c r="CG34" s="145"/>
      <c r="CH34" s="145"/>
      <c r="CI34" s="145"/>
      <c r="CJ34" s="148"/>
      <c r="CO34" s="150"/>
      <c r="CQ34" s="150"/>
      <c r="CR34" s="150"/>
      <c r="CS34" s="151"/>
      <c r="DI34" s="142"/>
      <c r="DJ34" s="145"/>
      <c r="DK34" s="145"/>
      <c r="DL34" s="145"/>
      <c r="DM34" s="145"/>
      <c r="DN34" s="145"/>
      <c r="DO34" s="145"/>
      <c r="DP34" s="145"/>
      <c r="DQ34" s="145"/>
      <c r="DR34" s="145"/>
      <c r="DS34" s="145"/>
      <c r="DT34" s="145"/>
      <c r="DU34" s="145"/>
      <c r="DV34" s="145"/>
      <c r="DW34" s="148"/>
      <c r="EC34" s="150"/>
      <c r="EO34" s="152"/>
      <c r="EP34" s="152"/>
      <c r="EQ34" s="145"/>
      <c r="ER34" s="145"/>
      <c r="ES34" s="145"/>
      <c r="EX34" s="152"/>
      <c r="EY34" s="152"/>
      <c r="FE34" s="153"/>
      <c r="FG34" s="145"/>
      <c r="FH34" s="145"/>
      <c r="FI34" s="154"/>
      <c r="FL34" s="154"/>
      <c r="FM34" s="154"/>
      <c r="FN34" s="154"/>
    </row>
    <row r="35" spans="2:170" ht="16" x14ac:dyDescent="0.2">
      <c r="B35" s="144"/>
      <c r="C35" s="138"/>
      <c r="G35" s="148"/>
      <c r="J35" s="154"/>
      <c r="K35" s="154"/>
      <c r="L35" s="154"/>
      <c r="Y35" s="139"/>
      <c r="Z35" s="144"/>
      <c r="AB35" s="155"/>
      <c r="AC35" s="155"/>
      <c r="AD35" s="155"/>
      <c r="AE35" s="155"/>
      <c r="AF35" s="155"/>
      <c r="AG35" s="155"/>
      <c r="AH35" s="155"/>
      <c r="AK35" s="147"/>
      <c r="AL35" s="147"/>
      <c r="AS35" s="148"/>
      <c r="BJ35" s="142"/>
      <c r="BO35" s="142"/>
      <c r="BP35" s="145"/>
      <c r="BQ35" s="150"/>
      <c r="BS35" s="150"/>
      <c r="CB35" s="149"/>
      <c r="CC35" s="145"/>
      <c r="CD35" s="145"/>
      <c r="CE35" s="145"/>
      <c r="CG35" s="145"/>
      <c r="CH35" s="145"/>
      <c r="CI35" s="145"/>
      <c r="CJ35" s="148"/>
      <c r="CO35" s="150"/>
      <c r="CQ35" s="150"/>
      <c r="CR35" s="150"/>
      <c r="CS35" s="151"/>
      <c r="DI35" s="142"/>
      <c r="DJ35" s="145"/>
      <c r="DK35" s="145"/>
      <c r="DL35" s="145"/>
      <c r="DM35" s="145"/>
      <c r="DN35" s="145"/>
      <c r="DO35" s="145"/>
      <c r="DP35" s="145"/>
      <c r="DQ35" s="145"/>
      <c r="DR35" s="145"/>
      <c r="DS35" s="145"/>
      <c r="DT35" s="145"/>
      <c r="DU35" s="145"/>
      <c r="DV35" s="145"/>
      <c r="DW35" s="148"/>
      <c r="EC35" s="150"/>
      <c r="EO35" s="152"/>
      <c r="EP35" s="152"/>
      <c r="EQ35" s="145"/>
      <c r="ER35" s="145"/>
      <c r="ES35" s="145"/>
      <c r="EX35" s="152"/>
      <c r="EY35" s="152"/>
      <c r="FE35" s="153"/>
      <c r="FG35" s="145"/>
      <c r="FH35" s="145"/>
      <c r="FI35" s="154"/>
      <c r="FL35" s="154"/>
      <c r="FM35" s="154"/>
      <c r="FN35" s="154"/>
    </row>
    <row r="36" spans="2:170" ht="16" x14ac:dyDescent="0.2">
      <c r="B36" s="144"/>
      <c r="C36" s="138"/>
      <c r="G36" s="148"/>
      <c r="J36" s="154"/>
      <c r="K36" s="154"/>
      <c r="L36" s="154"/>
      <c r="Y36" s="139"/>
      <c r="Z36" s="144"/>
      <c r="AB36" s="155"/>
      <c r="AC36" s="155"/>
      <c r="AD36" s="155"/>
      <c r="AE36" s="155"/>
      <c r="AF36" s="155"/>
      <c r="AG36" s="155"/>
      <c r="AH36" s="155"/>
      <c r="AK36" s="147"/>
      <c r="AL36" s="147"/>
      <c r="AS36" s="148"/>
      <c r="BJ36" s="142"/>
      <c r="BO36" s="142"/>
      <c r="BP36" s="145"/>
      <c r="BQ36" s="150"/>
      <c r="BS36" s="150"/>
      <c r="CB36" s="149"/>
      <c r="CC36" s="145"/>
      <c r="CD36" s="145"/>
      <c r="CE36" s="145"/>
      <c r="CG36" s="145"/>
      <c r="CH36" s="145"/>
      <c r="CI36" s="145"/>
      <c r="CJ36" s="148"/>
      <c r="CO36" s="150"/>
      <c r="CQ36" s="150"/>
      <c r="CR36" s="150"/>
      <c r="CS36" s="151"/>
      <c r="DI36" s="142"/>
      <c r="DJ36" s="145"/>
      <c r="DK36" s="145"/>
      <c r="DL36" s="145"/>
      <c r="DM36" s="145"/>
      <c r="DN36" s="145"/>
      <c r="DO36" s="145"/>
      <c r="DP36" s="145"/>
      <c r="DQ36" s="145"/>
      <c r="DR36" s="145"/>
      <c r="DS36" s="145"/>
      <c r="DT36" s="145"/>
      <c r="DU36" s="145"/>
      <c r="DV36" s="145"/>
      <c r="DW36" s="148"/>
      <c r="EC36" s="150"/>
      <c r="EO36" s="152"/>
      <c r="EP36" s="152"/>
      <c r="EQ36" s="145"/>
      <c r="ER36" s="145"/>
      <c r="ES36" s="145"/>
      <c r="EX36" s="152"/>
      <c r="EY36" s="152"/>
      <c r="FE36" s="153"/>
      <c r="FG36" s="145"/>
      <c r="FH36" s="145"/>
      <c r="FI36" s="154"/>
      <c r="FL36" s="154"/>
      <c r="FM36" s="154"/>
      <c r="FN36" s="154"/>
    </row>
    <row r="37" spans="2:170" ht="16" x14ac:dyDescent="0.2">
      <c r="B37" s="144"/>
      <c r="C37" s="138"/>
      <c r="G37" s="148"/>
      <c r="J37" s="154"/>
      <c r="K37" s="154"/>
      <c r="L37" s="154"/>
      <c r="Y37" s="139"/>
      <c r="Z37" s="144"/>
      <c r="AB37" s="156"/>
      <c r="AC37" s="156"/>
      <c r="AD37" s="157"/>
      <c r="AE37" s="156"/>
      <c r="AF37" s="156"/>
      <c r="AG37" s="156"/>
      <c r="AH37" s="156"/>
      <c r="AK37" s="147"/>
      <c r="AL37" s="147"/>
      <c r="AS37" s="148"/>
      <c r="BJ37" s="142"/>
      <c r="BO37" s="142"/>
      <c r="BP37" s="145"/>
      <c r="BQ37" s="150"/>
      <c r="BS37" s="150"/>
      <c r="CB37" s="149"/>
      <c r="CC37" s="145"/>
      <c r="CD37" s="145"/>
      <c r="CE37" s="145"/>
      <c r="CG37" s="145"/>
      <c r="CH37" s="145"/>
      <c r="CI37" s="145"/>
      <c r="CJ37" s="148"/>
      <c r="CO37" s="150"/>
      <c r="CQ37" s="150"/>
      <c r="CR37" s="150"/>
      <c r="CS37" s="151"/>
      <c r="DI37" s="142"/>
      <c r="DJ37" s="145"/>
      <c r="DK37" s="145"/>
      <c r="DL37" s="145"/>
      <c r="DM37" s="145"/>
      <c r="DN37" s="145"/>
      <c r="DO37" s="145"/>
      <c r="DP37" s="145"/>
      <c r="DQ37" s="145"/>
      <c r="DR37" s="145"/>
      <c r="DS37" s="145"/>
      <c r="DT37" s="145"/>
      <c r="DU37" s="145"/>
      <c r="DV37" s="145"/>
      <c r="DW37" s="148"/>
      <c r="EC37" s="150"/>
      <c r="EO37" s="152"/>
      <c r="EP37" s="152"/>
      <c r="EQ37" s="145"/>
      <c r="ER37" s="145"/>
      <c r="ES37" s="145"/>
      <c r="EX37" s="152"/>
      <c r="EY37" s="152"/>
      <c r="FE37" s="153"/>
      <c r="FG37" s="145"/>
      <c r="FH37" s="145"/>
      <c r="FI37" s="154"/>
      <c r="FL37" s="154"/>
      <c r="FM37" s="154"/>
      <c r="FN37" s="154"/>
    </row>
    <row r="38" spans="2:170" ht="16" x14ac:dyDescent="0.2">
      <c r="B38" s="144"/>
      <c r="C38" s="138"/>
      <c r="G38" s="148"/>
      <c r="J38" s="154"/>
      <c r="K38" s="154"/>
      <c r="L38" s="154"/>
      <c r="Y38" s="139"/>
      <c r="Z38" s="144"/>
      <c r="AB38" s="156"/>
      <c r="AC38" s="156"/>
      <c r="AD38" s="156"/>
      <c r="AE38" s="156"/>
      <c r="AF38" s="156"/>
      <c r="AG38" s="156"/>
      <c r="AH38" s="156"/>
      <c r="AK38" s="147"/>
      <c r="AL38" s="147"/>
      <c r="AS38" s="148"/>
      <c r="BJ38" s="142"/>
      <c r="BO38" s="142"/>
      <c r="BP38" s="145"/>
      <c r="BQ38" s="150"/>
      <c r="BS38" s="150"/>
      <c r="CB38" s="149"/>
      <c r="CC38" s="145"/>
      <c r="CD38" s="145"/>
      <c r="CE38" s="145"/>
      <c r="CG38" s="145"/>
      <c r="CH38" s="145"/>
      <c r="CI38" s="145"/>
      <c r="CJ38" s="148"/>
      <c r="CO38" s="150"/>
      <c r="CQ38" s="150"/>
      <c r="CR38" s="150"/>
      <c r="CS38" s="151"/>
      <c r="DI38" s="142"/>
      <c r="DJ38" s="145"/>
      <c r="DK38" s="145"/>
      <c r="DL38" s="145"/>
      <c r="DM38" s="145"/>
      <c r="DN38" s="145"/>
      <c r="DO38" s="145"/>
      <c r="DP38" s="145"/>
      <c r="DQ38" s="145"/>
      <c r="DR38" s="145"/>
      <c r="DS38" s="145"/>
      <c r="DT38" s="145"/>
      <c r="DU38" s="145"/>
      <c r="DV38" s="145"/>
      <c r="DW38" s="148"/>
      <c r="EC38" s="150"/>
      <c r="EO38" s="152"/>
      <c r="EP38" s="152"/>
      <c r="EQ38" s="145"/>
      <c r="ER38" s="145"/>
      <c r="ES38" s="145"/>
      <c r="EX38" s="152"/>
      <c r="EY38" s="152"/>
      <c r="FE38" s="153"/>
      <c r="FG38" s="145"/>
      <c r="FH38" s="145"/>
      <c r="FI38" s="154"/>
      <c r="FL38" s="154"/>
      <c r="FM38" s="154"/>
      <c r="FN38" s="154"/>
    </row>
    <row r="39" spans="2:170" ht="16" x14ac:dyDescent="0.2">
      <c r="B39" s="144"/>
      <c r="C39" s="138"/>
      <c r="G39" s="148"/>
      <c r="J39" s="154"/>
      <c r="K39" s="154"/>
      <c r="L39" s="154"/>
      <c r="Y39" s="139"/>
      <c r="Z39" s="144"/>
      <c r="AB39" s="155"/>
      <c r="AC39" s="155"/>
      <c r="AD39" s="155"/>
      <c r="AE39" s="155"/>
      <c r="AF39" s="155"/>
      <c r="AG39" s="155"/>
      <c r="AH39" s="155"/>
      <c r="AK39" s="147"/>
      <c r="AL39" s="147"/>
      <c r="AS39" s="148"/>
      <c r="BJ39" s="142"/>
      <c r="BO39" s="142"/>
      <c r="BP39" s="145"/>
      <c r="BQ39" s="150"/>
      <c r="BS39" s="150"/>
      <c r="CB39" s="149"/>
      <c r="CC39" s="145"/>
      <c r="CD39" s="145"/>
      <c r="CE39" s="145"/>
      <c r="CG39" s="145"/>
      <c r="CH39" s="145"/>
      <c r="CI39" s="145"/>
      <c r="CJ39" s="148"/>
      <c r="CO39" s="150"/>
      <c r="CQ39" s="150"/>
      <c r="CR39" s="150"/>
      <c r="CS39" s="151"/>
      <c r="DI39" s="142"/>
      <c r="DJ39" s="145"/>
      <c r="DK39" s="145"/>
      <c r="DL39" s="145"/>
      <c r="DM39" s="145"/>
      <c r="DN39" s="145"/>
      <c r="DO39" s="145"/>
      <c r="DP39" s="145"/>
      <c r="DQ39" s="145"/>
      <c r="DR39" s="145"/>
      <c r="DS39" s="145"/>
      <c r="DT39" s="145"/>
      <c r="DU39" s="145"/>
      <c r="DV39" s="145"/>
      <c r="DW39" s="148"/>
      <c r="EC39" s="150"/>
      <c r="EO39" s="152"/>
      <c r="EP39" s="152"/>
      <c r="EQ39" s="145"/>
      <c r="ER39" s="145"/>
      <c r="ES39" s="145"/>
      <c r="EX39" s="152"/>
      <c r="EY39" s="152"/>
      <c r="FE39" s="153"/>
      <c r="FG39" s="145"/>
      <c r="FH39" s="145"/>
      <c r="FI39" s="154"/>
      <c r="FL39" s="154"/>
      <c r="FM39" s="154"/>
      <c r="FN39" s="154"/>
    </row>
    <row r="40" spans="2:170" ht="16" x14ac:dyDescent="0.2">
      <c r="B40" s="144"/>
      <c r="C40" s="138"/>
      <c r="G40" s="148"/>
      <c r="J40" s="154"/>
      <c r="K40" s="154"/>
      <c r="L40" s="154"/>
      <c r="Y40" s="139"/>
      <c r="Z40" s="144"/>
      <c r="AB40" s="155"/>
      <c r="AC40" s="155"/>
      <c r="AD40" s="155"/>
      <c r="AE40" s="155"/>
      <c r="AF40" s="155"/>
      <c r="AG40" s="155"/>
      <c r="AH40" s="155"/>
      <c r="AK40" s="147"/>
      <c r="AL40" s="147"/>
      <c r="AS40" s="148"/>
      <c r="BJ40" s="142"/>
      <c r="BO40" s="142"/>
      <c r="BP40" s="145"/>
      <c r="BQ40" s="150"/>
      <c r="BS40" s="150"/>
      <c r="CB40" s="149"/>
      <c r="CC40" s="145"/>
      <c r="CD40" s="145"/>
      <c r="CE40" s="145"/>
      <c r="CG40" s="145"/>
      <c r="CH40" s="145"/>
      <c r="CI40" s="145"/>
      <c r="CJ40" s="148"/>
      <c r="CO40" s="150"/>
      <c r="CQ40" s="150"/>
      <c r="CR40" s="150"/>
      <c r="CS40" s="151"/>
      <c r="DI40" s="142"/>
      <c r="DJ40" s="145"/>
      <c r="DK40" s="145"/>
      <c r="DL40" s="145"/>
      <c r="DM40" s="145"/>
      <c r="DN40" s="145"/>
      <c r="DO40" s="145"/>
      <c r="DP40" s="145"/>
      <c r="DQ40" s="145"/>
      <c r="DR40" s="145"/>
      <c r="DS40" s="145"/>
      <c r="DT40" s="145"/>
      <c r="DU40" s="145"/>
      <c r="DV40" s="145"/>
      <c r="DW40" s="148"/>
      <c r="EC40" s="150"/>
      <c r="EO40" s="152"/>
      <c r="EP40" s="152"/>
      <c r="EQ40" s="145"/>
      <c r="ER40" s="145"/>
      <c r="ES40" s="145"/>
      <c r="EX40" s="152"/>
      <c r="EY40" s="152"/>
      <c r="FE40" s="153"/>
      <c r="FG40" s="145"/>
      <c r="FH40" s="145"/>
      <c r="FI40" s="154"/>
      <c r="FL40" s="154"/>
      <c r="FM40" s="154"/>
      <c r="FN40" s="154"/>
    </row>
    <row r="41" spans="2:170" ht="16" x14ac:dyDescent="0.2">
      <c r="B41" s="144"/>
      <c r="C41" s="138"/>
      <c r="G41" s="148"/>
      <c r="J41" s="154"/>
      <c r="K41" s="154"/>
      <c r="L41" s="154"/>
      <c r="Y41" s="139"/>
      <c r="Z41" s="144"/>
      <c r="AB41" s="155"/>
      <c r="AC41" s="155"/>
      <c r="AD41" s="155"/>
      <c r="AE41" s="155"/>
      <c r="AF41" s="155"/>
      <c r="AG41" s="155"/>
      <c r="AH41" s="155"/>
      <c r="AK41" s="147"/>
      <c r="AL41" s="147"/>
      <c r="AS41" s="148"/>
      <c r="BJ41" s="142"/>
      <c r="BO41" s="142"/>
      <c r="BP41" s="145"/>
      <c r="BQ41" s="150"/>
      <c r="BS41" s="150"/>
      <c r="CB41" s="149"/>
      <c r="CC41" s="145"/>
      <c r="CD41" s="145"/>
      <c r="CE41" s="145"/>
      <c r="CG41" s="145"/>
      <c r="CH41" s="145"/>
      <c r="CI41" s="145"/>
      <c r="CJ41" s="148"/>
      <c r="CO41" s="150"/>
      <c r="CQ41" s="150"/>
      <c r="CR41" s="150"/>
      <c r="CS41" s="151"/>
      <c r="DI41" s="142"/>
      <c r="DJ41" s="145"/>
      <c r="DK41" s="145"/>
      <c r="DL41" s="145"/>
      <c r="DM41" s="145"/>
      <c r="DN41" s="145"/>
      <c r="DO41" s="145"/>
      <c r="DP41" s="145"/>
      <c r="DQ41" s="145"/>
      <c r="DR41" s="145"/>
      <c r="DS41" s="145"/>
      <c r="DT41" s="145"/>
      <c r="DU41" s="145"/>
      <c r="DV41" s="145"/>
      <c r="DW41" s="148"/>
      <c r="EC41" s="150"/>
      <c r="EO41" s="152"/>
      <c r="EP41" s="152"/>
      <c r="EQ41" s="145"/>
      <c r="ER41" s="145"/>
      <c r="ES41" s="145"/>
      <c r="EX41" s="152"/>
      <c r="EY41" s="152"/>
      <c r="FE41" s="153"/>
      <c r="FG41" s="145"/>
      <c r="FH41" s="145"/>
      <c r="FI41" s="154"/>
      <c r="FL41" s="154"/>
      <c r="FM41" s="154"/>
      <c r="FN41" s="154"/>
    </row>
    <row r="42" spans="2:170" ht="16" x14ac:dyDescent="0.2">
      <c r="B42" s="144"/>
      <c r="C42" s="138"/>
      <c r="G42" s="148"/>
      <c r="J42" s="154"/>
      <c r="K42" s="154"/>
      <c r="L42" s="154"/>
      <c r="Y42" s="139"/>
      <c r="Z42" s="144"/>
      <c r="AB42" s="155"/>
      <c r="AC42" s="155"/>
      <c r="AD42" s="155"/>
      <c r="AE42" s="155"/>
      <c r="AF42" s="155"/>
      <c r="AG42" s="155"/>
      <c r="AH42" s="155"/>
      <c r="AK42" s="147"/>
      <c r="AL42" s="147"/>
      <c r="AS42" s="148"/>
      <c r="BJ42" s="142"/>
      <c r="BO42" s="142"/>
      <c r="BP42" s="145"/>
      <c r="BQ42" s="150"/>
      <c r="BS42" s="150"/>
      <c r="CB42" s="149"/>
      <c r="CC42" s="145"/>
      <c r="CD42" s="145"/>
      <c r="CE42" s="145"/>
      <c r="CG42" s="145"/>
      <c r="CH42" s="145"/>
      <c r="CI42" s="145"/>
      <c r="CJ42" s="148"/>
      <c r="CO42" s="150"/>
      <c r="CQ42" s="150"/>
      <c r="CR42" s="150"/>
      <c r="CS42" s="151"/>
      <c r="DI42" s="142"/>
      <c r="DJ42" s="145"/>
      <c r="DK42" s="145"/>
      <c r="DL42" s="145"/>
      <c r="DM42" s="145"/>
      <c r="DN42" s="145"/>
      <c r="DO42" s="145"/>
      <c r="DP42" s="145"/>
      <c r="DQ42" s="145"/>
      <c r="DR42" s="145"/>
      <c r="DS42" s="145"/>
      <c r="DT42" s="145"/>
      <c r="DU42" s="145"/>
      <c r="DV42" s="145"/>
      <c r="DW42" s="148"/>
      <c r="EC42" s="150"/>
      <c r="EO42" s="152"/>
      <c r="EP42" s="152"/>
      <c r="EQ42" s="145"/>
      <c r="ER42" s="145"/>
      <c r="ES42" s="145"/>
      <c r="EX42" s="152"/>
      <c r="EY42" s="152"/>
      <c r="FE42" s="153"/>
      <c r="FG42" s="145"/>
      <c r="FH42" s="145"/>
      <c r="FI42" s="154"/>
      <c r="FL42" s="154"/>
      <c r="FM42" s="154"/>
      <c r="FN42" s="154"/>
    </row>
    <row r="43" spans="2:170" ht="16" x14ac:dyDescent="0.2">
      <c r="B43" s="144"/>
      <c r="C43" s="138"/>
      <c r="G43" s="148"/>
      <c r="J43" s="154"/>
      <c r="K43" s="154"/>
      <c r="L43" s="154"/>
      <c r="Y43" s="139"/>
      <c r="Z43" s="144"/>
      <c r="AB43" s="155"/>
      <c r="AC43" s="155"/>
      <c r="AD43" s="155"/>
      <c r="AE43" s="155"/>
      <c r="AF43" s="155"/>
      <c r="AG43" s="155"/>
      <c r="AH43" s="155"/>
      <c r="AK43" s="147"/>
      <c r="AL43" s="147"/>
      <c r="AS43" s="148"/>
      <c r="BJ43" s="142"/>
      <c r="BO43" s="142"/>
      <c r="BP43" s="145"/>
      <c r="BQ43" s="150"/>
      <c r="BS43" s="150"/>
      <c r="CB43" s="149"/>
      <c r="CC43" s="145"/>
      <c r="CD43" s="145"/>
      <c r="CE43" s="145"/>
      <c r="CG43" s="145"/>
      <c r="CH43" s="145"/>
      <c r="CI43" s="145"/>
      <c r="CJ43" s="148"/>
      <c r="CO43" s="150"/>
      <c r="CQ43" s="150"/>
      <c r="CR43" s="150"/>
      <c r="CS43" s="151"/>
      <c r="DI43" s="142"/>
      <c r="DJ43" s="145"/>
      <c r="DK43" s="145"/>
      <c r="DL43" s="145"/>
      <c r="DM43" s="145"/>
      <c r="DN43" s="145"/>
      <c r="DO43" s="145"/>
      <c r="DP43" s="145"/>
      <c r="DQ43" s="145"/>
      <c r="DR43" s="145"/>
      <c r="DS43" s="145"/>
      <c r="DT43" s="145"/>
      <c r="DU43" s="145"/>
      <c r="DV43" s="145"/>
      <c r="DW43" s="148"/>
      <c r="EC43" s="150"/>
      <c r="EO43" s="152"/>
      <c r="EP43" s="152"/>
      <c r="EQ43" s="145"/>
      <c r="ER43" s="145"/>
      <c r="ES43" s="145"/>
      <c r="EX43" s="152"/>
      <c r="EY43" s="152"/>
      <c r="FE43" s="153"/>
      <c r="FG43" s="145"/>
      <c r="FH43" s="145"/>
      <c r="FI43" s="154"/>
      <c r="FL43" s="154"/>
      <c r="FM43" s="154"/>
      <c r="FN43" s="154"/>
    </row>
    <row r="44" spans="2:170" ht="16" x14ac:dyDescent="0.2">
      <c r="B44" s="144"/>
      <c r="C44" s="138"/>
      <c r="G44" s="148"/>
      <c r="J44" s="154"/>
      <c r="K44" s="154"/>
      <c r="L44" s="154"/>
      <c r="Y44" s="139"/>
      <c r="Z44" s="144"/>
      <c r="AB44" s="156"/>
      <c r="AC44" s="156"/>
      <c r="AD44" s="156"/>
      <c r="AE44" s="156"/>
      <c r="AF44" s="156"/>
      <c r="AG44" s="156"/>
      <c r="AH44" s="156"/>
      <c r="AK44" s="147"/>
      <c r="AL44" s="147"/>
      <c r="AS44" s="148"/>
      <c r="BJ44" s="142"/>
      <c r="BO44" s="142"/>
      <c r="BP44" s="145"/>
      <c r="BQ44" s="150"/>
      <c r="BS44" s="150"/>
      <c r="CB44" s="149"/>
      <c r="CC44" s="145"/>
      <c r="CD44" s="145"/>
      <c r="CE44" s="145"/>
      <c r="CG44" s="145"/>
      <c r="CH44" s="145"/>
      <c r="CI44" s="145"/>
      <c r="CJ44" s="148"/>
      <c r="CO44" s="150"/>
      <c r="CQ44" s="150"/>
      <c r="CR44" s="150"/>
      <c r="CS44" s="151"/>
      <c r="DI44" s="142"/>
      <c r="DJ44" s="145"/>
      <c r="DK44" s="145"/>
      <c r="DL44" s="145"/>
      <c r="DM44" s="145"/>
      <c r="DN44" s="145"/>
      <c r="DO44" s="145"/>
      <c r="DP44" s="145"/>
      <c r="DQ44" s="145"/>
      <c r="DR44" s="145"/>
      <c r="DS44" s="145"/>
      <c r="DT44" s="145"/>
      <c r="DU44" s="145"/>
      <c r="DV44" s="145"/>
      <c r="DW44" s="148"/>
      <c r="EC44" s="150"/>
      <c r="EO44" s="152"/>
      <c r="EP44" s="152"/>
      <c r="EQ44" s="145"/>
      <c r="ER44" s="145"/>
      <c r="ES44" s="145"/>
      <c r="EX44" s="152"/>
      <c r="EY44" s="152"/>
      <c r="FE44" s="153"/>
      <c r="FG44" s="145"/>
      <c r="FH44" s="145"/>
      <c r="FI44" s="154"/>
      <c r="FL44" s="154"/>
      <c r="FM44" s="154"/>
      <c r="FN44" s="154"/>
    </row>
    <row r="45" spans="2:170" ht="16" x14ac:dyDescent="0.2">
      <c r="B45" s="144"/>
      <c r="C45" s="138"/>
      <c r="G45" s="148"/>
      <c r="J45" s="154"/>
      <c r="K45" s="154"/>
      <c r="L45" s="154"/>
      <c r="Y45" s="139"/>
      <c r="Z45" s="144"/>
      <c r="AB45" s="155"/>
      <c r="AC45" s="155"/>
      <c r="AD45" s="155"/>
      <c r="AE45" s="155"/>
      <c r="AF45" s="155"/>
      <c r="AG45" s="155"/>
      <c r="AH45" s="155"/>
      <c r="AK45" s="147"/>
      <c r="AL45" s="147"/>
      <c r="AS45" s="148"/>
      <c r="BJ45" s="142"/>
      <c r="BO45" s="142"/>
      <c r="BP45" s="145"/>
      <c r="BQ45" s="150"/>
      <c r="BS45" s="150"/>
      <c r="CB45" s="149"/>
      <c r="CC45" s="145"/>
      <c r="CD45" s="145"/>
      <c r="CE45" s="145"/>
      <c r="CG45" s="145"/>
      <c r="CH45" s="145"/>
      <c r="CI45" s="145"/>
      <c r="CJ45" s="148"/>
      <c r="CO45" s="150"/>
      <c r="CQ45" s="150"/>
      <c r="CR45" s="150"/>
      <c r="CS45" s="151"/>
      <c r="DI45" s="142"/>
      <c r="DJ45" s="145"/>
      <c r="DK45" s="145"/>
      <c r="DL45" s="145"/>
      <c r="DM45" s="145"/>
      <c r="DN45" s="145"/>
      <c r="DO45" s="145"/>
      <c r="DP45" s="145"/>
      <c r="DQ45" s="145"/>
      <c r="DR45" s="145"/>
      <c r="DS45" s="145"/>
      <c r="DT45" s="145"/>
      <c r="DU45" s="145"/>
      <c r="DV45" s="145"/>
      <c r="DW45" s="148"/>
      <c r="EC45" s="150"/>
      <c r="EO45" s="152"/>
      <c r="EP45" s="152"/>
      <c r="EQ45" s="145"/>
      <c r="ER45" s="145"/>
      <c r="ES45" s="145"/>
      <c r="EX45" s="152"/>
      <c r="EY45" s="152"/>
      <c r="FE45" s="153"/>
      <c r="FG45" s="145"/>
      <c r="FH45" s="145"/>
      <c r="FI45" s="154"/>
      <c r="FL45" s="154"/>
      <c r="FM45" s="154"/>
      <c r="FN45" s="154"/>
    </row>
    <row r="46" spans="2:170" ht="16" x14ac:dyDescent="0.2">
      <c r="B46" s="144"/>
      <c r="C46" s="138"/>
      <c r="G46" s="148"/>
      <c r="J46" s="154"/>
      <c r="K46" s="154"/>
      <c r="L46" s="154"/>
      <c r="Y46" s="139"/>
      <c r="Z46" s="144"/>
      <c r="AB46" s="155"/>
      <c r="AC46" s="155"/>
      <c r="AD46" s="155"/>
      <c r="AE46" s="155"/>
      <c r="AF46" s="155"/>
      <c r="AG46" s="155"/>
      <c r="AH46" s="155"/>
      <c r="AK46" s="147"/>
      <c r="AL46" s="147"/>
      <c r="AS46" s="148"/>
      <c r="BJ46" s="142"/>
      <c r="BO46" s="142"/>
      <c r="BP46" s="145"/>
      <c r="BQ46" s="150"/>
      <c r="BS46" s="150"/>
      <c r="CB46" s="149"/>
      <c r="CC46" s="145"/>
      <c r="CD46" s="145"/>
      <c r="CE46" s="145"/>
      <c r="CG46" s="145"/>
      <c r="CH46" s="145"/>
      <c r="CI46" s="145"/>
      <c r="CJ46" s="148"/>
      <c r="CO46" s="150"/>
      <c r="CQ46" s="150"/>
      <c r="CR46" s="150"/>
      <c r="CS46" s="151"/>
      <c r="DI46" s="142"/>
      <c r="DJ46" s="145"/>
      <c r="DK46" s="145"/>
      <c r="DL46" s="145"/>
      <c r="DM46" s="145"/>
      <c r="DN46" s="145"/>
      <c r="DO46" s="145"/>
      <c r="DP46" s="145"/>
      <c r="DQ46" s="145"/>
      <c r="DR46" s="145"/>
      <c r="DS46" s="145"/>
      <c r="DT46" s="145"/>
      <c r="DU46" s="145"/>
      <c r="DV46" s="145"/>
      <c r="DW46" s="148"/>
      <c r="EC46" s="150"/>
      <c r="EO46" s="152"/>
      <c r="EP46" s="152"/>
      <c r="EQ46" s="145"/>
      <c r="ER46" s="145"/>
      <c r="ES46" s="145"/>
      <c r="EX46" s="152"/>
      <c r="EY46" s="152"/>
      <c r="FE46" s="153"/>
      <c r="FG46" s="145"/>
      <c r="FH46" s="145"/>
      <c r="FI46" s="154"/>
      <c r="FL46" s="154"/>
      <c r="FM46" s="154"/>
      <c r="FN46" s="154"/>
    </row>
    <row r="47" spans="2:170" ht="16" x14ac:dyDescent="0.2">
      <c r="B47" s="144"/>
      <c r="C47" s="138"/>
      <c r="G47" s="148"/>
      <c r="J47" s="154"/>
      <c r="K47" s="154"/>
      <c r="L47" s="154"/>
      <c r="Y47" s="139"/>
      <c r="Z47" s="144"/>
      <c r="AB47" s="155"/>
      <c r="AC47" s="155"/>
      <c r="AD47" s="155"/>
      <c r="AE47" s="155"/>
      <c r="AF47" s="155"/>
      <c r="AG47" s="155"/>
      <c r="AH47" s="155"/>
      <c r="AK47" s="147"/>
      <c r="AL47" s="147"/>
      <c r="AS47" s="148"/>
      <c r="BJ47" s="142"/>
      <c r="BO47" s="142"/>
      <c r="BP47" s="145"/>
      <c r="BQ47" s="150"/>
      <c r="BS47" s="150"/>
      <c r="CB47" s="149"/>
      <c r="CC47" s="145"/>
      <c r="CD47" s="145"/>
      <c r="CE47" s="145"/>
      <c r="CG47" s="145"/>
      <c r="CH47" s="145"/>
      <c r="CI47" s="145"/>
      <c r="CJ47" s="148"/>
      <c r="CO47" s="150"/>
      <c r="CQ47" s="150"/>
      <c r="CR47" s="150"/>
      <c r="CS47" s="151"/>
      <c r="DI47" s="142"/>
      <c r="DJ47" s="145"/>
      <c r="DK47" s="145"/>
      <c r="DL47" s="145"/>
      <c r="DM47" s="145"/>
      <c r="DN47" s="145"/>
      <c r="DO47" s="145"/>
      <c r="DP47" s="145"/>
      <c r="DQ47" s="145"/>
      <c r="DR47" s="145"/>
      <c r="DS47" s="145"/>
      <c r="DT47" s="145"/>
      <c r="DU47" s="145"/>
      <c r="DV47" s="145"/>
      <c r="DW47" s="148"/>
      <c r="EC47" s="150"/>
      <c r="EO47" s="152"/>
      <c r="EP47" s="152"/>
      <c r="EQ47" s="145"/>
      <c r="ER47" s="145"/>
      <c r="ES47" s="145"/>
      <c r="EX47" s="152"/>
      <c r="EY47" s="152"/>
      <c r="FE47" s="153"/>
      <c r="FG47" s="145"/>
      <c r="FH47" s="145"/>
      <c r="FI47" s="154"/>
      <c r="FL47" s="154"/>
      <c r="FM47" s="154"/>
      <c r="FN47" s="154"/>
    </row>
    <row r="48" spans="2:170" ht="16" x14ac:dyDescent="0.2">
      <c r="B48" s="144"/>
      <c r="C48" s="138"/>
      <c r="G48" s="148"/>
      <c r="J48" s="154"/>
      <c r="K48" s="154"/>
      <c r="L48" s="154"/>
      <c r="Y48" s="139"/>
      <c r="Z48" s="144"/>
      <c r="AB48" s="158"/>
      <c r="AC48" s="158"/>
      <c r="AD48" s="158"/>
      <c r="AE48" s="159"/>
      <c r="AF48" s="159"/>
      <c r="AG48" s="160"/>
      <c r="AH48" s="160"/>
      <c r="AK48" s="147"/>
      <c r="AL48" s="147"/>
      <c r="BJ48" s="142"/>
      <c r="BO48" s="142"/>
      <c r="BP48" s="145"/>
      <c r="BQ48" s="150"/>
      <c r="BS48" s="150"/>
      <c r="CB48" s="149"/>
      <c r="CC48" s="145"/>
      <c r="CD48" s="145"/>
      <c r="CE48" s="145"/>
      <c r="CG48" s="145"/>
      <c r="CH48" s="145"/>
      <c r="CI48" s="145"/>
      <c r="CJ48" s="148"/>
      <c r="CO48" s="150"/>
      <c r="CQ48" s="150"/>
      <c r="CR48" s="150"/>
      <c r="CS48" s="151"/>
      <c r="DI48" s="142"/>
      <c r="DJ48" s="145"/>
      <c r="DK48" s="145"/>
      <c r="DL48" s="145"/>
      <c r="DM48" s="145"/>
      <c r="DN48" s="145"/>
      <c r="DO48" s="145"/>
      <c r="DP48" s="145"/>
      <c r="DQ48" s="145"/>
      <c r="DR48" s="145"/>
      <c r="DS48" s="145"/>
      <c r="DT48" s="145"/>
      <c r="DU48" s="145"/>
      <c r="DV48" s="145"/>
      <c r="DW48" s="148"/>
      <c r="EC48" s="150"/>
      <c r="EO48" s="152"/>
      <c r="EP48" s="152"/>
      <c r="EQ48" s="145"/>
      <c r="ER48" s="145"/>
      <c r="ES48" s="145"/>
      <c r="EX48" s="152"/>
      <c r="EY48" s="152"/>
      <c r="FE48" s="153"/>
      <c r="FG48" s="145"/>
      <c r="FH48" s="145"/>
      <c r="FI48" s="154"/>
      <c r="FL48" s="161"/>
      <c r="FM48" s="162"/>
      <c r="FN48" s="162"/>
    </row>
    <row r="49" spans="2:170" ht="16" x14ac:dyDescent="0.2">
      <c r="B49" s="144"/>
      <c r="C49" s="138"/>
      <c r="G49" s="148"/>
      <c r="J49" s="154"/>
      <c r="K49" s="154"/>
      <c r="L49" s="154"/>
      <c r="Y49" s="139"/>
      <c r="Z49" s="144"/>
      <c r="AB49" s="158"/>
      <c r="AC49" s="158"/>
      <c r="AD49" s="158"/>
      <c r="AE49" s="159"/>
      <c r="AF49" s="159"/>
      <c r="AG49" s="160"/>
      <c r="AH49" s="160"/>
      <c r="AK49" s="147"/>
      <c r="AL49" s="147"/>
      <c r="BJ49" s="142"/>
      <c r="BO49" s="142"/>
      <c r="BP49" s="145"/>
      <c r="BQ49" s="150"/>
      <c r="BS49" s="150"/>
      <c r="CB49" s="149"/>
      <c r="CC49" s="145"/>
      <c r="CD49" s="145"/>
      <c r="CE49" s="145"/>
      <c r="CG49" s="145"/>
      <c r="CH49" s="145"/>
      <c r="CI49" s="145"/>
      <c r="CJ49" s="148"/>
      <c r="CO49" s="150"/>
      <c r="CQ49" s="150"/>
      <c r="CR49" s="150"/>
      <c r="CS49" s="151"/>
      <c r="DI49" s="142"/>
      <c r="DJ49" s="145"/>
      <c r="DK49" s="145"/>
      <c r="DL49" s="145"/>
      <c r="DM49" s="145"/>
      <c r="DN49" s="145"/>
      <c r="DO49" s="145"/>
      <c r="DP49" s="145"/>
      <c r="DQ49" s="145"/>
      <c r="DR49" s="145"/>
      <c r="DS49" s="145"/>
      <c r="DT49" s="145"/>
      <c r="DU49" s="145"/>
      <c r="DV49" s="145"/>
      <c r="DW49" s="148"/>
      <c r="EC49" s="150"/>
      <c r="EO49" s="152"/>
      <c r="EP49" s="152"/>
      <c r="EQ49" s="145"/>
      <c r="ER49" s="145"/>
      <c r="ES49" s="145"/>
      <c r="EX49" s="152"/>
      <c r="EY49" s="152"/>
      <c r="FE49" s="153"/>
      <c r="FG49" s="145"/>
      <c r="FH49" s="145"/>
      <c r="FI49" s="154"/>
      <c r="FL49" s="161"/>
      <c r="FM49" s="162"/>
      <c r="FN49" s="162"/>
    </row>
    <row r="50" spans="2:170" ht="16" x14ac:dyDescent="0.2">
      <c r="B50" s="144"/>
      <c r="C50" s="138"/>
      <c r="G50" s="148"/>
      <c r="J50" s="154"/>
      <c r="K50" s="154"/>
      <c r="L50" s="154"/>
      <c r="Y50" s="139"/>
      <c r="Z50" s="144"/>
      <c r="AB50" s="158"/>
      <c r="AC50" s="158"/>
      <c r="AD50" s="158"/>
      <c r="AE50" s="159"/>
      <c r="AF50" s="159"/>
      <c r="AG50" s="160"/>
      <c r="AH50" s="160"/>
      <c r="AK50" s="147"/>
      <c r="AL50" s="147"/>
      <c r="BJ50" s="142"/>
      <c r="BO50" s="142"/>
      <c r="BP50" s="145"/>
      <c r="BQ50" s="150"/>
      <c r="BS50" s="150"/>
      <c r="CB50" s="149"/>
      <c r="CC50" s="145"/>
      <c r="CD50" s="145"/>
      <c r="CE50" s="145"/>
      <c r="CG50" s="145"/>
      <c r="CH50" s="145"/>
      <c r="CI50" s="145"/>
      <c r="CJ50" s="148"/>
      <c r="CO50" s="150"/>
      <c r="CQ50" s="150"/>
      <c r="CR50" s="150"/>
      <c r="CS50" s="151"/>
      <c r="DI50" s="142"/>
      <c r="DJ50" s="145"/>
      <c r="DK50" s="145"/>
      <c r="DL50" s="145"/>
      <c r="DM50" s="145"/>
      <c r="DN50" s="145"/>
      <c r="DO50" s="145"/>
      <c r="DP50" s="145"/>
      <c r="DQ50" s="145"/>
      <c r="DR50" s="145"/>
      <c r="DS50" s="145"/>
      <c r="DT50" s="145"/>
      <c r="DU50" s="145"/>
      <c r="DV50" s="145"/>
      <c r="DW50" s="148"/>
      <c r="EC50" s="150"/>
      <c r="EO50" s="152"/>
      <c r="EP50" s="152"/>
      <c r="EQ50" s="145"/>
      <c r="ER50" s="145"/>
      <c r="ES50" s="145"/>
      <c r="EX50" s="152"/>
      <c r="EY50" s="152"/>
      <c r="FE50" s="153"/>
      <c r="FG50" s="145"/>
      <c r="FH50" s="145"/>
      <c r="FI50" s="154"/>
      <c r="FL50" s="161"/>
      <c r="FM50" s="162"/>
      <c r="FN50" s="162"/>
    </row>
    <row r="51" spans="2:170" ht="16" x14ac:dyDescent="0.2">
      <c r="B51" s="144"/>
      <c r="C51" s="138"/>
      <c r="G51" s="148"/>
      <c r="J51" s="154"/>
      <c r="K51" s="154"/>
      <c r="L51" s="154"/>
      <c r="Y51" s="139"/>
      <c r="Z51" s="144"/>
      <c r="AB51" s="158"/>
      <c r="AC51" s="158"/>
      <c r="AD51" s="158"/>
      <c r="AE51" s="159"/>
      <c r="AF51" s="159"/>
      <c r="AG51" s="160"/>
      <c r="AH51" s="160"/>
      <c r="AK51" s="147"/>
      <c r="AL51" s="147"/>
      <c r="BJ51" s="142"/>
      <c r="BO51" s="142"/>
      <c r="BP51" s="145"/>
      <c r="BQ51" s="150"/>
      <c r="BS51" s="150"/>
      <c r="CB51" s="149"/>
      <c r="CC51" s="145"/>
      <c r="CD51" s="145"/>
      <c r="CE51" s="145"/>
      <c r="CG51" s="145"/>
      <c r="CH51" s="145"/>
      <c r="CI51" s="145"/>
      <c r="CJ51" s="148"/>
      <c r="CO51" s="150"/>
      <c r="CQ51" s="150"/>
      <c r="CR51" s="150"/>
      <c r="CS51" s="151"/>
      <c r="DI51" s="142"/>
      <c r="DJ51" s="145"/>
      <c r="DK51" s="145"/>
      <c r="DL51" s="145"/>
      <c r="DM51" s="145"/>
      <c r="DN51" s="145"/>
      <c r="DO51" s="145"/>
      <c r="DP51" s="145"/>
      <c r="DQ51" s="145"/>
      <c r="DR51" s="145"/>
      <c r="DS51" s="145"/>
      <c r="DT51" s="145"/>
      <c r="DU51" s="145"/>
      <c r="DV51" s="145"/>
      <c r="DW51" s="148"/>
      <c r="EC51" s="150"/>
      <c r="EO51" s="152"/>
      <c r="EP51" s="152"/>
      <c r="EQ51" s="145"/>
      <c r="ER51" s="145"/>
      <c r="ES51" s="145"/>
      <c r="EX51" s="152"/>
      <c r="EY51" s="152"/>
      <c r="FE51" s="153"/>
      <c r="FG51" s="145"/>
      <c r="FH51" s="145"/>
      <c r="FI51" s="154"/>
      <c r="FL51" s="161"/>
      <c r="FM51" s="162"/>
      <c r="FN51" s="162"/>
    </row>
    <row r="52" spans="2:170" ht="16" x14ac:dyDescent="0.2">
      <c r="B52" s="144"/>
      <c r="C52" s="138"/>
      <c r="G52" s="148"/>
      <c r="J52" s="154"/>
      <c r="K52" s="154"/>
      <c r="L52" s="154"/>
      <c r="Y52" s="139"/>
      <c r="Z52" s="144"/>
      <c r="AB52" s="158"/>
      <c r="AC52" s="158"/>
      <c r="AD52" s="158"/>
      <c r="AE52" s="159"/>
      <c r="AF52" s="159"/>
      <c r="AG52" s="160"/>
      <c r="AH52" s="160"/>
      <c r="AK52" s="147"/>
      <c r="AL52" s="147"/>
      <c r="BJ52" s="142"/>
      <c r="BO52" s="142"/>
      <c r="BP52" s="145"/>
      <c r="BQ52" s="150"/>
      <c r="BS52" s="150"/>
      <c r="CB52" s="149"/>
      <c r="CC52" s="145"/>
      <c r="CD52" s="145"/>
      <c r="CE52" s="145"/>
      <c r="CG52" s="145"/>
      <c r="CH52" s="145"/>
      <c r="CI52" s="145"/>
      <c r="CJ52" s="148"/>
      <c r="CO52" s="150"/>
      <c r="CQ52" s="150"/>
      <c r="CR52" s="150"/>
      <c r="CS52" s="151"/>
      <c r="DI52" s="142"/>
      <c r="DJ52" s="145"/>
      <c r="DK52" s="145"/>
      <c r="DL52" s="145"/>
      <c r="DM52" s="145"/>
      <c r="DN52" s="145"/>
      <c r="DO52" s="145"/>
      <c r="DP52" s="145"/>
      <c r="DQ52" s="145"/>
      <c r="DR52" s="145"/>
      <c r="DS52" s="145"/>
      <c r="DT52" s="145"/>
      <c r="DU52" s="145"/>
      <c r="DV52" s="145"/>
      <c r="DW52" s="148"/>
      <c r="EC52" s="150"/>
      <c r="EO52" s="152"/>
      <c r="EP52" s="152"/>
      <c r="EQ52" s="145"/>
      <c r="ER52" s="145"/>
      <c r="ES52" s="145"/>
      <c r="EX52" s="152"/>
      <c r="EY52" s="152"/>
      <c r="FE52" s="153"/>
      <c r="FG52" s="145"/>
      <c r="FH52" s="145"/>
      <c r="FI52" s="154"/>
      <c r="FL52" s="161"/>
      <c r="FM52" s="162"/>
      <c r="FN52" s="162"/>
    </row>
    <row r="53" spans="2:170" ht="16" x14ac:dyDescent="0.2">
      <c r="B53" s="144"/>
      <c r="C53" s="138"/>
      <c r="G53" s="148"/>
      <c r="J53" s="154"/>
      <c r="K53" s="154"/>
      <c r="L53" s="154"/>
      <c r="Y53" s="139"/>
      <c r="Z53" s="144"/>
      <c r="AB53" s="163"/>
      <c r="AC53" s="163"/>
      <c r="AD53" s="163"/>
      <c r="AE53" s="164"/>
      <c r="AF53" s="164"/>
      <c r="AG53" s="165"/>
      <c r="AH53" s="165"/>
      <c r="AK53" s="147"/>
      <c r="AL53" s="147"/>
      <c r="BJ53" s="142"/>
      <c r="BO53" s="142"/>
      <c r="BP53" s="145"/>
      <c r="BQ53" s="150"/>
      <c r="BS53" s="150"/>
      <c r="CB53" s="149"/>
      <c r="CC53" s="145"/>
      <c r="CD53" s="145"/>
      <c r="CE53" s="145"/>
      <c r="CG53" s="145"/>
      <c r="CH53" s="145"/>
      <c r="CI53" s="145"/>
      <c r="CJ53" s="148"/>
      <c r="CO53" s="150"/>
      <c r="CQ53" s="150"/>
      <c r="CR53" s="150"/>
      <c r="CS53" s="151"/>
      <c r="DI53" s="142"/>
      <c r="DJ53" s="145"/>
      <c r="DK53" s="145"/>
      <c r="DL53" s="145"/>
      <c r="DM53" s="145"/>
      <c r="DN53" s="145"/>
      <c r="DO53" s="145"/>
      <c r="DP53" s="145"/>
      <c r="DQ53" s="145"/>
      <c r="DR53" s="145"/>
      <c r="DS53" s="145"/>
      <c r="DT53" s="145"/>
      <c r="DU53" s="145"/>
      <c r="DV53" s="145"/>
      <c r="DW53" s="148"/>
      <c r="EC53" s="150"/>
      <c r="EO53" s="152"/>
      <c r="EP53" s="152"/>
      <c r="EQ53" s="145"/>
      <c r="ER53" s="145"/>
      <c r="ES53" s="145"/>
      <c r="EX53" s="152"/>
      <c r="EY53" s="152"/>
      <c r="FE53" s="153"/>
      <c r="FG53" s="145"/>
      <c r="FH53" s="145"/>
      <c r="FI53" s="154"/>
      <c r="FL53" s="161"/>
      <c r="FM53" s="162"/>
      <c r="FN53" s="162"/>
    </row>
    <row r="54" spans="2:170" ht="16" x14ac:dyDescent="0.2">
      <c r="B54" s="144"/>
      <c r="C54" s="138"/>
      <c r="G54" s="148"/>
      <c r="J54" s="154"/>
      <c r="K54" s="154"/>
      <c r="L54" s="154"/>
      <c r="Y54" s="139"/>
      <c r="Z54" s="144"/>
      <c r="AB54" s="158"/>
      <c r="AC54" s="158"/>
      <c r="AD54" s="158"/>
      <c r="AE54" s="159"/>
      <c r="AF54" s="159"/>
      <c r="AG54" s="160"/>
      <c r="AH54" s="160"/>
      <c r="AK54" s="147"/>
      <c r="AL54" s="147"/>
      <c r="BJ54" s="142"/>
      <c r="BO54" s="142"/>
      <c r="BP54" s="145"/>
      <c r="BQ54" s="150"/>
      <c r="BS54" s="150"/>
      <c r="CB54" s="149"/>
      <c r="CC54" s="145"/>
      <c r="CD54" s="145"/>
      <c r="CE54" s="145"/>
      <c r="CG54" s="145"/>
      <c r="CH54" s="145"/>
      <c r="CI54" s="145"/>
      <c r="CJ54" s="148"/>
      <c r="CO54" s="150"/>
      <c r="CQ54" s="150"/>
      <c r="CR54" s="150"/>
      <c r="CS54" s="151"/>
      <c r="DI54" s="142"/>
      <c r="DJ54" s="145"/>
      <c r="DK54" s="145"/>
      <c r="DL54" s="145"/>
      <c r="DM54" s="145"/>
      <c r="DN54" s="145"/>
      <c r="DO54" s="145"/>
      <c r="DP54" s="145"/>
      <c r="DQ54" s="145"/>
      <c r="DR54" s="145"/>
      <c r="DS54" s="145"/>
      <c r="DT54" s="145"/>
      <c r="DU54" s="145"/>
      <c r="DV54" s="145"/>
      <c r="DW54" s="148"/>
      <c r="EC54" s="150"/>
      <c r="EO54" s="152"/>
      <c r="EP54" s="152"/>
      <c r="EQ54" s="145"/>
      <c r="ER54" s="145"/>
      <c r="ES54" s="145"/>
      <c r="EX54" s="152"/>
      <c r="EY54" s="152"/>
      <c r="FE54" s="153"/>
      <c r="FG54" s="145"/>
      <c r="FH54" s="145"/>
      <c r="FI54" s="154"/>
      <c r="FL54" s="161"/>
      <c r="FM54" s="162"/>
      <c r="FN54" s="162"/>
    </row>
    <row r="55" spans="2:170" ht="16" x14ac:dyDescent="0.2">
      <c r="B55" s="144"/>
      <c r="C55" s="138"/>
      <c r="G55" s="148"/>
      <c r="J55" s="154"/>
      <c r="K55" s="154"/>
      <c r="L55" s="154"/>
      <c r="Y55" s="139"/>
      <c r="Z55" s="144"/>
      <c r="AB55" s="158"/>
      <c r="AC55" s="158"/>
      <c r="AD55" s="158"/>
      <c r="AE55" s="159"/>
      <c r="AF55" s="159"/>
      <c r="AG55" s="160"/>
      <c r="AH55" s="160"/>
      <c r="AK55" s="147"/>
      <c r="AL55" s="147"/>
      <c r="BJ55" s="142"/>
      <c r="BO55" s="142"/>
      <c r="BP55" s="145"/>
      <c r="BQ55" s="150"/>
      <c r="BS55" s="150"/>
      <c r="CB55" s="149"/>
      <c r="CC55" s="145"/>
      <c r="CD55" s="145"/>
      <c r="CE55" s="145"/>
      <c r="CG55" s="145"/>
      <c r="CH55" s="145"/>
      <c r="CI55" s="145"/>
      <c r="CJ55" s="148"/>
      <c r="CO55" s="150"/>
      <c r="CQ55" s="150"/>
      <c r="CR55" s="150"/>
      <c r="CS55" s="151"/>
      <c r="DI55" s="142"/>
      <c r="DJ55" s="145"/>
      <c r="DK55" s="145"/>
      <c r="DL55" s="145"/>
      <c r="DM55" s="145"/>
      <c r="DN55" s="145"/>
      <c r="DO55" s="145"/>
      <c r="DP55" s="145"/>
      <c r="DQ55" s="145"/>
      <c r="DR55" s="145"/>
      <c r="DS55" s="145"/>
      <c r="DT55" s="145"/>
      <c r="DU55" s="145"/>
      <c r="DV55" s="145"/>
      <c r="DW55" s="148"/>
      <c r="EC55" s="150"/>
      <c r="EO55" s="152"/>
      <c r="EP55" s="152"/>
      <c r="EQ55" s="145"/>
      <c r="ER55" s="145"/>
      <c r="ES55" s="145"/>
      <c r="EX55" s="152"/>
      <c r="EY55" s="152"/>
      <c r="FE55" s="153"/>
      <c r="FG55" s="145"/>
      <c r="FH55" s="145"/>
      <c r="FI55" s="154"/>
      <c r="FL55" s="161"/>
      <c r="FM55" s="162"/>
      <c r="FN55" s="162"/>
    </row>
    <row r="56" spans="2:170" ht="16" x14ac:dyDescent="0.2">
      <c r="B56" s="144"/>
      <c r="C56" s="138"/>
      <c r="G56" s="148"/>
      <c r="J56" s="154"/>
      <c r="K56" s="154"/>
      <c r="L56" s="154"/>
      <c r="Y56" s="139"/>
      <c r="Z56" s="144"/>
      <c r="AB56" s="158"/>
      <c r="AC56" s="158"/>
      <c r="AD56" s="158"/>
      <c r="AE56" s="159"/>
      <c r="AF56" s="159"/>
      <c r="AG56" s="160"/>
      <c r="AH56" s="160"/>
      <c r="AK56" s="147"/>
      <c r="AL56" s="147"/>
      <c r="BJ56" s="142"/>
      <c r="BO56" s="142"/>
      <c r="BP56" s="145"/>
      <c r="BQ56" s="150"/>
      <c r="BS56" s="150"/>
      <c r="CB56" s="149"/>
      <c r="CC56" s="145"/>
      <c r="CD56" s="145"/>
      <c r="CE56" s="145"/>
      <c r="CG56" s="145"/>
      <c r="CH56" s="145"/>
      <c r="CI56" s="145"/>
      <c r="CJ56" s="148"/>
      <c r="CO56" s="150"/>
      <c r="CQ56" s="150"/>
      <c r="CR56" s="150"/>
      <c r="CS56" s="151"/>
      <c r="DI56" s="142"/>
      <c r="DJ56" s="145"/>
      <c r="DK56" s="145"/>
      <c r="DL56" s="145"/>
      <c r="DM56" s="145"/>
      <c r="DN56" s="145"/>
      <c r="DO56" s="145"/>
      <c r="DP56" s="145"/>
      <c r="DQ56" s="145"/>
      <c r="DR56" s="145"/>
      <c r="DS56" s="145"/>
      <c r="DT56" s="145"/>
      <c r="DU56" s="145"/>
      <c r="DV56" s="145"/>
      <c r="DW56" s="148"/>
      <c r="EC56" s="150"/>
      <c r="EO56" s="152"/>
      <c r="EP56" s="152"/>
      <c r="EQ56" s="145"/>
      <c r="ER56" s="145"/>
      <c r="ES56" s="145"/>
      <c r="EX56" s="152"/>
      <c r="EY56" s="152"/>
      <c r="FE56" s="153"/>
      <c r="FG56" s="145"/>
      <c r="FH56" s="145"/>
      <c r="FI56" s="154"/>
      <c r="FL56" s="161"/>
      <c r="FM56" s="162"/>
      <c r="FN56" s="162"/>
    </row>
    <row r="57" spans="2:170" ht="16" x14ac:dyDescent="0.2">
      <c r="B57" s="144"/>
      <c r="C57" s="138"/>
      <c r="G57" s="148"/>
      <c r="J57" s="154"/>
      <c r="K57" s="154"/>
      <c r="L57" s="154"/>
      <c r="Y57" s="139"/>
      <c r="Z57" s="144"/>
      <c r="AB57" s="158"/>
      <c r="AC57" s="158"/>
      <c r="AD57" s="158"/>
      <c r="AE57" s="159"/>
      <c r="AF57" s="159"/>
      <c r="AG57" s="160"/>
      <c r="AH57" s="160"/>
      <c r="AK57" s="147"/>
      <c r="AL57" s="147"/>
      <c r="BJ57" s="142"/>
      <c r="BO57" s="142"/>
      <c r="BP57" s="145"/>
      <c r="BQ57" s="150"/>
      <c r="BS57" s="150"/>
      <c r="CB57" s="149"/>
      <c r="CC57" s="145"/>
      <c r="CD57" s="145"/>
      <c r="CE57" s="145"/>
      <c r="CG57" s="145"/>
      <c r="CH57" s="145"/>
      <c r="CI57" s="145"/>
      <c r="CJ57" s="148"/>
      <c r="CO57" s="150"/>
      <c r="CQ57" s="150"/>
      <c r="CR57" s="150"/>
      <c r="CS57" s="151"/>
      <c r="DI57" s="142"/>
      <c r="DJ57" s="145"/>
      <c r="DK57" s="145"/>
      <c r="DL57" s="145"/>
      <c r="DM57" s="145"/>
      <c r="DN57" s="145"/>
      <c r="DO57" s="145"/>
      <c r="DP57" s="145"/>
      <c r="DQ57" s="145"/>
      <c r="DR57" s="145"/>
      <c r="DS57" s="145"/>
      <c r="DT57" s="145"/>
      <c r="DU57" s="145"/>
      <c r="DV57" s="145"/>
      <c r="DW57" s="148"/>
      <c r="EC57" s="150"/>
      <c r="EO57" s="152"/>
      <c r="EP57" s="152"/>
      <c r="EQ57" s="145"/>
      <c r="ER57" s="145"/>
      <c r="ES57" s="145"/>
      <c r="EX57" s="152"/>
      <c r="EY57" s="152"/>
      <c r="FE57" s="153"/>
      <c r="FG57" s="145"/>
      <c r="FH57" s="145"/>
      <c r="FI57" s="154"/>
      <c r="FL57" s="161"/>
      <c r="FM57" s="162"/>
      <c r="FN57" s="162"/>
    </row>
    <row r="58" spans="2:170" ht="16" x14ac:dyDescent="0.2">
      <c r="B58" s="144"/>
      <c r="C58" s="138"/>
      <c r="G58" s="148"/>
      <c r="J58" s="154"/>
      <c r="K58" s="154"/>
      <c r="L58" s="154"/>
      <c r="Y58" s="139"/>
      <c r="Z58" s="144"/>
      <c r="AB58" s="158"/>
      <c r="AC58" s="158"/>
      <c r="AD58" s="158"/>
      <c r="AE58" s="159"/>
      <c r="AF58" s="159"/>
      <c r="AG58" s="160"/>
      <c r="AH58" s="160"/>
      <c r="AK58" s="147"/>
      <c r="AL58" s="147"/>
      <c r="BJ58" s="142"/>
      <c r="BO58" s="142"/>
      <c r="BP58" s="145"/>
      <c r="BQ58" s="150"/>
      <c r="BS58" s="150"/>
      <c r="CB58" s="149"/>
      <c r="CC58" s="145"/>
      <c r="CD58" s="145"/>
      <c r="CE58" s="145"/>
      <c r="CG58" s="145"/>
      <c r="CH58" s="145"/>
      <c r="CI58" s="145"/>
      <c r="CJ58" s="148"/>
      <c r="CO58" s="150"/>
      <c r="CQ58" s="150"/>
      <c r="CR58" s="150"/>
      <c r="CS58" s="151"/>
      <c r="DI58" s="142"/>
      <c r="DJ58" s="145"/>
      <c r="DK58" s="145"/>
      <c r="DL58" s="145"/>
      <c r="DM58" s="145"/>
      <c r="DN58" s="145"/>
      <c r="DO58" s="145"/>
      <c r="DP58" s="145"/>
      <c r="DQ58" s="145"/>
      <c r="DR58" s="145"/>
      <c r="DS58" s="145"/>
      <c r="DT58" s="145"/>
      <c r="DU58" s="145"/>
      <c r="DV58" s="145"/>
      <c r="DW58" s="148"/>
      <c r="EC58" s="150"/>
      <c r="EO58" s="152"/>
      <c r="EP58" s="152"/>
      <c r="EQ58" s="145"/>
      <c r="ER58" s="145"/>
      <c r="ES58" s="145"/>
      <c r="EX58" s="152"/>
      <c r="EY58" s="152"/>
      <c r="FE58" s="153"/>
      <c r="FG58" s="145"/>
      <c r="FH58" s="145"/>
      <c r="FI58" s="154"/>
      <c r="FL58" s="161"/>
      <c r="FM58" s="162"/>
      <c r="FN58" s="162"/>
    </row>
    <row r="59" spans="2:170" ht="16" x14ac:dyDescent="0.2">
      <c r="B59" s="144"/>
      <c r="C59" s="138"/>
      <c r="G59" s="148"/>
      <c r="J59" s="154"/>
      <c r="K59" s="154"/>
      <c r="L59" s="154"/>
      <c r="Y59" s="139"/>
      <c r="Z59" s="144"/>
      <c r="AB59" s="158"/>
      <c r="AC59" s="158"/>
      <c r="AD59" s="158"/>
      <c r="AE59" s="159"/>
      <c r="AF59" s="159"/>
      <c r="AG59" s="160"/>
      <c r="AH59" s="160"/>
      <c r="AK59" s="147"/>
      <c r="AL59" s="147"/>
      <c r="BJ59" s="142"/>
      <c r="BO59" s="142"/>
      <c r="BP59" s="145"/>
      <c r="BQ59" s="150"/>
      <c r="BS59" s="150"/>
      <c r="CB59" s="149"/>
      <c r="CC59" s="145"/>
      <c r="CD59" s="145"/>
      <c r="CE59" s="145"/>
      <c r="CG59" s="145"/>
      <c r="CH59" s="145"/>
      <c r="CI59" s="145"/>
      <c r="CJ59" s="148"/>
      <c r="CO59" s="150"/>
      <c r="CQ59" s="150"/>
      <c r="CR59" s="150"/>
      <c r="CS59" s="151"/>
      <c r="DI59" s="142"/>
      <c r="DJ59" s="145"/>
      <c r="DK59" s="145"/>
      <c r="DL59" s="145"/>
      <c r="DM59" s="145"/>
      <c r="DN59" s="145"/>
      <c r="DO59" s="145"/>
      <c r="DP59" s="145"/>
      <c r="DQ59" s="145"/>
      <c r="DR59" s="145"/>
      <c r="DS59" s="145"/>
      <c r="DT59" s="145"/>
      <c r="DU59" s="145"/>
      <c r="DV59" s="145"/>
      <c r="DW59" s="148"/>
      <c r="EC59" s="150"/>
      <c r="EO59" s="152"/>
      <c r="EP59" s="152"/>
      <c r="EQ59" s="145"/>
      <c r="ER59" s="145"/>
      <c r="ES59" s="145"/>
      <c r="EX59" s="152"/>
      <c r="EY59" s="152"/>
      <c r="FE59" s="153"/>
      <c r="FG59" s="145"/>
      <c r="FH59" s="145"/>
      <c r="FI59" s="154"/>
      <c r="FL59" s="161"/>
      <c r="FM59" s="162"/>
      <c r="FN59" s="162"/>
    </row>
    <row r="60" spans="2:170" ht="16" x14ac:dyDescent="0.2">
      <c r="B60" s="144"/>
      <c r="C60" s="138"/>
      <c r="G60" s="148"/>
      <c r="J60" s="154"/>
      <c r="K60" s="154"/>
      <c r="L60" s="154"/>
      <c r="Y60" s="139"/>
      <c r="Z60" s="144"/>
      <c r="AB60" s="158"/>
      <c r="AC60" s="158"/>
      <c r="AD60" s="158"/>
      <c r="AE60" s="159"/>
      <c r="AF60" s="159"/>
      <c r="AG60" s="160"/>
      <c r="AH60" s="160"/>
      <c r="AK60" s="147"/>
      <c r="AL60" s="147"/>
      <c r="BJ60" s="142"/>
      <c r="BO60" s="142"/>
      <c r="BP60" s="145"/>
      <c r="BQ60" s="150"/>
      <c r="BS60" s="150"/>
      <c r="CB60" s="149"/>
      <c r="CC60" s="145"/>
      <c r="CD60" s="145"/>
      <c r="CE60" s="145"/>
      <c r="CG60" s="145"/>
      <c r="CH60" s="145"/>
      <c r="CI60" s="145"/>
      <c r="CJ60" s="148"/>
      <c r="CO60" s="150"/>
      <c r="CQ60" s="150"/>
      <c r="CR60" s="150"/>
      <c r="CS60" s="151"/>
      <c r="DI60" s="142"/>
      <c r="DJ60" s="145"/>
      <c r="DK60" s="145"/>
      <c r="DL60" s="145"/>
      <c r="DM60" s="145"/>
      <c r="DN60" s="145"/>
      <c r="DO60" s="145"/>
      <c r="DP60" s="145"/>
      <c r="DQ60" s="145"/>
      <c r="DR60" s="145"/>
      <c r="DS60" s="145"/>
      <c r="DT60" s="145"/>
      <c r="DU60" s="145"/>
      <c r="DV60" s="145"/>
      <c r="DW60" s="148"/>
      <c r="EC60" s="150"/>
      <c r="EO60" s="152"/>
      <c r="EP60" s="152"/>
      <c r="EQ60" s="145"/>
      <c r="ER60" s="145"/>
      <c r="ES60" s="145"/>
      <c r="EX60" s="152"/>
      <c r="EY60" s="152"/>
      <c r="FE60" s="153"/>
      <c r="FG60" s="145"/>
      <c r="FH60" s="145"/>
      <c r="FI60" s="154"/>
      <c r="FL60" s="161"/>
      <c r="FM60" s="162"/>
      <c r="FN60" s="162"/>
    </row>
    <row r="61" spans="2:170" ht="16" x14ac:dyDescent="0.2">
      <c r="B61" s="144"/>
      <c r="C61" s="138"/>
      <c r="G61" s="148"/>
      <c r="J61" s="154"/>
      <c r="K61" s="154"/>
      <c r="L61" s="154"/>
      <c r="Y61" s="139"/>
      <c r="Z61" s="144"/>
      <c r="AB61" s="158"/>
      <c r="AC61" s="158"/>
      <c r="AD61" s="158"/>
      <c r="AE61" s="159"/>
      <c r="AF61" s="159"/>
      <c r="AG61" s="160"/>
      <c r="AH61" s="160"/>
      <c r="AK61" s="147"/>
      <c r="AL61" s="147"/>
      <c r="BJ61" s="142"/>
      <c r="BO61" s="142"/>
      <c r="BP61" s="145"/>
      <c r="BQ61" s="150"/>
      <c r="BS61" s="150"/>
      <c r="CB61" s="149"/>
      <c r="CC61" s="145"/>
      <c r="CD61" s="145"/>
      <c r="CE61" s="145"/>
      <c r="CG61" s="145"/>
      <c r="CH61" s="145"/>
      <c r="CI61" s="145"/>
      <c r="CJ61" s="148"/>
      <c r="CO61" s="150"/>
      <c r="CQ61" s="150"/>
      <c r="CR61" s="150"/>
      <c r="CS61" s="151"/>
      <c r="DI61" s="142"/>
      <c r="DJ61" s="145"/>
      <c r="DK61" s="145"/>
      <c r="DL61" s="145"/>
      <c r="DM61" s="145"/>
      <c r="DN61" s="145"/>
      <c r="DO61" s="145"/>
      <c r="DP61" s="145"/>
      <c r="DQ61" s="145"/>
      <c r="DR61" s="145"/>
      <c r="DS61" s="145"/>
      <c r="DT61" s="145"/>
      <c r="DU61" s="145"/>
      <c r="DV61" s="145"/>
      <c r="DW61" s="148"/>
      <c r="EC61" s="150"/>
      <c r="EO61" s="152"/>
      <c r="EP61" s="152"/>
      <c r="EQ61" s="145"/>
      <c r="ER61" s="145"/>
      <c r="ES61" s="145"/>
      <c r="EX61" s="152"/>
      <c r="EY61" s="152"/>
      <c r="FE61" s="153"/>
      <c r="FG61" s="145"/>
      <c r="FH61" s="145"/>
      <c r="FI61" s="154"/>
      <c r="FL61" s="161"/>
      <c r="FM61" s="162"/>
      <c r="FN61" s="162"/>
    </row>
    <row r="62" spans="2:170" ht="16" x14ac:dyDescent="0.2">
      <c r="B62" s="144"/>
      <c r="C62" s="138"/>
      <c r="G62" s="148"/>
      <c r="J62" s="154"/>
      <c r="K62" s="154"/>
      <c r="L62" s="154"/>
      <c r="Y62" s="139"/>
      <c r="Z62" s="144"/>
      <c r="AB62" s="158"/>
      <c r="AC62" s="158"/>
      <c r="AD62" s="158"/>
      <c r="AE62" s="159"/>
      <c r="AF62" s="159"/>
      <c r="AG62" s="160"/>
      <c r="AH62" s="160"/>
      <c r="AK62" s="147"/>
      <c r="AL62" s="147"/>
      <c r="BJ62" s="142"/>
      <c r="BO62" s="142"/>
      <c r="BP62" s="145"/>
      <c r="BQ62" s="150"/>
      <c r="BS62" s="150"/>
      <c r="CB62" s="149"/>
      <c r="CC62" s="145"/>
      <c r="CD62" s="145"/>
      <c r="CE62" s="145"/>
      <c r="CG62" s="145"/>
      <c r="CH62" s="145"/>
      <c r="CI62" s="145"/>
      <c r="CJ62" s="148"/>
      <c r="CO62" s="150"/>
      <c r="CQ62" s="150"/>
      <c r="CR62" s="150"/>
      <c r="CS62" s="151"/>
      <c r="DI62" s="142"/>
      <c r="DJ62" s="145"/>
      <c r="DK62" s="145"/>
      <c r="DL62" s="145"/>
      <c r="DM62" s="145"/>
      <c r="DN62" s="145"/>
      <c r="DO62" s="145"/>
      <c r="DP62" s="145"/>
      <c r="DQ62" s="145"/>
      <c r="DR62" s="145"/>
      <c r="DS62" s="145"/>
      <c r="DT62" s="145"/>
      <c r="DU62" s="145"/>
      <c r="DV62" s="145"/>
      <c r="DW62" s="148"/>
      <c r="EC62" s="150"/>
      <c r="EO62" s="152"/>
      <c r="EP62" s="152"/>
      <c r="EQ62" s="145"/>
      <c r="ER62" s="145"/>
      <c r="ES62" s="145"/>
      <c r="EX62" s="152"/>
      <c r="EY62" s="152"/>
      <c r="FE62" s="153"/>
      <c r="FG62" s="145"/>
      <c r="FH62" s="145"/>
      <c r="FI62" s="154"/>
      <c r="FL62" s="161"/>
      <c r="FM62" s="162"/>
      <c r="FN62" s="162"/>
    </row>
    <row r="63" spans="2:170" ht="16" x14ac:dyDescent="0.2">
      <c r="B63" s="144"/>
      <c r="C63" s="138"/>
      <c r="G63" s="148"/>
      <c r="J63" s="154"/>
      <c r="K63" s="154"/>
      <c r="L63" s="154"/>
      <c r="Y63" s="139"/>
      <c r="Z63" s="144"/>
      <c r="AB63" s="158"/>
      <c r="AC63" s="158"/>
      <c r="AD63" s="158"/>
      <c r="AE63" s="159"/>
      <c r="AF63" s="159"/>
      <c r="AG63" s="160"/>
      <c r="AH63" s="160"/>
      <c r="AK63" s="147"/>
      <c r="AL63" s="147"/>
      <c r="BJ63" s="142"/>
      <c r="BO63" s="142"/>
      <c r="BP63" s="145"/>
      <c r="BQ63" s="150"/>
      <c r="BS63" s="150"/>
      <c r="CB63" s="149"/>
      <c r="CC63" s="145"/>
      <c r="CD63" s="145"/>
      <c r="CE63" s="145"/>
      <c r="CG63" s="145"/>
      <c r="CH63" s="145"/>
      <c r="CI63" s="145"/>
      <c r="CJ63" s="148"/>
      <c r="CO63" s="150"/>
      <c r="CQ63" s="150"/>
      <c r="CR63" s="150"/>
      <c r="CS63" s="151"/>
      <c r="DI63" s="142"/>
      <c r="DJ63" s="145"/>
      <c r="DK63" s="145"/>
      <c r="DL63" s="145"/>
      <c r="DM63" s="145"/>
      <c r="DN63" s="145"/>
      <c r="DO63" s="145"/>
      <c r="DP63" s="145"/>
      <c r="DQ63" s="145"/>
      <c r="DR63" s="145"/>
      <c r="DS63" s="145"/>
      <c r="DT63" s="145"/>
      <c r="DU63" s="145"/>
      <c r="DV63" s="145"/>
      <c r="DW63" s="148"/>
      <c r="EC63" s="150"/>
      <c r="EO63" s="152"/>
      <c r="EP63" s="152"/>
      <c r="EQ63" s="145"/>
      <c r="ER63" s="145"/>
      <c r="ES63" s="145"/>
      <c r="EX63" s="152"/>
      <c r="EY63" s="152"/>
      <c r="FE63" s="153"/>
      <c r="FG63" s="145"/>
      <c r="FH63" s="145"/>
      <c r="FI63" s="154"/>
      <c r="FL63" s="161"/>
      <c r="FM63" s="162"/>
      <c r="FN63" s="162"/>
    </row>
    <row r="64" spans="2:170" ht="16" x14ac:dyDescent="0.2">
      <c r="B64" s="144"/>
      <c r="C64" s="138"/>
      <c r="G64" s="148"/>
      <c r="J64" s="154"/>
      <c r="K64" s="154"/>
      <c r="L64" s="154"/>
      <c r="Y64" s="139"/>
      <c r="Z64" s="144"/>
      <c r="AB64" s="158"/>
      <c r="AC64" s="158"/>
      <c r="AD64" s="158"/>
      <c r="AE64" s="159"/>
      <c r="AF64" s="159"/>
      <c r="AG64" s="160"/>
      <c r="AH64" s="160"/>
      <c r="AK64" s="147"/>
      <c r="AL64" s="147"/>
      <c r="BJ64" s="142"/>
      <c r="BO64" s="142"/>
      <c r="BP64" s="145"/>
      <c r="BQ64" s="150"/>
      <c r="BS64" s="150"/>
      <c r="CB64" s="149"/>
      <c r="CC64" s="145"/>
      <c r="CD64" s="145"/>
      <c r="CE64" s="145"/>
      <c r="CG64" s="145"/>
      <c r="CH64" s="145"/>
      <c r="CI64" s="145"/>
      <c r="CJ64" s="148"/>
      <c r="CO64" s="150"/>
      <c r="CQ64" s="150"/>
      <c r="CR64" s="150"/>
      <c r="CS64" s="151"/>
      <c r="DI64" s="142"/>
      <c r="DJ64" s="145"/>
      <c r="DK64" s="145"/>
      <c r="DL64" s="145"/>
      <c r="DM64" s="145"/>
      <c r="DN64" s="145"/>
      <c r="DO64" s="145"/>
      <c r="DP64" s="145"/>
      <c r="DQ64" s="145"/>
      <c r="DR64" s="145"/>
      <c r="DS64" s="145"/>
      <c r="DT64" s="145"/>
      <c r="DU64" s="145"/>
      <c r="DV64" s="145"/>
      <c r="DW64" s="148"/>
      <c r="EC64" s="150"/>
      <c r="EO64" s="152"/>
      <c r="EP64" s="152"/>
      <c r="EQ64" s="145"/>
      <c r="ER64" s="145"/>
      <c r="ES64" s="145"/>
      <c r="EX64" s="152"/>
      <c r="EY64" s="152"/>
      <c r="FE64" s="153"/>
      <c r="FG64" s="145"/>
      <c r="FH64" s="145"/>
      <c r="FI64" s="154"/>
      <c r="FL64" s="161"/>
      <c r="FM64" s="162"/>
      <c r="FN64" s="162"/>
    </row>
    <row r="65" spans="2:170" ht="16" x14ac:dyDescent="0.2">
      <c r="B65" s="144"/>
      <c r="C65" s="138"/>
      <c r="G65" s="148"/>
      <c r="J65" s="154"/>
      <c r="K65" s="154"/>
      <c r="L65" s="154"/>
      <c r="Y65" s="139"/>
      <c r="Z65" s="144"/>
      <c r="AB65" s="158"/>
      <c r="AC65" s="158"/>
      <c r="AD65" s="158"/>
      <c r="AE65" s="159"/>
      <c r="AF65" s="159"/>
      <c r="AG65" s="160"/>
      <c r="AH65" s="160"/>
      <c r="AK65" s="147"/>
      <c r="AL65" s="147"/>
      <c r="BJ65" s="142"/>
      <c r="BO65" s="142"/>
      <c r="BP65" s="145"/>
      <c r="BQ65" s="150"/>
      <c r="BS65" s="150"/>
      <c r="CB65" s="149"/>
      <c r="CC65" s="145"/>
      <c r="CD65" s="145"/>
      <c r="CE65" s="145"/>
      <c r="CG65" s="145"/>
      <c r="CH65" s="145"/>
      <c r="CI65" s="145"/>
      <c r="CJ65" s="148"/>
      <c r="CO65" s="150"/>
      <c r="CQ65" s="150"/>
      <c r="CR65" s="150"/>
      <c r="CS65" s="151"/>
      <c r="DI65" s="142"/>
      <c r="DJ65" s="145"/>
      <c r="DK65" s="145"/>
      <c r="DL65" s="145"/>
      <c r="DM65" s="145"/>
      <c r="DN65" s="145"/>
      <c r="DO65" s="145"/>
      <c r="DP65" s="145"/>
      <c r="DQ65" s="145"/>
      <c r="DR65" s="145"/>
      <c r="DS65" s="145"/>
      <c r="DT65" s="145"/>
      <c r="DU65" s="145"/>
      <c r="DV65" s="145"/>
      <c r="DW65" s="148"/>
      <c r="EC65" s="150"/>
      <c r="EO65" s="152"/>
      <c r="EP65" s="152"/>
      <c r="EQ65" s="145"/>
      <c r="ER65" s="145"/>
      <c r="ES65" s="145"/>
      <c r="EX65" s="152"/>
      <c r="EY65" s="152"/>
      <c r="FE65" s="153"/>
      <c r="FG65" s="145"/>
      <c r="FH65" s="145"/>
      <c r="FI65" s="154"/>
      <c r="FL65" s="161"/>
      <c r="FM65" s="162"/>
      <c r="FN65" s="162"/>
    </row>
    <row r="66" spans="2:170" ht="16" x14ac:dyDescent="0.2">
      <c r="B66" s="144"/>
      <c r="C66" s="138"/>
      <c r="G66" s="148"/>
      <c r="J66" s="154"/>
      <c r="K66" s="154"/>
      <c r="L66" s="154"/>
      <c r="Y66" s="139"/>
      <c r="Z66" s="144"/>
      <c r="AB66" s="158"/>
      <c r="AC66" s="158"/>
      <c r="AD66" s="158"/>
      <c r="AE66" s="159"/>
      <c r="AF66" s="159"/>
      <c r="AG66" s="160"/>
      <c r="AH66" s="160"/>
      <c r="AK66" s="147"/>
      <c r="AL66" s="147"/>
      <c r="BJ66" s="142"/>
      <c r="BO66" s="142"/>
      <c r="BP66" s="145"/>
      <c r="BQ66" s="150"/>
      <c r="BS66" s="150"/>
      <c r="CB66" s="149"/>
      <c r="CC66" s="145"/>
      <c r="CD66" s="145"/>
      <c r="CE66" s="145"/>
      <c r="CG66" s="145"/>
      <c r="CH66" s="145"/>
      <c r="CI66" s="145"/>
      <c r="CJ66" s="148"/>
      <c r="CO66" s="150"/>
      <c r="CQ66" s="150"/>
      <c r="CR66" s="150"/>
      <c r="CS66" s="151"/>
      <c r="DI66" s="142"/>
      <c r="DJ66" s="145"/>
      <c r="DK66" s="145"/>
      <c r="DL66" s="145"/>
      <c r="DM66" s="145"/>
      <c r="DN66" s="145"/>
      <c r="DO66" s="145"/>
      <c r="DP66" s="145"/>
      <c r="DQ66" s="145"/>
      <c r="DR66" s="145"/>
      <c r="DS66" s="145"/>
      <c r="DT66" s="145"/>
      <c r="DU66" s="145"/>
      <c r="DV66" s="145"/>
      <c r="DW66" s="148"/>
      <c r="EC66" s="150"/>
      <c r="EO66" s="152"/>
      <c r="EP66" s="152"/>
      <c r="EQ66" s="145"/>
      <c r="ER66" s="145"/>
      <c r="ES66" s="145"/>
      <c r="EX66" s="152"/>
      <c r="EY66" s="152"/>
      <c r="FE66" s="153"/>
      <c r="FG66" s="145"/>
      <c r="FH66" s="145"/>
      <c r="FI66" s="154"/>
      <c r="FL66" s="161"/>
      <c r="FM66" s="162"/>
      <c r="FN66" s="162"/>
    </row>
    <row r="67" spans="2:170" ht="16" x14ac:dyDescent="0.2">
      <c r="B67" s="144"/>
      <c r="C67" s="138"/>
      <c r="G67" s="148"/>
      <c r="J67" s="154"/>
      <c r="K67" s="154"/>
      <c r="L67" s="154"/>
      <c r="Y67" s="139"/>
      <c r="Z67" s="144"/>
      <c r="AB67" s="158"/>
      <c r="AC67" s="158"/>
      <c r="AD67" s="158"/>
      <c r="AE67" s="159"/>
      <c r="AF67" s="159"/>
      <c r="AG67" s="160"/>
      <c r="AH67" s="160"/>
      <c r="AK67" s="147"/>
      <c r="AL67" s="147"/>
      <c r="BJ67" s="142"/>
      <c r="BO67" s="142"/>
      <c r="BP67" s="145"/>
      <c r="BQ67" s="150"/>
      <c r="BS67" s="150"/>
      <c r="CB67" s="149"/>
      <c r="CC67" s="145"/>
      <c r="CD67" s="145"/>
      <c r="CE67" s="145"/>
      <c r="CG67" s="145"/>
      <c r="CH67" s="145"/>
      <c r="CI67" s="145"/>
      <c r="CJ67" s="148"/>
      <c r="CO67" s="150"/>
      <c r="CQ67" s="150"/>
      <c r="CR67" s="150"/>
      <c r="CS67" s="151"/>
      <c r="DI67" s="142"/>
      <c r="DJ67" s="145"/>
      <c r="DK67" s="145"/>
      <c r="DL67" s="145"/>
      <c r="DM67" s="145"/>
      <c r="DN67" s="145"/>
      <c r="DO67" s="145"/>
      <c r="DP67" s="145"/>
      <c r="DQ67" s="145"/>
      <c r="DR67" s="145"/>
      <c r="DS67" s="145"/>
      <c r="DT67" s="145"/>
      <c r="DU67" s="145"/>
      <c r="DV67" s="145"/>
      <c r="DW67" s="148"/>
      <c r="EC67" s="150"/>
      <c r="EO67" s="152"/>
      <c r="EP67" s="152"/>
      <c r="EQ67" s="145"/>
      <c r="ER67" s="145"/>
      <c r="ES67" s="145"/>
      <c r="EX67" s="152"/>
      <c r="EY67" s="152"/>
      <c r="FE67" s="153"/>
      <c r="FG67" s="145"/>
      <c r="FH67" s="145"/>
      <c r="FI67" s="154"/>
      <c r="FL67" s="161"/>
      <c r="FM67" s="162"/>
      <c r="FN67" s="162"/>
    </row>
    <row r="68" spans="2:170" ht="16" x14ac:dyDescent="0.2">
      <c r="B68" s="144"/>
      <c r="C68" s="138"/>
      <c r="G68" s="148"/>
      <c r="J68" s="154"/>
      <c r="K68" s="154"/>
      <c r="L68" s="154"/>
      <c r="Y68" s="139"/>
      <c r="Z68" s="144"/>
      <c r="AB68" s="158"/>
      <c r="AC68" s="158"/>
      <c r="AD68" s="158"/>
      <c r="AE68" s="159"/>
      <c r="AF68" s="159"/>
      <c r="AG68" s="160"/>
      <c r="AH68" s="160"/>
      <c r="AK68" s="147"/>
      <c r="AL68" s="147"/>
      <c r="BJ68" s="142"/>
      <c r="BO68" s="142"/>
      <c r="BP68" s="145"/>
      <c r="BQ68" s="150"/>
      <c r="BS68" s="150"/>
      <c r="CB68" s="149"/>
      <c r="CC68" s="145"/>
      <c r="CD68" s="145"/>
      <c r="CE68" s="145"/>
      <c r="CG68" s="145"/>
      <c r="CH68" s="145"/>
      <c r="CI68" s="145"/>
      <c r="CJ68" s="148"/>
      <c r="CO68" s="150"/>
      <c r="CQ68" s="150"/>
      <c r="CR68" s="150"/>
      <c r="CS68" s="151"/>
      <c r="DI68" s="142"/>
      <c r="DJ68" s="145"/>
      <c r="DK68" s="145"/>
      <c r="DL68" s="145"/>
      <c r="DM68" s="145"/>
      <c r="DN68" s="145"/>
      <c r="DO68" s="145"/>
      <c r="DP68" s="145"/>
      <c r="DQ68" s="145"/>
      <c r="DR68" s="145"/>
      <c r="DS68" s="145"/>
      <c r="DT68" s="145"/>
      <c r="DU68" s="145"/>
      <c r="DV68" s="145"/>
      <c r="DW68" s="148"/>
      <c r="EC68" s="150"/>
      <c r="EO68" s="152"/>
      <c r="EP68" s="152"/>
      <c r="EQ68" s="145"/>
      <c r="ER68" s="145"/>
      <c r="ES68" s="145"/>
      <c r="EX68" s="152"/>
      <c r="EY68" s="152"/>
      <c r="FE68" s="153"/>
      <c r="FG68" s="145"/>
      <c r="FH68" s="145"/>
      <c r="FI68" s="154"/>
      <c r="FL68" s="161"/>
      <c r="FM68" s="162"/>
      <c r="FN68" s="162"/>
    </row>
    <row r="69" spans="2:170" ht="16" x14ac:dyDescent="0.2">
      <c r="B69" s="144"/>
      <c r="C69" s="138"/>
      <c r="G69" s="148"/>
      <c r="J69" s="154"/>
      <c r="K69" s="154"/>
      <c r="L69" s="154"/>
      <c r="Y69" s="139"/>
      <c r="Z69" s="144"/>
      <c r="AB69" s="158"/>
      <c r="AC69" s="158"/>
      <c r="AD69" s="158"/>
      <c r="AE69" s="159"/>
      <c r="AF69" s="159"/>
      <c r="AG69" s="160"/>
      <c r="AH69" s="160"/>
      <c r="AK69" s="147"/>
      <c r="AL69" s="147"/>
      <c r="BJ69" s="142"/>
      <c r="BO69" s="142"/>
      <c r="BP69" s="145"/>
      <c r="BQ69" s="150"/>
      <c r="BS69" s="150"/>
      <c r="CB69" s="149"/>
      <c r="CC69" s="145"/>
      <c r="CD69" s="145"/>
      <c r="CE69" s="145"/>
      <c r="CG69" s="145"/>
      <c r="CH69" s="145"/>
      <c r="CI69" s="145"/>
      <c r="CJ69" s="148"/>
      <c r="CO69" s="150"/>
      <c r="CQ69" s="150"/>
      <c r="CR69" s="150"/>
      <c r="CS69" s="151"/>
      <c r="DI69" s="142"/>
      <c r="DJ69" s="145"/>
      <c r="DK69" s="145"/>
      <c r="DL69" s="145"/>
      <c r="DM69" s="145"/>
      <c r="DN69" s="145"/>
      <c r="DO69" s="145"/>
      <c r="DP69" s="145"/>
      <c r="DQ69" s="145"/>
      <c r="DR69" s="145"/>
      <c r="DS69" s="145"/>
      <c r="DT69" s="145"/>
      <c r="DU69" s="145"/>
      <c r="DV69" s="145"/>
      <c r="DW69" s="148"/>
      <c r="EC69" s="150"/>
      <c r="EO69" s="152"/>
      <c r="EP69" s="152"/>
      <c r="EQ69" s="145"/>
      <c r="ER69" s="145"/>
      <c r="ES69" s="145"/>
      <c r="EX69" s="152"/>
      <c r="EY69" s="152"/>
      <c r="FE69" s="153"/>
      <c r="FG69" s="145"/>
      <c r="FH69" s="145"/>
      <c r="FI69" s="154"/>
      <c r="FL69" s="161"/>
      <c r="FM69" s="162"/>
      <c r="FN69" s="162"/>
    </row>
    <row r="70" spans="2:170" ht="16" x14ac:dyDescent="0.2">
      <c r="B70" s="144"/>
      <c r="C70" s="138"/>
      <c r="G70" s="148"/>
      <c r="J70" s="154"/>
      <c r="K70" s="154"/>
      <c r="L70" s="154"/>
      <c r="Y70" s="139"/>
      <c r="Z70" s="144"/>
      <c r="AB70" s="158"/>
      <c r="AC70" s="158"/>
      <c r="AD70" s="158"/>
      <c r="AE70" s="159"/>
      <c r="AF70" s="159"/>
      <c r="AG70" s="160"/>
      <c r="AH70" s="160"/>
      <c r="AK70" s="147"/>
      <c r="AL70" s="147"/>
      <c r="BJ70" s="142"/>
      <c r="BO70" s="142"/>
      <c r="BP70" s="145"/>
      <c r="BQ70" s="150"/>
      <c r="BS70" s="150"/>
      <c r="CB70" s="149"/>
      <c r="CC70" s="145"/>
      <c r="CD70" s="145"/>
      <c r="CE70" s="145"/>
      <c r="CG70" s="145"/>
      <c r="CH70" s="145"/>
      <c r="CI70" s="145"/>
      <c r="CJ70" s="148"/>
      <c r="CO70" s="150"/>
      <c r="CQ70" s="150"/>
      <c r="CR70" s="150"/>
      <c r="CS70" s="151"/>
      <c r="DI70" s="142"/>
      <c r="DJ70" s="145"/>
      <c r="DK70" s="145"/>
      <c r="DL70" s="145"/>
      <c r="DM70" s="145"/>
      <c r="DN70" s="145"/>
      <c r="DO70" s="145"/>
      <c r="DP70" s="145"/>
      <c r="DQ70" s="145"/>
      <c r="DR70" s="145"/>
      <c r="DS70" s="145"/>
      <c r="DT70" s="145"/>
      <c r="DU70" s="145"/>
      <c r="DV70" s="145"/>
      <c r="DW70" s="148"/>
      <c r="EC70" s="150"/>
      <c r="EO70" s="152"/>
      <c r="EP70" s="152"/>
      <c r="EQ70" s="145"/>
      <c r="ER70" s="145"/>
      <c r="ES70" s="145"/>
      <c r="EX70" s="152"/>
      <c r="EY70" s="152"/>
      <c r="FE70" s="153"/>
      <c r="FG70" s="145"/>
      <c r="FH70" s="145"/>
      <c r="FI70" s="154"/>
      <c r="FL70" s="161"/>
      <c r="FM70" s="162"/>
      <c r="FN70" s="162"/>
    </row>
    <row r="71" spans="2:170" ht="16" x14ac:dyDescent="0.2">
      <c r="B71" s="144"/>
      <c r="C71" s="138"/>
      <c r="G71" s="148"/>
      <c r="J71" s="154"/>
      <c r="K71" s="154"/>
      <c r="L71" s="154"/>
      <c r="Y71" s="139"/>
      <c r="Z71" s="144"/>
      <c r="AB71" s="158"/>
      <c r="AC71" s="158"/>
      <c r="AD71" s="158"/>
      <c r="AE71" s="159"/>
      <c r="AF71" s="159"/>
      <c r="AG71" s="160"/>
      <c r="AH71" s="160"/>
      <c r="AK71" s="147"/>
      <c r="AL71" s="147"/>
      <c r="BJ71" s="142"/>
      <c r="BO71" s="142"/>
      <c r="BP71" s="145"/>
      <c r="BQ71" s="150"/>
      <c r="BS71" s="150"/>
      <c r="CB71" s="149"/>
      <c r="CC71" s="145"/>
      <c r="CD71" s="145"/>
      <c r="CE71" s="145"/>
      <c r="CG71" s="145"/>
      <c r="CH71" s="145"/>
      <c r="CI71" s="145"/>
      <c r="CJ71" s="148"/>
      <c r="CO71" s="150"/>
      <c r="CQ71" s="150"/>
      <c r="CR71" s="150"/>
      <c r="CS71" s="151"/>
      <c r="DI71" s="142"/>
      <c r="DJ71" s="145"/>
      <c r="DK71" s="145"/>
      <c r="DL71" s="145"/>
      <c r="DM71" s="145"/>
      <c r="DN71" s="145"/>
      <c r="DO71" s="145"/>
      <c r="DP71" s="145"/>
      <c r="DQ71" s="145"/>
      <c r="DR71" s="145"/>
      <c r="DS71" s="145"/>
      <c r="DT71" s="145"/>
      <c r="DU71" s="145"/>
      <c r="DV71" s="145"/>
      <c r="DW71" s="148"/>
      <c r="EC71" s="150"/>
      <c r="EO71" s="152"/>
      <c r="EP71" s="152"/>
      <c r="EQ71" s="145"/>
      <c r="ER71" s="145"/>
      <c r="ES71" s="145"/>
      <c r="EX71" s="152"/>
      <c r="EY71" s="152"/>
      <c r="FE71" s="153"/>
      <c r="FG71" s="145"/>
      <c r="FH71" s="145"/>
      <c r="FI71" s="154"/>
      <c r="FL71" s="161"/>
      <c r="FM71" s="162"/>
      <c r="FN71" s="162"/>
    </row>
    <row r="72" spans="2:170" ht="16" x14ac:dyDescent="0.2">
      <c r="B72" s="144"/>
      <c r="C72" s="138"/>
      <c r="G72" s="148"/>
      <c r="J72" s="154"/>
      <c r="K72" s="154"/>
      <c r="L72" s="154"/>
      <c r="Y72" s="139"/>
      <c r="Z72" s="144"/>
      <c r="AB72" s="158"/>
      <c r="AC72" s="158"/>
      <c r="AD72" s="158"/>
      <c r="AE72" s="159"/>
      <c r="AF72" s="159"/>
      <c r="AG72" s="160"/>
      <c r="AH72" s="160"/>
      <c r="AK72" s="147"/>
      <c r="AL72" s="147"/>
      <c r="BJ72" s="142"/>
      <c r="BO72" s="142"/>
      <c r="BP72" s="145"/>
      <c r="BQ72" s="150"/>
      <c r="BS72" s="150"/>
      <c r="CB72" s="149"/>
      <c r="CC72" s="145"/>
      <c r="CD72" s="145"/>
      <c r="CE72" s="145"/>
      <c r="CG72" s="145"/>
      <c r="CH72" s="145"/>
      <c r="CI72" s="145"/>
      <c r="CJ72" s="148"/>
      <c r="CO72" s="150"/>
      <c r="CQ72" s="150"/>
      <c r="CR72" s="150"/>
      <c r="CS72" s="151"/>
      <c r="DI72" s="142"/>
      <c r="DJ72" s="145"/>
      <c r="DK72" s="145"/>
      <c r="DL72" s="145"/>
      <c r="DM72" s="145"/>
      <c r="DN72" s="145"/>
      <c r="DO72" s="145"/>
      <c r="DP72" s="145"/>
      <c r="DQ72" s="145"/>
      <c r="DR72" s="145"/>
      <c r="DS72" s="145"/>
      <c r="DT72" s="145"/>
      <c r="DU72" s="145"/>
      <c r="DV72" s="145"/>
      <c r="DW72" s="148"/>
      <c r="EC72" s="150"/>
      <c r="EO72" s="152"/>
      <c r="EP72" s="152"/>
      <c r="EQ72" s="145"/>
      <c r="ER72" s="145"/>
      <c r="ES72" s="145"/>
      <c r="EX72" s="152"/>
      <c r="EY72" s="152"/>
      <c r="FE72" s="153"/>
      <c r="FG72" s="145"/>
      <c r="FH72" s="145"/>
      <c r="FI72" s="154"/>
      <c r="FL72" s="161"/>
      <c r="FM72" s="162"/>
      <c r="FN72" s="162"/>
    </row>
    <row r="73" spans="2:170" ht="16" x14ac:dyDescent="0.2">
      <c r="B73" s="144"/>
      <c r="C73" s="138"/>
      <c r="G73" s="148"/>
      <c r="J73" s="154"/>
      <c r="K73" s="154"/>
      <c r="L73" s="154"/>
      <c r="Y73" s="139"/>
      <c r="Z73" s="144"/>
      <c r="AB73" s="158"/>
      <c r="AC73" s="158"/>
      <c r="AD73" s="158"/>
      <c r="AE73" s="159"/>
      <c r="AF73" s="159"/>
      <c r="AG73" s="160"/>
      <c r="AH73" s="160"/>
      <c r="AK73" s="147"/>
      <c r="AL73" s="147"/>
      <c r="BJ73" s="142"/>
      <c r="BO73" s="142"/>
      <c r="BP73" s="145"/>
      <c r="BQ73" s="150"/>
      <c r="BS73" s="150"/>
      <c r="CB73" s="149"/>
      <c r="CC73" s="145"/>
      <c r="CD73" s="145"/>
      <c r="CE73" s="145"/>
      <c r="CG73" s="145"/>
      <c r="CH73" s="145"/>
      <c r="CI73" s="145"/>
      <c r="CJ73" s="148"/>
      <c r="CO73" s="150"/>
      <c r="CQ73" s="150"/>
      <c r="CR73" s="150"/>
      <c r="CS73" s="151"/>
      <c r="DI73" s="142"/>
      <c r="DJ73" s="145"/>
      <c r="DK73" s="145"/>
      <c r="DL73" s="145"/>
      <c r="DM73" s="145"/>
      <c r="DN73" s="145"/>
      <c r="DO73" s="145"/>
      <c r="DP73" s="145"/>
      <c r="DQ73" s="145"/>
      <c r="DR73" s="145"/>
      <c r="DS73" s="145"/>
      <c r="DT73" s="145"/>
      <c r="DU73" s="145"/>
      <c r="DV73" s="145"/>
      <c r="DW73" s="148"/>
      <c r="EC73" s="150"/>
      <c r="EO73" s="152"/>
      <c r="EP73" s="152"/>
      <c r="EQ73" s="145"/>
      <c r="ER73" s="145"/>
      <c r="ES73" s="145"/>
      <c r="EX73" s="152"/>
      <c r="EY73" s="152"/>
      <c r="FE73" s="153"/>
      <c r="FG73" s="145"/>
      <c r="FH73" s="145"/>
      <c r="FI73" s="154"/>
      <c r="FL73" s="161"/>
      <c r="FM73" s="162"/>
      <c r="FN73" s="162"/>
    </row>
    <row r="74" spans="2:170" ht="16" x14ac:dyDescent="0.2">
      <c r="B74" s="144"/>
      <c r="C74" s="138"/>
      <c r="G74" s="148"/>
      <c r="J74" s="154"/>
      <c r="K74" s="154"/>
      <c r="L74" s="154"/>
      <c r="Y74" s="139"/>
      <c r="Z74" s="144"/>
      <c r="AB74" s="158"/>
      <c r="AC74" s="158"/>
      <c r="AD74" s="158"/>
      <c r="AE74" s="159"/>
      <c r="AF74" s="159"/>
      <c r="AG74" s="160"/>
      <c r="AH74" s="160"/>
      <c r="AK74" s="147"/>
      <c r="AL74" s="147"/>
      <c r="BJ74" s="142"/>
      <c r="BO74" s="142"/>
      <c r="BP74" s="145"/>
      <c r="BQ74" s="150"/>
      <c r="BS74" s="150"/>
      <c r="CB74" s="149"/>
      <c r="CC74" s="145"/>
      <c r="CD74" s="145"/>
      <c r="CE74" s="145"/>
      <c r="CG74" s="145"/>
      <c r="CH74" s="145"/>
      <c r="CI74" s="145"/>
      <c r="CJ74" s="148"/>
      <c r="CO74" s="150"/>
      <c r="CQ74" s="150"/>
      <c r="CR74" s="150"/>
      <c r="CS74" s="151"/>
      <c r="DI74" s="142"/>
      <c r="DJ74" s="145"/>
      <c r="DK74" s="145"/>
      <c r="DL74" s="145"/>
      <c r="DM74" s="145"/>
      <c r="DN74" s="145"/>
      <c r="DO74" s="145"/>
      <c r="DP74" s="145"/>
      <c r="DQ74" s="145"/>
      <c r="DR74" s="145"/>
      <c r="DS74" s="145"/>
      <c r="DT74" s="145"/>
      <c r="DU74" s="145"/>
      <c r="DV74" s="145"/>
      <c r="DW74" s="148"/>
      <c r="EC74" s="150"/>
      <c r="EO74" s="152"/>
      <c r="EP74" s="152"/>
      <c r="EQ74" s="145"/>
      <c r="ER74" s="145"/>
      <c r="ES74" s="145"/>
      <c r="EX74" s="152"/>
      <c r="EY74" s="152"/>
      <c r="FE74" s="153"/>
      <c r="FG74" s="145"/>
      <c r="FH74" s="145"/>
      <c r="FI74" s="154"/>
      <c r="FL74" s="161"/>
      <c r="FM74" s="162"/>
      <c r="FN74" s="162"/>
    </row>
    <row r="75" spans="2:170" ht="16" x14ac:dyDescent="0.2">
      <c r="B75" s="144"/>
      <c r="C75" s="138"/>
      <c r="G75" s="148"/>
      <c r="J75" s="154"/>
      <c r="K75" s="154"/>
      <c r="L75" s="154"/>
      <c r="Y75" s="139"/>
      <c r="Z75" s="144"/>
      <c r="AB75" s="158"/>
      <c r="AC75" s="158"/>
      <c r="AD75" s="158"/>
      <c r="AE75" s="159"/>
      <c r="AF75" s="159"/>
      <c r="AG75" s="160"/>
      <c r="AH75" s="160"/>
      <c r="AK75" s="147"/>
      <c r="AL75" s="147"/>
      <c r="BJ75" s="142"/>
      <c r="BO75" s="142"/>
      <c r="BP75" s="145"/>
      <c r="BQ75" s="150"/>
      <c r="BS75" s="150"/>
      <c r="CB75" s="149"/>
      <c r="CC75" s="145"/>
      <c r="CD75" s="145"/>
      <c r="CE75" s="145"/>
      <c r="CG75" s="145"/>
      <c r="CH75" s="145"/>
      <c r="CI75" s="145"/>
      <c r="CJ75" s="148"/>
      <c r="CO75" s="150"/>
      <c r="CQ75" s="150"/>
      <c r="CR75" s="150"/>
      <c r="CS75" s="151"/>
      <c r="DI75" s="142"/>
      <c r="DJ75" s="145"/>
      <c r="DK75" s="145"/>
      <c r="DL75" s="145"/>
      <c r="DM75" s="145"/>
      <c r="DN75" s="145"/>
      <c r="DO75" s="145"/>
      <c r="DP75" s="145"/>
      <c r="DQ75" s="145"/>
      <c r="DR75" s="145"/>
      <c r="DS75" s="145"/>
      <c r="DT75" s="145"/>
      <c r="DU75" s="145"/>
      <c r="DV75" s="145"/>
      <c r="DW75" s="148"/>
      <c r="EC75" s="150"/>
      <c r="EO75" s="152"/>
      <c r="EP75" s="152"/>
      <c r="EQ75" s="145"/>
      <c r="ER75" s="145"/>
      <c r="ES75" s="145"/>
      <c r="EX75" s="152"/>
      <c r="EY75" s="152"/>
      <c r="FE75" s="153"/>
      <c r="FG75" s="145"/>
      <c r="FH75" s="145"/>
      <c r="FI75" s="154"/>
      <c r="FL75" s="161"/>
      <c r="FM75" s="162"/>
      <c r="FN75" s="162"/>
    </row>
    <row r="76" spans="2:170" ht="16" x14ac:dyDescent="0.2">
      <c r="B76" s="144"/>
      <c r="C76" s="138"/>
      <c r="G76" s="148"/>
      <c r="J76" s="154"/>
      <c r="K76" s="154"/>
      <c r="L76" s="154"/>
      <c r="Y76" s="139"/>
      <c r="Z76" s="144"/>
      <c r="AB76" s="158"/>
      <c r="AC76" s="158"/>
      <c r="AD76" s="158"/>
      <c r="AE76" s="159"/>
      <c r="AF76" s="159"/>
      <c r="AG76" s="160"/>
      <c r="AH76" s="160"/>
      <c r="AK76" s="147"/>
      <c r="AL76" s="147"/>
      <c r="BJ76" s="142"/>
      <c r="BO76" s="142"/>
      <c r="BP76" s="145"/>
      <c r="BQ76" s="150"/>
      <c r="BS76" s="150"/>
      <c r="CB76" s="149"/>
      <c r="CC76" s="145"/>
      <c r="CD76" s="145"/>
      <c r="CE76" s="145"/>
      <c r="CG76" s="145"/>
      <c r="CH76" s="145"/>
      <c r="CI76" s="145"/>
      <c r="CJ76" s="148"/>
      <c r="CO76" s="150"/>
      <c r="CQ76" s="150"/>
      <c r="CR76" s="150"/>
      <c r="CS76" s="151"/>
      <c r="DI76" s="142"/>
      <c r="DJ76" s="145"/>
      <c r="DK76" s="145"/>
      <c r="DL76" s="145"/>
      <c r="DM76" s="145"/>
      <c r="DN76" s="145"/>
      <c r="DO76" s="145"/>
      <c r="DP76" s="145"/>
      <c r="DQ76" s="145"/>
      <c r="DR76" s="145"/>
      <c r="DS76" s="145"/>
      <c r="DT76" s="145"/>
      <c r="DU76" s="145"/>
      <c r="DV76" s="145"/>
      <c r="DW76" s="148"/>
      <c r="EC76" s="150"/>
      <c r="EO76" s="152"/>
      <c r="EP76" s="152"/>
      <c r="EQ76" s="145"/>
      <c r="ER76" s="145"/>
      <c r="ES76" s="145"/>
      <c r="EX76" s="152"/>
      <c r="EY76" s="152"/>
      <c r="FE76" s="153"/>
      <c r="FG76" s="145"/>
      <c r="FH76" s="145"/>
      <c r="FI76" s="154"/>
      <c r="FL76" s="161"/>
      <c r="FM76" s="162"/>
      <c r="FN76" s="162"/>
    </row>
    <row r="77" spans="2:170" ht="16" x14ac:dyDescent="0.2">
      <c r="B77" s="144"/>
      <c r="C77" s="138"/>
      <c r="G77" s="148"/>
      <c r="J77" s="154"/>
      <c r="K77" s="154"/>
      <c r="L77" s="154"/>
      <c r="Y77" s="139"/>
      <c r="Z77" s="144"/>
      <c r="AB77" s="158"/>
      <c r="AC77" s="158"/>
      <c r="AD77" s="158"/>
      <c r="AE77" s="159"/>
      <c r="AF77" s="159"/>
      <c r="AG77" s="160"/>
      <c r="AH77" s="160"/>
      <c r="AK77" s="147"/>
      <c r="AL77" s="147"/>
      <c r="BJ77" s="142"/>
      <c r="BO77" s="142"/>
      <c r="BP77" s="145"/>
      <c r="BQ77" s="150"/>
      <c r="BS77" s="150"/>
      <c r="CB77" s="149"/>
      <c r="CC77" s="145"/>
      <c r="CD77" s="145"/>
      <c r="CE77" s="145"/>
      <c r="CG77" s="145"/>
      <c r="CH77" s="145"/>
      <c r="CI77" s="145"/>
      <c r="CJ77" s="148"/>
      <c r="CO77" s="150"/>
      <c r="CQ77" s="150"/>
      <c r="CR77" s="150"/>
      <c r="CS77" s="151"/>
      <c r="DI77" s="142"/>
      <c r="DJ77" s="145"/>
      <c r="DK77" s="145"/>
      <c r="DL77" s="145"/>
      <c r="DM77" s="145"/>
      <c r="DN77" s="145"/>
      <c r="DO77" s="145"/>
      <c r="DP77" s="145"/>
      <c r="DQ77" s="145"/>
      <c r="DR77" s="145"/>
      <c r="DS77" s="145"/>
      <c r="DT77" s="145"/>
      <c r="DU77" s="145"/>
      <c r="DV77" s="145"/>
      <c r="DW77" s="148"/>
      <c r="EC77" s="150"/>
      <c r="EO77" s="152"/>
      <c r="EP77" s="152"/>
      <c r="EQ77" s="145"/>
      <c r="ER77" s="145"/>
      <c r="ES77" s="145"/>
      <c r="EX77" s="152"/>
      <c r="EY77" s="152"/>
      <c r="FE77" s="153"/>
      <c r="FG77" s="145"/>
      <c r="FH77" s="145"/>
      <c r="FI77" s="154"/>
      <c r="FL77" s="161"/>
      <c r="FM77" s="162"/>
      <c r="FN77" s="162"/>
    </row>
    <row r="78" spans="2:170" ht="16" x14ac:dyDescent="0.2">
      <c r="B78" s="144"/>
      <c r="C78" s="138"/>
      <c r="G78" s="148"/>
      <c r="J78" s="154"/>
      <c r="K78" s="154"/>
      <c r="L78" s="154"/>
      <c r="Y78" s="139"/>
      <c r="Z78" s="144"/>
      <c r="AB78" s="158"/>
      <c r="AC78" s="158"/>
      <c r="AD78" s="158"/>
      <c r="AE78" s="159"/>
      <c r="AF78" s="159"/>
      <c r="AG78" s="160"/>
      <c r="AH78" s="160"/>
      <c r="AK78" s="147"/>
      <c r="AL78" s="147"/>
      <c r="BJ78" s="142"/>
      <c r="BO78" s="142"/>
      <c r="BP78" s="145"/>
      <c r="BQ78" s="150"/>
      <c r="BS78" s="150"/>
      <c r="CB78" s="149"/>
      <c r="CC78" s="145"/>
      <c r="CD78" s="145"/>
      <c r="CE78" s="145"/>
      <c r="CG78" s="145"/>
      <c r="CH78" s="145"/>
      <c r="CI78" s="145"/>
      <c r="CJ78" s="148"/>
      <c r="CO78" s="150"/>
      <c r="CQ78" s="150"/>
      <c r="CR78" s="150"/>
      <c r="CS78" s="151"/>
      <c r="DI78" s="142"/>
      <c r="DJ78" s="145"/>
      <c r="DK78" s="145"/>
      <c r="DL78" s="145"/>
      <c r="DM78" s="145"/>
      <c r="DN78" s="145"/>
      <c r="DO78" s="145"/>
      <c r="DP78" s="145"/>
      <c r="DQ78" s="145"/>
      <c r="DR78" s="145"/>
      <c r="DS78" s="145"/>
      <c r="DT78" s="145"/>
      <c r="DU78" s="145"/>
      <c r="DV78" s="145"/>
      <c r="DW78" s="148"/>
      <c r="EC78" s="150"/>
      <c r="EO78" s="152"/>
      <c r="EP78" s="152"/>
      <c r="EQ78" s="145"/>
      <c r="ER78" s="145"/>
      <c r="ES78" s="145"/>
      <c r="EX78" s="152"/>
      <c r="EY78" s="152"/>
      <c r="FE78" s="153"/>
      <c r="FG78" s="145"/>
      <c r="FH78" s="145"/>
      <c r="FI78" s="154"/>
      <c r="FL78" s="161"/>
      <c r="FM78" s="162"/>
      <c r="FN78" s="162"/>
    </row>
    <row r="79" spans="2:170" ht="16" x14ac:dyDescent="0.2">
      <c r="B79" s="144"/>
      <c r="C79" s="138"/>
      <c r="G79" s="148"/>
      <c r="J79" s="154"/>
      <c r="K79" s="154"/>
      <c r="L79" s="154"/>
      <c r="Y79" s="139"/>
      <c r="Z79" s="144"/>
      <c r="AB79" s="158"/>
      <c r="AC79" s="158"/>
      <c r="AD79" s="158"/>
      <c r="AE79" s="159"/>
      <c r="AF79" s="159"/>
      <c r="AG79" s="160"/>
      <c r="AH79" s="160"/>
      <c r="AK79" s="147"/>
      <c r="AL79" s="147"/>
      <c r="BJ79" s="142"/>
      <c r="BO79" s="142"/>
      <c r="BP79" s="145"/>
      <c r="BQ79" s="150"/>
      <c r="BS79" s="150"/>
      <c r="CB79" s="149"/>
      <c r="CC79" s="145"/>
      <c r="CD79" s="145"/>
      <c r="CE79" s="145"/>
      <c r="CG79" s="145"/>
      <c r="CH79" s="145"/>
      <c r="CI79" s="145"/>
      <c r="CJ79" s="148"/>
      <c r="CO79" s="150"/>
      <c r="CQ79" s="150"/>
      <c r="CR79" s="150"/>
      <c r="CS79" s="151"/>
      <c r="DI79" s="142"/>
      <c r="DJ79" s="145"/>
      <c r="DK79" s="145"/>
      <c r="DL79" s="145"/>
      <c r="DM79" s="145"/>
      <c r="DN79" s="145"/>
      <c r="DO79" s="145"/>
      <c r="DP79" s="145"/>
      <c r="DQ79" s="145"/>
      <c r="DR79" s="145"/>
      <c r="DS79" s="145"/>
      <c r="DT79" s="145"/>
      <c r="DU79" s="145"/>
      <c r="DV79" s="145"/>
      <c r="DW79" s="148"/>
      <c r="EC79" s="150"/>
      <c r="EO79" s="152"/>
      <c r="EP79" s="152"/>
      <c r="EQ79" s="145"/>
      <c r="ER79" s="145"/>
      <c r="ES79" s="145"/>
      <c r="EX79" s="152"/>
      <c r="EY79" s="152"/>
      <c r="FE79" s="153"/>
      <c r="FG79" s="145"/>
      <c r="FH79" s="145"/>
      <c r="FI79" s="154"/>
      <c r="FL79" s="161"/>
      <c r="FM79" s="162"/>
      <c r="FN79" s="162"/>
    </row>
    <row r="80" spans="2:170" ht="16" x14ac:dyDescent="0.2">
      <c r="B80" s="144"/>
      <c r="C80" s="138"/>
      <c r="G80" s="148"/>
      <c r="J80" s="154"/>
      <c r="K80" s="154"/>
      <c r="L80" s="154"/>
      <c r="Y80" s="139"/>
      <c r="Z80" s="144"/>
      <c r="AB80" s="158"/>
      <c r="AC80" s="158"/>
      <c r="AD80" s="158"/>
      <c r="AE80" s="159"/>
      <c r="AF80" s="159"/>
      <c r="AG80" s="160"/>
      <c r="AH80" s="160"/>
      <c r="AK80" s="147"/>
      <c r="AL80" s="147"/>
      <c r="BJ80" s="142"/>
      <c r="BO80" s="142"/>
      <c r="BP80" s="145"/>
      <c r="BQ80" s="150"/>
      <c r="BS80" s="150"/>
      <c r="CB80" s="149"/>
      <c r="CC80" s="145"/>
      <c r="CD80" s="145"/>
      <c r="CE80" s="145"/>
      <c r="CG80" s="145"/>
      <c r="CH80" s="145"/>
      <c r="CI80" s="145"/>
      <c r="CJ80" s="148"/>
      <c r="CO80" s="150"/>
      <c r="CQ80" s="150"/>
      <c r="CR80" s="150"/>
      <c r="CS80" s="151"/>
      <c r="DI80" s="142"/>
      <c r="DJ80" s="145"/>
      <c r="DK80" s="145"/>
      <c r="DL80" s="145"/>
      <c r="DM80" s="145"/>
      <c r="DN80" s="145"/>
      <c r="DO80" s="145"/>
      <c r="DP80" s="145"/>
      <c r="DQ80" s="145"/>
      <c r="DR80" s="145"/>
      <c r="DS80" s="145"/>
      <c r="DT80" s="145"/>
      <c r="DU80" s="145"/>
      <c r="DV80" s="145"/>
      <c r="DW80" s="148"/>
      <c r="EC80" s="150"/>
      <c r="EO80" s="152"/>
      <c r="EP80" s="152"/>
      <c r="EQ80" s="145"/>
      <c r="ER80" s="145"/>
      <c r="ES80" s="145"/>
      <c r="EX80" s="152"/>
      <c r="EY80" s="152"/>
      <c r="FE80" s="153"/>
      <c r="FG80" s="145"/>
      <c r="FH80" s="145"/>
      <c r="FI80" s="154"/>
      <c r="FL80" s="161"/>
      <c r="FM80" s="162"/>
      <c r="FN80" s="162"/>
    </row>
    <row r="81" spans="2:170" ht="16" x14ac:dyDescent="0.2">
      <c r="B81" s="144"/>
      <c r="C81" s="138"/>
      <c r="G81" s="148"/>
      <c r="J81" s="154"/>
      <c r="K81" s="154"/>
      <c r="L81" s="154"/>
      <c r="Y81" s="139"/>
      <c r="Z81" s="144"/>
      <c r="AB81" s="158"/>
      <c r="AC81" s="158"/>
      <c r="AD81" s="158"/>
      <c r="AE81" s="159"/>
      <c r="AF81" s="159"/>
      <c r="AG81" s="160"/>
      <c r="AH81" s="160"/>
      <c r="AK81" s="147"/>
      <c r="AL81" s="147"/>
      <c r="BJ81" s="142"/>
      <c r="BO81" s="142"/>
      <c r="BP81" s="145"/>
      <c r="BQ81" s="150"/>
      <c r="BS81" s="150"/>
      <c r="CB81" s="149"/>
      <c r="CC81" s="145"/>
      <c r="CD81" s="145"/>
      <c r="CE81" s="145"/>
      <c r="CG81" s="145"/>
      <c r="CH81" s="145"/>
      <c r="CI81" s="145"/>
      <c r="CJ81" s="148"/>
      <c r="CO81" s="150"/>
      <c r="CQ81" s="150"/>
      <c r="CR81" s="150"/>
      <c r="CS81" s="151"/>
      <c r="DI81" s="142"/>
      <c r="DJ81" s="145"/>
      <c r="DK81" s="145"/>
      <c r="DL81" s="145"/>
      <c r="DM81" s="145"/>
      <c r="DN81" s="145"/>
      <c r="DO81" s="145"/>
      <c r="DP81" s="145"/>
      <c r="DQ81" s="145"/>
      <c r="DR81" s="145"/>
      <c r="DS81" s="145"/>
      <c r="DT81" s="145"/>
      <c r="DU81" s="145"/>
      <c r="DV81" s="145"/>
      <c r="DW81" s="148"/>
      <c r="EC81" s="150"/>
      <c r="EO81" s="152"/>
      <c r="EP81" s="152"/>
      <c r="EQ81" s="145"/>
      <c r="ER81" s="145"/>
      <c r="ES81" s="145"/>
      <c r="EX81" s="152"/>
      <c r="EY81" s="152"/>
      <c r="FE81" s="153"/>
      <c r="FG81" s="145"/>
      <c r="FH81" s="145"/>
      <c r="FI81" s="154"/>
      <c r="FL81" s="161"/>
      <c r="FM81" s="162"/>
      <c r="FN81" s="162"/>
    </row>
    <row r="82" spans="2:170" ht="16" x14ac:dyDescent="0.2">
      <c r="B82" s="144"/>
      <c r="C82" s="138"/>
      <c r="G82" s="148"/>
      <c r="J82" s="154"/>
      <c r="K82" s="154"/>
      <c r="L82" s="154"/>
      <c r="Y82" s="139"/>
      <c r="Z82" s="144"/>
      <c r="AB82" s="163"/>
      <c r="AC82" s="163"/>
      <c r="AD82" s="163"/>
      <c r="AE82" s="164"/>
      <c r="AF82" s="164"/>
      <c r="AG82" s="165"/>
      <c r="AH82" s="165"/>
      <c r="AK82" s="147"/>
      <c r="AL82" s="147"/>
      <c r="BJ82" s="142"/>
      <c r="BO82" s="142"/>
      <c r="BP82" s="145"/>
      <c r="BQ82" s="150"/>
      <c r="BS82" s="150"/>
      <c r="CB82" s="149"/>
      <c r="CC82" s="145"/>
      <c r="CD82" s="145"/>
      <c r="CE82" s="145"/>
      <c r="CG82" s="145"/>
      <c r="CH82" s="145"/>
      <c r="CI82" s="145"/>
      <c r="CJ82" s="148"/>
      <c r="CO82" s="150"/>
      <c r="CQ82" s="150"/>
      <c r="CR82" s="150"/>
      <c r="CS82" s="151"/>
      <c r="DI82" s="142"/>
      <c r="DJ82" s="145"/>
      <c r="DK82" s="145"/>
      <c r="DL82" s="145"/>
      <c r="DM82" s="145"/>
      <c r="DN82" s="145"/>
      <c r="DO82" s="145"/>
      <c r="DP82" s="145"/>
      <c r="DQ82" s="145"/>
      <c r="DR82" s="145"/>
      <c r="DS82" s="145"/>
      <c r="DT82" s="145"/>
      <c r="DU82" s="145"/>
      <c r="DV82" s="145"/>
      <c r="DW82" s="148"/>
      <c r="EC82" s="150"/>
      <c r="EO82" s="152"/>
      <c r="EP82" s="152"/>
      <c r="EQ82" s="145"/>
      <c r="ER82" s="145"/>
      <c r="ES82" s="145"/>
      <c r="EX82" s="152"/>
      <c r="EY82" s="152"/>
      <c r="FE82" s="153"/>
      <c r="FG82" s="145"/>
      <c r="FH82" s="145"/>
      <c r="FI82" s="154"/>
      <c r="FL82" s="161"/>
      <c r="FM82" s="162"/>
      <c r="FN82" s="162"/>
    </row>
    <row r="83" spans="2:170" ht="16" x14ac:dyDescent="0.2">
      <c r="B83" s="144"/>
      <c r="C83" s="138"/>
      <c r="G83" s="148"/>
      <c r="J83" s="154"/>
      <c r="K83" s="154"/>
      <c r="L83" s="154"/>
      <c r="Y83" s="139"/>
      <c r="Z83" s="144"/>
      <c r="AB83" s="158"/>
      <c r="AC83" s="158"/>
      <c r="AD83" s="158"/>
      <c r="AE83" s="159"/>
      <c r="AF83" s="159"/>
      <c r="AG83" s="160"/>
      <c r="AH83" s="160"/>
      <c r="AK83" s="147"/>
      <c r="AL83" s="147"/>
      <c r="BJ83" s="142"/>
      <c r="BO83" s="142"/>
      <c r="BP83" s="145"/>
      <c r="BQ83" s="150"/>
      <c r="BS83" s="150"/>
      <c r="CB83" s="149"/>
      <c r="CC83" s="145"/>
      <c r="CD83" s="145"/>
      <c r="CE83" s="145"/>
      <c r="CG83" s="145"/>
      <c r="CH83" s="145"/>
      <c r="CI83" s="145"/>
      <c r="CJ83" s="148"/>
      <c r="CO83" s="150"/>
      <c r="CQ83" s="150"/>
      <c r="CR83" s="150"/>
      <c r="CS83" s="151"/>
      <c r="DI83" s="142"/>
      <c r="DJ83" s="145"/>
      <c r="DK83" s="145"/>
      <c r="DL83" s="145"/>
      <c r="DM83" s="145"/>
      <c r="DN83" s="145"/>
      <c r="DO83" s="145"/>
      <c r="DP83" s="145"/>
      <c r="DQ83" s="145"/>
      <c r="DR83" s="145"/>
      <c r="DS83" s="145"/>
      <c r="DT83" s="145"/>
      <c r="DU83" s="145"/>
      <c r="DV83" s="145"/>
      <c r="DW83" s="148"/>
      <c r="EC83" s="150"/>
      <c r="EO83" s="152"/>
      <c r="EP83" s="152"/>
      <c r="EQ83" s="145"/>
      <c r="ER83" s="145"/>
      <c r="ES83" s="145"/>
      <c r="EX83" s="152"/>
      <c r="EY83" s="152"/>
      <c r="FE83" s="153"/>
      <c r="FG83" s="145"/>
      <c r="FH83" s="145"/>
      <c r="FI83" s="154"/>
      <c r="FL83" s="161"/>
      <c r="FM83" s="162"/>
      <c r="FN83" s="162"/>
    </row>
    <row r="84" spans="2:170" ht="16" x14ac:dyDescent="0.2">
      <c r="B84" s="144"/>
      <c r="C84" s="138"/>
      <c r="G84" s="148"/>
      <c r="J84" s="154"/>
      <c r="K84" s="154"/>
      <c r="L84" s="154"/>
      <c r="Y84" s="139"/>
      <c r="Z84" s="144"/>
      <c r="AB84" s="163"/>
      <c r="AC84" s="163"/>
      <c r="AD84" s="163"/>
      <c r="AE84" s="164"/>
      <c r="AF84" s="164"/>
      <c r="AG84" s="165"/>
      <c r="AH84" s="165"/>
      <c r="AK84" s="147"/>
      <c r="AL84" s="147"/>
      <c r="BJ84" s="142"/>
      <c r="BO84" s="142"/>
      <c r="BP84" s="145"/>
      <c r="BQ84" s="150"/>
      <c r="BS84" s="150"/>
      <c r="CB84" s="149"/>
      <c r="CC84" s="145"/>
      <c r="CD84" s="145"/>
      <c r="CE84" s="145"/>
      <c r="CG84" s="145"/>
      <c r="CH84" s="145"/>
      <c r="CI84" s="145"/>
      <c r="CJ84" s="148"/>
      <c r="CO84" s="150"/>
      <c r="CQ84" s="150"/>
      <c r="CR84" s="150"/>
      <c r="CS84" s="151"/>
      <c r="DI84" s="142"/>
      <c r="DJ84" s="145"/>
      <c r="DK84" s="145"/>
      <c r="DL84" s="145"/>
      <c r="DM84" s="145"/>
      <c r="DN84" s="145"/>
      <c r="DO84" s="145"/>
      <c r="DP84" s="145"/>
      <c r="DQ84" s="145"/>
      <c r="DR84" s="145"/>
      <c r="DS84" s="145"/>
      <c r="DT84" s="145"/>
      <c r="DU84" s="145"/>
      <c r="DV84" s="145"/>
      <c r="DW84" s="148"/>
      <c r="EC84" s="150"/>
      <c r="EO84" s="152"/>
      <c r="EP84" s="152"/>
      <c r="EQ84" s="145"/>
      <c r="ER84" s="145"/>
      <c r="ES84" s="145"/>
      <c r="EX84" s="152"/>
      <c r="EY84" s="152"/>
      <c r="FE84" s="153"/>
      <c r="FG84" s="145"/>
      <c r="FH84" s="145"/>
      <c r="FI84" s="154"/>
      <c r="FL84" s="161"/>
      <c r="FM84" s="162"/>
      <c r="FN84" s="162"/>
    </row>
    <row r="85" spans="2:170" ht="16" x14ac:dyDescent="0.2">
      <c r="B85" s="144"/>
      <c r="C85" s="138"/>
      <c r="G85" s="148"/>
      <c r="J85" s="154"/>
      <c r="K85" s="154"/>
      <c r="L85" s="154"/>
      <c r="Y85" s="139"/>
      <c r="Z85" s="144"/>
      <c r="AB85" s="158"/>
      <c r="AC85" s="158"/>
      <c r="AD85" s="158"/>
      <c r="AE85" s="159"/>
      <c r="AF85" s="159"/>
      <c r="AG85" s="160"/>
      <c r="AH85" s="160"/>
      <c r="AK85" s="147"/>
      <c r="AL85" s="147"/>
      <c r="BJ85" s="142"/>
      <c r="BO85" s="142"/>
      <c r="BP85" s="145"/>
      <c r="BQ85" s="150"/>
      <c r="BS85" s="150"/>
      <c r="CB85" s="149"/>
      <c r="CC85" s="145"/>
      <c r="CD85" s="145"/>
      <c r="CE85" s="145"/>
      <c r="CG85" s="145"/>
      <c r="CH85" s="145"/>
      <c r="CI85" s="145"/>
      <c r="CJ85" s="148"/>
      <c r="CO85" s="150"/>
      <c r="CQ85" s="150"/>
      <c r="CR85" s="150"/>
      <c r="CS85" s="151"/>
      <c r="DI85" s="142"/>
      <c r="DJ85" s="145"/>
      <c r="DK85" s="145"/>
      <c r="DL85" s="145"/>
      <c r="DM85" s="145"/>
      <c r="DN85" s="145"/>
      <c r="DO85" s="145"/>
      <c r="DP85" s="145"/>
      <c r="DQ85" s="145"/>
      <c r="DR85" s="145"/>
      <c r="DS85" s="145"/>
      <c r="DT85" s="145"/>
      <c r="DU85" s="145"/>
      <c r="DV85" s="145"/>
      <c r="DW85" s="148"/>
      <c r="EC85" s="150"/>
      <c r="EO85" s="152"/>
      <c r="EP85" s="152"/>
      <c r="EQ85" s="145"/>
      <c r="ER85" s="145"/>
      <c r="ES85" s="145"/>
      <c r="EX85" s="152"/>
      <c r="EY85" s="152"/>
      <c r="FE85" s="153"/>
      <c r="FG85" s="145"/>
      <c r="FH85" s="145"/>
      <c r="FI85" s="154"/>
      <c r="FL85" s="161"/>
      <c r="FM85" s="162"/>
      <c r="FN85" s="162"/>
    </row>
    <row r="86" spans="2:170" ht="16" x14ac:dyDescent="0.2">
      <c r="B86" s="144"/>
      <c r="C86" s="138"/>
      <c r="G86" s="148"/>
      <c r="J86" s="154"/>
      <c r="K86" s="154"/>
      <c r="L86" s="154"/>
      <c r="Y86" s="139"/>
      <c r="Z86" s="144"/>
      <c r="AB86" s="163"/>
      <c r="AC86" s="163"/>
      <c r="AD86" s="163"/>
      <c r="AE86" s="164"/>
      <c r="AF86" s="164"/>
      <c r="AG86" s="165"/>
      <c r="AH86" s="165"/>
      <c r="AK86" s="147"/>
      <c r="AL86" s="147"/>
      <c r="BJ86" s="142"/>
      <c r="BO86" s="142"/>
      <c r="BP86" s="145"/>
      <c r="BQ86" s="150"/>
      <c r="BS86" s="150"/>
      <c r="CB86" s="149"/>
      <c r="CC86" s="145"/>
      <c r="CD86" s="145"/>
      <c r="CE86" s="145"/>
      <c r="CG86" s="145"/>
      <c r="CH86" s="145"/>
      <c r="CI86" s="145"/>
      <c r="CJ86" s="148"/>
      <c r="CO86" s="150"/>
      <c r="CQ86" s="150"/>
      <c r="CR86" s="150"/>
      <c r="CS86" s="151"/>
      <c r="DI86" s="142"/>
      <c r="DJ86" s="145"/>
      <c r="DK86" s="145"/>
      <c r="DL86" s="145"/>
      <c r="DM86" s="145"/>
      <c r="DN86" s="145"/>
      <c r="DO86" s="145"/>
      <c r="DP86" s="145"/>
      <c r="DQ86" s="145"/>
      <c r="DR86" s="145"/>
      <c r="DS86" s="145"/>
      <c r="DT86" s="145"/>
      <c r="DU86" s="145"/>
      <c r="DV86" s="145"/>
      <c r="DW86" s="148"/>
      <c r="EC86" s="150"/>
      <c r="EO86" s="152"/>
      <c r="EP86" s="152"/>
      <c r="EQ86" s="145"/>
      <c r="ER86" s="145"/>
      <c r="ES86" s="145"/>
      <c r="EX86" s="152"/>
      <c r="EY86" s="152"/>
      <c r="FE86" s="153"/>
      <c r="FG86" s="145"/>
      <c r="FH86" s="145"/>
      <c r="FI86" s="154"/>
      <c r="FL86" s="161"/>
      <c r="FM86" s="162"/>
      <c r="FN86" s="162"/>
    </row>
    <row r="87" spans="2:170" ht="16" x14ac:dyDescent="0.2">
      <c r="B87" s="144"/>
      <c r="C87" s="138"/>
      <c r="G87" s="148"/>
      <c r="J87" s="154"/>
      <c r="K87" s="154"/>
      <c r="L87" s="154"/>
      <c r="Y87" s="139"/>
      <c r="Z87" s="144"/>
      <c r="AB87" s="158"/>
      <c r="AC87" s="158"/>
      <c r="AD87" s="158"/>
      <c r="AE87" s="159"/>
      <c r="AF87" s="159"/>
      <c r="AG87" s="160"/>
      <c r="AH87" s="160"/>
      <c r="AK87" s="147"/>
      <c r="AL87" s="147"/>
      <c r="BJ87" s="142"/>
      <c r="BO87" s="142"/>
      <c r="BP87" s="145"/>
      <c r="BQ87" s="150"/>
      <c r="BS87" s="150"/>
      <c r="CB87" s="149"/>
      <c r="CC87" s="145"/>
      <c r="CD87" s="145"/>
      <c r="CE87" s="145"/>
      <c r="CG87" s="145"/>
      <c r="CH87" s="145"/>
      <c r="CI87" s="145"/>
      <c r="CJ87" s="148"/>
      <c r="CO87" s="150"/>
      <c r="CQ87" s="150"/>
      <c r="CR87" s="150"/>
      <c r="CS87" s="151"/>
      <c r="DI87" s="142"/>
      <c r="DJ87" s="145"/>
      <c r="DK87" s="145"/>
      <c r="DL87" s="145"/>
      <c r="DM87" s="145"/>
      <c r="DN87" s="145"/>
      <c r="DO87" s="145"/>
      <c r="DP87" s="145"/>
      <c r="DQ87" s="145"/>
      <c r="DR87" s="145"/>
      <c r="DS87" s="145"/>
      <c r="DT87" s="145"/>
      <c r="DU87" s="145"/>
      <c r="DV87" s="145"/>
      <c r="DW87" s="148"/>
      <c r="EC87" s="150"/>
      <c r="EO87" s="152"/>
      <c r="EP87" s="152"/>
      <c r="EQ87" s="145"/>
      <c r="ER87" s="145"/>
      <c r="ES87" s="145"/>
      <c r="EX87" s="152"/>
      <c r="EY87" s="152"/>
      <c r="FE87" s="153"/>
      <c r="FG87" s="145"/>
      <c r="FH87" s="145"/>
      <c r="FI87" s="154"/>
      <c r="FL87" s="161"/>
      <c r="FM87" s="162"/>
      <c r="FN87" s="162"/>
    </row>
    <row r="88" spans="2:170" ht="16" x14ac:dyDescent="0.2">
      <c r="B88" s="144"/>
      <c r="C88" s="138"/>
      <c r="G88" s="148"/>
      <c r="J88" s="154"/>
      <c r="K88" s="154"/>
      <c r="L88" s="154"/>
      <c r="Y88" s="139"/>
      <c r="Z88" s="144"/>
      <c r="AB88" s="158"/>
      <c r="AC88" s="158"/>
      <c r="AD88" s="158"/>
      <c r="AE88" s="159"/>
      <c r="AF88" s="159"/>
      <c r="AG88" s="160"/>
      <c r="AH88" s="160"/>
      <c r="AK88" s="147"/>
      <c r="AL88" s="147"/>
      <c r="BJ88" s="142"/>
      <c r="BO88" s="142"/>
      <c r="BP88" s="145"/>
      <c r="BQ88" s="150"/>
      <c r="BS88" s="150"/>
      <c r="CB88" s="149"/>
      <c r="CC88" s="145"/>
      <c r="CD88" s="145"/>
      <c r="CE88" s="145"/>
      <c r="CG88" s="145"/>
      <c r="CH88" s="145"/>
      <c r="CI88" s="145"/>
      <c r="CJ88" s="148"/>
      <c r="CO88" s="150"/>
      <c r="CQ88" s="150"/>
      <c r="CR88" s="150"/>
      <c r="CS88" s="151"/>
      <c r="DI88" s="142"/>
      <c r="DJ88" s="145"/>
      <c r="DK88" s="145"/>
      <c r="DL88" s="145"/>
      <c r="DM88" s="145"/>
      <c r="DN88" s="145"/>
      <c r="DO88" s="145"/>
      <c r="DP88" s="145"/>
      <c r="DQ88" s="145"/>
      <c r="DR88" s="145"/>
      <c r="DS88" s="145"/>
      <c r="DT88" s="145"/>
      <c r="DU88" s="145"/>
      <c r="DV88" s="145"/>
      <c r="DW88" s="148"/>
      <c r="EC88" s="150"/>
      <c r="EO88" s="152"/>
      <c r="EP88" s="152"/>
      <c r="EQ88" s="145"/>
      <c r="ER88" s="145"/>
      <c r="ES88" s="145"/>
      <c r="EX88" s="152"/>
      <c r="EY88" s="152"/>
      <c r="FE88" s="153"/>
      <c r="FG88" s="145"/>
      <c r="FH88" s="145"/>
      <c r="FI88" s="154"/>
      <c r="FL88" s="161"/>
      <c r="FM88" s="162"/>
      <c r="FN88" s="162"/>
    </row>
    <row r="89" spans="2:170" ht="16" x14ac:dyDescent="0.2">
      <c r="B89" s="144"/>
      <c r="C89" s="138"/>
      <c r="G89" s="148"/>
      <c r="J89" s="154"/>
      <c r="K89" s="154"/>
      <c r="L89" s="154"/>
      <c r="Y89" s="139"/>
      <c r="Z89" s="144"/>
      <c r="AB89" s="163"/>
      <c r="AC89" s="163"/>
      <c r="AD89" s="163"/>
      <c r="AE89" s="164"/>
      <c r="AF89" s="164"/>
      <c r="AG89" s="165"/>
      <c r="AH89" s="165"/>
      <c r="AK89" s="147"/>
      <c r="AL89" s="147"/>
      <c r="BJ89" s="142"/>
      <c r="BO89" s="142"/>
      <c r="BP89" s="145"/>
      <c r="BQ89" s="150"/>
      <c r="BS89" s="150"/>
      <c r="CB89" s="149"/>
      <c r="CC89" s="145"/>
      <c r="CD89" s="145"/>
      <c r="CE89" s="145"/>
      <c r="CG89" s="145"/>
      <c r="CH89" s="145"/>
      <c r="CI89" s="145"/>
      <c r="CJ89" s="148"/>
      <c r="CO89" s="150"/>
      <c r="CQ89" s="150"/>
      <c r="CR89" s="150"/>
      <c r="CS89" s="151"/>
      <c r="DI89" s="142"/>
      <c r="DJ89" s="145"/>
      <c r="DK89" s="145"/>
      <c r="DL89" s="145"/>
      <c r="DM89" s="145"/>
      <c r="DN89" s="145"/>
      <c r="DO89" s="145"/>
      <c r="DP89" s="145"/>
      <c r="DQ89" s="145"/>
      <c r="DR89" s="145"/>
      <c r="DS89" s="145"/>
      <c r="DT89" s="145"/>
      <c r="DU89" s="145"/>
      <c r="DV89" s="145"/>
      <c r="DW89" s="148"/>
      <c r="EC89" s="150"/>
      <c r="EO89" s="152"/>
      <c r="EP89" s="152"/>
      <c r="EQ89" s="145"/>
      <c r="ER89" s="145"/>
      <c r="ES89" s="145"/>
      <c r="EX89" s="152"/>
      <c r="EY89" s="152"/>
      <c r="FE89" s="153"/>
      <c r="FG89" s="145"/>
      <c r="FH89" s="145"/>
      <c r="FI89" s="154"/>
      <c r="FL89" s="161"/>
      <c r="FM89" s="162"/>
      <c r="FN89" s="162"/>
    </row>
    <row r="90" spans="2:170" ht="16" x14ac:dyDescent="0.2">
      <c r="B90" s="144"/>
      <c r="C90" s="138"/>
      <c r="G90" s="148"/>
      <c r="J90" s="154"/>
      <c r="K90" s="154"/>
      <c r="L90" s="154"/>
      <c r="Y90" s="139"/>
      <c r="Z90" s="144"/>
      <c r="AB90" s="163"/>
      <c r="AC90" s="163"/>
      <c r="AD90" s="163"/>
      <c r="AE90" s="164"/>
      <c r="AF90" s="164"/>
      <c r="AG90" s="165"/>
      <c r="AH90" s="165"/>
      <c r="AK90" s="147"/>
      <c r="AL90" s="147"/>
      <c r="BJ90" s="142"/>
      <c r="BO90" s="142"/>
      <c r="BP90" s="145"/>
      <c r="BQ90" s="150"/>
      <c r="BS90" s="150"/>
      <c r="CB90" s="149"/>
      <c r="CC90" s="145"/>
      <c r="CD90" s="145"/>
      <c r="CE90" s="145"/>
      <c r="CG90" s="145"/>
      <c r="CH90" s="145"/>
      <c r="CI90" s="145"/>
      <c r="CJ90" s="148"/>
      <c r="CO90" s="150"/>
      <c r="CQ90" s="150"/>
      <c r="CR90" s="150"/>
      <c r="CS90" s="151"/>
      <c r="DI90" s="142"/>
      <c r="DJ90" s="145"/>
      <c r="DK90" s="145"/>
      <c r="DL90" s="145"/>
      <c r="DM90" s="145"/>
      <c r="DN90" s="145"/>
      <c r="DO90" s="145"/>
      <c r="DP90" s="145"/>
      <c r="DQ90" s="145"/>
      <c r="DR90" s="145"/>
      <c r="DS90" s="145"/>
      <c r="DT90" s="145"/>
      <c r="DU90" s="145"/>
      <c r="DV90" s="145"/>
      <c r="DW90" s="148"/>
      <c r="EC90" s="150"/>
      <c r="EO90" s="152"/>
      <c r="EP90" s="152"/>
      <c r="EQ90" s="145"/>
      <c r="ER90" s="145"/>
      <c r="ES90" s="145"/>
      <c r="EX90" s="152"/>
      <c r="EY90" s="152"/>
      <c r="FE90" s="153"/>
      <c r="FG90" s="145"/>
      <c r="FH90" s="145"/>
      <c r="FI90" s="154"/>
      <c r="FL90" s="161"/>
      <c r="FM90" s="162"/>
      <c r="FN90" s="162"/>
    </row>
    <row r="91" spans="2:170" ht="16" x14ac:dyDescent="0.2">
      <c r="B91" s="144"/>
      <c r="C91" s="138"/>
      <c r="G91" s="148"/>
      <c r="J91" s="154"/>
      <c r="K91" s="154"/>
      <c r="L91" s="154"/>
      <c r="Y91" s="139"/>
      <c r="Z91" s="144"/>
      <c r="AB91" s="158"/>
      <c r="AC91" s="158"/>
      <c r="AD91" s="158"/>
      <c r="AE91" s="159"/>
      <c r="AF91" s="159"/>
      <c r="AG91" s="160"/>
      <c r="AH91" s="160"/>
      <c r="AK91" s="147"/>
      <c r="AL91" s="147"/>
      <c r="BJ91" s="142"/>
      <c r="BO91" s="142"/>
      <c r="BP91" s="145"/>
      <c r="BQ91" s="150"/>
      <c r="BS91" s="150"/>
      <c r="CB91" s="149"/>
      <c r="CC91" s="145"/>
      <c r="CD91" s="145"/>
      <c r="CE91" s="145"/>
      <c r="CG91" s="145"/>
      <c r="CH91" s="145"/>
      <c r="CI91" s="145"/>
      <c r="CJ91" s="148"/>
      <c r="CO91" s="150"/>
      <c r="CQ91" s="150"/>
      <c r="CR91" s="150"/>
      <c r="CS91" s="151"/>
      <c r="DI91" s="142"/>
      <c r="DJ91" s="145"/>
      <c r="DK91" s="145"/>
      <c r="DL91" s="145"/>
      <c r="DM91" s="145"/>
      <c r="DN91" s="145"/>
      <c r="DO91" s="145"/>
      <c r="DP91" s="145"/>
      <c r="DQ91" s="145"/>
      <c r="DR91" s="145"/>
      <c r="DS91" s="145"/>
      <c r="DT91" s="145"/>
      <c r="DU91" s="145"/>
      <c r="DV91" s="145"/>
      <c r="DW91" s="148"/>
      <c r="EC91" s="150"/>
      <c r="EO91" s="152"/>
      <c r="EP91" s="152"/>
      <c r="EQ91" s="145"/>
      <c r="ER91" s="145"/>
      <c r="ES91" s="145"/>
      <c r="EX91" s="152"/>
      <c r="EY91" s="152"/>
      <c r="FE91" s="153"/>
      <c r="FG91" s="145"/>
      <c r="FH91" s="145"/>
      <c r="FI91" s="154"/>
      <c r="FL91" s="161"/>
      <c r="FM91" s="162"/>
      <c r="FN91" s="162"/>
    </row>
    <row r="92" spans="2:170" ht="16" x14ac:dyDescent="0.2">
      <c r="B92" s="144"/>
      <c r="C92" s="138"/>
      <c r="G92" s="148"/>
      <c r="J92" s="154"/>
      <c r="K92" s="154"/>
      <c r="L92" s="154"/>
      <c r="Y92" s="139"/>
      <c r="Z92" s="144"/>
      <c r="AB92" s="163"/>
      <c r="AC92" s="163"/>
      <c r="AD92" s="163"/>
      <c r="AE92" s="164"/>
      <c r="AF92" s="164"/>
      <c r="AG92" s="165"/>
      <c r="AH92" s="165"/>
      <c r="AK92" s="147"/>
      <c r="AL92" s="147"/>
      <c r="BJ92" s="142"/>
      <c r="BO92" s="142"/>
      <c r="BP92" s="145"/>
      <c r="BQ92" s="150"/>
      <c r="BS92" s="150"/>
      <c r="CB92" s="149"/>
      <c r="CC92" s="145"/>
      <c r="CD92" s="145"/>
      <c r="CE92" s="145"/>
      <c r="CG92" s="145"/>
      <c r="CH92" s="145"/>
      <c r="CI92" s="145"/>
      <c r="CJ92" s="148"/>
      <c r="CO92" s="150"/>
      <c r="CQ92" s="150"/>
      <c r="CR92" s="150"/>
      <c r="CS92" s="151"/>
      <c r="DI92" s="142"/>
      <c r="DJ92" s="145"/>
      <c r="DK92" s="145"/>
      <c r="DL92" s="145"/>
      <c r="DM92" s="145"/>
      <c r="DN92" s="145"/>
      <c r="DO92" s="145"/>
      <c r="DP92" s="145"/>
      <c r="DQ92" s="145"/>
      <c r="DR92" s="145"/>
      <c r="DS92" s="145"/>
      <c r="DT92" s="145"/>
      <c r="DU92" s="145"/>
      <c r="DV92" s="145"/>
      <c r="DW92" s="148"/>
      <c r="EC92" s="150"/>
      <c r="EO92" s="152"/>
      <c r="EP92" s="152"/>
      <c r="EQ92" s="145"/>
      <c r="ER92" s="145"/>
      <c r="ES92" s="145"/>
      <c r="EX92" s="152"/>
      <c r="EY92" s="152"/>
      <c r="FE92" s="153"/>
      <c r="FG92" s="145"/>
      <c r="FH92" s="145"/>
      <c r="FI92" s="154"/>
      <c r="FL92" s="161"/>
      <c r="FM92" s="162"/>
      <c r="FN92" s="162"/>
    </row>
    <row r="93" spans="2:170" ht="16" x14ac:dyDescent="0.2">
      <c r="B93" s="144"/>
      <c r="C93" s="138"/>
      <c r="G93" s="148"/>
      <c r="J93" s="154"/>
      <c r="K93" s="154"/>
      <c r="L93" s="154"/>
      <c r="Y93" s="139"/>
      <c r="Z93" s="144"/>
      <c r="AB93" s="158"/>
      <c r="AC93" s="158"/>
      <c r="AD93" s="158"/>
      <c r="AE93" s="159"/>
      <c r="AF93" s="159"/>
      <c r="AG93" s="160"/>
      <c r="AH93" s="160"/>
      <c r="AK93" s="147"/>
      <c r="AL93" s="147"/>
      <c r="BJ93" s="142"/>
      <c r="BO93" s="142"/>
      <c r="BP93" s="145"/>
      <c r="BQ93" s="150"/>
      <c r="BS93" s="150"/>
      <c r="CB93" s="149"/>
      <c r="CC93" s="145"/>
      <c r="CD93" s="145"/>
      <c r="CE93" s="145"/>
      <c r="CG93" s="145"/>
      <c r="CH93" s="145"/>
      <c r="CI93" s="145"/>
      <c r="CJ93" s="148"/>
      <c r="CO93" s="150"/>
      <c r="CQ93" s="150"/>
      <c r="CR93" s="150"/>
      <c r="CS93" s="151"/>
      <c r="DI93" s="142"/>
      <c r="DJ93" s="145"/>
      <c r="DK93" s="145"/>
      <c r="DL93" s="145"/>
      <c r="DM93" s="145"/>
      <c r="DN93" s="145"/>
      <c r="DO93" s="145"/>
      <c r="DP93" s="145"/>
      <c r="DQ93" s="145"/>
      <c r="DR93" s="145"/>
      <c r="DS93" s="145"/>
      <c r="DT93" s="145"/>
      <c r="DU93" s="145"/>
      <c r="DV93" s="145"/>
      <c r="DW93" s="148"/>
      <c r="EC93" s="150"/>
      <c r="EO93" s="152"/>
      <c r="EP93" s="152"/>
      <c r="EQ93" s="145"/>
      <c r="ER93" s="145"/>
      <c r="ES93" s="145"/>
      <c r="EX93" s="152"/>
      <c r="EY93" s="152"/>
      <c r="FE93" s="153"/>
      <c r="FG93" s="145"/>
      <c r="FH93" s="145"/>
      <c r="FI93" s="154"/>
      <c r="FL93" s="161"/>
      <c r="FM93" s="162"/>
      <c r="FN93" s="162"/>
    </row>
    <row r="94" spans="2:170" ht="16" x14ac:dyDescent="0.2">
      <c r="B94" s="144"/>
      <c r="C94" s="138"/>
      <c r="G94" s="148"/>
      <c r="J94" s="154"/>
      <c r="K94" s="154"/>
      <c r="L94" s="154"/>
      <c r="Y94" s="139"/>
      <c r="Z94" s="144"/>
      <c r="AB94" s="163"/>
      <c r="AC94" s="163"/>
      <c r="AD94" s="163"/>
      <c r="AE94" s="164"/>
      <c r="AF94" s="164"/>
      <c r="AG94" s="165"/>
      <c r="AH94" s="165"/>
      <c r="AK94" s="147"/>
      <c r="AL94" s="147"/>
      <c r="BJ94" s="142"/>
      <c r="BO94" s="142"/>
      <c r="BP94" s="145"/>
      <c r="BQ94" s="150"/>
      <c r="BS94" s="150"/>
      <c r="CB94" s="149"/>
      <c r="CC94" s="145"/>
      <c r="CD94" s="145"/>
      <c r="CE94" s="145"/>
      <c r="CG94" s="145"/>
      <c r="CH94" s="145"/>
      <c r="CI94" s="145"/>
      <c r="CJ94" s="148"/>
      <c r="CO94" s="150"/>
      <c r="CQ94" s="150"/>
      <c r="CR94" s="150"/>
      <c r="CS94" s="151"/>
      <c r="DI94" s="142"/>
      <c r="DJ94" s="145"/>
      <c r="DK94" s="145"/>
      <c r="DL94" s="145"/>
      <c r="DM94" s="145"/>
      <c r="DN94" s="145"/>
      <c r="DO94" s="145"/>
      <c r="DP94" s="145"/>
      <c r="DQ94" s="145"/>
      <c r="DR94" s="145"/>
      <c r="DS94" s="145"/>
      <c r="DT94" s="145"/>
      <c r="DU94" s="145"/>
      <c r="DV94" s="145"/>
      <c r="DW94" s="148"/>
      <c r="EC94" s="150"/>
      <c r="EO94" s="152"/>
      <c r="EP94" s="152"/>
      <c r="EQ94" s="145"/>
      <c r="ER94" s="145"/>
      <c r="ES94" s="145"/>
      <c r="EX94" s="152"/>
      <c r="EY94" s="152"/>
      <c r="FE94" s="153"/>
      <c r="FG94" s="145"/>
      <c r="FH94" s="145"/>
      <c r="FI94" s="154"/>
      <c r="FL94" s="161"/>
      <c r="FM94" s="162"/>
      <c r="FN94" s="162"/>
    </row>
    <row r="95" spans="2:170" ht="16" x14ac:dyDescent="0.2">
      <c r="B95" s="144"/>
      <c r="C95" s="138"/>
      <c r="G95" s="148"/>
      <c r="J95" s="154"/>
      <c r="K95" s="154"/>
      <c r="L95" s="154"/>
      <c r="Y95" s="139"/>
      <c r="Z95" s="144"/>
      <c r="AB95" s="158"/>
      <c r="AC95" s="158"/>
      <c r="AD95" s="158"/>
      <c r="AE95" s="159"/>
      <c r="AF95" s="159"/>
      <c r="AG95" s="160"/>
      <c r="AH95" s="160"/>
      <c r="AK95" s="147"/>
      <c r="AL95" s="147"/>
      <c r="BJ95" s="142"/>
      <c r="BO95" s="142"/>
      <c r="BP95" s="145"/>
      <c r="BQ95" s="150"/>
      <c r="BS95" s="150"/>
      <c r="CB95" s="149"/>
      <c r="CC95" s="145"/>
      <c r="CD95" s="145"/>
      <c r="CE95" s="145"/>
      <c r="CG95" s="145"/>
      <c r="CH95" s="145"/>
      <c r="CI95" s="145"/>
      <c r="CJ95" s="148"/>
      <c r="CO95" s="150"/>
      <c r="CQ95" s="150"/>
      <c r="CR95" s="150"/>
      <c r="CS95" s="151"/>
      <c r="DI95" s="142"/>
      <c r="DJ95" s="145"/>
      <c r="DK95" s="145"/>
      <c r="DL95" s="145"/>
      <c r="DM95" s="145"/>
      <c r="DN95" s="145"/>
      <c r="DO95" s="145"/>
      <c r="DP95" s="145"/>
      <c r="DQ95" s="145"/>
      <c r="DR95" s="145"/>
      <c r="DS95" s="145"/>
      <c r="DT95" s="145"/>
      <c r="DU95" s="145"/>
      <c r="DV95" s="145"/>
      <c r="DW95" s="148"/>
      <c r="EC95" s="150"/>
      <c r="EO95" s="152"/>
      <c r="EP95" s="152"/>
      <c r="EQ95" s="145"/>
      <c r="ER95" s="145"/>
      <c r="ES95" s="145"/>
      <c r="EX95" s="152"/>
      <c r="EY95" s="152"/>
      <c r="FE95" s="153"/>
      <c r="FG95" s="145"/>
      <c r="FH95" s="145"/>
      <c r="FI95" s="154"/>
      <c r="FL95" s="161"/>
      <c r="FM95" s="162"/>
      <c r="FN95" s="162"/>
    </row>
    <row r="96" spans="2:170" ht="16" x14ac:dyDescent="0.2">
      <c r="B96" s="144"/>
      <c r="C96" s="138"/>
      <c r="G96" s="148"/>
      <c r="J96" s="154"/>
      <c r="K96" s="154"/>
      <c r="L96" s="154"/>
      <c r="Y96" s="139"/>
      <c r="Z96" s="144"/>
      <c r="AB96" s="158"/>
      <c r="AC96" s="158"/>
      <c r="AD96" s="158"/>
      <c r="AE96" s="159"/>
      <c r="AF96" s="159"/>
      <c r="AG96" s="160"/>
      <c r="AH96" s="160"/>
      <c r="AK96" s="147"/>
      <c r="AL96" s="147"/>
      <c r="BJ96" s="142"/>
      <c r="BO96" s="142"/>
      <c r="BP96" s="145"/>
      <c r="BQ96" s="150"/>
      <c r="BS96" s="150"/>
      <c r="CB96" s="149"/>
      <c r="CC96" s="145"/>
      <c r="CD96" s="145"/>
      <c r="CE96" s="145"/>
      <c r="CG96" s="145"/>
      <c r="CH96" s="145"/>
      <c r="CI96" s="145"/>
      <c r="CJ96" s="148"/>
      <c r="CO96" s="150"/>
      <c r="CQ96" s="150"/>
      <c r="CR96" s="150"/>
      <c r="CS96" s="151"/>
      <c r="DI96" s="142"/>
      <c r="DJ96" s="145"/>
      <c r="DK96" s="145"/>
      <c r="DL96" s="145"/>
      <c r="DM96" s="145"/>
      <c r="DN96" s="145"/>
      <c r="DO96" s="145"/>
      <c r="DP96" s="145"/>
      <c r="DQ96" s="145"/>
      <c r="DR96" s="145"/>
      <c r="DS96" s="145"/>
      <c r="DT96" s="145"/>
      <c r="DU96" s="145"/>
      <c r="DV96" s="145"/>
      <c r="DW96" s="148"/>
      <c r="EC96" s="150"/>
      <c r="EO96" s="152"/>
      <c r="EP96" s="152"/>
      <c r="EQ96" s="145"/>
      <c r="ER96" s="145"/>
      <c r="ES96" s="145"/>
      <c r="EX96" s="152"/>
      <c r="EY96" s="152"/>
      <c r="FE96" s="153"/>
      <c r="FG96" s="145"/>
      <c r="FH96" s="145"/>
      <c r="FI96" s="154"/>
      <c r="FL96" s="161"/>
      <c r="FM96" s="162"/>
      <c r="FN96" s="162"/>
    </row>
    <row r="97" spans="2:170" ht="16" x14ac:dyDescent="0.2">
      <c r="B97" s="144"/>
      <c r="C97" s="138"/>
      <c r="G97" s="148"/>
      <c r="J97" s="154"/>
      <c r="K97" s="154"/>
      <c r="L97" s="154"/>
      <c r="Y97" s="139"/>
      <c r="Z97" s="144"/>
      <c r="AB97" s="163"/>
      <c r="AC97" s="163"/>
      <c r="AD97" s="163"/>
      <c r="AE97" s="164"/>
      <c r="AF97" s="164"/>
      <c r="AG97" s="165"/>
      <c r="AH97" s="165"/>
      <c r="AK97" s="147"/>
      <c r="AL97" s="147"/>
      <c r="BJ97" s="142"/>
      <c r="BO97" s="142"/>
      <c r="BP97" s="145"/>
      <c r="BQ97" s="150"/>
      <c r="BS97" s="150"/>
      <c r="CB97" s="149"/>
      <c r="CC97" s="145"/>
      <c r="CD97" s="145"/>
      <c r="CE97" s="145"/>
      <c r="CG97" s="145"/>
      <c r="CH97" s="145"/>
      <c r="CI97" s="145"/>
      <c r="CJ97" s="148"/>
      <c r="CO97" s="150"/>
      <c r="CQ97" s="150"/>
      <c r="CR97" s="150"/>
      <c r="CS97" s="151"/>
      <c r="DI97" s="142"/>
      <c r="DJ97" s="145"/>
      <c r="DK97" s="145"/>
      <c r="DL97" s="145"/>
      <c r="DM97" s="145"/>
      <c r="DN97" s="145"/>
      <c r="DO97" s="145"/>
      <c r="DP97" s="145"/>
      <c r="DQ97" s="145"/>
      <c r="DR97" s="145"/>
      <c r="DS97" s="145"/>
      <c r="DT97" s="145"/>
      <c r="DU97" s="145"/>
      <c r="DV97" s="145"/>
      <c r="DW97" s="148"/>
      <c r="EC97" s="150"/>
      <c r="EO97" s="152"/>
      <c r="EP97" s="152"/>
      <c r="EQ97" s="145"/>
      <c r="ER97" s="145"/>
      <c r="ES97" s="145"/>
      <c r="EX97" s="152"/>
      <c r="EY97" s="152"/>
      <c r="FE97" s="153"/>
      <c r="FG97" s="145"/>
      <c r="FH97" s="145"/>
      <c r="FI97" s="154"/>
      <c r="FL97" s="161"/>
      <c r="FM97" s="162"/>
      <c r="FN97" s="162"/>
    </row>
    <row r="98" spans="2:170" ht="16" x14ac:dyDescent="0.2">
      <c r="B98" s="144"/>
      <c r="C98" s="138"/>
      <c r="G98" s="148"/>
      <c r="J98" s="154"/>
      <c r="K98" s="154"/>
      <c r="L98" s="154"/>
      <c r="Y98" s="139"/>
      <c r="Z98" s="144"/>
      <c r="AB98" s="158"/>
      <c r="AC98" s="158"/>
      <c r="AD98" s="158"/>
      <c r="AE98" s="159"/>
      <c r="AF98" s="159"/>
      <c r="AG98" s="160"/>
      <c r="AH98" s="160"/>
      <c r="AK98" s="147"/>
      <c r="AL98" s="147"/>
      <c r="BJ98" s="142"/>
      <c r="BO98" s="142"/>
      <c r="BP98" s="145"/>
      <c r="BQ98" s="150"/>
      <c r="BS98" s="150"/>
      <c r="CB98" s="149"/>
      <c r="CC98" s="145"/>
      <c r="CD98" s="145"/>
      <c r="CE98" s="145"/>
      <c r="CG98" s="145"/>
      <c r="CH98" s="145"/>
      <c r="CI98" s="145"/>
      <c r="CJ98" s="148"/>
      <c r="CO98" s="150"/>
      <c r="CQ98" s="150"/>
      <c r="CR98" s="150"/>
      <c r="CS98" s="151"/>
      <c r="DI98" s="142"/>
      <c r="DJ98" s="145"/>
      <c r="DK98" s="145"/>
      <c r="DL98" s="145"/>
      <c r="DM98" s="145"/>
      <c r="DN98" s="145"/>
      <c r="DO98" s="145"/>
      <c r="DP98" s="145"/>
      <c r="DQ98" s="145"/>
      <c r="DR98" s="145"/>
      <c r="DS98" s="145"/>
      <c r="DT98" s="145"/>
      <c r="DU98" s="145"/>
      <c r="DV98" s="145"/>
      <c r="DW98" s="148"/>
      <c r="EC98" s="150"/>
      <c r="EO98" s="152"/>
      <c r="EP98" s="152"/>
      <c r="EQ98" s="145"/>
      <c r="ER98" s="145"/>
      <c r="ES98" s="145"/>
      <c r="EX98" s="152"/>
      <c r="EY98" s="152"/>
      <c r="FE98" s="153"/>
      <c r="FG98" s="145"/>
      <c r="FH98" s="145"/>
      <c r="FI98" s="154"/>
      <c r="FL98" s="161"/>
      <c r="FM98" s="154"/>
      <c r="FN98" s="154"/>
    </row>
  </sheetData>
  <mergeCells count="1">
    <mergeCell ref="S2:W2"/>
  </mergeCells>
  <hyperlinks>
    <hyperlink ref="B4" r:id="rId1" display="hoenisch@ldeo.columbia.edu" xr:uid="{8A76575F-4820-D744-A8A0-0CCB4B8432B5}"/>
    <hyperlink ref="B5" r:id="rId2" display="hoenisch@ldeo.columbia.edu" xr:uid="{DB61CD66-01D9-934C-A926-B756DF037BD5}"/>
    <hyperlink ref="B6" r:id="rId3" display="hoenisch@ldeo.columbia.edu" xr:uid="{A2F51006-CA28-CB41-9F33-81FC4B6E992A}"/>
    <hyperlink ref="B7" r:id="rId4" display="hoenisch@ldeo.columbia.edu" xr:uid="{04B3500D-AF0C-A74E-9001-9B33198AE592}"/>
    <hyperlink ref="B8" r:id="rId5" display="hoenisch@ldeo.columbia.edu" xr:uid="{01F4050D-30C1-B94B-8BBB-4DF7B53FCE38}"/>
    <hyperlink ref="B9" r:id="rId6" display="hoenisch@ldeo.columbia.edu" xr:uid="{AFE6147B-6B21-FA4C-A61B-C3480497E447}"/>
    <hyperlink ref="B10" r:id="rId7" display="hoenisch@ldeo.columbia.edu" xr:uid="{6DDFBC95-B93C-4842-B5EA-FE5E65CE7181}"/>
    <hyperlink ref="B11" r:id="rId8" display="hoenisch@ldeo.columbia.edu" xr:uid="{205CE25B-C67B-E349-946B-1B8B0D3B8BB1}"/>
    <hyperlink ref="B12" r:id="rId9" display="hoenisch@ldeo.columbia.edu" xr:uid="{B784E990-0E86-9847-B0E4-45C3E70C0202}"/>
    <hyperlink ref="B13" r:id="rId10" display="hoenisch@ldeo.columbia.edu" xr:uid="{979A765A-D382-5344-B6B3-D00B011B8D25}"/>
    <hyperlink ref="B14" r:id="rId11" display="hoenisch@ldeo.columbia.edu" xr:uid="{797C7839-54A3-7F42-9D7F-5E79613A6063}"/>
    <hyperlink ref="B15" r:id="rId12" display="hoenisch@ldeo.columbia.edu" xr:uid="{9C43482C-50FD-5749-9543-00FFD2811B19}"/>
    <hyperlink ref="B16" r:id="rId13" display="hoenisch@ldeo.columbia.edu" xr:uid="{91BED90B-BD38-E548-BEF9-EF4F5468984B}"/>
    <hyperlink ref="B17" r:id="rId14" display="hoenisch@ldeo.columbia.edu" xr:uid="{5CA3E5DC-DDED-044B-B1DB-80F8CDE9119B}"/>
    <hyperlink ref="B18" r:id="rId15" display="hoenisch@ldeo.columbia.edu" xr:uid="{EAB15D7E-07F6-4C45-BBA7-7BD821F1403E}"/>
    <hyperlink ref="B19" r:id="rId16" display="hoenisch@ldeo.columbia.edu" xr:uid="{04D1CCB6-7F11-D44A-A633-BED9B7F143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2022-03-17T18:01:30Z</dcterms:modified>
</cp:coreProperties>
</file>