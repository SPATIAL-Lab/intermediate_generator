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1"/>
  <workbookPr/>
  <mc:AlternateContent xmlns:mc="http://schemas.openxmlformats.org/markup-compatibility/2006">
    <mc:Choice Requires="x15">
      <x15ac:absPath xmlns:x15ac="http://schemas.microsoft.com/office/spreadsheetml/2010/11/ac" url="/Users/mjh1c09/Dropbox/product March 2022/"/>
    </mc:Choice>
  </mc:AlternateContent>
  <xr:revisionPtr revIDLastSave="0" documentId="13_ncr:1_{15CE3E92-909A-684F-AA44-3FD719D7B3C2}" xr6:coauthVersionLast="47" xr6:coauthVersionMax="47" xr10:uidLastSave="{00000000-0000-0000-0000-000000000000}"/>
  <bookViews>
    <workbookView xWindow="2600" yWindow="398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17" i="1" l="1"/>
  <c r="I17" i="1"/>
  <c r="H18" i="1"/>
  <c r="I18" i="1"/>
  <c r="H19" i="1"/>
  <c r="I19" i="1"/>
  <c r="H20" i="1"/>
  <c r="I20" i="1"/>
  <c r="I16" i="1"/>
  <c r="H16" i="1"/>
  <c r="I15" i="1"/>
  <c r="H15" i="1"/>
  <c r="I11" i="1"/>
  <c r="H11" i="1"/>
  <c r="I6" i="1"/>
  <c r="H6" i="1"/>
  <c r="I5" i="1"/>
  <c r="H5" i="1"/>
  <c r="I14" i="1"/>
  <c r="H14" i="1"/>
  <c r="I13" i="1"/>
  <c r="H13" i="1"/>
  <c r="I12" i="1"/>
  <c r="H12" i="1"/>
  <c r="H8" i="1"/>
  <c r="I8" i="1"/>
  <c r="H9" i="1"/>
  <c r="I9" i="1"/>
  <c r="H10" i="1"/>
  <c r="I10" i="1"/>
  <c r="I7" i="1"/>
  <c r="H7" i="1"/>
  <c r="I4" i="1"/>
  <c r="H4" i="1"/>
  <c r="F6" i="1"/>
  <c r="G6" i="1"/>
  <c r="F7" i="1"/>
  <c r="G7" i="1"/>
  <c r="F8" i="1"/>
  <c r="G8" i="1"/>
  <c r="F9" i="1"/>
  <c r="G9" i="1"/>
  <c r="F10" i="1"/>
  <c r="G10" i="1"/>
  <c r="F11" i="1"/>
  <c r="G11" i="1"/>
  <c r="F12" i="1"/>
  <c r="G12" i="1"/>
  <c r="F13" i="1"/>
  <c r="G13" i="1"/>
  <c r="F14" i="1"/>
  <c r="G14" i="1"/>
  <c r="F15" i="1"/>
  <c r="G15" i="1"/>
  <c r="F16" i="1"/>
  <c r="G16" i="1"/>
  <c r="F17" i="1"/>
  <c r="G17" i="1"/>
  <c r="F18" i="1"/>
  <c r="G18" i="1"/>
  <c r="F19" i="1"/>
  <c r="G19" i="1"/>
  <c r="F20" i="1"/>
  <c r="G20" i="1"/>
  <c r="G5" i="1"/>
  <c r="F5" i="1"/>
  <c r="CO20" i="1"/>
  <c r="CO19" i="1"/>
  <c r="CO18" i="1"/>
  <c r="CO17" i="1"/>
  <c r="CO16" i="1"/>
  <c r="CO15" i="1"/>
  <c r="CO14" i="1"/>
  <c r="CO13" i="1"/>
  <c r="CO12" i="1"/>
  <c r="CO11" i="1"/>
  <c r="CO10" i="1"/>
  <c r="CO9" i="1"/>
  <c r="CO8" i="1"/>
  <c r="CO7" i="1"/>
  <c r="CD7" i="1"/>
  <c r="CB7" i="1"/>
  <c r="CO6" i="1"/>
  <c r="CO5" i="1"/>
  <c r="CD5" i="1"/>
  <c r="CB5" i="1"/>
  <c r="CO4" i="1"/>
  <c r="G4" i="1"/>
  <c r="F4" i="1"/>
</calcChain>
</file>

<file path=xl/sharedStrings.xml><?xml version="1.0" encoding="utf-8"?>
<sst xmlns="http://schemas.openxmlformats.org/spreadsheetml/2006/main" count="2265" uniqueCount="317">
  <si>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</si>
  <si>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</si>
  <si>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</si>
  <si>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</si>
  <si>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</si>
  <si>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</si>
  <si>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</si>
  <si>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</si>
  <si>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</si>
  <si>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</si>
  <si>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</si>
  <si>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</si>
  <si>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</si>
  <si>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</si>
  <si>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</si>
  <si>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</si>
  <si>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</si>
  <si>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</si>
  <si>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</si>
  <si>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</si>
  <si>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</si>
  <si>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</si>
  <si>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</si>
  <si>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</si>
  <si>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</si>
  <si>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</si>
  <si>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</si>
  <si>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</si>
  <si>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</si>
  <si>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</si>
  <si>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</si>
  <si>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</si>
  <si>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</si>
  <si>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</si>
  <si>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</si>
  <si>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</si>
  <si>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</si>
  <si>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</si>
  <si>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</si>
  <si>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</si>
  <si>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</si>
  <si>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</si>
  <si>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</si>
  <si>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</si>
  <si>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</si>
  <si>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</si>
  <si>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</si>
  <si>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</si>
  <si>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</si>
  <si>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</si>
  <si>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</si>
  <si>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</si>
  <si>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</si>
  <si>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</si>
  <si>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</si>
  <si>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</si>
  <si>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</si>
  <si>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</si>
  <si>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</si>
  <si>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</si>
  <si>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</si>
  <si>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</si>
  <si>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</si>
  <si>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</si>
  <si>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</si>
  <si>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</si>
  <si>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</si>
  <si>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</si>
  <si>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</si>
  <si>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</si>
  <si>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</si>
  <si>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</si>
  <si>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</si>
  <si>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</si>
  <si>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</si>
  <si>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</si>
  <si>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</si>
  <si>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</si>
  <si>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</si>
  <si>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</si>
  <si>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</si>
  <si>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</si>
  <si>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</si>
  <si>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</si>
  <si>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</si>
  <si>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</si>
  <si>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</si>
  <si>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</si>
  <si>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</si>
  <si>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</si>
  <si>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</si>
  <si>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</si>
  <si>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</si>
  <si>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</si>
  <si>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</si>
  <si>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</si>
  <si>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</si>
  <si>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</si>
  <si>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</si>
  <si>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</si>
  <si>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</si>
  <si>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</si>
  <si>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</si>
  <si>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</si>
  <si>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</si>
  <si>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</si>
  <si>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</si>
  <si>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</si>
  <si>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</si>
  <si>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</si>
  <si>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</si>
  <si>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</si>
  <si>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</si>
  <si>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</si>
  <si>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</si>
  <si>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</si>
  <si>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</si>
  <si>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</si>
  <si>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</si>
  <si>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</si>
  <si>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</si>
  <si>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</si>
  <si>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</si>
  <si>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</si>
  <si>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</si>
  <si>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</si>
  <si>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</si>
  <si>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</si>
  <si>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</si>
  <si>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</si>
  <si>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</si>
  <si>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</si>
  <si>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</si>
  <si>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</si>
  <si>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</si>
  <si>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</si>
  <si>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</si>
  <si>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</si>
  <si>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</si>
  <si>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</si>
  <si>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</si>
  <si>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</si>
  <si>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</si>
  <si>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</si>
  <si>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</si>
  <si>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</si>
  <si>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</si>
  <si>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</si>
  <si>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</si>
  <si>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</si>
  <si>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</si>
  <si>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</si>
  <si>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</si>
  <si>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</si>
  <si>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</si>
  <si>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</si>
  <si>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</si>
  <si>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</si>
  <si>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</si>
  <si>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</si>
  <si>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</si>
  <si>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</si>
  <si>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</si>
  <si>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</si>
  <si>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</si>
  <si>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</si>
  <si>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</si>
  <si>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</si>
  <si>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notes about uncertainty estimate: e.g., included calibration slope and intercept</t>
  </si>
  <si>
    <t>Henehan, M. J.,  Ridgwell, A., Thomas, E., Zhang, S., Alegret, L., Schmidt, D. N., Rae, J. W. B., Witts, J. D., Landman, N. H., Greene, S. E. Huber, B. T. Super, J. R., Planavsky, N. J. and Hull, P. M. (2019).  Rapid ocean acidification and protracted Earth
system recovery followed the end-Cretaceous
Chicxulub impact. Proceedings of the National Academy of Sciences, in press. www.pnas.org/cgi/doi/10.1073/pnas.1905989116</t>
  </si>
  <si>
    <t xml:space="preserve">10.1073/pnas.1905989116 </t>
  </si>
  <si>
    <t>DSDP 465</t>
  </si>
  <si>
    <t>A</t>
  </si>
  <si>
    <t>63.17 mbsf</t>
  </si>
  <si>
    <t>Pacific Ocean</t>
  </si>
  <si>
    <t xml:space="preserve">Alegret L, Thomas E (2005) Cretaceous/Paleogene boundary bathyal paleo-environments in the central North Pacific (DSDP Site 465), the Northwestern Atlantic (ODP Site 1049), the Gulf of Mexico and the Tethys: The benthic foraminiferal record. Palaeogeography, Palaeoclimatology, Palaeoecology 224(1-3):53–82. Alegret L, Thomas E (2009) Food supply to the seafloor in the Pacific Ocean after the Cretaceous/Paleogene boundary event. Marine Micropaleontology 73(1-2):105–116. Boersma A, Shackleton NJ (1981) Oxygen and carbon-isotope variations and planktonic-foraminifer depth habitats, Late Cretaceous to Paleocene, Central Pacific, Deep Sea Drilling Project Sites 463 and 465. Initial Reports of the Deep Sea Drilling Project 62:513–526. Vallier TL, Rea DK, Dean WE, Thiede J, Adelseck CG (1981) The Geology of Hess Rise, Central North Pacific Ocean. Initial Reports of the Deep Sea Drilling Project 62:1031–1061. </t>
  </si>
  <si>
    <t>none</t>
  </si>
  <si>
    <t>set value</t>
  </si>
  <si>
    <t>GTS2012</t>
  </si>
  <si>
    <t>Used FAD of M. prinsii from Henriksson (1993, Cretaceous Research), assumed age from GTS2012 and linear sed rate to K-Pg</t>
  </si>
  <si>
    <t>Contusotruncana contusa</t>
  </si>
  <si>
    <t>&gt; 425 µm</t>
  </si>
  <si>
    <t>~100</t>
  </si>
  <si>
    <t>1-6</t>
  </si>
  <si>
    <t>Henehan et al. (2016) EPSL 454:282–292.</t>
  </si>
  <si>
    <t>Column Chemistry</t>
  </si>
  <si>
    <t>MC-ICPMS</t>
  </si>
  <si>
    <t>14.13,14.43</t>
  </si>
  <si>
    <t>Relationship between sample size and long term reproducibility of JCP standards</t>
  </si>
  <si>
    <t>None applied</t>
  </si>
  <si>
    <t>pH offset applied to 'borate calibration' based on pH offset seen from co-habiting benthics- varies with each MC replicate</t>
  </si>
  <si>
    <r>
      <t xml:space="preserve">As Geulhemmerberg </t>
    </r>
    <r>
      <rPr>
        <i/>
        <sz val="12"/>
        <color theme="1"/>
        <rFont val="Calibri"/>
        <family val="2"/>
        <scheme val="minor"/>
      </rPr>
      <t>Heterohelix</t>
    </r>
  </si>
  <si>
    <t>Not calculated via a calibration</t>
  </si>
  <si>
    <t>uncertainty on is calculated by calculating as borate, and then or each of the Monte Carlo simulated datasets, correcting for the difference in reconstructed pH between cohabiting mixed layer Cibs (no vitals) and Heterohelix</t>
  </si>
  <si>
    <t>Monte Carlo</t>
  </si>
  <si>
    <t>none applied</t>
  </si>
  <si>
    <t>95%interquantile of MC runs, using normally distributed error in measurement, and propagating pH correction uncertainty</t>
  </si>
  <si>
    <t>Set %</t>
  </si>
  <si>
    <r>
      <t>Mg</t>
    </r>
    <r>
      <rPr>
        <sz val="9"/>
        <color theme="1"/>
        <rFont val="MTMI"/>
      </rPr>
      <t>/</t>
    </r>
    <r>
      <rPr>
        <sz val="8"/>
        <color theme="1"/>
        <rFont val="Gulliver"/>
      </rPr>
      <t>Ca</t>
    </r>
    <r>
      <rPr>
        <sz val="6"/>
        <color theme="1"/>
        <rFont val="Gulliver"/>
      </rPr>
      <t xml:space="preserve">test </t>
    </r>
    <r>
      <rPr>
        <sz val="9"/>
        <color theme="1"/>
        <rFont val="MTSYN"/>
      </rPr>
      <t>=</t>
    </r>
    <r>
      <rPr>
        <sz val="8"/>
        <color theme="1"/>
        <rFont val="Gulliver"/>
      </rPr>
      <t>Bexp</t>
    </r>
    <r>
      <rPr>
        <sz val="6"/>
        <color theme="1"/>
        <rFont val="Gulliver"/>
      </rPr>
      <t xml:space="preserve">AT </t>
    </r>
  </si>
  <si>
    <t>Evans et al. (2016, EPSL) http://dx.doi.org/10.1016/j.epsl.2016.01.013; pick of 6 calibrations that best fits our TEX data with K-Pg sw</t>
  </si>
  <si>
    <t>A=(0.003201*(MgCasw^2))+(0.068129); B=(-0.01483*(MgCasw^2))+(0.165054*MgCasw)+0.023605</t>
  </si>
  <si>
    <t>Linear fit of Evans et al. (2016, Climate of the Past)</t>
  </si>
  <si>
    <t>Derived from GENIE late Maastrichtian simulation, given palaeolocation</t>
  </si>
  <si>
    <t>NA- none applied</t>
  </si>
  <si>
    <t>Linear interpolation Brennan et al. 2013 AJS &amp; Timofeef et al. GCA 2006)</t>
  </si>
  <si>
    <t>Gothmann et al. (2015) Mg/Ca ratio</t>
  </si>
  <si>
    <t>modern</t>
  </si>
  <si>
    <t>set salinity value- uncertainty on B/Salinity relationship not included</t>
  </si>
  <si>
    <t>Lowered to account for lower Cretaceous [B] from Lemarchand et al 2002</t>
  </si>
  <si>
    <t>uniform distribution</t>
  </si>
  <si>
    <t>Hain MP, Sigman DM, Higgins JA, Haug GH (2015) The effects of secular calcium and magnesium concentration changes on the thermodynamics of seawater acid/base chemistry: Implications for Eocene and Cretaceous ocean carbon chemistry and buffering. Global Biogeochemical Cycles p. 2014GB004986.</t>
  </si>
  <si>
    <t>Millero FJ (1995) Thermodynamics of the carbon dioxide system in the oceans. Geochimica et Cosmochimica Acta 59(4):661–677. Orr JC, Epitalon JM, Gattuso JP (2015) Comparison of ten packages that compute ocean carbonate chemistry. Biogeosciences 12:1483–1510.</t>
  </si>
  <si>
    <t>Klochko et al. (2006)</t>
  </si>
  <si>
    <t>none- R code</t>
  </si>
  <si>
    <t>Total Alkalinity</t>
  </si>
  <si>
    <t>from GENIE Maastrichtian run (given palaeolocations), with time dependent relative change in Alk from LOSCAR simulation that matches CCD evolution</t>
  </si>
  <si>
    <t xml:space="preserve">set value </t>
  </si>
  <si>
    <t>total scale</t>
  </si>
  <si>
    <t>MonteCarlo Error Propagation</t>
  </si>
  <si>
    <t>salinity, alkalinity, d11B analysis, Mg/Ca analysis, d11Bsw,</t>
  </si>
  <si>
    <t xml:space="preserve">NA </t>
  </si>
  <si>
    <t>Geulhemmerberg, 'E' clay</t>
  </si>
  <si>
    <t>Netherlands Margin</t>
  </si>
  <si>
    <r>
      <t xml:space="preserve">Smit J, Brinkhuis H (1996) The Geulhemmerberg Cretaceous/Tertiary boundary section (Maastrichtian type area, SE Netherlands); summary of results and a scenario of events. </t>
    </r>
    <r>
      <rPr>
        <i/>
        <sz val="9"/>
        <color theme="1"/>
        <rFont val="NimbusRomNo9L"/>
      </rPr>
      <t xml:space="preserve">Geologie en Mijnbouw </t>
    </r>
    <r>
      <rPr>
        <sz val="9"/>
        <color theme="1"/>
        <rFont val="NimbusRomNo9L"/>
      </rPr>
      <t xml:space="preserve">75:283–293. </t>
    </r>
  </si>
  <si>
    <t>Age assigned from Smit&amp;Brinkhuis (1996)</t>
  </si>
  <si>
    <r>
      <rPr>
        <i/>
        <sz val="12"/>
        <color theme="1"/>
        <rFont val="Calibri"/>
        <family val="2"/>
        <scheme val="minor"/>
      </rPr>
      <t>Cibicidoides succedens-alleni</t>
    </r>
    <r>
      <rPr>
        <sz val="11"/>
        <color theme="1"/>
        <rFont val="Calibri"/>
        <family val="2"/>
        <scheme val="minor"/>
      </rPr>
      <t xml:space="preserve"> plexus</t>
    </r>
  </si>
  <si>
    <t>&gt;212 µm</t>
  </si>
  <si>
    <t>13.35,13.60</t>
  </si>
  <si>
    <t>None</t>
  </si>
  <si>
    <t>normal distribution</t>
  </si>
  <si>
    <t>Root Mean Square Error</t>
  </si>
  <si>
    <t>SST = 68.4 x (GDGT index - 2) + 38.6</t>
  </si>
  <si>
    <t>Kim et al (2010) TEX-H</t>
  </si>
  <si>
    <t>Yes, used to discern best Mg/Ca calibration</t>
  </si>
  <si>
    <t>10.1073/pnas.1905989116</t>
  </si>
  <si>
    <t>Heterohelix globulosa</t>
  </si>
  <si>
    <t>150-212 µm</t>
  </si>
  <si>
    <t>3000-7500</t>
  </si>
  <si>
    <t>12.99,13.32</t>
  </si>
  <si>
    <t>OwlCreek</t>
  </si>
  <si>
    <t>2M above creek bed</t>
  </si>
  <si>
    <t>Gulf Coast</t>
  </si>
  <si>
    <t>Sessa JA, et al. (2015) Ammonite habitat revealed via isotopic composition and comparisons with co-occurring benthic and planktonic organisms. Proceedings of the National Academy of Sciences p. 201507554. Larina E, et al. (2016) Upper Maastrichtian ammonite biostratigraphy of the Gulf Coastal Plain (Mississippi Embayment, southern USA). Cretaceous Research 60:128–151.</t>
  </si>
  <si>
    <t>Regional sedimentation rate and biostrat</t>
  </si>
  <si>
    <t>14.63,14.83</t>
  </si>
  <si>
    <t>ODP 1049</t>
  </si>
  <si>
    <t>C</t>
  </si>
  <si>
    <t>118.8325 mbsf</t>
  </si>
  <si>
    <t>North Atlantic</t>
  </si>
  <si>
    <t xml:space="preserve">Alegret L, Thomas E (2004) Benthic foraminifera and environmental turnover across the Cretaceous/Paleogene boundary at Blake Nose (ODP Hole 1049C, Northwestern Atlantic). Palaeogeography, Palaeoclimatology, Palaeoecology 208(1-2):59–83. </t>
  </si>
  <si>
    <t>extrapolated magnetostrat values from Huber et al. (JFR, 2008) on GTS2012</t>
  </si>
  <si>
    <t>355-425 µm</t>
  </si>
  <si>
    <t>13.72,13.97,13.89,13.79,13.75,13.82,13.86,13.85</t>
  </si>
  <si>
    <t>150-212µm</t>
  </si>
  <si>
    <t>13.91,13.76</t>
  </si>
  <si>
    <t>113.58 mbsf</t>
  </si>
  <si>
    <t>13.39,13.53</t>
  </si>
  <si>
    <t>12.64,13.17</t>
  </si>
  <si>
    <t>Brazos River</t>
  </si>
  <si>
    <t>DMC1</t>
  </si>
  <si>
    <t>10cm below K-Pg</t>
  </si>
  <si>
    <t>Leighton AD, Hart MB, Smart CW, Leng MJ, Hampton M (2017) Timing recovery after the Cretaceous/Paleogene Boundary: Evidence from the Brazos River, Texas, USA. Journal of Foraminiferal Research 47(3):229–238.</t>
  </si>
  <si>
    <t xml:space="preserve">Regional sedimentation rate and biostrat, FAD of Pl. hantkeninoides. </t>
  </si>
  <si>
    <r>
      <rPr>
        <i/>
        <sz val="12"/>
        <color theme="1"/>
        <rFont val="Calibri"/>
        <family val="2"/>
        <scheme val="minor"/>
      </rPr>
      <t>Heterohelix</t>
    </r>
    <r>
      <rPr>
        <sz val="11"/>
        <color theme="1"/>
        <rFont val="Calibri"/>
        <family val="2"/>
        <scheme val="minor"/>
      </rPr>
      <t xml:space="preserve"> sp.</t>
    </r>
  </si>
  <si>
    <t>13.84,13.93</t>
  </si>
  <si>
    <t>DMC2</t>
  </si>
  <si>
    <t>20cm below K-Pg</t>
  </si>
  <si>
    <t>30cm below K-Pg</t>
  </si>
  <si>
    <r>
      <t xml:space="preserve">Leighton AD, Hart MB, Smart CW, Leng MJ, Hampton M (2017) Timing recovery after the Cretaceous/Paleogene Boundary: Evidence from the Brazos River, Texas, USA. </t>
    </r>
    <r>
      <rPr>
        <i/>
        <sz val="9"/>
        <color theme="1"/>
        <rFont val="NimbusRomNo9L"/>
      </rPr>
      <t xml:space="preserve">Journal of Foraminiferal Research </t>
    </r>
    <r>
      <rPr>
        <sz val="9"/>
        <color theme="1"/>
        <rFont val="NimbusRomNo9L"/>
      </rPr>
      <t xml:space="preserve">47(3):229–238. </t>
    </r>
  </si>
  <si>
    <t>14.07,14.10</t>
  </si>
  <si>
    <t>DMC3</t>
  </si>
  <si>
    <t>1m below K-Pg</t>
  </si>
  <si>
    <t>14.01,14.24</t>
  </si>
  <si>
    <t>DMC4</t>
  </si>
  <si>
    <t>post-Event bed</t>
  </si>
  <si>
    <t>13.53,13.70</t>
  </si>
  <si>
    <t>ODP 1209</t>
  </si>
  <si>
    <t>235.255mbsf</t>
  </si>
  <si>
    <t>http://www-odp.tamu.edu/publications/198_SR/VOLUME/CHAPTERS/122.PDF</t>
  </si>
  <si>
    <t xml:space="preserve">Frank TD, et al. (2005) The Maastrichtian record from Shatsky Rise (northwest Pacific): A tropical perspective on global ecological and oceanographic changes. Paleoceanography 20:PA1008. Kaiho K (1999) Evolution in the test size of deep-sea benthic foraminifera during the past 120 million years. Marine Micropaleontology 37:53–65. Larson RL, Steiner MB, Erba E, Lancelot Y (1992) Paleolatitudes and tectonic reconstructions of the oldest portion of the Pacific Plate: a comparative study. Proceedings of the Ocean Drilling Program, Scientific Results 129:615–631. </t>
  </si>
  <si>
    <t>Dinarès-Turell J et al (2014) Earth and Planetary Science Letters 405:119–131 for the Palaeocene; shifted to GTS2012. For the Maastrichtian Option3 of Westerhold et al. (2011) Paleoceanography 26(2):PA2216 was used, shifted to GTS2012. Note we also assume the FAD of P. eugubina as marking the end of P0</t>
  </si>
  <si>
    <r>
      <rPr>
        <i/>
        <sz val="12"/>
        <color theme="1"/>
        <rFont val="Calibri"/>
        <family val="2"/>
        <scheme val="minor"/>
      </rPr>
      <t>Woodringina</t>
    </r>
    <r>
      <rPr>
        <sz val="11"/>
        <color theme="1"/>
        <rFont val="Calibri"/>
        <family val="2"/>
        <scheme val="minor"/>
      </rPr>
      <t xml:space="preserve"> sp.</t>
    </r>
  </si>
  <si>
    <t>125-150 µm</t>
  </si>
  <si>
    <t>15.39,15.87</t>
  </si>
  <si>
    <t>235.1425 mbsf</t>
  </si>
  <si>
    <t>15.25,14.49</t>
  </si>
  <si>
    <t>234.8 mbsf</t>
  </si>
  <si>
    <t>14.18,14.67</t>
  </si>
  <si>
    <t>234.98 mbsf</t>
  </si>
  <si>
    <t>14.09,14.21</t>
  </si>
  <si>
    <t>233.3825 mbsf</t>
  </si>
  <si>
    <t>&gt;150 µm</t>
  </si>
  <si>
    <t>14.11,13.55</t>
  </si>
  <si>
    <t>Michael Henehan</t>
  </si>
  <si>
    <t>henehan@gfz-potsdam.de</t>
  </si>
  <si>
    <t>Henehan</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</si>
  <si>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</si>
  <si>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</si>
  <si>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</si>
  <si>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</si>
  <si>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</si>
  <si>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</si>
  <si>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</si>
  <si>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</si>
  <si>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</si>
  <si>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</si>
  <si>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</si>
  <si>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Reference of the data product</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</si>
  <si>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</si>
  <si>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</si>
  <si>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</si>
  <si>
    <t>Original paper used MyAMI lookup table from Hain et al. (2015) that was wrong</t>
  </si>
  <si>
    <t>uncertainty on is calculated by calculating as borate, and then for each of the Monte Carlo simulated datasets, correcting for the difference in reconstructed pH between cohabiting mixed layer Cibs (no vitals) and Heterohelix</t>
  </si>
  <si>
    <t>this study, but with range of feasible d11Bsw now updated to what is feasible with fixed MyAMI constants</t>
  </si>
  <si>
    <t>Assumed to be in equilibrium</t>
  </si>
  <si>
    <t>added age uncertainties based on mean of Ar/Ar dates of K/Pg and magnetochron boundaries from Sprain et al. 2018 (doi:10.1130/B31890.1)</t>
  </si>
  <si>
    <t>Further data in study not used to calculate pCO2, but is used in original study to constrain d11Bsw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</si>
</sst>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5">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sz val="12"/>
      <color theme="1"/>
      <name val="Calibri"/>
      <family val="2"/>
    </font>
    <font>
      <sz val="12"/>
      <name val="Calibri"/>
      <family val="2"/>
    </font>
    <font>
      <sz val="12"/>
      <color indexed="8"/>
      <name val="Arial"/>
      <family val="2"/>
    </font>
    <font>
      <sz val="12"/>
      <name val="Arial"/>
      <family val="2"/>
    </font>
    <font>
      <sz val="9"/>
      <color theme="1"/>
      <name val="NimbusRomNo9L"/>
    </font>
    <font>
      <sz val="12"/>
      <name val="Geneva"/>
      <family val="2"/>
    </font>
    <font>
      <i/>
      <sz val="12"/>
      <color theme="1"/>
      <name val="Calibri"/>
      <family val="2"/>
      <scheme val="minor"/>
    </font>
    <font>
      <sz val="12"/>
      <color theme="1"/>
      <name val="Arial"/>
      <family val="2"/>
    </font>
    <font>
      <sz val="8"/>
      <color theme="1"/>
      <name val="Gulliver"/>
    </font>
    <font>
      <sz val="9"/>
      <color theme="1"/>
      <name val="MTMI"/>
    </font>
    <font>
      <sz val="6"/>
      <color theme="1"/>
      <name val="Gulliver"/>
    </font>
    <font>
      <sz val="9"/>
      <color theme="1"/>
      <name val="MTSYN"/>
    </font>
    <font>
      <sz val="8"/>
      <color theme="1"/>
      <name val="AdvP4DF60E"/>
    </font>
    <font>
      <i/>
      <sz val="9"/>
      <color theme="1"/>
      <name val="NimbusRomNo9L"/>
    </font>
    <font>
      <sz val="9"/>
      <color theme="1"/>
      <name val="Calibri"/>
      <family val="2"/>
    </font>
    <font>
      <sz val="13"/>
      <color rgb="FF000000"/>
      <name val="Helvetic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thin">
        <color auto="1"/>
      </right>
      <top/>
      <bottom style="thin">
        <color auto="1"/>
      </bottom>
      <diagonal/>
    </border>
    <border>
      <left style="hair">
        <color auto="1"/>
      </left>
      <right style="hair">
        <color auto="1"/>
      </right>
      <top/>
      <bottom style="thin">
        <color auto="1"/>
      </bottom>
      <diagonal/>
    </border>
  </borders>
  <cellStyleXfs count="3">
    <xf numFmtId="0" fontId="0" fillId="0" borderId="0"/>
    <xf numFmtId="0" fontId="27" fillId="0" borderId="0" applyNumberFormat="0" applyFill="0" applyBorder="0" applyAlignment="0" applyProtection="0"/>
    <xf numFmtId="0" fontId="28" fillId="0" borderId="0"/>
  </cellStyleXfs>
  <cellXfs count="16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Border="1" applyAlignment="1">
      <alignment wrapText="1"/>
    </xf>
    <xf numFmtId="0" fontId="0" fillId="0" borderId="2" xfId="0" quotePrefix="1" applyBorder="1" applyAlignment="1">
      <alignment wrapText="1"/>
    </xf>
    <xf numFmtId="0" fontId="0" fillId="0" borderId="3" xfId="0" quotePrefix="1" applyBorder="1" applyAlignment="1">
      <alignment wrapText="1"/>
    </xf>
    <xf numFmtId="0" fontId="0" fillId="0" borderId="3" xfId="0" applyBorder="1" applyAlignment="1">
      <alignment wrapText="1"/>
    </xf>
    <xf numFmtId="0" fontId="0" fillId="0" borderId="5" xfId="0" applyBorder="1" applyAlignment="1">
      <alignment wrapText="1"/>
    </xf>
    <xf numFmtId="0" fontId="0" fillId="0" borderId="1" xfId="0"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xf numFmtId="0" fontId="4" fillId="5" borderId="0" xfId="0" applyFont="1" applyFill="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xf numFmtId="0" fontId="3" fillId="7" borderId="10" xfId="0" applyFont="1" applyFill="1" applyBorder="1"/>
    <xf numFmtId="0" fontId="3" fillId="6" borderId="11" xfId="0" applyFont="1" applyFill="1" applyBorder="1"/>
    <xf numFmtId="0" fontId="3" fillId="6" borderId="0" xfId="0" applyFont="1" applyFill="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Alignment="1">
      <alignment horizontal="left" vertical="center"/>
    </xf>
    <xf numFmtId="0" fontId="4" fillId="7" borderId="0" xfId="0" applyFont="1" applyFill="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27" fillId="0" borderId="0" xfId="1"/>
    <xf numFmtId="165" fontId="0" fillId="0" borderId="0" xfId="0" applyNumberFormat="1"/>
    <xf numFmtId="2" fontId="0" fillId="0" borderId="0" xfId="0" applyNumberFormat="1"/>
    <xf numFmtId="0" fontId="2" fillId="0" borderId="0" xfId="0" applyFont="1"/>
    <xf numFmtId="164" fontId="0" fillId="0" borderId="0" xfId="0" applyNumberFormat="1"/>
    <xf numFmtId="1" fontId="0" fillId="0" borderId="0" xfId="0" applyNumberFormat="1"/>
    <xf numFmtId="0" fontId="27" fillId="0" borderId="0" xfId="1" applyAlignment="1"/>
    <xf numFmtId="0" fontId="0" fillId="0" borderId="0" xfId="0" applyAlignment="1">
      <alignment horizontal="left"/>
    </xf>
    <xf numFmtId="0" fontId="31" fillId="0" borderId="0" xfId="0" applyFont="1" applyAlignment="1">
      <alignment horizontal="center"/>
    </xf>
    <xf numFmtId="2" fontId="30" fillId="0" borderId="0" xfId="0" applyNumberFormat="1" applyFont="1" applyAlignment="1">
      <alignment horizontal="right"/>
    </xf>
    <xf numFmtId="0" fontId="32" fillId="0" borderId="0" xfId="0" applyFont="1" applyAlignment="1">
      <alignment horizontal="center"/>
    </xf>
    <xf numFmtId="0" fontId="33" fillId="0" borderId="0" xfId="0" applyFont="1"/>
    <xf numFmtId="1" fontId="34" fillId="0" borderId="0" xfId="0" applyNumberFormat="1" applyFont="1"/>
    <xf numFmtId="0" fontId="0" fillId="0" borderId="0" xfId="0" applyAlignment="1">
      <alignment wrapText="1"/>
    </xf>
    <xf numFmtId="0" fontId="35" fillId="0" borderId="0" xfId="0" applyFont="1"/>
    <xf numFmtId="49" fontId="0" fillId="0" borderId="0" xfId="0" applyNumberFormat="1"/>
    <xf numFmtId="2" fontId="36" fillId="0" borderId="0" xfId="0" applyNumberFormat="1" applyFont="1" applyAlignment="1">
      <alignment horizontal="center"/>
    </xf>
    <xf numFmtId="0" fontId="37" fillId="0" borderId="0" xfId="0" applyFont="1"/>
    <xf numFmtId="0" fontId="41" fillId="0" borderId="0" xfId="0" applyFont="1"/>
    <xf numFmtId="164" fontId="36" fillId="0" borderId="0" xfId="0" applyNumberFormat="1" applyFont="1" applyAlignment="1">
      <alignment horizontal="center"/>
    </xf>
    <xf numFmtId="0" fontId="0" fillId="0" borderId="0" xfId="0" quotePrefix="1" applyAlignment="1">
      <alignment horizontal="left"/>
    </xf>
    <xf numFmtId="0" fontId="29" fillId="0" borderId="0" xfId="0" applyFont="1" applyAlignment="1">
      <alignment horizontal="right"/>
    </xf>
    <xf numFmtId="0" fontId="43" fillId="0" borderId="0" xfId="0" applyFont="1"/>
    <xf numFmtId="0" fontId="30" fillId="0" borderId="0" xfId="0" applyFont="1" applyAlignment="1">
      <alignment horizontal="right"/>
    </xf>
    <xf numFmtId="0" fontId="1" fillId="0" borderId="0" xfId="0" applyFont="1"/>
    <xf numFmtId="0" fontId="18" fillId="10" borderId="15" xfId="0" applyFont="1" applyFill="1" applyBorder="1" applyAlignment="1">
      <alignment horizontal="center" vertical="center" wrapText="1"/>
    </xf>
    <xf numFmtId="0" fontId="44" fillId="0" borderId="0" xfId="0" applyFont="1"/>
    <xf numFmtId="0" fontId="0" fillId="0" borderId="0" xfId="0" applyAlignment="1">
      <alignment horizontal="center"/>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pnas.org/cgi/doi/10.1073/pnas.1905989116" TargetMode="External"/><Relationship Id="rId13" Type="http://schemas.openxmlformats.org/officeDocument/2006/relationships/hyperlink" Target="http://www.pnas.org/cgi/doi/10.1073/pnas.1905989116" TargetMode="External"/><Relationship Id="rId18" Type="http://schemas.openxmlformats.org/officeDocument/2006/relationships/hyperlink" Target="mailto:henehan@gfz-potsdam.de" TargetMode="External"/><Relationship Id="rId3" Type="http://schemas.openxmlformats.org/officeDocument/2006/relationships/hyperlink" Target="http://www.pnas.org/cgi/doi/10.1073/pnas.1905989116" TargetMode="External"/><Relationship Id="rId7" Type="http://schemas.openxmlformats.org/officeDocument/2006/relationships/hyperlink" Target="http://www.pnas.org/cgi/doi/10.1073/pnas.1905989116" TargetMode="External"/><Relationship Id="rId12" Type="http://schemas.openxmlformats.org/officeDocument/2006/relationships/hyperlink" Target="http://www.pnas.org/cgi/doi/10.1073/pnas.1905989116" TargetMode="External"/><Relationship Id="rId17" Type="http://schemas.openxmlformats.org/officeDocument/2006/relationships/hyperlink" Target="http://www.pnas.org/cgi/doi/10.1073/pnas.1905989116" TargetMode="External"/><Relationship Id="rId2" Type="http://schemas.openxmlformats.org/officeDocument/2006/relationships/hyperlink" Target="http://www.pnas.org/cgi/doi/10.1073/pnas.1905989116" TargetMode="External"/><Relationship Id="rId16" Type="http://schemas.openxmlformats.org/officeDocument/2006/relationships/hyperlink" Target="http://www.pnas.org/cgi/doi/10.1073/pnas.1905989116" TargetMode="External"/><Relationship Id="rId20" Type="http://schemas.openxmlformats.org/officeDocument/2006/relationships/hyperlink" Target="http://www.pnas.org/cgi/doi/10.1073/pnas.1905989116" TargetMode="External"/><Relationship Id="rId1" Type="http://schemas.openxmlformats.org/officeDocument/2006/relationships/hyperlink" Target="http://www.pnas.org/cgi/doi/10.1073/pnas.1905989116" TargetMode="External"/><Relationship Id="rId6" Type="http://schemas.openxmlformats.org/officeDocument/2006/relationships/hyperlink" Target="http://www.pnas.org/cgi/doi/10.1073/pnas.1905989116" TargetMode="External"/><Relationship Id="rId11" Type="http://schemas.openxmlformats.org/officeDocument/2006/relationships/hyperlink" Target="http://www.pnas.org/cgi/doi/10.1073/pnas.1905989116" TargetMode="External"/><Relationship Id="rId5" Type="http://schemas.openxmlformats.org/officeDocument/2006/relationships/hyperlink" Target="http://www.pnas.org/cgi/doi/10.1073/pnas.1905989116" TargetMode="External"/><Relationship Id="rId15" Type="http://schemas.openxmlformats.org/officeDocument/2006/relationships/hyperlink" Target="http://www.pnas.org/cgi/doi/10.1073/pnas.1905989116" TargetMode="External"/><Relationship Id="rId10" Type="http://schemas.openxmlformats.org/officeDocument/2006/relationships/hyperlink" Target="http://www.pnas.org/cgi/doi/10.1073/pnas.1905989116" TargetMode="External"/><Relationship Id="rId19" Type="http://schemas.openxmlformats.org/officeDocument/2006/relationships/hyperlink" Target="mailto:henehan@gfz-potsdam.de" TargetMode="External"/><Relationship Id="rId4" Type="http://schemas.openxmlformats.org/officeDocument/2006/relationships/hyperlink" Target="http://www.pnas.org/cgi/doi/10.1073/pnas.1905989116" TargetMode="External"/><Relationship Id="rId9" Type="http://schemas.openxmlformats.org/officeDocument/2006/relationships/hyperlink" Target="http://www.pnas.org/cgi/doi/10.1073/pnas.1905989116" TargetMode="External"/><Relationship Id="rId14" Type="http://schemas.openxmlformats.org/officeDocument/2006/relationships/hyperlink" Target="http://www.pnas.org/cgi/doi/10.1073/pnas.19059891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20"/>
  <sheetViews>
    <sheetView tabSelected="1" topLeftCell="A3" workbookViewId="0">
      <selection activeCell="GD8" sqref="GD8"/>
    </sheetView>
  </sheetViews>
  <sheetFormatPr baseColWidth="10" defaultColWidth="8.83203125" defaultRowHeight="15"/>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7"/>
      <c r="Z1" s="3"/>
      <c r="AA1" s="18" t="s">
        <v>11</v>
      </c>
      <c r="AB1" s="19"/>
      <c r="AC1" s="19"/>
      <c r="AD1" s="19"/>
      <c r="AE1" s="19"/>
      <c r="AF1" s="19"/>
      <c r="AG1" s="20"/>
      <c r="AH1" s="21"/>
      <c r="AI1" s="20"/>
      <c r="AJ1" s="19"/>
      <c r="AK1" s="19"/>
      <c r="AL1" s="19"/>
      <c r="AM1" s="19"/>
      <c r="AN1" s="19"/>
      <c r="AO1" s="19"/>
      <c r="AP1" s="19"/>
      <c r="AQ1" s="19"/>
      <c r="AR1" s="19"/>
      <c r="AS1" s="22" t="s">
        <v>12</v>
      </c>
      <c r="AT1" s="23"/>
      <c r="AU1" s="24"/>
      <c r="AV1" s="24"/>
      <c r="AW1" s="25"/>
      <c r="AX1" s="25"/>
      <c r="AY1" s="25"/>
      <c r="AZ1" s="26"/>
      <c r="BA1" s="25"/>
      <c r="BB1" s="25"/>
      <c r="BC1" s="25"/>
      <c r="BD1" s="25"/>
      <c r="BE1" s="25"/>
      <c r="BF1" s="25"/>
      <c r="BG1" s="27" t="s">
        <v>13</v>
      </c>
      <c r="BH1" s="28"/>
      <c r="BI1" s="28"/>
      <c r="BJ1" s="28"/>
      <c r="BK1" s="28"/>
      <c r="BL1" s="28"/>
      <c r="BM1" s="28"/>
      <c r="BN1" s="29"/>
      <c r="BO1" s="30"/>
      <c r="BP1" s="30"/>
      <c r="BQ1" s="30"/>
      <c r="BR1" s="31"/>
      <c r="BS1" s="32"/>
      <c r="BT1" s="33" t="s">
        <v>14</v>
      </c>
      <c r="BU1" s="34"/>
      <c r="BV1" s="34"/>
      <c r="BW1" s="34"/>
      <c r="BX1" s="34"/>
      <c r="BY1" s="34"/>
      <c r="BZ1" s="34"/>
      <c r="CA1" s="35"/>
      <c r="CB1" s="36" t="s">
        <v>15</v>
      </c>
      <c r="CC1" s="36"/>
      <c r="CD1" s="37"/>
      <c r="CE1" s="37"/>
      <c r="CF1" s="37"/>
      <c r="CG1" s="38" t="s">
        <v>16</v>
      </c>
      <c r="CH1" s="39"/>
      <c r="CI1" s="40"/>
      <c r="CJ1" s="38"/>
      <c r="CK1" s="41"/>
      <c r="CL1" s="41"/>
      <c r="CM1" s="42"/>
      <c r="CN1" s="38" t="s">
        <v>17</v>
      </c>
      <c r="CO1" s="43"/>
      <c r="CP1" s="41"/>
      <c r="CQ1" s="41"/>
      <c r="CR1" s="41"/>
      <c r="CS1" s="41"/>
      <c r="CT1" s="41"/>
      <c r="CU1" s="41"/>
      <c r="CV1" s="41"/>
      <c r="CW1" s="41"/>
      <c r="CX1" s="41"/>
      <c r="CY1" s="41"/>
      <c r="CZ1" s="38" t="s">
        <v>18</v>
      </c>
      <c r="DA1" s="41"/>
      <c r="DB1" s="41"/>
      <c r="DC1" s="41"/>
      <c r="DD1" s="41"/>
      <c r="DE1" s="41"/>
      <c r="DF1" s="42"/>
      <c r="DG1" s="39" t="s">
        <v>19</v>
      </c>
      <c r="DH1" s="39"/>
      <c r="DI1" s="39"/>
      <c r="DJ1" s="39"/>
      <c r="DK1" s="39"/>
      <c r="DL1" s="39"/>
      <c r="DM1" s="39"/>
      <c r="DN1" s="39"/>
      <c r="DO1" s="39"/>
      <c r="DP1" s="39"/>
      <c r="DQ1" s="39"/>
      <c r="DR1" s="39"/>
      <c r="DS1" s="39"/>
      <c r="DT1" s="39"/>
      <c r="DU1" s="39"/>
      <c r="DV1" s="39"/>
      <c r="DW1" s="39"/>
      <c r="DX1" s="39"/>
      <c r="DY1" s="39"/>
      <c r="DZ1" s="39"/>
      <c r="EA1" s="44"/>
      <c r="EB1" s="41"/>
      <c r="EC1" s="41"/>
      <c r="ED1" s="42"/>
      <c r="EE1" s="39"/>
      <c r="EF1" s="39"/>
      <c r="EG1" s="45" t="s">
        <v>20</v>
      </c>
      <c r="EH1" s="39"/>
      <c r="EI1" s="39"/>
      <c r="EJ1" s="39"/>
      <c r="EK1" s="39"/>
      <c r="EL1" s="40"/>
      <c r="EM1" s="45" t="s">
        <v>21</v>
      </c>
      <c r="EN1" s="39"/>
      <c r="EO1" s="39"/>
      <c r="EP1" s="39"/>
      <c r="EQ1" s="39"/>
      <c r="ER1" s="46"/>
      <c r="ES1" s="46"/>
      <c r="ET1" s="47" t="s">
        <v>22</v>
      </c>
      <c r="EU1" s="48"/>
      <c r="EV1" s="48"/>
      <c r="EW1" s="49"/>
      <c r="EX1" s="49"/>
      <c r="EY1" s="49"/>
      <c r="EZ1" s="49"/>
      <c r="FA1" s="49"/>
      <c r="FB1" s="49"/>
      <c r="FC1" s="49"/>
      <c r="FD1" s="49"/>
      <c r="FE1" s="50" t="s">
        <v>23</v>
      </c>
      <c r="FF1" s="51"/>
      <c r="FG1" s="51"/>
      <c r="FH1" s="51"/>
      <c r="FI1" s="52"/>
      <c r="FJ1" s="52"/>
      <c r="FK1" s="52"/>
      <c r="FL1" s="52"/>
      <c r="FM1" s="51"/>
      <c r="FN1" s="51"/>
      <c r="FO1" s="51"/>
      <c r="FP1" s="51"/>
      <c r="FQ1" s="50"/>
      <c r="FR1" s="51"/>
      <c r="FS1" s="51"/>
      <c r="FT1" s="51"/>
      <c r="FU1" s="51"/>
      <c r="FV1" s="51"/>
      <c r="FW1" s="19"/>
      <c r="FX1" s="19"/>
      <c r="FY1" s="19"/>
      <c r="FZ1" s="19"/>
      <c r="GA1" s="19"/>
      <c r="GB1" s="19"/>
      <c r="GC1" s="5"/>
    </row>
    <row r="2" spans="1:185" ht="20">
      <c r="A2" s="1"/>
      <c r="B2" s="2"/>
      <c r="C2" s="2"/>
      <c r="D2" s="2"/>
      <c r="E2" s="2"/>
      <c r="F2" s="2"/>
      <c r="G2" s="2"/>
      <c r="H2" s="2"/>
      <c r="I2" s="2"/>
      <c r="J2" s="2"/>
      <c r="K2" s="2"/>
      <c r="L2" s="3"/>
      <c r="M2" s="4"/>
      <c r="N2" s="4"/>
      <c r="O2" s="4"/>
      <c r="P2" s="4"/>
      <c r="R2" s="5"/>
      <c r="S2" s="164"/>
      <c r="T2" s="164"/>
      <c r="U2" s="164"/>
      <c r="V2" s="164"/>
      <c r="W2" s="164"/>
      <c r="X2" s="5"/>
      <c r="Y2" s="53"/>
      <c r="Z2" s="54"/>
      <c r="AA2" s="55"/>
      <c r="AB2" s="55"/>
      <c r="AC2" s="55"/>
      <c r="AD2" s="55"/>
      <c r="AE2" s="55"/>
      <c r="AF2" s="55"/>
      <c r="AG2" s="56"/>
      <c r="AH2" s="57"/>
      <c r="AI2" s="56"/>
      <c r="AJ2" s="55"/>
      <c r="AK2" s="55"/>
      <c r="AL2" s="55"/>
      <c r="AM2" s="55"/>
      <c r="AN2" s="55"/>
      <c r="AO2" s="55"/>
      <c r="AP2" s="55"/>
      <c r="AQ2" s="55"/>
      <c r="AR2" s="55"/>
      <c r="AS2" s="58"/>
      <c r="AT2" s="23"/>
      <c r="AU2" s="24"/>
      <c r="AV2" s="24"/>
      <c r="AW2" s="25"/>
      <c r="AX2" s="25"/>
      <c r="AY2" s="25"/>
      <c r="AZ2" s="26" t="s">
        <v>24</v>
      </c>
      <c r="BA2" s="25"/>
      <c r="BB2" s="25"/>
      <c r="BC2" s="25"/>
      <c r="BD2" s="25"/>
      <c r="BE2" s="25"/>
      <c r="BF2" s="25"/>
      <c r="BG2" s="29"/>
      <c r="BH2" s="30"/>
      <c r="BI2" s="28"/>
      <c r="BJ2" s="28"/>
      <c r="BK2" s="28"/>
      <c r="BL2" s="28"/>
      <c r="BM2" s="30"/>
      <c r="BN2" s="59" t="s">
        <v>25</v>
      </c>
      <c r="BO2" s="60"/>
      <c r="BP2" s="60"/>
      <c r="BQ2" s="30"/>
      <c r="BR2" s="31"/>
      <c r="BS2" s="32"/>
      <c r="BT2" s="61" t="s">
        <v>26</v>
      </c>
      <c r="BU2" s="62"/>
      <c r="BV2" s="62"/>
      <c r="BW2" s="63" t="s">
        <v>27</v>
      </c>
      <c r="BX2" s="64"/>
      <c r="BY2" s="65"/>
      <c r="BZ2" s="65"/>
      <c r="CA2" s="66"/>
      <c r="CB2" s="67"/>
      <c r="CC2" s="67"/>
      <c r="CD2" s="34"/>
      <c r="CE2" s="34"/>
      <c r="CF2" s="34"/>
      <c r="CG2" s="68" t="s">
        <v>28</v>
      </c>
      <c r="CH2" s="69"/>
      <c r="CI2" s="70"/>
      <c r="CJ2" s="71" t="s">
        <v>29</v>
      </c>
      <c r="CK2" s="72"/>
      <c r="CL2" s="72"/>
      <c r="CM2" s="72"/>
      <c r="CN2" s="73" t="s">
        <v>30</v>
      </c>
      <c r="CO2" s="74"/>
      <c r="CP2" s="72"/>
      <c r="CQ2" s="72"/>
      <c r="CR2" s="72"/>
      <c r="CS2" s="72"/>
      <c r="CT2" s="72"/>
      <c r="CU2" s="72"/>
      <c r="CV2" s="72"/>
      <c r="CW2" s="72"/>
      <c r="CX2" s="72"/>
      <c r="CY2" s="72"/>
      <c r="CZ2" s="38" t="s">
        <v>31</v>
      </c>
      <c r="DA2" s="43"/>
      <c r="DB2" s="41"/>
      <c r="DC2" s="41"/>
      <c r="DD2" s="41"/>
      <c r="DE2" s="41"/>
      <c r="DF2" s="42"/>
      <c r="DG2" s="69" t="s">
        <v>32</v>
      </c>
      <c r="DH2" s="69"/>
      <c r="DI2" s="69"/>
      <c r="DJ2" s="69"/>
      <c r="DK2" s="75" t="s">
        <v>33</v>
      </c>
      <c r="DL2" s="76"/>
      <c r="DM2" s="76"/>
      <c r="DN2" s="77"/>
      <c r="DO2" s="75" t="s">
        <v>34</v>
      </c>
      <c r="DP2" s="46"/>
      <c r="DQ2" s="46"/>
      <c r="DR2" s="78"/>
      <c r="DS2" s="79" t="s">
        <v>35</v>
      </c>
      <c r="DT2" s="46"/>
      <c r="DU2" s="46"/>
      <c r="DV2" s="78"/>
      <c r="DW2" s="80" t="s">
        <v>36</v>
      </c>
      <c r="DX2" s="81"/>
      <c r="DY2" s="69"/>
      <c r="DZ2" s="69"/>
      <c r="EA2" s="82" t="s">
        <v>37</v>
      </c>
      <c r="EB2" s="72"/>
      <c r="EC2" s="72"/>
      <c r="ED2" s="83"/>
      <c r="EE2" s="69" t="s">
        <v>38</v>
      </c>
      <c r="EF2" s="69"/>
      <c r="EG2" s="84" t="s">
        <v>39</v>
      </c>
      <c r="EH2" s="85"/>
      <c r="EI2" s="85"/>
      <c r="EJ2" s="85"/>
      <c r="EK2" s="69"/>
      <c r="EL2" s="69"/>
      <c r="EM2" s="86"/>
      <c r="EN2" s="69"/>
      <c r="EO2" s="69"/>
      <c r="EP2" s="69"/>
      <c r="EQ2" s="46"/>
      <c r="ER2" s="68" t="s">
        <v>40</v>
      </c>
      <c r="ES2" s="46"/>
      <c r="ET2" s="87"/>
      <c r="EU2" s="49"/>
      <c r="EV2" s="49"/>
      <c r="EW2" s="88"/>
      <c r="EX2" s="88"/>
      <c r="EY2" s="88"/>
      <c r="EZ2" s="88"/>
      <c r="FA2" s="89"/>
      <c r="FB2" s="89"/>
      <c r="FC2" s="89"/>
      <c r="FD2" s="89"/>
      <c r="FE2" s="90"/>
      <c r="FF2" s="55"/>
      <c r="FG2" s="55"/>
      <c r="FH2" s="55"/>
      <c r="FI2" s="55"/>
      <c r="FJ2" s="55"/>
      <c r="FK2" s="55"/>
      <c r="FL2" s="55"/>
      <c r="FM2" s="55"/>
      <c r="FN2" s="55"/>
      <c r="FO2" s="55"/>
      <c r="FP2" s="55"/>
      <c r="FQ2" s="18"/>
      <c r="FR2" s="19"/>
      <c r="FS2" s="19"/>
      <c r="FT2" s="19"/>
      <c r="FU2" s="19"/>
      <c r="FV2" s="19"/>
      <c r="FW2" s="19"/>
      <c r="FX2" s="19"/>
      <c r="FY2" s="19"/>
      <c r="FZ2" s="19"/>
      <c r="GA2" s="19"/>
      <c r="GB2" s="55"/>
      <c r="GC2" s="91"/>
    </row>
    <row r="3" spans="1:185" ht="409.6">
      <c r="A3" s="6" t="s">
        <v>0</v>
      </c>
      <c r="B3" s="7" t="s">
        <v>1</v>
      </c>
      <c r="C3" s="8" t="s">
        <v>2</v>
      </c>
      <c r="D3" s="9" t="s">
        <v>3</v>
      </c>
      <c r="E3" s="9" t="s">
        <v>4</v>
      </c>
      <c r="F3" s="2" t="s">
        <v>5</v>
      </c>
      <c r="G3" s="2" t="s">
        <v>6</v>
      </c>
      <c r="H3" s="10" t="s">
        <v>7</v>
      </c>
      <c r="I3" s="10" t="s">
        <v>8</v>
      </c>
      <c r="J3" s="9" t="s">
        <v>296</v>
      </c>
      <c r="K3" s="10" t="s">
        <v>297</v>
      </c>
      <c r="L3" s="11" t="s">
        <v>306</v>
      </c>
      <c r="M3" s="9" t="s">
        <v>298</v>
      </c>
      <c r="N3" s="9" t="s">
        <v>308</v>
      </c>
      <c r="O3" s="9" t="s">
        <v>309</v>
      </c>
      <c r="P3" s="9" t="s">
        <v>299</v>
      </c>
      <c r="Q3" s="12" t="s">
        <v>300</v>
      </c>
      <c r="R3" s="13" t="s">
        <v>301</v>
      </c>
      <c r="S3" s="14" t="s">
        <v>302</v>
      </c>
      <c r="T3" s="9" t="s">
        <v>303</v>
      </c>
      <c r="U3" s="9" t="s">
        <v>9</v>
      </c>
      <c r="V3" s="9" t="s">
        <v>304</v>
      </c>
      <c r="W3" s="15" t="s">
        <v>305</v>
      </c>
      <c r="X3" s="16" t="s">
        <v>10</v>
      </c>
      <c r="Y3" s="162" t="s">
        <v>307</v>
      </c>
      <c r="Z3" s="92" t="s">
        <v>41</v>
      </c>
      <c r="AA3" s="93" t="s">
        <v>42</v>
      </c>
      <c r="AB3" s="93" t="s">
        <v>43</v>
      </c>
      <c r="AC3" s="93" t="s">
        <v>44</v>
      </c>
      <c r="AD3" s="93" t="s">
        <v>45</v>
      </c>
      <c r="AE3" s="93" t="s">
        <v>46</v>
      </c>
      <c r="AF3" s="93" t="s">
        <v>47</v>
      </c>
      <c r="AG3" s="93" t="s">
        <v>48</v>
      </c>
      <c r="AH3" s="94" t="s">
        <v>49</v>
      </c>
      <c r="AI3" s="93" t="s">
        <v>50</v>
      </c>
      <c r="AJ3" s="93" t="s">
        <v>51</v>
      </c>
      <c r="AK3" s="93" t="s">
        <v>52</v>
      </c>
      <c r="AL3" s="93" t="s">
        <v>53</v>
      </c>
      <c r="AM3" s="93" t="s">
        <v>54</v>
      </c>
      <c r="AN3" s="93" t="s">
        <v>55</v>
      </c>
      <c r="AO3" s="93" t="s">
        <v>56</v>
      </c>
      <c r="AP3" s="93" t="s">
        <v>57</v>
      </c>
      <c r="AQ3" s="93" t="s">
        <v>58</v>
      </c>
      <c r="AR3" s="93" t="s">
        <v>59</v>
      </c>
      <c r="AS3" s="95" t="s">
        <v>60</v>
      </c>
      <c r="AT3" s="96" t="s">
        <v>61</v>
      </c>
      <c r="AU3" s="97" t="s">
        <v>62</v>
      </c>
      <c r="AV3" s="97" t="s">
        <v>63</v>
      </c>
      <c r="AW3" s="98" t="s">
        <v>64</v>
      </c>
      <c r="AX3" s="98" t="s">
        <v>65</v>
      </c>
      <c r="AY3" s="99" t="s">
        <v>66</v>
      </c>
      <c r="AZ3" s="95" t="s">
        <v>60</v>
      </c>
      <c r="BA3" s="96" t="s">
        <v>61</v>
      </c>
      <c r="BB3" s="97" t="s">
        <v>62</v>
      </c>
      <c r="BC3" s="97" t="s">
        <v>63</v>
      </c>
      <c r="BD3" s="98" t="s">
        <v>64</v>
      </c>
      <c r="BE3" s="98" t="s">
        <v>65</v>
      </c>
      <c r="BF3" s="98" t="s">
        <v>66</v>
      </c>
      <c r="BG3" s="100" t="s">
        <v>67</v>
      </c>
      <c r="BH3" s="101" t="s">
        <v>68</v>
      </c>
      <c r="BI3" s="101" t="s">
        <v>69</v>
      </c>
      <c r="BJ3" s="101" t="s">
        <v>70</v>
      </c>
      <c r="BK3" s="101" t="s">
        <v>71</v>
      </c>
      <c r="BL3" s="101" t="s">
        <v>72</v>
      </c>
      <c r="BM3" s="101" t="s">
        <v>73</v>
      </c>
      <c r="BN3" s="102" t="s">
        <v>74</v>
      </c>
      <c r="BO3" s="103" t="s">
        <v>75</v>
      </c>
      <c r="BP3" s="103" t="s">
        <v>76</v>
      </c>
      <c r="BQ3" s="104" t="s">
        <v>77</v>
      </c>
      <c r="BR3" s="105" t="s">
        <v>78</v>
      </c>
      <c r="BS3" s="105" t="s">
        <v>79</v>
      </c>
      <c r="BT3" s="106" t="s">
        <v>80</v>
      </c>
      <c r="BU3" s="107" t="s">
        <v>81</v>
      </c>
      <c r="BV3" s="108" t="s">
        <v>82</v>
      </c>
      <c r="BW3" s="109" t="s">
        <v>83</v>
      </c>
      <c r="BX3" s="110" t="s">
        <v>81</v>
      </c>
      <c r="BY3" s="111" t="s">
        <v>82</v>
      </c>
      <c r="BZ3" s="65" t="s">
        <v>84</v>
      </c>
      <c r="CA3" s="66" t="s">
        <v>85</v>
      </c>
      <c r="CB3" s="111" t="s">
        <v>86</v>
      </c>
      <c r="CC3" s="107" t="s">
        <v>81</v>
      </c>
      <c r="CD3" s="108" t="s">
        <v>82</v>
      </c>
      <c r="CE3" s="65" t="s">
        <v>168</v>
      </c>
      <c r="CF3" s="65" t="s">
        <v>87</v>
      </c>
      <c r="CG3" s="112" t="s">
        <v>88</v>
      </c>
      <c r="CH3" s="113" t="s">
        <v>61</v>
      </c>
      <c r="CI3" s="114" t="s">
        <v>89</v>
      </c>
      <c r="CJ3" s="115" t="s">
        <v>90</v>
      </c>
      <c r="CK3" s="113" t="s">
        <v>61</v>
      </c>
      <c r="CL3" s="116" t="s">
        <v>91</v>
      </c>
      <c r="CM3" s="117" t="s">
        <v>92</v>
      </c>
      <c r="CN3" s="118" t="s">
        <v>93</v>
      </c>
      <c r="CO3" s="115" t="s">
        <v>94</v>
      </c>
      <c r="CP3" s="113" t="s">
        <v>61</v>
      </c>
      <c r="CQ3" s="116" t="s">
        <v>95</v>
      </c>
      <c r="CR3" s="117" t="s">
        <v>96</v>
      </c>
      <c r="CS3" s="118" t="s">
        <v>97</v>
      </c>
      <c r="CT3" s="118" t="s">
        <v>98</v>
      </c>
      <c r="CU3" s="118" t="s">
        <v>164</v>
      </c>
      <c r="CV3" s="118" t="s">
        <v>163</v>
      </c>
      <c r="CW3" s="118" t="s">
        <v>99</v>
      </c>
      <c r="CX3" s="118" t="s">
        <v>100</v>
      </c>
      <c r="CY3" s="118" t="s">
        <v>101</v>
      </c>
      <c r="CZ3" s="119" t="s">
        <v>102</v>
      </c>
      <c r="DA3" s="115" t="s">
        <v>103</v>
      </c>
      <c r="DB3" s="113" t="s">
        <v>61</v>
      </c>
      <c r="DC3" s="113" t="s">
        <v>104</v>
      </c>
      <c r="DD3" s="118" t="s">
        <v>105</v>
      </c>
      <c r="DE3" s="118" t="s">
        <v>98</v>
      </c>
      <c r="DF3" s="118" t="s">
        <v>106</v>
      </c>
      <c r="DG3" s="112" t="s">
        <v>107</v>
      </c>
      <c r="DH3" s="113" t="s">
        <v>61</v>
      </c>
      <c r="DI3" s="113" t="s">
        <v>104</v>
      </c>
      <c r="DJ3" s="120" t="s">
        <v>108</v>
      </c>
      <c r="DK3" s="115" t="s">
        <v>109</v>
      </c>
      <c r="DL3" s="113" t="s">
        <v>61</v>
      </c>
      <c r="DM3" s="113" t="s">
        <v>104</v>
      </c>
      <c r="DN3" s="120" t="s">
        <v>110</v>
      </c>
      <c r="DO3" s="115" t="s">
        <v>111</v>
      </c>
      <c r="DP3" s="113" t="s">
        <v>61</v>
      </c>
      <c r="DQ3" s="113" t="s">
        <v>104</v>
      </c>
      <c r="DR3" s="120" t="s">
        <v>112</v>
      </c>
      <c r="DS3" s="115" t="s">
        <v>113</v>
      </c>
      <c r="DT3" s="113" t="s">
        <v>61</v>
      </c>
      <c r="DU3" s="113" t="s">
        <v>104</v>
      </c>
      <c r="DV3" s="120" t="s">
        <v>114</v>
      </c>
      <c r="DW3" s="115" t="s">
        <v>115</v>
      </c>
      <c r="DX3" s="113" t="s">
        <v>61</v>
      </c>
      <c r="DY3" s="113" t="s">
        <v>104</v>
      </c>
      <c r="DZ3" s="121" t="s">
        <v>116</v>
      </c>
      <c r="EA3" s="112" t="s">
        <v>117</v>
      </c>
      <c r="EB3" s="113" t="s">
        <v>61</v>
      </c>
      <c r="EC3" s="113" t="s">
        <v>104</v>
      </c>
      <c r="ED3" s="122" t="s">
        <v>118</v>
      </c>
      <c r="EE3" s="121" t="s">
        <v>119</v>
      </c>
      <c r="EF3" s="121" t="s">
        <v>120</v>
      </c>
      <c r="EG3" s="112" t="s">
        <v>121</v>
      </c>
      <c r="EH3" s="113" t="s">
        <v>61</v>
      </c>
      <c r="EI3" s="113" t="s">
        <v>104</v>
      </c>
      <c r="EJ3" s="113" t="s">
        <v>122</v>
      </c>
      <c r="EK3" s="121" t="s">
        <v>123</v>
      </c>
      <c r="EL3" s="120" t="s">
        <v>124</v>
      </c>
      <c r="EM3" s="118" t="s">
        <v>125</v>
      </c>
      <c r="EN3" s="121" t="s">
        <v>126</v>
      </c>
      <c r="EO3" s="121" t="s">
        <v>127</v>
      </c>
      <c r="EP3" s="121" t="s">
        <v>128</v>
      </c>
      <c r="EQ3" s="123" t="s">
        <v>129</v>
      </c>
      <c r="ER3" s="124" t="s">
        <v>130</v>
      </c>
      <c r="ES3" s="121" t="s">
        <v>131</v>
      </c>
      <c r="ET3" s="135" t="s">
        <v>132</v>
      </c>
      <c r="EU3" s="136" t="s">
        <v>133</v>
      </c>
      <c r="EV3" s="136" t="s">
        <v>134</v>
      </c>
      <c r="EW3" s="125" t="s">
        <v>135</v>
      </c>
      <c r="EX3" s="126" t="s">
        <v>61</v>
      </c>
      <c r="EY3" s="127" t="s">
        <v>161</v>
      </c>
      <c r="EZ3" s="128" t="s">
        <v>162</v>
      </c>
      <c r="FA3" s="125" t="s">
        <v>136</v>
      </c>
      <c r="FB3" s="126" t="s">
        <v>61</v>
      </c>
      <c r="FC3" s="127" t="s">
        <v>139</v>
      </c>
      <c r="FD3" s="128" t="s">
        <v>140</v>
      </c>
      <c r="FE3" s="129" t="s">
        <v>137</v>
      </c>
      <c r="FF3" s="93" t="s">
        <v>138</v>
      </c>
      <c r="FG3" s="130" t="s">
        <v>139</v>
      </c>
      <c r="FH3" s="130" t="s">
        <v>140</v>
      </c>
      <c r="FI3" s="93" t="s">
        <v>141</v>
      </c>
      <c r="FJ3" s="93" t="s">
        <v>142</v>
      </c>
      <c r="FK3" s="93" t="s">
        <v>143</v>
      </c>
      <c r="FL3" s="93" t="s">
        <v>144</v>
      </c>
      <c r="FM3" s="130" t="s">
        <v>145</v>
      </c>
      <c r="FN3" s="130" t="s">
        <v>146</v>
      </c>
      <c r="FO3" s="93" t="s">
        <v>147</v>
      </c>
      <c r="FP3" s="93" t="s">
        <v>148</v>
      </c>
      <c r="FQ3" s="129" t="s">
        <v>149</v>
      </c>
      <c r="FR3" s="131" t="s">
        <v>150</v>
      </c>
      <c r="FS3" s="131" t="s">
        <v>151</v>
      </c>
      <c r="FT3" s="93" t="s">
        <v>152</v>
      </c>
      <c r="FU3" s="131" t="s">
        <v>153</v>
      </c>
      <c r="FV3" s="131" t="s">
        <v>154</v>
      </c>
      <c r="FW3" s="132" t="s">
        <v>155</v>
      </c>
      <c r="FX3" s="132" t="s">
        <v>156</v>
      </c>
      <c r="FY3" s="132" t="s">
        <v>157</v>
      </c>
      <c r="FZ3" s="132" t="s">
        <v>158</v>
      </c>
      <c r="GA3" s="133" t="s">
        <v>159</v>
      </c>
      <c r="GB3" s="133" t="s">
        <v>165</v>
      </c>
      <c r="GC3" s="134" t="s">
        <v>160</v>
      </c>
    </row>
    <row r="4" spans="1:185" ht="17">
      <c r="A4" t="s">
        <v>293</v>
      </c>
      <c r="B4" s="137" t="s">
        <v>294</v>
      </c>
      <c r="C4" t="s">
        <v>167</v>
      </c>
      <c r="D4" t="s">
        <v>295</v>
      </c>
      <c r="E4">
        <v>2019</v>
      </c>
      <c r="F4" t="str">
        <f>Z4</f>
        <v xml:space="preserve">10.1073/pnas.1905989116 </v>
      </c>
      <c r="G4" s="138">
        <f>AS4</f>
        <v>66132.326530000006</v>
      </c>
      <c r="H4" s="142">
        <f>AVERAGE(134,86)</f>
        <v>110</v>
      </c>
      <c r="I4" s="142">
        <f>AVERAGE(134,86)</f>
        <v>110</v>
      </c>
      <c r="J4">
        <v>874.86205425131902</v>
      </c>
      <c r="K4" s="142">
        <v>259.74127514931092</v>
      </c>
      <c r="L4" s="142">
        <v>205.90316721889405</v>
      </c>
      <c r="M4" t="b">
        <v>0</v>
      </c>
      <c r="N4">
        <v>1</v>
      </c>
      <c r="O4" s="163" t="s">
        <v>310</v>
      </c>
      <c r="P4" s="161" t="b">
        <v>0</v>
      </c>
      <c r="Q4" t="b">
        <v>1</v>
      </c>
      <c r="R4" t="s">
        <v>311</v>
      </c>
      <c r="S4" t="b">
        <v>1</v>
      </c>
      <c r="T4" t="b">
        <v>0</v>
      </c>
      <c r="U4" t="s">
        <v>166</v>
      </c>
      <c r="V4" s="161" t="b">
        <v>0</v>
      </c>
      <c r="W4" t="b">
        <v>0</v>
      </c>
      <c r="X4" t="s">
        <v>315</v>
      </c>
      <c r="Y4" s="143" t="s">
        <v>169</v>
      </c>
      <c r="Z4" t="s">
        <v>170</v>
      </c>
      <c r="AA4" t="s">
        <v>171</v>
      </c>
      <c r="AB4" s="144" t="s">
        <v>172</v>
      </c>
      <c r="AC4" s="144">
        <v>3</v>
      </c>
      <c r="AD4" s="144">
        <v>4</v>
      </c>
      <c r="AE4">
        <v>66</v>
      </c>
      <c r="AF4">
        <v>69</v>
      </c>
      <c r="AG4" s="145" t="s">
        <v>173</v>
      </c>
      <c r="AH4" s="146" t="s">
        <v>166</v>
      </c>
      <c r="AI4" s="146" t="s">
        <v>166</v>
      </c>
      <c r="AJ4" t="s">
        <v>174</v>
      </c>
      <c r="AK4" s="147">
        <v>33.820999999999998</v>
      </c>
      <c r="AL4" s="147">
        <v>178.92</v>
      </c>
      <c r="AM4" s="147">
        <v>10</v>
      </c>
      <c r="AN4" s="147">
        <v>-175</v>
      </c>
      <c r="AO4" s="147">
        <v>-2161</v>
      </c>
      <c r="AP4" s="147">
        <v>-1500</v>
      </c>
      <c r="AQ4" s="148" t="s">
        <v>175</v>
      </c>
      <c r="AR4" t="s">
        <v>176</v>
      </c>
      <c r="AS4" s="149">
        <v>66132.326530000006</v>
      </c>
      <c r="AT4" s="150" t="s">
        <v>177</v>
      </c>
      <c r="AU4" t="s">
        <v>166</v>
      </c>
      <c r="AV4" t="s">
        <v>166</v>
      </c>
      <c r="AW4" t="s">
        <v>178</v>
      </c>
      <c r="AX4" t="s">
        <v>179</v>
      </c>
      <c r="AY4" t="s">
        <v>166</v>
      </c>
      <c r="AZ4" t="s">
        <v>166</v>
      </c>
      <c r="BA4" t="s">
        <v>166</v>
      </c>
      <c r="BB4" t="s">
        <v>166</v>
      </c>
      <c r="BC4" t="s">
        <v>166</v>
      </c>
      <c r="BD4" t="s">
        <v>166</v>
      </c>
      <c r="BE4" t="s">
        <v>166</v>
      </c>
      <c r="BF4" t="s">
        <v>166</v>
      </c>
      <c r="BG4" s="151" t="s">
        <v>180</v>
      </c>
      <c r="BH4" t="s">
        <v>181</v>
      </c>
      <c r="BI4" t="s">
        <v>182</v>
      </c>
      <c r="BJ4" s="152" t="s">
        <v>183</v>
      </c>
      <c r="BK4" t="s">
        <v>184</v>
      </c>
      <c r="BL4" t="s">
        <v>185</v>
      </c>
      <c r="BM4" t="s">
        <v>186</v>
      </c>
      <c r="BN4" t="s">
        <v>187</v>
      </c>
      <c r="BO4">
        <v>2</v>
      </c>
      <c r="BP4" s="141">
        <v>0.3</v>
      </c>
      <c r="BQ4" s="139">
        <v>14.282</v>
      </c>
      <c r="BR4" t="s">
        <v>188</v>
      </c>
      <c r="BS4" s="139">
        <v>0.19133854341517179</v>
      </c>
      <c r="BT4">
        <v>1</v>
      </c>
      <c r="BU4" t="s">
        <v>189</v>
      </c>
      <c r="BV4" s="150" t="s">
        <v>166</v>
      </c>
      <c r="BW4" t="s">
        <v>190</v>
      </c>
      <c r="BX4" t="s">
        <v>191</v>
      </c>
      <c r="BY4" t="s">
        <v>166</v>
      </c>
      <c r="BZ4" t="s">
        <v>166</v>
      </c>
      <c r="CA4" t="s">
        <v>166</v>
      </c>
      <c r="CB4" t="s">
        <v>192</v>
      </c>
      <c r="CC4" t="s">
        <v>166</v>
      </c>
      <c r="CD4" s="153" t="s">
        <v>166</v>
      </c>
      <c r="CE4" t="s">
        <v>312</v>
      </c>
      <c r="CF4" t="s">
        <v>194</v>
      </c>
      <c r="CG4">
        <v>75</v>
      </c>
      <c r="CH4" t="s">
        <v>195</v>
      </c>
      <c r="CI4" t="s">
        <v>195</v>
      </c>
      <c r="CJ4" s="138">
        <v>30.0309239638527</v>
      </c>
      <c r="CK4" t="s">
        <v>196</v>
      </c>
      <c r="CL4">
        <v>0.99068196394230057</v>
      </c>
      <c r="CM4">
        <v>0.97578037641979876</v>
      </c>
      <c r="CN4" s="139">
        <v>3.91</v>
      </c>
      <c r="CO4" s="139">
        <f>CN4</f>
        <v>3.91</v>
      </c>
      <c r="CP4" t="s">
        <v>197</v>
      </c>
      <c r="CQ4">
        <v>4.0273000000000003</v>
      </c>
      <c r="CR4">
        <v>3.7927</v>
      </c>
      <c r="CS4" s="154" t="s">
        <v>198</v>
      </c>
      <c r="CT4" t="s">
        <v>199</v>
      </c>
      <c r="CU4" t="s">
        <v>200</v>
      </c>
      <c r="CV4" t="s">
        <v>199</v>
      </c>
      <c r="CW4" t="s">
        <v>166</v>
      </c>
      <c r="CX4" t="s">
        <v>166</v>
      </c>
      <c r="CY4" t="s">
        <v>201</v>
      </c>
      <c r="CZ4" t="s">
        <v>166</v>
      </c>
      <c r="DA4" t="s">
        <v>166</v>
      </c>
      <c r="DB4" t="s">
        <v>166</v>
      </c>
      <c r="DC4" t="s">
        <v>166</v>
      </c>
      <c r="DD4" t="s">
        <v>166</v>
      </c>
      <c r="DE4" t="s">
        <v>166</v>
      </c>
      <c r="DF4" t="s">
        <v>166</v>
      </c>
      <c r="DG4">
        <v>34.5</v>
      </c>
      <c r="DH4" t="s">
        <v>177</v>
      </c>
      <c r="DI4">
        <v>1</v>
      </c>
      <c r="DJ4" s="155" t="s">
        <v>202</v>
      </c>
      <c r="DK4">
        <v>2.1000000000000001E-2</v>
      </c>
      <c r="DL4" t="s">
        <v>203</v>
      </c>
      <c r="DM4" t="s">
        <v>203</v>
      </c>
      <c r="DN4" t="s">
        <v>204</v>
      </c>
      <c r="DO4">
        <v>4.2000000000000003E-2</v>
      </c>
      <c r="DP4" t="s">
        <v>203</v>
      </c>
      <c r="DQ4" t="s">
        <v>203</v>
      </c>
      <c r="DR4" t="s">
        <v>205</v>
      </c>
      <c r="DS4" t="s">
        <v>206</v>
      </c>
      <c r="DT4" t="s">
        <v>203</v>
      </c>
      <c r="DU4" t="s">
        <v>203</v>
      </c>
      <c r="DV4" t="s">
        <v>203</v>
      </c>
      <c r="DW4" s="138">
        <v>380</v>
      </c>
      <c r="DX4" t="s">
        <v>207</v>
      </c>
      <c r="DY4" s="138">
        <v>10.9</v>
      </c>
      <c r="DZ4" t="s">
        <v>208</v>
      </c>
      <c r="EA4">
        <v>39.299999999999997</v>
      </c>
      <c r="EB4" t="s">
        <v>209</v>
      </c>
      <c r="EC4">
        <v>0.25</v>
      </c>
      <c r="ED4" t="s">
        <v>313</v>
      </c>
      <c r="EE4" t="s">
        <v>210</v>
      </c>
      <c r="EF4" t="s">
        <v>211</v>
      </c>
      <c r="EG4">
        <v>1.0271999999999999</v>
      </c>
      <c r="EH4" t="s">
        <v>195</v>
      </c>
      <c r="EI4" t="s">
        <v>195</v>
      </c>
      <c r="EJ4" t="s">
        <v>212</v>
      </c>
      <c r="EK4" t="s">
        <v>195</v>
      </c>
      <c r="EL4" t="s">
        <v>195</v>
      </c>
      <c r="EM4" t="s">
        <v>213</v>
      </c>
      <c r="EN4" t="s">
        <v>210</v>
      </c>
      <c r="EO4" t="s">
        <v>210</v>
      </c>
      <c r="EP4" t="s">
        <v>210</v>
      </c>
      <c r="EQ4" t="s">
        <v>210</v>
      </c>
      <c r="ER4" t="s">
        <v>210</v>
      </c>
      <c r="ES4" t="s">
        <v>211</v>
      </c>
      <c r="ET4" t="s">
        <v>214</v>
      </c>
      <c r="EU4" t="s">
        <v>215</v>
      </c>
      <c r="EV4" t="s">
        <v>166</v>
      </c>
      <c r="EW4">
        <v>2255</v>
      </c>
      <c r="EX4" t="s">
        <v>216</v>
      </c>
      <c r="EY4">
        <v>100</v>
      </c>
      <c r="EZ4">
        <v>100</v>
      </c>
      <c r="FA4" t="s">
        <v>166</v>
      </c>
      <c r="FB4" t="s">
        <v>166</v>
      </c>
      <c r="FC4" t="s">
        <v>166</v>
      </c>
      <c r="FD4" t="s">
        <v>166</v>
      </c>
      <c r="FE4" s="141">
        <v>7.7866887559053701</v>
      </c>
      <c r="FF4" s="153" t="s">
        <v>217</v>
      </c>
      <c r="FG4" s="156">
        <v>0.11250070274429014</v>
      </c>
      <c r="FH4" s="156">
        <v>0.1111155715727401</v>
      </c>
      <c r="FI4" s="142">
        <v>874.86205425131902</v>
      </c>
      <c r="FJ4" s="153" t="s">
        <v>166</v>
      </c>
      <c r="FK4" s="153" t="s">
        <v>314</v>
      </c>
      <c r="FL4" s="142">
        <v>874.86205425131902</v>
      </c>
      <c r="FM4" s="142">
        <v>259.74127514931092</v>
      </c>
      <c r="FN4" s="142">
        <v>205.90316721889405</v>
      </c>
      <c r="FO4" t="s">
        <v>218</v>
      </c>
      <c r="FP4" t="s">
        <v>219</v>
      </c>
      <c r="FQ4" t="s">
        <v>220</v>
      </c>
      <c r="FR4" t="s">
        <v>220</v>
      </c>
      <c r="FS4" t="s">
        <v>220</v>
      </c>
      <c r="FT4" s="142">
        <v>2139.07268667361</v>
      </c>
      <c r="FU4" s="142">
        <v>102.14259910121018</v>
      </c>
      <c r="FV4" s="142">
        <v>102.10892265894995</v>
      </c>
      <c r="FW4" s="139">
        <v>7.6559938502147</v>
      </c>
      <c r="FX4" s="139">
        <v>2.26407802592992</v>
      </c>
      <c r="FY4" s="139">
        <v>1.7610884463903504</v>
      </c>
      <c r="FZ4" t="s">
        <v>220</v>
      </c>
      <c r="GA4" t="s">
        <v>220</v>
      </c>
      <c r="GB4" t="s">
        <v>220</v>
      </c>
      <c r="GC4" t="s">
        <v>316</v>
      </c>
    </row>
    <row r="5" spans="1:185" ht="17">
      <c r="A5" t="s">
        <v>293</v>
      </c>
      <c r="B5" s="137" t="s">
        <v>294</v>
      </c>
      <c r="C5" t="s">
        <v>167</v>
      </c>
      <c r="D5" t="s">
        <v>295</v>
      </c>
      <c r="E5">
        <v>2019</v>
      </c>
      <c r="F5" t="str">
        <f>Z5</f>
        <v xml:space="preserve">10.1073/pnas.1905989116 </v>
      </c>
      <c r="G5" s="138">
        <f>AS5</f>
        <v>66039</v>
      </c>
      <c r="H5" s="142">
        <f>AVERAGE(88,86)</f>
        <v>87</v>
      </c>
      <c r="I5" s="142">
        <f>AVERAGE(88,86)</f>
        <v>87</v>
      </c>
      <c r="J5">
        <v>1667.7426605287801</v>
      </c>
      <c r="K5" s="142">
        <v>450.80999159912972</v>
      </c>
      <c r="L5" s="142">
        <v>329.60547321965009</v>
      </c>
      <c r="M5" t="b">
        <v>0</v>
      </c>
      <c r="N5">
        <v>1</v>
      </c>
      <c r="O5" s="163" t="s">
        <v>310</v>
      </c>
      <c r="P5" s="161" t="b">
        <v>0</v>
      </c>
      <c r="Q5" t="b">
        <v>1</v>
      </c>
      <c r="R5" t="s">
        <v>311</v>
      </c>
      <c r="S5" t="b">
        <v>1</v>
      </c>
      <c r="T5" t="b">
        <v>0</v>
      </c>
      <c r="U5" t="s">
        <v>166</v>
      </c>
      <c r="V5" s="161" t="b">
        <v>0</v>
      </c>
      <c r="W5" t="b">
        <v>0</v>
      </c>
      <c r="X5" t="s">
        <v>315</v>
      </c>
      <c r="Y5" s="143" t="s">
        <v>169</v>
      </c>
      <c r="Z5" t="s">
        <v>170</v>
      </c>
      <c r="AA5" t="s">
        <v>221</v>
      </c>
      <c r="AB5" s="158" t="s">
        <v>166</v>
      </c>
      <c r="AC5" s="158" t="s">
        <v>166</v>
      </c>
      <c r="AD5" s="158" t="s">
        <v>166</v>
      </c>
      <c r="AE5" s="158" t="s">
        <v>166</v>
      </c>
      <c r="AF5" s="158" t="s">
        <v>166</v>
      </c>
      <c r="AG5" s="158" t="s">
        <v>166</v>
      </c>
      <c r="AH5" s="146" t="s">
        <v>166</v>
      </c>
      <c r="AI5" s="146" t="s">
        <v>166</v>
      </c>
      <c r="AJ5" t="s">
        <v>222</v>
      </c>
      <c r="AK5" s="147">
        <v>50.865000000000002</v>
      </c>
      <c r="AL5" s="147">
        <v>5.7839999999999998</v>
      </c>
      <c r="AM5" s="147">
        <v>45</v>
      </c>
      <c r="AN5" s="147">
        <v>-10</v>
      </c>
      <c r="AO5" s="147">
        <v>300</v>
      </c>
      <c r="AP5" s="147">
        <v>-20</v>
      </c>
      <c r="AQ5" s="148" t="s">
        <v>223</v>
      </c>
      <c r="AR5" t="s">
        <v>176</v>
      </c>
      <c r="AS5" s="149">
        <v>66039</v>
      </c>
      <c r="AT5" s="150" t="s">
        <v>177</v>
      </c>
      <c r="AU5" t="s">
        <v>166</v>
      </c>
      <c r="AV5" t="s">
        <v>166</v>
      </c>
      <c r="AW5" t="s">
        <v>178</v>
      </c>
      <c r="AX5" t="s">
        <v>224</v>
      </c>
      <c r="AY5" t="s">
        <v>166</v>
      </c>
      <c r="AZ5" t="s">
        <v>166</v>
      </c>
      <c r="BA5" t="s">
        <v>166</v>
      </c>
      <c r="BB5" t="s">
        <v>166</v>
      </c>
      <c r="BC5" t="s">
        <v>166</v>
      </c>
      <c r="BD5" t="s">
        <v>166</v>
      </c>
      <c r="BE5" t="s">
        <v>166</v>
      </c>
      <c r="BF5" t="s">
        <v>166</v>
      </c>
      <c r="BG5" t="s">
        <v>225</v>
      </c>
      <c r="BH5" t="s">
        <v>226</v>
      </c>
      <c r="BI5" t="s">
        <v>182</v>
      </c>
      <c r="BJ5" s="152" t="s">
        <v>183</v>
      </c>
      <c r="BK5" t="s">
        <v>184</v>
      </c>
      <c r="BL5" t="s">
        <v>185</v>
      </c>
      <c r="BM5" t="s">
        <v>186</v>
      </c>
      <c r="BN5" t="s">
        <v>227</v>
      </c>
      <c r="BO5">
        <v>2</v>
      </c>
      <c r="BP5" s="141">
        <v>0.25</v>
      </c>
      <c r="BQ5" s="139">
        <v>13.478</v>
      </c>
      <c r="BR5" t="s">
        <v>188</v>
      </c>
      <c r="BS5" s="139">
        <v>0.18</v>
      </c>
      <c r="BT5">
        <v>1</v>
      </c>
      <c r="BU5" t="s">
        <v>189</v>
      </c>
      <c r="BV5" s="150" t="s">
        <v>166</v>
      </c>
      <c r="BW5">
        <v>0</v>
      </c>
      <c r="BX5" t="s">
        <v>228</v>
      </c>
      <c r="BY5" t="s">
        <v>166</v>
      </c>
      <c r="BZ5" t="s">
        <v>166</v>
      </c>
      <c r="CA5" t="s">
        <v>166</v>
      </c>
      <c r="CB5" s="153">
        <f t="shared" ref="CB5:CB7" si="0">BQ5</f>
        <v>13.478</v>
      </c>
      <c r="CC5" t="s">
        <v>229</v>
      </c>
      <c r="CD5" s="153">
        <f>BS5</f>
        <v>0.18</v>
      </c>
      <c r="CF5" t="s">
        <v>194</v>
      </c>
      <c r="CG5">
        <v>70</v>
      </c>
      <c r="CH5" t="s">
        <v>195</v>
      </c>
      <c r="CI5" t="s">
        <v>195</v>
      </c>
      <c r="CJ5" s="138">
        <v>29.1386687616065</v>
      </c>
      <c r="CK5" t="s">
        <v>196</v>
      </c>
      <c r="CL5">
        <v>0.32128378295830018</v>
      </c>
      <c r="CM5">
        <v>0.30529765611790083</v>
      </c>
      <c r="CN5" s="139">
        <v>10.55</v>
      </c>
      <c r="CO5" s="139">
        <f t="shared" ref="CO5:CO20" si="1">CN5</f>
        <v>10.55</v>
      </c>
      <c r="CP5" t="s">
        <v>197</v>
      </c>
      <c r="CQ5">
        <v>10.8665</v>
      </c>
      <c r="CR5">
        <v>10.233500000000001</v>
      </c>
      <c r="CS5" s="154" t="s">
        <v>198</v>
      </c>
      <c r="CT5" t="s">
        <v>199</v>
      </c>
      <c r="CU5" t="s">
        <v>200</v>
      </c>
      <c r="CV5" t="s">
        <v>199</v>
      </c>
      <c r="CW5" t="s">
        <v>166</v>
      </c>
      <c r="CX5" t="s">
        <v>166</v>
      </c>
      <c r="CY5" t="s">
        <v>201</v>
      </c>
      <c r="CZ5">
        <v>23.4</v>
      </c>
      <c r="DA5">
        <v>23.4</v>
      </c>
      <c r="DB5" t="s">
        <v>230</v>
      </c>
      <c r="DC5">
        <v>2.5</v>
      </c>
      <c r="DD5" s="159" t="s">
        <v>231</v>
      </c>
      <c r="DE5" t="s">
        <v>232</v>
      </c>
      <c r="DF5" t="s">
        <v>233</v>
      </c>
      <c r="DG5">
        <v>34.4</v>
      </c>
      <c r="DH5" t="s">
        <v>177</v>
      </c>
      <c r="DI5">
        <v>1</v>
      </c>
      <c r="DJ5" s="155" t="s">
        <v>202</v>
      </c>
      <c r="DK5">
        <v>2.1000000000000001E-2</v>
      </c>
      <c r="DL5" t="s">
        <v>203</v>
      </c>
      <c r="DM5" t="s">
        <v>203</v>
      </c>
      <c r="DN5" t="s">
        <v>204</v>
      </c>
      <c r="DO5">
        <v>4.2000000000000003E-2</v>
      </c>
      <c r="DP5" t="s">
        <v>203</v>
      </c>
      <c r="DQ5" t="s">
        <v>203</v>
      </c>
      <c r="DR5" t="s">
        <v>205</v>
      </c>
      <c r="DS5" t="s">
        <v>206</v>
      </c>
      <c r="DT5" t="s">
        <v>203</v>
      </c>
      <c r="DU5" t="s">
        <v>203</v>
      </c>
      <c r="DV5" t="s">
        <v>203</v>
      </c>
      <c r="DW5" s="138">
        <v>380</v>
      </c>
      <c r="DX5" t="s">
        <v>207</v>
      </c>
      <c r="DY5" s="138">
        <v>10.9</v>
      </c>
      <c r="DZ5" t="s">
        <v>208</v>
      </c>
      <c r="EA5">
        <v>39.299999999999997</v>
      </c>
      <c r="EB5" t="s">
        <v>209</v>
      </c>
      <c r="EC5">
        <v>0.25</v>
      </c>
      <c r="ED5" t="s">
        <v>313</v>
      </c>
      <c r="EE5" t="s">
        <v>210</v>
      </c>
      <c r="EF5" t="s">
        <v>211</v>
      </c>
      <c r="EG5">
        <v>1.0271999999999999</v>
      </c>
      <c r="EH5" t="s">
        <v>195</v>
      </c>
      <c r="EI5" t="s">
        <v>195</v>
      </c>
      <c r="EJ5" t="s">
        <v>212</v>
      </c>
      <c r="EK5" t="s">
        <v>195</v>
      </c>
      <c r="EL5" t="s">
        <v>195</v>
      </c>
      <c r="EM5" t="s">
        <v>213</v>
      </c>
      <c r="EN5" t="s">
        <v>210</v>
      </c>
      <c r="EO5" t="s">
        <v>210</v>
      </c>
      <c r="EP5" t="s">
        <v>210</v>
      </c>
      <c r="EQ5" t="s">
        <v>210</v>
      </c>
      <c r="ER5" t="s">
        <v>210</v>
      </c>
      <c r="ES5" t="s">
        <v>211</v>
      </c>
      <c r="ET5" t="s">
        <v>214</v>
      </c>
      <c r="EU5" t="s">
        <v>215</v>
      </c>
      <c r="EV5" t="s">
        <v>166</v>
      </c>
      <c r="EW5">
        <v>2102</v>
      </c>
      <c r="EX5" t="s">
        <v>216</v>
      </c>
      <c r="EY5">
        <v>100</v>
      </c>
      <c r="EZ5">
        <v>400</v>
      </c>
      <c r="FA5" t="s">
        <v>166</v>
      </c>
      <c r="FB5" t="s">
        <v>166</v>
      </c>
      <c r="FC5" t="s">
        <v>166</v>
      </c>
      <c r="FD5" t="s">
        <v>166</v>
      </c>
      <c r="FE5" s="141">
        <v>7.4712228467842099</v>
      </c>
      <c r="FF5" s="153" t="s">
        <v>217</v>
      </c>
      <c r="FG5" s="156">
        <v>7.9411894135180461E-2</v>
      </c>
      <c r="FH5" s="156">
        <v>9.2251442206889855E-2</v>
      </c>
      <c r="FI5" s="142">
        <v>1667.7426605287801</v>
      </c>
      <c r="FJ5" s="153" t="s">
        <v>166</v>
      </c>
      <c r="FK5" s="153" t="s">
        <v>314</v>
      </c>
      <c r="FL5" s="142">
        <v>1667.7426605287801</v>
      </c>
      <c r="FM5" s="142">
        <v>450.80999159912972</v>
      </c>
      <c r="FN5" s="142">
        <v>329.60547321965009</v>
      </c>
      <c r="FO5" t="s">
        <v>218</v>
      </c>
      <c r="FP5" t="s">
        <v>219</v>
      </c>
      <c r="FQ5" t="s">
        <v>220</v>
      </c>
      <c r="FR5" t="s">
        <v>220</v>
      </c>
      <c r="FS5" t="s">
        <v>220</v>
      </c>
      <c r="FT5" s="142">
        <v>2108.0276162272598</v>
      </c>
      <c r="FU5" s="142">
        <v>196.47742844649019</v>
      </c>
      <c r="FV5" s="142">
        <v>203.99472046687993</v>
      </c>
      <c r="FW5" s="139">
        <v>2.6646586442190201</v>
      </c>
      <c r="FX5" s="139">
        <v>0.59739344758440982</v>
      </c>
      <c r="FY5" s="139">
        <v>0.5374102266593801</v>
      </c>
      <c r="FZ5" t="s">
        <v>220</v>
      </c>
      <c r="GA5" t="s">
        <v>220</v>
      </c>
      <c r="GB5" t="s">
        <v>220</v>
      </c>
      <c r="GC5" t="s">
        <v>316</v>
      </c>
    </row>
    <row r="6" spans="1:185" ht="17">
      <c r="A6" t="s">
        <v>293</v>
      </c>
      <c r="B6" s="137" t="s">
        <v>294</v>
      </c>
      <c r="C6" t="s">
        <v>167</v>
      </c>
      <c r="D6" t="s">
        <v>295</v>
      </c>
      <c r="E6">
        <v>2019</v>
      </c>
      <c r="F6" t="str">
        <f t="shared" ref="F6:F20" si="2">Z6</f>
        <v>10.1073/pnas.1905989116</v>
      </c>
      <c r="G6" s="138">
        <f t="shared" ref="G6:G20" si="3">AS6</f>
        <v>66039</v>
      </c>
      <c r="H6" s="142">
        <f>AVERAGE(88,86)</f>
        <v>87</v>
      </c>
      <c r="I6" s="142">
        <f>AVERAGE(88,86)</f>
        <v>87</v>
      </c>
      <c r="J6">
        <v>1578.0988621919901</v>
      </c>
      <c r="K6" s="142">
        <v>570.08708129403976</v>
      </c>
      <c r="L6" s="142">
        <v>389.35324664038012</v>
      </c>
      <c r="M6" t="b">
        <v>0</v>
      </c>
      <c r="N6">
        <v>1</v>
      </c>
      <c r="O6" s="163" t="s">
        <v>310</v>
      </c>
      <c r="P6" s="161" t="b">
        <v>0</v>
      </c>
      <c r="Q6" t="b">
        <v>1</v>
      </c>
      <c r="R6" t="s">
        <v>311</v>
      </c>
      <c r="S6" t="b">
        <v>1</v>
      </c>
      <c r="T6" t="b">
        <v>0</v>
      </c>
      <c r="U6" t="s">
        <v>166</v>
      </c>
      <c r="V6" s="161" t="b">
        <v>0</v>
      </c>
      <c r="W6" t="b">
        <v>0</v>
      </c>
      <c r="X6" t="s">
        <v>315</v>
      </c>
      <c r="Y6" s="143" t="s">
        <v>169</v>
      </c>
      <c r="Z6" t="s">
        <v>234</v>
      </c>
      <c r="AA6" t="s">
        <v>221</v>
      </c>
      <c r="AB6" s="158" t="s">
        <v>166</v>
      </c>
      <c r="AC6" s="158" t="s">
        <v>166</v>
      </c>
      <c r="AD6" s="158" t="s">
        <v>166</v>
      </c>
      <c r="AE6" s="158" t="s">
        <v>166</v>
      </c>
      <c r="AF6" s="158" t="s">
        <v>166</v>
      </c>
      <c r="AG6" s="158" t="s">
        <v>166</v>
      </c>
      <c r="AH6" s="146" t="s">
        <v>166</v>
      </c>
      <c r="AI6" s="146" t="s">
        <v>166</v>
      </c>
      <c r="AJ6" t="s">
        <v>222</v>
      </c>
      <c r="AK6" s="147">
        <v>50.865000000000002</v>
      </c>
      <c r="AL6" s="147">
        <v>5.7839999999999998</v>
      </c>
      <c r="AM6" s="147">
        <v>45</v>
      </c>
      <c r="AN6" s="147">
        <v>-10</v>
      </c>
      <c r="AO6" s="147">
        <v>300</v>
      </c>
      <c r="AP6" s="147">
        <v>-20</v>
      </c>
      <c r="AQ6" s="148" t="s">
        <v>223</v>
      </c>
      <c r="AR6" t="s">
        <v>176</v>
      </c>
      <c r="AS6" s="149">
        <v>66039</v>
      </c>
      <c r="AT6" s="150" t="s">
        <v>177</v>
      </c>
      <c r="AU6" t="s">
        <v>166</v>
      </c>
      <c r="AV6" t="s">
        <v>166</v>
      </c>
      <c r="AW6" t="s">
        <v>178</v>
      </c>
      <c r="AX6" t="s">
        <v>224</v>
      </c>
      <c r="AY6" t="s">
        <v>166</v>
      </c>
      <c r="AZ6" t="s">
        <v>166</v>
      </c>
      <c r="BA6" t="s">
        <v>166</v>
      </c>
      <c r="BB6" t="s">
        <v>166</v>
      </c>
      <c r="BC6" t="s">
        <v>166</v>
      </c>
      <c r="BD6" t="s">
        <v>166</v>
      </c>
      <c r="BE6" t="s">
        <v>166</v>
      </c>
      <c r="BF6" t="s">
        <v>166</v>
      </c>
      <c r="BG6" s="151" t="s">
        <v>235</v>
      </c>
      <c r="BH6" t="s">
        <v>236</v>
      </c>
      <c r="BI6" t="s">
        <v>237</v>
      </c>
      <c r="BJ6" s="152" t="s">
        <v>183</v>
      </c>
      <c r="BK6" t="s">
        <v>184</v>
      </c>
      <c r="BL6" t="s">
        <v>185</v>
      </c>
      <c r="BM6" t="s">
        <v>186</v>
      </c>
      <c r="BN6" t="s">
        <v>238</v>
      </c>
      <c r="BO6">
        <v>2</v>
      </c>
      <c r="BP6" s="141">
        <v>0.33000000000000007</v>
      </c>
      <c r="BQ6" s="139">
        <v>13.157999999999999</v>
      </c>
      <c r="BR6" t="s">
        <v>188</v>
      </c>
      <c r="BS6" s="139">
        <v>0.24</v>
      </c>
      <c r="BT6">
        <v>1</v>
      </c>
      <c r="BU6" t="s">
        <v>189</v>
      </c>
      <c r="BV6" s="150" t="s">
        <v>166</v>
      </c>
      <c r="BW6" t="s">
        <v>190</v>
      </c>
      <c r="BX6" t="s">
        <v>191</v>
      </c>
      <c r="BY6" t="s">
        <v>166</v>
      </c>
      <c r="BZ6" t="s">
        <v>166</v>
      </c>
      <c r="CA6" t="s">
        <v>166</v>
      </c>
      <c r="CB6" t="s">
        <v>192</v>
      </c>
      <c r="CC6" t="s">
        <v>166</v>
      </c>
      <c r="CD6" s="153" t="s">
        <v>166</v>
      </c>
      <c r="CE6" t="s">
        <v>312</v>
      </c>
      <c r="CF6" t="s">
        <v>194</v>
      </c>
      <c r="CG6">
        <v>25</v>
      </c>
      <c r="CH6" t="s">
        <v>195</v>
      </c>
      <c r="CI6" t="s">
        <v>195</v>
      </c>
      <c r="CJ6" s="138">
        <v>29.342318137071501</v>
      </c>
      <c r="CK6" t="s">
        <v>196</v>
      </c>
      <c r="CL6">
        <v>0.95789666806269835</v>
      </c>
      <c r="CM6">
        <v>1.0464830278645998</v>
      </c>
      <c r="CN6" s="139">
        <v>4.32</v>
      </c>
      <c r="CO6" s="139">
        <f t="shared" si="1"/>
        <v>4.32</v>
      </c>
      <c r="CP6" t="s">
        <v>197</v>
      </c>
      <c r="CQ6">
        <v>4.4496000000000002</v>
      </c>
      <c r="CR6">
        <v>4.1904000000000003</v>
      </c>
      <c r="CS6" s="154" t="s">
        <v>198</v>
      </c>
      <c r="CT6" t="s">
        <v>199</v>
      </c>
      <c r="CU6" t="s">
        <v>200</v>
      </c>
      <c r="CV6" t="s">
        <v>199</v>
      </c>
      <c r="CW6" t="s">
        <v>166</v>
      </c>
      <c r="CX6" t="s">
        <v>166</v>
      </c>
      <c r="CY6" t="s">
        <v>201</v>
      </c>
      <c r="CZ6">
        <v>23.4</v>
      </c>
      <c r="DA6">
        <v>23.4</v>
      </c>
      <c r="DB6" t="s">
        <v>230</v>
      </c>
      <c r="DC6">
        <v>2.5</v>
      </c>
      <c r="DD6" s="159" t="s">
        <v>231</v>
      </c>
      <c r="DE6" t="s">
        <v>232</v>
      </c>
      <c r="DF6" t="s">
        <v>233</v>
      </c>
      <c r="DG6">
        <v>34.4</v>
      </c>
      <c r="DH6" t="s">
        <v>177</v>
      </c>
      <c r="DI6">
        <v>1</v>
      </c>
      <c r="DJ6" s="155" t="s">
        <v>202</v>
      </c>
      <c r="DK6">
        <v>2.1000000000000001E-2</v>
      </c>
      <c r="DL6" t="s">
        <v>203</v>
      </c>
      <c r="DM6" t="s">
        <v>203</v>
      </c>
      <c r="DN6" t="s">
        <v>204</v>
      </c>
      <c r="DO6">
        <v>4.2000000000000003E-2</v>
      </c>
      <c r="DP6" t="s">
        <v>203</v>
      </c>
      <c r="DQ6" t="s">
        <v>203</v>
      </c>
      <c r="DR6" t="s">
        <v>205</v>
      </c>
      <c r="DS6" t="s">
        <v>206</v>
      </c>
      <c r="DT6" t="s">
        <v>203</v>
      </c>
      <c r="DU6" t="s">
        <v>203</v>
      </c>
      <c r="DV6" t="s">
        <v>203</v>
      </c>
      <c r="DW6" s="138">
        <v>380</v>
      </c>
      <c r="DX6" t="s">
        <v>207</v>
      </c>
      <c r="DY6" s="138">
        <v>10.9</v>
      </c>
      <c r="DZ6" t="s">
        <v>208</v>
      </c>
      <c r="EA6">
        <v>39.299999999999997</v>
      </c>
      <c r="EB6" t="s">
        <v>209</v>
      </c>
      <c r="EC6">
        <v>0.25</v>
      </c>
      <c r="ED6" t="s">
        <v>313</v>
      </c>
      <c r="EE6" t="s">
        <v>210</v>
      </c>
      <c r="EF6" t="s">
        <v>211</v>
      </c>
      <c r="EG6">
        <v>1.0271999999999999</v>
      </c>
      <c r="EH6" t="s">
        <v>195</v>
      </c>
      <c r="EI6" t="s">
        <v>195</v>
      </c>
      <c r="EJ6" t="s">
        <v>212</v>
      </c>
      <c r="EK6" t="s">
        <v>195</v>
      </c>
      <c r="EL6" t="s">
        <v>195</v>
      </c>
      <c r="EM6" t="s">
        <v>213</v>
      </c>
      <c r="EN6" t="s">
        <v>210</v>
      </c>
      <c r="EO6" t="s">
        <v>210</v>
      </c>
      <c r="EP6" t="s">
        <v>210</v>
      </c>
      <c r="EQ6" t="s">
        <v>210</v>
      </c>
      <c r="ER6" t="s">
        <v>210</v>
      </c>
      <c r="ES6" t="s">
        <v>211</v>
      </c>
      <c r="ET6" t="s">
        <v>214</v>
      </c>
      <c r="EU6" t="s">
        <v>215</v>
      </c>
      <c r="EV6" t="s">
        <v>166</v>
      </c>
      <c r="EW6">
        <v>2102</v>
      </c>
      <c r="EX6" t="s">
        <v>216</v>
      </c>
      <c r="EY6">
        <v>100</v>
      </c>
      <c r="EZ6">
        <v>400</v>
      </c>
      <c r="FA6" t="s">
        <v>166</v>
      </c>
      <c r="FB6" t="s">
        <v>166</v>
      </c>
      <c r="FC6" t="s">
        <v>166</v>
      </c>
      <c r="FD6" t="s">
        <v>166</v>
      </c>
      <c r="FE6" s="141">
        <v>7.51682706191189</v>
      </c>
      <c r="FF6" s="153" t="s">
        <v>217</v>
      </c>
      <c r="FG6" s="156">
        <v>0.11337105056407992</v>
      </c>
      <c r="FH6" s="156">
        <v>0.12743753319241957</v>
      </c>
      <c r="FI6" s="142">
        <v>1578.0988621919901</v>
      </c>
      <c r="FJ6" s="153" t="s">
        <v>166</v>
      </c>
      <c r="FK6" s="153" t="s">
        <v>314</v>
      </c>
      <c r="FL6" s="142">
        <v>1578.0988621919901</v>
      </c>
      <c r="FM6" s="142">
        <v>570.08708129403976</v>
      </c>
      <c r="FN6" s="142">
        <v>389.35324664038012</v>
      </c>
      <c r="FO6" t="s">
        <v>218</v>
      </c>
      <c r="FP6" t="s">
        <v>219</v>
      </c>
      <c r="FQ6" t="s">
        <v>220</v>
      </c>
      <c r="FR6" t="s">
        <v>220</v>
      </c>
      <c r="FS6" t="s">
        <v>220</v>
      </c>
      <c r="FT6" s="142">
        <v>2086.8050542258102</v>
      </c>
      <c r="FU6" s="142">
        <v>198.39839289269003</v>
      </c>
      <c r="FV6" s="142">
        <v>203.14687546436016</v>
      </c>
      <c r="FW6" s="139">
        <v>4.0498395804758403</v>
      </c>
      <c r="FX6" s="139">
        <v>1.3341559532112095</v>
      </c>
      <c r="FY6" s="139">
        <v>1.0946967951338902</v>
      </c>
      <c r="FZ6" t="s">
        <v>220</v>
      </c>
      <c r="GA6" t="s">
        <v>220</v>
      </c>
      <c r="GB6" t="s">
        <v>220</v>
      </c>
      <c r="GC6" t="s">
        <v>316</v>
      </c>
    </row>
    <row r="7" spans="1:185" ht="17">
      <c r="A7" t="s">
        <v>293</v>
      </c>
      <c r="B7" s="137" t="s">
        <v>294</v>
      </c>
      <c r="C7" t="s">
        <v>167</v>
      </c>
      <c r="D7" t="s">
        <v>295</v>
      </c>
      <c r="E7">
        <v>2019</v>
      </c>
      <c r="F7" t="str">
        <f t="shared" si="2"/>
        <v>10.1073/pnas.1905989116</v>
      </c>
      <c r="G7" s="138">
        <f t="shared" si="3"/>
        <v>66320</v>
      </c>
      <c r="H7" s="142">
        <f>AVERAGE(134,86)</f>
        <v>110</v>
      </c>
      <c r="I7" s="142">
        <f>AVERAGE(134,86)</f>
        <v>110</v>
      </c>
      <c r="J7">
        <v>1017.05564073076</v>
      </c>
      <c r="K7" s="142">
        <v>189.83982226486989</v>
      </c>
      <c r="L7" s="142">
        <v>146.72907101535009</v>
      </c>
      <c r="M7" t="b">
        <v>0</v>
      </c>
      <c r="N7">
        <v>1</v>
      </c>
      <c r="O7" s="163" t="s">
        <v>310</v>
      </c>
      <c r="P7" s="161" t="b">
        <v>0</v>
      </c>
      <c r="Q7" t="b">
        <v>1</v>
      </c>
      <c r="R7" t="s">
        <v>311</v>
      </c>
      <c r="S7" t="b">
        <v>1</v>
      </c>
      <c r="T7" t="b">
        <v>0</v>
      </c>
      <c r="U7" t="s">
        <v>166</v>
      </c>
      <c r="V7" s="161" t="b">
        <v>0</v>
      </c>
      <c r="W7" t="b">
        <v>0</v>
      </c>
      <c r="X7" t="s">
        <v>315</v>
      </c>
      <c r="Y7" s="143" t="s">
        <v>169</v>
      </c>
      <c r="Z7" t="s">
        <v>234</v>
      </c>
      <c r="AA7" t="s">
        <v>239</v>
      </c>
      <c r="AB7" s="157" t="s">
        <v>166</v>
      </c>
      <c r="AC7" s="157" t="s">
        <v>166</v>
      </c>
      <c r="AD7" s="157" t="s">
        <v>166</v>
      </c>
      <c r="AE7" t="s">
        <v>240</v>
      </c>
      <c r="AF7" t="s">
        <v>240</v>
      </c>
      <c r="AG7" s="158" t="s">
        <v>166</v>
      </c>
      <c r="AH7" s="146" t="s">
        <v>166</v>
      </c>
      <c r="AI7" s="146" t="s">
        <v>166</v>
      </c>
      <c r="AJ7" t="s">
        <v>241</v>
      </c>
      <c r="AK7" s="147">
        <v>34.055999999999997</v>
      </c>
      <c r="AL7" s="147">
        <v>-88.924000000000007</v>
      </c>
      <c r="AM7" s="147">
        <v>33</v>
      </c>
      <c r="AN7" s="147">
        <v>-81</v>
      </c>
      <c r="AO7" s="147">
        <v>152</v>
      </c>
      <c r="AP7" s="147">
        <v>-110</v>
      </c>
      <c r="AQ7" s="148" t="s">
        <v>242</v>
      </c>
      <c r="AR7" t="s">
        <v>176</v>
      </c>
      <c r="AS7" s="149">
        <v>66320</v>
      </c>
      <c r="AT7" s="150" t="s">
        <v>177</v>
      </c>
      <c r="AU7" t="s">
        <v>166</v>
      </c>
      <c r="AV7" t="s">
        <v>166</v>
      </c>
      <c r="AW7" t="s">
        <v>178</v>
      </c>
      <c r="AX7" t="s">
        <v>243</v>
      </c>
      <c r="AY7" t="s">
        <v>166</v>
      </c>
      <c r="AZ7" t="s">
        <v>166</v>
      </c>
      <c r="BA7" t="s">
        <v>166</v>
      </c>
      <c r="BB7" t="s">
        <v>166</v>
      </c>
      <c r="BC7" t="s">
        <v>166</v>
      </c>
      <c r="BD7" t="s">
        <v>166</v>
      </c>
      <c r="BE7" t="s">
        <v>166</v>
      </c>
      <c r="BF7" t="s">
        <v>166</v>
      </c>
      <c r="BG7" t="s">
        <v>225</v>
      </c>
      <c r="BH7" t="s">
        <v>226</v>
      </c>
      <c r="BI7" t="s">
        <v>182</v>
      </c>
      <c r="BJ7" s="152" t="s">
        <v>183</v>
      </c>
      <c r="BK7" t="s">
        <v>184</v>
      </c>
      <c r="BL7" t="s">
        <v>185</v>
      </c>
      <c r="BM7" t="s">
        <v>186</v>
      </c>
      <c r="BN7" t="s">
        <v>244</v>
      </c>
      <c r="BO7">
        <v>2</v>
      </c>
      <c r="BP7" s="141">
        <v>0.2</v>
      </c>
      <c r="BQ7" s="139">
        <v>14.731</v>
      </c>
      <c r="BR7" t="s">
        <v>188</v>
      </c>
      <c r="BS7" s="139">
        <v>0.3</v>
      </c>
      <c r="BT7">
        <v>1</v>
      </c>
      <c r="BU7" t="s">
        <v>189</v>
      </c>
      <c r="BV7" s="150" t="s">
        <v>166</v>
      </c>
      <c r="BW7">
        <v>0</v>
      </c>
      <c r="BX7" t="s">
        <v>228</v>
      </c>
      <c r="BY7" t="s">
        <v>166</v>
      </c>
      <c r="BZ7" t="s">
        <v>166</v>
      </c>
      <c r="CA7" t="s">
        <v>166</v>
      </c>
      <c r="CB7" s="153">
        <f t="shared" si="0"/>
        <v>14.731</v>
      </c>
      <c r="CC7" t="s">
        <v>229</v>
      </c>
      <c r="CD7" s="153">
        <f>BS7</f>
        <v>0.3</v>
      </c>
      <c r="CF7" t="s">
        <v>194</v>
      </c>
      <c r="CG7">
        <v>100</v>
      </c>
      <c r="CH7" t="s">
        <v>195</v>
      </c>
      <c r="CI7" t="s">
        <v>195</v>
      </c>
      <c r="CJ7" s="138">
        <v>27.151928310988399</v>
      </c>
      <c r="CK7" t="s">
        <v>196</v>
      </c>
      <c r="CL7">
        <v>0.29195664397650134</v>
      </c>
      <c r="CM7">
        <v>0.32567229826899791</v>
      </c>
      <c r="CN7" s="139">
        <v>8.6999999999999993</v>
      </c>
      <c r="CO7" s="139">
        <f t="shared" si="1"/>
        <v>8.6999999999999993</v>
      </c>
      <c r="CP7" t="s">
        <v>197</v>
      </c>
      <c r="CQ7">
        <v>8.9609999999999985</v>
      </c>
      <c r="CR7">
        <v>8.4390000000000001</v>
      </c>
      <c r="CS7" s="154" t="s">
        <v>198</v>
      </c>
      <c r="CT7" t="s">
        <v>199</v>
      </c>
      <c r="CU7" t="s">
        <v>200</v>
      </c>
      <c r="CV7" t="s">
        <v>199</v>
      </c>
      <c r="CW7" t="s">
        <v>166</v>
      </c>
      <c r="CX7" t="s">
        <v>166</v>
      </c>
      <c r="CY7" t="s">
        <v>201</v>
      </c>
      <c r="CZ7" t="s">
        <v>166</v>
      </c>
      <c r="DA7" t="s">
        <v>166</v>
      </c>
      <c r="DB7" t="s">
        <v>166</v>
      </c>
      <c r="DC7" t="s">
        <v>166</v>
      </c>
      <c r="DD7" t="s">
        <v>166</v>
      </c>
      <c r="DE7" t="s">
        <v>166</v>
      </c>
      <c r="DF7" t="s">
        <v>166</v>
      </c>
      <c r="DG7">
        <v>34.1</v>
      </c>
      <c r="DH7" t="s">
        <v>177</v>
      </c>
      <c r="DI7">
        <v>1</v>
      </c>
      <c r="DJ7" s="155" t="s">
        <v>202</v>
      </c>
      <c r="DK7">
        <v>2.1000000000000001E-2</v>
      </c>
      <c r="DL7" t="s">
        <v>203</v>
      </c>
      <c r="DM7" t="s">
        <v>203</v>
      </c>
      <c r="DN7" t="s">
        <v>204</v>
      </c>
      <c r="DO7">
        <v>4.2000000000000003E-2</v>
      </c>
      <c r="DP7" t="s">
        <v>203</v>
      </c>
      <c r="DQ7" t="s">
        <v>203</v>
      </c>
      <c r="DR7" t="s">
        <v>205</v>
      </c>
      <c r="DS7" t="s">
        <v>206</v>
      </c>
      <c r="DT7" t="s">
        <v>203</v>
      </c>
      <c r="DU7" t="s">
        <v>203</v>
      </c>
      <c r="DV7" t="s">
        <v>203</v>
      </c>
      <c r="DW7" s="138">
        <v>380</v>
      </c>
      <c r="DX7" t="s">
        <v>207</v>
      </c>
      <c r="DY7" s="138">
        <v>10.9</v>
      </c>
      <c r="DZ7" t="s">
        <v>208</v>
      </c>
      <c r="EA7">
        <v>39.299999999999997</v>
      </c>
      <c r="EB7" t="s">
        <v>209</v>
      </c>
      <c r="EC7">
        <v>0.25</v>
      </c>
      <c r="ED7" t="s">
        <v>313</v>
      </c>
      <c r="EE7" t="s">
        <v>210</v>
      </c>
      <c r="EF7" t="s">
        <v>211</v>
      </c>
      <c r="EG7">
        <v>1.0271999999999999</v>
      </c>
      <c r="EH7" t="s">
        <v>195</v>
      </c>
      <c r="EI7" t="s">
        <v>195</v>
      </c>
      <c r="EJ7" t="s">
        <v>212</v>
      </c>
      <c r="EK7" t="s">
        <v>195</v>
      </c>
      <c r="EL7" t="s">
        <v>195</v>
      </c>
      <c r="EM7" t="s">
        <v>213</v>
      </c>
      <c r="EN7" t="s">
        <v>210</v>
      </c>
      <c r="EO7" t="s">
        <v>210</v>
      </c>
      <c r="EP7" t="s">
        <v>210</v>
      </c>
      <c r="EQ7" t="s">
        <v>210</v>
      </c>
      <c r="ER7" t="s">
        <v>210</v>
      </c>
      <c r="ES7" t="s">
        <v>211</v>
      </c>
      <c r="ET7" t="s">
        <v>214</v>
      </c>
      <c r="EU7" t="s">
        <v>215</v>
      </c>
      <c r="EV7" t="s">
        <v>166</v>
      </c>
      <c r="EW7">
        <v>2085</v>
      </c>
      <c r="EX7" t="s">
        <v>216</v>
      </c>
      <c r="EY7">
        <v>100</v>
      </c>
      <c r="EZ7">
        <v>100</v>
      </c>
      <c r="FA7" t="s">
        <v>166</v>
      </c>
      <c r="FB7" t="s">
        <v>166</v>
      </c>
      <c r="FC7" t="s">
        <v>166</v>
      </c>
      <c r="FD7" t="s">
        <v>166</v>
      </c>
      <c r="FE7" s="141">
        <v>7.7159670114687202</v>
      </c>
      <c r="FF7" s="153" t="s">
        <v>217</v>
      </c>
      <c r="FG7" s="141">
        <v>6.2692645033489924E-2</v>
      </c>
      <c r="FH7" s="141">
        <v>7.0686811383790626E-2</v>
      </c>
      <c r="FI7" s="142">
        <v>1017.05564073076</v>
      </c>
      <c r="FJ7" s="153" t="s">
        <v>166</v>
      </c>
      <c r="FK7" s="153" t="s">
        <v>314</v>
      </c>
      <c r="FL7" s="142">
        <v>1017.05564073076</v>
      </c>
      <c r="FM7" s="142">
        <v>189.83982226486989</v>
      </c>
      <c r="FN7" s="142">
        <v>146.72907101535009</v>
      </c>
      <c r="FO7" t="s">
        <v>218</v>
      </c>
      <c r="FP7" t="s">
        <v>219</v>
      </c>
      <c r="FQ7" t="s">
        <v>220</v>
      </c>
      <c r="FR7" t="s">
        <v>220</v>
      </c>
      <c r="FS7" t="s">
        <v>220</v>
      </c>
      <c r="FT7" s="142">
        <v>2216.2755860704701</v>
      </c>
      <c r="FU7" s="142">
        <v>97.208733473589746</v>
      </c>
      <c r="FV7" s="142">
        <v>99.120546996749908</v>
      </c>
      <c r="FW7" s="139">
        <v>5.1466091534437703</v>
      </c>
      <c r="FX7" s="139">
        <v>0.78771290480889</v>
      </c>
      <c r="FY7" s="139">
        <v>0.74603103438092067</v>
      </c>
      <c r="FZ7" t="s">
        <v>220</v>
      </c>
      <c r="GA7" t="s">
        <v>220</v>
      </c>
      <c r="GB7" t="s">
        <v>220</v>
      </c>
      <c r="GC7" t="s">
        <v>316</v>
      </c>
    </row>
    <row r="8" spans="1:185" ht="17">
      <c r="A8" t="s">
        <v>293</v>
      </c>
      <c r="B8" s="137" t="s">
        <v>294</v>
      </c>
      <c r="C8" t="s">
        <v>167</v>
      </c>
      <c r="D8" t="s">
        <v>295</v>
      </c>
      <c r="E8">
        <v>2019</v>
      </c>
      <c r="F8" t="str">
        <f t="shared" si="2"/>
        <v>10.1073/pnas.1905989116</v>
      </c>
      <c r="G8" s="138">
        <f t="shared" si="3"/>
        <v>66820</v>
      </c>
      <c r="H8" s="142">
        <f t="shared" ref="H8:I14" si="4">AVERAGE(134,86)</f>
        <v>110</v>
      </c>
      <c r="I8" s="142">
        <f t="shared" si="4"/>
        <v>110</v>
      </c>
      <c r="J8">
        <v>959.90130633264096</v>
      </c>
      <c r="K8" s="142">
        <v>296.21728865799912</v>
      </c>
      <c r="L8" s="142">
        <v>226.62722601983296</v>
      </c>
      <c r="M8" t="b">
        <v>0</v>
      </c>
      <c r="N8">
        <v>1</v>
      </c>
      <c r="O8" s="163" t="s">
        <v>310</v>
      </c>
      <c r="P8" s="161" t="b">
        <v>0</v>
      </c>
      <c r="Q8" t="b">
        <v>1</v>
      </c>
      <c r="R8" t="s">
        <v>311</v>
      </c>
      <c r="S8" t="b">
        <v>1</v>
      </c>
      <c r="T8" t="b">
        <v>0</v>
      </c>
      <c r="U8" t="s">
        <v>166</v>
      </c>
      <c r="V8" s="161" t="b">
        <v>0</v>
      </c>
      <c r="W8" t="b">
        <v>0</v>
      </c>
      <c r="X8" t="s">
        <v>315</v>
      </c>
      <c r="Y8" s="143" t="s">
        <v>169</v>
      </c>
      <c r="Z8" t="s">
        <v>234</v>
      </c>
      <c r="AA8" t="s">
        <v>245</v>
      </c>
      <c r="AB8" s="144" t="s">
        <v>246</v>
      </c>
      <c r="AC8" s="144">
        <v>9</v>
      </c>
      <c r="AD8" s="144">
        <v>3</v>
      </c>
      <c r="AE8">
        <v>12</v>
      </c>
      <c r="AF8">
        <v>14.5</v>
      </c>
      <c r="AG8" t="s">
        <v>247</v>
      </c>
      <c r="AH8" s="146" t="s">
        <v>166</v>
      </c>
      <c r="AI8" s="146" t="s">
        <v>166</v>
      </c>
      <c r="AJ8" t="s">
        <v>248</v>
      </c>
      <c r="AK8" s="147">
        <v>30.141999999999999</v>
      </c>
      <c r="AL8" s="147">
        <v>-76.111999999999995</v>
      </c>
      <c r="AM8" s="147">
        <v>30</v>
      </c>
      <c r="AN8" s="147">
        <v>-70</v>
      </c>
      <c r="AO8" s="147">
        <v>-2671</v>
      </c>
      <c r="AP8" s="147">
        <v>-1550</v>
      </c>
      <c r="AQ8" s="148" t="s">
        <v>249</v>
      </c>
      <c r="AR8" t="s">
        <v>176</v>
      </c>
      <c r="AS8" s="149">
        <v>66820</v>
      </c>
      <c r="AT8" s="150" t="s">
        <v>177</v>
      </c>
      <c r="AU8" t="s">
        <v>166</v>
      </c>
      <c r="AV8" t="s">
        <v>166</v>
      </c>
      <c r="AW8" t="s">
        <v>178</v>
      </c>
      <c r="AX8" t="s">
        <v>250</v>
      </c>
      <c r="AY8" t="s">
        <v>166</v>
      </c>
      <c r="AZ8" t="s">
        <v>166</v>
      </c>
      <c r="BA8" t="s">
        <v>166</v>
      </c>
      <c r="BB8" t="s">
        <v>166</v>
      </c>
      <c r="BC8" t="s">
        <v>166</v>
      </c>
      <c r="BD8" t="s">
        <v>166</v>
      </c>
      <c r="BE8" t="s">
        <v>166</v>
      </c>
      <c r="BF8" t="s">
        <v>166</v>
      </c>
      <c r="BG8" s="151" t="s">
        <v>180</v>
      </c>
      <c r="BH8" t="s">
        <v>251</v>
      </c>
      <c r="BI8" t="s">
        <v>182</v>
      </c>
      <c r="BJ8" s="152" t="s">
        <v>183</v>
      </c>
      <c r="BK8" t="s">
        <v>184</v>
      </c>
      <c r="BL8" t="s">
        <v>185</v>
      </c>
      <c r="BM8" t="s">
        <v>186</v>
      </c>
      <c r="BN8" t="s">
        <v>252</v>
      </c>
      <c r="BO8">
        <v>8</v>
      </c>
      <c r="BP8">
        <v>5.5E-2</v>
      </c>
      <c r="BQ8" s="139">
        <v>13.83175643</v>
      </c>
      <c r="BR8" t="s">
        <v>188</v>
      </c>
      <c r="BS8" s="139">
        <v>0.1545</v>
      </c>
      <c r="BT8">
        <v>1</v>
      </c>
      <c r="BU8" t="s">
        <v>189</v>
      </c>
      <c r="BV8" s="150" t="s">
        <v>166</v>
      </c>
      <c r="BW8" t="s">
        <v>190</v>
      </c>
      <c r="BX8" t="s">
        <v>191</v>
      </c>
      <c r="BY8" t="s">
        <v>166</v>
      </c>
      <c r="BZ8" t="s">
        <v>166</v>
      </c>
      <c r="CA8" t="s">
        <v>166</v>
      </c>
      <c r="CB8" t="s">
        <v>192</v>
      </c>
      <c r="CC8" t="s">
        <v>166</v>
      </c>
      <c r="CD8" s="153" t="s">
        <v>166</v>
      </c>
      <c r="CE8" t="s">
        <v>193</v>
      </c>
      <c r="CF8" t="s">
        <v>194</v>
      </c>
      <c r="CG8">
        <v>75</v>
      </c>
      <c r="CH8" t="s">
        <v>195</v>
      </c>
      <c r="CI8" t="s">
        <v>195</v>
      </c>
      <c r="CJ8" s="138">
        <v>30.6206688176879</v>
      </c>
      <c r="CK8" t="s">
        <v>196</v>
      </c>
      <c r="CL8">
        <v>0.93792825037710159</v>
      </c>
      <c r="CM8">
        <v>0.94176044918780022</v>
      </c>
      <c r="CN8" s="139">
        <v>4.3867025166669107</v>
      </c>
      <c r="CO8" s="139">
        <f t="shared" si="1"/>
        <v>4.3867025166669107</v>
      </c>
      <c r="CP8" t="s">
        <v>197</v>
      </c>
      <c r="CQ8">
        <v>4.5183035921669177</v>
      </c>
      <c r="CR8">
        <v>4.2551014411669037</v>
      </c>
      <c r="CS8" s="154" t="s">
        <v>198</v>
      </c>
      <c r="CT8" t="s">
        <v>199</v>
      </c>
      <c r="CU8" t="s">
        <v>200</v>
      </c>
      <c r="CV8" t="s">
        <v>199</v>
      </c>
      <c r="CW8" t="s">
        <v>166</v>
      </c>
      <c r="CX8" t="s">
        <v>166</v>
      </c>
      <c r="CY8" t="s">
        <v>201</v>
      </c>
      <c r="CZ8" t="s">
        <v>166</v>
      </c>
      <c r="DA8" t="s">
        <v>166</v>
      </c>
      <c r="DB8" t="s">
        <v>166</v>
      </c>
      <c r="DC8" t="s">
        <v>166</v>
      </c>
      <c r="DD8" t="s">
        <v>166</v>
      </c>
      <c r="DE8" t="s">
        <v>166</v>
      </c>
      <c r="DF8" t="s">
        <v>166</v>
      </c>
      <c r="DG8">
        <v>34.4</v>
      </c>
      <c r="DH8" t="s">
        <v>177</v>
      </c>
      <c r="DI8">
        <v>1</v>
      </c>
      <c r="DJ8" s="155" t="s">
        <v>202</v>
      </c>
      <c r="DK8">
        <v>2.1000000000000001E-2</v>
      </c>
      <c r="DL8" t="s">
        <v>203</v>
      </c>
      <c r="DM8" t="s">
        <v>203</v>
      </c>
      <c r="DN8" t="s">
        <v>204</v>
      </c>
      <c r="DO8">
        <v>4.2000000000000003E-2</v>
      </c>
      <c r="DP8" t="s">
        <v>203</v>
      </c>
      <c r="DQ8" t="s">
        <v>203</v>
      </c>
      <c r="DR8" t="s">
        <v>205</v>
      </c>
      <c r="DS8" t="s">
        <v>206</v>
      </c>
      <c r="DT8" t="s">
        <v>203</v>
      </c>
      <c r="DU8" t="s">
        <v>203</v>
      </c>
      <c r="DV8" t="s">
        <v>203</v>
      </c>
      <c r="DW8" s="138">
        <v>380</v>
      </c>
      <c r="DX8" t="s">
        <v>207</v>
      </c>
      <c r="DY8" s="138">
        <v>10.9</v>
      </c>
      <c r="DZ8" t="s">
        <v>208</v>
      </c>
      <c r="EA8">
        <v>39.299999999999997</v>
      </c>
      <c r="EB8" t="s">
        <v>209</v>
      </c>
      <c r="EC8">
        <v>0.25</v>
      </c>
      <c r="ED8" t="s">
        <v>313</v>
      </c>
      <c r="EE8" t="s">
        <v>210</v>
      </c>
      <c r="EF8" t="s">
        <v>211</v>
      </c>
      <c r="EG8">
        <v>1.0271999999999999</v>
      </c>
      <c r="EH8" t="s">
        <v>195</v>
      </c>
      <c r="EI8" t="s">
        <v>195</v>
      </c>
      <c r="EJ8" t="s">
        <v>212</v>
      </c>
      <c r="EK8" t="s">
        <v>195</v>
      </c>
      <c r="EL8" t="s">
        <v>195</v>
      </c>
      <c r="EM8" t="s">
        <v>213</v>
      </c>
      <c r="EN8" t="s">
        <v>210</v>
      </c>
      <c r="EO8" t="s">
        <v>210</v>
      </c>
      <c r="EP8" t="s">
        <v>210</v>
      </c>
      <c r="EQ8" t="s">
        <v>210</v>
      </c>
      <c r="ER8" t="s">
        <v>210</v>
      </c>
      <c r="ES8" t="s">
        <v>211</v>
      </c>
      <c r="ET8" t="s">
        <v>214</v>
      </c>
      <c r="EU8" t="s">
        <v>215</v>
      </c>
      <c r="EV8" t="s">
        <v>166</v>
      </c>
      <c r="EW8">
        <v>1883</v>
      </c>
      <c r="EX8" t="s">
        <v>216</v>
      </c>
      <c r="EY8">
        <v>100</v>
      </c>
      <c r="EZ8">
        <v>100</v>
      </c>
      <c r="FA8" t="s">
        <v>166</v>
      </c>
      <c r="FB8" t="s">
        <v>166</v>
      </c>
      <c r="FC8" t="s">
        <v>166</v>
      </c>
      <c r="FD8" t="s">
        <v>166</v>
      </c>
      <c r="FE8" s="141">
        <v>7.68565304950849</v>
      </c>
      <c r="FF8" s="153" t="s">
        <v>217</v>
      </c>
      <c r="FG8" s="141">
        <v>0.11409086459666007</v>
      </c>
      <c r="FH8" s="141">
        <v>0.11207401434545972</v>
      </c>
      <c r="FI8" s="142">
        <v>959.90130633264096</v>
      </c>
      <c r="FJ8" s="153" t="s">
        <v>166</v>
      </c>
      <c r="FK8" s="153" t="s">
        <v>314</v>
      </c>
      <c r="FL8" s="142">
        <v>959.90130633264096</v>
      </c>
      <c r="FM8" s="142">
        <v>296.21728865799912</v>
      </c>
      <c r="FN8" s="142">
        <v>226.62722601983296</v>
      </c>
      <c r="FO8" t="s">
        <v>218</v>
      </c>
      <c r="FP8" t="s">
        <v>219</v>
      </c>
      <c r="FQ8" t="s">
        <v>220</v>
      </c>
      <c r="FR8" t="s">
        <v>220</v>
      </c>
      <c r="FS8" t="s">
        <v>220</v>
      </c>
      <c r="FT8" s="142">
        <v>1858.98835084556</v>
      </c>
      <c r="FU8" s="142">
        <v>102.02646593880991</v>
      </c>
      <c r="FV8" s="142">
        <v>102.46436468996012</v>
      </c>
      <c r="FW8" s="139">
        <v>5.4782706677538799</v>
      </c>
      <c r="FX8" s="139">
        <v>1.7140396802903597</v>
      </c>
      <c r="FY8" s="139">
        <v>1.3136064068594102</v>
      </c>
      <c r="FZ8" t="s">
        <v>220</v>
      </c>
      <c r="GA8" t="s">
        <v>220</v>
      </c>
      <c r="GB8" t="s">
        <v>220</v>
      </c>
      <c r="GC8" t="s">
        <v>316</v>
      </c>
    </row>
    <row r="9" spans="1:185" ht="17">
      <c r="A9" t="s">
        <v>293</v>
      </c>
      <c r="B9" s="137" t="s">
        <v>294</v>
      </c>
      <c r="C9" t="s">
        <v>167</v>
      </c>
      <c r="D9" t="s">
        <v>295</v>
      </c>
      <c r="E9">
        <v>2019</v>
      </c>
      <c r="F9" t="str">
        <f t="shared" si="2"/>
        <v>10.1073/pnas.1905989116</v>
      </c>
      <c r="G9" s="138">
        <f t="shared" si="3"/>
        <v>66820</v>
      </c>
      <c r="H9" s="142">
        <f t="shared" si="4"/>
        <v>110</v>
      </c>
      <c r="I9" s="142">
        <f t="shared" si="4"/>
        <v>110</v>
      </c>
      <c r="J9">
        <v>1030.9572463182201</v>
      </c>
      <c r="K9" s="142">
        <v>336.47955958829994</v>
      </c>
      <c r="L9" s="142">
        <v>249.02233082155408</v>
      </c>
      <c r="M9" t="b">
        <v>0</v>
      </c>
      <c r="N9">
        <v>1</v>
      </c>
      <c r="O9" s="163" t="s">
        <v>310</v>
      </c>
      <c r="P9" s="161" t="b">
        <v>0</v>
      </c>
      <c r="Q9" t="b">
        <v>1</v>
      </c>
      <c r="R9" t="s">
        <v>311</v>
      </c>
      <c r="S9" t="b">
        <v>1</v>
      </c>
      <c r="T9" t="b">
        <v>0</v>
      </c>
      <c r="U9" t="s">
        <v>166</v>
      </c>
      <c r="V9" s="161" t="b">
        <v>0</v>
      </c>
      <c r="W9" t="b">
        <v>0</v>
      </c>
      <c r="X9" t="s">
        <v>315</v>
      </c>
      <c r="Y9" s="143" t="s">
        <v>169</v>
      </c>
      <c r="Z9" t="s">
        <v>234</v>
      </c>
      <c r="AA9" t="s">
        <v>245</v>
      </c>
      <c r="AB9" s="144" t="s">
        <v>246</v>
      </c>
      <c r="AC9" s="144">
        <v>9</v>
      </c>
      <c r="AD9" s="144">
        <v>3</v>
      </c>
      <c r="AE9">
        <v>12</v>
      </c>
      <c r="AF9">
        <v>14.5</v>
      </c>
      <c r="AG9" t="s">
        <v>247</v>
      </c>
      <c r="AH9" s="146" t="s">
        <v>166</v>
      </c>
      <c r="AI9" s="146" t="s">
        <v>166</v>
      </c>
      <c r="AJ9" t="s">
        <v>248</v>
      </c>
      <c r="AK9" s="147">
        <v>30.141999999999999</v>
      </c>
      <c r="AL9" s="147">
        <v>-76.111999999999995</v>
      </c>
      <c r="AM9" s="147">
        <v>30</v>
      </c>
      <c r="AN9" s="147">
        <v>-70</v>
      </c>
      <c r="AO9" s="147">
        <v>-2671</v>
      </c>
      <c r="AP9" s="147">
        <v>-1550</v>
      </c>
      <c r="AQ9" s="148" t="s">
        <v>249</v>
      </c>
      <c r="AR9" t="s">
        <v>176</v>
      </c>
      <c r="AS9" s="149">
        <v>66820</v>
      </c>
      <c r="AT9" s="150" t="s">
        <v>177</v>
      </c>
      <c r="AU9" t="s">
        <v>166</v>
      </c>
      <c r="AV9" t="s">
        <v>166</v>
      </c>
      <c r="AW9" t="s">
        <v>178</v>
      </c>
      <c r="AX9" t="s">
        <v>250</v>
      </c>
      <c r="AY9" t="s">
        <v>166</v>
      </c>
      <c r="AZ9" t="s">
        <v>166</v>
      </c>
      <c r="BA9" t="s">
        <v>166</v>
      </c>
      <c r="BB9" t="s">
        <v>166</v>
      </c>
      <c r="BC9" t="s">
        <v>166</v>
      </c>
      <c r="BD9" t="s">
        <v>166</v>
      </c>
      <c r="BE9" t="s">
        <v>166</v>
      </c>
      <c r="BF9" t="s">
        <v>166</v>
      </c>
      <c r="BG9" s="151" t="s">
        <v>235</v>
      </c>
      <c r="BH9" t="s">
        <v>253</v>
      </c>
      <c r="BI9" t="s">
        <v>237</v>
      </c>
      <c r="BJ9" s="152" t="s">
        <v>183</v>
      </c>
      <c r="BK9" t="s">
        <v>184</v>
      </c>
      <c r="BL9" t="s">
        <v>185</v>
      </c>
      <c r="BM9" t="s">
        <v>186</v>
      </c>
      <c r="BN9" t="s">
        <v>254</v>
      </c>
      <c r="BO9">
        <v>2</v>
      </c>
      <c r="BP9">
        <v>0.14199999999999999</v>
      </c>
      <c r="BQ9" s="139">
        <v>13.83793889</v>
      </c>
      <c r="BR9" t="s">
        <v>188</v>
      </c>
      <c r="BS9" s="139">
        <v>0.22259883</v>
      </c>
      <c r="BT9">
        <v>1</v>
      </c>
      <c r="BU9" t="s">
        <v>189</v>
      </c>
      <c r="BV9" s="150" t="s">
        <v>166</v>
      </c>
      <c r="BW9" t="s">
        <v>190</v>
      </c>
      <c r="BX9" t="s">
        <v>191</v>
      </c>
      <c r="BY9" t="s">
        <v>166</v>
      </c>
      <c r="BZ9" t="s">
        <v>166</v>
      </c>
      <c r="CA9" t="s">
        <v>166</v>
      </c>
      <c r="CB9" t="s">
        <v>192</v>
      </c>
      <c r="CC9" t="s">
        <v>166</v>
      </c>
      <c r="CD9" s="153" t="s">
        <v>166</v>
      </c>
      <c r="CE9" t="s">
        <v>312</v>
      </c>
      <c r="CF9" t="s">
        <v>194</v>
      </c>
      <c r="CG9">
        <v>25</v>
      </c>
      <c r="CH9" t="s">
        <v>195</v>
      </c>
      <c r="CI9" t="s">
        <v>195</v>
      </c>
      <c r="CJ9" s="138">
        <v>33.0363169935355</v>
      </c>
      <c r="CK9" t="s">
        <v>196</v>
      </c>
      <c r="CL9">
        <v>1.0527410170077971</v>
      </c>
      <c r="CM9">
        <v>0.96732332698569934</v>
      </c>
      <c r="CN9" s="139">
        <v>5.37</v>
      </c>
      <c r="CO9" s="139">
        <f t="shared" si="1"/>
        <v>5.37</v>
      </c>
      <c r="CP9" t="s">
        <v>197</v>
      </c>
      <c r="CQ9">
        <v>5.5311000000000003</v>
      </c>
      <c r="CR9">
        <v>5.2088999999999999</v>
      </c>
      <c r="CS9" s="154" t="s">
        <v>198</v>
      </c>
      <c r="CT9" t="s">
        <v>199</v>
      </c>
      <c r="CU9" t="s">
        <v>200</v>
      </c>
      <c r="CV9" t="s">
        <v>199</v>
      </c>
      <c r="CW9" t="s">
        <v>166</v>
      </c>
      <c r="CX9" t="s">
        <v>166</v>
      </c>
      <c r="CY9" t="s">
        <v>201</v>
      </c>
      <c r="CZ9" t="s">
        <v>166</v>
      </c>
      <c r="DA9" t="s">
        <v>166</v>
      </c>
      <c r="DB9" t="s">
        <v>166</v>
      </c>
      <c r="DC9" t="s">
        <v>166</v>
      </c>
      <c r="DD9" t="s">
        <v>166</v>
      </c>
      <c r="DE9" t="s">
        <v>166</v>
      </c>
      <c r="DF9" t="s">
        <v>166</v>
      </c>
      <c r="DG9">
        <v>34.4</v>
      </c>
      <c r="DH9" t="s">
        <v>177</v>
      </c>
      <c r="DI9">
        <v>1</v>
      </c>
      <c r="DJ9" s="155" t="s">
        <v>202</v>
      </c>
      <c r="DK9">
        <v>2.1000000000000001E-2</v>
      </c>
      <c r="DL9" t="s">
        <v>203</v>
      </c>
      <c r="DM9" t="s">
        <v>203</v>
      </c>
      <c r="DN9" t="s">
        <v>204</v>
      </c>
      <c r="DO9">
        <v>4.2000000000000003E-2</v>
      </c>
      <c r="DP9" t="s">
        <v>203</v>
      </c>
      <c r="DQ9" t="s">
        <v>203</v>
      </c>
      <c r="DR9" t="s">
        <v>205</v>
      </c>
      <c r="DS9" t="s">
        <v>206</v>
      </c>
      <c r="DT9" t="s">
        <v>203</v>
      </c>
      <c r="DU9" t="s">
        <v>203</v>
      </c>
      <c r="DV9" t="s">
        <v>203</v>
      </c>
      <c r="DW9" s="138">
        <v>380</v>
      </c>
      <c r="DX9" t="s">
        <v>207</v>
      </c>
      <c r="DY9" s="138">
        <v>10.9</v>
      </c>
      <c r="DZ9" t="s">
        <v>208</v>
      </c>
      <c r="EA9">
        <v>39.299999999999997</v>
      </c>
      <c r="EB9" t="s">
        <v>209</v>
      </c>
      <c r="EC9">
        <v>0.25</v>
      </c>
      <c r="ED9" t="s">
        <v>313</v>
      </c>
      <c r="EE9" t="s">
        <v>210</v>
      </c>
      <c r="EF9" t="s">
        <v>211</v>
      </c>
      <c r="EG9">
        <v>1.0271999999999999</v>
      </c>
      <c r="EH9" t="s">
        <v>195</v>
      </c>
      <c r="EI9" t="s">
        <v>195</v>
      </c>
      <c r="EJ9" t="s">
        <v>212</v>
      </c>
      <c r="EK9" t="s">
        <v>195</v>
      </c>
      <c r="EL9" t="s">
        <v>195</v>
      </c>
      <c r="EM9" t="s">
        <v>213</v>
      </c>
      <c r="EN9" t="s">
        <v>210</v>
      </c>
      <c r="EO9" t="s">
        <v>210</v>
      </c>
      <c r="EP9" t="s">
        <v>210</v>
      </c>
      <c r="EQ9" t="s">
        <v>210</v>
      </c>
      <c r="ER9" t="s">
        <v>210</v>
      </c>
      <c r="ES9" t="s">
        <v>211</v>
      </c>
      <c r="ET9" t="s">
        <v>214</v>
      </c>
      <c r="EU9" t="s">
        <v>215</v>
      </c>
      <c r="EV9" t="s">
        <v>166</v>
      </c>
      <c r="EW9">
        <v>1883</v>
      </c>
      <c r="EX9" t="s">
        <v>216</v>
      </c>
      <c r="EY9">
        <v>100</v>
      </c>
      <c r="EZ9">
        <v>100</v>
      </c>
      <c r="FA9" t="s">
        <v>166</v>
      </c>
      <c r="FB9" t="s">
        <v>166</v>
      </c>
      <c r="FC9" t="s">
        <v>166</v>
      </c>
      <c r="FD9" t="s">
        <v>166</v>
      </c>
      <c r="FE9" s="141">
        <v>7.6625022131719902</v>
      </c>
      <c r="FF9" s="153" t="s">
        <v>217</v>
      </c>
      <c r="FG9" s="141">
        <v>0.11777314553323937</v>
      </c>
      <c r="FH9" s="141">
        <v>0.11949870869212997</v>
      </c>
      <c r="FI9" s="142">
        <v>1030.9572463182201</v>
      </c>
      <c r="FJ9" s="153" t="s">
        <v>166</v>
      </c>
      <c r="FK9" s="153" t="s">
        <v>314</v>
      </c>
      <c r="FL9" s="142">
        <v>1030.9572463182201</v>
      </c>
      <c r="FM9" s="142">
        <v>336.47955958829994</v>
      </c>
      <c r="FN9" s="142">
        <v>249.02233082155408</v>
      </c>
      <c r="FO9" t="s">
        <v>218</v>
      </c>
      <c r="FP9" t="s">
        <v>219</v>
      </c>
      <c r="FQ9" t="s">
        <v>220</v>
      </c>
      <c r="FR9" t="s">
        <v>220</v>
      </c>
      <c r="FS9" t="s">
        <v>220</v>
      </c>
      <c r="FT9" s="142">
        <v>1859.39342436067</v>
      </c>
      <c r="FU9" s="142">
        <v>101.45615913836991</v>
      </c>
      <c r="FV9" s="142">
        <v>102.4709286315599</v>
      </c>
      <c r="FW9" s="139">
        <v>5.7030605156017096</v>
      </c>
      <c r="FX9" s="139">
        <v>1.8510880753448102</v>
      </c>
      <c r="FY9" s="139">
        <v>1.42277053037337</v>
      </c>
      <c r="FZ9" t="s">
        <v>220</v>
      </c>
      <c r="GA9" t="s">
        <v>220</v>
      </c>
      <c r="GB9" t="s">
        <v>220</v>
      </c>
      <c r="GC9" t="s">
        <v>316</v>
      </c>
    </row>
    <row r="10" spans="1:185" ht="17">
      <c r="A10" t="s">
        <v>293</v>
      </c>
      <c r="B10" s="137" t="s">
        <v>294</v>
      </c>
      <c r="C10" t="s">
        <v>167</v>
      </c>
      <c r="D10" t="s">
        <v>295</v>
      </c>
      <c r="E10">
        <v>2019</v>
      </c>
      <c r="F10" t="str">
        <f t="shared" si="2"/>
        <v>10.1073/pnas.1905989116</v>
      </c>
      <c r="G10" s="138">
        <f t="shared" si="3"/>
        <v>66172.677320000003</v>
      </c>
      <c r="H10" s="142">
        <f t="shared" si="4"/>
        <v>110</v>
      </c>
      <c r="I10" s="142">
        <f t="shared" si="4"/>
        <v>110</v>
      </c>
      <c r="J10">
        <v>1526.7974941489199</v>
      </c>
      <c r="K10" s="142">
        <v>554.09992233742992</v>
      </c>
      <c r="L10" s="142">
        <v>379.3821881988199</v>
      </c>
      <c r="M10" t="b">
        <v>0</v>
      </c>
      <c r="N10">
        <v>1</v>
      </c>
      <c r="O10" s="163" t="s">
        <v>310</v>
      </c>
      <c r="P10" s="161" t="b">
        <v>0</v>
      </c>
      <c r="Q10" t="b">
        <v>1</v>
      </c>
      <c r="R10" t="s">
        <v>311</v>
      </c>
      <c r="S10" t="b">
        <v>1</v>
      </c>
      <c r="T10" t="b">
        <v>0</v>
      </c>
      <c r="U10" t="s">
        <v>166</v>
      </c>
      <c r="V10" s="161" t="b">
        <v>0</v>
      </c>
      <c r="W10" t="b">
        <v>0</v>
      </c>
      <c r="X10" t="s">
        <v>315</v>
      </c>
      <c r="Y10" s="143" t="s">
        <v>169</v>
      </c>
      <c r="Z10" t="s">
        <v>234</v>
      </c>
      <c r="AA10" t="s">
        <v>245</v>
      </c>
      <c r="AB10" s="144" t="s">
        <v>246</v>
      </c>
      <c r="AC10" s="144">
        <v>8</v>
      </c>
      <c r="AD10" s="144">
        <v>5</v>
      </c>
      <c r="AE10">
        <v>148</v>
      </c>
      <c r="AF10">
        <v>150</v>
      </c>
      <c r="AG10" s="144" t="s">
        <v>255</v>
      </c>
      <c r="AH10" s="146" t="s">
        <v>166</v>
      </c>
      <c r="AI10" s="146" t="s">
        <v>166</v>
      </c>
      <c r="AJ10" t="s">
        <v>248</v>
      </c>
      <c r="AK10" s="147">
        <v>30.141999999999999</v>
      </c>
      <c r="AL10" s="147">
        <v>-76.111999999999995</v>
      </c>
      <c r="AM10" s="147">
        <v>30</v>
      </c>
      <c r="AN10" s="147">
        <v>-70</v>
      </c>
      <c r="AO10" s="147">
        <v>-2671</v>
      </c>
      <c r="AP10" s="147">
        <v>-1550</v>
      </c>
      <c r="AQ10" s="148" t="s">
        <v>249</v>
      </c>
      <c r="AR10" t="s">
        <v>176</v>
      </c>
      <c r="AS10" s="149">
        <v>66172.677320000003</v>
      </c>
      <c r="AT10" s="150" t="s">
        <v>177</v>
      </c>
      <c r="AU10" t="s">
        <v>166</v>
      </c>
      <c r="AV10" t="s">
        <v>166</v>
      </c>
      <c r="AW10" t="s">
        <v>178</v>
      </c>
      <c r="AX10" t="s">
        <v>250</v>
      </c>
      <c r="AY10" t="s">
        <v>166</v>
      </c>
      <c r="AZ10" t="s">
        <v>166</v>
      </c>
      <c r="BA10" t="s">
        <v>166</v>
      </c>
      <c r="BB10" t="s">
        <v>166</v>
      </c>
      <c r="BC10" t="s">
        <v>166</v>
      </c>
      <c r="BD10" t="s">
        <v>166</v>
      </c>
      <c r="BE10" t="s">
        <v>166</v>
      </c>
      <c r="BF10" t="s">
        <v>166</v>
      </c>
      <c r="BG10" s="151" t="s">
        <v>235</v>
      </c>
      <c r="BH10" t="s">
        <v>253</v>
      </c>
      <c r="BI10" t="s">
        <v>237</v>
      </c>
      <c r="BJ10" s="152" t="s">
        <v>183</v>
      </c>
      <c r="BK10" t="s">
        <v>184</v>
      </c>
      <c r="BL10" t="s">
        <v>185</v>
      </c>
      <c r="BM10" t="s">
        <v>186</v>
      </c>
      <c r="BN10" t="s">
        <v>256</v>
      </c>
      <c r="BO10">
        <v>2</v>
      </c>
      <c r="BP10">
        <v>0.14000000000000001</v>
      </c>
      <c r="BQ10" s="139">
        <v>13.470167399999999</v>
      </c>
      <c r="BR10" t="s">
        <v>188</v>
      </c>
      <c r="BS10" s="139">
        <v>0.23487978600000001</v>
      </c>
      <c r="BT10">
        <v>1</v>
      </c>
      <c r="BU10" t="s">
        <v>189</v>
      </c>
      <c r="BV10" s="150" t="s">
        <v>166</v>
      </c>
      <c r="BW10" t="s">
        <v>190</v>
      </c>
      <c r="BX10" t="s">
        <v>191</v>
      </c>
      <c r="BY10" t="s">
        <v>166</v>
      </c>
      <c r="BZ10" t="s">
        <v>166</v>
      </c>
      <c r="CA10" t="s">
        <v>166</v>
      </c>
      <c r="CB10" t="s">
        <v>192</v>
      </c>
      <c r="CC10" t="s">
        <v>166</v>
      </c>
      <c r="CD10" s="153" t="s">
        <v>166</v>
      </c>
      <c r="CE10" t="s">
        <v>312</v>
      </c>
      <c r="CF10" t="s">
        <v>194</v>
      </c>
      <c r="CG10">
        <v>25</v>
      </c>
      <c r="CH10" t="s">
        <v>195</v>
      </c>
      <c r="CI10" t="s">
        <v>195</v>
      </c>
      <c r="CJ10" s="138">
        <v>32.592007164290003</v>
      </c>
      <c r="CK10" t="s">
        <v>196</v>
      </c>
      <c r="CL10">
        <v>0.98079633262649679</v>
      </c>
      <c r="CM10">
        <v>1.0665015307450041</v>
      </c>
      <c r="CN10" s="139">
        <v>5.44</v>
      </c>
      <c r="CO10" s="139">
        <f t="shared" si="1"/>
        <v>5.44</v>
      </c>
      <c r="CP10" t="s">
        <v>197</v>
      </c>
      <c r="CQ10">
        <v>5.6032000000000002</v>
      </c>
      <c r="CR10">
        <v>5.2768000000000006</v>
      </c>
      <c r="CS10" s="154" t="s">
        <v>198</v>
      </c>
      <c r="CT10" t="s">
        <v>199</v>
      </c>
      <c r="CU10" t="s">
        <v>200</v>
      </c>
      <c r="CV10" t="s">
        <v>199</v>
      </c>
      <c r="CW10" t="s">
        <v>166</v>
      </c>
      <c r="CX10" t="s">
        <v>166</v>
      </c>
      <c r="CY10" t="s">
        <v>201</v>
      </c>
      <c r="CZ10" t="s">
        <v>166</v>
      </c>
      <c r="DA10" t="s">
        <v>166</v>
      </c>
      <c r="DB10" t="s">
        <v>166</v>
      </c>
      <c r="DC10" t="s">
        <v>166</v>
      </c>
      <c r="DD10" t="s">
        <v>166</v>
      </c>
      <c r="DE10" t="s">
        <v>166</v>
      </c>
      <c r="DF10" t="s">
        <v>166</v>
      </c>
      <c r="DG10">
        <v>34.4</v>
      </c>
      <c r="DH10" t="s">
        <v>177</v>
      </c>
      <c r="DI10">
        <v>1</v>
      </c>
      <c r="DJ10" s="155" t="s">
        <v>202</v>
      </c>
      <c r="DK10">
        <v>2.1000000000000001E-2</v>
      </c>
      <c r="DL10" t="s">
        <v>203</v>
      </c>
      <c r="DM10" t="s">
        <v>203</v>
      </c>
      <c r="DN10" t="s">
        <v>204</v>
      </c>
      <c r="DO10">
        <v>4.2000000000000003E-2</v>
      </c>
      <c r="DP10" t="s">
        <v>203</v>
      </c>
      <c r="DQ10" t="s">
        <v>203</v>
      </c>
      <c r="DR10" t="s">
        <v>205</v>
      </c>
      <c r="DS10" t="s">
        <v>206</v>
      </c>
      <c r="DT10" t="s">
        <v>203</v>
      </c>
      <c r="DU10" t="s">
        <v>203</v>
      </c>
      <c r="DV10" t="s">
        <v>203</v>
      </c>
      <c r="DW10" s="138">
        <v>380</v>
      </c>
      <c r="DX10" t="s">
        <v>207</v>
      </c>
      <c r="DY10" s="138">
        <v>10.9</v>
      </c>
      <c r="DZ10" t="s">
        <v>208</v>
      </c>
      <c r="EA10">
        <v>39.299999999999997</v>
      </c>
      <c r="EB10" t="s">
        <v>209</v>
      </c>
      <c r="EC10">
        <v>0.25</v>
      </c>
      <c r="ED10" t="s">
        <v>313</v>
      </c>
      <c r="EE10" t="s">
        <v>210</v>
      </c>
      <c r="EF10" t="s">
        <v>211</v>
      </c>
      <c r="EG10">
        <v>1.0271999999999999</v>
      </c>
      <c r="EH10" t="s">
        <v>195</v>
      </c>
      <c r="EI10" t="s">
        <v>195</v>
      </c>
      <c r="EJ10" t="s">
        <v>212</v>
      </c>
      <c r="EK10" t="s">
        <v>195</v>
      </c>
      <c r="EL10" t="s">
        <v>195</v>
      </c>
      <c r="EM10" t="s">
        <v>213</v>
      </c>
      <c r="EN10" t="s">
        <v>210</v>
      </c>
      <c r="EO10" t="s">
        <v>210</v>
      </c>
      <c r="EP10" t="s">
        <v>210</v>
      </c>
      <c r="EQ10" t="s">
        <v>210</v>
      </c>
      <c r="ER10" t="s">
        <v>210</v>
      </c>
      <c r="ES10" t="s">
        <v>211</v>
      </c>
      <c r="ET10" t="s">
        <v>214</v>
      </c>
      <c r="EU10" t="s">
        <v>215</v>
      </c>
      <c r="EV10" t="s">
        <v>166</v>
      </c>
      <c r="EW10">
        <v>2332</v>
      </c>
      <c r="EX10" t="s">
        <v>216</v>
      </c>
      <c r="EY10">
        <v>100</v>
      </c>
      <c r="EZ10">
        <v>100</v>
      </c>
      <c r="FA10" t="s">
        <v>166</v>
      </c>
      <c r="FB10" t="s">
        <v>166</v>
      </c>
      <c r="FC10" t="s">
        <v>166</v>
      </c>
      <c r="FD10" t="s">
        <v>166</v>
      </c>
      <c r="FE10" s="141">
        <v>7.5752197443100799</v>
      </c>
      <c r="FF10" s="153" t="s">
        <v>217</v>
      </c>
      <c r="FG10" s="141">
        <v>0.1214173110665504</v>
      </c>
      <c r="FH10" s="141">
        <v>0.13244046141420984</v>
      </c>
      <c r="FI10" s="142">
        <v>1526.7974941489199</v>
      </c>
      <c r="FJ10" s="153" t="s">
        <v>166</v>
      </c>
      <c r="FK10" s="153" t="s">
        <v>314</v>
      </c>
      <c r="FL10" s="142">
        <v>1526.7974941489199</v>
      </c>
      <c r="FM10" s="142">
        <v>554.09992233742992</v>
      </c>
      <c r="FN10" s="142">
        <v>379.3821881988199</v>
      </c>
      <c r="FO10" t="s">
        <v>218</v>
      </c>
      <c r="FP10" t="s">
        <v>219</v>
      </c>
      <c r="FQ10" t="s">
        <v>220</v>
      </c>
      <c r="FR10" t="s">
        <v>220</v>
      </c>
      <c r="FS10" t="s">
        <v>220</v>
      </c>
      <c r="FT10" s="142">
        <v>2262.4459021436201</v>
      </c>
      <c r="FU10" s="142">
        <v>104.25008292036</v>
      </c>
      <c r="FV10" s="142">
        <v>101.34930042474025</v>
      </c>
      <c r="FW10" s="139">
        <v>5.6481541650340699</v>
      </c>
      <c r="FX10" s="139">
        <v>1.8916322882917598</v>
      </c>
      <c r="FY10" s="139">
        <v>1.5466697743411801</v>
      </c>
      <c r="FZ10" t="s">
        <v>220</v>
      </c>
      <c r="GA10" t="s">
        <v>220</v>
      </c>
      <c r="GB10" t="s">
        <v>220</v>
      </c>
      <c r="GC10" t="s">
        <v>316</v>
      </c>
    </row>
    <row r="11" spans="1:185" ht="17">
      <c r="A11" t="s">
        <v>293</v>
      </c>
      <c r="B11" s="137" t="s">
        <v>294</v>
      </c>
      <c r="C11" t="s">
        <v>167</v>
      </c>
      <c r="D11" t="s">
        <v>295</v>
      </c>
      <c r="E11">
        <v>2019</v>
      </c>
      <c r="F11" t="str">
        <f t="shared" si="2"/>
        <v>10.1073/pnas.1905989116</v>
      </c>
      <c r="G11" s="138">
        <f t="shared" si="3"/>
        <v>66039</v>
      </c>
      <c r="H11" s="142">
        <f>AVERAGE(88,86)</f>
        <v>87</v>
      </c>
      <c r="I11" s="142">
        <f>AVERAGE(88,86)</f>
        <v>87</v>
      </c>
      <c r="J11">
        <v>1935.3923691932901</v>
      </c>
      <c r="K11" s="142">
        <v>835.15471521993004</v>
      </c>
      <c r="L11" s="142">
        <v>472.07070684900009</v>
      </c>
      <c r="M11" t="b">
        <v>0</v>
      </c>
      <c r="N11">
        <v>1</v>
      </c>
      <c r="O11" s="163" t="s">
        <v>310</v>
      </c>
      <c r="P11" s="161" t="b">
        <v>0</v>
      </c>
      <c r="Q11" t="b">
        <v>1</v>
      </c>
      <c r="R11" t="s">
        <v>311</v>
      </c>
      <c r="S11" t="b">
        <v>1</v>
      </c>
      <c r="T11" t="b">
        <v>0</v>
      </c>
      <c r="U11" t="s">
        <v>166</v>
      </c>
      <c r="V11" s="161" t="b">
        <v>0</v>
      </c>
      <c r="W11" t="b">
        <v>0</v>
      </c>
      <c r="X11" t="s">
        <v>315</v>
      </c>
      <c r="Y11" s="143" t="s">
        <v>169</v>
      </c>
      <c r="Z11" t="s">
        <v>234</v>
      </c>
      <c r="AA11" t="s">
        <v>221</v>
      </c>
      <c r="AB11" s="158" t="s">
        <v>166</v>
      </c>
      <c r="AC11" s="158" t="s">
        <v>166</v>
      </c>
      <c r="AD11" s="158" t="s">
        <v>166</v>
      </c>
      <c r="AE11" s="158" t="s">
        <v>166</v>
      </c>
      <c r="AF11" s="158" t="s">
        <v>166</v>
      </c>
      <c r="AG11" s="158" t="s">
        <v>166</v>
      </c>
      <c r="AH11" s="146" t="s">
        <v>166</v>
      </c>
      <c r="AI11" s="146" t="s">
        <v>166</v>
      </c>
      <c r="AJ11" t="s">
        <v>222</v>
      </c>
      <c r="AK11" s="147">
        <v>50.865000000000002</v>
      </c>
      <c r="AL11" s="147">
        <v>5.7839999999999998</v>
      </c>
      <c r="AM11" s="147">
        <v>45</v>
      </c>
      <c r="AN11" s="147">
        <v>-10</v>
      </c>
      <c r="AO11" s="147">
        <v>300</v>
      </c>
      <c r="AP11" s="147">
        <v>-20</v>
      </c>
      <c r="AQ11" s="148" t="s">
        <v>223</v>
      </c>
      <c r="AR11" t="s">
        <v>176</v>
      </c>
      <c r="AS11" s="149">
        <v>66039</v>
      </c>
      <c r="AT11" s="150" t="s">
        <v>177</v>
      </c>
      <c r="AU11" t="s">
        <v>166</v>
      </c>
      <c r="AV11" t="s">
        <v>166</v>
      </c>
      <c r="AW11" t="s">
        <v>178</v>
      </c>
      <c r="AX11" t="s">
        <v>224</v>
      </c>
      <c r="AY11" t="s">
        <v>166</v>
      </c>
      <c r="AZ11" t="s">
        <v>166</v>
      </c>
      <c r="BA11" t="s">
        <v>166</v>
      </c>
      <c r="BB11" t="s">
        <v>166</v>
      </c>
      <c r="BC11" t="s">
        <v>166</v>
      </c>
      <c r="BD11" t="s">
        <v>166</v>
      </c>
      <c r="BE11" t="s">
        <v>166</v>
      </c>
      <c r="BF11" t="s">
        <v>166</v>
      </c>
      <c r="BG11" s="151" t="s">
        <v>235</v>
      </c>
      <c r="BH11" t="s">
        <v>253</v>
      </c>
      <c r="BI11" t="s">
        <v>237</v>
      </c>
      <c r="BJ11" s="152" t="s">
        <v>183</v>
      </c>
      <c r="BK11" t="s">
        <v>184</v>
      </c>
      <c r="BL11" t="s">
        <v>185</v>
      </c>
      <c r="BM11" t="s">
        <v>186</v>
      </c>
      <c r="BN11" t="s">
        <v>257</v>
      </c>
      <c r="BO11">
        <v>2</v>
      </c>
      <c r="BP11">
        <v>0.53800000000000003</v>
      </c>
      <c r="BQ11" s="139">
        <v>12.926252099999999</v>
      </c>
      <c r="BR11" t="s">
        <v>188</v>
      </c>
      <c r="BS11" s="139">
        <v>0.41343472199999998</v>
      </c>
      <c r="BT11">
        <v>1</v>
      </c>
      <c r="BU11" t="s">
        <v>189</v>
      </c>
      <c r="BV11" s="150" t="s">
        <v>166</v>
      </c>
      <c r="BW11" t="s">
        <v>190</v>
      </c>
      <c r="BX11" t="s">
        <v>191</v>
      </c>
      <c r="BY11" t="s">
        <v>166</v>
      </c>
      <c r="BZ11" t="s">
        <v>166</v>
      </c>
      <c r="CA11" t="s">
        <v>166</v>
      </c>
      <c r="CB11" t="s">
        <v>192</v>
      </c>
      <c r="CC11" t="s">
        <v>166</v>
      </c>
      <c r="CD11" s="153" t="s">
        <v>166</v>
      </c>
      <c r="CE11" t="s">
        <v>312</v>
      </c>
      <c r="CF11" t="s">
        <v>194</v>
      </c>
      <c r="CG11">
        <v>25</v>
      </c>
      <c r="CH11" t="s">
        <v>195</v>
      </c>
      <c r="CI11" t="s">
        <v>195</v>
      </c>
      <c r="CJ11" s="138">
        <v>29.2608862176603</v>
      </c>
      <c r="CK11" t="s">
        <v>196</v>
      </c>
      <c r="CL11">
        <v>0.91581758894499998</v>
      </c>
      <c r="CM11">
        <v>1.3465470510731983</v>
      </c>
      <c r="CN11" s="139">
        <v>4.49</v>
      </c>
      <c r="CO11" s="139">
        <f t="shared" si="1"/>
        <v>4.49</v>
      </c>
      <c r="CP11" t="s">
        <v>197</v>
      </c>
      <c r="CQ11">
        <v>4.6246999999999998</v>
      </c>
      <c r="CR11">
        <v>4.3553000000000006</v>
      </c>
      <c r="CS11" s="154" t="s">
        <v>198</v>
      </c>
      <c r="CT11" t="s">
        <v>199</v>
      </c>
      <c r="CU11" t="s">
        <v>200</v>
      </c>
      <c r="CV11" t="s">
        <v>199</v>
      </c>
      <c r="CW11" t="s">
        <v>166</v>
      </c>
      <c r="CX11" t="s">
        <v>166</v>
      </c>
      <c r="CY11" t="s">
        <v>201</v>
      </c>
      <c r="CZ11">
        <v>23.4</v>
      </c>
      <c r="DA11">
        <v>23.4</v>
      </c>
      <c r="DB11" t="s">
        <v>230</v>
      </c>
      <c r="DC11">
        <v>2.5</v>
      </c>
      <c r="DD11" s="159" t="s">
        <v>231</v>
      </c>
      <c r="DE11" t="s">
        <v>232</v>
      </c>
      <c r="DF11" t="s">
        <v>233</v>
      </c>
      <c r="DG11">
        <v>34.299999999999997</v>
      </c>
      <c r="DH11" t="s">
        <v>177</v>
      </c>
      <c r="DI11">
        <v>1</v>
      </c>
      <c r="DJ11" s="155" t="s">
        <v>202</v>
      </c>
      <c r="DK11">
        <v>2.1000000000000001E-2</v>
      </c>
      <c r="DL11" t="s">
        <v>203</v>
      </c>
      <c r="DM11" t="s">
        <v>203</v>
      </c>
      <c r="DN11" t="s">
        <v>204</v>
      </c>
      <c r="DO11">
        <v>4.2000000000000003E-2</v>
      </c>
      <c r="DP11" t="s">
        <v>203</v>
      </c>
      <c r="DQ11" t="s">
        <v>203</v>
      </c>
      <c r="DR11" t="s">
        <v>205</v>
      </c>
      <c r="DS11" t="s">
        <v>206</v>
      </c>
      <c r="DT11" t="s">
        <v>203</v>
      </c>
      <c r="DU11" t="s">
        <v>203</v>
      </c>
      <c r="DV11" t="s">
        <v>203</v>
      </c>
      <c r="DW11" s="138">
        <v>380</v>
      </c>
      <c r="DX11" t="s">
        <v>207</v>
      </c>
      <c r="DY11" s="138">
        <v>10.9</v>
      </c>
      <c r="DZ11" t="s">
        <v>208</v>
      </c>
      <c r="EA11">
        <v>39.299999999999997</v>
      </c>
      <c r="EB11" t="s">
        <v>209</v>
      </c>
      <c r="EC11">
        <v>0.25</v>
      </c>
      <c r="ED11" t="s">
        <v>313</v>
      </c>
      <c r="EE11" t="s">
        <v>210</v>
      </c>
      <c r="EF11" t="s">
        <v>211</v>
      </c>
      <c r="EG11">
        <v>1.0271999999999999</v>
      </c>
      <c r="EH11" t="s">
        <v>195</v>
      </c>
      <c r="EI11" t="s">
        <v>195</v>
      </c>
      <c r="EJ11" t="s">
        <v>212</v>
      </c>
      <c r="EK11" t="s">
        <v>195</v>
      </c>
      <c r="EL11" t="s">
        <v>195</v>
      </c>
      <c r="EM11" t="s">
        <v>213</v>
      </c>
      <c r="EN11" t="s">
        <v>210</v>
      </c>
      <c r="EO11" t="s">
        <v>210</v>
      </c>
      <c r="EP11" t="s">
        <v>210</v>
      </c>
      <c r="EQ11" t="s">
        <v>210</v>
      </c>
      <c r="ER11" t="s">
        <v>210</v>
      </c>
      <c r="ES11" t="s">
        <v>211</v>
      </c>
      <c r="ET11" t="s">
        <v>214</v>
      </c>
      <c r="EU11" t="s">
        <v>215</v>
      </c>
      <c r="EV11" t="s">
        <v>166</v>
      </c>
      <c r="EW11">
        <v>2102</v>
      </c>
      <c r="EX11" t="s">
        <v>216</v>
      </c>
      <c r="EY11">
        <v>100</v>
      </c>
      <c r="EZ11">
        <v>400</v>
      </c>
      <c r="FA11" t="s">
        <v>166</v>
      </c>
      <c r="FB11" t="s">
        <v>166</v>
      </c>
      <c r="FC11" t="s">
        <v>166</v>
      </c>
      <c r="FD11" t="s">
        <v>166</v>
      </c>
      <c r="FE11" s="141">
        <v>7.4290899057779702</v>
      </c>
      <c r="FF11" s="153" t="s">
        <v>217</v>
      </c>
      <c r="FG11" s="141">
        <v>0.11152963294622964</v>
      </c>
      <c r="FH11" s="141">
        <v>0.15091648612599062</v>
      </c>
      <c r="FI11" s="142">
        <v>1935.3923691932901</v>
      </c>
      <c r="FJ11" s="153" t="s">
        <v>166</v>
      </c>
      <c r="FK11" s="153" t="s">
        <v>314</v>
      </c>
      <c r="FL11" s="142">
        <v>1935.3923691932901</v>
      </c>
      <c r="FM11" s="142">
        <v>835.15471521993004</v>
      </c>
      <c r="FN11" s="142">
        <v>472.07070684900009</v>
      </c>
      <c r="FO11" t="s">
        <v>218</v>
      </c>
      <c r="FP11" t="s">
        <v>219</v>
      </c>
      <c r="FQ11" t="s">
        <v>220</v>
      </c>
      <c r="FR11" t="s">
        <v>220</v>
      </c>
      <c r="FS11" t="s">
        <v>220</v>
      </c>
      <c r="FT11" s="142">
        <v>2102.5728733761698</v>
      </c>
      <c r="FU11" s="142">
        <v>199.25748713232997</v>
      </c>
      <c r="FV11" s="142">
        <v>204.99172381769972</v>
      </c>
      <c r="FW11" s="139">
        <v>3.34339410584142</v>
      </c>
      <c r="FX11" s="139">
        <v>1.1086990807204202</v>
      </c>
      <c r="FY11" s="139">
        <v>1.0396306617759201</v>
      </c>
      <c r="FZ11" t="s">
        <v>220</v>
      </c>
      <c r="GA11" t="s">
        <v>220</v>
      </c>
      <c r="GB11" t="s">
        <v>220</v>
      </c>
      <c r="GC11" t="s">
        <v>316</v>
      </c>
    </row>
    <row r="12" spans="1:185" ht="17">
      <c r="A12" t="s">
        <v>293</v>
      </c>
      <c r="B12" s="137" t="s">
        <v>294</v>
      </c>
      <c r="C12" t="s">
        <v>167</v>
      </c>
      <c r="D12" t="s">
        <v>295</v>
      </c>
      <c r="E12">
        <v>2019</v>
      </c>
      <c r="F12" t="str">
        <f t="shared" si="2"/>
        <v>10.1073/pnas.1905989116</v>
      </c>
      <c r="G12" s="138">
        <f t="shared" si="3"/>
        <v>66045.599999999991</v>
      </c>
      <c r="H12" s="142">
        <f t="shared" si="4"/>
        <v>110</v>
      </c>
      <c r="I12" s="142">
        <f t="shared" si="4"/>
        <v>110</v>
      </c>
      <c r="J12">
        <v>1041.12320691126</v>
      </c>
      <c r="K12" s="142">
        <v>339.42079817103991</v>
      </c>
      <c r="L12" s="142">
        <v>252.93001376709299</v>
      </c>
      <c r="M12" t="b">
        <v>0</v>
      </c>
      <c r="N12">
        <v>1</v>
      </c>
      <c r="O12" s="163" t="s">
        <v>310</v>
      </c>
      <c r="P12" s="161" t="b">
        <v>0</v>
      </c>
      <c r="Q12" t="b">
        <v>1</v>
      </c>
      <c r="R12" t="s">
        <v>311</v>
      </c>
      <c r="S12" t="b">
        <v>1</v>
      </c>
      <c r="T12" t="b">
        <v>0</v>
      </c>
      <c r="U12" t="s">
        <v>166</v>
      </c>
      <c r="V12" s="161" t="b">
        <v>0</v>
      </c>
      <c r="W12" t="b">
        <v>0</v>
      </c>
      <c r="X12" t="s">
        <v>315</v>
      </c>
      <c r="Y12" s="143" t="s">
        <v>169</v>
      </c>
      <c r="Z12" t="s">
        <v>234</v>
      </c>
      <c r="AA12" t="s">
        <v>258</v>
      </c>
      <c r="AB12" s="158" t="s">
        <v>166</v>
      </c>
      <c r="AC12" s="158" t="s">
        <v>166</v>
      </c>
      <c r="AD12" s="144" t="s">
        <v>259</v>
      </c>
      <c r="AE12" t="s">
        <v>260</v>
      </c>
      <c r="AF12" t="s">
        <v>260</v>
      </c>
      <c r="AG12" s="158" t="s">
        <v>166</v>
      </c>
      <c r="AH12" s="146" t="s">
        <v>166</v>
      </c>
      <c r="AI12" s="146" t="s">
        <v>166</v>
      </c>
      <c r="AJ12" t="s">
        <v>241</v>
      </c>
      <c r="AK12" s="147">
        <v>31.108000000000001</v>
      </c>
      <c r="AL12" s="147">
        <v>-96.837000000000003</v>
      </c>
      <c r="AM12" s="147">
        <v>32</v>
      </c>
      <c r="AN12" s="147">
        <v>-90</v>
      </c>
      <c r="AO12">
        <v>120</v>
      </c>
      <c r="AP12">
        <v>-65</v>
      </c>
      <c r="AQ12" s="148" t="s">
        <v>261</v>
      </c>
      <c r="AR12" t="s">
        <v>176</v>
      </c>
      <c r="AS12" s="149">
        <v>66045.599999999991</v>
      </c>
      <c r="AT12" s="150" t="s">
        <v>177</v>
      </c>
      <c r="AU12" t="s">
        <v>166</v>
      </c>
      <c r="AV12" t="s">
        <v>166</v>
      </c>
      <c r="AW12" t="s">
        <v>178</v>
      </c>
      <c r="AX12" t="s">
        <v>262</v>
      </c>
      <c r="AY12" t="s">
        <v>166</v>
      </c>
      <c r="AZ12" t="s">
        <v>166</v>
      </c>
      <c r="BA12" t="s">
        <v>166</v>
      </c>
      <c r="BB12" t="s">
        <v>166</v>
      </c>
      <c r="BC12" t="s">
        <v>166</v>
      </c>
      <c r="BD12" t="s">
        <v>166</v>
      </c>
      <c r="BE12" t="s">
        <v>166</v>
      </c>
      <c r="BF12" t="s">
        <v>166</v>
      </c>
      <c r="BG12" t="s">
        <v>263</v>
      </c>
      <c r="BH12" t="s">
        <v>253</v>
      </c>
      <c r="BI12" t="s">
        <v>237</v>
      </c>
      <c r="BJ12" s="152" t="s">
        <v>183</v>
      </c>
      <c r="BK12" t="s">
        <v>184</v>
      </c>
      <c r="BL12" t="s">
        <v>185</v>
      </c>
      <c r="BM12" t="s">
        <v>186</v>
      </c>
      <c r="BN12" t="s">
        <v>264</v>
      </c>
      <c r="BO12">
        <v>2</v>
      </c>
      <c r="BP12">
        <v>8.8999999999999996E-2</v>
      </c>
      <c r="BQ12" s="139">
        <v>13.895938640000001</v>
      </c>
      <c r="BR12" t="s">
        <v>188</v>
      </c>
      <c r="BS12" s="139">
        <v>0.25069218599999998</v>
      </c>
      <c r="BT12">
        <v>1</v>
      </c>
      <c r="BU12" t="s">
        <v>189</v>
      </c>
      <c r="BV12" s="150" t="s">
        <v>166</v>
      </c>
      <c r="BW12" t="s">
        <v>190</v>
      </c>
      <c r="BX12" t="s">
        <v>191</v>
      </c>
      <c r="BY12" t="s">
        <v>166</v>
      </c>
      <c r="BZ12" t="s">
        <v>166</v>
      </c>
      <c r="CA12" t="s">
        <v>166</v>
      </c>
      <c r="CB12" t="s">
        <v>192</v>
      </c>
      <c r="CC12" t="s">
        <v>166</v>
      </c>
      <c r="CD12" s="153" t="s">
        <v>166</v>
      </c>
      <c r="CE12" t="s">
        <v>312</v>
      </c>
      <c r="CF12" t="s">
        <v>194</v>
      </c>
      <c r="CG12">
        <v>25</v>
      </c>
      <c r="CH12" t="s">
        <v>195</v>
      </c>
      <c r="CI12" t="s">
        <v>195</v>
      </c>
      <c r="CJ12" s="138">
        <v>31.839027392230498</v>
      </c>
      <c r="CK12" t="s">
        <v>196</v>
      </c>
      <c r="CL12">
        <v>1.0143289574541043</v>
      </c>
      <c r="CM12">
        <v>1.0211098646073999</v>
      </c>
      <c r="CN12" s="139">
        <v>4.79</v>
      </c>
      <c r="CO12" s="139">
        <f t="shared" si="1"/>
        <v>4.79</v>
      </c>
      <c r="CP12" t="s">
        <v>197</v>
      </c>
      <c r="CQ12">
        <v>4.9337</v>
      </c>
      <c r="CR12">
        <v>4.6463000000000001</v>
      </c>
      <c r="CS12" s="154" t="s">
        <v>198</v>
      </c>
      <c r="CT12" t="s">
        <v>199</v>
      </c>
      <c r="CU12" t="s">
        <v>200</v>
      </c>
      <c r="CV12" t="s">
        <v>199</v>
      </c>
      <c r="CW12" t="s">
        <v>166</v>
      </c>
      <c r="CX12" t="s">
        <v>166</v>
      </c>
      <c r="CY12" t="s">
        <v>201</v>
      </c>
      <c r="CZ12" t="s">
        <v>166</v>
      </c>
      <c r="DA12" t="s">
        <v>166</v>
      </c>
      <c r="DB12" t="s">
        <v>166</v>
      </c>
      <c r="DC12" t="s">
        <v>166</v>
      </c>
      <c r="DD12" t="s">
        <v>166</v>
      </c>
      <c r="DE12" t="s">
        <v>166</v>
      </c>
      <c r="DF12" t="s">
        <v>166</v>
      </c>
      <c r="DG12">
        <v>34.1</v>
      </c>
      <c r="DH12" t="s">
        <v>177</v>
      </c>
      <c r="DI12">
        <v>1</v>
      </c>
      <c r="DJ12" s="155" t="s">
        <v>202</v>
      </c>
      <c r="DK12">
        <v>2.1000000000000001E-2</v>
      </c>
      <c r="DL12" t="s">
        <v>203</v>
      </c>
      <c r="DM12" t="s">
        <v>203</v>
      </c>
      <c r="DN12" t="s">
        <v>204</v>
      </c>
      <c r="DO12">
        <v>4.2000000000000003E-2</v>
      </c>
      <c r="DP12" t="s">
        <v>203</v>
      </c>
      <c r="DQ12" t="s">
        <v>203</v>
      </c>
      <c r="DR12" t="s">
        <v>205</v>
      </c>
      <c r="DS12" t="s">
        <v>206</v>
      </c>
      <c r="DT12" t="s">
        <v>203</v>
      </c>
      <c r="DU12" t="s">
        <v>203</v>
      </c>
      <c r="DV12" t="s">
        <v>203</v>
      </c>
      <c r="DW12" s="138">
        <v>380</v>
      </c>
      <c r="DX12" t="s">
        <v>207</v>
      </c>
      <c r="DY12" s="138">
        <v>10.9</v>
      </c>
      <c r="DZ12" t="s">
        <v>208</v>
      </c>
      <c r="EA12">
        <v>39.299999999999997</v>
      </c>
      <c r="EB12" t="s">
        <v>209</v>
      </c>
      <c r="EC12">
        <v>0.25</v>
      </c>
      <c r="ED12" t="s">
        <v>313</v>
      </c>
      <c r="EE12" t="s">
        <v>210</v>
      </c>
      <c r="EF12" t="s">
        <v>211</v>
      </c>
      <c r="EG12">
        <v>1.0271999999999999</v>
      </c>
      <c r="EH12" t="s">
        <v>195</v>
      </c>
      <c r="EI12" t="s">
        <v>195</v>
      </c>
      <c r="EJ12" t="s">
        <v>212</v>
      </c>
      <c r="EK12" t="s">
        <v>195</v>
      </c>
      <c r="EL12" t="s">
        <v>195</v>
      </c>
      <c r="EM12" t="s">
        <v>213</v>
      </c>
      <c r="EN12" t="s">
        <v>210</v>
      </c>
      <c r="EO12" t="s">
        <v>210</v>
      </c>
      <c r="EP12" t="s">
        <v>210</v>
      </c>
      <c r="EQ12" t="s">
        <v>210</v>
      </c>
      <c r="ER12" t="s">
        <v>210</v>
      </c>
      <c r="ES12" t="s">
        <v>211</v>
      </c>
      <c r="ET12" t="s">
        <v>214</v>
      </c>
      <c r="EU12" t="s">
        <v>215</v>
      </c>
      <c r="EV12" t="s">
        <v>166</v>
      </c>
      <c r="EW12">
        <v>2071</v>
      </c>
      <c r="EX12" t="s">
        <v>216</v>
      </c>
      <c r="EY12">
        <v>100</v>
      </c>
      <c r="EZ12">
        <v>100</v>
      </c>
      <c r="FA12" t="s">
        <v>166</v>
      </c>
      <c r="FB12" t="s">
        <v>166</v>
      </c>
      <c r="FC12" t="s">
        <v>166</v>
      </c>
      <c r="FD12" t="s">
        <v>166</v>
      </c>
      <c r="FE12" s="141">
        <v>7.6906033075134896</v>
      </c>
      <c r="FF12" s="153" t="s">
        <v>217</v>
      </c>
      <c r="FG12" s="141">
        <v>0.11811899240733048</v>
      </c>
      <c r="FH12" s="141">
        <v>0.12047044028618004</v>
      </c>
      <c r="FI12" s="142">
        <v>1041.12320691126</v>
      </c>
      <c r="FJ12" s="153" t="s">
        <v>166</v>
      </c>
      <c r="FK12" s="153" t="s">
        <v>314</v>
      </c>
      <c r="FL12" s="142">
        <v>1041.12320691126</v>
      </c>
      <c r="FM12" s="142">
        <v>339.42079817103991</v>
      </c>
      <c r="FN12" s="142">
        <v>252.93001376709299</v>
      </c>
      <c r="FO12" t="s">
        <v>218</v>
      </c>
      <c r="FP12" t="s">
        <v>219</v>
      </c>
      <c r="FQ12" t="s">
        <v>220</v>
      </c>
      <c r="FR12" t="s">
        <v>220</v>
      </c>
      <c r="FS12" t="s">
        <v>220</v>
      </c>
      <c r="FT12" s="142">
        <v>2012.3073732421799</v>
      </c>
      <c r="FU12" s="142">
        <v>101.44332529273015</v>
      </c>
      <c r="FV12" s="142">
        <v>102.20992320535993</v>
      </c>
      <c r="FW12" s="139">
        <v>6.3117455356879404</v>
      </c>
      <c r="FX12" s="139">
        <v>2.0112787776133292</v>
      </c>
      <c r="FY12" s="139">
        <v>1.5964138046603606</v>
      </c>
      <c r="FZ12" t="s">
        <v>220</v>
      </c>
      <c r="GA12" t="s">
        <v>220</v>
      </c>
      <c r="GB12" t="s">
        <v>220</v>
      </c>
      <c r="GC12" t="s">
        <v>316</v>
      </c>
    </row>
    <row r="13" spans="1:185" ht="17">
      <c r="A13" t="s">
        <v>293</v>
      </c>
      <c r="B13" s="137" t="s">
        <v>294</v>
      </c>
      <c r="C13" t="s">
        <v>167</v>
      </c>
      <c r="D13" t="s">
        <v>295</v>
      </c>
      <c r="E13">
        <v>2019</v>
      </c>
      <c r="F13" t="str">
        <f t="shared" si="2"/>
        <v>10.1073/pnas.1905989116</v>
      </c>
      <c r="G13" s="138">
        <f t="shared" si="3"/>
        <v>66054</v>
      </c>
      <c r="H13" s="142">
        <f t="shared" si="4"/>
        <v>110</v>
      </c>
      <c r="I13" s="142">
        <f t="shared" si="4"/>
        <v>110</v>
      </c>
      <c r="J13">
        <v>976.396267946168</v>
      </c>
      <c r="K13" s="142">
        <v>303.20177565198208</v>
      </c>
      <c r="L13" s="142">
        <v>234.04323881407299</v>
      </c>
      <c r="M13" t="b">
        <v>0</v>
      </c>
      <c r="N13">
        <v>1</v>
      </c>
      <c r="O13" s="163" t="s">
        <v>310</v>
      </c>
      <c r="P13" s="161" t="b">
        <v>0</v>
      </c>
      <c r="Q13" t="b">
        <v>1</v>
      </c>
      <c r="R13" t="s">
        <v>311</v>
      </c>
      <c r="S13" t="b">
        <v>1</v>
      </c>
      <c r="T13" t="b">
        <v>0</v>
      </c>
      <c r="U13" t="s">
        <v>166</v>
      </c>
      <c r="V13" s="161" t="b">
        <v>0</v>
      </c>
      <c r="W13" t="b">
        <v>0</v>
      </c>
      <c r="X13" t="s">
        <v>315</v>
      </c>
      <c r="Y13" s="143" t="s">
        <v>169</v>
      </c>
      <c r="Z13" t="s">
        <v>234</v>
      </c>
      <c r="AA13" t="s">
        <v>258</v>
      </c>
      <c r="AB13" s="158" t="s">
        <v>166</v>
      </c>
      <c r="AC13" s="158" t="s">
        <v>166</v>
      </c>
      <c r="AD13" s="144" t="s">
        <v>265</v>
      </c>
      <c r="AE13" t="s">
        <v>266</v>
      </c>
      <c r="AF13" t="s">
        <v>267</v>
      </c>
      <c r="AG13" s="158" t="s">
        <v>166</v>
      </c>
      <c r="AH13" s="146" t="s">
        <v>166</v>
      </c>
      <c r="AI13" s="146" t="s">
        <v>166</v>
      </c>
      <c r="AJ13" t="s">
        <v>241</v>
      </c>
      <c r="AK13" s="147">
        <v>31.108000000000001</v>
      </c>
      <c r="AL13" s="147">
        <v>-96.837000000000003</v>
      </c>
      <c r="AM13" s="147">
        <v>32</v>
      </c>
      <c r="AN13" s="147">
        <v>-90</v>
      </c>
      <c r="AO13">
        <v>120</v>
      </c>
      <c r="AP13">
        <v>-65</v>
      </c>
      <c r="AQ13" s="148" t="s">
        <v>268</v>
      </c>
      <c r="AR13" t="s">
        <v>176</v>
      </c>
      <c r="AS13" s="149">
        <v>66054</v>
      </c>
      <c r="AT13" s="150" t="s">
        <v>177</v>
      </c>
      <c r="AU13" t="s">
        <v>166</v>
      </c>
      <c r="AV13" t="s">
        <v>166</v>
      </c>
      <c r="AW13" t="s">
        <v>178</v>
      </c>
      <c r="AX13" t="s">
        <v>262</v>
      </c>
      <c r="AY13" t="s">
        <v>166</v>
      </c>
      <c r="AZ13" t="s">
        <v>166</v>
      </c>
      <c r="BA13" t="s">
        <v>166</v>
      </c>
      <c r="BB13" t="s">
        <v>166</v>
      </c>
      <c r="BC13" t="s">
        <v>166</v>
      </c>
      <c r="BD13" t="s">
        <v>166</v>
      </c>
      <c r="BE13" t="s">
        <v>166</v>
      </c>
      <c r="BF13" t="s">
        <v>166</v>
      </c>
      <c r="BG13" t="s">
        <v>263</v>
      </c>
      <c r="BH13" t="s">
        <v>253</v>
      </c>
      <c r="BI13" t="s">
        <v>237</v>
      </c>
      <c r="BJ13" s="152" t="s">
        <v>183</v>
      </c>
      <c r="BK13" t="s">
        <v>184</v>
      </c>
      <c r="BL13" t="s">
        <v>185</v>
      </c>
      <c r="BM13" t="s">
        <v>186</v>
      </c>
      <c r="BN13" t="s">
        <v>269</v>
      </c>
      <c r="BO13">
        <v>2</v>
      </c>
      <c r="BP13">
        <v>2.1000000000000001E-2</v>
      </c>
      <c r="BQ13" s="139">
        <v>14.091622859999999</v>
      </c>
      <c r="BR13" t="s">
        <v>188</v>
      </c>
      <c r="BS13" s="139">
        <v>0.241714018</v>
      </c>
      <c r="BT13">
        <v>1</v>
      </c>
      <c r="BU13" t="s">
        <v>189</v>
      </c>
      <c r="BV13" s="150" t="s">
        <v>166</v>
      </c>
      <c r="BW13" t="s">
        <v>190</v>
      </c>
      <c r="BX13" t="s">
        <v>191</v>
      </c>
      <c r="BY13" t="s">
        <v>166</v>
      </c>
      <c r="BZ13" t="s">
        <v>166</v>
      </c>
      <c r="CA13" t="s">
        <v>166</v>
      </c>
      <c r="CB13" t="s">
        <v>192</v>
      </c>
      <c r="CC13" t="s">
        <v>166</v>
      </c>
      <c r="CD13" s="153" t="s">
        <v>166</v>
      </c>
      <c r="CE13" t="s">
        <v>312</v>
      </c>
      <c r="CF13" t="s">
        <v>194</v>
      </c>
      <c r="CG13">
        <v>25</v>
      </c>
      <c r="CH13" t="s">
        <v>195</v>
      </c>
      <c r="CI13" t="s">
        <v>195</v>
      </c>
      <c r="CJ13" s="138">
        <v>32.736133351971702</v>
      </c>
      <c r="CK13" t="s">
        <v>196</v>
      </c>
      <c r="CL13">
        <v>0.98403110367279822</v>
      </c>
      <c r="CM13">
        <v>1.0086699474386016</v>
      </c>
      <c r="CN13" s="139">
        <v>5.0599999999999996</v>
      </c>
      <c r="CO13" s="139">
        <f t="shared" si="1"/>
        <v>5.0599999999999996</v>
      </c>
      <c r="CP13" t="s">
        <v>197</v>
      </c>
      <c r="CQ13">
        <v>5.2117999999999993</v>
      </c>
      <c r="CR13">
        <v>4.9081999999999999</v>
      </c>
      <c r="CS13" s="154" t="s">
        <v>198</v>
      </c>
      <c r="CT13" t="s">
        <v>199</v>
      </c>
      <c r="CU13" t="s">
        <v>200</v>
      </c>
      <c r="CV13" t="s">
        <v>199</v>
      </c>
      <c r="CW13" t="s">
        <v>166</v>
      </c>
      <c r="CX13" t="s">
        <v>166</v>
      </c>
      <c r="CY13" t="s">
        <v>201</v>
      </c>
      <c r="CZ13" t="s">
        <v>166</v>
      </c>
      <c r="DA13" t="s">
        <v>166</v>
      </c>
      <c r="DB13" t="s">
        <v>166</v>
      </c>
      <c r="DC13" t="s">
        <v>166</v>
      </c>
      <c r="DD13" t="s">
        <v>166</v>
      </c>
      <c r="DE13" t="s">
        <v>166</v>
      </c>
      <c r="DF13" t="s">
        <v>166</v>
      </c>
      <c r="DG13">
        <v>34.1</v>
      </c>
      <c r="DH13" t="s">
        <v>177</v>
      </c>
      <c r="DI13">
        <v>1</v>
      </c>
      <c r="DJ13" s="155" t="s">
        <v>202</v>
      </c>
      <c r="DK13">
        <v>2.1000000000000001E-2</v>
      </c>
      <c r="DL13" t="s">
        <v>203</v>
      </c>
      <c r="DM13" t="s">
        <v>203</v>
      </c>
      <c r="DN13" t="s">
        <v>204</v>
      </c>
      <c r="DO13">
        <v>4.2000000000000003E-2</v>
      </c>
      <c r="DP13" t="s">
        <v>203</v>
      </c>
      <c r="DQ13" t="s">
        <v>203</v>
      </c>
      <c r="DR13" t="s">
        <v>205</v>
      </c>
      <c r="DS13" t="s">
        <v>206</v>
      </c>
      <c r="DT13" t="s">
        <v>203</v>
      </c>
      <c r="DU13" t="s">
        <v>203</v>
      </c>
      <c r="DV13" t="s">
        <v>203</v>
      </c>
      <c r="DW13" s="138">
        <v>380</v>
      </c>
      <c r="DX13" t="s">
        <v>207</v>
      </c>
      <c r="DY13" s="138">
        <v>10.9</v>
      </c>
      <c r="DZ13" t="s">
        <v>208</v>
      </c>
      <c r="EA13">
        <v>39.299999999999997</v>
      </c>
      <c r="EB13" t="s">
        <v>209</v>
      </c>
      <c r="EC13">
        <v>0.25</v>
      </c>
      <c r="ED13" t="s">
        <v>313</v>
      </c>
      <c r="EE13" t="s">
        <v>210</v>
      </c>
      <c r="EF13" t="s">
        <v>211</v>
      </c>
      <c r="EG13">
        <v>1.0271999999999999</v>
      </c>
      <c r="EH13" t="s">
        <v>195</v>
      </c>
      <c r="EI13" t="s">
        <v>195</v>
      </c>
      <c r="EJ13" t="s">
        <v>212</v>
      </c>
      <c r="EK13" t="s">
        <v>195</v>
      </c>
      <c r="EL13" t="s">
        <v>195</v>
      </c>
      <c r="EM13" t="s">
        <v>213</v>
      </c>
      <c r="EN13" t="s">
        <v>210</v>
      </c>
      <c r="EO13" t="s">
        <v>210</v>
      </c>
      <c r="EP13" t="s">
        <v>210</v>
      </c>
      <c r="EQ13" t="s">
        <v>210</v>
      </c>
      <c r="ER13" t="s">
        <v>210</v>
      </c>
      <c r="ES13" t="s">
        <v>211</v>
      </c>
      <c r="ET13" t="s">
        <v>214</v>
      </c>
      <c r="EU13" t="s">
        <v>215</v>
      </c>
      <c r="EV13" t="s">
        <v>166</v>
      </c>
      <c r="EW13">
        <v>2078</v>
      </c>
      <c r="EX13" t="s">
        <v>216</v>
      </c>
      <c r="EY13">
        <v>100</v>
      </c>
      <c r="EZ13">
        <v>100</v>
      </c>
      <c r="FA13" t="s">
        <v>166</v>
      </c>
      <c r="FB13" t="s">
        <v>166</v>
      </c>
      <c r="FC13" t="s">
        <v>166</v>
      </c>
      <c r="FD13" t="s">
        <v>166</v>
      </c>
      <c r="FE13" s="141">
        <v>7.7219652486556498</v>
      </c>
      <c r="FF13" s="153" t="s">
        <v>217</v>
      </c>
      <c r="FG13" s="141">
        <v>0.11583186795161993</v>
      </c>
      <c r="FH13" s="141">
        <v>0.11568856450654952</v>
      </c>
      <c r="FI13" s="142">
        <v>976.396267946168</v>
      </c>
      <c r="FJ13" s="153" t="s">
        <v>166</v>
      </c>
      <c r="FK13" s="153" t="s">
        <v>314</v>
      </c>
      <c r="FL13" s="142">
        <v>976.396267946168</v>
      </c>
      <c r="FM13" s="142">
        <v>303.20177565198208</v>
      </c>
      <c r="FN13" s="142">
        <v>234.04323881407299</v>
      </c>
      <c r="FO13" t="s">
        <v>218</v>
      </c>
      <c r="FP13" t="s">
        <v>219</v>
      </c>
      <c r="FQ13" t="s">
        <v>220</v>
      </c>
      <c r="FR13" t="s">
        <v>220</v>
      </c>
      <c r="FS13" t="s">
        <v>220</v>
      </c>
      <c r="FT13" s="142">
        <v>2015.3383771128799</v>
      </c>
      <c r="FU13" s="142">
        <v>101.09586797980023</v>
      </c>
      <c r="FV13" s="142">
        <v>101.78329556534982</v>
      </c>
      <c r="FW13" s="139">
        <v>6.9963338998467703</v>
      </c>
      <c r="FX13" s="139">
        <v>2.1509936222570998</v>
      </c>
      <c r="FY13" s="139">
        <v>1.7032208430417404</v>
      </c>
      <c r="FZ13" t="s">
        <v>220</v>
      </c>
      <c r="GA13" t="s">
        <v>220</v>
      </c>
      <c r="GB13" t="s">
        <v>220</v>
      </c>
      <c r="GC13" t="s">
        <v>316</v>
      </c>
    </row>
    <row r="14" spans="1:185" ht="17">
      <c r="A14" t="s">
        <v>293</v>
      </c>
      <c r="B14" s="137" t="s">
        <v>294</v>
      </c>
      <c r="C14" t="s">
        <v>167</v>
      </c>
      <c r="D14" t="s">
        <v>295</v>
      </c>
      <c r="E14">
        <v>2019</v>
      </c>
      <c r="F14" t="str">
        <f t="shared" si="2"/>
        <v>10.1073/pnas.1905989116</v>
      </c>
      <c r="G14" s="138">
        <f t="shared" si="3"/>
        <v>66094</v>
      </c>
      <c r="H14" s="142">
        <f t="shared" si="4"/>
        <v>110</v>
      </c>
      <c r="I14" s="142">
        <f t="shared" si="4"/>
        <v>110</v>
      </c>
      <c r="J14">
        <v>1001.06618915916</v>
      </c>
      <c r="K14" s="142">
        <v>310.27543278855012</v>
      </c>
      <c r="L14" s="142">
        <v>235.97248464281597</v>
      </c>
      <c r="M14" t="b">
        <v>0</v>
      </c>
      <c r="N14">
        <v>1</v>
      </c>
      <c r="O14" s="163" t="s">
        <v>310</v>
      </c>
      <c r="P14" s="161" t="b">
        <v>0</v>
      </c>
      <c r="Q14" t="b">
        <v>1</v>
      </c>
      <c r="R14" t="s">
        <v>311</v>
      </c>
      <c r="S14" t="b">
        <v>1</v>
      </c>
      <c r="T14" t="b">
        <v>0</v>
      </c>
      <c r="U14" t="s">
        <v>166</v>
      </c>
      <c r="V14" s="161" t="b">
        <v>0</v>
      </c>
      <c r="W14" t="b">
        <v>0</v>
      </c>
      <c r="X14" t="s">
        <v>315</v>
      </c>
      <c r="Y14" s="143" t="s">
        <v>169</v>
      </c>
      <c r="Z14" t="s">
        <v>234</v>
      </c>
      <c r="AA14" t="s">
        <v>258</v>
      </c>
      <c r="AB14" s="158" t="s">
        <v>166</v>
      </c>
      <c r="AC14" s="158" t="s">
        <v>166</v>
      </c>
      <c r="AD14" s="144" t="s">
        <v>270</v>
      </c>
      <c r="AE14" s="140" t="s">
        <v>271</v>
      </c>
      <c r="AF14" s="140" t="s">
        <v>271</v>
      </c>
      <c r="AG14" s="158" t="s">
        <v>166</v>
      </c>
      <c r="AH14" s="146" t="s">
        <v>166</v>
      </c>
      <c r="AI14" s="146" t="s">
        <v>166</v>
      </c>
      <c r="AJ14" t="s">
        <v>241</v>
      </c>
      <c r="AK14" s="147">
        <v>31.108000000000001</v>
      </c>
      <c r="AL14" s="147">
        <v>-96.837000000000003</v>
      </c>
      <c r="AM14" s="147">
        <v>32</v>
      </c>
      <c r="AN14" s="147">
        <v>-90</v>
      </c>
      <c r="AO14">
        <v>120</v>
      </c>
      <c r="AP14">
        <v>-65</v>
      </c>
      <c r="AQ14" s="148" t="s">
        <v>268</v>
      </c>
      <c r="AR14" t="s">
        <v>176</v>
      </c>
      <c r="AS14" s="149">
        <v>66094</v>
      </c>
      <c r="AT14" s="150" t="s">
        <v>177</v>
      </c>
      <c r="AU14" t="s">
        <v>166</v>
      </c>
      <c r="AV14" t="s">
        <v>166</v>
      </c>
      <c r="AW14" t="s">
        <v>178</v>
      </c>
      <c r="AX14" t="s">
        <v>262</v>
      </c>
      <c r="AY14" t="s">
        <v>166</v>
      </c>
      <c r="AZ14" t="s">
        <v>166</v>
      </c>
      <c r="BA14" t="s">
        <v>166</v>
      </c>
      <c r="BB14" t="s">
        <v>166</v>
      </c>
      <c r="BC14" t="s">
        <v>166</v>
      </c>
      <c r="BD14" t="s">
        <v>166</v>
      </c>
      <c r="BE14" t="s">
        <v>166</v>
      </c>
      <c r="BF14" t="s">
        <v>166</v>
      </c>
      <c r="BG14" t="s">
        <v>263</v>
      </c>
      <c r="BH14" t="s">
        <v>253</v>
      </c>
      <c r="BI14" t="s">
        <v>237</v>
      </c>
      <c r="BJ14" s="152" t="s">
        <v>183</v>
      </c>
      <c r="BK14" t="s">
        <v>184</v>
      </c>
      <c r="BL14" t="s">
        <v>185</v>
      </c>
      <c r="BM14" t="s">
        <v>186</v>
      </c>
      <c r="BN14" t="s">
        <v>272</v>
      </c>
      <c r="BO14">
        <v>2</v>
      </c>
      <c r="BP14">
        <v>0.22700000000000001</v>
      </c>
      <c r="BQ14" s="139">
        <v>14.129997230000001</v>
      </c>
      <c r="BR14" t="s">
        <v>188</v>
      </c>
      <c r="BS14" s="139">
        <v>0.23477488799999999</v>
      </c>
      <c r="BT14">
        <v>1</v>
      </c>
      <c r="BU14" t="s">
        <v>189</v>
      </c>
      <c r="BV14" s="150" t="s">
        <v>166</v>
      </c>
      <c r="BW14" t="s">
        <v>190</v>
      </c>
      <c r="BX14" t="s">
        <v>191</v>
      </c>
      <c r="BY14" t="s">
        <v>166</v>
      </c>
      <c r="BZ14" t="s">
        <v>166</v>
      </c>
      <c r="CA14" t="s">
        <v>166</v>
      </c>
      <c r="CB14" t="s">
        <v>192</v>
      </c>
      <c r="CC14" t="s">
        <v>166</v>
      </c>
      <c r="CD14" s="153" t="s">
        <v>166</v>
      </c>
      <c r="CE14" t="s">
        <v>312</v>
      </c>
      <c r="CF14" t="s">
        <v>194</v>
      </c>
      <c r="CG14">
        <v>25</v>
      </c>
      <c r="CH14" t="s">
        <v>195</v>
      </c>
      <c r="CI14" t="s">
        <v>195</v>
      </c>
      <c r="CJ14" s="138">
        <v>33.433349075619603</v>
      </c>
      <c r="CK14" t="s">
        <v>196</v>
      </c>
      <c r="CL14">
        <v>0.99629663543769453</v>
      </c>
      <c r="CM14">
        <v>0.97506609556540269</v>
      </c>
      <c r="CN14" s="139">
        <v>5.35</v>
      </c>
      <c r="CO14" s="139">
        <f t="shared" si="1"/>
        <v>5.35</v>
      </c>
      <c r="CP14" t="s">
        <v>197</v>
      </c>
      <c r="CQ14">
        <v>5.5104999999999995</v>
      </c>
      <c r="CR14">
        <v>5.1894999999999998</v>
      </c>
      <c r="CS14" s="154" t="s">
        <v>198</v>
      </c>
      <c r="CT14" t="s">
        <v>199</v>
      </c>
      <c r="CU14" t="s">
        <v>200</v>
      </c>
      <c r="CV14" t="s">
        <v>199</v>
      </c>
      <c r="CW14" t="s">
        <v>166</v>
      </c>
      <c r="CX14" t="s">
        <v>166</v>
      </c>
      <c r="CY14" t="s">
        <v>201</v>
      </c>
      <c r="CZ14" t="s">
        <v>166</v>
      </c>
      <c r="DA14" t="s">
        <v>166</v>
      </c>
      <c r="DB14" t="s">
        <v>166</v>
      </c>
      <c r="DC14" t="s">
        <v>166</v>
      </c>
      <c r="DD14" t="s">
        <v>166</v>
      </c>
      <c r="DE14" t="s">
        <v>166</v>
      </c>
      <c r="DF14" t="s">
        <v>166</v>
      </c>
      <c r="DG14">
        <v>34.1</v>
      </c>
      <c r="DH14" t="s">
        <v>177</v>
      </c>
      <c r="DI14">
        <v>1</v>
      </c>
      <c r="DJ14" s="155" t="s">
        <v>202</v>
      </c>
      <c r="DK14">
        <v>2.1000000000000001E-2</v>
      </c>
      <c r="DL14" t="s">
        <v>203</v>
      </c>
      <c r="DM14" t="s">
        <v>203</v>
      </c>
      <c r="DN14" t="s">
        <v>204</v>
      </c>
      <c r="DO14">
        <v>4.2000000000000003E-2</v>
      </c>
      <c r="DP14" t="s">
        <v>203</v>
      </c>
      <c r="DQ14" t="s">
        <v>203</v>
      </c>
      <c r="DR14" t="s">
        <v>205</v>
      </c>
      <c r="DS14" t="s">
        <v>206</v>
      </c>
      <c r="DT14" t="s">
        <v>203</v>
      </c>
      <c r="DU14" t="s">
        <v>203</v>
      </c>
      <c r="DV14" t="s">
        <v>203</v>
      </c>
      <c r="DW14" s="138">
        <v>380</v>
      </c>
      <c r="DX14" t="s">
        <v>207</v>
      </c>
      <c r="DY14" s="138">
        <v>10.9</v>
      </c>
      <c r="DZ14" t="s">
        <v>208</v>
      </c>
      <c r="EA14">
        <v>39.299999999999997</v>
      </c>
      <c r="EB14" t="s">
        <v>209</v>
      </c>
      <c r="EC14">
        <v>0.25</v>
      </c>
      <c r="ED14" t="s">
        <v>313</v>
      </c>
      <c r="EE14" t="s">
        <v>210</v>
      </c>
      <c r="EF14" t="s">
        <v>211</v>
      </c>
      <c r="EG14">
        <v>1.0271999999999999</v>
      </c>
      <c r="EH14" t="s">
        <v>195</v>
      </c>
      <c r="EI14" t="s">
        <v>195</v>
      </c>
      <c r="EJ14" t="s">
        <v>212</v>
      </c>
      <c r="EK14" t="s">
        <v>195</v>
      </c>
      <c r="EL14" t="s">
        <v>195</v>
      </c>
      <c r="EM14" t="s">
        <v>213</v>
      </c>
      <c r="EN14" t="s">
        <v>210</v>
      </c>
      <c r="EO14" t="s">
        <v>210</v>
      </c>
      <c r="EP14" t="s">
        <v>210</v>
      </c>
      <c r="EQ14" t="s">
        <v>210</v>
      </c>
      <c r="ER14" t="s">
        <v>210</v>
      </c>
      <c r="ES14" t="s">
        <v>211</v>
      </c>
      <c r="ET14" t="s">
        <v>214</v>
      </c>
      <c r="EU14" t="s">
        <v>215</v>
      </c>
      <c r="EV14" t="s">
        <v>166</v>
      </c>
      <c r="EW14">
        <v>2145</v>
      </c>
      <c r="EX14" t="s">
        <v>216</v>
      </c>
      <c r="EY14">
        <v>100</v>
      </c>
      <c r="EZ14">
        <v>100</v>
      </c>
      <c r="FA14" t="s">
        <v>166</v>
      </c>
      <c r="FB14" t="s">
        <v>166</v>
      </c>
      <c r="FC14" t="s">
        <v>166</v>
      </c>
      <c r="FD14" t="s">
        <v>166</v>
      </c>
      <c r="FE14" s="141">
        <v>7.7232198052888501</v>
      </c>
      <c r="FF14" s="153" t="s">
        <v>217</v>
      </c>
      <c r="FG14" s="141">
        <v>0.11414936021470012</v>
      </c>
      <c r="FH14" s="141">
        <v>0.11651349332483019</v>
      </c>
      <c r="FI14" s="142">
        <v>1001.06618915916</v>
      </c>
      <c r="FJ14" s="153" t="s">
        <v>166</v>
      </c>
      <c r="FK14" s="153" t="s">
        <v>314</v>
      </c>
      <c r="FL14" s="142">
        <v>1001.06618915916</v>
      </c>
      <c r="FM14" s="142">
        <v>310.27543278855012</v>
      </c>
      <c r="FN14" s="142">
        <v>235.97248464281597</v>
      </c>
      <c r="FO14" t="s">
        <v>218</v>
      </c>
      <c r="FP14" t="s">
        <v>219</v>
      </c>
      <c r="FQ14" t="s">
        <v>220</v>
      </c>
      <c r="FR14" t="s">
        <v>220</v>
      </c>
      <c r="FS14" t="s">
        <v>220</v>
      </c>
      <c r="FT14" s="142">
        <v>2064.19825566794</v>
      </c>
      <c r="FU14" s="142">
        <v>102.06263646804018</v>
      </c>
      <c r="FV14" s="142">
        <v>100.52458340430007</v>
      </c>
      <c r="FW14" s="139">
        <v>7.3624383916119198</v>
      </c>
      <c r="FX14" s="139">
        <v>2.2854363145178906</v>
      </c>
      <c r="FY14" s="139">
        <v>1.7969284912391101</v>
      </c>
      <c r="FZ14" t="s">
        <v>220</v>
      </c>
      <c r="GA14" t="s">
        <v>220</v>
      </c>
      <c r="GB14" t="s">
        <v>220</v>
      </c>
      <c r="GC14" t="s">
        <v>316</v>
      </c>
    </row>
    <row r="15" spans="1:185" ht="17">
      <c r="A15" t="s">
        <v>293</v>
      </c>
      <c r="B15" s="137" t="s">
        <v>294</v>
      </c>
      <c r="C15" t="s">
        <v>167</v>
      </c>
      <c r="D15" t="s">
        <v>295</v>
      </c>
      <c r="E15">
        <v>2019</v>
      </c>
      <c r="F15" t="str">
        <f t="shared" si="2"/>
        <v>10.1073/pnas.1905989116</v>
      </c>
      <c r="G15" s="138">
        <f t="shared" si="3"/>
        <v>66020</v>
      </c>
      <c r="H15" s="142">
        <f>AVERAGE(88,86)</f>
        <v>87</v>
      </c>
      <c r="I15" s="142">
        <f>AVERAGE(88,86)</f>
        <v>87</v>
      </c>
      <c r="J15">
        <v>1306.0746286567201</v>
      </c>
      <c r="K15" s="142">
        <v>466.76271513246002</v>
      </c>
      <c r="L15" s="142">
        <v>328.46909103517805</v>
      </c>
      <c r="M15" t="b">
        <v>0</v>
      </c>
      <c r="N15">
        <v>1</v>
      </c>
      <c r="O15" s="163" t="s">
        <v>310</v>
      </c>
      <c r="P15" s="161" t="b">
        <v>0</v>
      </c>
      <c r="Q15" t="b">
        <v>1</v>
      </c>
      <c r="R15" t="s">
        <v>311</v>
      </c>
      <c r="S15" t="b">
        <v>1</v>
      </c>
      <c r="T15" t="b">
        <v>0</v>
      </c>
      <c r="U15" t="s">
        <v>166</v>
      </c>
      <c r="V15" s="161" t="b">
        <v>0</v>
      </c>
      <c r="W15" t="b">
        <v>0</v>
      </c>
      <c r="X15" t="s">
        <v>315</v>
      </c>
      <c r="Y15" s="143" t="s">
        <v>169</v>
      </c>
      <c r="Z15" t="s">
        <v>234</v>
      </c>
      <c r="AA15" t="s">
        <v>258</v>
      </c>
      <c r="AB15" s="158" t="s">
        <v>166</v>
      </c>
      <c r="AC15" s="158" t="s">
        <v>166</v>
      </c>
      <c r="AD15" s="144" t="s">
        <v>273</v>
      </c>
      <c r="AE15" t="s">
        <v>274</v>
      </c>
      <c r="AF15" t="s">
        <v>274</v>
      </c>
      <c r="AG15" s="158" t="s">
        <v>166</v>
      </c>
      <c r="AH15" s="146" t="s">
        <v>166</v>
      </c>
      <c r="AI15" s="146" t="s">
        <v>166</v>
      </c>
      <c r="AJ15" t="s">
        <v>241</v>
      </c>
      <c r="AK15" s="147">
        <v>31.108000000000001</v>
      </c>
      <c r="AL15" s="147">
        <v>-96.837000000000003</v>
      </c>
      <c r="AM15" s="147">
        <v>32</v>
      </c>
      <c r="AN15" s="147">
        <v>-90</v>
      </c>
      <c r="AO15">
        <v>120</v>
      </c>
      <c r="AP15">
        <v>-65</v>
      </c>
      <c r="AQ15" s="148" t="s">
        <v>268</v>
      </c>
      <c r="AR15" t="s">
        <v>176</v>
      </c>
      <c r="AS15" s="149">
        <v>66020</v>
      </c>
      <c r="AT15" s="150" t="s">
        <v>177</v>
      </c>
      <c r="AU15" t="s">
        <v>166</v>
      </c>
      <c r="AV15" t="s">
        <v>166</v>
      </c>
      <c r="AW15" t="s">
        <v>178</v>
      </c>
      <c r="AX15" t="s">
        <v>262</v>
      </c>
      <c r="AY15" t="s">
        <v>166</v>
      </c>
      <c r="AZ15" t="s">
        <v>166</v>
      </c>
      <c r="BA15" t="s">
        <v>166</v>
      </c>
      <c r="BB15" t="s">
        <v>166</v>
      </c>
      <c r="BC15" t="s">
        <v>166</v>
      </c>
      <c r="BD15" t="s">
        <v>166</v>
      </c>
      <c r="BE15" t="s">
        <v>166</v>
      </c>
      <c r="BF15" t="s">
        <v>166</v>
      </c>
      <c r="BG15" t="s">
        <v>263</v>
      </c>
      <c r="BH15" t="s">
        <v>253</v>
      </c>
      <c r="BI15" t="s">
        <v>237</v>
      </c>
      <c r="BJ15" s="152" t="s">
        <v>183</v>
      </c>
      <c r="BK15" t="s">
        <v>184</v>
      </c>
      <c r="BL15" t="s">
        <v>185</v>
      </c>
      <c r="BM15" t="s">
        <v>186</v>
      </c>
      <c r="BN15" t="s">
        <v>275</v>
      </c>
      <c r="BO15">
        <v>2</v>
      </c>
      <c r="BP15">
        <v>0.17299999999999999</v>
      </c>
      <c r="BQ15" s="139">
        <v>13.623060819999999</v>
      </c>
      <c r="BR15" t="s">
        <v>188</v>
      </c>
      <c r="BS15" s="139">
        <v>0.268539686</v>
      </c>
      <c r="BT15">
        <v>1</v>
      </c>
      <c r="BU15" t="s">
        <v>189</v>
      </c>
      <c r="BV15" s="150" t="s">
        <v>166</v>
      </c>
      <c r="BW15" t="s">
        <v>190</v>
      </c>
      <c r="BX15" t="s">
        <v>191</v>
      </c>
      <c r="BY15" t="s">
        <v>166</v>
      </c>
      <c r="BZ15" t="s">
        <v>166</v>
      </c>
      <c r="CA15" t="s">
        <v>166</v>
      </c>
      <c r="CB15" t="s">
        <v>192</v>
      </c>
      <c r="CC15" t="s">
        <v>166</v>
      </c>
      <c r="CD15" s="153" t="s">
        <v>166</v>
      </c>
      <c r="CE15" t="s">
        <v>312</v>
      </c>
      <c r="CF15" t="s">
        <v>194</v>
      </c>
      <c r="CG15">
        <v>25</v>
      </c>
      <c r="CH15" t="s">
        <v>195</v>
      </c>
      <c r="CI15" t="s">
        <v>195</v>
      </c>
      <c r="CJ15" s="138">
        <v>31.701218652753202</v>
      </c>
      <c r="CK15" t="s">
        <v>196</v>
      </c>
      <c r="CL15">
        <v>1.0674392181417964</v>
      </c>
      <c r="CM15">
        <v>1.053259562726403</v>
      </c>
      <c r="CN15" s="139">
        <v>4.93</v>
      </c>
      <c r="CO15" s="139">
        <f t="shared" si="1"/>
        <v>4.93</v>
      </c>
      <c r="CP15" t="s">
        <v>197</v>
      </c>
      <c r="CQ15">
        <v>5.0778999999999996</v>
      </c>
      <c r="CR15">
        <v>4.7820999999999998</v>
      </c>
      <c r="CS15" s="154" t="s">
        <v>198</v>
      </c>
      <c r="CT15" t="s">
        <v>199</v>
      </c>
      <c r="CU15" t="s">
        <v>200</v>
      </c>
      <c r="CV15" t="s">
        <v>199</v>
      </c>
      <c r="CW15" t="s">
        <v>166</v>
      </c>
      <c r="CX15" t="s">
        <v>166</v>
      </c>
      <c r="CY15" t="s">
        <v>201</v>
      </c>
      <c r="CZ15" t="s">
        <v>166</v>
      </c>
      <c r="DA15" t="s">
        <v>166</v>
      </c>
      <c r="DB15" t="s">
        <v>166</v>
      </c>
      <c r="DC15" t="s">
        <v>166</v>
      </c>
      <c r="DD15" t="s">
        <v>166</v>
      </c>
      <c r="DE15" t="s">
        <v>166</v>
      </c>
      <c r="DF15" t="s">
        <v>166</v>
      </c>
      <c r="DG15">
        <v>34.1</v>
      </c>
      <c r="DH15" t="s">
        <v>177</v>
      </c>
      <c r="DI15">
        <v>1</v>
      </c>
      <c r="DJ15" s="155" t="s">
        <v>202</v>
      </c>
      <c r="DK15">
        <v>2.1000000000000001E-2</v>
      </c>
      <c r="DL15" t="s">
        <v>203</v>
      </c>
      <c r="DM15" t="s">
        <v>203</v>
      </c>
      <c r="DN15" t="s">
        <v>204</v>
      </c>
      <c r="DO15">
        <v>4.2000000000000003E-2</v>
      </c>
      <c r="DP15" t="s">
        <v>203</v>
      </c>
      <c r="DQ15" t="s">
        <v>203</v>
      </c>
      <c r="DR15" t="s">
        <v>205</v>
      </c>
      <c r="DS15" t="s">
        <v>206</v>
      </c>
      <c r="DT15" t="s">
        <v>203</v>
      </c>
      <c r="DU15" t="s">
        <v>203</v>
      </c>
      <c r="DV15" t="s">
        <v>203</v>
      </c>
      <c r="DW15" s="138">
        <v>380</v>
      </c>
      <c r="DX15" t="s">
        <v>207</v>
      </c>
      <c r="DY15" s="138">
        <v>10.9</v>
      </c>
      <c r="DZ15" t="s">
        <v>208</v>
      </c>
      <c r="EA15">
        <v>39.299999999999997</v>
      </c>
      <c r="EB15" t="s">
        <v>209</v>
      </c>
      <c r="EC15">
        <v>0.25</v>
      </c>
      <c r="ED15" t="s">
        <v>313</v>
      </c>
      <c r="EE15" t="s">
        <v>210</v>
      </c>
      <c r="EF15" t="s">
        <v>211</v>
      </c>
      <c r="EG15">
        <v>1.0271999999999999</v>
      </c>
      <c r="EH15" t="s">
        <v>195</v>
      </c>
      <c r="EI15" t="s">
        <v>195</v>
      </c>
      <c r="EJ15" t="s">
        <v>212</v>
      </c>
      <c r="EK15" t="s">
        <v>195</v>
      </c>
      <c r="EL15" t="s">
        <v>195</v>
      </c>
      <c r="EM15" t="s">
        <v>213</v>
      </c>
      <c r="EN15" t="s">
        <v>210</v>
      </c>
      <c r="EO15" t="s">
        <v>210</v>
      </c>
      <c r="EP15" t="s">
        <v>210</v>
      </c>
      <c r="EQ15" t="s">
        <v>210</v>
      </c>
      <c r="ER15" t="s">
        <v>210</v>
      </c>
      <c r="ES15" t="s">
        <v>211</v>
      </c>
      <c r="ET15" t="s">
        <v>214</v>
      </c>
      <c r="EU15" t="s">
        <v>215</v>
      </c>
      <c r="EV15" t="s">
        <v>166</v>
      </c>
      <c r="EW15">
        <v>2193</v>
      </c>
      <c r="EX15" t="s">
        <v>216</v>
      </c>
      <c r="EY15">
        <v>100</v>
      </c>
      <c r="EZ15">
        <v>100</v>
      </c>
      <c r="FA15" t="s">
        <v>166</v>
      </c>
      <c r="FB15" t="s">
        <v>166</v>
      </c>
      <c r="FC15" t="s">
        <v>166</v>
      </c>
      <c r="FD15" t="s">
        <v>166</v>
      </c>
      <c r="FE15" s="141">
        <v>7.6272024748949496</v>
      </c>
      <c r="FF15" s="153" t="s">
        <v>217</v>
      </c>
      <c r="FG15" s="141">
        <v>0.12337252590331005</v>
      </c>
      <c r="FH15" s="141">
        <v>0.13105809407779923</v>
      </c>
      <c r="FI15" s="142">
        <v>1306.0746286567201</v>
      </c>
      <c r="FJ15" s="153" t="s">
        <v>166</v>
      </c>
      <c r="FK15" s="153" t="s">
        <v>314</v>
      </c>
      <c r="FL15" s="142">
        <v>1306.0746286567201</v>
      </c>
      <c r="FM15" s="142">
        <v>466.76271513246002</v>
      </c>
      <c r="FN15" s="142">
        <v>328.46909103517805</v>
      </c>
      <c r="FO15" t="s">
        <v>218</v>
      </c>
      <c r="FP15" t="s">
        <v>219</v>
      </c>
      <c r="FQ15" t="s">
        <v>220</v>
      </c>
      <c r="FR15" t="s">
        <v>220</v>
      </c>
      <c r="FS15" t="s">
        <v>220</v>
      </c>
      <c r="FT15" s="142">
        <v>2184.58779685011</v>
      </c>
      <c r="FU15" s="142">
        <v>102.16111245317006</v>
      </c>
      <c r="FV15" s="142">
        <v>103.44495934939005</v>
      </c>
      <c r="FW15" s="139">
        <v>5.9441050683030099</v>
      </c>
      <c r="FX15" s="139">
        <v>2.0186587550270803</v>
      </c>
      <c r="FY15" s="139">
        <v>1.6092409412207003</v>
      </c>
      <c r="FZ15" t="s">
        <v>220</v>
      </c>
      <c r="GA15" t="s">
        <v>220</v>
      </c>
      <c r="GB15" t="s">
        <v>220</v>
      </c>
      <c r="GC15" t="s">
        <v>316</v>
      </c>
    </row>
    <row r="16" spans="1:185" ht="17">
      <c r="A16" t="s">
        <v>293</v>
      </c>
      <c r="B16" s="137" t="s">
        <v>294</v>
      </c>
      <c r="C16" t="s">
        <v>167</v>
      </c>
      <c r="D16" t="s">
        <v>295</v>
      </c>
      <c r="E16">
        <v>2019</v>
      </c>
      <c r="F16" t="str">
        <f t="shared" si="2"/>
        <v>10.1073/pnas.1905989116</v>
      </c>
      <c r="G16" s="138">
        <f t="shared" si="3"/>
        <v>65997.5</v>
      </c>
      <c r="H16" s="142">
        <f>AVERAGE(88,86)</f>
        <v>87</v>
      </c>
      <c r="I16" s="142">
        <f>AVERAGE(88,86)</f>
        <v>87</v>
      </c>
      <c r="J16">
        <v>682.57011774623504</v>
      </c>
      <c r="K16" s="142">
        <v>182.85749846908197</v>
      </c>
      <c r="L16" s="142">
        <v>157.57977499385606</v>
      </c>
      <c r="M16" t="b">
        <v>0</v>
      </c>
      <c r="N16">
        <v>1</v>
      </c>
      <c r="O16" s="163" t="s">
        <v>310</v>
      </c>
      <c r="P16" s="161" t="b">
        <v>0</v>
      </c>
      <c r="Q16" t="b">
        <v>1</v>
      </c>
      <c r="R16" t="s">
        <v>311</v>
      </c>
      <c r="S16" t="b">
        <v>1</v>
      </c>
      <c r="T16" t="b">
        <v>0</v>
      </c>
      <c r="U16" t="s">
        <v>166</v>
      </c>
      <c r="V16" s="161" t="b">
        <v>0</v>
      </c>
      <c r="W16" t="b">
        <v>0</v>
      </c>
      <c r="X16" t="s">
        <v>315</v>
      </c>
      <c r="Y16" s="143" t="s">
        <v>169</v>
      </c>
      <c r="Z16" t="s">
        <v>234</v>
      </c>
      <c r="AA16" t="s">
        <v>276</v>
      </c>
      <c r="AB16" s="144" t="s">
        <v>172</v>
      </c>
      <c r="AC16" s="144">
        <v>25</v>
      </c>
      <c r="AD16" s="144">
        <v>6</v>
      </c>
      <c r="AE16">
        <v>108</v>
      </c>
      <c r="AF16">
        <v>110</v>
      </c>
      <c r="AG16" s="158" t="s">
        <v>277</v>
      </c>
      <c r="AH16" s="160">
        <v>261.53500000000003</v>
      </c>
      <c r="AI16" t="s">
        <v>278</v>
      </c>
      <c r="AJ16" t="s">
        <v>174</v>
      </c>
      <c r="AK16" s="147">
        <v>32.652000000000001</v>
      </c>
      <c r="AL16" s="147">
        <v>158.506</v>
      </c>
      <c r="AM16" s="147">
        <v>10</v>
      </c>
      <c r="AN16" s="147">
        <v>175</v>
      </c>
      <c r="AO16" s="147">
        <v>-2387</v>
      </c>
      <c r="AP16" s="147">
        <v>-2500</v>
      </c>
      <c r="AQ16" s="148" t="s">
        <v>279</v>
      </c>
      <c r="AR16" t="s">
        <v>176</v>
      </c>
      <c r="AS16" s="149">
        <v>65997.5</v>
      </c>
      <c r="AT16" s="150" t="s">
        <v>177</v>
      </c>
      <c r="AU16" t="s">
        <v>166</v>
      </c>
      <c r="AV16" t="s">
        <v>166</v>
      </c>
      <c r="AW16" t="s">
        <v>178</v>
      </c>
      <c r="AX16" t="s">
        <v>280</v>
      </c>
      <c r="AY16" t="s">
        <v>166</v>
      </c>
      <c r="AZ16" t="s">
        <v>166</v>
      </c>
      <c r="BA16" t="s">
        <v>166</v>
      </c>
      <c r="BB16" t="s">
        <v>166</v>
      </c>
      <c r="BC16" t="s">
        <v>166</v>
      </c>
      <c r="BD16" t="s">
        <v>166</v>
      </c>
      <c r="BE16" t="s">
        <v>166</v>
      </c>
      <c r="BF16" t="s">
        <v>166</v>
      </c>
      <c r="BG16" t="s">
        <v>281</v>
      </c>
      <c r="BH16" t="s">
        <v>282</v>
      </c>
      <c r="BI16" t="s">
        <v>237</v>
      </c>
      <c r="BJ16" s="152" t="s">
        <v>183</v>
      </c>
      <c r="BK16" t="s">
        <v>184</v>
      </c>
      <c r="BL16" t="s">
        <v>185</v>
      </c>
      <c r="BM16" t="s">
        <v>186</v>
      </c>
      <c r="BN16" t="s">
        <v>283</v>
      </c>
      <c r="BO16">
        <v>2</v>
      </c>
      <c r="BP16">
        <v>0.48</v>
      </c>
      <c r="BQ16" s="139">
        <v>15.632</v>
      </c>
      <c r="BR16" t="s">
        <v>188</v>
      </c>
      <c r="BS16" s="139">
        <v>0.22958371</v>
      </c>
      <c r="BT16">
        <v>1</v>
      </c>
      <c r="BU16" t="s">
        <v>189</v>
      </c>
      <c r="BV16" s="150" t="s">
        <v>166</v>
      </c>
      <c r="BW16" t="s">
        <v>190</v>
      </c>
      <c r="BX16" t="s">
        <v>191</v>
      </c>
      <c r="BY16" t="s">
        <v>166</v>
      </c>
      <c r="BZ16" t="s">
        <v>166</v>
      </c>
      <c r="CA16" t="s">
        <v>166</v>
      </c>
      <c r="CB16" t="s">
        <v>192</v>
      </c>
      <c r="CC16" t="s">
        <v>166</v>
      </c>
      <c r="CD16" s="153" t="s">
        <v>166</v>
      </c>
      <c r="CE16" t="s">
        <v>312</v>
      </c>
      <c r="CF16" t="s">
        <v>194</v>
      </c>
      <c r="CG16">
        <v>25</v>
      </c>
      <c r="CH16" t="s">
        <v>195</v>
      </c>
      <c r="CI16" t="s">
        <v>195</v>
      </c>
      <c r="CJ16" s="138">
        <v>36.257416966626998</v>
      </c>
      <c r="CK16" t="s">
        <v>196</v>
      </c>
      <c r="CL16">
        <v>1.1755193895990033</v>
      </c>
      <c r="CM16">
        <v>0.92050641995010096</v>
      </c>
      <c r="CN16" s="139">
        <v>5.9307999999999996</v>
      </c>
      <c r="CO16" s="139">
        <f t="shared" si="1"/>
        <v>5.9307999999999996</v>
      </c>
      <c r="CP16" t="s">
        <v>197</v>
      </c>
      <c r="CQ16">
        <v>6.1087239999999996</v>
      </c>
      <c r="CR16">
        <v>5.7528759999999997</v>
      </c>
      <c r="CS16" s="154" t="s">
        <v>198</v>
      </c>
      <c r="CT16" t="s">
        <v>199</v>
      </c>
      <c r="CU16" t="s">
        <v>200</v>
      </c>
      <c r="CV16" t="s">
        <v>199</v>
      </c>
      <c r="CW16" t="s">
        <v>166</v>
      </c>
      <c r="CX16" t="s">
        <v>166</v>
      </c>
      <c r="CY16" t="s">
        <v>201</v>
      </c>
      <c r="CZ16" t="s">
        <v>166</v>
      </c>
      <c r="DA16" t="s">
        <v>166</v>
      </c>
      <c r="DB16" t="s">
        <v>166</v>
      </c>
      <c r="DC16" t="s">
        <v>166</v>
      </c>
      <c r="DD16" t="s">
        <v>166</v>
      </c>
      <c r="DE16" t="s">
        <v>166</v>
      </c>
      <c r="DF16" t="s">
        <v>166</v>
      </c>
      <c r="DG16">
        <v>34.6</v>
      </c>
      <c r="DH16" t="s">
        <v>177</v>
      </c>
      <c r="DI16">
        <v>1</v>
      </c>
      <c r="DJ16" s="155" t="s">
        <v>202</v>
      </c>
      <c r="DK16">
        <v>2.1000000000000001E-2</v>
      </c>
      <c r="DL16" t="s">
        <v>203</v>
      </c>
      <c r="DM16" t="s">
        <v>203</v>
      </c>
      <c r="DN16" t="s">
        <v>204</v>
      </c>
      <c r="DO16">
        <v>4.2000000000000003E-2</v>
      </c>
      <c r="DP16" t="s">
        <v>203</v>
      </c>
      <c r="DQ16" t="s">
        <v>203</v>
      </c>
      <c r="DR16" t="s">
        <v>205</v>
      </c>
      <c r="DS16" t="s">
        <v>206</v>
      </c>
      <c r="DT16" t="s">
        <v>203</v>
      </c>
      <c r="DU16" t="s">
        <v>203</v>
      </c>
      <c r="DV16" t="s">
        <v>203</v>
      </c>
      <c r="DW16" s="138">
        <v>380</v>
      </c>
      <c r="DX16" t="s">
        <v>207</v>
      </c>
      <c r="DY16" s="138">
        <v>10.9</v>
      </c>
      <c r="DZ16" t="s">
        <v>208</v>
      </c>
      <c r="EA16">
        <v>39.299999999999997</v>
      </c>
      <c r="EB16" t="s">
        <v>209</v>
      </c>
      <c r="EC16">
        <v>0.25</v>
      </c>
      <c r="ED16" t="s">
        <v>313</v>
      </c>
      <c r="EE16" t="s">
        <v>210</v>
      </c>
      <c r="EF16" t="s">
        <v>211</v>
      </c>
      <c r="EG16">
        <v>1.0271999999999999</v>
      </c>
      <c r="EH16" t="s">
        <v>195</v>
      </c>
      <c r="EI16" t="s">
        <v>195</v>
      </c>
      <c r="EJ16" t="s">
        <v>212</v>
      </c>
      <c r="EK16" t="s">
        <v>195</v>
      </c>
      <c r="EL16" t="s">
        <v>195</v>
      </c>
      <c r="EM16" t="s">
        <v>213</v>
      </c>
      <c r="EN16" t="s">
        <v>210</v>
      </c>
      <c r="EO16" t="s">
        <v>210</v>
      </c>
      <c r="EP16" t="s">
        <v>210</v>
      </c>
      <c r="EQ16" t="s">
        <v>210</v>
      </c>
      <c r="ER16" t="s">
        <v>210</v>
      </c>
      <c r="ES16" t="s">
        <v>211</v>
      </c>
      <c r="ET16" t="s">
        <v>214</v>
      </c>
      <c r="EU16" t="s">
        <v>215</v>
      </c>
      <c r="EV16" t="s">
        <v>166</v>
      </c>
      <c r="EW16">
        <v>2259</v>
      </c>
      <c r="EX16" t="s">
        <v>216</v>
      </c>
      <c r="EY16">
        <v>100</v>
      </c>
      <c r="EZ16">
        <v>100</v>
      </c>
      <c r="FA16" t="s">
        <v>166</v>
      </c>
      <c r="FB16" t="s">
        <v>166</v>
      </c>
      <c r="FC16" t="s">
        <v>166</v>
      </c>
      <c r="FD16" t="s">
        <v>166</v>
      </c>
      <c r="FE16" s="141">
        <v>7.9292668092539902</v>
      </c>
      <c r="FF16" s="153" t="s">
        <v>217</v>
      </c>
      <c r="FG16" s="141">
        <v>0.11069368984803063</v>
      </c>
      <c r="FH16" s="141">
        <v>9.985757110911031E-2</v>
      </c>
      <c r="FI16" s="142">
        <v>682.57011774623504</v>
      </c>
      <c r="FJ16" s="153" t="s">
        <v>166</v>
      </c>
      <c r="FK16" s="153" t="s">
        <v>314</v>
      </c>
      <c r="FL16" s="142">
        <v>682.57011774623504</v>
      </c>
      <c r="FM16" s="142">
        <v>182.85749846908197</v>
      </c>
      <c r="FN16" s="142">
        <v>157.57977499385606</v>
      </c>
      <c r="FO16" t="s">
        <v>218</v>
      </c>
      <c r="FP16" t="s">
        <v>219</v>
      </c>
      <c r="FQ16" t="s">
        <v>220</v>
      </c>
      <c r="FR16" t="s">
        <v>220</v>
      </c>
      <c r="FS16" t="s">
        <v>220</v>
      </c>
      <c r="FT16" s="142">
        <v>2225.9828968684501</v>
      </c>
      <c r="FU16" s="142">
        <v>102.09464474303968</v>
      </c>
      <c r="FV16" s="142">
        <v>101.07764321885998</v>
      </c>
      <c r="FW16" s="139">
        <v>13.354999836271</v>
      </c>
      <c r="FX16" s="139">
        <v>3.6816200979619982</v>
      </c>
      <c r="FY16" s="139">
        <v>2.7458442133805008</v>
      </c>
      <c r="FZ16" t="s">
        <v>220</v>
      </c>
      <c r="GA16" t="s">
        <v>220</v>
      </c>
      <c r="GB16" t="s">
        <v>220</v>
      </c>
      <c r="GC16" t="s">
        <v>316</v>
      </c>
    </row>
    <row r="17" spans="1:185" ht="17">
      <c r="A17" t="s">
        <v>293</v>
      </c>
      <c r="B17" s="137" t="s">
        <v>294</v>
      </c>
      <c r="C17" t="s">
        <v>167</v>
      </c>
      <c r="D17" t="s">
        <v>295</v>
      </c>
      <c r="E17">
        <v>2019</v>
      </c>
      <c r="F17" t="str">
        <f t="shared" si="2"/>
        <v>10.1073/pnas.1905989116</v>
      </c>
      <c r="G17" s="138">
        <f t="shared" si="3"/>
        <v>65986.3</v>
      </c>
      <c r="H17" s="142">
        <f t="shared" ref="H17:I20" si="5">AVERAGE(88,86)</f>
        <v>87</v>
      </c>
      <c r="I17" s="142">
        <f t="shared" si="5"/>
        <v>87</v>
      </c>
      <c r="J17">
        <v>847.58944444609904</v>
      </c>
      <c r="K17" s="142">
        <v>307.85345006835098</v>
      </c>
      <c r="L17" s="142">
        <v>222.99301727212207</v>
      </c>
      <c r="M17" t="b">
        <v>0</v>
      </c>
      <c r="N17">
        <v>1</v>
      </c>
      <c r="O17" s="163" t="s">
        <v>310</v>
      </c>
      <c r="P17" s="161" t="b">
        <v>0</v>
      </c>
      <c r="Q17" t="b">
        <v>1</v>
      </c>
      <c r="R17" t="s">
        <v>311</v>
      </c>
      <c r="S17" t="b">
        <v>1</v>
      </c>
      <c r="T17" t="b">
        <v>0</v>
      </c>
      <c r="U17" t="s">
        <v>166</v>
      </c>
      <c r="V17" s="161" t="b">
        <v>0</v>
      </c>
      <c r="W17" t="b">
        <v>0</v>
      </c>
      <c r="X17" t="s">
        <v>315</v>
      </c>
      <c r="Y17" s="143" t="s">
        <v>169</v>
      </c>
      <c r="Z17" t="s">
        <v>234</v>
      </c>
      <c r="AA17" t="s">
        <v>276</v>
      </c>
      <c r="AB17" s="144" t="s">
        <v>172</v>
      </c>
      <c r="AC17" s="144">
        <v>25</v>
      </c>
      <c r="AD17" s="144">
        <v>6</v>
      </c>
      <c r="AE17">
        <v>94</v>
      </c>
      <c r="AF17">
        <v>95</v>
      </c>
      <c r="AG17" s="158" t="s">
        <v>284</v>
      </c>
      <c r="AH17" s="158">
        <v>261.42250000000001</v>
      </c>
      <c r="AI17" t="s">
        <v>278</v>
      </c>
      <c r="AJ17" t="s">
        <v>174</v>
      </c>
      <c r="AK17" s="147">
        <v>32.652000000000001</v>
      </c>
      <c r="AL17" s="147">
        <v>158.506</v>
      </c>
      <c r="AM17" s="147">
        <v>10</v>
      </c>
      <c r="AN17" s="147">
        <v>175</v>
      </c>
      <c r="AO17" s="147">
        <v>-2387</v>
      </c>
      <c r="AP17" s="147">
        <v>-2500</v>
      </c>
      <c r="AQ17" s="148" t="s">
        <v>279</v>
      </c>
      <c r="AR17" t="s">
        <v>176</v>
      </c>
      <c r="AS17" s="149">
        <v>65986.3</v>
      </c>
      <c r="AT17" s="150" t="s">
        <v>177</v>
      </c>
      <c r="AU17" t="s">
        <v>166</v>
      </c>
      <c r="AV17" t="s">
        <v>166</v>
      </c>
      <c r="AW17" t="s">
        <v>178</v>
      </c>
      <c r="AX17" t="s">
        <v>280</v>
      </c>
      <c r="AY17" t="s">
        <v>166</v>
      </c>
      <c r="AZ17" t="s">
        <v>166</v>
      </c>
      <c r="BA17" t="s">
        <v>166</v>
      </c>
      <c r="BB17" t="s">
        <v>166</v>
      </c>
      <c r="BC17" t="s">
        <v>166</v>
      </c>
      <c r="BD17" t="s">
        <v>166</v>
      </c>
      <c r="BE17" t="s">
        <v>166</v>
      </c>
      <c r="BF17" t="s">
        <v>166</v>
      </c>
      <c r="BG17" t="s">
        <v>281</v>
      </c>
      <c r="BH17" t="s">
        <v>253</v>
      </c>
      <c r="BI17" t="s">
        <v>237</v>
      </c>
      <c r="BJ17" s="152" t="s">
        <v>183</v>
      </c>
      <c r="BK17" t="s">
        <v>184</v>
      </c>
      <c r="BL17" t="s">
        <v>185</v>
      </c>
      <c r="BM17" t="s">
        <v>186</v>
      </c>
      <c r="BN17" t="s">
        <v>285</v>
      </c>
      <c r="BO17">
        <v>2</v>
      </c>
      <c r="BP17" s="141">
        <v>0.75999999999999979</v>
      </c>
      <c r="BQ17" s="139">
        <v>14.869</v>
      </c>
      <c r="BR17" t="s">
        <v>188</v>
      </c>
      <c r="BS17" s="139">
        <v>0.56000000000000005</v>
      </c>
      <c r="BT17">
        <v>1</v>
      </c>
      <c r="BU17" t="s">
        <v>189</v>
      </c>
      <c r="BV17" s="150" t="s">
        <v>166</v>
      </c>
      <c r="BW17" t="s">
        <v>190</v>
      </c>
      <c r="BX17" t="s">
        <v>191</v>
      </c>
      <c r="BY17" t="s">
        <v>166</v>
      </c>
      <c r="BZ17" t="s">
        <v>166</v>
      </c>
      <c r="CA17" t="s">
        <v>166</v>
      </c>
      <c r="CB17" t="s">
        <v>192</v>
      </c>
      <c r="CC17" t="s">
        <v>166</v>
      </c>
      <c r="CD17" s="153" t="s">
        <v>166</v>
      </c>
      <c r="CE17" t="s">
        <v>312</v>
      </c>
      <c r="CF17" t="s">
        <v>194</v>
      </c>
      <c r="CG17">
        <v>25</v>
      </c>
      <c r="CH17" t="s">
        <v>195</v>
      </c>
      <c r="CI17" t="s">
        <v>195</v>
      </c>
      <c r="CJ17" s="138">
        <v>34.431896056847997</v>
      </c>
      <c r="CK17" t="s">
        <v>196</v>
      </c>
      <c r="CL17">
        <v>1.1728475181254012</v>
      </c>
      <c r="CM17">
        <v>1.0429088109365949</v>
      </c>
      <c r="CN17" s="139">
        <v>5.4119999999999999</v>
      </c>
      <c r="CO17" s="139">
        <f t="shared" si="1"/>
        <v>5.4119999999999999</v>
      </c>
      <c r="CP17" t="s">
        <v>197</v>
      </c>
      <c r="CQ17">
        <v>5.5743599999999995</v>
      </c>
      <c r="CR17">
        <v>5.2496400000000003</v>
      </c>
      <c r="CS17" s="154" t="s">
        <v>198</v>
      </c>
      <c r="CT17" t="s">
        <v>199</v>
      </c>
      <c r="CU17" t="s">
        <v>200</v>
      </c>
      <c r="CV17" t="s">
        <v>199</v>
      </c>
      <c r="CW17" t="s">
        <v>166</v>
      </c>
      <c r="CX17" t="s">
        <v>166</v>
      </c>
      <c r="CY17" t="s">
        <v>201</v>
      </c>
      <c r="CZ17" t="s">
        <v>166</v>
      </c>
      <c r="DA17" t="s">
        <v>166</v>
      </c>
      <c r="DB17" t="s">
        <v>166</v>
      </c>
      <c r="DC17" t="s">
        <v>166</v>
      </c>
      <c r="DD17" t="s">
        <v>166</v>
      </c>
      <c r="DE17" t="s">
        <v>166</v>
      </c>
      <c r="DF17" t="s">
        <v>166</v>
      </c>
      <c r="DG17">
        <v>34.6</v>
      </c>
      <c r="DH17" t="s">
        <v>177</v>
      </c>
      <c r="DI17">
        <v>1</v>
      </c>
      <c r="DJ17" s="155" t="s">
        <v>202</v>
      </c>
      <c r="DK17">
        <v>2.1000000000000001E-2</v>
      </c>
      <c r="DL17" t="s">
        <v>203</v>
      </c>
      <c r="DM17" t="s">
        <v>203</v>
      </c>
      <c r="DN17" t="s">
        <v>204</v>
      </c>
      <c r="DO17">
        <v>4.2000000000000003E-2</v>
      </c>
      <c r="DP17" t="s">
        <v>203</v>
      </c>
      <c r="DQ17" t="s">
        <v>203</v>
      </c>
      <c r="DR17" t="s">
        <v>205</v>
      </c>
      <c r="DS17" t="s">
        <v>206</v>
      </c>
      <c r="DT17" t="s">
        <v>203</v>
      </c>
      <c r="DU17" t="s">
        <v>203</v>
      </c>
      <c r="DV17" t="s">
        <v>203</v>
      </c>
      <c r="DW17" s="138">
        <v>380</v>
      </c>
      <c r="DX17" t="s">
        <v>207</v>
      </c>
      <c r="DY17" s="138">
        <v>10.9</v>
      </c>
      <c r="DZ17" t="s">
        <v>208</v>
      </c>
      <c r="EA17">
        <v>39.299999999999997</v>
      </c>
      <c r="EB17" t="s">
        <v>209</v>
      </c>
      <c r="EC17">
        <v>0.25</v>
      </c>
      <c r="ED17" t="s">
        <v>313</v>
      </c>
      <c r="EE17" t="s">
        <v>210</v>
      </c>
      <c r="EF17" t="s">
        <v>211</v>
      </c>
      <c r="EG17">
        <v>1.0271999999999999</v>
      </c>
      <c r="EH17" t="s">
        <v>195</v>
      </c>
      <c r="EI17" t="s">
        <v>195</v>
      </c>
      <c r="EJ17" t="s">
        <v>212</v>
      </c>
      <c r="EK17" t="s">
        <v>195</v>
      </c>
      <c r="EL17" t="s">
        <v>195</v>
      </c>
      <c r="EM17" t="s">
        <v>213</v>
      </c>
      <c r="EN17" t="s">
        <v>210</v>
      </c>
      <c r="EO17" t="s">
        <v>210</v>
      </c>
      <c r="EP17" t="s">
        <v>210</v>
      </c>
      <c r="EQ17" t="s">
        <v>210</v>
      </c>
      <c r="ER17" t="s">
        <v>210</v>
      </c>
      <c r="ES17" t="s">
        <v>211</v>
      </c>
      <c r="ET17" t="s">
        <v>214</v>
      </c>
      <c r="EU17" t="s">
        <v>215</v>
      </c>
      <c r="EV17" t="s">
        <v>166</v>
      </c>
      <c r="EW17">
        <v>2269</v>
      </c>
      <c r="EX17" t="s">
        <v>216</v>
      </c>
      <c r="EY17">
        <v>100</v>
      </c>
      <c r="EZ17">
        <v>100</v>
      </c>
      <c r="FA17" t="s">
        <v>166</v>
      </c>
      <c r="FB17" t="s">
        <v>166</v>
      </c>
      <c r="FC17" t="s">
        <v>166</v>
      </c>
      <c r="FD17" t="s">
        <v>166</v>
      </c>
      <c r="FE17" s="141">
        <v>7.8386483610844397</v>
      </c>
      <c r="FF17" s="153" t="s">
        <v>217</v>
      </c>
      <c r="FG17" s="141">
        <v>0.13067963795215043</v>
      </c>
      <c r="FH17" s="141">
        <v>0.13056578627118931</v>
      </c>
      <c r="FI17" s="142">
        <v>847.58944444609904</v>
      </c>
      <c r="FJ17" s="153" t="s">
        <v>166</v>
      </c>
      <c r="FK17" s="153" t="s">
        <v>314</v>
      </c>
      <c r="FL17" s="142">
        <v>847.58944444609904</v>
      </c>
      <c r="FM17" s="142">
        <v>307.85345006835098</v>
      </c>
      <c r="FN17" s="142">
        <v>222.99301727212207</v>
      </c>
      <c r="FO17" t="s">
        <v>218</v>
      </c>
      <c r="FP17" t="s">
        <v>219</v>
      </c>
      <c r="FQ17" t="s">
        <v>220</v>
      </c>
      <c r="FR17" t="s">
        <v>220</v>
      </c>
      <c r="FS17" t="s">
        <v>220</v>
      </c>
      <c r="FT17" s="142">
        <v>2269.24214357132</v>
      </c>
      <c r="FU17" s="142">
        <v>103.40859216482022</v>
      </c>
      <c r="FV17" s="142">
        <v>100.86954678205984</v>
      </c>
      <c r="FW17" s="139">
        <v>10.613633634204</v>
      </c>
      <c r="FX17" s="139">
        <v>3.6207754472344007</v>
      </c>
      <c r="FY17" s="139">
        <v>2.7588471503807392</v>
      </c>
      <c r="FZ17" t="s">
        <v>220</v>
      </c>
      <c r="GA17" t="s">
        <v>220</v>
      </c>
      <c r="GB17" t="s">
        <v>220</v>
      </c>
      <c r="GC17" t="s">
        <v>316</v>
      </c>
    </row>
    <row r="18" spans="1:185" ht="17">
      <c r="A18" t="s">
        <v>293</v>
      </c>
      <c r="B18" s="137" t="s">
        <v>294</v>
      </c>
      <c r="C18" t="s">
        <v>167</v>
      </c>
      <c r="D18" t="s">
        <v>295</v>
      </c>
      <c r="E18">
        <v>2019</v>
      </c>
      <c r="F18" t="str">
        <f t="shared" si="2"/>
        <v>10.1073/pnas.1905989116</v>
      </c>
      <c r="G18" s="138">
        <f t="shared" si="3"/>
        <v>65921.2</v>
      </c>
      <c r="H18" s="142">
        <f t="shared" si="5"/>
        <v>87</v>
      </c>
      <c r="I18" s="142">
        <f t="shared" si="5"/>
        <v>87</v>
      </c>
      <c r="J18">
        <v>1055.7616485763299</v>
      </c>
      <c r="K18" s="142">
        <v>311.55331363840014</v>
      </c>
      <c r="L18" s="142">
        <v>249.4241312798639</v>
      </c>
      <c r="M18" t="b">
        <v>0</v>
      </c>
      <c r="N18">
        <v>1</v>
      </c>
      <c r="O18" s="163" t="s">
        <v>310</v>
      </c>
      <c r="P18" s="161" t="b">
        <v>0</v>
      </c>
      <c r="Q18" t="b">
        <v>1</v>
      </c>
      <c r="R18" t="s">
        <v>311</v>
      </c>
      <c r="S18" t="b">
        <v>1</v>
      </c>
      <c r="T18" t="b">
        <v>0</v>
      </c>
      <c r="U18" t="s">
        <v>166</v>
      </c>
      <c r="V18" s="161" t="b">
        <v>0</v>
      </c>
      <c r="W18" t="b">
        <v>0</v>
      </c>
      <c r="X18" t="s">
        <v>315</v>
      </c>
      <c r="Y18" s="143" t="s">
        <v>169</v>
      </c>
      <c r="Z18" t="s">
        <v>234</v>
      </c>
      <c r="AA18" s="140" t="s">
        <v>276</v>
      </c>
      <c r="AB18" s="144" t="s">
        <v>172</v>
      </c>
      <c r="AC18" s="144">
        <v>25</v>
      </c>
      <c r="AD18" s="144">
        <v>6</v>
      </c>
      <c r="AE18">
        <v>60</v>
      </c>
      <c r="AF18">
        <v>62</v>
      </c>
      <c r="AG18" s="158" t="s">
        <v>286</v>
      </c>
      <c r="AH18" s="146">
        <v>261.08</v>
      </c>
      <c r="AI18" t="s">
        <v>278</v>
      </c>
      <c r="AJ18" t="s">
        <v>174</v>
      </c>
      <c r="AK18" s="147">
        <v>32.652000000000001</v>
      </c>
      <c r="AL18" s="147">
        <v>158.506</v>
      </c>
      <c r="AM18" s="147">
        <v>10</v>
      </c>
      <c r="AN18" s="147">
        <v>175</v>
      </c>
      <c r="AO18" s="147">
        <v>-2387</v>
      </c>
      <c r="AP18" s="147">
        <v>-2500</v>
      </c>
      <c r="AQ18" s="148" t="s">
        <v>279</v>
      </c>
      <c r="AR18" t="s">
        <v>176</v>
      </c>
      <c r="AS18" s="149">
        <v>65921.2</v>
      </c>
      <c r="AT18" s="150" t="s">
        <v>177</v>
      </c>
      <c r="AU18" t="s">
        <v>166</v>
      </c>
      <c r="AV18" t="s">
        <v>166</v>
      </c>
      <c r="AW18" t="s">
        <v>178</v>
      </c>
      <c r="AX18" t="s">
        <v>280</v>
      </c>
      <c r="AY18" t="s">
        <v>166</v>
      </c>
      <c r="AZ18" t="s">
        <v>166</v>
      </c>
      <c r="BA18" t="s">
        <v>166</v>
      </c>
      <c r="BB18" t="s">
        <v>166</v>
      </c>
      <c r="BC18" t="s">
        <v>166</v>
      </c>
      <c r="BD18" t="s">
        <v>166</v>
      </c>
      <c r="BE18" t="s">
        <v>166</v>
      </c>
      <c r="BF18" t="s">
        <v>166</v>
      </c>
      <c r="BG18" t="s">
        <v>281</v>
      </c>
      <c r="BH18" t="s">
        <v>236</v>
      </c>
      <c r="BI18" t="s">
        <v>237</v>
      </c>
      <c r="BJ18" s="152" t="s">
        <v>183</v>
      </c>
      <c r="BK18" t="s">
        <v>184</v>
      </c>
      <c r="BL18" t="s">
        <v>185</v>
      </c>
      <c r="BM18" t="s">
        <v>186</v>
      </c>
      <c r="BN18" t="s">
        <v>287</v>
      </c>
      <c r="BO18">
        <v>2</v>
      </c>
      <c r="BP18">
        <v>0.49000000000000021</v>
      </c>
      <c r="BQ18" s="139">
        <v>14.42</v>
      </c>
      <c r="BR18" t="s">
        <v>188</v>
      </c>
      <c r="BS18" s="139">
        <v>0.24</v>
      </c>
      <c r="BT18">
        <v>1</v>
      </c>
      <c r="BU18" t="s">
        <v>189</v>
      </c>
      <c r="BV18" s="150" t="s">
        <v>166</v>
      </c>
      <c r="BW18" t="s">
        <v>190</v>
      </c>
      <c r="BX18" t="s">
        <v>191</v>
      </c>
      <c r="BY18" t="s">
        <v>166</v>
      </c>
      <c r="BZ18" t="s">
        <v>166</v>
      </c>
      <c r="CA18" t="s">
        <v>166</v>
      </c>
      <c r="CB18" t="s">
        <v>192</v>
      </c>
      <c r="CC18" t="s">
        <v>166</v>
      </c>
      <c r="CD18" s="153" t="s">
        <v>166</v>
      </c>
      <c r="CE18" t="s">
        <v>312</v>
      </c>
      <c r="CF18" t="s">
        <v>194</v>
      </c>
      <c r="CG18">
        <v>25</v>
      </c>
      <c r="CH18" t="s">
        <v>195</v>
      </c>
      <c r="CI18" t="s">
        <v>195</v>
      </c>
      <c r="CJ18" s="138">
        <v>34.547831545718402</v>
      </c>
      <c r="CK18" t="s">
        <v>196</v>
      </c>
      <c r="CL18">
        <v>1.0243559935174957</v>
      </c>
      <c r="CM18">
        <v>0.95452347597050391</v>
      </c>
      <c r="CN18" s="139">
        <v>5.7202000000000002</v>
      </c>
      <c r="CO18" s="139">
        <f t="shared" si="1"/>
        <v>5.7202000000000002</v>
      </c>
      <c r="CP18" t="s">
        <v>197</v>
      </c>
      <c r="CQ18">
        <v>5.8918059999999999</v>
      </c>
      <c r="CR18">
        <v>5.5485940000000005</v>
      </c>
      <c r="CS18" s="154" t="s">
        <v>198</v>
      </c>
      <c r="CT18" t="s">
        <v>199</v>
      </c>
      <c r="CU18" t="s">
        <v>200</v>
      </c>
      <c r="CV18" t="s">
        <v>199</v>
      </c>
      <c r="CW18" t="s">
        <v>166</v>
      </c>
      <c r="CX18" t="s">
        <v>166</v>
      </c>
      <c r="CY18" t="s">
        <v>201</v>
      </c>
      <c r="CZ18" t="s">
        <v>166</v>
      </c>
      <c r="DA18" t="s">
        <v>166</v>
      </c>
      <c r="DB18" t="s">
        <v>166</v>
      </c>
      <c r="DC18" t="s">
        <v>166</v>
      </c>
      <c r="DD18" t="s">
        <v>166</v>
      </c>
      <c r="DE18" t="s">
        <v>166</v>
      </c>
      <c r="DF18" t="s">
        <v>166</v>
      </c>
      <c r="DG18">
        <v>34.6</v>
      </c>
      <c r="DH18" t="s">
        <v>177</v>
      </c>
      <c r="DI18">
        <v>1</v>
      </c>
      <c r="DJ18" s="155" t="s">
        <v>202</v>
      </c>
      <c r="DK18">
        <v>2.1000000000000001E-2</v>
      </c>
      <c r="DL18" t="s">
        <v>203</v>
      </c>
      <c r="DM18" t="s">
        <v>203</v>
      </c>
      <c r="DN18" t="s">
        <v>204</v>
      </c>
      <c r="DO18">
        <v>4.2000000000000003E-2</v>
      </c>
      <c r="DP18" t="s">
        <v>203</v>
      </c>
      <c r="DQ18" t="s">
        <v>203</v>
      </c>
      <c r="DR18" t="s">
        <v>205</v>
      </c>
      <c r="DS18" t="s">
        <v>206</v>
      </c>
      <c r="DT18" t="s">
        <v>203</v>
      </c>
      <c r="DU18" t="s">
        <v>203</v>
      </c>
      <c r="DV18" t="s">
        <v>203</v>
      </c>
      <c r="DW18" s="138">
        <v>380</v>
      </c>
      <c r="DX18" t="s">
        <v>207</v>
      </c>
      <c r="DY18" s="138">
        <v>10.9</v>
      </c>
      <c r="DZ18" t="s">
        <v>208</v>
      </c>
      <c r="EA18">
        <v>39.299999999999997</v>
      </c>
      <c r="EB18" t="s">
        <v>209</v>
      </c>
      <c r="EC18">
        <v>0.25</v>
      </c>
      <c r="ED18" t="s">
        <v>313</v>
      </c>
      <c r="EE18" t="s">
        <v>210</v>
      </c>
      <c r="EF18" t="s">
        <v>211</v>
      </c>
      <c r="EG18">
        <v>1.0271999999999999</v>
      </c>
      <c r="EH18" t="s">
        <v>195</v>
      </c>
      <c r="EI18" t="s">
        <v>195</v>
      </c>
      <c r="EJ18" t="s">
        <v>212</v>
      </c>
      <c r="EK18" t="s">
        <v>195</v>
      </c>
      <c r="EL18" t="s">
        <v>195</v>
      </c>
      <c r="EM18" t="s">
        <v>213</v>
      </c>
      <c r="EN18" t="s">
        <v>210</v>
      </c>
      <c r="EO18" t="s">
        <v>210</v>
      </c>
      <c r="EP18" t="s">
        <v>210</v>
      </c>
      <c r="EQ18" t="s">
        <v>210</v>
      </c>
      <c r="ER18" t="s">
        <v>210</v>
      </c>
      <c r="ES18" t="s">
        <v>211</v>
      </c>
      <c r="ET18" t="s">
        <v>214</v>
      </c>
      <c r="EU18" t="s">
        <v>215</v>
      </c>
      <c r="EV18" t="s">
        <v>166</v>
      </c>
      <c r="EW18">
        <v>2303</v>
      </c>
      <c r="EX18" t="s">
        <v>216</v>
      </c>
      <c r="EY18">
        <v>100</v>
      </c>
      <c r="EZ18">
        <v>100</v>
      </c>
      <c r="FA18" t="s">
        <v>166</v>
      </c>
      <c r="FB18" t="s">
        <v>166</v>
      </c>
      <c r="FC18" t="s">
        <v>166</v>
      </c>
      <c r="FD18" t="s">
        <v>166</v>
      </c>
      <c r="FE18" s="141">
        <v>7.76205108703736</v>
      </c>
      <c r="FF18" s="153" t="s">
        <v>217</v>
      </c>
      <c r="FG18" s="141">
        <v>0.11513830728530028</v>
      </c>
      <c r="FH18" s="141">
        <v>0.11044073375509011</v>
      </c>
      <c r="FI18" s="142">
        <v>1055.7616485763299</v>
      </c>
      <c r="FJ18" s="153" t="s">
        <v>166</v>
      </c>
      <c r="FK18" s="153" t="s">
        <v>314</v>
      </c>
      <c r="FL18" s="142">
        <v>1055.7616485763299</v>
      </c>
      <c r="FM18" s="142">
        <v>311.55331363840014</v>
      </c>
      <c r="FN18" s="142">
        <v>249.4241312798639</v>
      </c>
      <c r="FO18" t="s">
        <v>218</v>
      </c>
      <c r="FP18" t="s">
        <v>219</v>
      </c>
      <c r="FQ18" t="s">
        <v>220</v>
      </c>
      <c r="FR18" t="s">
        <v>220</v>
      </c>
      <c r="FS18" t="s">
        <v>220</v>
      </c>
      <c r="FT18" s="142">
        <v>2370.4433340024798</v>
      </c>
      <c r="FU18" s="142">
        <v>100.64160707511019</v>
      </c>
      <c r="FV18" s="142">
        <v>99.002295667979979</v>
      </c>
      <c r="FW18" s="139">
        <v>9.4710430393235505</v>
      </c>
      <c r="FX18" s="139">
        <v>2.8799514663545498</v>
      </c>
      <c r="FY18" s="139">
        <v>2.1617760557852908</v>
      </c>
      <c r="FZ18" t="s">
        <v>220</v>
      </c>
      <c r="GA18" t="s">
        <v>220</v>
      </c>
      <c r="GB18" t="s">
        <v>220</v>
      </c>
      <c r="GC18" t="s">
        <v>316</v>
      </c>
    </row>
    <row r="19" spans="1:185" ht="17">
      <c r="A19" t="s">
        <v>293</v>
      </c>
      <c r="B19" s="137" t="s">
        <v>294</v>
      </c>
      <c r="C19" t="s">
        <v>167</v>
      </c>
      <c r="D19" t="s">
        <v>295</v>
      </c>
      <c r="E19">
        <v>2019</v>
      </c>
      <c r="F19" t="str">
        <f t="shared" si="2"/>
        <v>10.1073/pnas.1905989116</v>
      </c>
      <c r="G19" s="138">
        <f t="shared" si="3"/>
        <v>65957</v>
      </c>
      <c r="H19" s="142">
        <f t="shared" si="5"/>
        <v>87</v>
      </c>
      <c r="I19" s="142">
        <f t="shared" si="5"/>
        <v>87</v>
      </c>
      <c r="J19">
        <v>1159.2255433415801</v>
      </c>
      <c r="K19" s="142">
        <v>379.41643672198984</v>
      </c>
      <c r="L19" s="142">
        <v>288.81018554250511</v>
      </c>
      <c r="M19" t="b">
        <v>0</v>
      </c>
      <c r="N19">
        <v>1</v>
      </c>
      <c r="O19" s="163" t="s">
        <v>310</v>
      </c>
      <c r="P19" s="161" t="b">
        <v>0</v>
      </c>
      <c r="Q19" t="b">
        <v>1</v>
      </c>
      <c r="R19" t="s">
        <v>311</v>
      </c>
      <c r="S19" t="b">
        <v>1</v>
      </c>
      <c r="T19" t="b">
        <v>0</v>
      </c>
      <c r="U19" t="s">
        <v>166</v>
      </c>
      <c r="V19" s="161" t="b">
        <v>0</v>
      </c>
      <c r="W19" t="b">
        <v>0</v>
      </c>
      <c r="X19" t="s">
        <v>315</v>
      </c>
      <c r="Y19" s="143" t="s">
        <v>169</v>
      </c>
      <c r="Z19" t="s">
        <v>234</v>
      </c>
      <c r="AA19" s="140" t="s">
        <v>276</v>
      </c>
      <c r="AB19" s="144" t="s">
        <v>172</v>
      </c>
      <c r="AC19" s="144">
        <v>25</v>
      </c>
      <c r="AD19" s="144">
        <v>6</v>
      </c>
      <c r="AE19">
        <v>78</v>
      </c>
      <c r="AF19">
        <v>80</v>
      </c>
      <c r="AG19" s="158" t="s">
        <v>288</v>
      </c>
      <c r="AH19" s="158">
        <v>261.26</v>
      </c>
      <c r="AI19" t="s">
        <v>278</v>
      </c>
      <c r="AJ19" t="s">
        <v>174</v>
      </c>
      <c r="AK19" s="147">
        <v>32.652000000000001</v>
      </c>
      <c r="AL19" s="147">
        <v>158.506</v>
      </c>
      <c r="AM19" s="147">
        <v>10</v>
      </c>
      <c r="AN19" s="147">
        <v>175</v>
      </c>
      <c r="AO19" s="147">
        <v>-2387</v>
      </c>
      <c r="AP19" s="147">
        <v>-2500</v>
      </c>
      <c r="AQ19" s="148" t="s">
        <v>279</v>
      </c>
      <c r="AR19" t="s">
        <v>176</v>
      </c>
      <c r="AS19" s="149">
        <v>65957</v>
      </c>
      <c r="AT19" s="150" t="s">
        <v>177</v>
      </c>
      <c r="AU19" t="s">
        <v>166</v>
      </c>
      <c r="AV19" t="s">
        <v>166</v>
      </c>
      <c r="AW19" t="s">
        <v>178</v>
      </c>
      <c r="AX19" t="s">
        <v>280</v>
      </c>
      <c r="AY19" t="s">
        <v>166</v>
      </c>
      <c r="AZ19" t="s">
        <v>166</v>
      </c>
      <c r="BA19" t="s">
        <v>166</v>
      </c>
      <c r="BB19" t="s">
        <v>166</v>
      </c>
      <c r="BC19" t="s">
        <v>166</v>
      </c>
      <c r="BD19" t="s">
        <v>166</v>
      </c>
      <c r="BE19" t="s">
        <v>166</v>
      </c>
      <c r="BF19" t="s">
        <v>166</v>
      </c>
      <c r="BG19" t="s">
        <v>281</v>
      </c>
      <c r="BH19" t="s">
        <v>236</v>
      </c>
      <c r="BI19" t="s">
        <v>237</v>
      </c>
      <c r="BJ19" s="152" t="s">
        <v>183</v>
      </c>
      <c r="BK19" t="s">
        <v>184</v>
      </c>
      <c r="BL19" t="s">
        <v>185</v>
      </c>
      <c r="BM19" t="s">
        <v>186</v>
      </c>
      <c r="BN19" t="s">
        <v>289</v>
      </c>
      <c r="BO19">
        <v>2</v>
      </c>
      <c r="BP19">
        <v>0.12</v>
      </c>
      <c r="BQ19" s="139">
        <v>14.14</v>
      </c>
      <c r="BR19" t="s">
        <v>188</v>
      </c>
      <c r="BS19" s="139">
        <v>0.32</v>
      </c>
      <c r="BT19">
        <v>1</v>
      </c>
      <c r="BU19" t="s">
        <v>189</v>
      </c>
      <c r="BV19" s="150" t="s">
        <v>166</v>
      </c>
      <c r="BW19" t="s">
        <v>190</v>
      </c>
      <c r="BX19" t="s">
        <v>191</v>
      </c>
      <c r="BY19" t="s">
        <v>166</v>
      </c>
      <c r="BZ19" t="s">
        <v>166</v>
      </c>
      <c r="CA19" t="s">
        <v>166</v>
      </c>
      <c r="CB19" t="s">
        <v>192</v>
      </c>
      <c r="CC19" t="s">
        <v>166</v>
      </c>
      <c r="CD19" s="153" t="s">
        <v>166</v>
      </c>
      <c r="CE19" t="s">
        <v>312</v>
      </c>
      <c r="CF19" t="s">
        <v>194</v>
      </c>
      <c r="CG19">
        <v>25</v>
      </c>
      <c r="CH19" t="s">
        <v>195</v>
      </c>
      <c r="CI19" t="s">
        <v>195</v>
      </c>
      <c r="CJ19" s="138">
        <v>34.0801981507704</v>
      </c>
      <c r="CK19" t="s">
        <v>196</v>
      </c>
      <c r="CL19">
        <v>1.0084057535717008</v>
      </c>
      <c r="CM19">
        <v>1.0666698563065964</v>
      </c>
      <c r="CN19" s="139">
        <v>5.6608000000000001</v>
      </c>
      <c r="CO19" s="139">
        <f t="shared" si="1"/>
        <v>5.6608000000000001</v>
      </c>
      <c r="CP19" t="s">
        <v>197</v>
      </c>
      <c r="CQ19">
        <v>5.8306240000000003</v>
      </c>
      <c r="CR19">
        <v>5.4909759999999999</v>
      </c>
      <c r="CS19" s="154" t="s">
        <v>198</v>
      </c>
      <c r="CT19" t="s">
        <v>199</v>
      </c>
      <c r="CU19" t="s">
        <v>200</v>
      </c>
      <c r="CV19" t="s">
        <v>199</v>
      </c>
      <c r="CW19" t="s">
        <v>166</v>
      </c>
      <c r="CX19" t="s">
        <v>166</v>
      </c>
      <c r="CY19" t="s">
        <v>201</v>
      </c>
      <c r="CZ19" t="s">
        <v>166</v>
      </c>
      <c r="DA19" t="s">
        <v>166</v>
      </c>
      <c r="DB19" t="s">
        <v>166</v>
      </c>
      <c r="DC19" t="s">
        <v>166</v>
      </c>
      <c r="DD19" t="s">
        <v>166</v>
      </c>
      <c r="DE19" t="s">
        <v>166</v>
      </c>
      <c r="DF19" t="s">
        <v>166</v>
      </c>
      <c r="DG19">
        <v>34.6</v>
      </c>
      <c r="DH19" t="s">
        <v>177</v>
      </c>
      <c r="DI19">
        <v>1</v>
      </c>
      <c r="DJ19" s="155" t="s">
        <v>202</v>
      </c>
      <c r="DK19">
        <v>2.1000000000000001E-2</v>
      </c>
      <c r="DL19" t="s">
        <v>203</v>
      </c>
      <c r="DM19" t="s">
        <v>203</v>
      </c>
      <c r="DN19" t="s">
        <v>204</v>
      </c>
      <c r="DO19">
        <v>4.2000000000000003E-2</v>
      </c>
      <c r="DP19" t="s">
        <v>203</v>
      </c>
      <c r="DQ19" t="s">
        <v>203</v>
      </c>
      <c r="DR19" t="s">
        <v>205</v>
      </c>
      <c r="DS19" t="s">
        <v>206</v>
      </c>
      <c r="DT19" t="s">
        <v>203</v>
      </c>
      <c r="DU19" t="s">
        <v>203</v>
      </c>
      <c r="DV19" t="s">
        <v>203</v>
      </c>
      <c r="DW19" s="138">
        <v>380</v>
      </c>
      <c r="DX19" t="s">
        <v>207</v>
      </c>
      <c r="DY19" s="138">
        <v>10.9</v>
      </c>
      <c r="DZ19" t="s">
        <v>208</v>
      </c>
      <c r="EA19">
        <v>39.299999999999997</v>
      </c>
      <c r="EB19" t="s">
        <v>209</v>
      </c>
      <c r="EC19">
        <v>0.25</v>
      </c>
      <c r="ED19" t="s">
        <v>313</v>
      </c>
      <c r="EE19" t="s">
        <v>210</v>
      </c>
      <c r="EF19" t="s">
        <v>211</v>
      </c>
      <c r="EG19">
        <v>1.0271999999999999</v>
      </c>
      <c r="EH19" t="s">
        <v>195</v>
      </c>
      <c r="EI19" t="s">
        <v>195</v>
      </c>
      <c r="EJ19" t="s">
        <v>212</v>
      </c>
      <c r="EK19" t="s">
        <v>195</v>
      </c>
      <c r="EL19" t="s">
        <v>195</v>
      </c>
      <c r="EM19" t="s">
        <v>213</v>
      </c>
      <c r="EN19" t="s">
        <v>210</v>
      </c>
      <c r="EO19" t="s">
        <v>210</v>
      </c>
      <c r="EP19" t="s">
        <v>210</v>
      </c>
      <c r="EQ19" t="s">
        <v>210</v>
      </c>
      <c r="ER19" t="s">
        <v>210</v>
      </c>
      <c r="ES19" t="s">
        <v>211</v>
      </c>
      <c r="ET19" t="s">
        <v>214</v>
      </c>
      <c r="EU19" t="s">
        <v>215</v>
      </c>
      <c r="EV19" t="s">
        <v>166</v>
      </c>
      <c r="EW19">
        <v>2285</v>
      </c>
      <c r="EX19" t="s">
        <v>216</v>
      </c>
      <c r="EY19">
        <v>100</v>
      </c>
      <c r="EZ19">
        <v>100</v>
      </c>
      <c r="FA19" t="s">
        <v>166</v>
      </c>
      <c r="FB19" t="s">
        <v>166</v>
      </c>
      <c r="FC19" t="s">
        <v>166</v>
      </c>
      <c r="FD19" t="s">
        <v>166</v>
      </c>
      <c r="FE19" s="141">
        <v>7.7139980937594901</v>
      </c>
      <c r="FF19" s="153" t="s">
        <v>217</v>
      </c>
      <c r="FG19" s="141">
        <v>0.12219612826164994</v>
      </c>
      <c r="FH19" s="141">
        <v>0.11978604326584019</v>
      </c>
      <c r="FI19" s="142">
        <v>1159.2255433415801</v>
      </c>
      <c r="FJ19" s="153" t="s">
        <v>166</v>
      </c>
      <c r="FK19" s="153" t="s">
        <v>314</v>
      </c>
      <c r="FL19" s="142">
        <v>1159.2255433415801</v>
      </c>
      <c r="FM19" s="142">
        <v>379.41643672198984</v>
      </c>
      <c r="FN19" s="142">
        <v>288.81018554250511</v>
      </c>
      <c r="FO19" t="s">
        <v>218</v>
      </c>
      <c r="FP19" t="s">
        <v>219</v>
      </c>
      <c r="FQ19" t="s">
        <v>220</v>
      </c>
      <c r="FR19" t="s">
        <v>220</v>
      </c>
      <c r="FS19" t="s">
        <v>220</v>
      </c>
      <c r="FT19" s="142">
        <v>2338.86123054683</v>
      </c>
      <c r="FU19" s="142">
        <v>101.01412677848975</v>
      </c>
      <c r="FV19" s="142">
        <v>103.40527200875022</v>
      </c>
      <c r="FW19" s="139">
        <v>8.2818239859760094</v>
      </c>
      <c r="FX19" s="139">
        <v>2.7243560988699898</v>
      </c>
      <c r="FY19" s="139">
        <v>2.0644343799758698</v>
      </c>
      <c r="FZ19" t="s">
        <v>220</v>
      </c>
      <c r="GA19" t="s">
        <v>220</v>
      </c>
      <c r="GB19" t="s">
        <v>220</v>
      </c>
      <c r="GC19" t="s">
        <v>316</v>
      </c>
    </row>
    <row r="20" spans="1:185" ht="17">
      <c r="A20" t="s">
        <v>293</v>
      </c>
      <c r="B20" s="137" t="s">
        <v>294</v>
      </c>
      <c r="C20" t="s">
        <v>167</v>
      </c>
      <c r="D20" t="s">
        <v>295</v>
      </c>
      <c r="E20">
        <v>2019</v>
      </c>
      <c r="F20" t="str">
        <f t="shared" si="2"/>
        <v>10.1073/pnas.1905989116</v>
      </c>
      <c r="G20" s="138">
        <f t="shared" si="3"/>
        <v>65614.099999999991</v>
      </c>
      <c r="H20" s="142">
        <f t="shared" si="5"/>
        <v>87</v>
      </c>
      <c r="I20" s="142">
        <f t="shared" si="5"/>
        <v>87</v>
      </c>
      <c r="J20">
        <v>1555.9187519473701</v>
      </c>
      <c r="K20" s="142">
        <v>702.0344018517801</v>
      </c>
      <c r="L20" s="142">
        <v>450.79250729883006</v>
      </c>
      <c r="M20" t="b">
        <v>0</v>
      </c>
      <c r="N20">
        <v>1</v>
      </c>
      <c r="O20" s="163" t="s">
        <v>310</v>
      </c>
      <c r="P20" s="161" t="b">
        <v>0</v>
      </c>
      <c r="Q20" t="b">
        <v>1</v>
      </c>
      <c r="R20" t="s">
        <v>311</v>
      </c>
      <c r="S20" t="b">
        <v>1</v>
      </c>
      <c r="T20" t="b">
        <v>0</v>
      </c>
      <c r="U20" t="s">
        <v>166</v>
      </c>
      <c r="V20" s="161" t="b">
        <v>0</v>
      </c>
      <c r="W20" t="b">
        <v>0</v>
      </c>
      <c r="X20" t="s">
        <v>315</v>
      </c>
      <c r="Y20" s="143" t="s">
        <v>169</v>
      </c>
      <c r="Z20" t="s">
        <v>234</v>
      </c>
      <c r="AA20" s="140" t="s">
        <v>276</v>
      </c>
      <c r="AB20" s="144" t="s">
        <v>172</v>
      </c>
      <c r="AC20" s="144">
        <v>25</v>
      </c>
      <c r="AD20" s="144">
        <v>5</v>
      </c>
      <c r="AE20">
        <v>94</v>
      </c>
      <c r="AF20">
        <v>95</v>
      </c>
      <c r="AG20" s="158" t="s">
        <v>290</v>
      </c>
      <c r="AH20" s="146">
        <v>259.92250000000001</v>
      </c>
      <c r="AI20" t="s">
        <v>278</v>
      </c>
      <c r="AJ20" t="s">
        <v>174</v>
      </c>
      <c r="AK20" s="147">
        <v>32.652000000000001</v>
      </c>
      <c r="AL20" s="147">
        <v>158.506</v>
      </c>
      <c r="AM20" s="147">
        <v>10</v>
      </c>
      <c r="AN20" s="147">
        <v>175</v>
      </c>
      <c r="AO20" s="147">
        <v>-2387</v>
      </c>
      <c r="AP20" s="147">
        <v>-2500</v>
      </c>
      <c r="AQ20" s="148" t="s">
        <v>279</v>
      </c>
      <c r="AR20" t="s">
        <v>176</v>
      </c>
      <c r="AS20" s="149">
        <v>65614.099999999991</v>
      </c>
      <c r="AT20" s="150" t="s">
        <v>177</v>
      </c>
      <c r="AU20" t="s">
        <v>166</v>
      </c>
      <c r="AV20" t="s">
        <v>166</v>
      </c>
      <c r="AW20" t="s">
        <v>178</v>
      </c>
      <c r="AX20" t="s">
        <v>280</v>
      </c>
      <c r="AY20" t="s">
        <v>166</v>
      </c>
      <c r="AZ20" t="s">
        <v>166</v>
      </c>
      <c r="BA20" t="s">
        <v>166</v>
      </c>
      <c r="BB20" t="s">
        <v>166</v>
      </c>
      <c r="BC20" t="s">
        <v>166</v>
      </c>
      <c r="BD20" t="s">
        <v>166</v>
      </c>
      <c r="BE20" t="s">
        <v>166</v>
      </c>
      <c r="BF20" t="s">
        <v>166</v>
      </c>
      <c r="BG20" t="s">
        <v>281</v>
      </c>
      <c r="BH20" t="s">
        <v>291</v>
      </c>
      <c r="BI20" t="s">
        <v>237</v>
      </c>
      <c r="BJ20" s="152" t="s">
        <v>183</v>
      </c>
      <c r="BK20" t="s">
        <v>184</v>
      </c>
      <c r="BL20" t="s">
        <v>185</v>
      </c>
      <c r="BM20" t="s">
        <v>186</v>
      </c>
      <c r="BN20" t="s">
        <v>292</v>
      </c>
      <c r="BO20">
        <v>2</v>
      </c>
      <c r="BP20" s="141">
        <v>0.56000000000000005</v>
      </c>
      <c r="BQ20" s="139">
        <v>13.83</v>
      </c>
      <c r="BR20" t="s">
        <v>188</v>
      </c>
      <c r="BS20" s="139">
        <v>0.5</v>
      </c>
      <c r="BT20">
        <v>1</v>
      </c>
      <c r="BU20" t="s">
        <v>189</v>
      </c>
      <c r="BV20" s="150" t="s">
        <v>166</v>
      </c>
      <c r="BW20" t="s">
        <v>190</v>
      </c>
      <c r="BX20" t="s">
        <v>191</v>
      </c>
      <c r="BY20" t="s">
        <v>166</v>
      </c>
      <c r="BZ20" t="s">
        <v>166</v>
      </c>
      <c r="CA20" t="s">
        <v>166</v>
      </c>
      <c r="CB20" t="s">
        <v>192</v>
      </c>
      <c r="CC20" t="s">
        <v>166</v>
      </c>
      <c r="CD20" s="153" t="s">
        <v>166</v>
      </c>
      <c r="CE20" t="s">
        <v>312</v>
      </c>
      <c r="CF20" t="s">
        <v>194</v>
      </c>
      <c r="CG20">
        <v>25</v>
      </c>
      <c r="CH20" t="s">
        <v>195</v>
      </c>
      <c r="CI20" t="s">
        <v>195</v>
      </c>
      <c r="CJ20" s="138">
        <v>33.601297993016999</v>
      </c>
      <c r="CK20" t="s">
        <v>196</v>
      </c>
      <c r="CL20">
        <v>1.1888658406755042</v>
      </c>
      <c r="CM20">
        <v>1.2780353055376992</v>
      </c>
      <c r="CN20" s="139">
        <v>5.6315999999999997</v>
      </c>
      <c r="CO20" s="139">
        <f t="shared" si="1"/>
        <v>5.6315999999999997</v>
      </c>
      <c r="CP20" t="s">
        <v>197</v>
      </c>
      <c r="CQ20">
        <v>5.800548</v>
      </c>
      <c r="CR20">
        <v>5.4626519999999994</v>
      </c>
      <c r="CS20" s="154" t="s">
        <v>198</v>
      </c>
      <c r="CT20" t="s">
        <v>199</v>
      </c>
      <c r="CU20" t="s">
        <v>200</v>
      </c>
      <c r="CV20" t="s">
        <v>199</v>
      </c>
      <c r="CW20" t="s">
        <v>166</v>
      </c>
      <c r="CX20" t="s">
        <v>166</v>
      </c>
      <c r="CY20" t="s">
        <v>201</v>
      </c>
      <c r="CZ20" t="s">
        <v>166</v>
      </c>
      <c r="DA20" t="s">
        <v>166</v>
      </c>
      <c r="DB20" t="s">
        <v>166</v>
      </c>
      <c r="DC20" t="s">
        <v>166</v>
      </c>
      <c r="DD20" t="s">
        <v>166</v>
      </c>
      <c r="DE20" t="s">
        <v>166</v>
      </c>
      <c r="DF20" t="s">
        <v>166</v>
      </c>
      <c r="DG20">
        <v>34.6</v>
      </c>
      <c r="DH20" t="s">
        <v>177</v>
      </c>
      <c r="DI20">
        <v>1</v>
      </c>
      <c r="DJ20" s="155" t="s">
        <v>202</v>
      </c>
      <c r="DK20">
        <v>2.1000000000000001E-2</v>
      </c>
      <c r="DL20" t="s">
        <v>203</v>
      </c>
      <c r="DM20" t="s">
        <v>203</v>
      </c>
      <c r="DN20" t="s">
        <v>204</v>
      </c>
      <c r="DO20">
        <v>4.2000000000000003E-2</v>
      </c>
      <c r="DP20" t="s">
        <v>203</v>
      </c>
      <c r="DQ20" t="s">
        <v>203</v>
      </c>
      <c r="DR20" t="s">
        <v>205</v>
      </c>
      <c r="DS20" t="s">
        <v>206</v>
      </c>
      <c r="DT20" t="s">
        <v>203</v>
      </c>
      <c r="DU20" t="s">
        <v>203</v>
      </c>
      <c r="DV20" t="s">
        <v>203</v>
      </c>
      <c r="DW20" s="138">
        <v>380</v>
      </c>
      <c r="DX20" t="s">
        <v>207</v>
      </c>
      <c r="DY20" s="138">
        <v>10.9</v>
      </c>
      <c r="DZ20" t="s">
        <v>208</v>
      </c>
      <c r="EA20">
        <v>39.299999999999997</v>
      </c>
      <c r="EB20" t="s">
        <v>209</v>
      </c>
      <c r="EC20">
        <v>0.25</v>
      </c>
      <c r="ED20" t="s">
        <v>313</v>
      </c>
      <c r="EE20" t="s">
        <v>210</v>
      </c>
      <c r="EF20" t="s">
        <v>211</v>
      </c>
      <c r="EG20">
        <v>1.0271999999999999</v>
      </c>
      <c r="EH20" t="s">
        <v>195</v>
      </c>
      <c r="EI20" t="s">
        <v>195</v>
      </c>
      <c r="EJ20" t="s">
        <v>212</v>
      </c>
      <c r="EK20" t="s">
        <v>195</v>
      </c>
      <c r="EL20" t="s">
        <v>195</v>
      </c>
      <c r="EM20" t="s">
        <v>213</v>
      </c>
      <c r="EN20" t="s">
        <v>210</v>
      </c>
      <c r="EO20" t="s">
        <v>210</v>
      </c>
      <c r="EP20" t="s">
        <v>210</v>
      </c>
      <c r="EQ20" t="s">
        <v>210</v>
      </c>
      <c r="ER20" t="s">
        <v>210</v>
      </c>
      <c r="ES20" t="s">
        <v>211</v>
      </c>
      <c r="ET20" t="s">
        <v>214</v>
      </c>
      <c r="EU20" t="s">
        <v>215</v>
      </c>
      <c r="EV20" t="s">
        <v>166</v>
      </c>
      <c r="EW20">
        <v>2362</v>
      </c>
      <c r="EX20" t="s">
        <v>216</v>
      </c>
      <c r="EY20">
        <v>100</v>
      </c>
      <c r="EZ20">
        <v>100</v>
      </c>
      <c r="FA20" t="s">
        <v>166</v>
      </c>
      <c r="FB20" t="s">
        <v>166</v>
      </c>
      <c r="FC20" t="s">
        <v>166</v>
      </c>
      <c r="FD20" t="s">
        <v>166</v>
      </c>
      <c r="FE20" s="141">
        <v>7.6527335494474</v>
      </c>
      <c r="FF20" s="153" t="s">
        <v>217</v>
      </c>
      <c r="FG20" s="141">
        <v>0.1475420874292297</v>
      </c>
      <c r="FH20" s="141">
        <v>0.16003369636515963</v>
      </c>
      <c r="FI20" s="142">
        <v>1555.9187519473701</v>
      </c>
      <c r="FJ20" s="153" t="s">
        <v>166</v>
      </c>
      <c r="FK20" s="153" t="s">
        <v>314</v>
      </c>
      <c r="FL20" s="142">
        <v>1555.9187519473701</v>
      </c>
      <c r="FM20" s="142">
        <v>702.0344018517801</v>
      </c>
      <c r="FN20" s="142">
        <v>450.79250729883006</v>
      </c>
      <c r="FO20" t="s">
        <v>218</v>
      </c>
      <c r="FP20" t="s">
        <v>219</v>
      </c>
      <c r="FQ20" t="s">
        <v>220</v>
      </c>
      <c r="FR20" t="s">
        <v>220</v>
      </c>
      <c r="FS20" t="s">
        <v>220</v>
      </c>
      <c r="FT20" s="142">
        <v>2735.4844314362799</v>
      </c>
      <c r="FU20" s="142">
        <v>105.31569859870024</v>
      </c>
      <c r="FV20" s="142">
        <v>103.49888471446002</v>
      </c>
      <c r="FW20" s="139">
        <v>8.3446117341031005</v>
      </c>
      <c r="FX20" s="139">
        <v>3.420798350049699</v>
      </c>
      <c r="FY20" s="139">
        <v>2.6250928323280007</v>
      </c>
      <c r="FZ20" t="s">
        <v>220</v>
      </c>
      <c r="GA20" t="s">
        <v>220</v>
      </c>
      <c r="GB20" t="s">
        <v>220</v>
      </c>
      <c r="GC20" t="s">
        <v>316</v>
      </c>
    </row>
  </sheetData>
  <mergeCells count="1">
    <mergeCell ref="S2:W2"/>
  </mergeCells>
  <hyperlinks>
    <hyperlink ref="Y4" r:id="rId1" display="http://www.pnas.org/cgi/doi/10.1073/pnas.1905989116" xr:uid="{73717FA4-974A-DF4C-9850-B523B7B8F309}"/>
    <hyperlink ref="Y5:Y20" r:id="rId2" display="http://www.pnas.org/cgi/doi/10.1073/pnas.1905989116" xr:uid="{05AC727D-45DB-A748-8B97-EE58F757C27D}"/>
    <hyperlink ref="Y6" r:id="rId3" display="http://www.pnas.org/cgi/doi/10.1073/pnas.1905989116" xr:uid="{7C8E22C0-A40C-3B44-A8C4-82521147ECA4}"/>
    <hyperlink ref="Y7" r:id="rId4" display="http://www.pnas.org/cgi/doi/10.1073/pnas.1905989116" xr:uid="{A5791374-ACC3-F44D-BF2D-D3AC14193686}"/>
    <hyperlink ref="Y8" r:id="rId5" display="http://www.pnas.org/cgi/doi/10.1073/pnas.1905989116" xr:uid="{FF007750-E843-DC48-9B1F-A498527F1EC4}"/>
    <hyperlink ref="Y9" r:id="rId6" display="http://www.pnas.org/cgi/doi/10.1073/pnas.1905989116" xr:uid="{B6944241-98DE-4E40-9BC4-CC973251D0D2}"/>
    <hyperlink ref="Y10" r:id="rId7" display="http://www.pnas.org/cgi/doi/10.1073/pnas.1905989116" xr:uid="{41F2C158-AD33-664B-879A-8264754124DB}"/>
    <hyperlink ref="Y11" r:id="rId8" display="http://www.pnas.org/cgi/doi/10.1073/pnas.1905989116" xr:uid="{B051549C-473D-1141-B467-E6CD0B6398B2}"/>
    <hyperlink ref="Y12" r:id="rId9" display="http://www.pnas.org/cgi/doi/10.1073/pnas.1905989116" xr:uid="{C8FACCBA-E6CD-2647-A1D0-239C51F5B571}"/>
    <hyperlink ref="Y13" r:id="rId10" display="http://www.pnas.org/cgi/doi/10.1073/pnas.1905989116" xr:uid="{584123AE-471D-9B4C-9BC6-DA767F6FEBFF}"/>
    <hyperlink ref="Y14" r:id="rId11" display="http://www.pnas.org/cgi/doi/10.1073/pnas.1905989116" xr:uid="{3F6EEFCB-B147-FF41-846E-BC9B54C35C9C}"/>
    <hyperlink ref="Y15" r:id="rId12" display="http://www.pnas.org/cgi/doi/10.1073/pnas.1905989116" xr:uid="{AB94916C-93B3-5643-A33C-84222A95B9CB}"/>
    <hyperlink ref="Y16" r:id="rId13" display="http://www.pnas.org/cgi/doi/10.1073/pnas.1905989116" xr:uid="{9CA3DFEE-9D2C-D54A-8B63-7BB396B7295B}"/>
    <hyperlink ref="Y17" r:id="rId14" display="http://www.pnas.org/cgi/doi/10.1073/pnas.1905989116" xr:uid="{CA9A2D73-8363-6248-BCD8-EAC74E6535B9}"/>
    <hyperlink ref="Y18" r:id="rId15" display="http://www.pnas.org/cgi/doi/10.1073/pnas.1905989116" xr:uid="{CC0B520B-4F49-904E-BAF8-BF14602BD2E6}"/>
    <hyperlink ref="Y19" r:id="rId16" display="http://www.pnas.org/cgi/doi/10.1073/pnas.1905989116" xr:uid="{B34A689B-DD4A-CD42-AA7C-3FE56DA03486}"/>
    <hyperlink ref="Y20" r:id="rId17" display="http://www.pnas.org/cgi/doi/10.1073/pnas.1905989116" xr:uid="{692FF565-C70A-9548-9017-95CAB5B18853}"/>
    <hyperlink ref="B4" r:id="rId18" xr:uid="{C702ACC8-87E3-434A-9355-C80C47A28236}"/>
    <hyperlink ref="B5:B20" r:id="rId19" display="henehan@gfz-potsdam.de" xr:uid="{1C229A3E-3F45-3A4D-9FA5-FDCCB02AAEF8}"/>
    <hyperlink ref="Y5" r:id="rId20" display="http://www.pnas.org/cgi/doi/10.1073/pnas.1905989116" xr:uid="{D23FFDDF-9EF1-7D4E-B4FD-717B8138B1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michael henehan</cp:lastModifiedBy>
  <dcterms:created xsi:type="dcterms:W3CDTF">2019-02-20T15:43:35Z</dcterms:created>
  <dcterms:modified xsi:type="dcterms:W3CDTF">2023-03-24T20:09:57Z</dcterms:modified>
</cp:coreProperties>
</file>